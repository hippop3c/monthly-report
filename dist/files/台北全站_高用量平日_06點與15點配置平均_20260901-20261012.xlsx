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4df0d8a03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市摘要" sheetId="1" r:id="R5a87bf92e52643cd"/>
    <x:sheet xmlns:r="http://schemas.openxmlformats.org/officeDocument/2006/relationships" name="每日全市" sheetId="2" r:id="R8437ed6566984ba4"/>
    <x:sheet xmlns:r="http://schemas.openxmlformats.org/officeDocument/2006/relationships" name="各站平均" sheetId="3" r:id="Re9f261b956814b0f"/>
    <x:sheet xmlns:r="http://schemas.openxmlformats.org/officeDocument/2006/relationships" name="各站彙總來源" sheetId="4" r:id="R667d55466c814428"/>
    <x:sheet xmlns:r="http://schemas.openxmlformats.org/officeDocument/2006/relationships" name="入選日期" sheetId="5" r:id="R1184b68debc448fd"/>
    <x:sheet xmlns:r="http://schemas.openxmlformats.org/officeDocument/2006/relationships" name="資料口徑" sheetId="6" r:id="Rec10407b4e8a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@"/>
    <x:numFmt numFmtId="202" formatCode="#,##0.0"/>
    <x:numFmt numFmtId="203" formatCode="#,##0.0;[Red]-#,##0.0"/>
  </x:numFmts>
  <x:fonts count="7">
    <x:font>
      <x:sz val="11"/>
      <x:name val="Carlito"/>
    </x:font>
    <x:font>
      <x:b/>
      <x:sz val="17"/>
      <x:color rgb="FFFFFFFF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0"/>
      <x:color rgb="FF1F2937"/>
      <x:name val="Arial"/>
    </x:font>
    <x:font>
      <x:sz val="10"/>
      <x:color rgb="FF5F6B7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5CC"/>
      </x:patternFill>
    </x:fill>
    <x:fill>
      <x:patternFill patternType="solid">
        <x:fgColor rgb="FF1F4E78"/>
      </x:patternFill>
    </x:fill>
    <x:fill>
      <x:patternFill patternType="solid">
        <x:fgColor rgb="FFE6F4EA"/>
      </x:patternFill>
    </x:fill>
    <x:fill>
      <x:patternFill patternType="solid">
        <x:fgColor rgb="FFFFD94A"/>
      </x:patternFill>
    </x:fill>
  </x:fills>
  <x:borders count="2">
    <x:border>
      <x:left/>
      <x:right/>
      <x:top/>
      <x:bottom/>
      <x:diagonal/>
    </x:border>
    <x:border>
      <x:left style="thin">
        <x:color rgb="FFC8D1DA"/>
      </x:left>
      <x:right style="thin">
        <x:color rgb="FFC8D1DA"/>
      </x:right>
      <x:top style="thin">
        <x:color rgb="FFC8D1DA"/>
      </x:top>
      <x:bottom style="thin">
        <x:color rgb="FFC8D1DA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3" fontId="2" fillId="0" borderId="1" xfId="0" applyNumberFormat="1" applyFont="1" applyFill="1" applyBorder="1" applyAlignment="1">
      <x:alignment vertical="center"/>
    </x:xf>
    <x:xf numFmtId="203" fontId="2" fillId="5" borderId="1" xfId="0" applyNumberFormat="1" applyFont="1" applyFill="1" applyBorder="1" applyAlignment="1">
      <x:alignment vertical="center"/>
    </x:xf>
    <x:xf numFmtId="203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217346"/>
      </x:font>
      <x:fill>
        <x:patternFill>
          <x:bgColor rgb="FFE6F4EA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cbaf837a6457b" /><Relationship Type="http://schemas.openxmlformats.org/officeDocument/2006/relationships/theme" Target="/xl/theme/theme1.xml" Id="R883ac1798d564c0d" /><Relationship Type="http://schemas.openxmlformats.org/officeDocument/2006/relationships/sharedStrings" Target="/xl/sharedStrings.xml" Id="R90caf37a8d80434e" /><Relationship Type="http://schemas.openxmlformats.org/officeDocument/2006/relationships/worksheet" Target="/xl/worksheets/sheet1.xml" Id="R5a87bf92e52643cd" /><Relationship Type="http://schemas.openxmlformats.org/officeDocument/2006/relationships/worksheet" Target="/xl/worksheets/sheet2.xml" Id="R8437ed6566984ba4" /><Relationship Type="http://schemas.openxmlformats.org/officeDocument/2006/relationships/worksheet" Target="/xl/worksheets/sheet3.xml" Id="Re9f261b956814b0f" /><Relationship Type="http://schemas.openxmlformats.org/officeDocument/2006/relationships/worksheet" Target="/xl/worksheets/sheet4.xml" Id="R667d55466c814428" /><Relationship Type="http://schemas.openxmlformats.org/officeDocument/2006/relationships/worksheet" Target="/xl/worksheets/sheet5.xml" Id="R1184b68debc448fd" /><Relationship Type="http://schemas.openxmlformats.org/officeDocument/2006/relationships/worksheet" Target="/xl/worksheets/sheet6.xml" Id="Rec10407b4e8a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38510dd6194c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全市同時點平均配置合計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配置合計</c:v>
          </c:tx>
          <c:invertIfNegative val="0"/>
          <c:cat>
            <c:strRef>
              <c:f>'全市摘要'!$F$5:$F$6</c:f>
              <c:strCache>
                <c:ptCount val="0"/>
              </c:strCache>
            </c:strRef>
          </c:cat>
          <c:val>
            <c:numRef>
              <c:f>'全市摘要'!$G$5:$G$6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8510dd6194c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tyDailyConfig" displayName="CityDailyConfig" ref="A3:Z29" headerRowCount="1" totalsRowCount="0" totalsRowShown="0">
  <x:tableColumns count="26">
    <x:tableColumn id="1" name="日期"/>
    <x:tableColumn id="2" name="星期"/>
    <x:tableColumn id="3" name="2.0用量"/>
    <x:tableColumn id="4" name="2.0E用量"/>
    <x:tableColumn id="5" name="總用量"/>
    <x:tableColumn id="6" name="06:00 2.0"/>
    <x:tableColumn id="7" name="06:30 2.0"/>
    <x:tableColumn id="8" name="06點全市2.0"/>
    <x:tableColumn id="9" name="來源"/>
    <x:tableColumn id="10" name="06:00 2.0E"/>
    <x:tableColumn id="11" name="06:30 2.0E"/>
    <x:tableColumn id="12" name="06點全市2.0E"/>
    <x:tableColumn id="13" name="來源"/>
    <x:tableColumn id="14" name="15:00 2.0"/>
    <x:tableColumn id="15" name="15:30 2.0"/>
    <x:tableColumn id="16" name="15點全市2.0"/>
    <x:tableColumn id="17" name="來源"/>
    <x:tableColumn id="18" name="15:00 2.0E"/>
    <x:tableColumn id="19" name="15:30 2.0E"/>
    <x:tableColumn id="20" name="15點全市2.0E"/>
    <x:tableColumn id="21" name="來源"/>
    <x:tableColumn id="22" name="06點逐站最大加總2.0"/>
    <x:tableColumn id="23" name="06點逐站最大加總2.0E"/>
    <x:tableColumn id="24" name="15點逐站最大加總2.0"/>
    <x:tableColumn id="25" name="15點逐站最大加總2.0E"/>
    <x:tableColumn id="26" name="場站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tationAverageConfig" displayName="StationAverageConfig" ref="A3:O1896" headerRowCount="1" totalsRowCount="0" totalsRowShown="0">
  <x:tableColumns count="15">
    <x:tableColumn id="1" name="場站代碼"/>
    <x:tableColumn id="2" name="行政區"/>
    <x:tableColumn id="3" name="場站名稱"/>
    <x:tableColumn id="4" name="入選日期數"/>
    <x:tableColumn id="5" name="出現日期數"/>
    <x:tableColumn id="6" name="平均06點 2.0"/>
    <x:tableColumn id="7" name="有效日數"/>
    <x:tableColumn id="8" name="平均06點 2.0E"/>
    <x:tableColumn id="9" name="有效日數"/>
    <x:tableColumn id="10" name="平均15點 2.0"/>
    <x:tableColumn id="11" name="有效日數"/>
    <x:tableColumn id="12" name="平均15點 2.0E"/>
    <x:tableColumn id="13" name="有效日數"/>
    <x:tableColumn id="14" name="平均06點合計"/>
    <x:tableColumn id="15" name="平均15點合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tationSourceTotals" displayName="StationSourceTotals" ref="A3:M1896" headerRowCount="1" totalsRowCount="0" totalsRowShown="0">
  <x:tableColumns count="13">
    <x:tableColumn id="1" name="場站代碼"/>
    <x:tableColumn id="2" name="行政區"/>
    <x:tableColumn id="3" name="場站名稱"/>
    <x:tableColumn id="4" name="入選日期數"/>
    <x:tableColumn id="5" name="出現日期數"/>
    <x:tableColumn id="6" name="06點2.0加總"/>
    <x:tableColumn id="7" name="有效日數"/>
    <x:tableColumn id="8" name="06點2.0E加總"/>
    <x:tableColumn id="9" name="有效日數"/>
    <x:tableColumn id="10" name="15點2.0加總"/>
    <x:tableColumn id="11" name="有效日數"/>
    <x:tableColumn id="12" name="15點2.0E加總"/>
    <x:tableColumn id="13" name="有效日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ligibleDates" displayName="EligibleDates" ref="A3:F29" headerRowCount="1" totalsRowCount="0" totalsRowShown="0">
  <x:tableColumns count="6">
    <x:tableColumn id="1" name="日期"/>
    <x:tableColumn id="2" name="星期"/>
    <x:tableColumn id="3" name="2.0用量"/>
    <x:tableColumn id="4" name="2.0E用量"/>
    <x:tableColumn id="5" name="總用量"/>
    <x:tableColumn id="6" name="門檻檢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fcff0f6dd74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f15529a1ca42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52926d0df34a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0c6c12c1ac44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432a84ba4140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3" t="str">
        <x:v>台北全站高用量平日｜06點與15點平均配置</x:v>
      </x:c>
      <x:c r="B1" s="3" t="str">
        <x:v>台北全站高用量平日｜06點與15點平均配置</x:v>
      </x:c>
      <x:c r="C1" s="3" t="str">
        <x:v>台北全站高用量平日｜06點與15點平均配置</x:v>
      </x:c>
      <x:c r="D1" s="3" t="str">
        <x:v>台北全站高用量平日｜06點與15點平均配置</x:v>
      </x:c>
      <x:c r="E1" s="3" t="str">
        <x:v>台北全站高用量平日｜06點與15點平均配置</x:v>
      </x:c>
      <x:c r="F1" s="3" t="str">
        <x:v>台北全站高用量平日｜06點與15點平均配置</x:v>
      </x:c>
      <x:c r="G1" s="3" t="str">
        <x:v>台北全站高用量平日｜06點與15點平均配置</x:v>
      </x:c>
      <x:c r="H1" s="3" t="str">
        <x:v>台北全站高用量平日｜06點與15點平均配置</x:v>
      </x:c>
      <x:c r="I1" s="3" t="str">
        <x:v>台北全站高用量平日｜06點與15點平均配置</x:v>
      </x:c>
      <x:c r="J1" s="3" t="str">
        <x:v>台北全站高用量平日｜06點與15點平均配置</x:v>
      </x:c>
      <x:c r="K1" s="3" t="str">
        <x:v>台北全站高用量平日｜06點與15點平均配置</x:v>
      </x:c>
      <x:c r="L1" s="3" t="str">
        <x:v>台北全站高用量平日｜06點與15點平均配置</x:v>
      </x:c>
      <x:c r="M1" s="3" t="str">
        <x:v>台北全站高用量平日｜06點與15點平均配置</x:v>
      </x:c>
      <x:c r="N1" s="3" t="str">
        <x:v>台北全站高用量平日｜06點與15點平均配置</x:v>
      </x:c>
    </x:row>
    <x:row r="2" ht="32" customHeight="1">
      <x:c r="A2" s="8" t="str">
        <x:v>期間：2026-09-01–2026-10-12｜入選26個平日｜條件：台北2.0＋2.0E用量嚴格大於200,000。</x:v>
      </x:c>
      <x:c r="B2" s="8" t="str">
        <x:v>期間：2026-09-01–2026-10-12｜入選26個平日｜條件：台北2.0＋2.0E用量嚴格大於200,000。</x:v>
      </x:c>
      <x:c r="C2" s="8" t="str">
        <x:v>期間：2026-09-01–2026-10-12｜入選26個平日｜條件：台北2.0＋2.0E用量嚴格大於200,000。</x:v>
      </x:c>
      <x:c r="D2" s="8" t="str">
        <x:v>期間：2026-09-01–2026-10-12｜入選26個平日｜條件：台北2.0＋2.0E用量嚴格大於200,000。</x:v>
      </x:c>
      <x:c r="E2" s="8" t="str">
        <x:v>期間：2026-09-01–2026-10-12｜入選26個平日｜條件：台北2.0＋2.0E用量嚴格大於200,000。</x:v>
      </x:c>
      <x:c r="F2" s="8" t="str">
        <x:v>期間：2026-09-01–2026-10-12｜入選26個平日｜條件：台北2.0＋2.0E用量嚴格大於200,000。</x:v>
      </x:c>
      <x:c r="G2" s="8" t="str">
        <x:v>期間：2026-09-01–2026-10-12｜入選26個平日｜條件：台北2.0＋2.0E用量嚴格大於200,000。</x:v>
      </x:c>
      <x:c r="H2" s="8" t="str">
        <x:v>期間：2026-09-01–2026-10-12｜入選26個平日｜條件：台北2.0＋2.0E用量嚴格大於200,000。</x:v>
      </x:c>
      <x:c r="I2" s="8" t="str">
        <x:v>期間：2026-09-01–2026-10-12｜入選26個平日｜條件：台北2.0＋2.0E用量嚴格大於200,000。</x:v>
      </x:c>
      <x:c r="J2" s="8" t="str">
        <x:v>期間：2026-09-01–2026-10-12｜入選26個平日｜條件：台北2.0＋2.0E用量嚴格大於200,000。</x:v>
      </x:c>
      <x:c r="K2" s="8" t="str">
        <x:v>期間：2026-09-01–2026-10-12｜入選26個平日｜條件：台北2.0＋2.0E用量嚴格大於200,000。</x:v>
      </x:c>
      <x:c r="L2" s="8" t="str">
        <x:v>期間：2026-09-01–2026-10-12｜入選26個平日｜條件：台北2.0＋2.0E用量嚴格大於200,000。</x:v>
      </x:c>
      <x:c r="M2" s="8" t="str">
        <x:v>期間：2026-09-01–2026-10-12｜入選26個平日｜條件：台北2.0＋2.0E用量嚴格大於200,000。</x:v>
      </x:c>
      <x:c r="N2" s="8" t="str">
        <x:v>期間：2026-09-01–2026-10-12｜入選26個平日｜條件：台北2.0＋2.0E用量嚴格大於200,000。</x:v>
      </x:c>
    </x:row>
    <x:row r="4" ht="36" customHeight="1">
      <x:c r="A4" s="14" t="str">
        <x:v>同時點全市口徑（先全站加總，再取兩時點最大）</x:v>
      </x:c>
      <x:c r="B4" s="14"/>
      <x:c r="C4" s="14"/>
      <x:c r="D4" s="14"/>
      <x:c r="F4" s="14" t="str">
        <x:v>時段</x:v>
      </x:c>
      <x:c r="G4" s="14" t="str">
        <x:v>配置合計</x:v>
      </x:c>
    </x:row>
    <x:row r="5" ht="36" customHeight="1">
      <x:c r="A5" s="34" t="str">
        <x:v>指標</x:v>
      </x:c>
      <x:c r="B5" s="34" t="str">
        <x:v>06點平均</x:v>
      </x:c>
      <x:c r="C5" s="34" t="str">
        <x:v>15點平均</x:v>
      </x:c>
      <x:c r="D5" s="34" t="str">
        <x:v>15點－06點</x:v>
      </x:c>
      <x:c r="F5" s="27" t="str">
        <x:v>06點</x:v>
      </x:c>
      <x:c r="G5" s="28" t="n">
        <x:f>B8</x:f>
        <x:v>23907.384615384617</x:v>
      </x:c>
    </x:row>
    <x:row r="6">
      <x:c r="A6" s="27" t="str">
        <x:v>2.0配置</x:v>
      </x:c>
      <x:c r="B6" s="36" t="n">
        <x:f>AVERAGE('每日全市'!H4:H29)</x:f>
        <x:v>20738</x:v>
      </x:c>
      <x:c r="C6" s="36" t="n">
        <x:f>AVERAGE('每日全市'!P4:P29)</x:f>
        <x:v>19415.73076923077</x:v>
      </x:c>
      <x:c r="D6" s="35" t="n">
        <x:f>C6-B6</x:f>
        <x:v>-1322.2692307692305</x:v>
      </x:c>
      <x:c r="F6" s="27" t="str">
        <x:v>15點</x:v>
      </x:c>
      <x:c r="G6" s="28" t="n">
        <x:f>C8</x:f>
        <x:v>22441.423076923078</x:v>
      </x:c>
    </x:row>
    <x:row r="7">
      <x:c r="A7" s="27" t="str">
        <x:v>2.0E配置</x:v>
      </x:c>
      <x:c r="B7" s="36" t="n">
        <x:f>AVERAGE('每日全市'!L4:L29)</x:f>
        <x:v>3169.3846153846152</x:v>
      </x:c>
      <x:c r="C7" s="36" t="n">
        <x:f>AVERAGE('每日全市'!T4:T29)</x:f>
        <x:v>3025.6923076923076</x:v>
      </x:c>
      <x:c r="D7" s="35" t="n">
        <x:f>C7-B7</x:f>
        <x:v>-143.69230769230762</x:v>
      </x:c>
    </x:row>
    <x:row r="8">
      <x:c r="A8" s="27" t="str">
        <x:v>合計</x:v>
      </x:c>
      <x:c r="B8" s="36" t="n">
        <x:f>SUM(B6:B7)</x:f>
        <x:v>23907.384615384617</x:v>
      </x:c>
      <x:c r="C8" s="36" t="n">
        <x:f>SUM(C6:C7)</x:f>
        <x:v>22441.423076923078</x:v>
      </x:c>
      <x:c r="D8" s="35" t="n">
        <x:f>C8-B8</x:f>
        <x:v>-1465.961538461539</x:v>
      </x:c>
    </x:row>
    <x:row r="11" ht="36" customHeight="1">
      <x:c r="A11" s="14" t="str">
        <x:v>逐站最大口徑（每站先取最大，再加總）</x:v>
      </x:c>
      <x:c r="B11" s="14"/>
      <x:c r="C11" s="14"/>
      <x:c r="D11" s="14"/>
    </x:row>
    <x:row r="12" ht="36" customHeight="1">
      <x:c r="A12" s="34" t="str">
        <x:v>指標</x:v>
      </x:c>
      <x:c r="B12" s="34" t="str">
        <x:v>06點平均</x:v>
      </x:c>
      <x:c r="C12" s="34" t="str">
        <x:v>15點平均</x:v>
      </x:c>
      <x:c r="D12" s="34" t="str">
        <x:v>15點－06點</x:v>
      </x:c>
    </x:row>
    <x:row r="13">
      <x:c r="A13" s="27" t="str">
        <x:v>2.0配置</x:v>
      </x:c>
      <x:c r="B13" s="37" t="n">
        <x:f>AVERAGE('每日全市'!V4:V29)</x:f>
        <x:v>21799.30769230769</x:v>
      </x:c>
      <x:c r="C13" s="37" t="n">
        <x:f>AVERAGE('每日全市'!X4:X29)</x:f>
        <x:v>21134.03846153846</x:v>
      </x:c>
      <x:c r="D13" s="35" t="n">
        <x:f>C13-B13</x:f>
        <x:v>-665.2692307692305</x:v>
      </x:c>
    </x:row>
    <x:row r="14">
      <x:c r="A14" s="27" t="str">
        <x:v>2.0E配置</x:v>
      </x:c>
      <x:c r="B14" s="37" t="n">
        <x:f>AVERAGE('每日全市'!W4:W29)</x:f>
        <x:v>3434.576923076923</x:v>
      </x:c>
      <x:c r="C14" s="37" t="n">
        <x:f>AVERAGE('每日全市'!Y4:Y29)</x:f>
        <x:v>3439.1923076923076</x:v>
      </x:c>
      <x:c r="D14" s="35" t="n">
        <x:f>C14-B14</x:f>
        <x:v>4.615384615384755</x:v>
      </x:c>
    </x:row>
    <x:row r="15">
      <x:c r="A15" s="27" t="str">
        <x:v>合計</x:v>
      </x:c>
      <x:c r="B15" s="37" t="n">
        <x:f>SUM(B13:B14)</x:f>
        <x:v>25233.884615384613</x:v>
      </x:c>
      <x:c r="C15" s="37" t="n">
        <x:f>SUM(C13:C14)</x:f>
        <x:v>24573.23076923077</x:v>
      </x:c>
      <x:c r="D15" s="35" t="n">
        <x:f>C15-B15</x:f>
        <x:v>-660.6538461538439</x:v>
      </x:c>
    </x:row>
    <x:row r="18" ht="25" customHeight="1">
      <x:c r="A18" s="43" t="str">
        <x:v>需要全市某一實際快照總量時，採上方「同時點全市口徑」。</x:v>
      </x:c>
      <x:c r="B18" s="43"/>
      <x:c r="C18" s="43"/>
      <x:c r="D18" s="43"/>
    </x:row>
    <x:row r="19" ht="25" customHeight="1">
      <x:c r="A19" s="43" t="str">
        <x:v>需要查看個別場站平均配置時，使用「各站平均」活頁。</x:v>
      </x:c>
      <x:c r="B19" s="43"/>
      <x:c r="C19" s="43"/>
      <x:c r="D19" s="43"/>
    </x:row>
    <x:row r="20" ht="25" customHeight="1">
      <x:c r="A20" s="43" t="str">
        <x:v>2.0與2.0E各自選最大值，因此同日來源時點可能不同。</x:v>
      </x:c>
      <x:c r="B20" s="43"/>
      <x:c r="C20" s="43"/>
      <x:c r="D20" s="43"/>
    </x:row>
    <x:row r="21" ht="25" customHeight="1">
      <x:c r="A21" s="43" t="str">
        <x:v>VDS落在15:01／15:31的完整快照，按15:00／15:30批次處理。</x:v>
      </x:c>
      <x:c r="B21" s="43"/>
      <x:c r="C21" s="43"/>
      <x:c r="D21" s="43"/>
    </x:row>
    <x:row r="22" ht="25" customHeight="1">
      <x:c r="A22" s="43" t="str">
        <x:v>故障綁車不納入配置；500199*維護站排除。</x:v>
      </x:c>
      <x:c r="B22" s="43"/>
      <x:c r="C22" s="43"/>
      <x:c r="D22" s="43"/>
    </x:row>
  </x:sheetData>
  <x:mergeCells>
    <x:mergeCell ref="A1:N1"/>
    <x:mergeCell ref="A2:N2"/>
    <x:mergeCell ref="A4:D4"/>
    <x:mergeCell ref="A11:D11"/>
    <x:mergeCell ref="A18:D18"/>
    <x:mergeCell ref="A19:D19"/>
    <x:mergeCell ref="A20:D20"/>
    <x:mergeCell ref="A21:D21"/>
    <x:mergeCell ref="A22:D22"/>
  </x:mergeCells>
  <x:pageMargins left="0.7" right="0.7" top="0.75" bottom="0.75" header="0.3" footer="0.3"/>
  <x:drawing xmlns:r="http://schemas.openxmlformats.org/officeDocument/2006/relationships" r:id="R2bfcff0f6dd74d1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3" t="str">
        <x:v>台北全市｜每日06點與15點配置</x:v>
      </x:c>
      <x:c r="B1" s="3" t="str">
        <x:v>台北全市｜每日06點與15點配置</x:v>
      </x:c>
      <x:c r="C1" s="3" t="str">
        <x:v>台北全市｜每日06點與15點配置</x:v>
      </x:c>
      <x:c r="D1" s="3" t="str">
        <x:v>台北全市｜每日06點與15點配置</x:v>
      </x:c>
      <x:c r="E1" s="3" t="str">
        <x:v>台北全市｜每日06點與15點配置</x:v>
      </x:c>
      <x:c r="F1" s="3" t="str">
        <x:v>台北全市｜每日06點與15點配置</x:v>
      </x:c>
      <x:c r="G1" s="3" t="str">
        <x:v>台北全市｜每日06點與15點配置</x:v>
      </x:c>
      <x:c r="H1" s="3" t="str">
        <x:v>台北全市｜每日06點與15點配置</x:v>
      </x:c>
      <x:c r="I1" s="3" t="str">
        <x:v>台北全市｜每日06點與15點配置</x:v>
      </x:c>
      <x:c r="J1" s="3" t="str">
        <x:v>台北全市｜每日06點與15點配置</x:v>
      </x:c>
      <x:c r="K1" s="3" t="str">
        <x:v>台北全市｜每日06點與15點配置</x:v>
      </x:c>
      <x:c r="L1" s="3" t="str">
        <x:v>台北全市｜每日06點與15點配置</x:v>
      </x:c>
      <x:c r="M1" s="3" t="str">
        <x:v>台北全市｜每日06點與15點配置</x:v>
      </x:c>
      <x:c r="N1" s="3" t="str">
        <x:v>台北全市｜每日06點與15點配置</x:v>
      </x:c>
      <x:c r="O1" s="3" t="str">
        <x:v>台北全市｜每日06點與15點配置</x:v>
      </x:c>
      <x:c r="P1" s="3" t="str">
        <x:v>台北全市｜每日06點與15點配置</x:v>
      </x:c>
      <x:c r="Q1" s="3" t="str">
        <x:v>台北全市｜每日06點與15點配置</x:v>
      </x:c>
      <x:c r="R1" s="3" t="str">
        <x:v>台北全市｜每日06點與15點配置</x:v>
      </x:c>
      <x:c r="S1" s="3" t="str">
        <x:v>台北全市｜每日06點與15點配置</x:v>
      </x:c>
      <x:c r="T1" s="3" t="str">
        <x:v>台北全市｜每日06點與15點配置</x:v>
      </x:c>
      <x:c r="U1" s="3" t="str">
        <x:v>台北全市｜每日06點與15點配置</x:v>
      </x:c>
      <x:c r="V1" s="3" t="str">
        <x:v>台北全市｜每日06點與15點配置</x:v>
      </x:c>
      <x:c r="W1" s="3" t="str">
        <x:v>台北全市｜每日06點與15點配置</x:v>
      </x:c>
      <x:c r="X1" s="3" t="str">
        <x:v>台北全市｜每日06點與15點配置</x:v>
      </x:c>
      <x:c r="Y1" s="3" t="str">
        <x:v>台北全市｜每日06點與15點配置</x:v>
      </x:c>
      <x:c r="Z1" s="3" t="str">
        <x:v>台北全市｜每日06點與15點配置</x:v>
      </x:c>
    </x:row>
    <x:row r="2" ht="32" customHeight="1">
      <x:c r="A2" s="8" t="str">
        <x:v>同時點全市：先合計所有場站，再於兩個快照取最大；逐站最大加總：每站先取最大，再加總。2.0與2.0E各自獨立判定，平手取較早時點。</x:v>
      </x:c>
      <x:c r="B2" s="8" t="str">
        <x:v>同時點全市：先合計所有場站，再於兩個快照取最大；逐站最大加總：每站先取最大，再加總。2.0與2.0E各自獨立判定，平手取較早時點。</x:v>
      </x:c>
      <x:c r="C2" s="8" t="str">
        <x:v>同時點全市：先合計所有場站，再於兩個快照取最大；逐站最大加總：每站先取最大，再加總。2.0與2.0E各自獨立判定，平手取較早時點。</x:v>
      </x:c>
      <x:c r="D2" s="8" t="str">
        <x:v>同時點全市：先合計所有場站，再於兩個快照取最大；逐站最大加總：每站先取最大，再加總。2.0與2.0E各自獨立判定，平手取較早時點。</x:v>
      </x:c>
      <x:c r="E2" s="8" t="str">
        <x:v>同時點全市：先合計所有場站，再於兩個快照取最大；逐站最大加總：每站先取最大，再加總。2.0與2.0E各自獨立判定，平手取較早時點。</x:v>
      </x:c>
      <x:c r="F2" s="8" t="str">
        <x:v>同時點全市：先合計所有場站，再於兩個快照取最大；逐站最大加總：每站先取最大，再加總。2.0與2.0E各自獨立判定，平手取較早時點。</x:v>
      </x:c>
      <x:c r="G2" s="8" t="str">
        <x:v>同時點全市：先合計所有場站，再於兩個快照取最大；逐站最大加總：每站先取最大，再加總。2.0與2.0E各自獨立判定，平手取較早時點。</x:v>
      </x:c>
      <x:c r="H2" s="8" t="str">
        <x:v>同時點全市：先合計所有場站，再於兩個快照取最大；逐站最大加總：每站先取最大，再加總。2.0與2.0E各自獨立判定，平手取較早時點。</x:v>
      </x:c>
      <x:c r="I2" s="8" t="str">
        <x:v>同時點全市：先合計所有場站，再於兩個快照取最大；逐站最大加總：每站先取最大，再加總。2.0與2.0E各自獨立判定，平手取較早時點。</x:v>
      </x:c>
      <x:c r="J2" s="8" t="str">
        <x:v>同時點全市：先合計所有場站，再於兩個快照取最大；逐站最大加總：每站先取最大，再加總。2.0與2.0E各自獨立判定，平手取較早時點。</x:v>
      </x:c>
      <x:c r="K2" s="8" t="str">
        <x:v>同時點全市：先合計所有場站，再於兩個快照取最大；逐站最大加總：每站先取最大，再加總。2.0與2.0E各自獨立判定，平手取較早時點。</x:v>
      </x:c>
      <x:c r="L2" s="8" t="str">
        <x:v>同時點全市：先合計所有場站，再於兩個快照取最大；逐站最大加總：每站先取最大，再加總。2.0與2.0E各自獨立判定，平手取較早時點。</x:v>
      </x:c>
      <x:c r="M2" s="8" t="str">
        <x:v>同時點全市：先合計所有場站，再於兩個快照取最大；逐站最大加總：每站先取最大，再加總。2.0與2.0E各自獨立判定，平手取較早時點。</x:v>
      </x:c>
      <x:c r="N2" s="8" t="str">
        <x:v>同時點全市：先合計所有場站，再於兩個快照取最大；逐站最大加總：每站先取最大，再加總。2.0與2.0E各自獨立判定，平手取較早時點。</x:v>
      </x:c>
      <x:c r="O2" s="8" t="str">
        <x:v>同時點全市：先合計所有場站，再於兩個快照取最大；逐站最大加總：每站先取最大，再加總。2.0與2.0E各自獨立判定，平手取較早時點。</x:v>
      </x:c>
      <x:c r="P2" s="8" t="str">
        <x:v>同時點全市：先合計所有場站，再於兩個快照取最大；逐站最大加總：每站先取最大，再加總。2.0與2.0E各自獨立判定，平手取較早時點。</x:v>
      </x:c>
      <x:c r="Q2" s="8" t="str">
        <x:v>同時點全市：先合計所有場站，再於兩個快照取最大；逐站最大加總：每站先取最大，再加總。2.0與2.0E各自獨立判定，平手取較早時點。</x:v>
      </x:c>
      <x:c r="R2" s="8" t="str">
        <x:v>同時點全市：先合計所有場站，再於兩個快照取最大；逐站最大加總：每站先取最大，再加總。2.0與2.0E各自獨立判定，平手取較早時點。</x:v>
      </x:c>
      <x:c r="S2" s="8" t="str">
        <x:v>同時點全市：先合計所有場站，再於兩個快照取最大；逐站最大加總：每站先取最大，再加總。2.0與2.0E各自獨立判定，平手取較早時點。</x:v>
      </x:c>
      <x:c r="T2" s="8" t="str">
        <x:v>同時點全市：先合計所有場站，再於兩個快照取最大；逐站最大加總：每站先取最大，再加總。2.0與2.0E各自獨立判定，平手取較早時點。</x:v>
      </x:c>
      <x:c r="U2" s="8" t="str">
        <x:v>同時點全市：先合計所有場站，再於兩個快照取最大；逐站最大加總：每站先取最大，再加總。2.0與2.0E各自獨立判定，平手取較早時點。</x:v>
      </x:c>
      <x:c r="V2" s="8" t="str">
        <x:v>同時點全市：先合計所有場站，再於兩個快照取最大；逐站最大加總：每站先取最大，再加總。2.0與2.0E各自獨立判定，平手取較早時點。</x:v>
      </x:c>
      <x:c r="W2" s="8" t="str">
        <x:v>同時點全市：先合計所有場站，再於兩個快照取最大；逐站最大加總：每站先取最大，再加總。2.0與2.0E各自獨立判定，平手取較早時點。</x:v>
      </x:c>
      <x:c r="X2" s="8" t="str">
        <x:v>同時點全市：先合計所有場站，再於兩個快照取最大；逐站最大加總：每站先取最大，再加總。2.0與2.0E各自獨立判定，平手取較早時點。</x:v>
      </x:c>
      <x:c r="Y2" s="8" t="str">
        <x:v>同時點全市：先合計所有場站，再於兩個快照取最大；逐站最大加總：每站先取最大，再加總。2.0與2.0E各自獨立判定，平手取較早時點。</x:v>
      </x:c>
      <x:c r="Z2" s="8" t="str">
        <x:v>同時點全市：先合計所有場站，再於兩個快照取最大；逐站最大加總：每站先取最大，再加總。2.0與2.0E各自獨立判定，平手取較早時點。</x:v>
      </x:c>
    </x:row>
    <x:row r="3" ht="36" customHeight="1">
      <x:c r="A3" s="14" t="str">
        <x:v>日期</x:v>
      </x:c>
      <x:c r="B3" s="14" t="str">
        <x:v>星期</x:v>
      </x:c>
      <x:c r="C3" s="14" t="str">
        <x:v>2.0用量</x:v>
      </x:c>
      <x:c r="D3" s="14" t="str">
        <x:v>2.0E用量</x:v>
      </x:c>
      <x:c r="E3" s="14" t="str">
        <x:v>總用量</x:v>
      </x:c>
      <x:c r="F3" s="14" t="str">
        <x:v>06:00 2.0</x:v>
      </x:c>
      <x:c r="G3" s="14" t="str">
        <x:v>06:30 2.0</x:v>
      </x:c>
      <x:c r="H3" s="14" t="str">
        <x:v>06點全市2.0</x:v>
      </x:c>
      <x:c r="I3" s="14" t="str">
        <x:v>來源</x:v>
      </x:c>
      <x:c r="J3" s="14" t="str">
        <x:v>06:00 2.0E</x:v>
      </x:c>
      <x:c r="K3" s="14" t="str">
        <x:v>06:30 2.0E</x:v>
      </x:c>
      <x:c r="L3" s="14" t="str">
        <x:v>06點全市2.0E</x:v>
      </x:c>
      <x:c r="M3" s="14" t="str">
        <x:v>來源</x:v>
      </x:c>
      <x:c r="N3" s="14" t="str">
        <x:v>15:00 2.0</x:v>
      </x:c>
      <x:c r="O3" s="14" t="str">
        <x:v>15:30 2.0</x:v>
      </x:c>
      <x:c r="P3" s="14" t="str">
        <x:v>15點全市2.0</x:v>
      </x:c>
      <x:c r="Q3" s="14" t="str">
        <x:v>來源</x:v>
      </x:c>
      <x:c r="R3" s="14" t="str">
        <x:v>15:00 2.0E</x:v>
      </x:c>
      <x:c r="S3" s="14" t="str">
        <x:v>15:30 2.0E</x:v>
      </x:c>
      <x:c r="T3" s="14" t="str">
        <x:v>15點全市2.0E</x:v>
      </x:c>
      <x:c r="U3" s="14" t="str">
        <x:v>來源</x:v>
      </x:c>
      <x:c r="V3" s="14" t="str">
        <x:v>06點逐站最大加總2.0</x:v>
      </x:c>
      <x:c r="W3" s="14" t="str">
        <x:v>06點逐站最大加總2.0E</x:v>
      </x:c>
      <x:c r="X3" s="14" t="str">
        <x:v>15點逐站最大加總2.0</x:v>
      </x:c>
      <x:c r="Y3" s="14" t="str">
        <x:v>15點逐站最大加總2.0E</x:v>
      </x:c>
      <x:c r="Z3" s="14" t="str">
        <x:v>場站數</x:v>
      </x:c>
    </x:row>
    <x:row r="4">
      <x:c r="A4" s="17" t="str">
        <x:v>2026-09-02</x:v>
      </x:c>
      <x:c r="B4" s="17" t="str">
        <x:v>三</x:v>
      </x:c>
      <x:c r="C4" s="18" t="n">
        <x:v>280266</x:v>
      </x:c>
      <x:c r="D4" s="18" t="n">
        <x:v>29151</x:v>
      </x:c>
      <x:c r="E4" s="18" t="n">
        <x:f>C4+D4</x:f>
        <x:v>309417</x:v>
      </x:c>
      <x:c r="F4" s="18" t="n">
        <x:v>21475</x:v>
      </x:c>
      <x:c r="G4" s="18" t="n">
        <x:v>21046</x:v>
      </x:c>
      <x:c r="H4" s="19" t="n">
        <x:f>MAX(F4:G4)</x:f>
        <x:v>21475</x:v>
      </x:c>
      <x:c r="I4" s="20" t="str">
        <x:f>IF(F4&gt;=G4,"06:00","06:30")</x:f>
        <x:v>06:00</x:v>
      </x:c>
      <x:c r="J4" s="19" t="n">
        <x:v>2986</x:v>
      </x:c>
      <x:c r="K4" s="19" t="n">
        <x:v>3057</x:v>
      </x:c>
      <x:c r="L4" s="19" t="n">
        <x:f>MAX(J4:K4)</x:f>
        <x:v>3057</x:v>
      </x:c>
      <x:c r="M4" s="20" t="str">
        <x:f>IF(J4&gt;=K4,"06:00","06:30")</x:f>
        <x:v>06:30</x:v>
      </x:c>
      <x:c r="N4" s="19" t="n">
        <x:v>20353</x:v>
      </x:c>
      <x:c r="O4" s="19" t="n">
        <x:v>20109</x:v>
      </x:c>
      <x:c r="P4" s="19" t="n">
        <x:f>MAX(N4:O4)</x:f>
        <x:v>20353</x:v>
      </x:c>
      <x:c r="Q4" s="20" t="str">
        <x:f>IF(N4&gt;=O4,"15:00","15:30")</x:f>
        <x:v>15:00</x:v>
      </x:c>
      <x:c r="R4" s="19" t="n">
        <x:v>3039</x:v>
      </x:c>
      <x:c r="S4" s="19" t="n">
        <x:v>3020</x:v>
      </x:c>
      <x:c r="T4" s="19" t="n">
        <x:f>MAX(R4:S4)</x:f>
        <x:v>3039</x:v>
      </x:c>
      <x:c r="U4" s="20" t="str">
        <x:f>IF(R4&gt;=S4,"15:00","15:30")</x:f>
        <x:v>15:00</x:v>
      </x:c>
      <x:c r="V4" s="21" t="n">
        <x:v>22638</x:v>
      </x:c>
      <x:c r="W4" s="21" t="n">
        <x:v>3338</x:v>
      </x:c>
      <x:c r="X4" s="21" t="n">
        <x:v>21904</x:v>
      </x:c>
      <x:c r="Y4" s="21" t="n">
        <x:v>3479</x:v>
      </x:c>
      <x:c r="Z4" s="18" t="n">
        <x:v>1875</x:v>
      </x:c>
    </x:row>
    <x:row r="5">
      <x:c r="A5" s="17" t="str">
        <x:v>2026-09-07</x:v>
      </x:c>
      <x:c r="B5" s="17" t="str">
        <x:v>一</x:v>
      </x:c>
      <x:c r="C5" s="18" t="n">
        <x:v>295130</x:v>
      </x:c>
      <x:c r="D5" s="18" t="n">
        <x:v>30018</x:v>
      </x:c>
      <x:c r="E5" s="18" t="n">
        <x:f>C5+D5</x:f>
        <x:v>325148</x:v>
      </x:c>
      <x:c r="F5" s="18" t="n">
        <x:v>21599</x:v>
      </x:c>
      <x:c r="G5" s="18" t="n">
        <x:v>21270</x:v>
      </x:c>
      <x:c r="H5" s="19" t="n">
        <x:f>MAX(F5:G5)</x:f>
        <x:v>21599</x:v>
      </x:c>
      <x:c r="I5" s="20" t="str">
        <x:f>IF(F5&gt;=G5,"06:00","06:30")</x:f>
        <x:v>06:00</x:v>
      </x:c>
      <x:c r="J5" s="19" t="n">
        <x:v>3095</x:v>
      </x:c>
      <x:c r="K5" s="19" t="n">
        <x:v>3284</x:v>
      </x:c>
      <x:c r="L5" s="19" t="n">
        <x:f>MAX(J5:K5)</x:f>
        <x:v>3284</x:v>
      </x:c>
      <x:c r="M5" s="20" t="str">
        <x:f>IF(J5&gt;=K5,"06:00","06:30")</x:f>
        <x:v>06:30</x:v>
      </x:c>
      <x:c r="N5" s="19" t="n">
        <x:v>20063</x:v>
      </x:c>
      <x:c r="O5" s="19" t="n">
        <x:v>19863</x:v>
      </x:c>
      <x:c r="P5" s="19" t="n">
        <x:f>MAX(N5:O5)</x:f>
        <x:v>20063</x:v>
      </x:c>
      <x:c r="Q5" s="20" t="str">
        <x:f>IF(N5&gt;=O5,"15:00","15:30")</x:f>
        <x:v>15:00</x:v>
      </x:c>
      <x:c r="R5" s="19" t="n">
        <x:v>3162</x:v>
      </x:c>
      <x:c r="S5" s="19" t="n">
        <x:v>3122</x:v>
      </x:c>
      <x:c r="T5" s="19" t="n">
        <x:f>MAX(R5:S5)</x:f>
        <x:v>3162</x:v>
      </x:c>
      <x:c r="U5" s="20" t="str">
        <x:f>IF(R5&gt;=S5,"15:00","15:30")</x:f>
        <x:v>15:00</x:v>
      </x:c>
      <x:c r="V5" s="21" t="n">
        <x:v>22714</x:v>
      </x:c>
      <x:c r="W5" s="21" t="n">
        <x:v>3532</x:v>
      </x:c>
      <x:c r="X5" s="21" t="n">
        <x:v>21829</x:v>
      </x:c>
      <x:c r="Y5" s="21" t="n">
        <x:v>3606</x:v>
      </x:c>
      <x:c r="Z5" s="18" t="n">
        <x:v>1876</x:v>
      </x:c>
    </x:row>
    <x:row r="6">
      <x:c r="A6" s="17" t="str">
        <x:v>2026-09-08</x:v>
      </x:c>
      <x:c r="B6" s="17" t="str">
        <x:v>二</x:v>
      </x:c>
      <x:c r="C6" s="18" t="n">
        <x:v>288413</x:v>
      </x:c>
      <x:c r="D6" s="18" t="n">
        <x:v>29957</x:v>
      </x:c>
      <x:c r="E6" s="18" t="n">
        <x:f>C6+D6</x:f>
        <x:v>318370</x:v>
      </x:c>
      <x:c r="F6" s="18" t="n">
        <x:v>20964</x:v>
      </x:c>
      <x:c r="G6" s="18" t="n">
        <x:v>20403</x:v>
      </x:c>
      <x:c r="H6" s="19" t="n">
        <x:f>MAX(F6:G6)</x:f>
        <x:v>20964</x:v>
      </x:c>
      <x:c r="I6" s="20" t="str">
        <x:f>IF(F6&gt;=G6,"06:00","06:30")</x:f>
        <x:v>06:00</x:v>
      </x:c>
      <x:c r="J6" s="19" t="n">
        <x:v>3012</x:v>
      </x:c>
      <x:c r="K6" s="19" t="n">
        <x:v>3152</x:v>
      </x:c>
      <x:c r="L6" s="19" t="n">
        <x:f>MAX(J6:K6)</x:f>
        <x:v>3152</x:v>
      </x:c>
      <x:c r="M6" s="20" t="str">
        <x:f>IF(J6&gt;=K6,"06:00","06:30")</x:f>
        <x:v>06:30</x:v>
      </x:c>
      <x:c r="N6" s="19" t="n">
        <x:v>19629</x:v>
      </x:c>
      <x:c r="O6" s="19" t="n">
        <x:v>19203</x:v>
      </x:c>
      <x:c r="P6" s="19" t="n">
        <x:f>MAX(N6:O6)</x:f>
        <x:v>19629</x:v>
      </x:c>
      <x:c r="Q6" s="20" t="str">
        <x:f>IF(N6&gt;=O6,"15:00","15:30")</x:f>
        <x:v>15:00</x:v>
      </x:c>
      <x:c r="R6" s="19" t="n">
        <x:v>3055</x:v>
      </x:c>
      <x:c r="S6" s="19" t="n">
        <x:v>3009</x:v>
      </x:c>
      <x:c r="T6" s="19" t="n">
        <x:f>MAX(R6:S6)</x:f>
        <x:v>3055</x:v>
      </x:c>
      <x:c r="U6" s="20" t="str">
        <x:f>IF(R6&gt;=S6,"15:00","15:30")</x:f>
        <x:v>15:00</x:v>
      </x:c>
      <x:c r="V6" s="21" t="n">
        <x:v>22033</x:v>
      </x:c>
      <x:c r="W6" s="21" t="n">
        <x:v>3408</x:v>
      </x:c>
      <x:c r="X6" s="21" t="n">
        <x:v>21347</x:v>
      </x:c>
      <x:c r="Y6" s="21" t="n">
        <x:v>3462</x:v>
      </x:c>
      <x:c r="Z6" s="18" t="n">
        <x:v>1876</x:v>
      </x:c>
    </x:row>
    <x:row r="7">
      <x:c r="A7" s="17" t="str">
        <x:v>2026-09-09</x:v>
      </x:c>
      <x:c r="B7" s="17" t="str">
        <x:v>三</x:v>
      </x:c>
      <x:c r="C7" s="18" t="n">
        <x:v>274391</x:v>
      </x:c>
      <x:c r="D7" s="18" t="n">
        <x:v>28954</x:v>
      </x:c>
      <x:c r="E7" s="18" t="n">
        <x:f>C7+D7</x:f>
        <x:v>303345</x:v>
      </x:c>
      <x:c r="F7" s="18" t="n">
        <x:v>20605</x:v>
      </x:c>
      <x:c r="G7" s="18" t="n">
        <x:v>20131</x:v>
      </x:c>
      <x:c r="H7" s="19" t="n">
        <x:f>MAX(F7:G7)</x:f>
        <x:v>20605</x:v>
      </x:c>
      <x:c r="I7" s="20" t="str">
        <x:f>IF(F7&gt;=G7,"06:00","06:30")</x:f>
        <x:v>06:00</x:v>
      </x:c>
      <x:c r="J7" s="19" t="n">
        <x:v>3154</x:v>
      </x:c>
      <x:c r="K7" s="19" t="n">
        <x:v>3253</x:v>
      </x:c>
      <x:c r="L7" s="19" t="n">
        <x:f>MAX(J7:K7)</x:f>
        <x:v>3253</x:v>
      </x:c>
      <x:c r="M7" s="20" t="str">
        <x:f>IF(J7&gt;=K7,"06:00","06:30")</x:f>
        <x:v>06:30</x:v>
      </x:c>
      <x:c r="N7" s="19" t="n">
        <x:v>19163</x:v>
      </x:c>
      <x:c r="O7" s="19" t="n">
        <x:v>18925</x:v>
      </x:c>
      <x:c r="P7" s="19" t="n">
        <x:f>MAX(N7:O7)</x:f>
        <x:v>19163</x:v>
      </x:c>
      <x:c r="Q7" s="20" t="str">
        <x:f>IF(N7&gt;=O7,"15:00","15:30")</x:f>
        <x:v>15:00</x:v>
      </x:c>
      <x:c r="R7" s="19" t="n">
        <x:v>3119</x:v>
      </x:c>
      <x:c r="S7" s="19" t="n">
        <x:v>3059</x:v>
      </x:c>
      <x:c r="T7" s="19" t="n">
        <x:f>MAX(R7:S7)</x:f>
        <x:v>3119</x:v>
      </x:c>
      <x:c r="U7" s="20" t="str">
        <x:f>IF(R7&gt;=S7,"15:00","15:30")</x:f>
        <x:v>15:00</x:v>
      </x:c>
      <x:c r="V7" s="21" t="n">
        <x:v>21655</x:v>
      </x:c>
      <x:c r="W7" s="21" t="n">
        <x:v>3506</x:v>
      </x:c>
      <x:c r="X7" s="21" t="n">
        <x:v>20873</x:v>
      </x:c>
      <x:c r="Y7" s="21" t="n">
        <x:v>3529</x:v>
      </x:c>
      <x:c r="Z7" s="18" t="n">
        <x:v>1876</x:v>
      </x:c>
    </x:row>
    <x:row r="8">
      <x:c r="A8" s="17" t="str">
        <x:v>2026-09-10</x:v>
      </x:c>
      <x:c r="B8" s="17" t="str">
        <x:v>四</x:v>
      </x:c>
      <x:c r="C8" s="18" t="n">
        <x:v>257070</x:v>
      </x:c>
      <x:c r="D8" s="18" t="n">
        <x:v>26964</x:v>
      </x:c>
      <x:c r="E8" s="18" t="n">
        <x:f>C8+D8</x:f>
        <x:v>284034</x:v>
      </x:c>
      <x:c r="F8" s="18" t="n">
        <x:v>20589</x:v>
      </x:c>
      <x:c r="G8" s="18" t="n">
        <x:v>20411</x:v>
      </x:c>
      <x:c r="H8" s="19" t="n">
        <x:f>MAX(F8:G8)</x:f>
        <x:v>20589</x:v>
      </x:c>
      <x:c r="I8" s="20" t="str">
        <x:f>IF(F8&gt;=G8,"06:00","06:30")</x:f>
        <x:v>06:00</x:v>
      </x:c>
      <x:c r="J8" s="19" t="n">
        <x:v>3020</x:v>
      </x:c>
      <x:c r="K8" s="19" t="n">
        <x:v>3193</x:v>
      </x:c>
      <x:c r="L8" s="19" t="n">
        <x:f>MAX(J8:K8)</x:f>
        <x:v>3193</x:v>
      </x:c>
      <x:c r="M8" s="20" t="str">
        <x:f>IF(J8&gt;=K8,"06:00","06:30")</x:f>
        <x:v>06:30</x:v>
      </x:c>
      <x:c r="N8" s="19" t="n">
        <x:v>18974</x:v>
      </x:c>
      <x:c r="O8" s="19" t="n">
        <x:v>19053</x:v>
      </x:c>
      <x:c r="P8" s="19" t="n">
        <x:f>MAX(N8:O8)</x:f>
        <x:v>19053</x:v>
      </x:c>
      <x:c r="Q8" s="20" t="str">
        <x:f>IF(N8&gt;=O8,"15:00","15:30")</x:f>
        <x:v>15:30</x:v>
      </x:c>
      <x:c r="R8" s="19" t="n">
        <x:v>3054</x:v>
      </x:c>
      <x:c r="S8" s="19" t="n">
        <x:v>3058</x:v>
      </x:c>
      <x:c r="T8" s="19" t="n">
        <x:f>MAX(R8:S8)</x:f>
        <x:v>3058</x:v>
      </x:c>
      <x:c r="U8" s="20" t="str">
        <x:f>IF(R8&gt;=S8,"15:00","15:30")</x:f>
        <x:v>15:30</x:v>
      </x:c>
      <x:c r="V8" s="21" t="n">
        <x:v>21574</x:v>
      </x:c>
      <x:c r="W8" s="21" t="n">
        <x:v>3409</x:v>
      </x:c>
      <x:c r="X8" s="21" t="n">
        <x:v>20989</x:v>
      </x:c>
      <x:c r="Y8" s="21" t="n">
        <x:v>3498</x:v>
      </x:c>
      <x:c r="Z8" s="18" t="n">
        <x:v>1876</x:v>
      </x:c>
    </x:row>
    <x:row r="9">
      <x:c r="A9" s="17" t="str">
        <x:v>2026-09-11</x:v>
      </x:c>
      <x:c r="B9" s="17" t="str">
        <x:v>五</x:v>
      </x:c>
      <x:c r="C9" s="18" t="n">
        <x:v>191777</x:v>
      </x:c>
      <x:c r="D9" s="18" t="n">
        <x:v>20575</x:v>
      </x:c>
      <x:c r="E9" s="18" t="n">
        <x:f>C9+D9</x:f>
        <x:v>212352</x:v>
      </x:c>
      <x:c r="F9" s="18" t="n">
        <x:v>20978</x:v>
      </x:c>
      <x:c r="G9" s="18" t="n">
        <x:v>20594</x:v>
      </x:c>
      <x:c r="H9" s="19" t="n">
        <x:f>MAX(F9:G9)</x:f>
        <x:v>20978</x:v>
      </x:c>
      <x:c r="I9" s="20" t="str">
        <x:f>IF(F9&gt;=G9,"06:00","06:30")</x:f>
        <x:v>06:00</x:v>
      </x:c>
      <x:c r="J9" s="19" t="n">
        <x:v>3330</x:v>
      </x:c>
      <x:c r="K9" s="19" t="n">
        <x:v>3365</x:v>
      </x:c>
      <x:c r="L9" s="19" t="n">
        <x:f>MAX(J9:K9)</x:f>
        <x:v>3365</x:v>
      </x:c>
      <x:c r="M9" s="20" t="str">
        <x:f>IF(J9&gt;=K9,"06:00","06:30")</x:f>
        <x:v>06:30</x:v>
      </x:c>
      <x:c r="N9" s="19" t="n">
        <x:v>19240</x:v>
      </x:c>
      <x:c r="O9" s="19" t="n">
        <x:v>18864</x:v>
      </x:c>
      <x:c r="P9" s="19" t="n">
        <x:f>MAX(N9:O9)</x:f>
        <x:v>19240</x:v>
      </x:c>
      <x:c r="Q9" s="20" t="str">
        <x:f>IF(N9&gt;=O9,"15:00","15:30")</x:f>
        <x:v>15:00</x:v>
      </x:c>
      <x:c r="R9" s="19" t="n">
        <x:v>3173</x:v>
      </x:c>
      <x:c r="S9" s="19" t="n">
        <x:v>3126</x:v>
      </x:c>
      <x:c r="T9" s="19" t="n">
        <x:f>MAX(R9:S9)</x:f>
        <x:v>3173</x:v>
      </x:c>
      <x:c r="U9" s="20" t="str">
        <x:f>IF(R9&gt;=S9,"15:00","15:30")</x:f>
        <x:v>15:00</x:v>
      </x:c>
      <x:c r="V9" s="21" t="n">
        <x:v>21648</x:v>
      </x:c>
      <x:c r="W9" s="21" t="n">
        <x:v>3530</x:v>
      </x:c>
      <x:c r="X9" s="21" t="n">
        <x:v>20993</x:v>
      </x:c>
      <x:c r="Y9" s="21" t="n">
        <x:v>3552</x:v>
      </x:c>
      <x:c r="Z9" s="18" t="n">
        <x:v>1876</x:v>
      </x:c>
    </x:row>
    <x:row r="10">
      <x:c r="A10" s="17" t="str">
        <x:v>2026-09-14</x:v>
      </x:c>
      <x:c r="B10" s="17" t="str">
        <x:v>一</x:v>
      </x:c>
      <x:c r="C10" s="18" t="n">
        <x:v>230984</x:v>
      </x:c>
      <x:c r="D10" s="18" t="n">
        <x:v>24060</x:v>
      </x:c>
      <x:c r="E10" s="18" t="n">
        <x:f>C10+D10</x:f>
        <x:v>255044</x:v>
      </x:c>
      <x:c r="F10" s="18" t="n">
        <x:v>21418</x:v>
      </x:c>
      <x:c r="G10" s="18" t="n">
        <x:v>21021</x:v>
      </x:c>
      <x:c r="H10" s="19" t="n">
        <x:f>MAX(F10:G10)</x:f>
        <x:v>21418</x:v>
      </x:c>
      <x:c r="I10" s="20" t="str">
        <x:f>IF(F10&gt;=G10,"06:00","06:30")</x:f>
        <x:v>06:00</x:v>
      </x:c>
      <x:c r="J10" s="19" t="n">
        <x:v>3257</x:v>
      </x:c>
      <x:c r="K10" s="19" t="n">
        <x:v>3273</x:v>
      </x:c>
      <x:c r="L10" s="19" t="n">
        <x:f>MAX(J10:K10)</x:f>
        <x:v>3273</x:v>
      </x:c>
      <x:c r="M10" s="20" t="str">
        <x:f>IF(J10&gt;=K10,"06:00","06:30")</x:f>
        <x:v>06:30</x:v>
      </x:c>
      <x:c r="N10" s="19" t="n">
        <x:v>20069</x:v>
      </x:c>
      <x:c r="O10" s="19" t="n">
        <x:v>19781</x:v>
      </x:c>
      <x:c r="P10" s="19" t="n">
        <x:f>MAX(N10:O10)</x:f>
        <x:v>20069</x:v>
      </x:c>
      <x:c r="Q10" s="20" t="str">
        <x:f>IF(N10&gt;=O10,"15:00","15:30")</x:f>
        <x:v>15:00</x:v>
      </x:c>
      <x:c r="R10" s="19" t="n">
        <x:v>3180</x:v>
      </x:c>
      <x:c r="S10" s="19" t="n">
        <x:v>3127</x:v>
      </x:c>
      <x:c r="T10" s="19" t="n">
        <x:f>MAX(R10:S10)</x:f>
        <x:v>3180</x:v>
      </x:c>
      <x:c r="U10" s="20" t="str">
        <x:f>IF(R10&gt;=S10,"15:00","15:30")</x:f>
        <x:v>15:00</x:v>
      </x:c>
      <x:c r="V10" s="21" t="n">
        <x:v>22461</x:v>
      </x:c>
      <x:c r="W10" s="21" t="n">
        <x:v>3523</x:v>
      </x:c>
      <x:c r="X10" s="21" t="n">
        <x:v>21696</x:v>
      </x:c>
      <x:c r="Y10" s="21" t="n">
        <x:v>3568</x:v>
      </x:c>
      <x:c r="Z10" s="18" t="n">
        <x:v>1876</x:v>
      </x:c>
    </x:row>
    <x:row r="11">
      <x:c r="A11" s="17" t="str">
        <x:v>2026-09-15</x:v>
      </x:c>
      <x:c r="B11" s="17" t="str">
        <x:v>二</x:v>
      </x:c>
      <x:c r="C11" s="18" t="n">
        <x:v>275039</x:v>
      </x:c>
      <x:c r="D11" s="18" t="n">
        <x:v>28458</x:v>
      </x:c>
      <x:c r="E11" s="18" t="n">
        <x:f>C11+D11</x:f>
        <x:v>303497</x:v>
      </x:c>
      <x:c r="F11" s="18" t="n">
        <x:v>21628</x:v>
      </x:c>
      <x:c r="G11" s="18" t="n">
        <x:v>21087</x:v>
      </x:c>
      <x:c r="H11" s="19" t="n">
        <x:f>MAX(F11:G11)</x:f>
        <x:v>21628</x:v>
      </x:c>
      <x:c r="I11" s="20" t="str">
        <x:f>IF(F11&gt;=G11,"06:00","06:30")</x:f>
        <x:v>06:00</x:v>
      </x:c>
      <x:c r="J11" s="19" t="n">
        <x:v>3435</x:v>
      </x:c>
      <x:c r="K11" s="19" t="n">
        <x:v>3438</x:v>
      </x:c>
      <x:c r="L11" s="19" t="n">
        <x:f>MAX(J11:K11)</x:f>
        <x:v>3438</x:v>
      </x:c>
      <x:c r="M11" s="20" t="str">
        <x:f>IF(J11&gt;=K11,"06:00","06:30")</x:f>
        <x:v>06:30</x:v>
      </x:c>
      <x:c r="N11" s="19" t="n">
        <x:v>20031</x:v>
      </x:c>
      <x:c r="O11" s="19" t="n">
        <x:v>19704</x:v>
      </x:c>
      <x:c r="P11" s="19" t="n">
        <x:f>MAX(N11:O11)</x:f>
        <x:v>20031</x:v>
      </x:c>
      <x:c r="Q11" s="20" t="str">
        <x:f>IF(N11&gt;=O11,"15:00","15:30")</x:f>
        <x:v>15:00</x:v>
      </x:c>
      <x:c r="R11" s="19" t="n">
        <x:v>3248</x:v>
      </x:c>
      <x:c r="S11" s="19" t="n">
        <x:v>3152</x:v>
      </x:c>
      <x:c r="T11" s="19" t="n">
        <x:f>MAX(R11:S11)</x:f>
        <x:v>3248</x:v>
      </x:c>
      <x:c r="U11" s="20" t="str">
        <x:f>IF(R11&gt;=S11,"15:00","15:30")</x:f>
        <x:v>15:00</x:v>
      </x:c>
      <x:c r="V11" s="21" t="n">
        <x:v>22634</x:v>
      </x:c>
      <x:c r="W11" s="21" t="n">
        <x:v>3707</x:v>
      </x:c>
      <x:c r="X11" s="21" t="n">
        <x:v>21765</x:v>
      </x:c>
      <x:c r="Y11" s="21" t="n">
        <x:v>3653</x:v>
      </x:c>
      <x:c r="Z11" s="18" t="n">
        <x:v>1877</x:v>
      </x:c>
    </x:row>
    <x:row r="12">
      <x:c r="A12" s="17" t="str">
        <x:v>2026-09-16</x:v>
      </x:c>
      <x:c r="B12" s="17" t="str">
        <x:v>三</x:v>
      </x:c>
      <x:c r="C12" s="18" t="n">
        <x:v>293283</x:v>
      </x:c>
      <x:c r="D12" s="18" t="n">
        <x:v>31325</x:v>
      </x:c>
      <x:c r="E12" s="18" t="n">
        <x:f>C12+D12</x:f>
        <x:v>324608</x:v>
      </x:c>
      <x:c r="F12" s="18" t="n">
        <x:v>20674</x:v>
      </x:c>
      <x:c r="G12" s="18" t="n">
        <x:v>20231</x:v>
      </x:c>
      <x:c r="H12" s="19" t="n">
        <x:f>MAX(F12:G12)</x:f>
        <x:v>20674</x:v>
      </x:c>
      <x:c r="I12" s="20" t="str">
        <x:f>IF(F12&gt;=G12,"06:00","06:30")</x:f>
        <x:v>06:00</x:v>
      </x:c>
      <x:c r="J12" s="19" t="n">
        <x:v>3108</x:v>
      </x:c>
      <x:c r="K12" s="19" t="n">
        <x:v>3212</x:v>
      </x:c>
      <x:c r="L12" s="19" t="n">
        <x:f>MAX(J12:K12)</x:f>
        <x:v>3212</x:v>
      </x:c>
      <x:c r="M12" s="20" t="str">
        <x:f>IF(J12&gt;=K12,"06:00","06:30")</x:f>
        <x:v>06:30</x:v>
      </x:c>
      <x:c r="N12" s="19" t="n">
        <x:v>19471</x:v>
      </x:c>
      <x:c r="O12" s="19" t="n">
        <x:v>19160</x:v>
      </x:c>
      <x:c r="P12" s="19" t="n">
        <x:f>MAX(N12:O12)</x:f>
        <x:v>19471</x:v>
      </x:c>
      <x:c r="Q12" s="20" t="str">
        <x:f>IF(N12&gt;=O12,"15:00","15:30")</x:f>
        <x:v>15:00</x:v>
      </x:c>
      <x:c r="R12" s="19" t="n">
        <x:v>3054</x:v>
      </x:c>
      <x:c r="S12" s="19" t="n">
        <x:v>3001</x:v>
      </x:c>
      <x:c r="T12" s="19" t="n">
        <x:f>MAX(R12:S12)</x:f>
        <x:v>3054</x:v>
      </x:c>
      <x:c r="U12" s="20" t="str">
        <x:f>IF(R12&gt;=S12,"15:00","15:30")</x:f>
        <x:v>15:00</x:v>
      </x:c>
      <x:c r="V12" s="21" t="n">
        <x:v>21823</x:v>
      </x:c>
      <x:c r="W12" s="21" t="n">
        <x:v>3469</x:v>
      </x:c>
      <x:c r="X12" s="21" t="n">
        <x:v>21239</x:v>
      </x:c>
      <x:c r="Y12" s="21" t="n">
        <x:v>3484</x:v>
      </x:c>
      <x:c r="Z12" s="18" t="n">
        <x:v>1878</x:v>
      </x:c>
    </x:row>
    <x:row r="13">
      <x:c r="A13" s="17" t="str">
        <x:v>2026-09-17</x:v>
      </x:c>
      <x:c r="B13" s="17" t="str">
        <x:v>四</x:v>
      </x:c>
      <x:c r="C13" s="18" t="n">
        <x:v>289066</x:v>
      </x:c>
      <x:c r="D13" s="18" t="n">
        <x:v>30820</x:v>
      </x:c>
      <x:c r="E13" s="18" t="n">
        <x:f>C13+D13</x:f>
        <x:v>319886</x:v>
      </x:c>
      <x:c r="F13" s="18" t="n">
        <x:v>20358</x:v>
      </x:c>
      <x:c r="G13" s="18" t="n">
        <x:v>20021</x:v>
      </x:c>
      <x:c r="H13" s="19" t="n">
        <x:f>MAX(F13:G13)</x:f>
        <x:v>20358</x:v>
      </x:c>
      <x:c r="I13" s="20" t="str">
        <x:f>IF(F13&gt;=G13,"06:00","06:30")</x:f>
        <x:v>06:00</x:v>
      </x:c>
      <x:c r="J13" s="19" t="n">
        <x:v>3015</x:v>
      </x:c>
      <x:c r="K13" s="19" t="n">
        <x:v>2967</x:v>
      </x:c>
      <x:c r="L13" s="19" t="n">
        <x:f>MAX(J13:K13)</x:f>
        <x:v>3015</x:v>
      </x:c>
      <x:c r="M13" s="20" t="str">
        <x:f>IF(J13&gt;=K13,"06:00","06:30")</x:f>
        <x:v>06:00</x:v>
      </x:c>
      <x:c r="N13" s="19" t="n">
        <x:v>19479</x:v>
      </x:c>
      <x:c r="O13" s="19" t="n">
        <x:v>19163</x:v>
      </x:c>
      <x:c r="P13" s="19" t="n">
        <x:f>MAX(N13:O13)</x:f>
        <x:v>19479</x:v>
      </x:c>
      <x:c r="Q13" s="20" t="str">
        <x:f>IF(N13&gt;=O13,"15:00","15:30")</x:f>
        <x:v>15:00</x:v>
      </x:c>
      <x:c r="R13" s="19" t="n">
        <x:v>2956</x:v>
      </x:c>
      <x:c r="S13" s="19" t="n">
        <x:v>2887</x:v>
      </x:c>
      <x:c r="T13" s="19" t="n">
        <x:f>MAX(R13:S13)</x:f>
        <x:v>2956</x:v>
      </x:c>
      <x:c r="U13" s="20" t="str">
        <x:f>IF(R13&gt;=S13,"15:00","15:30")</x:f>
        <x:v>15:00</x:v>
      </x:c>
      <x:c r="V13" s="21" t="n">
        <x:v>21507</x:v>
      </x:c>
      <x:c r="W13" s="21" t="n">
        <x:v>3272</x:v>
      </x:c>
      <x:c r="X13" s="21" t="n">
        <x:v>21150</x:v>
      </x:c>
      <x:c r="Y13" s="21" t="n">
        <x:v>3358</x:v>
      </x:c>
      <x:c r="Z13" s="18" t="n">
        <x:v>1878</x:v>
      </x:c>
    </x:row>
    <x:row r="14">
      <x:c r="A14" s="17" t="str">
        <x:v>2026-09-18</x:v>
      </x:c>
      <x:c r="B14" s="17" t="str">
        <x:v>五</x:v>
      </x:c>
      <x:c r="C14" s="18" t="n">
        <x:v>296217</x:v>
      </x:c>
      <x:c r="D14" s="18" t="n">
        <x:v>33546</x:v>
      </x:c>
      <x:c r="E14" s="18" t="n">
        <x:f>C14+D14</x:f>
        <x:v>329763</x:v>
      </x:c>
      <x:c r="F14" s="18" t="n">
        <x:v>19908</x:v>
      </x:c>
      <x:c r="G14" s="18" t="n">
        <x:v>19522</x:v>
      </x:c>
      <x:c r="H14" s="19" t="n">
        <x:f>MAX(F14:G14)</x:f>
        <x:v>19908</x:v>
      </x:c>
      <x:c r="I14" s="20" t="str">
        <x:f>IF(F14&gt;=G14,"06:00","06:30")</x:f>
        <x:v>06:00</x:v>
      </x:c>
      <x:c r="J14" s="19" t="n">
        <x:v>3088</x:v>
      </x:c>
      <x:c r="K14" s="19" t="n">
        <x:v>3210</x:v>
      </x:c>
      <x:c r="L14" s="19" t="n">
        <x:f>MAX(J14:K14)</x:f>
        <x:v>3210</x:v>
      </x:c>
      <x:c r="M14" s="20" t="str">
        <x:f>IF(J14&gt;=K14,"06:00","06:30")</x:f>
        <x:v>06:30</x:v>
      </x:c>
      <x:c r="N14" s="19" t="n">
        <x:v>18831</x:v>
      </x:c>
      <x:c r="O14" s="19" t="n">
        <x:v>18386</x:v>
      </x:c>
      <x:c r="P14" s="19" t="n">
        <x:f>MAX(N14:O14)</x:f>
        <x:v>18831</x:v>
      </x:c>
      <x:c r="Q14" s="20" t="str">
        <x:f>IF(N14&gt;=O14,"15:00","15:30")</x:f>
        <x:v>15:00</x:v>
      </x:c>
      <x:c r="R14" s="19" t="n">
        <x:v>3017</x:v>
      </x:c>
      <x:c r="S14" s="19" t="n">
        <x:v>2960</x:v>
      </x:c>
      <x:c r="T14" s="19" t="n">
        <x:f>MAX(R14:S14)</x:f>
        <x:v>3017</x:v>
      </x:c>
      <x:c r="U14" s="20" t="str">
        <x:f>IF(R14&gt;=S14,"15:00","15:30")</x:f>
        <x:v>15:00</x:v>
      </x:c>
      <x:c r="V14" s="21" t="n">
        <x:v>21022</x:v>
      </x:c>
      <x:c r="W14" s="21" t="n">
        <x:v>3476</x:v>
      </x:c>
      <x:c r="X14" s="21" t="n">
        <x:v>20555</x:v>
      </x:c>
      <x:c r="Y14" s="21" t="n">
        <x:v>3442</x:v>
      </x:c>
      <x:c r="Z14" s="18" t="n">
        <x:v>1878</x:v>
      </x:c>
    </x:row>
    <x:row r="15">
      <x:c r="A15" s="17" t="str">
        <x:v>2026-09-21</x:v>
      </x:c>
      <x:c r="B15" s="17" t="str">
        <x:v>一</x:v>
      </x:c>
      <x:c r="C15" s="18" t="n">
        <x:v>283110</x:v>
      </x:c>
      <x:c r="D15" s="18" t="n">
        <x:v>28163</x:v>
      </x:c>
      <x:c r="E15" s="18" t="n">
        <x:f>C15+D15</x:f>
        <x:v>311273</x:v>
      </x:c>
      <x:c r="F15" s="18" t="n">
        <x:v>20567</x:v>
      </x:c>
      <x:c r="G15" s="18" t="n">
        <x:v>20203</x:v>
      </x:c>
      <x:c r="H15" s="19" t="n">
        <x:f>MAX(F15:G15)</x:f>
        <x:v>20567</x:v>
      </x:c>
      <x:c r="I15" s="20" t="str">
        <x:f>IF(F15&gt;=G15,"06:00","06:30")</x:f>
        <x:v>06:00</x:v>
      </x:c>
      <x:c r="J15" s="19" t="n">
        <x:v>2747</x:v>
      </x:c>
      <x:c r="K15" s="19" t="n">
        <x:v>2803</x:v>
      </x:c>
      <x:c r="L15" s="19" t="n">
        <x:f>MAX(J15:K15)</x:f>
        <x:v>2803</x:v>
      </x:c>
      <x:c r="M15" s="20" t="str">
        <x:f>IF(J15&gt;=K15,"06:00","06:30")</x:f>
        <x:v>06:30</x:v>
      </x:c>
      <x:c r="N15" s="19" t="n">
        <x:v>19548</x:v>
      </x:c>
      <x:c r="O15" s="19" t="n">
        <x:v>19218</x:v>
      </x:c>
      <x:c r="P15" s="19" t="n">
        <x:f>MAX(N15:O15)</x:f>
        <x:v>19548</x:v>
      </x:c>
      <x:c r="Q15" s="20" t="str">
        <x:f>IF(N15&gt;=O15,"15:00","15:30")</x:f>
        <x:v>15:00</x:v>
      </x:c>
      <x:c r="R15" s="19" t="n">
        <x:v>2749</x:v>
      </x:c>
      <x:c r="S15" s="19" t="n">
        <x:v>2698</x:v>
      </x:c>
      <x:c r="T15" s="19" t="n">
        <x:f>MAX(R15:S15)</x:f>
        <x:v>2749</x:v>
      </x:c>
      <x:c r="U15" s="20" t="str">
        <x:f>IF(R15&gt;=S15,"15:00","15:30")</x:f>
        <x:v>15:00</x:v>
      </x:c>
      <x:c r="V15" s="21" t="n">
        <x:v>21730</x:v>
      </x:c>
      <x:c r="W15" s="21" t="n">
        <x:v>3054</x:v>
      </x:c>
      <x:c r="X15" s="21" t="n">
        <x:v>21193</x:v>
      </x:c>
      <x:c r="Y15" s="21" t="n">
        <x:v>3121</x:v>
      </x:c>
      <x:c r="Z15" s="18" t="n">
        <x:v>1879</x:v>
      </x:c>
    </x:row>
    <x:row r="16">
      <x:c r="A16" s="17" t="str">
        <x:v>2026-09-22</x:v>
      </x:c>
      <x:c r="B16" s="17" t="str">
        <x:v>二</x:v>
      </x:c>
      <x:c r="C16" s="18" t="n">
        <x:v>283150</x:v>
      </x:c>
      <x:c r="D16" s="18" t="n">
        <x:v>29992</x:v>
      </x:c>
      <x:c r="E16" s="18" t="n">
        <x:f>C16+D16</x:f>
        <x:v>313142</x:v>
      </x:c>
      <x:c r="F16" s="18" t="n">
        <x:v>20087</x:v>
      </x:c>
      <x:c r="G16" s="18" t="n">
        <x:v>19691</x:v>
      </x:c>
      <x:c r="H16" s="19" t="n">
        <x:f>MAX(F16:G16)</x:f>
        <x:v>20087</x:v>
      </x:c>
      <x:c r="I16" s="20" t="str">
        <x:f>IF(F16&gt;=G16,"06:00","06:30")</x:f>
        <x:v>06:00</x:v>
      </x:c>
      <x:c r="J16" s="19" t="n">
        <x:v>2737</x:v>
      </x:c>
      <x:c r="K16" s="19" t="n">
        <x:v>3014</x:v>
      </x:c>
      <x:c r="L16" s="19" t="n">
        <x:f>MAX(J16:K16)</x:f>
        <x:v>3014</x:v>
      </x:c>
      <x:c r="M16" s="20" t="str">
        <x:f>IF(J16&gt;=K16,"06:00","06:30")</x:f>
        <x:v>06:30</x:v>
      </x:c>
      <x:c r="N16" s="19" t="n">
        <x:v>19256</x:v>
      </x:c>
      <x:c r="O16" s="19" t="n">
        <x:v>18901</x:v>
      </x:c>
      <x:c r="P16" s="19" t="n">
        <x:f>MAX(N16:O16)</x:f>
        <x:v>19256</x:v>
      </x:c>
      <x:c r="Q16" s="20" t="str">
        <x:f>IF(N16&gt;=O16,"15:00","15:30")</x:f>
        <x:v>15:00</x:v>
      </x:c>
      <x:c r="R16" s="19" t="n">
        <x:v>2951</x:v>
      </x:c>
      <x:c r="S16" s="19" t="n">
        <x:v>2904</x:v>
      </x:c>
      <x:c r="T16" s="19" t="n">
        <x:f>MAX(R16:S16)</x:f>
        <x:v>2951</x:v>
      </x:c>
      <x:c r="U16" s="20" t="str">
        <x:f>IF(R16&gt;=S16,"15:00","15:30")</x:f>
        <x:v>15:00</x:v>
      </x:c>
      <x:c r="V16" s="21" t="n">
        <x:v>21227</x:v>
      </x:c>
      <x:c r="W16" s="21" t="n">
        <x:v>3240</x:v>
      </x:c>
      <x:c r="X16" s="21" t="n">
        <x:v>21005</x:v>
      </x:c>
      <x:c r="Y16" s="21" t="n">
        <x:v>3317</x:v>
      </x:c>
      <x:c r="Z16" s="18" t="n">
        <x:v>1881</x:v>
      </x:c>
    </x:row>
    <x:row r="17">
      <x:c r="A17" s="17" t="str">
        <x:v>2026-09-23</x:v>
      </x:c>
      <x:c r="B17" s="17" t="str">
        <x:v>三</x:v>
      </x:c>
      <x:c r="C17" s="18" t="n">
        <x:v>290742</x:v>
      </x:c>
      <x:c r="D17" s="18" t="n">
        <x:v>31788</x:v>
      </x:c>
      <x:c r="E17" s="18" t="n">
        <x:f>C17+D17</x:f>
        <x:v>322530</x:v>
      </x:c>
      <x:c r="F17" s="18" t="n">
        <x:v>19669</x:v>
      </x:c>
      <x:c r="G17" s="18" t="n">
        <x:v>19344</x:v>
      </x:c>
      <x:c r="H17" s="19" t="n">
        <x:f>MAX(F17:G17)</x:f>
        <x:v>19669</x:v>
      </x:c>
      <x:c r="I17" s="20" t="str">
        <x:f>IF(F17&gt;=G17,"06:00","06:30")</x:f>
        <x:v>06:00</x:v>
      </x:c>
      <x:c r="J17" s="19" t="n">
        <x:v>3082</x:v>
      </x:c>
      <x:c r="K17" s="19" t="n">
        <x:v>3140</x:v>
      </x:c>
      <x:c r="L17" s="19" t="n">
        <x:f>MAX(J17:K17)</x:f>
        <x:v>3140</x:v>
      </x:c>
      <x:c r="M17" s="20" t="str">
        <x:f>IF(J17&gt;=K17,"06:00","06:30")</x:f>
        <x:v>06:30</x:v>
      </x:c>
      <x:c r="N17" s="19" t="n">
        <x:v>18704</x:v>
      </x:c>
      <x:c r="O17" s="19" t="n">
        <x:v>18388</x:v>
      </x:c>
      <x:c r="P17" s="19" t="n">
        <x:f>MAX(N17:O17)</x:f>
        <x:v>18704</x:v>
      </x:c>
      <x:c r="Q17" s="20" t="str">
        <x:f>IF(N17&gt;=O17,"15:00","15:30")</x:f>
        <x:v>15:00</x:v>
      </x:c>
      <x:c r="R17" s="19" t="n">
        <x:v>3008</x:v>
      </x:c>
      <x:c r="S17" s="19" t="n">
        <x:v>2977</x:v>
      </x:c>
      <x:c r="T17" s="19" t="n">
        <x:f>MAX(R17:S17)</x:f>
        <x:v>3008</x:v>
      </x:c>
      <x:c r="U17" s="20" t="str">
        <x:f>IF(R17&gt;=S17,"15:00","15:30")</x:f>
        <x:v>15:00</x:v>
      </x:c>
      <x:c r="V17" s="21" t="n">
        <x:v>20883</x:v>
      </x:c>
      <x:c r="W17" s="21" t="n">
        <x:v>3425</x:v>
      </x:c>
      <x:c r="X17" s="21" t="n">
        <x:v>20471</x:v>
      </x:c>
      <x:c r="Y17" s="21" t="n">
        <x:v>3438</x:v>
      </x:c>
      <x:c r="Z17" s="18" t="n">
        <x:v>1882</x:v>
      </x:c>
    </x:row>
    <x:row r="18">
      <x:c r="A18" s="17" t="str">
        <x:v>2026-09-24</x:v>
      </x:c>
      <x:c r="B18" s="17" t="str">
        <x:v>四</x:v>
      </x:c>
      <x:c r="C18" s="18" t="n">
        <x:v>287976</x:v>
      </x:c>
      <x:c r="D18" s="18" t="n">
        <x:v>32798</x:v>
      </x:c>
      <x:c r="E18" s="18" t="n">
        <x:f>C18+D18</x:f>
        <x:v>320774</x:v>
      </x:c>
      <x:c r="F18" s="18" t="n">
        <x:v>19257</x:v>
      </x:c>
      <x:c r="G18" s="18" t="n">
        <x:v>18886</x:v>
      </x:c>
      <x:c r="H18" s="19" t="n">
        <x:f>MAX(F18:G18)</x:f>
        <x:v>19257</x:v>
      </x:c>
      <x:c r="I18" s="20" t="str">
        <x:f>IF(F18&gt;=G18,"06:00","06:30")</x:f>
        <x:v>06:00</x:v>
      </x:c>
      <x:c r="J18" s="19" t="n">
        <x:v>3023</x:v>
      </x:c>
      <x:c r="K18" s="19" t="n">
        <x:v>3101</x:v>
      </x:c>
      <x:c r="L18" s="19" t="n">
        <x:f>MAX(J18:K18)</x:f>
        <x:v>3101</x:v>
      </x:c>
      <x:c r="M18" s="20" t="str">
        <x:f>IF(J18&gt;=K18,"06:00","06:30")</x:f>
        <x:v>06:30</x:v>
      </x:c>
      <x:c r="N18" s="19" t="n">
        <x:v>18126</x:v>
      </x:c>
      <x:c r="O18" s="19" t="n">
        <x:v>17799</x:v>
      </x:c>
      <x:c r="P18" s="19" t="n">
        <x:f>MAX(N18:O18)</x:f>
        <x:v>18126</x:v>
      </x:c>
      <x:c r="Q18" s="20" t="str">
        <x:f>IF(N18&gt;=O18,"15:00","15:30")</x:f>
        <x:v>15:00</x:v>
      </x:c>
      <x:c r="R18" s="19" t="n">
        <x:v>2940</x:v>
      </x:c>
      <x:c r="S18" s="19" t="n">
        <x:v>2854</x:v>
      </x:c>
      <x:c r="T18" s="19" t="n">
        <x:f>MAX(R18:S18)</x:f>
        <x:v>2940</x:v>
      </x:c>
      <x:c r="U18" s="20" t="str">
        <x:f>IF(R18&gt;=S18,"15:00","15:30")</x:f>
        <x:v>15:00</x:v>
      </x:c>
      <x:c r="V18" s="21" t="n">
        <x:v>20425</x:v>
      </x:c>
      <x:c r="W18" s="21" t="n">
        <x:v>3390</x:v>
      </x:c>
      <x:c r="X18" s="21" t="n">
        <x:v>19848</x:v>
      </x:c>
      <x:c r="Y18" s="21" t="n">
        <x:v>3361</x:v>
      </x:c>
      <x:c r="Z18" s="18" t="n">
        <x:v>1883</x:v>
      </x:c>
    </x:row>
    <x:row r="19">
      <x:c r="A19" s="17" t="str">
        <x:v>2026-09-25</x:v>
      </x:c>
      <x:c r="B19" s="17" t="str">
        <x:v>五</x:v>
      </x:c>
      <x:c r="C19" s="18" t="n">
        <x:v>188464</x:v>
      </x:c>
      <x:c r="D19" s="18" t="n">
        <x:v>23957</x:v>
      </x:c>
      <x:c r="E19" s="18" t="n">
        <x:f>C19+D19</x:f>
        <x:v>212421</x:v>
      </x:c>
      <x:c r="F19" s="18" t="n">
        <x:v>18570</x:v>
      </x:c>
      <x:c r="G19" s="18" t="n">
        <x:v>18394</x:v>
      </x:c>
      <x:c r="H19" s="19" t="n">
        <x:f>MAX(F19:G19)</x:f>
        <x:v>18570</x:v>
      </x:c>
      <x:c r="I19" s="20" t="str">
        <x:f>IF(F19&gt;=G19,"06:00","06:30")</x:f>
        <x:v>06:00</x:v>
      </x:c>
      <x:c r="J19" s="19" t="n">
        <x:v>3053</x:v>
      </x:c>
      <x:c r="K19" s="19" t="n">
        <x:v>3054</x:v>
      </x:c>
      <x:c r="L19" s="19" t="n">
        <x:f>MAX(J19:K19)</x:f>
        <x:v>3054</x:v>
      </x:c>
      <x:c r="M19" s="20" t="str">
        <x:f>IF(J19&gt;=K19,"06:00","06:30")</x:f>
        <x:v>06:30</x:v>
      </x:c>
      <x:c r="N19" s="19" t="n">
        <x:v>16900</x:v>
      </x:c>
      <x:c r="O19" s="19" t="n">
        <x:v>16770</x:v>
      </x:c>
      <x:c r="P19" s="19" t="n">
        <x:f>MAX(N19:O19)</x:f>
        <x:v>16900</x:v>
      </x:c>
      <x:c r="Q19" s="20" t="str">
        <x:f>IF(N19&gt;=O19,"15:00","15:30")</x:f>
        <x:v>15:00</x:v>
      </x:c>
      <x:c r="R19" s="19" t="n">
        <x:v>2798</x:v>
      </x:c>
      <x:c r="S19" s="19" t="n">
        <x:v>2712</x:v>
      </x:c>
      <x:c r="T19" s="19" t="n">
        <x:f>MAX(R19:S19)</x:f>
        <x:v>2798</x:v>
      </x:c>
      <x:c r="U19" s="20" t="str">
        <x:f>IF(R19&gt;=S19,"15:00","15:30")</x:f>
        <x:v>15:00</x:v>
      </x:c>
      <x:c r="V19" s="21" t="n">
        <x:v>19506</x:v>
      </x:c>
      <x:c r="W19" s="21" t="n">
        <x:v>3337</x:v>
      </x:c>
      <x:c r="X19" s="21" t="n">
        <x:v>18646</x:v>
      </x:c>
      <x:c r="Y19" s="21" t="n">
        <x:v>3161</x:v>
      </x:c>
      <x:c r="Z19" s="18" t="n">
        <x:v>1883</x:v>
      </x:c>
    </x:row>
    <x:row r="20">
      <x:c r="A20" s="17" t="str">
        <x:v>2026-09-28</x:v>
      </x:c>
      <x:c r="B20" s="17" t="str">
        <x:v>一</x:v>
      </x:c>
      <x:c r="C20" s="18" t="n">
        <x:v>199297</x:v>
      </x:c>
      <x:c r="D20" s="18" t="n">
        <x:v>21942</x:v>
      </x:c>
      <x:c r="E20" s="18" t="n">
        <x:f>C20+D20</x:f>
        <x:v>221239</x:v>
      </x:c>
      <x:c r="F20" s="18" t="n">
        <x:v>21090</x:v>
      </x:c>
      <x:c r="G20" s="18" t="n">
        <x:v>20870</x:v>
      </x:c>
      <x:c r="H20" s="19" t="n">
        <x:f>MAX(F20:G20)</x:f>
        <x:v>21090</x:v>
      </x:c>
      <x:c r="I20" s="20" t="str">
        <x:f>IF(F20&gt;=G20,"06:00","06:30")</x:f>
        <x:v>06:00</x:v>
      </x:c>
      <x:c r="J20" s="19" t="n">
        <x:v>2795</x:v>
      </x:c>
      <x:c r="K20" s="19" t="n">
        <x:v>2855</x:v>
      </x:c>
      <x:c r="L20" s="19" t="n">
        <x:f>MAX(J20:K20)</x:f>
        <x:v>2855</x:v>
      </x:c>
      <x:c r="M20" s="20" t="str">
        <x:f>IF(J20&gt;=K20,"06:00","06:30")</x:f>
        <x:v>06:30</x:v>
      </x:c>
      <x:c r="N20" s="19" t="n">
        <x:v>19394</x:v>
      </x:c>
      <x:c r="O20" s="19" t="n">
        <x:v>19179</x:v>
      </x:c>
      <x:c r="P20" s="19" t="n">
        <x:f>MAX(N20:O20)</x:f>
        <x:v>19394</x:v>
      </x:c>
      <x:c r="Q20" s="20" t="str">
        <x:f>IF(N20&gt;=O20,"15:00","15:30")</x:f>
        <x:v>15:00</x:v>
      </x:c>
      <x:c r="R20" s="19" t="n">
        <x:v>2577</x:v>
      </x:c>
      <x:c r="S20" s="19" t="n">
        <x:v>2558</x:v>
      </x:c>
      <x:c r="T20" s="19" t="n">
        <x:f>MAX(R20:S20)</x:f>
        <x:v>2577</x:v>
      </x:c>
      <x:c r="U20" s="20" t="str">
        <x:f>IF(R20&gt;=S20,"15:00","15:30")</x:f>
        <x:v>15:00</x:v>
      </x:c>
      <x:c r="V20" s="21" t="n">
        <x:v>21921</x:v>
      </x:c>
      <x:c r="W20" s="21" t="n">
        <x:v>3113</x:v>
      </x:c>
      <x:c r="X20" s="21" t="n">
        <x:v>21038</x:v>
      </x:c>
      <x:c r="Y20" s="21" t="n">
        <x:v>2953</x:v>
      </x:c>
      <x:c r="Z20" s="18" t="n">
        <x:v>1883</x:v>
      </x:c>
    </x:row>
    <x:row r="21">
      <x:c r="A21" s="17" t="str">
        <x:v>2026-09-29</x:v>
      </x:c>
      <x:c r="B21" s="17" t="str">
        <x:v>二</x:v>
      </x:c>
      <x:c r="C21" s="18" t="n">
        <x:v>284921</x:v>
      </x:c>
      <x:c r="D21" s="18" t="n">
        <x:v>29294</x:v>
      </x:c>
      <x:c r="E21" s="18" t="n">
        <x:f>C21+D21</x:f>
        <x:v>314215</x:v>
      </x:c>
      <x:c r="F21" s="18" t="n">
        <x:v>21822</x:v>
      </x:c>
      <x:c r="G21" s="18" t="n">
        <x:v>21363</x:v>
      </x:c>
      <x:c r="H21" s="19" t="n">
        <x:f>MAX(F21:G21)</x:f>
        <x:v>21822</x:v>
      </x:c>
      <x:c r="I21" s="20" t="str">
        <x:f>IF(F21&gt;=G21,"06:00","06:30")</x:f>
        <x:v>06:00</x:v>
      </x:c>
      <x:c r="J21" s="19" t="n">
        <x:v>3133</x:v>
      </x:c>
      <x:c r="K21" s="19" t="n">
        <x:v>3102</x:v>
      </x:c>
      <x:c r="L21" s="19" t="n">
        <x:f>MAX(J21:K21)</x:f>
        <x:v>3133</x:v>
      </x:c>
      <x:c r="M21" s="20" t="str">
        <x:f>IF(J21&gt;=K21,"06:00","06:30")</x:f>
        <x:v>06:00</x:v>
      </x:c>
      <x:c r="N21" s="19" t="n">
        <x:v>21024</x:v>
      </x:c>
      <x:c r="O21" s="19" t="n">
        <x:v>20589</x:v>
      </x:c>
      <x:c r="P21" s="19" t="n">
        <x:f>MAX(N21:O21)</x:f>
        <x:v>21024</x:v>
      </x:c>
      <x:c r="Q21" s="20" t="str">
        <x:f>IF(N21&gt;=O21,"15:00","15:30")</x:f>
        <x:v>15:00</x:v>
      </x:c>
      <x:c r="R21" s="19" t="n">
        <x:v>3100</x:v>
      </x:c>
      <x:c r="S21" s="19" t="n">
        <x:v>3015</x:v>
      </x:c>
      <x:c r="T21" s="19" t="n">
        <x:f>MAX(R21:S21)</x:f>
        <x:v>3100</x:v>
      </x:c>
      <x:c r="U21" s="20" t="str">
        <x:f>IF(R21&gt;=S21,"15:00","15:30")</x:f>
        <x:v>15:00</x:v>
      </x:c>
      <x:c r="V21" s="21" t="n">
        <x:v>22907</x:v>
      </x:c>
      <x:c r="W21" s="21" t="n">
        <x:v>3403</x:v>
      </x:c>
      <x:c r="X21" s="21" t="n">
        <x:v>22750</x:v>
      </x:c>
      <x:c r="Y21" s="21" t="n">
        <x:v>3485</x:v>
      </x:c>
      <x:c r="Z21" s="18" t="n">
        <x:v>1883</x:v>
      </x:c>
    </x:row>
    <x:row r="22">
      <x:c r="A22" s="17" t="str">
        <x:v>2026-09-30</x:v>
      </x:c>
      <x:c r="B22" s="17" t="str">
        <x:v>三</x:v>
      </x:c>
      <x:c r="C22" s="18" t="n">
        <x:v>294221</x:v>
      </x:c>
      <x:c r="D22" s="18" t="n">
        <x:v>31738</x:v>
      </x:c>
      <x:c r="E22" s="18" t="n">
        <x:f>C22+D22</x:f>
        <x:v>325959</x:v>
      </x:c>
      <x:c r="F22" s="18" t="n">
        <x:v>21327</x:v>
      </x:c>
      <x:c r="G22" s="18" t="n">
        <x:v>20887</x:v>
      </x:c>
      <x:c r="H22" s="19" t="n">
        <x:f>MAX(F22:G22)</x:f>
        <x:v>21327</x:v>
      </x:c>
      <x:c r="I22" s="20" t="str">
        <x:f>IF(F22&gt;=G22,"06:00","06:30")</x:f>
        <x:v>06:00</x:v>
      </x:c>
      <x:c r="J22" s="19" t="n">
        <x:v>3120</x:v>
      </x:c>
      <x:c r="K22" s="19" t="n">
        <x:v>3141</x:v>
      </x:c>
      <x:c r="L22" s="19" t="n">
        <x:f>MAX(J22:K22)</x:f>
        <x:v>3141</x:v>
      </x:c>
      <x:c r="M22" s="20" t="str">
        <x:f>IF(J22&gt;=K22,"06:00","06:30")</x:f>
        <x:v>06:30</x:v>
      </x:c>
      <x:c r="N22" s="19" t="n">
        <x:v>20518</x:v>
      </x:c>
      <x:c r="O22" s="19" t="n">
        <x:v>20161</x:v>
      </x:c>
      <x:c r="P22" s="19" t="n">
        <x:f>MAX(N22:O22)</x:f>
        <x:v>20518</x:v>
      </x:c>
      <x:c r="Q22" s="20" t="str">
        <x:f>IF(N22&gt;=O22,"15:00","15:30")</x:f>
        <x:v>15:00</x:v>
      </x:c>
      <x:c r="R22" s="19" t="n">
        <x:v>3132</x:v>
      </x:c>
      <x:c r="S22" s="19" t="n">
        <x:v>3100</x:v>
      </x:c>
      <x:c r="T22" s="19" t="n">
        <x:f>MAX(R22:S22)</x:f>
        <x:v>3132</x:v>
      </x:c>
      <x:c r="U22" s="20" t="str">
        <x:f>IF(R22&gt;=S22,"15:00","15:30")</x:f>
        <x:v>15:00</x:v>
      </x:c>
      <x:c r="V22" s="21" t="n">
        <x:v>22459</x:v>
      </x:c>
      <x:c r="W22" s="21" t="n">
        <x:v>3444</x:v>
      </x:c>
      <x:c r="X22" s="21" t="n">
        <x:v>22176</x:v>
      </x:c>
      <x:c r="Y22" s="21" t="n">
        <x:v>3547</x:v>
      </x:c>
      <x:c r="Z22" s="18" t="n">
        <x:v>1883</x:v>
      </x:c>
    </x:row>
    <x:row r="23">
      <x:c r="A23" s="17" t="str">
        <x:v>2026-10-01</x:v>
      </x:c>
      <x:c r="B23" s="17" t="str">
        <x:v>四</x:v>
      </x:c>
      <x:c r="C23" s="18" t="n">
        <x:v>287097</x:v>
      </x:c>
      <x:c r="D23" s="18" t="n">
        <x:v>32169</x:v>
      </x:c>
      <x:c r="E23" s="18" t="n">
        <x:f>C23+D23</x:f>
        <x:v>319266</x:v>
      </x:c>
      <x:c r="F23" s="18" t="n">
        <x:v>20653</x:v>
      </x:c>
      <x:c r="G23" s="18" t="n">
        <x:v>20303</x:v>
      </x:c>
      <x:c r="H23" s="19" t="n">
        <x:f>MAX(F23:G23)</x:f>
        <x:v>20653</x:v>
      </x:c>
      <x:c r="I23" s="20" t="str">
        <x:f>IF(F23&gt;=G23,"06:00","06:30")</x:f>
        <x:v>06:00</x:v>
      </x:c>
      <x:c r="J23" s="19" t="n">
        <x:v>3251</x:v>
      </x:c>
      <x:c r="K23" s="19" t="n">
        <x:v>3333</x:v>
      </x:c>
      <x:c r="L23" s="19" t="n">
        <x:f>MAX(J23:K23)</x:f>
        <x:v>3333</x:v>
      </x:c>
      <x:c r="M23" s="20" t="str">
        <x:f>IF(J23&gt;=K23,"06:00","06:30")</x:f>
        <x:v>06:30</x:v>
      </x:c>
      <x:c r="N23" s="19" t="n">
        <x:v>20065</x:v>
      </x:c>
      <x:c r="O23" s="19" t="n">
        <x:v>19625</x:v>
      </x:c>
      <x:c r="P23" s="19" t="n">
        <x:f>MAX(N23:O23)</x:f>
        <x:v>20065</x:v>
      </x:c>
      <x:c r="Q23" s="20" t="str">
        <x:f>IF(N23&gt;=O23,"15:00","15:30")</x:f>
        <x:v>15:00</x:v>
      </x:c>
      <x:c r="R23" s="19" t="n">
        <x:v>3185</x:v>
      </x:c>
      <x:c r="S23" s="19" t="n">
        <x:v>3156</x:v>
      </x:c>
      <x:c r="T23" s="19" t="n">
        <x:f>MAX(R23:S23)</x:f>
        <x:v>3185</x:v>
      </x:c>
      <x:c r="U23" s="20" t="str">
        <x:f>IF(R23&gt;=S23,"15:00","15:30")</x:f>
        <x:v>15:00</x:v>
      </x:c>
      <x:c r="V23" s="21" t="n">
        <x:v>21800</x:v>
      </x:c>
      <x:c r="W23" s="21" t="n">
        <x:v>3620</x:v>
      </x:c>
      <x:c r="X23" s="21" t="n">
        <x:v>21630</x:v>
      </x:c>
      <x:c r="Y23" s="21" t="n">
        <x:v>3585</x:v>
      </x:c>
      <x:c r="Z23" s="18" t="n">
        <x:v>1884</x:v>
      </x:c>
    </x:row>
    <x:row r="24">
      <x:c r="A24" s="17" t="str">
        <x:v>2026-10-02</x:v>
      </x:c>
      <x:c r="B24" s="17" t="str">
        <x:v>五</x:v>
      </x:c>
      <x:c r="C24" s="18" t="n">
        <x:v>262702</x:v>
      </x:c>
      <x:c r="D24" s="18" t="n">
        <x:v>30924</x:v>
      </x:c>
      <x:c r="E24" s="18" t="n">
        <x:f>C24+D24</x:f>
        <x:v>293626</x:v>
      </x:c>
      <x:c r="F24" s="18" t="n">
        <x:v>20192</x:v>
      </x:c>
      <x:c r="G24" s="18" t="n">
        <x:v>19712</x:v>
      </x:c>
      <x:c r="H24" s="19" t="n">
        <x:f>MAX(F24:G24)</x:f>
        <x:v>20192</x:v>
      </x:c>
      <x:c r="I24" s="20" t="str">
        <x:f>IF(F24&gt;=G24,"06:00","06:30")</x:f>
        <x:v>06:00</x:v>
      </x:c>
      <x:c r="J24" s="19" t="n">
        <x:v>3341</x:v>
      </x:c>
      <x:c r="K24" s="19" t="n">
        <x:v>3302</x:v>
      </x:c>
      <x:c r="L24" s="19" t="n">
        <x:f>MAX(J24:K24)</x:f>
        <x:v>3341</x:v>
      </x:c>
      <x:c r="M24" s="20" t="str">
        <x:f>IF(J24&gt;=K24,"06:00","06:30")</x:f>
        <x:v>06:00</x:v>
      </x:c>
      <x:c r="N24" s="19" t="n">
        <x:v>19258</x:v>
      </x:c>
      <x:c r="O24" s="19" t="n">
        <x:v>18752</x:v>
      </x:c>
      <x:c r="P24" s="19" t="n">
        <x:f>MAX(N24:O24)</x:f>
        <x:v>19258</x:v>
      </x:c>
      <x:c r="Q24" s="20" t="str">
        <x:f>IF(N24&gt;=O24,"15:00","15:30")</x:f>
        <x:v>15:00</x:v>
      </x:c>
      <x:c r="R24" s="19" t="n">
        <x:v>3227</x:v>
      </x:c>
      <x:c r="S24" s="19" t="n">
        <x:v>3211</x:v>
      </x:c>
      <x:c r="T24" s="19" t="n">
        <x:f>MAX(R24:S24)</x:f>
        <x:v>3227</x:v>
      </x:c>
      <x:c r="U24" s="20" t="str">
        <x:f>IF(R24&gt;=S24,"15:00","15:30")</x:f>
        <x:v>15:00</x:v>
      </x:c>
      <x:c r="V24" s="21" t="n">
        <x:v>21252</x:v>
      </x:c>
      <x:c r="W24" s="21" t="n">
        <x:v>3636</x:v>
      </x:c>
      <x:c r="X24" s="21" t="n">
        <x:v>21150</x:v>
      </x:c>
      <x:c r="Y24" s="21" t="n">
        <x:v>3717</x:v>
      </x:c>
      <x:c r="Z24" s="18" t="n">
        <x:v>1887</x:v>
      </x:c>
    </x:row>
    <x:row r="25">
      <x:c r="A25" s="17" t="str">
        <x:v>2026-10-06</x:v>
      </x:c>
      <x:c r="B25" s="17" t="str">
        <x:v>二</x:v>
      </x:c>
      <x:c r="C25" s="18" t="n">
        <x:v>285054</x:v>
      </x:c>
      <x:c r="D25" s="18" t="n">
        <x:v>31334</x:v>
      </x:c>
      <x:c r="E25" s="18" t="n">
        <x:f>C25+D25</x:f>
        <x:v>316388</x:v>
      </x:c>
      <x:c r="F25" s="18" t="n">
        <x:v>21574</x:v>
      </x:c>
      <x:c r="G25" s="18" t="n">
        <x:v>21159</x:v>
      </x:c>
      <x:c r="H25" s="19" t="n">
        <x:f>MAX(F25:G25)</x:f>
        <x:v>21574</x:v>
      </x:c>
      <x:c r="I25" s="20" t="str">
        <x:f>IF(F25&gt;=G25,"06:00","06:30")</x:f>
        <x:v>06:00</x:v>
      </x:c>
      <x:c r="J25" s="19" t="n">
        <x:v>3202</x:v>
      </x:c>
      <x:c r="K25" s="19" t="n">
        <x:v>3454</x:v>
      </x:c>
      <x:c r="L25" s="19" t="n">
        <x:f>MAX(J25:K25)</x:f>
        <x:v>3454</x:v>
      </x:c>
      <x:c r="M25" s="20" t="str">
        <x:f>IF(J25&gt;=K25,"06:00","06:30")</x:f>
        <x:v>06:30</x:v>
      </x:c>
      <x:c r="N25" s="19" t="n">
        <x:v>20392</x:v>
      </x:c>
      <x:c r="O25" s="19" t="n">
        <x:v>20215</x:v>
      </x:c>
      <x:c r="P25" s="19" t="n">
        <x:f>MAX(N25:O25)</x:f>
        <x:v>20392</x:v>
      </x:c>
      <x:c r="Q25" s="20" t="str">
        <x:f>IF(N25&gt;=O25,"15:00","15:30")</x:f>
        <x:v>15:00</x:v>
      </x:c>
      <x:c r="R25" s="19" t="n">
        <x:v>3288</x:v>
      </x:c>
      <x:c r="S25" s="19" t="n">
        <x:v>3266</x:v>
      </x:c>
      <x:c r="T25" s="19" t="n">
        <x:f>MAX(R25:S25)</x:f>
        <x:v>3288</x:v>
      </x:c>
      <x:c r="U25" s="20" t="str">
        <x:f>IF(R25&gt;=S25,"15:00","15:30")</x:f>
        <x:v>15:00</x:v>
      </x:c>
      <x:c r="V25" s="21" t="n">
        <x:v>22692</x:v>
      </x:c>
      <x:c r="W25" s="21" t="n">
        <x:v>3717</x:v>
      </x:c>
      <x:c r="X25" s="21" t="n">
        <x:v>22158</x:v>
      </x:c>
      <x:c r="Y25" s="21" t="n">
        <x:v>3720</x:v>
      </x:c>
      <x:c r="Z25" s="18" t="n">
        <x:v>1887</x:v>
      </x:c>
    </x:row>
    <x:row r="26">
      <x:c r="A26" s="17" t="str">
        <x:v>2026-10-07</x:v>
      </x:c>
      <x:c r="B26" s="17" t="str">
        <x:v>三</x:v>
      </x:c>
      <x:c r="C26" s="18" t="n">
        <x:v>302730</x:v>
      </x:c>
      <x:c r="D26" s="18" t="n">
        <x:v>33804</x:v>
      </x:c>
      <x:c r="E26" s="18" t="n">
        <x:f>C26+D26</x:f>
        <x:v>336534</x:v>
      </x:c>
      <x:c r="F26" s="18" t="n">
        <x:v>21125</x:v>
      </x:c>
      <x:c r="G26" s="18" t="n">
        <x:v>20738</x:v>
      </x:c>
      <x:c r="H26" s="19" t="n">
        <x:f>MAX(F26:G26)</x:f>
        <x:v>21125</x:v>
      </x:c>
      <x:c r="I26" s="20" t="str">
        <x:f>IF(F26&gt;=G26,"06:00","06:30")</x:f>
        <x:v>06:00</x:v>
      </x:c>
      <x:c r="J26" s="19" t="n">
        <x:v>3336</x:v>
      </x:c>
      <x:c r="K26" s="19" t="n">
        <x:v>3385</x:v>
      </x:c>
      <x:c r="L26" s="19" t="n">
        <x:f>MAX(J26:K26)</x:f>
        <x:v>3385</x:v>
      </x:c>
      <x:c r="M26" s="20" t="str">
        <x:f>IF(J26&gt;=K26,"06:00","06:30")</x:f>
        <x:v>06:30</x:v>
      </x:c>
      <x:c r="N26" s="19" t="n">
        <x:v>19468</x:v>
      </x:c>
      <x:c r="O26" s="19" t="n">
        <x:v>19057</x:v>
      </x:c>
      <x:c r="P26" s="19" t="n">
        <x:f>MAX(N26:O26)</x:f>
        <x:v>19468</x:v>
      </x:c>
      <x:c r="Q26" s="20" t="str">
        <x:f>IF(N26&gt;=O26,"15:00","15:30")</x:f>
        <x:v>15:00</x:v>
      </x:c>
      <x:c r="R26" s="19" t="n">
        <x:v>3200</x:v>
      </x:c>
      <x:c r="S26" s="19" t="n">
        <x:v>3116</x:v>
      </x:c>
      <x:c r="T26" s="19" t="n">
        <x:f>MAX(R26:S26)</x:f>
        <x:v>3200</x:v>
      </x:c>
      <x:c r="U26" s="20" t="str">
        <x:f>IF(R26&gt;=S26,"15:00","15:30")</x:f>
        <x:v>15:00</x:v>
      </x:c>
      <x:c r="V26" s="21" t="n">
        <x:v>22236</x:v>
      </x:c>
      <x:c r="W26" s="21" t="n">
        <x:v>3712</x:v>
      </x:c>
      <x:c r="X26" s="21" t="n">
        <x:v>21208</x:v>
      </x:c>
      <x:c r="Y26" s="21" t="n">
        <x:v>3640</x:v>
      </x:c>
      <x:c r="Z26" s="18" t="n">
        <x:v>1889</x:v>
      </x:c>
    </x:row>
    <x:row r="27">
      <x:c r="A27" s="17" t="str">
        <x:v>2026-10-08</x:v>
      </x:c>
      <x:c r="B27" s="17" t="str">
        <x:v>四</x:v>
      </x:c>
      <x:c r="C27" s="18" t="n">
        <x:v>305202</x:v>
      </x:c>
      <x:c r="D27" s="18" t="n">
        <x:v>35388</x:v>
      </x:c>
      <x:c r="E27" s="18" t="n">
        <x:f>C27+D27</x:f>
        <x:v>340590</x:v>
      </x:c>
      <x:c r="F27" s="18" t="n">
        <x:v>20709</x:v>
      </x:c>
      <x:c r="G27" s="18" t="n">
        <x:v>20212</x:v>
      </x:c>
      <x:c r="H27" s="19" t="n">
        <x:f>MAX(F27:G27)</x:f>
        <x:v>20709</x:v>
      </x:c>
      <x:c r="I27" s="20" t="str">
        <x:f>IF(F27&gt;=G27,"06:00","06:30")</x:f>
        <x:v>06:00</x:v>
      </x:c>
      <x:c r="J27" s="19" t="n">
        <x:v>3209</x:v>
      </x:c>
      <x:c r="K27" s="19" t="n">
        <x:v>3308</x:v>
      </x:c>
      <x:c r="L27" s="19" t="n">
        <x:f>MAX(J27:K27)</x:f>
        <x:v>3308</x:v>
      </x:c>
      <x:c r="M27" s="20" t="str">
        <x:f>IF(J27&gt;=K27,"06:00","06:30")</x:f>
        <x:v>06:30</x:v>
      </x:c>
      <x:c r="N27" s="19" t="n">
        <x:v>19163</x:v>
      </x:c>
      <x:c r="O27" s="19" t="n">
        <x:v>18754</x:v>
      </x:c>
      <x:c r="P27" s="19" t="n">
        <x:f>MAX(N27:O27)</x:f>
        <x:v>19163</x:v>
      </x:c>
      <x:c r="Q27" s="20" t="str">
        <x:f>IF(N27&gt;=O27,"15:00","15:30")</x:f>
        <x:v>15:00</x:v>
      </x:c>
      <x:c r="R27" s="19" t="n">
        <x:v>3231</x:v>
      </x:c>
      <x:c r="S27" s="19" t="n">
        <x:v>3141</x:v>
      </x:c>
      <x:c r="T27" s="19" t="n">
        <x:f>MAX(R27:S27)</x:f>
        <x:v>3231</x:v>
      </x:c>
      <x:c r="U27" s="20" t="str">
        <x:f>IF(R27&gt;=S27,"15:00","15:30")</x:f>
        <x:v>15:00</x:v>
      </x:c>
      <x:c r="V27" s="21" t="n">
        <x:v>21700</x:v>
      </x:c>
      <x:c r="W27" s="21" t="n">
        <x:v>3621</x:v>
      </x:c>
      <x:c r="X27" s="21" t="n">
        <x:v>20872</x:v>
      </x:c>
      <x:c r="Y27" s="21" t="n">
        <x:v>3696</x:v>
      </x:c>
      <x:c r="Z27" s="18" t="n">
        <x:v>1892</x:v>
      </x:c>
    </x:row>
    <x:row r="28">
      <x:c r="A28" s="17" t="str">
        <x:v>2026-10-09</x:v>
      </x:c>
      <x:c r="B28" s="17" t="str">
        <x:v>五</x:v>
      </x:c>
      <x:c r="C28" s="18" t="n">
        <x:v>239745</x:v>
      </x:c>
      <x:c r="D28" s="18" t="n">
        <x:v>29489</x:v>
      </x:c>
      <x:c r="E28" s="18" t="n">
        <x:f>C28+D28</x:f>
        <x:v>269234</x:v>
      </x:c>
      <x:c r="F28" s="18" t="n">
        <x:v>20465</x:v>
      </x:c>
      <x:c r="G28" s="18" t="n">
        <x:v>20220</x:v>
      </x:c>
      <x:c r="H28" s="19" t="n">
        <x:f>MAX(F28:G28)</x:f>
        <x:v>20465</x:v>
      </x:c>
      <x:c r="I28" s="20" t="str">
        <x:f>IF(F28&gt;=G28,"06:00","06:30")</x:f>
        <x:v>06:00</x:v>
      </x:c>
      <x:c r="J28" s="19" t="n">
        <x:v>3080</x:v>
      </x:c>
      <x:c r="K28" s="19" t="n">
        <x:v>3166</x:v>
      </x:c>
      <x:c r="L28" s="19" t="n">
        <x:f>MAX(J28:K28)</x:f>
        <x:v>3166</x:v>
      </x:c>
      <x:c r="M28" s="20" t="str">
        <x:f>IF(J28&gt;=K28,"06:00","06:30")</x:f>
        <x:v>06:30</x:v>
      </x:c>
      <x:c r="N28" s="19" t="n">
        <x:v>17502</x:v>
      </x:c>
      <x:c r="O28" s="19" t="n">
        <x:v>17000</x:v>
      </x:c>
      <x:c r="P28" s="19" t="n">
        <x:f>MAX(N28:O28)</x:f>
        <x:v>17502</x:v>
      </x:c>
      <x:c r="Q28" s="20" t="str">
        <x:f>IF(N28&gt;=O28,"15:00","15:30")</x:f>
        <x:v>15:00</x:v>
      </x:c>
      <x:c r="R28" s="19" t="n">
        <x:v>2598</x:v>
      </x:c>
      <x:c r="S28" s="19" t="n">
        <x:v>2506</x:v>
      </x:c>
      <x:c r="T28" s="19" t="n">
        <x:f>MAX(R28:S28)</x:f>
        <x:v>2598</x:v>
      </x:c>
      <x:c r="U28" s="20" t="str">
        <x:f>IF(R28&gt;=S28,"15:00","15:30")</x:f>
        <x:v>15:00</x:v>
      </x:c>
      <x:c r="V28" s="21" t="n">
        <x:v>21409</x:v>
      </x:c>
      <x:c r="W28" s="21" t="n">
        <x:v>3435</x:v>
      </x:c>
      <x:c r="X28" s="21" t="n">
        <x:v>19127</x:v>
      </x:c>
      <x:c r="Y28" s="21" t="n">
        <x:v>3046</x:v>
      </x:c>
      <x:c r="Z28" s="18" t="n">
        <x:v>1892</x:v>
      </x:c>
    </x:row>
    <x:row r="29">
      <x:c r="A29" s="17" t="str">
        <x:v>2026-10-12</x:v>
      </x:c>
      <x:c r="B29" s="17" t="str">
        <x:v>一</x:v>
      </x:c>
      <x:c r="C29" s="18" t="n">
        <x:v>287540</x:v>
      </x:c>
      <x:c r="D29" s="18" t="n">
        <x:v>28422</x:v>
      </x:c>
      <x:c r="E29" s="18" t="n">
        <x:f>C29+D29</x:f>
        <x:v>315962</x:v>
      </x:c>
      <x:c r="F29" s="18" t="n">
        <x:v>21885</x:v>
      </x:c>
      <x:c r="G29" s="18" t="n">
        <x:v>21381</x:v>
      </x:c>
      <x:c r="H29" s="19" t="n">
        <x:f>MAX(F29:G29)</x:f>
        <x:v>21885</x:v>
      </x:c>
      <x:c r="I29" s="20" t="str">
        <x:f>IF(F29&gt;=G29,"06:00","06:30")</x:f>
        <x:v>06:00</x:v>
      </x:c>
      <x:c r="J29" s="19" t="n">
        <x:v>2724</x:v>
      </x:c>
      <x:c r="K29" s="19" t="n">
        <x:v>2698</x:v>
      </x:c>
      <x:c r="L29" s="19" t="n">
        <x:f>MAX(J29:K29)</x:f>
        <x:v>2724</x:v>
      </x:c>
      <x:c r="M29" s="20" t="str">
        <x:f>IF(J29&gt;=K29,"06:00","06:30")</x:f>
        <x:v>06:00</x:v>
      </x:c>
      <x:c r="N29" s="19" t="n">
        <x:v>20109</x:v>
      </x:c>
      <x:c r="O29" s="19" t="n">
        <x:v>19891</x:v>
      </x:c>
      <x:c r="P29" s="19" t="n">
        <x:f>MAX(N29:O29)</x:f>
        <x:v>20109</x:v>
      </x:c>
      <x:c r="Q29" s="20" t="str">
        <x:f>IF(N29&gt;=O29,"15:00","15:30")</x:f>
        <x:v>15:00</x:v>
      </x:c>
      <x:c r="R29" s="19" t="n">
        <x:v>2623</x:v>
      </x:c>
      <x:c r="S29" s="19" t="n">
        <x:v>2563</x:v>
      </x:c>
      <x:c r="T29" s="19" t="n">
        <x:f>MAX(R29:S29)</x:f>
        <x:v>2623</x:v>
      </x:c>
      <x:c r="U29" s="20" t="str">
        <x:f>IF(R29&gt;=S29,"15:00","15:30")</x:f>
        <x:v>15:00</x:v>
      </x:c>
      <x:c r="V29" s="21" t="n">
        <x:v>22926</x:v>
      </x:c>
      <x:c r="W29" s="21" t="n">
        <x:v>2982</x:v>
      </x:c>
      <x:c r="X29" s="21" t="n">
        <x:v>21873</x:v>
      </x:c>
      <x:c r="Y29" s="21" t="n">
        <x:v>3001</x:v>
      </x:c>
      <x:c r="Z29" s="18" t="n">
        <x:v>1892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fbf15529a1ca42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4" customHeight="1">
      <x:c r="A1" s="3" t="str">
        <x:v>台北各站｜高用量平日平均配置</x:v>
      </x:c>
      <x:c r="B1" s="3" t="str">
        <x:v>台北各站｜高用量平日平均配置</x:v>
      </x:c>
      <x:c r="C1" s="3" t="str">
        <x:v>台北各站｜高用量平日平均配置</x:v>
      </x:c>
      <x:c r="D1" s="3" t="str">
        <x:v>台北各站｜高用量平日平均配置</x:v>
      </x:c>
      <x:c r="E1" s="3" t="str">
        <x:v>台北各站｜高用量平日平均配置</x:v>
      </x:c>
      <x:c r="F1" s="3" t="str">
        <x:v>台北各站｜高用量平日平均配置</x:v>
      </x:c>
      <x:c r="G1" s="3" t="str">
        <x:v>台北各站｜高用量平日平均配置</x:v>
      </x:c>
      <x:c r="H1" s="3" t="str">
        <x:v>台北各站｜高用量平日平均配置</x:v>
      </x:c>
      <x:c r="I1" s="3" t="str">
        <x:v>台北各站｜高用量平日平均配置</x:v>
      </x:c>
      <x:c r="J1" s="3" t="str">
        <x:v>台北各站｜高用量平日平均配置</x:v>
      </x:c>
      <x:c r="K1" s="3" t="str">
        <x:v>台北各站｜高用量平日平均配置</x:v>
      </x:c>
      <x:c r="L1" s="3" t="str">
        <x:v>台北各站｜高用量平日平均配置</x:v>
      </x:c>
      <x:c r="M1" s="3" t="str">
        <x:v>台北各站｜高用量平日平均配置</x:v>
      </x:c>
      <x:c r="N1" s="3" t="str">
        <x:v>台北各站｜高用量平日平均配置</x:v>
      </x:c>
      <x:c r="O1" s="3" t="str">
        <x:v>台北各站｜高用量平日平均配置</x:v>
      </x:c>
    </x:row>
    <x:row r="2" ht="32" customHeight="1">
      <x:c r="A2" s="8" t="str">
        <x:v>樣本為26個平日；每站每日先於兩個半小時快照取最大，再跨實際出現日期平均。</x:v>
      </x:c>
      <x:c r="B2" s="8" t="str">
        <x:v>樣本為26個平日；每站每日先於兩個半小時快照取最大，再跨實際出現日期平均。</x:v>
      </x:c>
      <x:c r="C2" s="8" t="str">
        <x:v>樣本為26個平日；每站每日先於兩個半小時快照取最大，再跨實際出現日期平均。</x:v>
      </x:c>
      <x:c r="D2" s="8" t="str">
        <x:v>樣本為26個平日；每站每日先於兩個半小時快照取最大，再跨實際出現日期平均。</x:v>
      </x:c>
      <x:c r="E2" s="8" t="str">
        <x:v>樣本為26個平日；每站每日先於兩個半小時快照取最大，再跨實際出現日期平均。</x:v>
      </x:c>
      <x:c r="F2" s="8" t="str">
        <x:v>樣本為26個平日；每站每日先於兩個半小時快照取最大，再跨實際出現日期平均。</x:v>
      </x:c>
      <x:c r="G2" s="8" t="str">
        <x:v>樣本為26個平日；每站每日先於兩個半小時快照取最大，再跨實際出現日期平均。</x:v>
      </x:c>
      <x:c r="H2" s="8" t="str">
        <x:v>樣本為26個平日；每站每日先於兩個半小時快照取最大，再跨實際出現日期平均。</x:v>
      </x:c>
      <x:c r="I2" s="8" t="str">
        <x:v>樣本為26個平日；每站每日先於兩個半小時快照取最大，再跨實際出現日期平均。</x:v>
      </x:c>
      <x:c r="J2" s="8" t="str">
        <x:v>樣本為26個平日；每站每日先於兩個半小時快照取最大，再跨實際出現日期平均。</x:v>
      </x:c>
      <x:c r="K2" s="8" t="str">
        <x:v>樣本為26個平日；每站每日先於兩個半小時快照取最大，再跨實際出現日期平均。</x:v>
      </x:c>
      <x:c r="L2" s="8" t="str">
        <x:v>樣本為26個平日；每站每日先於兩個半小時快照取最大，再跨實際出現日期平均。</x:v>
      </x:c>
      <x:c r="M2" s="8" t="str">
        <x:v>樣本為26個平日；每站每日先於兩個半小時快照取最大，再跨實際出現日期平均。</x:v>
      </x:c>
      <x:c r="N2" s="8" t="str">
        <x:v>樣本為26個平日；每站每日先於兩個半小時快照取最大，再跨實際出現日期平均。</x:v>
      </x:c>
      <x:c r="O2" s="8" t="str">
        <x:v>樣本為26個平日；每站每日先於兩個半小時快照取最大，再跨實際出現日期平均。</x:v>
      </x:c>
    </x:row>
    <x:row r="3" ht="36" customHeight="1">
      <x:c r="A3" s="14" t="str">
        <x:v>場站代碼</x:v>
      </x:c>
      <x:c r="B3" s="14" t="str">
        <x:v>行政區</x:v>
      </x:c>
      <x:c r="C3" s="14" t="str">
        <x:v>場站名稱</x:v>
      </x:c>
      <x:c r="D3" s="14" t="str">
        <x:v>入選日期數</x:v>
      </x:c>
      <x:c r="E3" s="14" t="str">
        <x:v>出現日期數</x:v>
      </x:c>
      <x:c r="F3" s="14" t="str">
        <x:v>平均06點 2.0</x:v>
      </x:c>
      <x:c r="G3" s="14" t="str">
        <x:v>有效日數</x:v>
      </x:c>
      <x:c r="H3" s="14" t="str">
        <x:v>平均06點 2.0E</x:v>
      </x:c>
      <x:c r="I3" s="14" t="str">
        <x:v>有效日數</x:v>
      </x:c>
      <x:c r="J3" s="14" t="str">
        <x:v>平均15點 2.0</x:v>
      </x:c>
      <x:c r="K3" s="14" t="str">
        <x:v>有效日數</x:v>
      </x:c>
      <x:c r="L3" s="14" t="str">
        <x:v>平均15點 2.0E</x:v>
      </x:c>
      <x:c r="M3" s="14" t="str">
        <x:v>有效日數</x:v>
      </x:c>
      <x:c r="N3" s="14" t="str">
        <x:v>平均06點合計</x:v>
      </x:c>
      <x:c r="O3" s="14" t="str">
        <x:v>平均15點合計</x:v>
      </x:c>
    </x:row>
    <x:row r="4">
      <x:c r="A4" s="22" t="str">
        <x:v>500101001</x:v>
      </x:c>
      <x:c r="B4" s="17" t="str">
        <x:v>大安區</x:v>
      </x:c>
      <x:c r="C4" s="17" t="str">
        <x:v>捷運科技大樓站</x:v>
      </x:c>
      <x:c r="D4" s="18" t="n">
        <x:v>26</x:v>
      </x:c>
      <x:c r="E4" s="18" t="n">
        <x:v>26</x:v>
      </x:c>
      <x:c r="F4" s="24" t="n">
        <x:f>IFERROR('各站彙總來源'!F4/'各站彙總來源'!G4,"")</x:f>
        <x:v>15.538461538461538</x:v>
      </x:c>
      <x:c r="G4" s="19" t="n">
        <x:f>'各站彙總來源'!G4</x:f>
        <x:v>26</x:v>
      </x:c>
      <x:c r="H4" s="24" t="n">
        <x:f>IFERROR('各站彙總來源'!H4/'各站彙總來源'!I4,"")</x:f>
        <x:v>4.115384615384615</x:v>
      </x:c>
      <x:c r="I4" s="19" t="n">
        <x:f>'各站彙總來源'!I4</x:f>
        <x:v>26</x:v>
      </x:c>
      <x:c r="J4" s="24" t="n">
        <x:f>IFERROR('各站彙總來源'!J4/'各站彙總來源'!K4,"")</x:f>
        <x:v>12.653846153846153</x:v>
      </x:c>
      <x:c r="K4" s="19" t="n">
        <x:f>'各站彙總來源'!K4</x:f>
        <x:v>26</x:v>
      </x:c>
      <x:c r="L4" s="24" t="n">
        <x:f>IFERROR('各站彙總來源'!L4/'各站彙總來源'!M4,"")</x:f>
        <x:v>2.1153846153846154</x:v>
      </x:c>
      <x:c r="M4" s="19" t="n">
        <x:f>'各站彙總來源'!M4</x:f>
        <x:v>26</x:v>
      </x:c>
      <x:c r="N4" s="24" t="n">
        <x:f>F4+H4</x:f>
        <x:v>19.653846153846153</x:v>
      </x:c>
      <x:c r="O4" s="24" t="n">
        <x:f>J4+L4</x:f>
        <x:v>14.769230769230768</x:v>
      </x:c>
    </x:row>
    <x:row r="5">
      <x:c r="A5" s="22" t="str">
        <x:v>500101002</x:v>
      </x:c>
      <x:c r="B5" s="17" t="str">
        <x:v>大安區</x:v>
      </x:c>
      <x:c r="C5" s="17" t="str">
        <x:v>復興南路二段273號前</x:v>
      </x:c>
      <x:c r="D5" s="18" t="n">
        <x:v>26</x:v>
      </x:c>
      <x:c r="E5" s="18" t="n">
        <x:v>26</x:v>
      </x:c>
      <x:c r="F5" s="24" t="n">
        <x:f>IFERROR('各站彙總來源'!F5/'各站彙總來源'!G5,"")</x:f>
        <x:v>10.038461538461538</x:v>
      </x:c>
      <x:c r="G5" s="19" t="n">
        <x:f>'各站彙總來源'!G5</x:f>
        <x:v>26</x:v>
      </x:c>
      <x:c r="H5" s="24" t="n">
        <x:f>IFERROR('各站彙總來源'!H5/'各站彙總來源'!I5,"")</x:f>
        <x:v>2.6153846153846154</x:v>
      </x:c>
      <x:c r="I5" s="19" t="n">
        <x:f>'各站彙總來源'!I5</x:f>
        <x:v>26</x:v>
      </x:c>
      <x:c r="J5" s="24" t="n">
        <x:f>IFERROR('各站彙總來源'!J5/'各站彙總來源'!K5,"")</x:f>
        <x:v>6.230769230769231</x:v>
      </x:c>
      <x:c r="K5" s="19" t="n">
        <x:f>'各站彙總來源'!K5</x:f>
        <x:v>26</x:v>
      </x:c>
      <x:c r="L5" s="24" t="n">
        <x:f>IFERROR('各站彙總來源'!L5/'各站彙總來源'!M5,"")</x:f>
        <x:v>0.7307692307692307</x:v>
      </x:c>
      <x:c r="M5" s="19" t="n">
        <x:f>'各站彙總來源'!M5</x:f>
        <x:v>26</x:v>
      </x:c>
      <x:c r="N5" s="24" t="n">
        <x:f>F5+H5</x:f>
        <x:v>12.653846153846153</x:v>
      </x:c>
      <x:c r="O5" s="24" t="n">
        <x:f>J5+L5</x:f>
        <x:v>6.961538461538462</x:v>
      </x:c>
    </x:row>
    <x:row r="6">
      <x:c r="A6" s="22" t="str">
        <x:v>500101003</x:v>
      </x:c>
      <x:c r="B6" s="17" t="str">
        <x:v>大安區</x:v>
      </x:c>
      <x:c r="C6" s="17" t="str">
        <x:v>國北教大實小東側門</x:v>
      </x:c>
      <x:c r="D6" s="18" t="n">
        <x:v>26</x:v>
      </x:c>
      <x:c r="E6" s="18" t="n">
        <x:v>26</x:v>
      </x:c>
      <x:c r="F6" s="24" t="n">
        <x:f>IFERROR('各站彙總來源'!F6/'各站彙總來源'!G6,"")</x:f>
        <x:v>10.461538461538462</x:v>
      </x:c>
      <x:c r="G6" s="19" t="n">
        <x:f>'各站彙總來源'!G6</x:f>
        <x:v>26</x:v>
      </x:c>
      <x:c r="H6" s="24" t="n">
        <x:f>IFERROR('各站彙總來源'!H6/'各站彙總來源'!I6,"")</x:f>
        <x:v>1.6538461538461537</x:v>
      </x:c>
      <x:c r="I6" s="19" t="n">
        <x:f>'各站彙總來源'!I6</x:f>
        <x:v>26</x:v>
      </x:c>
      <x:c r="J6" s="24" t="n">
        <x:f>IFERROR('各站彙總來源'!J6/'各站彙總來源'!K6,"")</x:f>
        <x:v>4.576923076923077</x:v>
      </x:c>
      <x:c r="K6" s="19" t="n">
        <x:f>'各站彙總來源'!K6</x:f>
        <x:v>26</x:v>
      </x:c>
      <x:c r="L6" s="24" t="n">
        <x:f>IFERROR('各站彙總來源'!L6/'各站彙總來源'!M6,"")</x:f>
        <x:v>0.7692307692307693</x:v>
      </x:c>
      <x:c r="M6" s="19" t="n">
        <x:f>'各站彙總來源'!M6</x:f>
        <x:v>26</x:v>
      </x:c>
      <x:c r="N6" s="24" t="n">
        <x:f>F6+H6</x:f>
        <x:v>12.115384615384615</x:v>
      </x:c>
      <x:c r="O6" s="24" t="n">
        <x:f>J6+L6</x:f>
        <x:v>5.346153846153846</x:v>
      </x:c>
    </x:row>
    <x:row r="7">
      <x:c r="A7" s="22" t="str">
        <x:v>500101004</x:v>
      </x:c>
      <x:c r="B7" s="17" t="str">
        <x:v>大安區</x:v>
      </x:c>
      <x:c r="C7" s="17" t="str">
        <x:v>和平公園東側</x:v>
      </x:c>
      <x:c r="D7" s="18" t="n">
        <x:v>26</x:v>
      </x:c>
      <x:c r="E7" s="18" t="n">
        <x:v>26</x:v>
      </x:c>
      <x:c r="F7" s="24" t="n">
        <x:f>IFERROR('各站彙總來源'!F7/'各站彙總來源'!G7,"")</x:f>
        <x:v>2.3846153846153846</x:v>
      </x:c>
      <x:c r="G7" s="19" t="n">
        <x:f>'各站彙總來源'!G7</x:f>
        <x:v>26</x:v>
      </x:c>
      <x:c r="H7" s="24" t="n">
        <x:f>IFERROR('各站彙總來源'!H7/'各站彙總來源'!I7,"")</x:f>
        <x:v>0.9615384615384616</x:v>
      </x:c>
      <x:c r="I7" s="19" t="n">
        <x:f>'各站彙總來源'!I7</x:f>
        <x:v>26</x:v>
      </x:c>
      <x:c r="J7" s="24" t="n">
        <x:f>IFERROR('各站彙總來源'!J7/'各站彙總來源'!K7,"")</x:f>
        <x:v>2.6153846153846154</x:v>
      </x:c>
      <x:c r="K7" s="19" t="n">
        <x:f>'各站彙總來源'!K7</x:f>
        <x:v>26</x:v>
      </x:c>
      <x:c r="L7" s="24" t="n">
        <x:f>IFERROR('各站彙總來源'!L7/'各站彙總來源'!M7,"")</x:f>
        <x:v>0.8461538461538461</x:v>
      </x:c>
      <x:c r="M7" s="19" t="n">
        <x:f>'各站彙總來源'!M7</x:f>
        <x:v>26</x:v>
      </x:c>
      <x:c r="N7" s="24" t="n">
        <x:f>F7+H7</x:f>
        <x:v>3.3461538461538463</x:v>
      </x:c>
      <x:c r="O7" s="24" t="n">
        <x:f>J7+L7</x:f>
        <x:v>3.4615384615384617</x:v>
      </x:c>
    </x:row>
    <x:row r="8">
      <x:c r="A8" s="22" t="str">
        <x:v>500101005</x:v>
      </x:c>
      <x:c r="B8" s="17" t="str">
        <x:v>大安區</x:v>
      </x:c>
      <x:c r="C8" s="17" t="str">
        <x:v>辛亥復興路口西北側</x:v>
      </x:c>
      <x:c r="D8" s="18" t="n">
        <x:v>26</x:v>
      </x:c>
      <x:c r="E8" s="18" t="n">
        <x:v>26</x:v>
      </x:c>
      <x:c r="F8" s="24" t="n">
        <x:f>IFERROR('各站彙總來源'!F8/'各站彙總來源'!G8,"")</x:f>
        <x:v>6.730769230769231</x:v>
      </x:c>
      <x:c r="G8" s="19" t="n">
        <x:f>'各站彙總來源'!G8</x:f>
        <x:v>26</x:v>
      </x:c>
      <x:c r="H8" s="24" t="n">
        <x:f>IFERROR('各站彙總來源'!H8/'各站彙總來源'!I8,"")</x:f>
        <x:v>0.6153846153846154</x:v>
      </x:c>
      <x:c r="I8" s="19" t="n">
        <x:f>'各站彙總來源'!I8</x:f>
        <x:v>26</x:v>
      </x:c>
      <x:c r="J8" s="24" t="n">
        <x:f>IFERROR('各站彙總來源'!J8/'各站彙總來源'!K8,"")</x:f>
        <x:v>4.076923076923077</x:v>
      </x:c>
      <x:c r="K8" s="19" t="n">
        <x:f>'各站彙總來源'!K8</x:f>
        <x:v>26</x:v>
      </x:c>
      <x:c r="L8" s="24" t="n">
        <x:f>IFERROR('各站彙總來源'!L8/'各站彙總來源'!M8,"")</x:f>
        <x:v>0.7692307692307693</x:v>
      </x:c>
      <x:c r="M8" s="19" t="n">
        <x:f>'各站彙總來源'!M8</x:f>
        <x:v>26</x:v>
      </x:c>
      <x:c r="N8" s="24" t="n">
        <x:f>F8+H8</x:f>
        <x:v>7.346153846153847</x:v>
      </x:c>
      <x:c r="O8" s="24" t="n">
        <x:f>J8+L8</x:f>
        <x:v>4.846153846153846</x:v>
      </x:c>
    </x:row>
    <x:row r="9">
      <x:c r="A9" s="22" t="str">
        <x:v>500101006</x:v>
      </x:c>
      <x:c r="B9" s="17" t="str">
        <x:v>大安區</x:v>
      </x:c>
      <x:c r="C9" s="17" t="str">
        <x:v>復興南路二段280號前</x:v>
      </x:c>
      <x:c r="D9" s="18" t="n">
        <x:v>26</x:v>
      </x:c>
      <x:c r="E9" s="18" t="n">
        <x:v>26</x:v>
      </x:c>
      <x:c r="F9" s="24" t="n">
        <x:f>IFERROR('各站彙總來源'!F9/'各站彙總來源'!G9,"")</x:f>
        <x:v>5.576923076923077</x:v>
      </x:c>
      <x:c r="G9" s="19" t="n">
        <x:f>'各站彙總來源'!G9</x:f>
        <x:v>26</x:v>
      </x:c>
      <x:c r="H9" s="24" t="n">
        <x:f>IFERROR('各站彙總來源'!H9/'各站彙總來源'!I9,"")</x:f>
        <x:v>0.8461538461538461</x:v>
      </x:c>
      <x:c r="I9" s="19" t="n">
        <x:f>'各站彙總來源'!I9</x:f>
        <x:v>26</x:v>
      </x:c>
      <x:c r="J9" s="24" t="n">
        <x:f>IFERROR('各站彙總來源'!J9/'各站彙總來源'!K9,"")</x:f>
        <x:v>4.538461538461538</x:v>
      </x:c>
      <x:c r="K9" s="19" t="n">
        <x:f>'各站彙總來源'!K9</x:f>
        <x:v>26</x:v>
      </x:c>
      <x:c r="L9" s="24" t="n">
        <x:f>IFERROR('各站彙總來源'!L9/'各站彙總來源'!M9,"")</x:f>
        <x:v>0.6923076923076923</x:v>
      </x:c>
      <x:c r="M9" s="19" t="n">
        <x:f>'各站彙總來源'!M9</x:f>
        <x:v>26</x:v>
      </x:c>
      <x:c r="N9" s="24" t="n">
        <x:f>F9+H9</x:f>
        <x:v>6.4230769230769225</x:v>
      </x:c>
      <x:c r="O9" s="24" t="n">
        <x:f>J9+L9</x:f>
        <x:v>5.230769230769231</x:v>
      </x:c>
    </x:row>
    <x:row r="10">
      <x:c r="A10" s="22" t="str">
        <x:v>500101007</x:v>
      </x:c>
      <x:c r="B10" s="17" t="str">
        <x:v>大安區</x:v>
      </x:c>
      <x:c r="C10" s="17" t="str">
        <x:v>復興南路二段340巷口</x:v>
      </x:c>
      <x:c r="D10" s="18" t="n">
        <x:v>26</x:v>
      </x:c>
      <x:c r="E10" s="18" t="n">
        <x:v>26</x:v>
      </x:c>
      <x:c r="F10" s="24" t="n">
        <x:f>IFERROR('各站彙總來源'!F10/'各站彙總來源'!G10,"")</x:f>
        <x:v>3.6538461538461537</x:v>
      </x:c>
      <x:c r="G10" s="19" t="n">
        <x:f>'各站彙總來源'!G10</x:f>
        <x:v>26</x:v>
      </x:c>
      <x:c r="H10" s="24" t="n">
        <x:f>IFERROR('各站彙總來源'!H10/'各站彙總來源'!I10,"")</x:f>
        <x:v>0.9230769230769231</x:v>
      </x:c>
      <x:c r="I10" s="19" t="n">
        <x:f>'各站彙總來源'!I10</x:f>
        <x:v>26</x:v>
      </x:c>
      <x:c r="J10" s="24" t="n">
        <x:f>IFERROR('各站彙總來源'!J10/'各站彙總來源'!K10,"")</x:f>
        <x:v>1.7307692307692308</x:v>
      </x:c>
      <x:c r="K10" s="19" t="n">
        <x:f>'各站彙總來源'!K10</x:f>
        <x:v>26</x:v>
      </x:c>
      <x:c r="L10" s="24" t="n">
        <x:f>IFERROR('各站彙總來源'!L10/'各站彙總來源'!M10,"")</x:f>
        <x:v>0.5384615384615384</x:v>
      </x:c>
      <x:c r="M10" s="19" t="n">
        <x:f>'各站彙總來源'!M10</x:f>
        <x:v>26</x:v>
      </x:c>
      <x:c r="N10" s="24" t="n">
        <x:f>F10+H10</x:f>
        <x:v>4.576923076923077</x:v>
      </x:c>
      <x:c r="O10" s="24" t="n">
        <x:f>J10+L10</x:f>
        <x:v>2.269230769230769</x:v>
      </x:c>
    </x:row>
    <x:row r="11">
      <x:c r="A11" s="22" t="str">
        <x:v>500101008</x:v>
      </x:c>
      <x:c r="B11" s="17" t="str">
        <x:v>大安區</x:v>
      </x:c>
      <x:c r="C11" s="17" t="str">
        <x:v>新生南路三段52號前</x:v>
      </x:c>
      <x:c r="D11" s="18" t="n">
        <x:v>26</x:v>
      </x:c>
      <x:c r="E11" s="18" t="n">
        <x:v>26</x:v>
      </x:c>
      <x:c r="F11" s="24" t="n">
        <x:f>IFERROR('各站彙總來源'!F11/'各站彙總來源'!G11,"")</x:f>
        <x:v>3.6538461538461537</x:v>
      </x:c>
      <x:c r="G11" s="19" t="n">
        <x:f>'各站彙總來源'!G11</x:f>
        <x:v>26</x:v>
      </x:c>
      <x:c r="H11" s="24" t="n">
        <x:f>IFERROR('各站彙總來源'!H11/'各站彙總來源'!I11,"")</x:f>
        <x:v>1.7307692307692308</x:v>
      </x:c>
      <x:c r="I11" s="19" t="n">
        <x:f>'各站彙總來源'!I11</x:f>
        <x:v>26</x:v>
      </x:c>
      <x:c r="J11" s="24" t="n">
        <x:f>IFERROR('各站彙總來源'!J11/'各站彙總來源'!K11,"")</x:f>
        <x:v>3.076923076923077</x:v>
      </x:c>
      <x:c r="K11" s="19" t="n">
        <x:f>'各站彙總來源'!K11</x:f>
        <x:v>26</x:v>
      </x:c>
      <x:c r="L11" s="24" t="n">
        <x:f>IFERROR('各站彙總來源'!L11/'各站彙總來源'!M11,"")</x:f>
        <x:v>0.8076923076923077</x:v>
      </x:c>
      <x:c r="M11" s="19" t="n">
        <x:f>'各站彙總來源'!M11</x:f>
        <x:v>26</x:v>
      </x:c>
      <x:c r="N11" s="24" t="n">
        <x:f>F11+H11</x:f>
        <x:v>5.384615384615385</x:v>
      </x:c>
      <x:c r="O11" s="24" t="n">
        <x:f>J11+L11</x:f>
        <x:v>3.884615384615385</x:v>
      </x:c>
    </x:row>
    <x:row r="12">
      <x:c r="A12" s="22" t="str">
        <x:v>500101009</x:v>
      </x:c>
      <x:c r="B12" s="17" t="str">
        <x:v>大安區</x:v>
      </x:c>
      <x:c r="C12" s="17" t="str">
        <x:v>新生南路三段66號前</x:v>
      </x:c>
      <x:c r="D12" s="18" t="n">
        <x:v>26</x:v>
      </x:c>
      <x:c r="E12" s="18" t="n">
        <x:v>26</x:v>
      </x:c>
      <x:c r="F12" s="24" t="n">
        <x:f>IFERROR('各站彙總來源'!F12/'各站彙總來源'!G12,"")</x:f>
        <x:v>4.3076923076923075</x:v>
      </x:c>
      <x:c r="G12" s="19" t="n">
        <x:f>'各站彙總來源'!G12</x:f>
        <x:v>26</x:v>
      </x:c>
      <x:c r="H12" s="24" t="n">
        <x:f>IFERROR('各站彙總來源'!H12/'各站彙總來源'!I12,"")</x:f>
        <x:v>0.6923076923076923</x:v>
      </x:c>
      <x:c r="I12" s="19" t="n">
        <x:f>'各站彙總來源'!I12</x:f>
        <x:v>26</x:v>
      </x:c>
      <x:c r="J12" s="24" t="n">
        <x:f>IFERROR('各站彙總來源'!J12/'各站彙總來源'!K12,"")</x:f>
        <x:v>3.6538461538461537</x:v>
      </x:c>
      <x:c r="K12" s="19" t="n">
        <x:f>'各站彙總來源'!K12</x:f>
        <x:v>26</x:v>
      </x:c>
      <x:c r="L12" s="24" t="n">
        <x:f>IFERROR('各站彙總來源'!L12/'各站彙總來源'!M12,"")</x:f>
        <x:v>0.5</x:v>
      </x:c>
      <x:c r="M12" s="19" t="n">
        <x:f>'各站彙總來源'!M12</x:f>
        <x:v>26</x:v>
      </x:c>
      <x:c r="N12" s="24" t="n">
        <x:f>F12+H12</x:f>
        <x:v>5</x:v>
      </x:c>
      <x:c r="O12" s="24" t="n">
        <x:f>J12+L12</x:f>
        <x:v>4.153846153846153</x:v>
      </x:c>
    </x:row>
    <x:row r="13">
      <x:c r="A13" s="22" t="str">
        <x:v>500101010</x:v>
      </x:c>
      <x:c r="B13" s="17" t="str">
        <x:v>大安區</x:v>
      </x:c>
      <x:c r="C13" s="17" t="str">
        <x:v>新生南路三段82號前</x:v>
      </x:c>
      <x:c r="D13" s="18" t="n">
        <x:v>26</x:v>
      </x:c>
      <x:c r="E13" s="18" t="n">
        <x:v>26</x:v>
      </x:c>
      <x:c r="F13" s="24" t="n">
        <x:f>IFERROR('各站彙總來源'!F13/'各站彙總來源'!G13,"")</x:f>
        <x:v>4.730769230769231</x:v>
      </x:c>
      <x:c r="G13" s="19" t="n">
        <x:f>'各站彙總來源'!G13</x:f>
        <x:v>26</x:v>
      </x:c>
      <x:c r="H13" s="24" t="n">
        <x:f>IFERROR('各站彙總來源'!H13/'各站彙總來源'!I13,"")</x:f>
        <x:v>0.5384615384615384</x:v>
      </x:c>
      <x:c r="I13" s="19" t="n">
        <x:f>'各站彙總來源'!I13</x:f>
        <x:v>26</x:v>
      </x:c>
      <x:c r="J13" s="24" t="n">
        <x:f>IFERROR('各站彙總來源'!J13/'各站彙總來源'!K13,"")</x:f>
        <x:v>4.461538461538462</x:v>
      </x:c>
      <x:c r="K13" s="19" t="n">
        <x:f>'各站彙總來源'!K13</x:f>
        <x:v>26</x:v>
      </x:c>
      <x:c r="L13" s="24" t="n">
        <x:f>IFERROR('各站彙總來源'!L13/'各站彙總來源'!M13,"")</x:f>
        <x:v>0.5384615384615384</x:v>
      </x:c>
      <x:c r="M13" s="19" t="n">
        <x:f>'各站彙總來源'!M13</x:f>
        <x:v>26</x:v>
      </x:c>
      <x:c r="N13" s="24" t="n">
        <x:f>F13+H13</x:f>
        <x:v>5.269230769230769</x:v>
      </x:c>
      <x:c r="O13" s="24" t="n">
        <x:f>J13+L13</x:f>
        <x:v>5</x:v>
      </x:c>
    </x:row>
    <x:row r="14">
      <x:c r="A14" s="22" t="str">
        <x:v>500101011</x:v>
      </x:c>
      <x:c r="B14" s="17" t="str">
        <x:v>大安區</x:v>
      </x:c>
      <x:c r="C14" s="17" t="str">
        <x:v>羅斯福路三段333巷9號旁</x:v>
      </x:c>
      <x:c r="D14" s="18" t="n">
        <x:v>26</x:v>
      </x:c>
      <x:c r="E14" s="18" t="n">
        <x:v>26</x:v>
      </x:c>
      <x:c r="F14" s="24" t="n">
        <x:f>IFERROR('各站彙總來源'!F14/'各站彙總來源'!G14,"")</x:f>
        <x:v>0</x:v>
      </x:c>
      <x:c r="G14" s="19" t="n">
        <x:f>'各站彙總來源'!G14</x:f>
        <x:v>26</x:v>
      </x:c>
      <x:c r="H14" s="24" t="n">
        <x:f>IFERROR('各站彙總來源'!H14/'各站彙總來源'!I14,"")</x:f>
        <x:v>0</x:v>
      </x:c>
      <x:c r="I14" s="19" t="n">
        <x:f>'各站彙總來源'!I14</x:f>
        <x:v>26</x:v>
      </x:c>
      <x:c r="J14" s="24" t="n">
        <x:f>IFERROR('各站彙總來源'!J14/'各站彙總來源'!K14,"")</x:f>
        <x:v>0</x:v>
      </x:c>
      <x:c r="K14" s="19" t="n">
        <x:f>'各站彙總來源'!K14</x:f>
        <x:v>26</x:v>
      </x:c>
      <x:c r="L14" s="24" t="n">
        <x:f>IFERROR('各站彙總來源'!L14/'各站彙總來源'!M14,"")</x:f>
        <x:v>0</x:v>
      </x:c>
      <x:c r="M14" s="19" t="n">
        <x:f>'各站彙總來源'!M14</x:f>
        <x:v>26</x:v>
      </x:c>
      <x:c r="N14" s="24" t="n">
        <x:f>F14+H14</x:f>
        <x:v>0</x:v>
      </x:c>
      <x:c r="O14" s="24" t="n">
        <x:f>J14+L14</x:f>
        <x:v>0</x:v>
      </x:c>
    </x:row>
    <x:row r="15">
      <x:c r="A15" s="22" t="str">
        <x:v>500101012</x:v>
      </x:c>
      <x:c r="B15" s="17" t="str">
        <x:v>大安區</x:v>
      </x:c>
      <x:c r="C15" s="17" t="str">
        <x:v>辛亥路一段30號前</x:v>
      </x:c>
      <x:c r="D15" s="18" t="n">
        <x:v>26</x:v>
      </x:c>
      <x:c r="E15" s="18" t="n">
        <x:v>26</x:v>
      </x:c>
      <x:c r="F15" s="24" t="n">
        <x:f>IFERROR('各站彙總來源'!F15/'各站彙總來源'!G15,"")</x:f>
        <x:v>3.1923076923076925</x:v>
      </x:c>
      <x:c r="G15" s="19" t="n">
        <x:f>'各站彙總來源'!G15</x:f>
        <x:v>26</x:v>
      </x:c>
      <x:c r="H15" s="24" t="n">
        <x:f>IFERROR('各站彙總來源'!H15/'各站彙總來源'!I15,"")</x:f>
        <x:v>0.46153846153846156</x:v>
      </x:c>
      <x:c r="I15" s="19" t="n">
        <x:f>'各站彙總來源'!I15</x:f>
        <x:v>26</x:v>
      </x:c>
      <x:c r="J15" s="24" t="n">
        <x:f>IFERROR('各站彙總來源'!J15/'各站彙總來源'!K15,"")</x:f>
        <x:v>2.1153846153846154</x:v>
      </x:c>
      <x:c r="K15" s="19" t="n">
        <x:f>'各站彙總來源'!K15</x:f>
        <x:v>26</x:v>
      </x:c>
      <x:c r="L15" s="24" t="n">
        <x:f>IFERROR('各站彙總來源'!L15/'各站彙總來源'!M15,"")</x:f>
        <x:v>0.6538461538461539</x:v>
      </x:c>
      <x:c r="M15" s="19" t="n">
        <x:f>'各站彙總來源'!M15</x:f>
        <x:v>26</x:v>
      </x:c>
      <x:c r="N15" s="24" t="n">
        <x:f>F15+H15</x:f>
        <x:v>3.653846153846154</x:v>
      </x:c>
      <x:c r="O15" s="24" t="n">
        <x:f>J15+L15</x:f>
        <x:v>2.769230769230769</x:v>
      </x:c>
    </x:row>
    <x:row r="16">
      <x:c r="A16" s="22" t="str">
        <x:v>500101013</x:v>
      </x:c>
      <x:c r="B16" s="17" t="str">
        <x:v>大安區</x:v>
      </x:c>
      <x:c r="C16" s="17" t="str">
        <x:v>和平復興路口西北側</x:v>
      </x:c>
      <x:c r="D16" s="18" t="n">
        <x:v>26</x:v>
      </x:c>
      <x:c r="E16" s="18" t="n">
        <x:v>26</x:v>
      </x:c>
      <x:c r="F16" s="24" t="n">
        <x:f>IFERROR('各站彙總來源'!F16/'各站彙總來源'!G16,"")</x:f>
        <x:v>5.384615384615385</x:v>
      </x:c>
      <x:c r="G16" s="19" t="n">
        <x:f>'各站彙總來源'!G16</x:f>
        <x:v>26</x:v>
      </x:c>
      <x:c r="H16" s="24" t="n">
        <x:f>IFERROR('各站彙總來源'!H16/'各站彙總來源'!I16,"")</x:f>
        <x:v>0.8076923076923077</x:v>
      </x:c>
      <x:c r="I16" s="19" t="n">
        <x:f>'各站彙總來源'!I16</x:f>
        <x:v>26</x:v>
      </x:c>
      <x:c r="J16" s="24" t="n">
        <x:f>IFERROR('各站彙總來源'!J16/'各站彙總來源'!K16,"")</x:f>
        <x:v>4</x:v>
      </x:c>
      <x:c r="K16" s="19" t="n">
        <x:f>'各站彙總來源'!K16</x:f>
        <x:v>26</x:v>
      </x:c>
      <x:c r="L16" s="24" t="n">
        <x:f>IFERROR('各站彙總來源'!L16/'各站彙總來源'!M16,"")</x:f>
        <x:v>0.8461538461538461</x:v>
      </x:c>
      <x:c r="M16" s="19" t="n">
        <x:f>'各站彙總來源'!M16</x:f>
        <x:v>26</x:v>
      </x:c>
      <x:c r="N16" s="24" t="n">
        <x:f>F16+H16</x:f>
        <x:v>6.1923076923076925</x:v>
      </x:c>
      <x:c r="O16" s="24" t="n">
        <x:f>J16+L16</x:f>
        <x:v>4.846153846153846</x:v>
      </x:c>
    </x:row>
    <x:row r="17">
      <x:c r="A17" s="22" t="str">
        <x:v>500101014</x:v>
      </x:c>
      <x:c r="B17" s="17" t="str">
        <x:v>大安區</x:v>
      </x:c>
      <x:c r="C17" s="17" t="str">
        <x:v>羅斯福路三段311號前</x:v>
      </x:c>
      <x:c r="D17" s="18" t="n">
        <x:v>26</x:v>
      </x:c>
      <x:c r="E17" s="18" t="n">
        <x:v>26</x:v>
      </x:c>
      <x:c r="F17" s="24" t="n">
        <x:f>IFERROR('各站彙總來源'!F17/'各站彙總來源'!G17,"")</x:f>
        <x:v>2.6538461538461537</x:v>
      </x:c>
      <x:c r="G17" s="19" t="n">
        <x:f>'各站彙總來源'!G17</x:f>
        <x:v>26</x:v>
      </x:c>
      <x:c r="H17" s="24" t="n">
        <x:f>IFERROR('各站彙總來源'!H17/'各站彙總來源'!I17,"")</x:f>
        <x:v>0.2692307692307692</x:v>
      </x:c>
      <x:c r="I17" s="19" t="n">
        <x:f>'各站彙總來源'!I17</x:f>
        <x:v>26</x:v>
      </x:c>
      <x:c r="J17" s="24" t="n">
        <x:f>IFERROR('各站彙總來源'!J17/'各站彙總來源'!K17,"")</x:f>
        <x:v>5.3076923076923075</x:v>
      </x:c>
      <x:c r="K17" s="19" t="n">
        <x:f>'各站彙總來源'!K17</x:f>
        <x:v>26</x:v>
      </x:c>
      <x:c r="L17" s="24" t="n">
        <x:f>IFERROR('各站彙總來源'!L17/'各站彙總來源'!M17,"")</x:f>
        <x:v>0.9615384615384616</x:v>
      </x:c>
      <x:c r="M17" s="19" t="n">
        <x:f>'各站彙總來源'!M17</x:f>
        <x:v>26</x:v>
      </x:c>
      <x:c r="N17" s="24" t="n">
        <x:f>F17+H17</x:f>
        <x:v>2.923076923076923</x:v>
      </x:c>
      <x:c r="O17" s="24" t="n">
        <x:f>J17+L17</x:f>
        <x:v>6.269230769230769</x:v>
      </x:c>
    </x:row>
    <x:row r="18">
      <x:c r="A18" s="22" t="str">
        <x:v>500101015</x:v>
      </x:c>
      <x:c r="B18" s="17" t="str">
        <x:v>大安區</x:v>
      </x:c>
      <x:c r="C18" s="17" t="str">
        <x:v>大安運動中心停車場</x:v>
      </x:c>
      <x:c r="D18" s="18" t="n">
        <x:v>26</x:v>
      </x:c>
      <x:c r="E18" s="18" t="n">
        <x:v>26</x:v>
      </x:c>
      <x:c r="F18" s="24" t="n">
        <x:f>IFERROR('各站彙總來源'!F18/'各站彙總來源'!G18,"")</x:f>
        <x:v>5.769230769230769</x:v>
      </x:c>
      <x:c r="G18" s="19" t="n">
        <x:f>'各站彙總來源'!G18</x:f>
        <x:v>26</x:v>
      </x:c>
      <x:c r="H18" s="24" t="n">
        <x:f>IFERROR('各站彙總來源'!H18/'各站彙總來源'!I18,"")</x:f>
        <x:v>1.3846153846153846</x:v>
      </x:c>
      <x:c r="I18" s="19" t="n">
        <x:f>'各站彙總來源'!I18</x:f>
        <x:v>26</x:v>
      </x:c>
      <x:c r="J18" s="24" t="n">
        <x:f>IFERROR('各站彙總來源'!J18/'各站彙總來源'!K18,"")</x:f>
        <x:v>9.384615384615385</x:v>
      </x:c>
      <x:c r="K18" s="19" t="n">
        <x:f>'各站彙總來源'!K18</x:f>
        <x:v>26</x:v>
      </x:c>
      <x:c r="L18" s="24" t="n">
        <x:f>IFERROR('各站彙總來源'!L18/'各站彙總來源'!M18,"")</x:f>
        <x:v>3.1153846153846154</x:v>
      </x:c>
      <x:c r="M18" s="19" t="n">
        <x:f>'各站彙總來源'!M18</x:f>
        <x:v>26</x:v>
      </x:c>
      <x:c r="N18" s="24" t="n">
        <x:f>F18+H18</x:f>
        <x:v>7.153846153846153</x:v>
      </x:c>
      <x:c r="O18" s="24" t="n">
        <x:f>J18+L18</x:f>
        <x:v>12.5</x:v>
      </x:c>
    </x:row>
    <x:row r="19">
      <x:c r="A19" s="22" t="str">
        <x:v>500101016</x:v>
      </x:c>
      <x:c r="B19" s="17" t="str">
        <x:v>大安區</x:v>
      </x:c>
      <x:c r="C19" s="17" t="str">
        <x:v>羅斯福路三段245號前</x:v>
      </x:c>
      <x:c r="D19" s="18" t="n">
        <x:v>26</x:v>
      </x:c>
      <x:c r="E19" s="18" t="n">
        <x:v>26</x:v>
      </x:c>
      <x:c r="F19" s="24" t="n">
        <x:f>IFERROR('各站彙總來源'!F19/'各站彙總來源'!G19,"")</x:f>
        <x:v>3.4615384615384617</x:v>
      </x:c>
      <x:c r="G19" s="19" t="n">
        <x:f>'各站彙總來源'!G19</x:f>
        <x:v>26</x:v>
      </x:c>
      <x:c r="H19" s="24" t="n">
        <x:f>IFERROR('各站彙總來源'!H19/'各站彙總來源'!I19,"")</x:f>
        <x:v>0.6153846153846154</x:v>
      </x:c>
      <x:c r="I19" s="19" t="n">
        <x:f>'各站彙總來源'!I19</x:f>
        <x:v>26</x:v>
      </x:c>
      <x:c r="J19" s="24" t="n">
        <x:f>IFERROR('各站彙總來源'!J19/'各站彙總來源'!K19,"")</x:f>
        <x:v>1.7692307692307692</x:v>
      </x:c>
      <x:c r="K19" s="19" t="n">
        <x:f>'各站彙總來源'!K19</x:f>
        <x:v>26</x:v>
      </x:c>
      <x:c r="L19" s="24" t="n">
        <x:f>IFERROR('各站彙總來源'!L19/'各站彙總來源'!M19,"")</x:f>
        <x:v>0.34615384615384615</x:v>
      </x:c>
      <x:c r="M19" s="19" t="n">
        <x:f>'各站彙總來源'!M19</x:f>
        <x:v>26</x:v>
      </x:c>
      <x:c r="N19" s="24" t="n">
        <x:f>F19+H19</x:f>
        <x:v>4.076923076923077</x:v>
      </x:c>
      <x:c r="O19" s="24" t="n">
        <x:f>J19+L19</x:f>
        <x:v>2.1153846153846154</x:v>
      </x:c>
    </x:row>
    <x:row r="20">
      <x:c r="A20" s="22" t="str">
        <x:v>500101017</x:v>
      </x:c>
      <x:c r="B20" s="17" t="str">
        <x:v>大安區</x:v>
      </x:c>
      <x:c r="C20" s="17" t="str">
        <x:v>羅斯福路三段269巷5號前</x:v>
      </x:c>
      <x:c r="D20" s="18" t="n">
        <x:v>26</x:v>
      </x:c>
      <x:c r="E20" s="18" t="n">
        <x:v>26</x:v>
      </x:c>
      <x:c r="F20" s="24" t="n">
        <x:f>IFERROR('各站彙總來源'!F20/'各站彙總來源'!G20,"")</x:f>
        <x:v>0</x:v>
      </x:c>
      <x:c r="G20" s="19" t="n">
        <x:f>'各站彙總來源'!G20</x:f>
        <x:v>26</x:v>
      </x:c>
      <x:c r="H20" s="24" t="n">
        <x:f>IFERROR('各站彙總來源'!H20/'各站彙總來源'!I20,"")</x:f>
        <x:v>0</x:v>
      </x:c>
      <x:c r="I20" s="19" t="n">
        <x:f>'各站彙總來源'!I20</x:f>
        <x:v>26</x:v>
      </x:c>
      <x:c r="J20" s="24" t="n">
        <x:f>IFERROR('各站彙總來源'!J20/'各站彙總來源'!K20,"")</x:f>
        <x:v>0</x:v>
      </x:c>
      <x:c r="K20" s="19" t="n">
        <x:f>'各站彙總來源'!K20</x:f>
        <x:v>26</x:v>
      </x:c>
      <x:c r="L20" s="24" t="n">
        <x:f>IFERROR('各站彙總來源'!L20/'各站彙總來源'!M20,"")</x:f>
        <x:v>0</x:v>
      </x:c>
      <x:c r="M20" s="19" t="n">
        <x:f>'各站彙總來源'!M20</x:f>
        <x:v>26</x:v>
      </x:c>
      <x:c r="N20" s="24" t="n">
        <x:f>F20+H20</x:f>
        <x:v>0</x:v>
      </x:c>
      <x:c r="O20" s="24" t="n">
        <x:f>J20+L20</x:f>
        <x:v>0</x:v>
      </x:c>
    </x:row>
    <x:row r="21">
      <x:c r="A21" s="22" t="str">
        <x:v>500101018</x:v>
      </x:c>
      <x:c r="B21" s="17" t="str">
        <x:v>大安區</x:v>
      </x:c>
      <x:c r="C21" s="17" t="str">
        <x:v>溫州公園</x:v>
      </x:c>
      <x:c r="D21" s="18" t="n">
        <x:v>26</x:v>
      </x:c>
      <x:c r="E21" s="18" t="n">
        <x:v>26</x:v>
      </x:c>
      <x:c r="F21" s="24" t="n">
        <x:f>IFERROR('各站彙總來源'!F21/'各站彙總來源'!G21,"")</x:f>
        <x:v>4.3076923076923075</x:v>
      </x:c>
      <x:c r="G21" s="19" t="n">
        <x:f>'各站彙總來源'!G21</x:f>
        <x:v>26</x:v>
      </x:c>
      <x:c r="H21" s="24" t="n">
        <x:f>IFERROR('各站彙總來源'!H21/'各站彙總來源'!I21,"")</x:f>
        <x:v>0.6538461538461539</x:v>
      </x:c>
      <x:c r="I21" s="19" t="n">
        <x:f>'各站彙總來源'!I21</x:f>
        <x:v>26</x:v>
      </x:c>
      <x:c r="J21" s="24" t="n">
        <x:f>IFERROR('各站彙總來源'!J21/'各站彙總來源'!K21,"")</x:f>
        <x:v>3.4615384615384617</x:v>
      </x:c>
      <x:c r="K21" s="19" t="n">
        <x:f>'各站彙總來源'!K21</x:f>
        <x:v>26</x:v>
      </x:c>
      <x:c r="L21" s="24" t="n">
        <x:f>IFERROR('各站彙總來源'!L21/'各站彙總來源'!M21,"")</x:f>
        <x:v>0.5769230769230769</x:v>
      </x:c>
      <x:c r="M21" s="19" t="n">
        <x:f>'各站彙總來源'!M21</x:f>
        <x:v>26</x:v>
      </x:c>
      <x:c r="N21" s="24" t="n">
        <x:f>F21+H21</x:f>
        <x:v>4.961538461538462</x:v>
      </x:c>
      <x:c r="O21" s="24" t="n">
        <x:f>J21+L21</x:f>
        <x:v>4.038461538461538</x:v>
      </x:c>
    </x:row>
    <x:row r="22">
      <x:c r="A22" s="22" t="str">
        <x:v>500101019</x:v>
      </x:c>
      <x:c r="B22" s="17" t="str">
        <x:v>大安區</x:v>
      </x:c>
      <x:c r="C22" s="17" t="str">
        <x:v>和平臥龍街口</x:v>
      </x:c>
      <x:c r="D22" s="18" t="n">
        <x:v>26</x:v>
      </x:c>
      <x:c r="E22" s="18" t="n">
        <x:v>26</x:v>
      </x:c>
      <x:c r="F22" s="24" t="n">
        <x:f>IFERROR('各站彙總來源'!F22/'各站彙總來源'!G22,"")</x:f>
        <x:v>13.192307692307692</x:v>
      </x:c>
      <x:c r="G22" s="19" t="n">
        <x:f>'各站彙總來源'!G22</x:f>
        <x:v>26</x:v>
      </x:c>
      <x:c r="H22" s="24" t="n">
        <x:f>IFERROR('各站彙總來源'!H22/'各站彙總來源'!I22,"")</x:f>
        <x:v>2.1153846153846154</x:v>
      </x:c>
      <x:c r="I22" s="19" t="n">
        <x:f>'各站彙總來源'!I22</x:f>
        <x:v>26</x:v>
      </x:c>
      <x:c r="J22" s="24" t="n">
        <x:f>IFERROR('各站彙總來源'!J22/'各站彙總來源'!K22,"")</x:f>
        <x:v>6.1923076923076925</x:v>
      </x:c>
      <x:c r="K22" s="19" t="n">
        <x:f>'各站彙總來源'!K22</x:f>
        <x:v>26</x:v>
      </x:c>
      <x:c r="L22" s="24" t="n">
        <x:f>IFERROR('各站彙總來源'!L22/'各站彙總來源'!M22,"")</x:f>
        <x:v>1.8076923076923077</x:v>
      </x:c>
      <x:c r="M22" s="19" t="n">
        <x:f>'各站彙總來源'!M22</x:f>
        <x:v>26</x:v>
      </x:c>
      <x:c r="N22" s="24" t="n">
        <x:f>F22+H22</x:f>
        <x:v>15.307692307692307</x:v>
      </x:c>
      <x:c r="O22" s="24" t="n">
        <x:f>J22+L22</x:f>
        <x:v>8</x:v>
      </x:c>
    </x:row>
    <x:row r="23">
      <x:c r="A23" s="22" t="str">
        <x:v>500101020</x:v>
      </x:c>
      <x:c r="B23" s="17" t="str">
        <x:v>大安區</x:v>
      </x:c>
      <x:c r="C23" s="17" t="str">
        <x:v>溫州停車場</x:v>
      </x:c>
      <x:c r="D23" s="18" t="n">
        <x:v>26</x:v>
      </x:c>
      <x:c r="E23" s="18" t="n">
        <x:v>26</x:v>
      </x:c>
      <x:c r="F23" s="24" t="n">
        <x:f>IFERROR('各站彙總來源'!F23/'各站彙總來源'!G23,"")</x:f>
        <x:v>0</x:v>
      </x:c>
      <x:c r="G23" s="19" t="n">
        <x:f>'各站彙總來源'!G23</x:f>
        <x:v>26</x:v>
      </x:c>
      <x:c r="H23" s="24" t="n">
        <x:f>IFERROR('各站彙總來源'!H23/'各站彙總來源'!I23,"")</x:f>
        <x:v>0</x:v>
      </x:c>
      <x:c r="I23" s="19" t="n">
        <x:f>'各站彙總來源'!I23</x:f>
        <x:v>26</x:v>
      </x:c>
      <x:c r="J23" s="24" t="n">
        <x:f>IFERROR('各站彙總來源'!J23/'各站彙總來源'!K23,"")</x:f>
        <x:v>0</x:v>
      </x:c>
      <x:c r="K23" s="19" t="n">
        <x:f>'各站彙總來源'!K23</x:f>
        <x:v>26</x:v>
      </x:c>
      <x:c r="L23" s="24" t="n">
        <x:f>IFERROR('各站彙總來源'!L23/'各站彙總來源'!M23,"")</x:f>
        <x:v>0</x:v>
      </x:c>
      <x:c r="M23" s="19" t="n">
        <x:f>'各站彙總來源'!M23</x:f>
        <x:v>26</x:v>
      </x:c>
      <x:c r="N23" s="24" t="n">
        <x:f>F23+H23</x:f>
        <x:v>0</x:v>
      </x:c>
      <x:c r="O23" s="24" t="n">
        <x:f>J23+L23</x:f>
        <x:v>0</x:v>
      </x:c>
    </x:row>
    <x:row r="24">
      <x:c r="A24" s="22" t="str">
        <x:v>500101021</x:v>
      </x:c>
      <x:c r="B24" s="17" t="str">
        <x:v>大安區</x:v>
      </x:c>
      <x:c r="C24" s="17" t="str">
        <x:v>銘傳國小側門</x:v>
      </x:c>
      <x:c r="D24" s="18" t="n">
        <x:v>26</x:v>
      </x:c>
      <x:c r="E24" s="18" t="n">
        <x:v>26</x:v>
      </x:c>
      <x:c r="F24" s="24" t="n">
        <x:f>IFERROR('各站彙總來源'!F24/'各站彙總來源'!G24,"")</x:f>
        <x:v>1.2692307692307692</x:v>
      </x:c>
      <x:c r="G24" s="19" t="n">
        <x:f>'各站彙總來源'!G24</x:f>
        <x:v>26</x:v>
      </x:c>
      <x:c r="H24" s="24" t="n">
        <x:f>IFERROR('各站彙總來源'!H24/'各站彙總來源'!I24,"")</x:f>
        <x:v>0.7307692307692307</x:v>
      </x:c>
      <x:c r="I24" s="19" t="n">
        <x:f>'各站彙總來源'!I24</x:f>
        <x:v>26</x:v>
      </x:c>
      <x:c r="J24" s="24" t="n">
        <x:f>IFERROR('各站彙總來源'!J24/'各站彙總來源'!K24,"")</x:f>
        <x:v>3.1538461538461537</x:v>
      </x:c>
      <x:c r="K24" s="19" t="n">
        <x:f>'各站彙總來源'!K24</x:f>
        <x:v>26</x:v>
      </x:c>
      <x:c r="L24" s="24" t="n">
        <x:f>IFERROR('各站彙總來源'!L24/'各站彙總來源'!M24,"")</x:f>
        <x:v>0.6923076923076923</x:v>
      </x:c>
      <x:c r="M24" s="19" t="n">
        <x:f>'各站彙總來源'!M24</x:f>
        <x:v>26</x:v>
      </x:c>
      <x:c r="N24" s="24" t="n">
        <x:f>F24+H24</x:f>
        <x:v>2</x:v>
      </x:c>
      <x:c r="O24" s="24" t="n">
        <x:f>J24+L24</x:f>
        <x:v>3.846153846153846</x:v>
      </x:c>
    </x:row>
    <x:row r="25">
      <x:c r="A25" s="22" t="str">
        <x:v>500101022</x:v>
      </x:c>
      <x:c r="B25" s="17" t="str">
        <x:v>大安區</x:v>
      </x:c>
      <x:c r="C25" s="17" t="str">
        <x:v>捷運公館站(2號出口)</x:v>
      </x:c>
      <x:c r="D25" s="18" t="n">
        <x:v>26</x:v>
      </x:c>
      <x:c r="E25" s="18" t="n">
        <x:v>26</x:v>
      </x:c>
      <x:c r="F25" s="24" t="n">
        <x:f>IFERROR('各站彙總來源'!F25/'各站彙總來源'!G25,"")</x:f>
        <x:v>80</x:v>
      </x:c>
      <x:c r="G25" s="19" t="n">
        <x:f>'各站彙總來源'!G25</x:f>
        <x:v>26</x:v>
      </x:c>
      <x:c r="H25" s="24" t="n">
        <x:f>IFERROR('各站彙總來源'!H25/'各站彙總來源'!I25,"")</x:f>
        <x:v>4.269230769230769</x:v>
      </x:c>
      <x:c r="I25" s="19" t="n">
        <x:f>'各站彙總來源'!I25</x:f>
        <x:v>26</x:v>
      </x:c>
      <x:c r="J25" s="24" t="n">
        <x:f>IFERROR('各站彙總來源'!J25/'各站彙總來源'!K25,"")</x:f>
        <x:v>43.26923076923077</x:v>
      </x:c>
      <x:c r="K25" s="19" t="n">
        <x:f>'各站彙總來源'!K25</x:f>
        <x:v>26</x:v>
      </x:c>
      <x:c r="L25" s="24" t="n">
        <x:f>IFERROR('各站彙總來源'!L25/'各站彙總來源'!M25,"")</x:f>
        <x:v>5.538461538461538</x:v>
      </x:c>
      <x:c r="M25" s="19" t="n">
        <x:f>'各站彙總來源'!M25</x:f>
        <x:v>26</x:v>
      </x:c>
      <x:c r="N25" s="24" t="n">
        <x:f>F25+H25</x:f>
        <x:v>84.26923076923077</x:v>
      </x:c>
      <x:c r="O25" s="24" t="n">
        <x:f>J25+L25</x:f>
        <x:v>48.80769230769231</x:v>
      </x:c>
    </x:row>
    <x:row r="26">
      <x:c r="A26" s="22" t="str">
        <x:v>500101023</x:v>
      </x:c>
      <x:c r="B26" s="17" t="str">
        <x:v>大安區</x:v>
      </x:c>
      <x:c r="C26" s="17" t="str">
        <x:v>第二學生活動中心</x:v>
      </x:c>
      <x:c r="D26" s="18" t="n">
        <x:v>26</x:v>
      </x:c>
      <x:c r="E26" s="18" t="n">
        <x:v>26</x:v>
      </x:c>
      <x:c r="F26" s="24" t="n">
        <x:f>IFERROR('各站彙總來源'!F26/'各站彙總來源'!G26,"")</x:f>
        <x:v>16.615384615384617</x:v>
      </x:c>
      <x:c r="G26" s="19" t="n">
        <x:f>'各站彙總來源'!G26</x:f>
        <x:v>26</x:v>
      </x:c>
      <x:c r="H26" s="24" t="n">
        <x:f>IFERROR('各站彙總來源'!H26/'各站彙總來源'!I26,"")</x:f>
        <x:v>1.5384615384615385</x:v>
      </x:c>
      <x:c r="I26" s="19" t="n">
        <x:f>'各站彙總來源'!I26</x:f>
        <x:v>26</x:v>
      </x:c>
      <x:c r="J26" s="24" t="n">
        <x:f>IFERROR('各站彙總來源'!J26/'各站彙總來源'!K26,"")</x:f>
        <x:v>8.76923076923077</x:v>
      </x:c>
      <x:c r="K26" s="19" t="n">
        <x:f>'各站彙總來源'!K26</x:f>
        <x:v>26</x:v>
      </x:c>
      <x:c r="L26" s="24" t="n">
        <x:f>IFERROR('各站彙總來源'!L26/'各站彙總來源'!M26,"")</x:f>
        <x:v>1.8076923076923077</x:v>
      </x:c>
      <x:c r="M26" s="19" t="n">
        <x:f>'各站彙總來源'!M26</x:f>
        <x:v>26</x:v>
      </x:c>
      <x:c r="N26" s="24" t="n">
        <x:f>F26+H26</x:f>
        <x:v>18.153846153846157</x:v>
      </x:c>
      <x:c r="O26" s="24" t="n">
        <x:f>J26+L26</x:f>
        <x:v>10.576923076923078</x:v>
      </x:c>
    </x:row>
    <x:row r="27">
      <x:c r="A27" s="22" t="str">
        <x:v>500101024</x:v>
      </x:c>
      <x:c r="B27" s="17" t="str">
        <x:v>大安區</x:v>
      </x:c>
      <x:c r="C27" s="17" t="str">
        <x:v>臺灣科技大學正門</x:v>
      </x:c>
      <x:c r="D27" s="18" t="n">
        <x:v>26</x:v>
      </x:c>
      <x:c r="E27" s="18" t="n">
        <x:v>26</x:v>
      </x:c>
      <x:c r="F27" s="24" t="n">
        <x:f>IFERROR('各站彙總來源'!F27/'各站彙總來源'!G27,"")</x:f>
        <x:v>3.8461538461538463</x:v>
      </x:c>
      <x:c r="G27" s="19" t="n">
        <x:f>'各站彙總來源'!G27</x:f>
        <x:v>26</x:v>
      </x:c>
      <x:c r="H27" s="24" t="n">
        <x:f>IFERROR('各站彙總來源'!H27/'各站彙總來源'!I27,"")</x:f>
        <x:v>0.5769230769230769</x:v>
      </x:c>
      <x:c r="I27" s="19" t="n">
        <x:f>'各站彙總來源'!I27</x:f>
        <x:v>26</x:v>
      </x:c>
      <x:c r="J27" s="24" t="n">
        <x:f>IFERROR('各站彙總來源'!J27/'各站彙總來源'!K27,"")</x:f>
        <x:v>69.76923076923077</x:v>
      </x:c>
      <x:c r="K27" s="19" t="n">
        <x:f>'各站彙總來源'!K27</x:f>
        <x:v>26</x:v>
      </x:c>
      <x:c r="L27" s="24" t="n">
        <x:f>IFERROR('各站彙總來源'!L27/'各站彙總來源'!M27,"")</x:f>
        <x:v>6.384615384615385</x:v>
      </x:c>
      <x:c r="M27" s="19" t="n">
        <x:f>'各站彙總來源'!M27</x:f>
        <x:v>26</x:v>
      </x:c>
      <x:c r="N27" s="24" t="n">
        <x:f>F27+H27</x:f>
        <x:v>4.423076923076923</x:v>
      </x:c>
      <x:c r="O27" s="24" t="n">
        <x:f>J27+L27</x:f>
        <x:v>76.15384615384616</x:v>
      </x:c>
    </x:row>
    <x:row r="28">
      <x:c r="A28" s="22" t="str">
        <x:v>500101025</x:v>
      </x:c>
      <x:c r="B28" s="17" t="str">
        <x:v>大安區</x:v>
      </x:c>
      <x:c r="C28" s="17" t="str">
        <x:v>臺灣科技大學側門</x:v>
      </x:c>
      <x:c r="D28" s="18" t="n">
        <x:v>26</x:v>
      </x:c>
      <x:c r="E28" s="18" t="n">
        <x:v>26</x:v>
      </x:c>
      <x:c r="F28" s="24" t="n">
        <x:f>IFERROR('各站彙總來源'!F28/'各站彙總來源'!G28,"")</x:f>
        <x:v>4.730769230769231</x:v>
      </x:c>
      <x:c r="G28" s="19" t="n">
        <x:f>'各站彙總來源'!G28</x:f>
        <x:v>26</x:v>
      </x:c>
      <x:c r="H28" s="24" t="n">
        <x:f>IFERROR('各站彙總來源'!H28/'各站彙總來源'!I28,"")</x:f>
        <x:v>0.6923076923076923</x:v>
      </x:c>
      <x:c r="I28" s="19" t="n">
        <x:f>'各站彙總來源'!I28</x:f>
        <x:v>26</x:v>
      </x:c>
      <x:c r="J28" s="24" t="n">
        <x:f>IFERROR('各站彙總來源'!J28/'各站彙總來源'!K28,"")</x:f>
        <x:v>80.03846153846153</x:v>
      </x:c>
      <x:c r="K28" s="19" t="n">
        <x:f>'各站彙總來源'!K28</x:f>
        <x:v>26</x:v>
      </x:c>
      <x:c r="L28" s="24" t="n">
        <x:f>IFERROR('各站彙總來源'!L28/'各站彙總來源'!M28,"")</x:f>
        <x:v>11.038461538461538</x:v>
      </x:c>
      <x:c r="M28" s="19" t="n">
        <x:f>'各站彙總來源'!M28</x:f>
        <x:v>26</x:v>
      </x:c>
      <x:c r="N28" s="24" t="n">
        <x:f>F28+H28</x:f>
        <x:v>5.423076923076923</x:v>
      </x:c>
      <x:c r="O28" s="24" t="n">
        <x:f>J28+L28</x:f>
        <x:v>91.07692307692307</x:v>
      </x:c>
    </x:row>
    <x:row r="29">
      <x:c r="A29" s="22" t="str">
        <x:v>500101026</x:v>
      </x:c>
      <x:c r="B29" s="17" t="str">
        <x:v>大安區</x:v>
      </x:c>
      <x:c r="C29" s="17" t="str">
        <x:v>公館公園</x:v>
      </x:c>
      <x:c r="D29" s="18" t="n">
        <x:v>26</x:v>
      </x:c>
      <x:c r="E29" s="18" t="n">
        <x:v>26</x:v>
      </x:c>
      <x:c r="F29" s="24" t="n">
        <x:f>IFERROR('各站彙總來源'!F29/'各站彙總來源'!G29,"")</x:f>
        <x:v>17.307692307692307</x:v>
      </x:c>
      <x:c r="G29" s="19" t="n">
        <x:f>'各站彙總來源'!G29</x:f>
        <x:v>26</x:v>
      </x:c>
      <x:c r="H29" s="24" t="n">
        <x:f>IFERROR('各站彙總來源'!H29/'各站彙總來源'!I29,"")</x:f>
        <x:v>2</x:v>
      </x:c>
      <x:c r="I29" s="19" t="n">
        <x:f>'各站彙總來源'!I29</x:f>
        <x:v>26</x:v>
      </x:c>
      <x:c r="J29" s="24" t="n">
        <x:f>IFERROR('各站彙總來源'!J29/'各站彙總來源'!K29,"")</x:f>
        <x:v>25.576923076923077</x:v>
      </x:c>
      <x:c r="K29" s="19" t="n">
        <x:f>'各站彙總來源'!K29</x:f>
        <x:v>26</x:v>
      </x:c>
      <x:c r="L29" s="24" t="n">
        <x:f>IFERROR('各站彙總來源'!L29/'各站彙總來源'!M29,"")</x:f>
        <x:v>2.9615384615384617</x:v>
      </x:c>
      <x:c r="M29" s="19" t="n">
        <x:f>'各站彙總來源'!M29</x:f>
        <x:v>26</x:v>
      </x:c>
      <x:c r="N29" s="24" t="n">
        <x:f>F29+H29</x:f>
        <x:v>19.307692307692307</x:v>
      </x:c>
      <x:c r="O29" s="24" t="n">
        <x:f>J29+L29</x:f>
        <x:v>28.53846153846154</x:v>
      </x:c>
    </x:row>
    <x:row r="30">
      <x:c r="A30" s="22" t="str">
        <x:v>500101027</x:v>
      </x:c>
      <x:c r="B30" s="17" t="str">
        <x:v>大安區</x:v>
      </x:c>
      <x:c r="C30" s="17" t="str">
        <x:v>臺灣科技大學後門</x:v>
      </x:c>
      <x:c r="D30" s="18" t="n">
        <x:v>26</x:v>
      </x:c>
      <x:c r="E30" s="18" t="n">
        <x:v>26</x:v>
      </x:c>
      <x:c r="F30" s="24" t="n">
        <x:f>IFERROR('各站彙總來源'!F30/'各站彙總來源'!G30,"")</x:f>
        <x:v>47.38461538461539</x:v>
      </x:c>
      <x:c r="G30" s="19" t="n">
        <x:f>'各站彙總來源'!G30</x:f>
        <x:v>26</x:v>
      </x:c>
      <x:c r="H30" s="24" t="n">
        <x:f>IFERROR('各站彙總來源'!H30/'各站彙總來源'!I30,"")</x:f>
        <x:v>4.923076923076923</x:v>
      </x:c>
      <x:c r="I30" s="19" t="n">
        <x:f>'各站彙總來源'!I30</x:f>
        <x:v>26</x:v>
      </x:c>
      <x:c r="J30" s="24" t="n">
        <x:f>IFERROR('各站彙總來源'!J30/'各站彙總來源'!K30,"")</x:f>
        <x:v>46</x:v>
      </x:c>
      <x:c r="K30" s="19" t="n">
        <x:f>'各站彙總來源'!K30</x:f>
        <x:v>26</x:v>
      </x:c>
      <x:c r="L30" s="24" t="n">
        <x:f>IFERROR('各站彙總來源'!L30/'各站彙總來源'!M30,"")</x:f>
        <x:v>6.3076923076923075</x:v>
      </x:c>
      <x:c r="M30" s="19" t="n">
        <x:f>'各站彙總來源'!M30</x:f>
        <x:v>26</x:v>
      </x:c>
      <x:c r="N30" s="24" t="n">
        <x:f>F30+H30</x:f>
        <x:v>52.30769230769231</x:v>
      </x:c>
      <x:c r="O30" s="24" t="n">
        <x:f>J30+L30</x:f>
        <x:v>52.30769230769231</x:v>
      </x:c>
    </x:row>
    <x:row r="31">
      <x:c r="A31" s="22" t="str">
        <x:v>500101028</x:v>
      </x:c>
      <x:c r="B31" s="17" t="str">
        <x:v>大安區</x:v>
      </x:c>
      <x:c r="C31" s="17" t="str">
        <x:v>臺大醫學院附設癌醫中心</x:v>
      </x:c>
      <x:c r="D31" s="18" t="n">
        <x:v>26</x:v>
      </x:c>
      <x:c r="E31" s="18" t="n">
        <x:v>26</x:v>
      </x:c>
      <x:c r="F31" s="24" t="n">
        <x:f>IFERROR('各站彙總來源'!F31/'各站彙總來源'!G31,"")</x:f>
        <x:v>8.038461538461538</x:v>
      </x:c>
      <x:c r="G31" s="19" t="n">
        <x:f>'各站彙總來源'!G31</x:f>
        <x:v>26</x:v>
      </x:c>
      <x:c r="H31" s="24" t="n">
        <x:f>IFERROR('各站彙總來源'!H31/'各站彙總來源'!I31,"")</x:f>
        <x:v>1.9615384615384615</x:v>
      </x:c>
      <x:c r="I31" s="19" t="n">
        <x:f>'各站彙總來源'!I31</x:f>
        <x:v>26</x:v>
      </x:c>
      <x:c r="J31" s="24" t="n">
        <x:f>IFERROR('各站彙總來源'!J31/'各站彙總來源'!K31,"")</x:f>
        <x:v>38.96153846153846</x:v>
      </x:c>
      <x:c r="K31" s="19" t="n">
        <x:f>'各站彙總來源'!K31</x:f>
        <x:v>26</x:v>
      </x:c>
      <x:c r="L31" s="24" t="n">
        <x:f>IFERROR('各站彙總來源'!L31/'各站彙總來源'!M31,"")</x:f>
        <x:v>3.769230769230769</x:v>
      </x:c>
      <x:c r="M31" s="19" t="n">
        <x:f>'各站彙總來源'!M31</x:f>
        <x:v>26</x:v>
      </x:c>
      <x:c r="N31" s="24" t="n">
        <x:f>F31+H31</x:f>
        <x:v>10</x:v>
      </x:c>
      <x:c r="O31" s="24" t="n">
        <x:f>J31+L31</x:f>
        <x:v>42.730769230769226</x:v>
      </x:c>
    </x:row>
    <x:row r="32">
      <x:c r="A32" s="22" t="str">
        <x:v>500101029</x:v>
      </x:c>
      <x:c r="B32" s="17" t="str">
        <x:v>大安區</x:v>
      </x:c>
      <x:c r="C32" s="17" t="str">
        <x:v>臺大環研大樓</x:v>
      </x:c>
      <x:c r="D32" s="18" t="n">
        <x:v>26</x:v>
      </x:c>
      <x:c r="E32" s="18" t="n">
        <x:v>26</x:v>
      </x:c>
      <x:c r="F32" s="24" t="n">
        <x:f>IFERROR('各站彙總來源'!F32/'各站彙總來源'!G32,"")</x:f>
        <x:v>6.846153846153846</x:v>
      </x:c>
      <x:c r="G32" s="19" t="n">
        <x:f>'各站彙總來源'!G32</x:f>
        <x:v>26</x:v>
      </x:c>
      <x:c r="H32" s="24" t="n">
        <x:f>IFERROR('各站彙總來源'!H32/'各站彙總來源'!I32,"")</x:f>
        <x:v>1</x:v>
      </x:c>
      <x:c r="I32" s="19" t="n">
        <x:f>'各站彙總來源'!I32</x:f>
        <x:v>26</x:v>
      </x:c>
      <x:c r="J32" s="24" t="n">
        <x:f>IFERROR('各站彙總來源'!J32/'各站彙總來源'!K32,"")</x:f>
        <x:v>24.192307692307693</x:v>
      </x:c>
      <x:c r="K32" s="19" t="n">
        <x:f>'各站彙總來源'!K32</x:f>
        <x:v>26</x:v>
      </x:c>
      <x:c r="L32" s="24" t="n">
        <x:f>IFERROR('各站彙總來源'!L32/'各站彙總來源'!M32,"")</x:f>
        <x:v>3.1538461538461537</x:v>
      </x:c>
      <x:c r="M32" s="19" t="n">
        <x:f>'各站彙總來源'!M32</x:f>
        <x:v>26</x:v>
      </x:c>
      <x:c r="N32" s="24" t="n">
        <x:f>F32+H32</x:f>
        <x:v>7.846153846153846</x:v>
      </x:c>
      <x:c r="O32" s="24" t="n">
        <x:f>J32+L32</x:f>
        <x:v>27.346153846153847</x:v>
      </x:c>
    </x:row>
    <x:row r="33">
      <x:c r="A33" s="22" t="str">
        <x:v>500101030</x:v>
      </x:c>
      <x:c r="B33" s="17" t="str">
        <x:v>大安區</x:v>
      </x:c>
      <x:c r="C33" s="17" t="str">
        <x:v>臺大永齡生醫工程館</x:v>
      </x:c>
      <x:c r="D33" s="18" t="n">
        <x:v>26</x:v>
      </x:c>
      <x:c r="E33" s="18" t="n">
        <x:v>26</x:v>
      </x:c>
      <x:c r="F33" s="24" t="n">
        <x:f>IFERROR('各站彙總來源'!F33/'各站彙總來源'!G33,"")</x:f>
        <x:v>17.576923076923077</x:v>
      </x:c>
      <x:c r="G33" s="19" t="n">
        <x:f>'各站彙總來源'!G33</x:f>
        <x:v>26</x:v>
      </x:c>
      <x:c r="H33" s="24" t="n">
        <x:f>IFERROR('各站彙總來源'!H33/'各站彙總來源'!I33,"")</x:f>
        <x:v>2</x:v>
      </x:c>
      <x:c r="I33" s="19" t="n">
        <x:f>'各站彙總來源'!I33</x:f>
        <x:v>26</x:v>
      </x:c>
      <x:c r="J33" s="24" t="n">
        <x:f>IFERROR('各站彙總來源'!J33/'各站彙總來源'!K33,"")</x:f>
        <x:v>32.57692307692308</x:v>
      </x:c>
      <x:c r="K33" s="19" t="n">
        <x:f>'各站彙總來源'!K33</x:f>
        <x:v>26</x:v>
      </x:c>
      <x:c r="L33" s="24" t="n">
        <x:f>IFERROR('各站彙總來源'!L33/'各站彙總來源'!M33,"")</x:f>
        <x:v>2.5384615384615383</x:v>
      </x:c>
      <x:c r="M33" s="19" t="n">
        <x:f>'各站彙總來源'!M33</x:f>
        <x:v>26</x:v>
      </x:c>
      <x:c r="N33" s="24" t="n">
        <x:f>F33+H33</x:f>
        <x:v>19.576923076923077</x:v>
      </x:c>
      <x:c r="O33" s="24" t="n">
        <x:f>J33+L33</x:f>
        <x:v>35.11538461538462</x:v>
      </x:c>
    </x:row>
    <x:row r="34">
      <x:c r="A34" s="22" t="str">
        <x:v>500101031</x:v>
      </x:c>
      <x:c r="B34" s="17" t="str">
        <x:v>大安區</x:v>
      </x:c>
      <x:c r="C34" s="17" t="str">
        <x:v>臺大男七舍前</x:v>
      </x:c>
      <x:c r="D34" s="18" t="n">
        <x:v>26</x:v>
      </x:c>
      <x:c r="E34" s="18" t="n">
        <x:v>26</x:v>
      </x:c>
      <x:c r="F34" s="24" t="n">
        <x:f>IFERROR('各站彙總來源'!F34/'各站彙總來源'!G34,"")</x:f>
        <x:v>14.461538461538462</x:v>
      </x:c>
      <x:c r="G34" s="19" t="n">
        <x:f>'各站彙總來源'!G34</x:f>
        <x:v>26</x:v>
      </x:c>
      <x:c r="H34" s="24" t="n">
        <x:f>IFERROR('各站彙總來源'!H34/'各站彙總來源'!I34,"")</x:f>
        <x:v>0.7307692307692307</x:v>
      </x:c>
      <x:c r="I34" s="19" t="n">
        <x:f>'各站彙總來源'!I34</x:f>
        <x:v>26</x:v>
      </x:c>
      <x:c r="J34" s="24" t="n">
        <x:f>IFERROR('各站彙總來源'!J34/'各站彙總來源'!K34,"")</x:f>
        <x:v>9.115384615384615</x:v>
      </x:c>
      <x:c r="K34" s="19" t="n">
        <x:f>'各站彙總來源'!K34</x:f>
        <x:v>26</x:v>
      </x:c>
      <x:c r="L34" s="24" t="n">
        <x:f>IFERROR('各站彙總來源'!L34/'各站彙總來源'!M34,"")</x:f>
        <x:v>1.3461538461538463</x:v>
      </x:c>
      <x:c r="M34" s="19" t="n">
        <x:f>'各站彙總來源'!M34</x:f>
        <x:v>26</x:v>
      </x:c>
      <x:c r="N34" s="24" t="n">
        <x:f>F34+H34</x:f>
        <x:v>15.192307692307692</x:v>
      </x:c>
      <x:c r="O34" s="24" t="n">
        <x:f>J34+L34</x:f>
        <x:v>10.461538461538462</x:v>
      </x:c>
    </x:row>
    <x:row r="35">
      <x:c r="A35" s="22" t="str">
        <x:v>500101032</x:v>
      </x:c>
      <x:c r="B35" s="17" t="str">
        <x:v>大安區</x:v>
      </x:c>
      <x:c r="C35" s="17" t="str">
        <x:v>臺大男一舍前</x:v>
      </x:c>
      <x:c r="D35" s="18" t="n">
        <x:v>26</x:v>
      </x:c>
      <x:c r="E35" s="18" t="n">
        <x:v>26</x:v>
      </x:c>
      <x:c r="F35" s="24" t="n">
        <x:f>IFERROR('各站彙總來源'!F35/'各站彙總來源'!G35,"")</x:f>
        <x:v>49.03846153846154</x:v>
      </x:c>
      <x:c r="G35" s="19" t="n">
        <x:f>'各站彙總來源'!G35</x:f>
        <x:v>26</x:v>
      </x:c>
      <x:c r="H35" s="24" t="n">
        <x:f>IFERROR('各站彙總來源'!H35/'各站彙總來源'!I35,"")</x:f>
        <x:v>3.8846153846153846</x:v>
      </x:c>
      <x:c r="I35" s="19" t="n">
        <x:f>'各站彙總來源'!I35</x:f>
        <x:v>26</x:v>
      </x:c>
      <x:c r="J35" s="24" t="n">
        <x:f>IFERROR('各站彙總來源'!J35/'各站彙總來源'!K35,"")</x:f>
        <x:v>15.923076923076923</x:v>
      </x:c>
      <x:c r="K35" s="19" t="n">
        <x:f>'各站彙總來源'!K35</x:f>
        <x:v>26</x:v>
      </x:c>
      <x:c r="L35" s="24" t="n">
        <x:f>IFERROR('各站彙總來源'!L35/'各站彙總來源'!M35,"")</x:f>
        <x:v>1.3076923076923077</x:v>
      </x:c>
      <x:c r="M35" s="19" t="n">
        <x:f>'各站彙總來源'!M35</x:f>
        <x:v>26</x:v>
      </x:c>
      <x:c r="N35" s="24" t="n">
        <x:f>F35+H35</x:f>
        <x:v>52.92307692307693</x:v>
      </x:c>
      <x:c r="O35" s="24" t="n">
        <x:f>J35+L35</x:f>
        <x:v>17.23076923076923</x:v>
      </x:c>
    </x:row>
    <x:row r="36">
      <x:c r="A36" s="22" t="str">
        <x:v>500101033</x:v>
      </x:c>
      <x:c r="B36" s="17" t="str">
        <x:v>大安區</x:v>
      </x:c>
      <x:c r="C36" s="17" t="str">
        <x:v>臺大男六舍前</x:v>
      </x:c>
      <x:c r="D36" s="18" t="n">
        <x:v>26</x:v>
      </x:c>
      <x:c r="E36" s="18" t="n">
        <x:v>26</x:v>
      </x:c>
      <x:c r="F36" s="24" t="n">
        <x:f>IFERROR('各站彙總來源'!F36/'各站彙總來源'!G36,"")</x:f>
        <x:v>29.96153846153846</x:v>
      </x:c>
      <x:c r="G36" s="19" t="n">
        <x:f>'各站彙總來源'!G36</x:f>
        <x:v>26</x:v>
      </x:c>
      <x:c r="H36" s="24" t="n">
        <x:f>IFERROR('各站彙總來源'!H36/'各站彙總來源'!I36,"")</x:f>
        <x:v>3.269230769230769</x:v>
      </x:c>
      <x:c r="I36" s="19" t="n">
        <x:f>'各站彙總來源'!I36</x:f>
        <x:v>26</x:v>
      </x:c>
      <x:c r="J36" s="24" t="n">
        <x:f>IFERROR('各站彙總來源'!J36/'各站彙總來源'!K36,"")</x:f>
        <x:v>9.192307692307692</x:v>
      </x:c>
      <x:c r="K36" s="19" t="n">
        <x:f>'各站彙總來源'!K36</x:f>
        <x:v>26</x:v>
      </x:c>
      <x:c r="L36" s="24" t="n">
        <x:f>IFERROR('各站彙總來源'!L36/'各站彙總來源'!M36,"")</x:f>
        <x:v>0.6153846153846154</x:v>
      </x:c>
      <x:c r="M36" s="19" t="n">
        <x:f>'各站彙總來源'!M36</x:f>
        <x:v>26</x:v>
      </x:c>
      <x:c r="N36" s="24" t="n">
        <x:f>F36+H36</x:f>
        <x:v>33.230769230769226</x:v>
      </x:c>
      <x:c r="O36" s="24" t="n">
        <x:f>J36+L36</x:f>
        <x:v>9.807692307692307</x:v>
      </x:c>
    </x:row>
    <x:row r="37">
      <x:c r="A37" s="22" t="str">
        <x:v>500101034</x:v>
      </x:c>
      <x:c r="B37" s="17" t="str">
        <x:v>大安區</x:v>
      </x:c>
      <x:c r="C37" s="17" t="str">
        <x:v>臺大動物醫院前</x:v>
      </x:c>
      <x:c r="D37" s="18" t="n">
        <x:v>26</x:v>
      </x:c>
      <x:c r="E37" s="18" t="n">
        <x:v>26</x:v>
      </x:c>
      <x:c r="F37" s="24" t="n">
        <x:f>IFERROR('各站彙總來源'!F37/'各站彙總來源'!G37,"")</x:f>
        <x:v>5.461538461538462</x:v>
      </x:c>
      <x:c r="G37" s="19" t="n">
        <x:f>'各站彙總來源'!G37</x:f>
        <x:v>26</x:v>
      </x:c>
      <x:c r="H37" s="24" t="n">
        <x:f>IFERROR('各站彙總來源'!H37/'各站彙總來源'!I37,"")</x:f>
        <x:v>0.6923076923076923</x:v>
      </x:c>
      <x:c r="I37" s="19" t="n">
        <x:f>'各站彙總來源'!I37</x:f>
        <x:v>26</x:v>
      </x:c>
      <x:c r="J37" s="24" t="n">
        <x:f>IFERROR('各站彙總來源'!J37/'各站彙總來源'!K37,"")</x:f>
        <x:v>11</x:v>
      </x:c>
      <x:c r="K37" s="19" t="n">
        <x:f>'各站彙總來源'!K37</x:f>
        <x:v>26</x:v>
      </x:c>
      <x:c r="L37" s="24" t="n">
        <x:f>IFERROR('各站彙總來源'!L37/'各站彙總來源'!M37,"")</x:f>
        <x:v>2.730769230769231</x:v>
      </x:c>
      <x:c r="M37" s="19" t="n">
        <x:f>'各站彙總來源'!M37</x:f>
        <x:v>26</x:v>
      </x:c>
      <x:c r="N37" s="24" t="n">
        <x:f>F37+H37</x:f>
        <x:v>6.153846153846154</x:v>
      </x:c>
      <x:c r="O37" s="24" t="n">
        <x:f>J37+L37</x:f>
        <x:v>13.73076923076923</x:v>
      </x:c>
    </x:row>
    <x:row r="38">
      <x:c r="A38" s="22" t="str">
        <x:v>500101035</x:v>
      </x:c>
      <x:c r="B38" s="17" t="str">
        <x:v>大安區</x:v>
      </x:c>
      <x:c r="C38" s="17" t="str">
        <x:v>臺大土木研究大樓前</x:v>
      </x:c>
      <x:c r="D38" s="18" t="n">
        <x:v>26</x:v>
      </x:c>
      <x:c r="E38" s="18" t="n">
        <x:v>26</x:v>
      </x:c>
      <x:c r="F38" s="24" t="n">
        <x:f>IFERROR('各站彙總來源'!F38/'各站彙總來源'!G38,"")</x:f>
        <x:v>5.3076923076923075</x:v>
      </x:c>
      <x:c r="G38" s="19" t="n">
        <x:f>'各站彙總來源'!G38</x:f>
        <x:v>26</x:v>
      </x:c>
      <x:c r="H38" s="24" t="n">
        <x:f>IFERROR('各站彙總來源'!H38/'各站彙總來源'!I38,"")</x:f>
        <x:v>0.6923076923076923</x:v>
      </x:c>
      <x:c r="I38" s="19" t="n">
        <x:f>'各站彙總來源'!I38</x:f>
        <x:v>26</x:v>
      </x:c>
      <x:c r="J38" s="24" t="n">
        <x:f>IFERROR('各站彙總來源'!J38/'各站彙總來源'!K38,"")</x:f>
        <x:v>12.384615384615385</x:v>
      </x:c>
      <x:c r="K38" s="19" t="n">
        <x:f>'各站彙總來源'!K38</x:f>
        <x:v>26</x:v>
      </x:c>
      <x:c r="L38" s="24" t="n">
        <x:f>IFERROR('各站彙總來源'!L38/'各站彙總來源'!M38,"")</x:f>
        <x:v>2.076923076923077</x:v>
      </x:c>
      <x:c r="M38" s="19" t="n">
        <x:f>'各站彙總來源'!M38</x:f>
        <x:v>26</x:v>
      </x:c>
      <x:c r="N38" s="24" t="n">
        <x:f>F38+H38</x:f>
        <x:v>6</x:v>
      </x:c>
      <x:c r="O38" s="24" t="n">
        <x:f>J38+L38</x:f>
        <x:v>14.461538461538462</x:v>
      </x:c>
    </x:row>
    <x:row r="39">
      <x:c r="A39" s="22" t="str">
        <x:v>500101036</x:v>
      </x:c>
      <x:c r="B39" s="17" t="str">
        <x:v>大安區</x:v>
      </x:c>
      <x:c r="C39" s="17" t="str">
        <x:v>臺大萬才館前</x:v>
      </x:c>
      <x:c r="D39" s="18" t="n">
        <x:v>26</x:v>
      </x:c>
      <x:c r="E39" s="18" t="n">
        <x:v>26</x:v>
      </x:c>
      <x:c r="F39" s="24" t="n">
        <x:f>IFERROR('各站彙總來源'!F39/'各站彙總來源'!G39,"")</x:f>
        <x:v>4.346153846153846</x:v>
      </x:c>
      <x:c r="G39" s="19" t="n">
        <x:f>'各站彙總來源'!G39</x:f>
        <x:v>26</x:v>
      </x:c>
      <x:c r="H39" s="24" t="n">
        <x:f>IFERROR('各站彙總來源'!H39/'各站彙總來源'!I39,"")</x:f>
        <x:v>0.2692307692307692</x:v>
      </x:c>
      <x:c r="I39" s="19" t="n">
        <x:f>'各站彙總來源'!I39</x:f>
        <x:v>26</x:v>
      </x:c>
      <x:c r="J39" s="24" t="n">
        <x:f>IFERROR('各站彙總來源'!J39/'各站彙總來源'!K39,"")</x:f>
        <x:v>6.615384615384615</x:v>
      </x:c>
      <x:c r="K39" s="19" t="n">
        <x:f>'各站彙總來源'!K39</x:f>
        <x:v>26</x:v>
      </x:c>
      <x:c r="L39" s="24" t="n">
        <x:f>IFERROR('各站彙總來源'!L39/'各站彙總來源'!M39,"")</x:f>
        <x:v>1.0384615384615385</x:v>
      </x:c>
      <x:c r="M39" s="19" t="n">
        <x:f>'各站彙總來源'!M39</x:f>
        <x:v>26</x:v>
      </x:c>
      <x:c r="N39" s="24" t="n">
        <x:f>F39+H39</x:f>
        <x:v>4.615384615384615</x:v>
      </x:c>
      <x:c r="O39" s="24" t="n">
        <x:f>J39+L39</x:f>
        <x:v>7.653846153846153</x:v>
      </x:c>
    </x:row>
    <x:row r="40">
      <x:c r="A40" s="22" t="str">
        <x:v>500101037</x:v>
      </x:c>
      <x:c r="B40" s="17" t="str">
        <x:v>大安區</x:v>
      </x:c>
      <x:c r="C40" s="17" t="str">
        <x:v>臺大國青大樓宿舍前</x:v>
      </x:c>
      <x:c r="D40" s="18" t="n">
        <x:v>26</x:v>
      </x:c>
      <x:c r="E40" s="18" t="n">
        <x:v>26</x:v>
      </x:c>
      <x:c r="F40" s="24" t="n">
        <x:f>IFERROR('各站彙總來源'!F40/'各站彙總來源'!G40,"")</x:f>
        <x:v>8.423076923076923</x:v>
      </x:c>
      <x:c r="G40" s="19" t="n">
        <x:f>'各站彙總來源'!G40</x:f>
        <x:v>26</x:v>
      </x:c>
      <x:c r="H40" s="24" t="n">
        <x:f>IFERROR('各站彙總來源'!H40/'各站彙總來源'!I40,"")</x:f>
        <x:v>0.5769230769230769</x:v>
      </x:c>
      <x:c r="I40" s="19" t="n">
        <x:f>'各站彙總來源'!I40</x:f>
        <x:v>26</x:v>
      </x:c>
      <x:c r="J40" s="24" t="n">
        <x:f>IFERROR('各站彙總來源'!J40/'各站彙總來源'!K40,"")</x:f>
        <x:v>6.115384615384615</x:v>
      </x:c>
      <x:c r="K40" s="19" t="n">
        <x:f>'各站彙總來源'!K40</x:f>
        <x:v>26</x:v>
      </x:c>
      <x:c r="L40" s="24" t="n">
        <x:f>IFERROR('各站彙總來源'!L40/'各站彙總來源'!M40,"")</x:f>
        <x:v>1.3076923076923077</x:v>
      </x:c>
      <x:c r="M40" s="19" t="n">
        <x:f>'各站彙總來源'!M40</x:f>
        <x:v>26</x:v>
      </x:c>
      <x:c r="N40" s="24" t="n">
        <x:f>F40+H40</x:f>
        <x:v>9</x:v>
      </x:c>
      <x:c r="O40" s="24" t="n">
        <x:f>J40+L40</x:f>
        <x:v>7.4230769230769225</x:v>
      </x:c>
    </x:row>
    <x:row r="41">
      <x:c r="A41" s="22" t="str">
        <x:v>500101038</x:v>
      </x:c>
      <x:c r="B41" s="17" t="str">
        <x:v>大安區</x:v>
      </x:c>
      <x:c r="C41" s="17" t="str">
        <x:v>臺大社科院圖書館前</x:v>
      </x:c>
      <x:c r="D41" s="18" t="n">
        <x:v>26</x:v>
      </x:c>
      <x:c r="E41" s="18" t="n">
        <x:v>26</x:v>
      </x:c>
      <x:c r="F41" s="24" t="n">
        <x:f>IFERROR('各站彙總來源'!F41/'各站彙總來源'!G41,"")</x:f>
        <x:v>4.230769230769231</x:v>
      </x:c>
      <x:c r="G41" s="19" t="n">
        <x:f>'各站彙總來源'!G41</x:f>
        <x:v>26</x:v>
      </x:c>
      <x:c r="H41" s="24" t="n">
        <x:f>IFERROR('各站彙總來源'!H41/'各站彙總來源'!I41,"")</x:f>
        <x:v>0.19230769230769232</x:v>
      </x:c>
      <x:c r="I41" s="19" t="n">
        <x:f>'各站彙總來源'!I41</x:f>
        <x:v>26</x:v>
      </x:c>
      <x:c r="J41" s="24" t="n">
        <x:f>IFERROR('各站彙總來源'!J41/'各站彙總來源'!K41,"")</x:f>
        <x:v>9.23076923076923</x:v>
      </x:c>
      <x:c r="K41" s="19" t="n">
        <x:f>'各站彙總來源'!K41</x:f>
        <x:v>26</x:v>
      </x:c>
      <x:c r="L41" s="24" t="n">
        <x:f>IFERROR('各站彙總來源'!L41/'各站彙總來源'!M41,"")</x:f>
        <x:v>2.5384615384615383</x:v>
      </x:c>
      <x:c r="M41" s="19" t="n">
        <x:f>'各站彙總來源'!M41</x:f>
        <x:v>26</x:v>
      </x:c>
      <x:c r="N41" s="24" t="n">
        <x:f>F41+H41</x:f>
        <x:v>4.423076923076923</x:v>
      </x:c>
      <x:c r="O41" s="24" t="n">
        <x:f>J41+L41</x:f>
        <x:v>11.769230769230768</x:v>
      </x:c>
    </x:row>
    <x:row r="42">
      <x:c r="A42" s="22" t="str">
        <x:v>500101039</x:v>
      </x:c>
      <x:c r="B42" s="17" t="str">
        <x:v>大安區</x:v>
      </x:c>
      <x:c r="C42" s="17" t="str">
        <x:v>臺大法人語言訓練中心前</x:v>
      </x:c>
      <x:c r="D42" s="18" t="n">
        <x:v>26</x:v>
      </x:c>
      <x:c r="E42" s="18" t="n">
        <x:v>26</x:v>
      </x:c>
      <x:c r="F42" s="24" t="n">
        <x:f>IFERROR('各站彙總來源'!F42/'各站彙總來源'!G42,"")</x:f>
        <x:v>2.769230769230769</x:v>
      </x:c>
      <x:c r="G42" s="19" t="n">
        <x:f>'各站彙總來源'!G42</x:f>
        <x:v>26</x:v>
      </x:c>
      <x:c r="H42" s="24" t="n">
        <x:f>IFERROR('各站彙總來源'!H42/'各站彙總來源'!I42,"")</x:f>
        <x:v>1</x:v>
      </x:c>
      <x:c r="I42" s="19" t="n">
        <x:f>'各站彙總來源'!I42</x:f>
        <x:v>26</x:v>
      </x:c>
      <x:c r="J42" s="24" t="n">
        <x:f>IFERROR('各站彙總來源'!J42/'各站彙總來源'!K42,"")</x:f>
        <x:v>18.53846153846154</x:v>
      </x:c>
      <x:c r="K42" s="19" t="n">
        <x:f>'各站彙總來源'!K42</x:f>
        <x:v>26</x:v>
      </x:c>
      <x:c r="L42" s="24" t="n">
        <x:f>IFERROR('各站彙總來源'!L42/'各站彙總來源'!M42,"")</x:f>
        <x:v>4.115384615384615</x:v>
      </x:c>
      <x:c r="M42" s="19" t="n">
        <x:f>'各站彙總來源'!M42</x:f>
        <x:v>26</x:v>
      </x:c>
      <x:c r="N42" s="24" t="n">
        <x:f>F42+H42</x:f>
        <x:v>3.769230769230769</x:v>
      </x:c>
      <x:c r="O42" s="24" t="n">
        <x:f>J42+L42</x:f>
        <x:v>22.653846153846153</x:v>
      </x:c>
    </x:row>
    <x:row r="43">
      <x:c r="A43" s="22" t="str">
        <x:v>500101040</x:v>
      </x:c>
      <x:c r="B43" s="17" t="str">
        <x:v>大安區</x:v>
      </x:c>
      <x:c r="C43" s="17" t="str">
        <x:v>臺大綜合體育館停車場前</x:v>
      </x:c>
      <x:c r="D43" s="18" t="n">
        <x:v>26</x:v>
      </x:c>
      <x:c r="E43" s="18" t="n">
        <x:v>26</x:v>
      </x:c>
      <x:c r="F43" s="24" t="n">
        <x:f>IFERROR('各站彙總來源'!F43/'各站彙總來源'!G43,"")</x:f>
        <x:v>7.538461538461538</x:v>
      </x:c>
      <x:c r="G43" s="19" t="n">
        <x:f>'各站彙總來源'!G43</x:f>
        <x:v>26</x:v>
      </x:c>
      <x:c r="H43" s="24" t="n">
        <x:f>IFERROR('各站彙總來源'!H43/'各站彙總來源'!I43,"")</x:f>
        <x:v>0.23076923076923078</x:v>
      </x:c>
      <x:c r="I43" s="19" t="n">
        <x:f>'各站彙總來源'!I43</x:f>
        <x:v>26</x:v>
      </x:c>
      <x:c r="J43" s="24" t="n">
        <x:f>IFERROR('各站彙總來源'!J43/'各站彙總來源'!K43,"")</x:f>
        <x:v>9.346153846153847</x:v>
      </x:c>
      <x:c r="K43" s="19" t="n">
        <x:f>'各站彙總來源'!K43</x:f>
        <x:v>26</x:v>
      </x:c>
      <x:c r="L43" s="24" t="n">
        <x:f>IFERROR('各站彙總來源'!L43/'各站彙總來源'!M43,"")</x:f>
        <x:v>1.3846153846153846</x:v>
      </x:c>
      <x:c r="M43" s="19" t="n">
        <x:f>'各站彙總來源'!M43</x:f>
        <x:v>26</x:v>
      </x:c>
      <x:c r="N43" s="24" t="n">
        <x:f>F43+H43</x:f>
        <x:v>7.769230769230769</x:v>
      </x:c>
      <x:c r="O43" s="24" t="n">
        <x:f>J43+L43</x:f>
        <x:v>10.730769230769232</x:v>
      </x:c>
    </x:row>
    <x:row r="44">
      <x:c r="A44" s="22" t="str">
        <x:v>500101041</x:v>
      </x:c>
      <x:c r="B44" s="17" t="str">
        <x:v>大安區</x:v>
      </x:c>
      <x:c r="C44" s="17" t="str">
        <x:v>辛亥新生路口東南側</x:v>
      </x:c>
      <x:c r="D44" s="18" t="n">
        <x:v>26</x:v>
      </x:c>
      <x:c r="E44" s="18" t="n">
        <x:v>26</x:v>
      </x:c>
      <x:c r="F44" s="24" t="n">
        <x:f>IFERROR('各站彙總來源'!F44/'各站彙總來源'!G44,"")</x:f>
        <x:v>11.384615384615385</x:v>
      </x:c>
      <x:c r="G44" s="19" t="n">
        <x:f>'各站彙總來源'!G44</x:f>
        <x:v>26</x:v>
      </x:c>
      <x:c r="H44" s="24" t="n">
        <x:f>IFERROR('各站彙總來源'!H44/'各站彙總來源'!I44,"")</x:f>
        <x:v>0.5769230769230769</x:v>
      </x:c>
      <x:c r="I44" s="19" t="n">
        <x:f>'各站彙總來源'!I44</x:f>
        <x:v>26</x:v>
      </x:c>
      <x:c r="J44" s="24" t="n">
        <x:f>IFERROR('各站彙總來源'!J44/'各站彙總來源'!K44,"")</x:f>
        <x:v>7.961538461538462</x:v>
      </x:c>
      <x:c r="K44" s="19" t="n">
        <x:f>'各站彙總來源'!K44</x:f>
        <x:v>26</x:v>
      </x:c>
      <x:c r="L44" s="24" t="n">
        <x:f>IFERROR('各站彙總來源'!L44/'各站彙總來源'!M44,"")</x:f>
        <x:v>1.5769230769230769</x:v>
      </x:c>
      <x:c r="M44" s="19" t="n">
        <x:f>'各站彙總來源'!M44</x:f>
        <x:v>26</x:v>
      </x:c>
      <x:c r="N44" s="24" t="n">
        <x:f>F44+H44</x:f>
        <x:v>11.961538461538462</x:v>
      </x:c>
      <x:c r="O44" s="24" t="n">
        <x:f>J44+L44</x:f>
        <x:v>9.538461538461538</x:v>
      </x:c>
    </x:row>
    <x:row r="45">
      <x:c r="A45" s="22" t="str">
        <x:v>500101042</x:v>
      </x:c>
      <x:c r="B45" s="17" t="str">
        <x:v>大安區</x:v>
      </x:c>
      <x:c r="C45" s="17" t="str">
        <x:v>基隆長興路口東側</x:v>
      </x:c>
      <x:c r="D45" s="18" t="n">
        <x:v>26</x:v>
      </x:c>
      <x:c r="E45" s="18" t="n">
        <x:v>26</x:v>
      </x:c>
      <x:c r="F45" s="24" t="n">
        <x:f>IFERROR('各站彙總來源'!F45/'各站彙總來源'!G45,"")</x:f>
        <x:v>11.423076923076923</x:v>
      </x:c>
      <x:c r="G45" s="19" t="n">
        <x:f>'各站彙總來源'!G45</x:f>
        <x:v>26</x:v>
      </x:c>
      <x:c r="H45" s="24" t="n">
        <x:f>IFERROR('各站彙總來源'!H45/'各站彙總來源'!I45,"")</x:f>
        <x:v>1.3846153846153846</x:v>
      </x:c>
      <x:c r="I45" s="19" t="n">
        <x:f>'各站彙總來源'!I45</x:f>
        <x:v>26</x:v>
      </x:c>
      <x:c r="J45" s="24" t="n">
        <x:f>IFERROR('各站彙總來源'!J45/'各站彙總來源'!K45,"")</x:f>
        <x:v>4.423076923076923</x:v>
      </x:c>
      <x:c r="K45" s="19" t="n">
        <x:f>'各站彙總來源'!K45</x:f>
        <x:v>26</x:v>
      </x:c>
      <x:c r="L45" s="24" t="n">
        <x:f>IFERROR('各站彙總來源'!L45/'各站彙總來源'!M45,"")</x:f>
        <x:v>0.7307692307692307</x:v>
      </x:c>
      <x:c r="M45" s="19" t="n">
        <x:f>'各站彙總來源'!M45</x:f>
        <x:v>26</x:v>
      </x:c>
      <x:c r="N45" s="24" t="n">
        <x:f>F45+H45</x:f>
        <x:v>12.807692307692308</x:v>
      </x:c>
      <x:c r="O45" s="24" t="n">
        <x:f>J45+L45</x:f>
        <x:v>5.153846153846154</x:v>
      </x:c>
    </x:row>
    <x:row r="46">
      <x:c r="A46" s="22" t="str">
        <x:v>500101091</x:v>
      </x:c>
      <x:c r="B46" s="17" t="str">
        <x:v>大安區</x:v>
      </x:c>
      <x:c r="C46" s="17" t="str">
        <x:v>國北教大側門南側</x:v>
      </x:c>
      <x:c r="D46" s="18" t="n">
        <x:v>26</x:v>
      </x:c>
      <x:c r="E46" s="18" t="n">
        <x:v>26</x:v>
      </x:c>
      <x:c r="F46" s="24" t="n">
        <x:f>IFERROR('各站彙總來源'!F46/'各站彙總來源'!G46,"")</x:f>
        <x:v>15.807692307692308</x:v>
      </x:c>
      <x:c r="G46" s="19" t="n">
        <x:f>'各站彙總來源'!G46</x:f>
        <x:v>26</x:v>
      </x:c>
      <x:c r="H46" s="24" t="n">
        <x:f>IFERROR('各站彙總來源'!H46/'各站彙總來源'!I46,"")</x:f>
        <x:v>2.3076923076923075</x:v>
      </x:c>
      <x:c r="I46" s="19" t="n">
        <x:f>'各站彙總來源'!I46</x:f>
        <x:v>26</x:v>
      </x:c>
      <x:c r="J46" s="24" t="n">
        <x:f>IFERROR('各站彙總來源'!J46/'各站彙總來源'!K46,"")</x:f>
        <x:v>15.153846153846153</x:v>
      </x:c>
      <x:c r="K46" s="19" t="n">
        <x:f>'各站彙總來源'!K46</x:f>
        <x:v>26</x:v>
      </x:c>
      <x:c r="L46" s="24" t="n">
        <x:f>IFERROR('各站彙總來源'!L46/'各站彙總來源'!M46,"")</x:f>
        <x:v>3.1923076923076925</x:v>
      </x:c>
      <x:c r="M46" s="19" t="n">
        <x:f>'各站彙總來源'!M46</x:f>
        <x:v>26</x:v>
      </x:c>
      <x:c r="N46" s="24" t="n">
        <x:f>F46+H46</x:f>
        <x:v>18.115384615384617</x:v>
      </x:c>
      <x:c r="O46" s="24" t="n">
        <x:f>J46+L46</x:f>
        <x:v>18.346153846153847</x:v>
      </x:c>
    </x:row>
    <x:row r="47">
      <x:c r="A47" s="22" t="str">
        <x:v>500101092</x:v>
      </x:c>
      <x:c r="B47" s="17" t="str">
        <x:v>大安區</x:v>
      </x:c>
      <x:c r="C47" s="17" t="str">
        <x:v>和平實小東北側</x:v>
      </x:c>
      <x:c r="D47" s="18" t="n">
        <x:v>26</x:v>
      </x:c>
      <x:c r="E47" s="18" t="n">
        <x:v>26</x:v>
      </x:c>
      <x:c r="F47" s="24" t="n">
        <x:f>IFERROR('各站彙總來源'!F47/'各站彙總來源'!G47,"")</x:f>
        <x:v>8.384615384615385</x:v>
      </x:c>
      <x:c r="G47" s="19" t="n">
        <x:f>'各站彙總來源'!G47</x:f>
        <x:v>26</x:v>
      </x:c>
      <x:c r="H47" s="24" t="n">
        <x:f>IFERROR('各站彙總來源'!H47/'各站彙總來源'!I47,"")</x:f>
        <x:v>0.8846153846153846</x:v>
      </x:c>
      <x:c r="I47" s="19" t="n">
        <x:f>'各站彙總來源'!I47</x:f>
        <x:v>26</x:v>
      </x:c>
      <x:c r="J47" s="24" t="n">
        <x:f>IFERROR('各站彙總來源'!J47/'各站彙總來源'!K47,"")</x:f>
        <x:v>15.26923076923077</x:v>
      </x:c>
      <x:c r="K47" s="19" t="n">
        <x:f>'各站彙總來源'!K47</x:f>
        <x:v>26</x:v>
      </x:c>
      <x:c r="L47" s="24" t="n">
        <x:f>IFERROR('各站彙總來源'!L47/'各站彙總來源'!M47,"")</x:f>
        <x:v>2.1538461538461537</x:v>
      </x:c>
      <x:c r="M47" s="19" t="n">
        <x:f>'各站彙總來源'!M47</x:f>
        <x:v>26</x:v>
      </x:c>
      <x:c r="N47" s="24" t="n">
        <x:f>F47+H47</x:f>
        <x:v>9.26923076923077</x:v>
      </x:c>
      <x:c r="O47" s="24" t="n">
        <x:f>J47+L47</x:f>
        <x:v>17.423076923076923</x:v>
      </x:c>
    </x:row>
    <x:row r="48">
      <x:c r="A48" s="22" t="str">
        <x:v>500101093</x:v>
      </x:c>
      <x:c r="B48" s="17" t="str">
        <x:v>大安區</x:v>
      </x:c>
      <x:c r="C48" s="17" t="str">
        <x:v>大安區健康服務中心</x:v>
      </x:c>
      <x:c r="D48" s="18" t="n">
        <x:v>26</x:v>
      </x:c>
      <x:c r="E48" s="18" t="n">
        <x:v>26</x:v>
      </x:c>
      <x:c r="F48" s="24" t="n">
        <x:f>IFERROR('各站彙總來源'!F48/'各站彙總來源'!G48,"")</x:f>
        <x:v>5.1923076923076925</x:v>
      </x:c>
      <x:c r="G48" s="19" t="n">
        <x:f>'各站彙總來源'!G48</x:f>
        <x:v>26</x:v>
      </x:c>
      <x:c r="H48" s="24" t="n">
        <x:f>IFERROR('各站彙總來源'!H48/'各站彙總來源'!I48,"")</x:f>
        <x:v>0.9615384615384616</x:v>
      </x:c>
      <x:c r="I48" s="19" t="n">
        <x:f>'各站彙總來源'!I48</x:f>
        <x:v>26</x:v>
      </x:c>
      <x:c r="J48" s="24" t="n">
        <x:f>IFERROR('各站彙總來源'!J48/'各站彙總來源'!K48,"")</x:f>
        <x:v>6.615384615384615</x:v>
      </x:c>
      <x:c r="K48" s="19" t="n">
        <x:f>'各站彙總來源'!K48</x:f>
        <x:v>26</x:v>
      </x:c>
      <x:c r="L48" s="24" t="n">
        <x:f>IFERROR('各站彙總來源'!L48/'各站彙總來源'!M48,"")</x:f>
        <x:v>1.3461538461538463</x:v>
      </x:c>
      <x:c r="M48" s="19" t="n">
        <x:f>'各站彙總來源'!M48</x:f>
        <x:v>26</x:v>
      </x:c>
      <x:c r="N48" s="24" t="n">
        <x:f>F48+H48</x:f>
        <x:v>6.153846153846154</x:v>
      </x:c>
      <x:c r="O48" s="24" t="n">
        <x:f>J48+L48</x:f>
        <x:v>7.961538461538462</x:v>
      </x:c>
    </x:row>
    <x:row r="49">
      <x:c r="A49" s="22" t="str">
        <x:v>500101094</x:v>
      </x:c>
      <x:c r="B49" s="17" t="str">
        <x:v>大安區</x:v>
      </x:c>
      <x:c r="C49" s="17" t="str">
        <x:v>辛亥泰順街口</x:v>
      </x:c>
      <x:c r="D49" s="18" t="n">
        <x:v>26</x:v>
      </x:c>
      <x:c r="E49" s="18" t="n">
        <x:v>26</x:v>
      </x:c>
      <x:c r="F49" s="24" t="n">
        <x:f>IFERROR('各站彙總來源'!F49/'各站彙總來源'!G49,"")</x:f>
        <x:v>23.46153846153846</x:v>
      </x:c>
      <x:c r="G49" s="19" t="n">
        <x:f>'各站彙總來源'!G49</x:f>
        <x:v>26</x:v>
      </x:c>
      <x:c r="H49" s="24" t="n">
        <x:f>IFERROR('各站彙總來源'!H49/'各站彙總來源'!I49,"")</x:f>
        <x:v>4.461538461538462</x:v>
      </x:c>
      <x:c r="I49" s="19" t="n">
        <x:f>'各站彙總來源'!I49</x:f>
        <x:v>26</x:v>
      </x:c>
      <x:c r="J49" s="24" t="n">
        <x:f>IFERROR('各站彙總來源'!J49/'各站彙總來源'!K49,"")</x:f>
        <x:v>4.653846153846154</x:v>
      </x:c>
      <x:c r="K49" s="19" t="n">
        <x:f>'各站彙總來源'!K49</x:f>
        <x:v>26</x:v>
      </x:c>
      <x:c r="L49" s="24" t="n">
        <x:f>IFERROR('各站彙總來源'!L49/'各站彙總來源'!M49,"")</x:f>
        <x:v>0.6153846153846154</x:v>
      </x:c>
      <x:c r="M49" s="19" t="n">
        <x:f>'各站彙總來源'!M49</x:f>
        <x:v>26</x:v>
      </x:c>
      <x:c r="N49" s="24" t="n">
        <x:f>F49+H49</x:f>
        <x:v>27.92307692307692</x:v>
      </x:c>
      <x:c r="O49" s="24" t="n">
        <x:f>J49+L49</x:f>
        <x:v>5.26923076923077</x:v>
      </x:c>
    </x:row>
    <x:row r="50">
      <x:c r="A50" s="22" t="str">
        <x:v>500101095</x:v>
      </x:c>
      <x:c r="B50" s="17" t="str">
        <x:v>大安區</x:v>
      </x:c>
      <x:c r="C50" s="17" t="str">
        <x:v>臺北市芳和實驗中學</x:v>
      </x:c>
      <x:c r="D50" s="18" t="n">
        <x:v>26</x:v>
      </x:c>
      <x:c r="E50" s="18" t="n">
        <x:v>26</x:v>
      </x:c>
      <x:c r="F50" s="24" t="n">
        <x:f>IFERROR('各站彙總來源'!F50/'各站彙總來源'!G50,"")</x:f>
        <x:v>29.576923076923077</x:v>
      </x:c>
      <x:c r="G50" s="19" t="n">
        <x:f>'各站彙總來源'!G50</x:f>
        <x:v>26</x:v>
      </x:c>
      <x:c r="H50" s="24" t="n">
        <x:f>IFERROR('各站彙總來源'!H50/'各站彙總來源'!I50,"")</x:f>
        <x:v>2.4615384615384617</x:v>
      </x:c>
      <x:c r="I50" s="19" t="n">
        <x:f>'各站彙總來源'!I50</x:f>
        <x:v>26</x:v>
      </x:c>
      <x:c r="J50" s="24" t="n">
        <x:f>IFERROR('各站彙總來源'!J50/'各站彙總來源'!K50,"")</x:f>
        <x:v>12.846153846153847</x:v>
      </x:c>
      <x:c r="K50" s="19" t="n">
        <x:f>'各站彙總來源'!K50</x:f>
        <x:v>26</x:v>
      </x:c>
      <x:c r="L50" s="24" t="n">
        <x:f>IFERROR('各站彙總來源'!L50/'各站彙總來源'!M50,"")</x:f>
        <x:v>1.7307692307692308</x:v>
      </x:c>
      <x:c r="M50" s="19" t="n">
        <x:f>'各站彙總來源'!M50</x:f>
        <x:v>26</x:v>
      </x:c>
      <x:c r="N50" s="24" t="n">
        <x:f>F50+H50</x:f>
        <x:v>32.03846153846154</x:v>
      </x:c>
      <x:c r="O50" s="24" t="n">
        <x:f>J50+L50</x:f>
        <x:v>14.576923076923077</x:v>
      </x:c>
    </x:row>
    <x:row r="51">
      <x:c r="A51" s="22" t="str">
        <x:v>500101096</x:v>
      </x:c>
      <x:c r="B51" s="17" t="str">
        <x:v>大安區</x:v>
      </x:c>
      <x:c r="C51" s="17" t="str">
        <x:v>辛亥基隆路口</x:v>
      </x:c>
      <x:c r="D51" s="18" t="n">
        <x:v>26</x:v>
      </x:c>
      <x:c r="E51" s="18" t="n">
        <x:v>26</x:v>
      </x:c>
      <x:c r="F51" s="24" t="n">
        <x:f>IFERROR('各站彙總來源'!F51/'各站彙總來源'!G51,"")</x:f>
        <x:v>0</x:v>
      </x:c>
      <x:c r="G51" s="19" t="n">
        <x:f>'各站彙總來源'!G51</x:f>
        <x:v>26</x:v>
      </x:c>
      <x:c r="H51" s="24" t="n">
        <x:f>IFERROR('各站彙總來源'!H51/'各站彙總來源'!I51,"")</x:f>
        <x:v>0</x:v>
      </x:c>
      <x:c r="I51" s="19" t="n">
        <x:f>'各站彙總來源'!I51</x:f>
        <x:v>26</x:v>
      </x:c>
      <x:c r="J51" s="24" t="n">
        <x:f>IFERROR('各站彙總來源'!J51/'各站彙總來源'!K51,"")</x:f>
        <x:v>0</x:v>
      </x:c>
      <x:c r="K51" s="19" t="n">
        <x:f>'各站彙總來源'!K51</x:f>
        <x:v>26</x:v>
      </x:c>
      <x:c r="L51" s="24" t="n">
        <x:f>IFERROR('各站彙總來源'!L51/'各站彙總來源'!M51,"")</x:f>
        <x:v>0</x:v>
      </x:c>
      <x:c r="M51" s="19" t="n">
        <x:f>'各站彙總來源'!M51</x:f>
        <x:v>26</x:v>
      </x:c>
      <x:c r="N51" s="24" t="n">
        <x:f>F51+H51</x:f>
        <x:v>0</x:v>
      </x:c>
      <x:c r="O51" s="24" t="n">
        <x:f>J51+L51</x:f>
        <x:v>0</x:v>
      </x:c>
    </x:row>
    <x:row r="52">
      <x:c r="A52" s="22" t="str">
        <x:v>500101097</x:v>
      </x:c>
      <x:c r="B52" s="17" t="str">
        <x:v>大安區</x:v>
      </x:c>
      <x:c r="C52" s="17" t="str">
        <x:v>臥龍樂業街口</x:v>
      </x:c>
      <x:c r="D52" s="18" t="n">
        <x:v>26</x:v>
      </x:c>
      <x:c r="E52" s="18" t="n">
        <x:v>26</x:v>
      </x:c>
      <x:c r="F52" s="24" t="n">
        <x:f>IFERROR('各站彙總來源'!F52/'各站彙總來源'!G52,"")</x:f>
        <x:v>34.73076923076923</x:v>
      </x:c>
      <x:c r="G52" s="19" t="n">
        <x:f>'各站彙總來源'!G52</x:f>
        <x:v>26</x:v>
      </x:c>
      <x:c r="H52" s="24" t="n">
        <x:f>IFERROR('各站彙總來源'!H52/'各站彙總來源'!I52,"")</x:f>
        <x:v>7.653846153846154</x:v>
      </x:c>
      <x:c r="I52" s="19" t="n">
        <x:f>'各站彙總來源'!I52</x:f>
        <x:v>26</x:v>
      </x:c>
      <x:c r="J52" s="24" t="n">
        <x:f>IFERROR('各站彙總來源'!J52/'各站彙總來源'!K52,"")</x:f>
        <x:v>5.769230769230769</x:v>
      </x:c>
      <x:c r="K52" s="19" t="n">
        <x:f>'各站彙總來源'!K52</x:f>
        <x:v>26</x:v>
      </x:c>
      <x:c r="L52" s="24" t="n">
        <x:f>IFERROR('各站彙總來源'!L52/'各站彙總來源'!M52,"")</x:f>
        <x:v>1.0384615384615385</x:v>
      </x:c>
      <x:c r="M52" s="19" t="n">
        <x:f>'各站彙總來源'!M52</x:f>
        <x:v>26</x:v>
      </x:c>
      <x:c r="N52" s="24" t="n">
        <x:f>F52+H52</x:f>
        <x:v>42.38461538461539</x:v>
      </x:c>
      <x:c r="O52" s="24" t="n">
        <x:f>J52+L52</x:f>
        <x:v>6.8076923076923075</x:v>
      </x:c>
    </x:row>
    <x:row r="53">
      <x:c r="A53" s="22" t="str">
        <x:v>500101098</x:v>
      </x:c>
      <x:c r="B53" s="17" t="str">
        <x:v>大安區</x:v>
      </x:c>
      <x:c r="C53" s="17" t="str">
        <x:v>臥龍公園</x:v>
      </x:c>
      <x:c r="D53" s="18" t="n">
        <x:v>26</x:v>
      </x:c>
      <x:c r="E53" s="18" t="n">
        <x:v>26</x:v>
      </x:c>
      <x:c r="F53" s="24" t="n">
        <x:f>IFERROR('各站彙總來源'!F53/'各站彙總來源'!G53,"")</x:f>
        <x:v>10.5</x:v>
      </x:c>
      <x:c r="G53" s="19" t="n">
        <x:f>'各站彙總來源'!G53</x:f>
        <x:v>26</x:v>
      </x:c>
      <x:c r="H53" s="24" t="n">
        <x:f>IFERROR('各站彙總來源'!H53/'各站彙總來源'!I53,"")</x:f>
        <x:v>0.6538461538461539</x:v>
      </x:c>
      <x:c r="I53" s="19" t="n">
        <x:f>'各站彙總來源'!I53</x:f>
        <x:v>26</x:v>
      </x:c>
      <x:c r="J53" s="24" t="n">
        <x:f>IFERROR('各站彙總來源'!J53/'各站彙總來源'!K53,"")</x:f>
        <x:v>5.8076923076923075</x:v>
      </x:c>
      <x:c r="K53" s="19" t="n">
        <x:f>'各站彙總來源'!K53</x:f>
        <x:v>26</x:v>
      </x:c>
      <x:c r="L53" s="24" t="n">
        <x:f>IFERROR('各站彙總來源'!L53/'各站彙總來源'!M53,"")</x:f>
        <x:v>1.1538461538461537</x:v>
      </x:c>
      <x:c r="M53" s="19" t="n">
        <x:f>'各站彙總來源'!M53</x:f>
        <x:v>26</x:v>
      </x:c>
      <x:c r="N53" s="24" t="n">
        <x:f>F53+H53</x:f>
        <x:v>11.153846153846153</x:v>
      </x:c>
      <x:c r="O53" s="24" t="n">
        <x:f>J53+L53</x:f>
        <x:v>6.961538461538462</x:v>
      </x:c>
    </x:row>
    <x:row r="54">
      <x:c r="A54" s="22" t="str">
        <x:v>500101099</x:v>
      </x:c>
      <x:c r="B54" s="17" t="str">
        <x:v>大安區</x:v>
      </x:c>
      <x:c r="C54" s="17" t="str">
        <x:v>嘉興公園</x:v>
      </x:c>
      <x:c r="D54" s="18" t="n">
        <x:v>26</x:v>
      </x:c>
      <x:c r="E54" s="18" t="n">
        <x:v>26</x:v>
      </x:c>
      <x:c r="F54" s="24" t="n">
        <x:f>IFERROR('各站彙總來源'!F54/'各站彙總來源'!G54,"")</x:f>
        <x:v>55.92307692307692</x:v>
      </x:c>
      <x:c r="G54" s="19" t="n">
        <x:f>'各站彙總來源'!G54</x:f>
        <x:v>26</x:v>
      </x:c>
      <x:c r="H54" s="24" t="n">
        <x:f>IFERROR('各站彙總來源'!H54/'各站彙總來源'!I54,"")</x:f>
        <x:v>5.346153846153846</x:v>
      </x:c>
      <x:c r="I54" s="19" t="n">
        <x:f>'各站彙總來源'!I54</x:f>
        <x:v>26</x:v>
      </x:c>
      <x:c r="J54" s="24" t="n">
        <x:f>IFERROR('各站彙總來源'!J54/'各站彙總來源'!K54,"")</x:f>
        <x:v>4.1923076923076925</x:v>
      </x:c>
      <x:c r="K54" s="19" t="n">
        <x:f>'各站彙總來源'!K54</x:f>
        <x:v>26</x:v>
      </x:c>
      <x:c r="L54" s="24" t="n">
        <x:f>IFERROR('各站彙總來源'!L54/'各站彙總來源'!M54,"")</x:f>
        <x:v>1.6923076923076923</x:v>
      </x:c>
      <x:c r="M54" s="19" t="n">
        <x:f>'各站彙總來源'!M54</x:f>
        <x:v>26</x:v>
      </x:c>
      <x:c r="N54" s="24" t="n">
        <x:f>F54+H54</x:f>
        <x:v>61.26923076923077</x:v>
      </x:c>
      <x:c r="O54" s="24" t="n">
        <x:f>J54+L54</x:f>
        <x:v>5.884615384615385</x:v>
      </x:c>
    </x:row>
    <x:row r="55">
      <x:c r="A55" s="22" t="str">
        <x:v>500101100</x:v>
      </x:c>
      <x:c r="B55" s="17" t="str">
        <x:v>大安區</x:v>
      </x:c>
      <x:c r="C55" s="17" t="str">
        <x:v>捷運麟光站(2號出口)</x:v>
      </x:c>
      <x:c r="D55" s="18" t="n">
        <x:v>26</x:v>
      </x:c>
      <x:c r="E55" s="18" t="n">
        <x:v>26</x:v>
      </x:c>
      <x:c r="F55" s="24" t="n">
        <x:f>IFERROR('各站彙總來源'!F55/'各站彙總來源'!G55,"")</x:f>
        <x:v>20.46153846153846</x:v>
      </x:c>
      <x:c r="G55" s="19" t="n">
        <x:f>'各站彙總來源'!G55</x:f>
        <x:v>26</x:v>
      </x:c>
      <x:c r="H55" s="24" t="n">
        <x:f>IFERROR('各站彙總來源'!H55/'各站彙總來源'!I55,"")</x:f>
        <x:v>4.115384615384615</x:v>
      </x:c>
      <x:c r="I55" s="19" t="n">
        <x:f>'各站彙總來源'!I55</x:f>
        <x:v>26</x:v>
      </x:c>
      <x:c r="J55" s="24" t="n">
        <x:f>IFERROR('各站彙總來源'!J55/'各站彙總來源'!K55,"")</x:f>
        <x:v>12.26923076923077</x:v>
      </x:c>
      <x:c r="K55" s="19" t="n">
        <x:f>'各站彙總來源'!K55</x:f>
        <x:v>26</x:v>
      </x:c>
      <x:c r="L55" s="24" t="n">
        <x:f>IFERROR('各站彙總來源'!L55/'各站彙總來源'!M55,"")</x:f>
        <x:v>1.5384615384615385</x:v>
      </x:c>
      <x:c r="M55" s="19" t="n">
        <x:f>'各站彙總來源'!M55</x:f>
        <x:v>26</x:v>
      </x:c>
      <x:c r="N55" s="24" t="n">
        <x:f>F55+H55</x:f>
        <x:v>24.576923076923073</x:v>
      </x:c>
      <x:c r="O55" s="24" t="n">
        <x:f>J55+L55</x:f>
        <x:v>13.807692307692308</x:v>
      </x:c>
    </x:row>
    <x:row r="56">
      <x:c r="A56" s="22" t="str">
        <x:v>500101101</x:v>
      </x:c>
      <x:c r="B56" s="17" t="str">
        <x:v>大安區</x:v>
      </x:c>
      <x:c r="C56" s="17" t="str">
        <x:v>捷運六張犁站</x:v>
      </x:c>
      <x:c r="D56" s="18" t="n">
        <x:v>26</x:v>
      </x:c>
      <x:c r="E56" s="18" t="n">
        <x:v>26</x:v>
      </x:c>
      <x:c r="F56" s="24" t="n">
        <x:f>IFERROR('各站彙總來源'!F56/'各站彙總來源'!G56,"")</x:f>
        <x:v>22.653846153846153</x:v>
      </x:c>
      <x:c r="G56" s="19" t="n">
        <x:f>'各站彙總來源'!G56</x:f>
        <x:v>26</x:v>
      </x:c>
      <x:c r="H56" s="24" t="n">
        <x:f>IFERROR('各站彙總來源'!H56/'各站彙總來源'!I56,"")</x:f>
        <x:v>2.1538461538461537</x:v>
      </x:c>
      <x:c r="I56" s="19" t="n">
        <x:f>'各站彙總來源'!I56</x:f>
        <x:v>26</x:v>
      </x:c>
      <x:c r="J56" s="24" t="n">
        <x:f>IFERROR('各站彙總來源'!J56/'各站彙總來源'!K56,"")</x:f>
        <x:v>9.461538461538462</x:v>
      </x:c>
      <x:c r="K56" s="19" t="n">
        <x:f>'各站彙總來源'!K56</x:f>
        <x:v>26</x:v>
      </x:c>
      <x:c r="L56" s="24" t="n">
        <x:f>IFERROR('各站彙總來源'!L56/'各站彙總來源'!M56,"")</x:f>
        <x:v>3.423076923076923</x:v>
      </x:c>
      <x:c r="M56" s="19" t="n">
        <x:f>'各站彙總來源'!M56</x:f>
        <x:v>26</x:v>
      </x:c>
      <x:c r="N56" s="24" t="n">
        <x:f>F56+H56</x:f>
        <x:v>24.807692307692307</x:v>
      </x:c>
      <x:c r="O56" s="24" t="n">
        <x:f>J56+L56</x:f>
        <x:v>12.884615384615385</x:v>
      </x:c>
    </x:row>
    <x:row r="57">
      <x:c r="A57" s="22" t="str">
        <x:v>500101102</x:v>
      </x:c>
      <x:c r="B57" s="17" t="str">
        <x:v>大安區</x:v>
      </x:c>
      <x:c r="C57" s="17" t="str">
        <x:v>喬治工商</x:v>
      </x:c>
      <x:c r="D57" s="18" t="n">
        <x:v>26</x:v>
      </x:c>
      <x:c r="E57" s="18" t="n">
        <x:v>26</x:v>
      </x:c>
      <x:c r="F57" s="24" t="n">
        <x:f>IFERROR('各站彙總來源'!F57/'各站彙總來源'!G57,"")</x:f>
        <x:v>14.115384615384615</x:v>
      </x:c>
      <x:c r="G57" s="19" t="n">
        <x:f>'各站彙總來源'!G57</x:f>
        <x:v>26</x:v>
      </x:c>
      <x:c r="H57" s="24" t="n">
        <x:f>IFERROR('各站彙總來源'!H57/'各站彙總來源'!I57,"")</x:f>
        <x:v>2.6923076923076925</x:v>
      </x:c>
      <x:c r="I57" s="19" t="n">
        <x:f>'各站彙總來源'!I57</x:f>
        <x:v>26</x:v>
      </x:c>
      <x:c r="J57" s="24" t="n">
        <x:f>IFERROR('各站彙總來源'!J57/'各站彙總來源'!K57,"")</x:f>
        <x:v>5.346153846153846</x:v>
      </x:c>
      <x:c r="K57" s="19" t="n">
        <x:f>'各站彙總來源'!K57</x:f>
        <x:v>26</x:v>
      </x:c>
      <x:c r="L57" s="24" t="n">
        <x:f>IFERROR('各站彙總來源'!L57/'各站彙總來源'!M57,"")</x:f>
        <x:v>1.4230769230769231</x:v>
      </x:c>
      <x:c r="M57" s="19" t="n">
        <x:f>'各站彙總來源'!M57</x:f>
        <x:v>26</x:v>
      </x:c>
      <x:c r="N57" s="24" t="n">
        <x:f>F57+H57</x:f>
        <x:v>16.807692307692307</x:v>
      </x:c>
      <x:c r="O57" s="24" t="n">
        <x:f>J57+L57</x:f>
        <x:v>6.769230769230769</x:v>
      </x:c>
    </x:row>
    <x:row r="58">
      <x:c r="A58" s="22" t="str">
        <x:v>500101103</x:v>
      </x:c>
      <x:c r="B58" s="17" t="str">
        <x:v>大安區</x:v>
      </x:c>
      <x:c r="C58" s="17" t="str">
        <x:v>法治公園</x:v>
      </x:c>
      <x:c r="D58" s="18" t="n">
        <x:v>26</x:v>
      </x:c>
      <x:c r="E58" s="18" t="n">
        <x:v>26</x:v>
      </x:c>
      <x:c r="F58" s="24" t="n">
        <x:f>IFERROR('各站彙總來源'!F58/'各站彙總來源'!G58,"")</x:f>
        <x:v>36.80769230769231</x:v>
      </x:c>
      <x:c r="G58" s="19" t="n">
        <x:f>'各站彙總來源'!G58</x:f>
        <x:v>26</x:v>
      </x:c>
      <x:c r="H58" s="24" t="n">
        <x:f>IFERROR('各站彙總來源'!H58/'各站彙總來源'!I58,"")</x:f>
        <x:v>4.576923076923077</x:v>
      </x:c>
      <x:c r="I58" s="19" t="n">
        <x:f>'各站彙總來源'!I58</x:f>
        <x:v>26</x:v>
      </x:c>
      <x:c r="J58" s="24" t="n">
        <x:f>IFERROR('各站彙總來源'!J58/'各站彙總來源'!K58,"")</x:f>
        <x:v>3.269230769230769</x:v>
      </x:c>
      <x:c r="K58" s="19" t="n">
        <x:f>'各站彙總來源'!K58</x:f>
        <x:v>26</x:v>
      </x:c>
      <x:c r="L58" s="24" t="n">
        <x:f>IFERROR('各站彙總來源'!L58/'各站彙總來源'!M58,"")</x:f>
        <x:v>1.3846153846153846</x:v>
      </x:c>
      <x:c r="M58" s="19" t="n">
        <x:f>'各站彙總來源'!M58</x:f>
        <x:v>26</x:v>
      </x:c>
      <x:c r="N58" s="24" t="n">
        <x:f>F58+H58</x:f>
        <x:v>41.38461538461539</x:v>
      </x:c>
      <x:c r="O58" s="24" t="n">
        <x:f>J58+L58</x:f>
        <x:v>4.653846153846153</x:v>
      </x:c>
    </x:row>
    <x:row r="59">
      <x:c r="A59" s="22" t="str">
        <x:v>500101104</x:v>
      </x:c>
      <x:c r="B59" s="17" t="str">
        <x:v>大安區</x:v>
      </x:c>
      <x:c r="C59" s="17" t="str">
        <x:v>捷運臺電大樓站(2號出口)</x:v>
      </x:c>
      <x:c r="D59" s="18" t="n">
        <x:v>26</x:v>
      </x:c>
      <x:c r="E59" s="18" t="n">
        <x:v>26</x:v>
      </x:c>
      <x:c r="F59" s="24" t="n">
        <x:f>IFERROR('各站彙總來源'!F59/'各站彙總來源'!G59,"")</x:f>
        <x:v>6.576923076923077</x:v>
      </x:c>
      <x:c r="G59" s="19" t="n">
        <x:f>'各站彙總來源'!G59</x:f>
        <x:v>26</x:v>
      </x:c>
      <x:c r="H59" s="24" t="n">
        <x:f>IFERROR('各站彙總來源'!H59/'各站彙總來源'!I59,"")</x:f>
        <x:v>0.9615384615384616</x:v>
      </x:c>
      <x:c r="I59" s="19" t="n">
        <x:f>'各站彙總來源'!I59</x:f>
        <x:v>26</x:v>
      </x:c>
      <x:c r="J59" s="24" t="n">
        <x:f>IFERROR('各站彙總來源'!J59/'各站彙總來源'!K59,"")</x:f>
        <x:v>4.115384615384615</x:v>
      </x:c>
      <x:c r="K59" s="19" t="n">
        <x:f>'各站彙總來源'!K59</x:f>
        <x:v>26</x:v>
      </x:c>
      <x:c r="L59" s="24" t="n">
        <x:f>IFERROR('各站彙總來源'!L59/'各站彙總來源'!M59,"")</x:f>
        <x:v>0.5</x:v>
      </x:c>
      <x:c r="M59" s="19" t="n">
        <x:f>'各站彙總來源'!M59</x:f>
        <x:v>26</x:v>
      </x:c>
      <x:c r="N59" s="24" t="n">
        <x:f>F59+H59</x:f>
        <x:v>7.538461538461538</x:v>
      </x:c>
      <x:c r="O59" s="24" t="n">
        <x:f>J59+L59</x:f>
        <x:v>4.615384615384615</x:v>
      </x:c>
    </x:row>
    <x:row r="60">
      <x:c r="A60" s="22" t="str">
        <x:v>500101105</x:v>
      </x:c>
      <x:c r="B60" s="17" t="str">
        <x:v>大安區</x:v>
      </x:c>
      <x:c r="C60" s="17" t="str">
        <x:v>和平金山路口</x:v>
      </x:c>
      <x:c r="D60" s="18" t="n">
        <x:v>26</x:v>
      </x:c>
      <x:c r="E60" s="18" t="n">
        <x:v>26</x:v>
      </x:c>
      <x:c r="F60" s="24" t="n">
        <x:f>IFERROR('各站彙總來源'!F60/'各站彙總來源'!G60,"")</x:f>
        <x:v>8.346153846153847</x:v>
      </x:c>
      <x:c r="G60" s="19" t="n">
        <x:f>'各站彙總來源'!G60</x:f>
        <x:v>26</x:v>
      </x:c>
      <x:c r="H60" s="24" t="n">
        <x:f>IFERROR('各站彙總來源'!H60/'各站彙總來源'!I60,"")</x:f>
        <x:v>1.5769230769230769</x:v>
      </x:c>
      <x:c r="I60" s="19" t="n">
        <x:f>'各站彙總來源'!I60</x:f>
        <x:v>26</x:v>
      </x:c>
      <x:c r="J60" s="24" t="n">
        <x:f>IFERROR('各站彙總來源'!J60/'各站彙總來源'!K60,"")</x:f>
        <x:v>4.923076923076923</x:v>
      </x:c>
      <x:c r="K60" s="19" t="n">
        <x:f>'各站彙總來源'!K60</x:f>
        <x:v>26</x:v>
      </x:c>
      <x:c r="L60" s="24" t="n">
        <x:f>IFERROR('各站彙總來源'!L60/'各站彙總來源'!M60,"")</x:f>
        <x:v>1.2692307692307692</x:v>
      </x:c>
      <x:c r="M60" s="19" t="n">
        <x:f>'各站彙總來源'!M60</x:f>
        <x:v>26</x:v>
      </x:c>
      <x:c r="N60" s="24" t="n">
        <x:f>F60+H60</x:f>
        <x:v>9.923076923076923</x:v>
      </x:c>
      <x:c r="O60" s="24" t="n">
        <x:f>J60+L60</x:f>
        <x:v>6.1923076923076925</x:v>
      </x:c>
    </x:row>
    <x:row r="61">
      <x:c r="A61" s="22" t="str">
        <x:v>500101106</x:v>
      </x:c>
      <x:c r="B61" s="17" t="str">
        <x:v>大安區</x:v>
      </x:c>
      <x:c r="C61" s="17" t="str">
        <x:v>捷運古亭站(4號出口)</x:v>
      </x:c>
      <x:c r="D61" s="18" t="n">
        <x:v>26</x:v>
      </x:c>
      <x:c r="E61" s="18" t="n">
        <x:v>26</x:v>
      </x:c>
      <x:c r="F61" s="24" t="n">
        <x:f>IFERROR('各站彙總來源'!F61/'各站彙總來源'!G61,"")</x:f>
        <x:v>0</x:v>
      </x:c>
      <x:c r="G61" s="19" t="n">
        <x:f>'各站彙總來源'!G61</x:f>
        <x:v>26</x:v>
      </x:c>
      <x:c r="H61" s="24" t="n">
        <x:f>IFERROR('各站彙總來源'!H61/'各站彙總來源'!I61,"")</x:f>
        <x:v>0</x:v>
      </x:c>
      <x:c r="I61" s="19" t="n">
        <x:f>'各站彙總來源'!I61</x:f>
        <x:v>26</x:v>
      </x:c>
      <x:c r="J61" s="24" t="n">
        <x:f>IFERROR('各站彙總來源'!J61/'各站彙總來源'!K61,"")</x:f>
        <x:v>0</x:v>
      </x:c>
      <x:c r="K61" s="19" t="n">
        <x:f>'各站彙總來源'!K61</x:f>
        <x:v>26</x:v>
      </x:c>
      <x:c r="L61" s="24" t="n">
        <x:f>IFERROR('各站彙總來源'!L61/'各站彙總來源'!M61,"")</x:f>
        <x:v>0</x:v>
      </x:c>
      <x:c r="M61" s="19" t="n">
        <x:f>'各站彙總來源'!M61</x:f>
        <x:v>26</x:v>
      </x:c>
      <x:c r="N61" s="24" t="n">
        <x:f>F61+H61</x:f>
        <x:v>0</x:v>
      </x:c>
      <x:c r="O61" s="24" t="n">
        <x:f>J61+L61</x:f>
        <x:v>0</x:v>
      </x:c>
    </x:row>
    <x:row r="62">
      <x:c r="A62" s="22" t="str">
        <x:v>500101107</x:v>
      </x:c>
      <x:c r="B62" s="17" t="str">
        <x:v>大安區</x:v>
      </x:c>
      <x:c r="C62" s="17" t="str">
        <x:v>和平龍泉街口</x:v>
      </x:c>
      <x:c r="D62" s="18" t="n">
        <x:v>26</x:v>
      </x:c>
      <x:c r="E62" s="18" t="n">
        <x:v>26</x:v>
      </x:c>
      <x:c r="F62" s="24" t="n">
        <x:f>IFERROR('各站彙總來源'!F62/'各站彙總來源'!G62,"")</x:f>
        <x:v>31.076923076923077</x:v>
      </x:c>
      <x:c r="G62" s="19" t="n">
        <x:f>'各站彙總來源'!G62</x:f>
        <x:v>26</x:v>
      </x:c>
      <x:c r="H62" s="24" t="n">
        <x:f>IFERROR('各站彙總來源'!H62/'各站彙總來源'!I62,"")</x:f>
        <x:v>3.1538461538461537</x:v>
      </x:c>
      <x:c r="I62" s="19" t="n">
        <x:f>'各站彙總來源'!I62</x:f>
        <x:v>26</x:v>
      </x:c>
      <x:c r="J62" s="24" t="n">
        <x:f>IFERROR('各站彙總來源'!J62/'各站彙總來源'!K62,"")</x:f>
        <x:v>9.923076923076923</x:v>
      </x:c>
      <x:c r="K62" s="19" t="n">
        <x:f>'各站彙總來源'!K62</x:f>
        <x:v>26</x:v>
      </x:c>
      <x:c r="L62" s="24" t="n">
        <x:f>IFERROR('各站彙總來源'!L62/'各站彙總來源'!M62,"")</x:f>
        <x:v>2.576923076923077</x:v>
      </x:c>
      <x:c r="M62" s="19" t="n">
        <x:f>'各站彙總來源'!M62</x:f>
        <x:v>26</x:v>
      </x:c>
      <x:c r="N62" s="24" t="n">
        <x:f>F62+H62</x:f>
        <x:v>34.23076923076923</x:v>
      </x:c>
      <x:c r="O62" s="24" t="n">
        <x:f>J62+L62</x:f>
        <x:v>12.5</x:v>
      </x:c>
    </x:row>
    <x:row r="63">
      <x:c r="A63" s="22" t="str">
        <x:v>500101108</x:v>
      </x:c>
      <x:c r="B63" s="17" t="str">
        <x:v>大安區</x:v>
      </x:c>
      <x:c r="C63" s="17" t="str">
        <x:v>和平泰順街口</x:v>
      </x:c>
      <x:c r="D63" s="18" t="n">
        <x:v>26</x:v>
      </x:c>
      <x:c r="E63" s="18" t="n">
        <x:v>26</x:v>
      </x:c>
      <x:c r="F63" s="24" t="n">
        <x:f>IFERROR('各站彙總來源'!F63/'各站彙總來源'!G63,"")</x:f>
        <x:v>23.153846153846153</x:v>
      </x:c>
      <x:c r="G63" s="19" t="n">
        <x:f>'各站彙總來源'!G63</x:f>
        <x:v>26</x:v>
      </x:c>
      <x:c r="H63" s="24" t="n">
        <x:f>IFERROR('各站彙總來源'!H63/'各站彙總來源'!I63,"")</x:f>
        <x:v>2.8461538461538463</x:v>
      </x:c>
      <x:c r="I63" s="19" t="n">
        <x:f>'各站彙總來源'!I63</x:f>
        <x:v>26</x:v>
      </x:c>
      <x:c r="J63" s="24" t="n">
        <x:f>IFERROR('各站彙總來源'!J63/'各站彙總來源'!K63,"")</x:f>
        <x:v>4.461538461538462</x:v>
      </x:c>
      <x:c r="K63" s="19" t="n">
        <x:f>'各站彙總來源'!K63</x:f>
        <x:v>26</x:v>
      </x:c>
      <x:c r="L63" s="24" t="n">
        <x:f>IFERROR('各站彙總來源'!L63/'各站彙總來源'!M63,"")</x:f>
        <x:v>0.8846153846153846</x:v>
      </x:c>
      <x:c r="M63" s="19" t="n">
        <x:f>'各站彙總來源'!M63</x:f>
        <x:v>26</x:v>
      </x:c>
      <x:c r="N63" s="24" t="n">
        <x:f>F63+H63</x:f>
        <x:v>26</x:v>
      </x:c>
      <x:c r="O63" s="24" t="n">
        <x:f>J63+L63</x:f>
        <x:v>5.346153846153847</x:v>
      </x:c>
    </x:row>
    <x:row r="64">
      <x:c r="A64" s="22" t="str">
        <x:v>500101109</x:v>
      </x:c>
      <x:c r="B64" s="17" t="str">
        <x:v>大安區</x:v>
      </x:c>
      <x:c r="C64" s="17" t="str">
        <x:v>臺灣師範大學(圖書館)</x:v>
      </x:c>
      <x:c r="D64" s="18" t="n">
        <x:v>26</x:v>
      </x:c>
      <x:c r="E64" s="18" t="n">
        <x:v>26</x:v>
      </x:c>
      <x:c r="F64" s="24" t="n">
        <x:f>IFERROR('各站彙總來源'!F64/'各站彙總來源'!G64,"")</x:f>
        <x:v>12.846153846153847</x:v>
      </x:c>
      <x:c r="G64" s="19" t="n">
        <x:f>'各站彙總來源'!G64</x:f>
        <x:v>26</x:v>
      </x:c>
      <x:c r="H64" s="24" t="n">
        <x:f>IFERROR('各站彙總來源'!H64/'各站彙總來源'!I64,"")</x:f>
        <x:v>2.8846153846153846</x:v>
      </x:c>
      <x:c r="I64" s="19" t="n">
        <x:f>'各站彙總來源'!I64</x:f>
        <x:v>26</x:v>
      </x:c>
      <x:c r="J64" s="24" t="n">
        <x:f>IFERROR('各站彙總來源'!J64/'各站彙總來源'!K64,"")</x:f>
        <x:v>13.26923076923077</x:v>
      </x:c>
      <x:c r="K64" s="19" t="n">
        <x:f>'各站彙總來源'!K64</x:f>
        <x:v>26</x:v>
      </x:c>
      <x:c r="L64" s="24" t="n">
        <x:f>IFERROR('各站彙總來源'!L64/'各站彙總來源'!M64,"")</x:f>
        <x:v>4.153846153846154</x:v>
      </x:c>
      <x:c r="M64" s="19" t="n">
        <x:f>'各站彙總來源'!M64</x:f>
        <x:v>26</x:v>
      </x:c>
      <x:c r="N64" s="24" t="n">
        <x:f>F64+H64</x:f>
        <x:v>15.730769230769232</x:v>
      </x:c>
      <x:c r="O64" s="24" t="n">
        <x:f>J64+L64</x:f>
        <x:v>17.423076923076923</x:v>
      </x:c>
    </x:row>
    <x:row r="65">
      <x:c r="A65" s="22" t="str">
        <x:v>500101110</x:v>
      </x:c>
      <x:c r="B65" s="17" t="str">
        <x:v>大安區</x:v>
      </x:c>
      <x:c r="C65" s="17" t="str">
        <x:v>捷運古亭站(6號出口)</x:v>
      </x:c>
      <x:c r="D65" s="18" t="n">
        <x:v>26</x:v>
      </x:c>
      <x:c r="E65" s="18" t="n">
        <x:v>26</x:v>
      </x:c>
      <x:c r="F65" s="24" t="n">
        <x:f>IFERROR('各站彙總來源'!F65/'各站彙總來源'!G65,"")</x:f>
        <x:v>22.423076923076923</x:v>
      </x:c>
      <x:c r="G65" s="19" t="n">
        <x:f>'各站彙總來源'!G65</x:f>
        <x:v>26</x:v>
      </x:c>
      <x:c r="H65" s="24" t="n">
        <x:f>IFERROR('各站彙總來源'!H65/'各站彙總來源'!I65,"")</x:f>
        <x:v>2.230769230769231</x:v>
      </x:c>
      <x:c r="I65" s="19" t="n">
        <x:f>'各站彙總來源'!I65</x:f>
        <x:v>26</x:v>
      </x:c>
      <x:c r="J65" s="24" t="n">
        <x:f>IFERROR('各站彙總來源'!J65/'各站彙總來源'!K65,"")</x:f>
        <x:v>13.23076923076923</x:v>
      </x:c>
      <x:c r="K65" s="19" t="n">
        <x:f>'各站彙總來源'!K65</x:f>
        <x:v>26</x:v>
      </x:c>
      <x:c r="L65" s="24" t="n">
        <x:f>IFERROR('各站彙總來源'!L65/'各站彙總來源'!M65,"")</x:f>
        <x:v>2.6153846153846154</x:v>
      </x:c>
      <x:c r="M65" s="19" t="n">
        <x:f>'各站彙總來源'!M65</x:f>
        <x:v>26</x:v>
      </x:c>
      <x:c r="N65" s="24" t="n">
        <x:f>F65+H65</x:f>
        <x:v>24.653846153846153</x:v>
      </x:c>
      <x:c r="O65" s="24" t="n">
        <x:f>J65+L65</x:f>
        <x:v>15.846153846153845</x:v>
      </x:c>
    </x:row>
    <x:row r="66">
      <x:c r="A66" s="22" t="str">
        <x:v>500101111</x:v>
      </x:c>
      <x:c r="B66" s="17" t="str">
        <x:v>大安區</x:v>
      </x:c>
      <x:c r="C66" s="17" t="str">
        <x:v>捷運古亭站(5號出口)</x:v>
      </x:c>
      <x:c r="D66" s="18" t="n">
        <x:v>26</x:v>
      </x:c>
      <x:c r="E66" s="18" t="n">
        <x:v>26</x:v>
      </x:c>
      <x:c r="F66" s="24" t="n">
        <x:f>IFERROR('各站彙總來源'!F66/'各站彙總來源'!G66,"")</x:f>
        <x:v>0</x:v>
      </x:c>
      <x:c r="G66" s="19" t="n">
        <x:f>'各站彙總來源'!G66</x:f>
        <x:v>26</x:v>
      </x:c>
      <x:c r="H66" s="24" t="n">
        <x:f>IFERROR('各站彙總來源'!H66/'各站彙總來源'!I66,"")</x:f>
        <x:v>0</x:v>
      </x:c>
      <x:c r="I66" s="19" t="n">
        <x:f>'各站彙總來源'!I66</x:f>
        <x:v>26</x:v>
      </x:c>
      <x:c r="J66" s="24" t="n">
        <x:f>IFERROR('各站彙總來源'!J66/'各站彙總來源'!K66,"")</x:f>
        <x:v>0</x:v>
      </x:c>
      <x:c r="K66" s="19" t="n">
        <x:f>'各站彙總來源'!K66</x:f>
        <x:v>26</x:v>
      </x:c>
      <x:c r="L66" s="24" t="n">
        <x:f>IFERROR('各站彙總來源'!L66/'各站彙總來源'!M66,"")</x:f>
        <x:v>0</x:v>
      </x:c>
      <x:c r="M66" s="19" t="n">
        <x:f>'各站彙總來源'!M66</x:f>
        <x:v>26</x:v>
      </x:c>
      <x:c r="N66" s="24" t="n">
        <x:f>F66+H66</x:f>
        <x:v>0</x:v>
      </x:c>
      <x:c r="O66" s="24" t="n">
        <x:f>J66+L66</x:f>
        <x:v>0</x:v>
      </x:c>
    </x:row>
    <x:row r="67">
      <x:c r="A67" s="22" t="str">
        <x:v>500101112</x:v>
      </x:c>
      <x:c r="B67" s="17" t="str">
        <x:v>大安區</x:v>
      </x:c>
      <x:c r="C67" s="17" t="str">
        <x:v>和平東路一段41巷口</x:v>
      </x:c>
      <x:c r="D67" s="18" t="n">
        <x:v>26</x:v>
      </x:c>
      <x:c r="E67" s="18" t="n">
        <x:v>26</x:v>
      </x:c>
      <x:c r="F67" s="24" t="n">
        <x:f>IFERROR('各站彙總來源'!F67/'各站彙總來源'!G67,"")</x:f>
        <x:v>0</x:v>
      </x:c>
      <x:c r="G67" s="19" t="n">
        <x:f>'各站彙總來源'!G67</x:f>
        <x:v>26</x:v>
      </x:c>
      <x:c r="H67" s="24" t="n">
        <x:f>IFERROR('各站彙總來源'!H67/'各站彙總來源'!I67,"")</x:f>
        <x:v>0</x:v>
      </x:c>
      <x:c r="I67" s="19" t="n">
        <x:f>'各站彙總來源'!I67</x:f>
        <x:v>26</x:v>
      </x:c>
      <x:c r="J67" s="24" t="n">
        <x:f>IFERROR('各站彙總來源'!J67/'各站彙總來源'!K67,"")</x:f>
        <x:v>0</x:v>
      </x:c>
      <x:c r="K67" s="19" t="n">
        <x:f>'各站彙總來源'!K67</x:f>
        <x:v>26</x:v>
      </x:c>
      <x:c r="L67" s="24" t="n">
        <x:f>IFERROR('各站彙總來源'!L67/'各站彙總來源'!M67,"")</x:f>
        <x:v>0</x:v>
      </x:c>
      <x:c r="M67" s="19" t="n">
        <x:f>'各站彙總來源'!M67</x:f>
        <x:v>26</x:v>
      </x:c>
      <x:c r="N67" s="24" t="n">
        <x:f>F67+H67</x:f>
        <x:v>0</x:v>
      </x:c>
      <x:c r="O67" s="24" t="n">
        <x:f>J67+L67</x:f>
        <x:v>0</x:v>
      </x:c>
    </x:row>
    <x:row r="68">
      <x:c r="A68" s="22" t="str">
        <x:v>500101113</x:v>
      </x:c>
      <x:c r="B68" s="17" t="str">
        <x:v>大安區</x:v>
      </x:c>
      <x:c r="C68" s="17" t="str">
        <x:v>臺北市立圖書館(總館)</x:v>
      </x:c>
      <x:c r="D68" s="18" t="n">
        <x:v>26</x:v>
      </x:c>
      <x:c r="E68" s="18" t="n">
        <x:v>26</x:v>
      </x:c>
      <x:c r="F68" s="24" t="n">
        <x:f>IFERROR('各站彙總來源'!F68/'各站彙總來源'!G68,"")</x:f>
        <x:v>56.38461538461539</x:v>
      </x:c>
      <x:c r="G68" s="19" t="n">
        <x:f>'各站彙總來源'!G68</x:f>
        <x:v>26</x:v>
      </x:c>
      <x:c r="H68" s="24" t="n">
        <x:f>IFERROR('各站彙總來源'!H68/'各站彙總來源'!I68,"")</x:f>
        <x:v>6.884615384615385</x:v>
      </x:c>
      <x:c r="I68" s="19" t="n">
        <x:f>'各站彙總來源'!I68</x:f>
        <x:v>26</x:v>
      </x:c>
      <x:c r="J68" s="24" t="n">
        <x:f>IFERROR('各站彙總來源'!J68/'各站彙總來源'!K68,"")</x:f>
        <x:v>17.76923076923077</x:v>
      </x:c>
      <x:c r="K68" s="19" t="n">
        <x:f>'各站彙總來源'!K68</x:f>
        <x:v>26</x:v>
      </x:c>
      <x:c r="L68" s="24" t="n">
        <x:f>IFERROR('各站彙總來源'!L68/'各站彙總來源'!M68,"")</x:f>
        <x:v>3.5384615384615383</x:v>
      </x:c>
      <x:c r="M68" s="19" t="n">
        <x:f>'各站彙總來源'!M68</x:f>
        <x:v>26</x:v>
      </x:c>
      <x:c r="N68" s="24" t="n">
        <x:f>F68+H68</x:f>
        <x:v>63.269230769230774</x:v>
      </x:c>
      <x:c r="O68" s="24" t="n">
        <x:f>J68+L68</x:f>
        <x:v>21.307692307692307</x:v>
      </x:c>
    </x:row>
    <x:row r="69">
      <x:c r="A69" s="22" t="str">
        <x:v>500101114</x:v>
      </x:c>
      <x:c r="B69" s="17" t="str">
        <x:v>大安區</x:v>
      </x:c>
      <x:c r="C69" s="17" t="str">
        <x:v>新生和平路口東北側</x:v>
      </x:c>
      <x:c r="D69" s="18" t="n">
        <x:v>26</x:v>
      </x:c>
      <x:c r="E69" s="18" t="n">
        <x:v>26</x:v>
      </x:c>
      <x:c r="F69" s="24" t="n">
        <x:f>IFERROR('各站彙總來源'!F69/'各站彙總來源'!G69,"")</x:f>
        <x:v>10.115384615384615</x:v>
      </x:c>
      <x:c r="G69" s="19" t="n">
        <x:f>'各站彙總來源'!G69</x:f>
        <x:v>26</x:v>
      </x:c>
      <x:c r="H69" s="24" t="n">
        <x:f>IFERROR('各站彙總來源'!H69/'各站彙總來源'!I69,"")</x:f>
        <x:v>2.576923076923077</x:v>
      </x:c>
      <x:c r="I69" s="19" t="n">
        <x:f>'各站彙總來源'!I69</x:f>
        <x:v>26</x:v>
      </x:c>
      <x:c r="J69" s="24" t="n">
        <x:f>IFERROR('各站彙總來源'!J69/'各站彙總來源'!K69,"")</x:f>
        <x:v>8.884615384615385</x:v>
      </x:c>
      <x:c r="K69" s="19" t="n">
        <x:f>'各站彙總來源'!K69</x:f>
        <x:v>26</x:v>
      </x:c>
      <x:c r="L69" s="24" t="n">
        <x:f>IFERROR('各站彙總來源'!L69/'各站彙總來源'!M69,"")</x:f>
        <x:v>2.1153846153846154</x:v>
      </x:c>
      <x:c r="M69" s="19" t="n">
        <x:f>'各站彙總來源'!M69</x:f>
        <x:v>26</x:v>
      </x:c>
      <x:c r="N69" s="24" t="n">
        <x:f>F69+H69</x:f>
        <x:v>12.692307692307692</x:v>
      </x:c>
      <x:c r="O69" s="24" t="n">
        <x:f>J69+L69</x:f>
        <x:v>11</x:v>
      </x:c>
    </x:row>
    <x:row r="70">
      <x:c r="A70" s="22" t="str">
        <x:v>500101115</x:v>
      </x:c>
      <x:c r="B70" s="17" t="str">
        <x:v>大安區</x:v>
      </x:c>
      <x:c r="C70" s="17" t="str">
        <x:v>建國和平路口西北側</x:v>
      </x:c>
      <x:c r="D70" s="18" t="n">
        <x:v>26</x:v>
      </x:c>
      <x:c r="E70" s="18" t="n">
        <x:v>26</x:v>
      </x:c>
      <x:c r="F70" s="24" t="n">
        <x:f>IFERROR('各站彙總來源'!F70/'各站彙總來源'!G70,"")</x:f>
        <x:v>9.076923076923077</x:v>
      </x:c>
      <x:c r="G70" s="19" t="n">
        <x:f>'各站彙總來源'!G70</x:f>
        <x:v>26</x:v>
      </x:c>
      <x:c r="H70" s="24" t="n">
        <x:f>IFERROR('各站彙總來源'!H70/'各站彙總來源'!I70,"")</x:f>
        <x:v>3.230769230769231</x:v>
      </x:c>
      <x:c r="I70" s="19" t="n">
        <x:f>'各站彙總來源'!I70</x:f>
        <x:v>26</x:v>
      </x:c>
      <x:c r="J70" s="24" t="n">
        <x:f>IFERROR('各站彙總來源'!J70/'各站彙總來源'!K70,"")</x:f>
        <x:v>16.923076923076923</x:v>
      </x:c>
      <x:c r="K70" s="19" t="n">
        <x:f>'各站彙總來源'!K70</x:f>
        <x:v>26</x:v>
      </x:c>
      <x:c r="L70" s="24" t="n">
        <x:f>IFERROR('各站彙總來源'!L70/'各站彙總來源'!M70,"")</x:f>
        <x:v>2.8846153846153846</x:v>
      </x:c>
      <x:c r="M70" s="19" t="n">
        <x:f>'各站彙總來源'!M70</x:f>
        <x:v>26</x:v>
      </x:c>
      <x:c r="N70" s="24" t="n">
        <x:f>F70+H70</x:f>
        <x:v>12.307692307692307</x:v>
      </x:c>
      <x:c r="O70" s="24" t="n">
        <x:f>J70+L70</x:f>
        <x:v>19.807692307692307</x:v>
      </x:c>
    </x:row>
    <x:row r="71">
      <x:c r="A71" s="22" t="str">
        <x:v>500101116</x:v>
      </x:c>
      <x:c r="B71" s="17" t="str">
        <x:v>大安區</x:v>
      </x:c>
      <x:c r="C71" s="17" t="str">
        <x:v>金華公園</x:v>
      </x:c>
      <x:c r="D71" s="18" t="n">
        <x:v>26</x:v>
      </x:c>
      <x:c r="E71" s="18" t="n">
        <x:v>26</x:v>
      </x:c>
      <x:c r="F71" s="24" t="n">
        <x:f>IFERROR('各站彙總來源'!F71/'各站彙總來源'!G71,"")</x:f>
        <x:v>23.53846153846154</x:v>
      </x:c>
      <x:c r="G71" s="19" t="n">
        <x:f>'各站彙總來源'!G71</x:f>
        <x:v>26</x:v>
      </x:c>
      <x:c r="H71" s="24" t="n">
        <x:f>IFERROR('各站彙總來源'!H71/'各站彙總來源'!I71,"")</x:f>
        <x:v>2.576923076923077</x:v>
      </x:c>
      <x:c r="I71" s="19" t="n">
        <x:f>'各站彙總來源'!I71</x:f>
        <x:v>26</x:v>
      </x:c>
      <x:c r="J71" s="24" t="n">
        <x:f>IFERROR('各站彙總來源'!J71/'各站彙總來源'!K71,"")</x:f>
        <x:v>10.615384615384615</x:v>
      </x:c>
      <x:c r="K71" s="19" t="n">
        <x:f>'各站彙總來源'!K71</x:f>
        <x:v>26</x:v>
      </x:c>
      <x:c r="L71" s="24" t="n">
        <x:f>IFERROR('各站彙總來源'!L71/'各站彙總來源'!M71,"")</x:f>
        <x:v>2.1153846153846154</x:v>
      </x:c>
      <x:c r="M71" s="19" t="n">
        <x:f>'各站彙總來源'!M71</x:f>
        <x:v>26</x:v>
      </x:c>
      <x:c r="N71" s="24" t="n">
        <x:f>F71+H71</x:f>
        <x:v>26.115384615384617</x:v>
      </x:c>
      <x:c r="O71" s="24" t="n">
        <x:f>J71+L71</x:f>
        <x:v>12.73076923076923</x:v>
      </x:c>
    </x:row>
    <x:row r="72">
      <x:c r="A72" s="22" t="str">
        <x:v>500101117</x:v>
      </x:c>
      <x:c r="B72" s="17" t="str">
        <x:v>大安區</x:v>
      </x:c>
      <x:c r="C72" s="17" t="str">
        <x:v>捷運東門站(3號出口)</x:v>
      </x:c>
      <x:c r="D72" s="18" t="n">
        <x:v>26</x:v>
      </x:c>
      <x:c r="E72" s="18" t="n">
        <x:v>26</x:v>
      </x:c>
      <x:c r="F72" s="24" t="n">
        <x:f>IFERROR('各站彙總來源'!F72/'各站彙總來源'!G72,"")</x:f>
        <x:v>0</x:v>
      </x:c>
      <x:c r="G72" s="19" t="n">
        <x:f>'各站彙總來源'!G72</x:f>
        <x:v>26</x:v>
      </x:c>
      <x:c r="H72" s="24" t="n">
        <x:f>IFERROR('各站彙總來源'!H72/'各站彙總來源'!I72,"")</x:f>
        <x:v>0</x:v>
      </x:c>
      <x:c r="I72" s="19" t="n">
        <x:f>'各站彙總來源'!I72</x:f>
        <x:v>26</x:v>
      </x:c>
      <x:c r="J72" s="24" t="n">
        <x:f>IFERROR('各站彙總來源'!J72/'各站彙總來源'!K72,"")</x:f>
        <x:v>0</x:v>
      </x:c>
      <x:c r="K72" s="19" t="n">
        <x:f>'各站彙總來源'!K72</x:f>
        <x:v>26</x:v>
      </x:c>
      <x:c r="L72" s="24" t="n">
        <x:f>IFERROR('各站彙總來源'!L72/'各站彙總來源'!M72,"")</x:f>
        <x:v>0</x:v>
      </x:c>
      <x:c r="M72" s="19" t="n">
        <x:f>'各站彙總來源'!M72</x:f>
        <x:v>26</x:v>
      </x:c>
      <x:c r="N72" s="24" t="n">
        <x:f>F72+H72</x:f>
        <x:v>0</x:v>
      </x:c>
      <x:c r="O72" s="24" t="n">
        <x:f>J72+L72</x:f>
        <x:v>0</x:v>
      </x:c>
    </x:row>
    <x:row r="73">
      <x:c r="A73" s="22" t="str">
        <x:v>500101118</x:v>
      </x:c>
      <x:c r="B73" s="17" t="str">
        <x:v>大安區</x:v>
      </x:c>
      <x:c r="C73" s="17" t="str">
        <x:v>金甌女中</x:v>
      </x:c>
      <x:c r="D73" s="18" t="n">
        <x:v>26</x:v>
      </x:c>
      <x:c r="E73" s="18" t="n">
        <x:v>26</x:v>
      </x:c>
      <x:c r="F73" s="24" t="n">
        <x:f>IFERROR('各站彙總來源'!F73/'各站彙總來源'!G73,"")</x:f>
        <x:v>5.423076923076923</x:v>
      </x:c>
      <x:c r="G73" s="19" t="n">
        <x:f>'各站彙總來源'!G73</x:f>
        <x:v>26</x:v>
      </x:c>
      <x:c r="H73" s="24" t="n">
        <x:f>IFERROR('各站彙總來源'!H73/'各站彙總來源'!I73,"")</x:f>
        <x:v>0.9615384615384616</x:v>
      </x:c>
      <x:c r="I73" s="19" t="n">
        <x:f>'各站彙總來源'!I73</x:f>
        <x:v>26</x:v>
      </x:c>
      <x:c r="J73" s="24" t="n">
        <x:f>IFERROR('各站彙總來源'!J73/'各站彙總來源'!K73,"")</x:f>
        <x:v>6.230769230769231</x:v>
      </x:c>
      <x:c r="K73" s="19" t="n">
        <x:f>'各站彙總來源'!K73</x:f>
        <x:v>26</x:v>
      </x:c>
      <x:c r="L73" s="24" t="n">
        <x:f>IFERROR('各站彙總來源'!L73/'各站彙總來源'!M73,"")</x:f>
        <x:v>0.9230769230769231</x:v>
      </x:c>
      <x:c r="M73" s="19" t="n">
        <x:f>'各站彙總來源'!M73</x:f>
        <x:v>26</x:v>
      </x:c>
      <x:c r="N73" s="24" t="n">
        <x:f>F73+H73</x:f>
        <x:v>6.384615384615385</x:v>
      </x:c>
      <x:c r="O73" s="24" t="n">
        <x:f>J73+L73</x:f>
        <x:v>7.153846153846154</x:v>
      </x:c>
    </x:row>
    <x:row r="74">
      <x:c r="A74" s="22" t="str">
        <x:v>500101119</x:v>
      </x:c>
      <x:c r="B74" s="17" t="str">
        <x:v>大安區</x:v>
      </x:c>
      <x:c r="C74" s="17" t="str">
        <x:v>金杭公園</x:v>
      </x:c>
      <x:c r="D74" s="18" t="n">
        <x:v>26</x:v>
      </x:c>
      <x:c r="E74" s="18" t="n">
        <x:v>26</x:v>
      </x:c>
      <x:c r="F74" s="24" t="n">
        <x:f>IFERROR('各站彙總來源'!F74/'各站彙總來源'!G74,"")</x:f>
        <x:v>10.192307692307692</x:v>
      </x:c>
      <x:c r="G74" s="19" t="n">
        <x:f>'各站彙總來源'!G74</x:f>
        <x:v>26</x:v>
      </x:c>
      <x:c r="H74" s="24" t="n">
        <x:f>IFERROR('各站彙總來源'!H74/'各站彙總來源'!I74,"")</x:f>
        <x:v>1.9615384615384615</x:v>
      </x:c>
      <x:c r="I74" s="19" t="n">
        <x:f>'各站彙總來源'!I74</x:f>
        <x:v>26</x:v>
      </x:c>
      <x:c r="J74" s="24" t="n">
        <x:f>IFERROR('各站彙總來源'!J74/'各站彙總來源'!K74,"")</x:f>
        <x:v>4.653846153846154</x:v>
      </x:c>
      <x:c r="K74" s="19" t="n">
        <x:f>'各站彙總來源'!K74</x:f>
        <x:v>26</x:v>
      </x:c>
      <x:c r="L74" s="24" t="n">
        <x:f>IFERROR('各站彙總來源'!L74/'各站彙總來源'!M74,"")</x:f>
        <x:v>0.8461538461538461</x:v>
      </x:c>
      <x:c r="M74" s="19" t="n">
        <x:f>'各站彙總來源'!M74</x:f>
        <x:v>26</x:v>
      </x:c>
      <x:c r="N74" s="24" t="n">
        <x:f>F74+H74</x:f>
        <x:v>12.153846153846153</x:v>
      </x:c>
      <x:c r="O74" s="24" t="n">
        <x:f>J74+L74</x:f>
        <x:v>5.5</x:v>
      </x:c>
    </x:row>
    <x:row r="75">
      <x:c r="A75" s="22" t="str">
        <x:v>500101120</x:v>
      </x:c>
      <x:c r="B75" s="17" t="str">
        <x:v>大安區</x:v>
      </x:c>
      <x:c r="C75" s="17" t="str">
        <x:v>愛國金山路口</x:v>
      </x:c>
      <x:c r="D75" s="18" t="n">
        <x:v>26</x:v>
      </x:c>
      <x:c r="E75" s="18" t="n">
        <x:v>26</x:v>
      </x:c>
      <x:c r="F75" s="24" t="n">
        <x:f>IFERROR('各站彙總來源'!F75/'各站彙總來源'!G75,"")</x:f>
        <x:v>6.769230769230769</x:v>
      </x:c>
      <x:c r="G75" s="19" t="n">
        <x:f>'各站彙總來源'!G75</x:f>
        <x:v>26</x:v>
      </x:c>
      <x:c r="H75" s="24" t="n">
        <x:f>IFERROR('各站彙總來源'!H75/'各站彙總來源'!I75,"")</x:f>
        <x:v>1.0384615384615385</x:v>
      </x:c>
      <x:c r="I75" s="19" t="n">
        <x:f>'各站彙總來源'!I75</x:f>
        <x:v>26</x:v>
      </x:c>
      <x:c r="J75" s="24" t="n">
        <x:f>IFERROR('各站彙總來源'!J75/'各站彙總來源'!K75,"")</x:f>
        <x:v>11.961538461538462</x:v>
      </x:c>
      <x:c r="K75" s="19" t="n">
        <x:f>'各站彙總來源'!K75</x:f>
        <x:v>26</x:v>
      </x:c>
      <x:c r="L75" s="24" t="n">
        <x:f>IFERROR('各站彙總來源'!L75/'各站彙總來源'!M75,"")</x:f>
        <x:v>1.1923076923076923</x:v>
      </x:c>
      <x:c r="M75" s="19" t="n">
        <x:f>'各站彙總來源'!M75</x:f>
        <x:v>26</x:v>
      </x:c>
      <x:c r="N75" s="24" t="n">
        <x:f>F75+H75</x:f>
        <x:v>7.8076923076923075</x:v>
      </x:c>
      <x:c r="O75" s="24" t="n">
        <x:f>J75+L75</x:f>
        <x:v>13.153846153846153</x:v>
      </x:c>
    </x:row>
    <x:row r="76">
      <x:c r="A76" s="22" t="str">
        <x:v>500101122</x:v>
      </x:c>
      <x:c r="B76" s="17" t="str">
        <x:v>大安區</x:v>
      </x:c>
      <x:c r="C76" s="17" t="str">
        <x:v>敦化南路二段293巷口南側</x:v>
      </x:c>
      <x:c r="D76" s="18" t="n">
        <x:v>26</x:v>
      </x:c>
      <x:c r="E76" s="18" t="n">
        <x:v>26</x:v>
      </x:c>
      <x:c r="F76" s="24" t="n">
        <x:f>IFERROR('各站彙總來源'!F76/'各站彙總來源'!G76,"")</x:f>
        <x:v>5.615384615384615</x:v>
      </x:c>
      <x:c r="G76" s="19" t="n">
        <x:f>'各站彙總來源'!G76</x:f>
        <x:v>26</x:v>
      </x:c>
      <x:c r="H76" s="24" t="n">
        <x:f>IFERROR('各站彙總來源'!H76/'各站彙總來源'!I76,"")</x:f>
        <x:v>1.3076923076923077</x:v>
      </x:c>
      <x:c r="I76" s="19" t="n">
        <x:f>'各站彙總來源'!I76</x:f>
        <x:v>26</x:v>
      </x:c>
      <x:c r="J76" s="24" t="n">
        <x:f>IFERROR('各站彙總來源'!J76/'各站彙總來源'!K76,"")</x:f>
        <x:v>5.153846153846154</x:v>
      </x:c>
      <x:c r="K76" s="19" t="n">
        <x:f>'各站彙總來源'!K76</x:f>
        <x:v>26</x:v>
      </x:c>
      <x:c r="L76" s="24" t="n">
        <x:f>IFERROR('各站彙總來源'!L76/'各站彙總來源'!M76,"")</x:f>
        <x:v>1.4230769230769231</x:v>
      </x:c>
      <x:c r="M76" s="19" t="n">
        <x:f>'各站彙總來源'!M76</x:f>
        <x:v>26</x:v>
      </x:c>
      <x:c r="N76" s="24" t="n">
        <x:f>F76+H76</x:f>
        <x:v>6.9230769230769225</x:v>
      </x:c>
      <x:c r="O76" s="24" t="n">
        <x:f>J76+L76</x:f>
        <x:v>6.5769230769230775</x:v>
      </x:c>
    </x:row>
    <x:row r="77">
      <x:c r="A77" s="22" t="str">
        <x:v>500101123</x:v>
      </x:c>
      <x:c r="B77" s="17" t="str">
        <x:v>大安區</x:v>
      </x:c>
      <x:c r="C77" s="17" t="str">
        <x:v>敦化基隆路口</x:v>
      </x:c>
      <x:c r="D77" s="18" t="n">
        <x:v>26</x:v>
      </x:c>
      <x:c r="E77" s="18" t="n">
        <x:v>26</x:v>
      </x:c>
      <x:c r="F77" s="24" t="n">
        <x:f>IFERROR('各站彙總來源'!F77/'各站彙總來源'!G77,"")</x:f>
        <x:v>8.538461538461538</x:v>
      </x:c>
      <x:c r="G77" s="19" t="n">
        <x:f>'各站彙總來源'!G77</x:f>
        <x:v>26</x:v>
      </x:c>
      <x:c r="H77" s="24" t="n">
        <x:f>IFERROR('各站彙總來源'!H77/'各站彙總來源'!I77,"")</x:f>
        <x:v>2.423076923076923</x:v>
      </x:c>
      <x:c r="I77" s="19" t="n">
        <x:f>'各站彙總來源'!I77</x:f>
        <x:v>26</x:v>
      </x:c>
      <x:c r="J77" s="24" t="n">
        <x:f>IFERROR('各站彙總來源'!J77/'各站彙總來源'!K77,"")</x:f>
        <x:v>70.38461538461539</x:v>
      </x:c>
      <x:c r="K77" s="19" t="n">
        <x:f>'各站彙總來源'!K77</x:f>
        <x:v>26</x:v>
      </x:c>
      <x:c r="L77" s="24" t="n">
        <x:f>IFERROR('各站彙總來源'!L77/'各站彙總來源'!M77,"")</x:f>
        <x:v>2.8846153846153846</x:v>
      </x:c>
      <x:c r="M77" s="19" t="n">
        <x:f>'各站彙總來源'!M77</x:f>
        <x:v>26</x:v>
      </x:c>
      <x:c r="N77" s="24" t="n">
        <x:f>F77+H77</x:f>
        <x:v>10.961538461538462</x:v>
      </x:c>
      <x:c r="O77" s="24" t="n">
        <x:f>J77+L77</x:f>
        <x:v>73.26923076923077</x:v>
      </x:c>
    </x:row>
    <x:row r="78">
      <x:c r="A78" s="22" t="str">
        <x:v>500101124</x:v>
      </x:c>
      <x:c r="B78" s="17" t="str">
        <x:v>大安區</x:v>
      </x:c>
      <x:c r="C78" s="17" t="str">
        <x:v>安和路二段181巷口</x:v>
      </x:c>
      <x:c r="D78" s="18" t="n">
        <x:v>26</x:v>
      </x:c>
      <x:c r="E78" s="18" t="n">
        <x:v>26</x:v>
      </x:c>
      <x:c r="F78" s="24" t="n">
        <x:f>IFERROR('各站彙總來源'!F78/'各站彙總來源'!G78,"")</x:f>
        <x:v>8.153846153846153</x:v>
      </x:c>
      <x:c r="G78" s="19" t="n">
        <x:f>'各站彙總來源'!G78</x:f>
        <x:v>26</x:v>
      </x:c>
      <x:c r="H78" s="24" t="n">
        <x:f>IFERROR('各站彙總來源'!H78/'各站彙總來源'!I78,"")</x:f>
        <x:v>2.6923076923076925</x:v>
      </x:c>
      <x:c r="I78" s="19" t="n">
        <x:f>'各站彙總來源'!I78</x:f>
        <x:v>26</x:v>
      </x:c>
      <x:c r="J78" s="24" t="n">
        <x:f>IFERROR('各站彙總來源'!J78/'各站彙總來源'!K78,"")</x:f>
        <x:v>8.192307692307692</x:v>
      </x:c>
      <x:c r="K78" s="19" t="n">
        <x:f>'各站彙總來源'!K78</x:f>
        <x:v>26</x:v>
      </x:c>
      <x:c r="L78" s="24" t="n">
        <x:f>IFERROR('各站彙總來源'!L78/'各站彙總來源'!M78,"")</x:f>
        <x:v>2.269230769230769</x:v>
      </x:c>
      <x:c r="M78" s="19" t="n">
        <x:f>'各站彙總來源'!M78</x:f>
        <x:v>26</x:v>
      </x:c>
      <x:c r="N78" s="24" t="n">
        <x:f>F78+H78</x:f>
        <x:v>10.846153846153847</x:v>
      </x:c>
      <x:c r="O78" s="24" t="n">
        <x:f>J78+L78</x:f>
        <x:v>10.46153846153846</x:v>
      </x:c>
    </x:row>
    <x:row r="79">
      <x:c r="A79" s="22" t="str">
        <x:v>500101125</x:v>
      </x:c>
      <x:c r="B79" s="17" t="str">
        <x:v>大安區</x:v>
      </x:c>
      <x:c r="C79" s="17" t="str">
        <x:v>臨江街夜市(通化街101巷口)</x:v>
      </x:c>
      <x:c r="D79" s="18" t="n">
        <x:v>26</x:v>
      </x:c>
      <x:c r="E79" s="18" t="n">
        <x:v>26</x:v>
      </x:c>
      <x:c r="F79" s="24" t="n">
        <x:f>IFERROR('各站彙總來源'!F79/'各站彙總來源'!G79,"")</x:f>
        <x:v>43.96153846153846</x:v>
      </x:c>
      <x:c r="G79" s="19" t="n">
        <x:f>'各站彙總來源'!G79</x:f>
        <x:v>26</x:v>
      </x:c>
      <x:c r="H79" s="24" t="n">
        <x:f>IFERROR('各站彙總來源'!H79/'各站彙總來源'!I79,"")</x:f>
        <x:v>2.0384615384615383</x:v>
      </x:c>
      <x:c r="I79" s="19" t="n">
        <x:f>'各站彙總來源'!I79</x:f>
        <x:v>26</x:v>
      </x:c>
      <x:c r="J79" s="24" t="n">
        <x:f>IFERROR('各站彙總來源'!J79/'各站彙總來源'!K79,"")</x:f>
        <x:v>6.538461538461538</x:v>
      </x:c>
      <x:c r="K79" s="19" t="n">
        <x:f>'各站彙總來源'!K79</x:f>
        <x:v>26</x:v>
      </x:c>
      <x:c r="L79" s="24" t="n">
        <x:f>IFERROR('各站彙總來源'!L79/'各站彙總來源'!M79,"")</x:f>
        <x:v>1.4230769230769231</x:v>
      </x:c>
      <x:c r="M79" s="19" t="n">
        <x:f>'各站彙總來源'!M79</x:f>
        <x:v>26</x:v>
      </x:c>
      <x:c r="N79" s="24" t="n">
        <x:f>F79+H79</x:f>
        <x:v>46</x:v>
      </x:c>
      <x:c r="O79" s="24" t="n">
        <x:f>J79+L79</x:f>
        <x:v>7.961538461538462</x:v>
      </x:c>
    </x:row>
    <x:row r="80">
      <x:c r="A80" s="22" t="str">
        <x:v>500101126</x:v>
      </x:c>
      <x:c r="B80" s="17" t="str">
        <x:v>大安區</x:v>
      </x:c>
      <x:c r="C80" s="17" t="str">
        <x:v>臨江街夜市(基隆路)</x:v>
      </x:c>
      <x:c r="D80" s="18" t="n">
        <x:v>26</x:v>
      </x:c>
      <x:c r="E80" s="18" t="n">
        <x:v>26</x:v>
      </x:c>
      <x:c r="F80" s="24" t="n">
        <x:f>IFERROR('各站彙總來源'!F80/'各站彙總來源'!G80,"")</x:f>
        <x:v>16.307692307692307</x:v>
      </x:c>
      <x:c r="G80" s="19" t="n">
        <x:f>'各站彙總來源'!G80</x:f>
        <x:v>26</x:v>
      </x:c>
      <x:c r="H80" s="24" t="n">
        <x:f>IFERROR('各站彙總來源'!H80/'各站彙總來源'!I80,"")</x:f>
        <x:v>4.153846153846154</x:v>
      </x:c>
      <x:c r="I80" s="19" t="n">
        <x:f>'各站彙總來源'!I80</x:f>
        <x:v>26</x:v>
      </x:c>
      <x:c r="J80" s="24" t="n">
        <x:f>IFERROR('各站彙總來源'!J80/'各站彙總來源'!K80,"")</x:f>
        <x:v>4.269230769230769</x:v>
      </x:c>
      <x:c r="K80" s="19" t="n">
        <x:f>'各站彙總來源'!K80</x:f>
        <x:v>26</x:v>
      </x:c>
      <x:c r="L80" s="24" t="n">
        <x:f>IFERROR('各站彙總來源'!L80/'各站彙總來源'!M80,"")</x:f>
        <x:v>1.2692307692307692</x:v>
      </x:c>
      <x:c r="M80" s="19" t="n">
        <x:f>'各站彙總來源'!M80</x:f>
        <x:v>26</x:v>
      </x:c>
      <x:c r="N80" s="24" t="n">
        <x:f>F80+H80</x:f>
        <x:v>20.46153846153846</x:v>
      </x:c>
      <x:c r="O80" s="24" t="n">
        <x:f>J80+L80</x:f>
        <x:v>5.538461538461538</x:v>
      </x:c>
    </x:row>
    <x:row r="81">
      <x:c r="A81" s="22" t="str">
        <x:v>500101127</x:v>
      </x:c>
      <x:c r="B81" s="17" t="str">
        <x:v>大安區</x:v>
      </x:c>
      <x:c r="C81" s="17" t="str">
        <x:v>台北科技大學億光大樓</x:v>
      </x:c>
      <x:c r="D81" s="18" t="n">
        <x:v>26</x:v>
      </x:c>
      <x:c r="E81" s="18" t="n">
        <x:v>26</x:v>
      </x:c>
      <x:c r="F81" s="24" t="n">
        <x:f>IFERROR('各站彙總來源'!F81/'各站彙總來源'!G81,"")</x:f>
        <x:v>18.653846153846153</x:v>
      </x:c>
      <x:c r="G81" s="19" t="n">
        <x:f>'各站彙總來源'!G81</x:f>
        <x:v>26</x:v>
      </x:c>
      <x:c r="H81" s="24" t="n">
        <x:f>IFERROR('各站彙總來源'!H81/'各站彙總來源'!I81,"")</x:f>
        <x:v>2.269230769230769</x:v>
      </x:c>
      <x:c r="I81" s="19" t="n">
        <x:f>'各站彙總來源'!I81</x:f>
        <x:v>26</x:v>
      </x:c>
      <x:c r="J81" s="24" t="n">
        <x:f>IFERROR('各站彙總來源'!J81/'各站彙總來源'!K81,"")</x:f>
        <x:v>39.42307692307692</x:v>
      </x:c>
      <x:c r="K81" s="19" t="n">
        <x:f>'各站彙總來源'!K81</x:f>
        <x:v>26</x:v>
      </x:c>
      <x:c r="L81" s="24" t="n">
        <x:f>IFERROR('各站彙總來源'!L81/'各站彙總來源'!M81,"")</x:f>
        <x:v>3.6538461538461537</x:v>
      </x:c>
      <x:c r="M81" s="19" t="n">
        <x:f>'各站彙總來源'!M81</x:f>
        <x:v>26</x:v>
      </x:c>
      <x:c r="N81" s="24" t="n">
        <x:f>F81+H81</x:f>
        <x:v>20.923076923076923</x:v>
      </x:c>
      <x:c r="O81" s="24" t="n">
        <x:f>J81+L81</x:f>
        <x:v>43.07692307692307</x:v>
      </x:c>
    </x:row>
    <x:row r="82">
      <x:c r="A82" s="22" t="str">
        <x:v>500101128</x:v>
      </x:c>
      <x:c r="B82" s="17" t="str">
        <x:v>大安區</x:v>
      </x:c>
      <x:c r="C82" s="17" t="str">
        <x:v>新生南路一段119巷口</x:v>
      </x:c>
      <x:c r="D82" s="18" t="n">
        <x:v>26</x:v>
      </x:c>
      <x:c r="E82" s="18" t="n">
        <x:v>26</x:v>
      </x:c>
      <x:c r="F82" s="24" t="n">
        <x:f>IFERROR('各站彙總來源'!F82/'各站彙總來源'!G82,"")</x:f>
        <x:v>22.692307692307693</x:v>
      </x:c>
      <x:c r="G82" s="19" t="n">
        <x:f>'各站彙總來源'!G82</x:f>
        <x:v>26</x:v>
      </x:c>
      <x:c r="H82" s="24" t="n">
        <x:f>IFERROR('各站彙總來源'!H82/'各站彙總來源'!I82,"")</x:f>
        <x:v>2.8076923076923075</x:v>
      </x:c>
      <x:c r="I82" s="19" t="n">
        <x:f>'各站彙總來源'!I82</x:f>
        <x:v>26</x:v>
      </x:c>
      <x:c r="J82" s="24" t="n">
        <x:f>IFERROR('各站彙總來源'!J82/'各站彙總來源'!K82,"")</x:f>
        <x:v>10.653846153846153</x:v>
      </x:c>
      <x:c r="K82" s="19" t="n">
        <x:f>'各站彙總來源'!K82</x:f>
        <x:v>26</x:v>
      </x:c>
      <x:c r="L82" s="24" t="n">
        <x:f>IFERROR('各站彙總來源'!L82/'各站彙總來源'!M82,"")</x:f>
        <x:v>1.7307692307692308</x:v>
      </x:c>
      <x:c r="M82" s="19" t="n">
        <x:f>'各站彙總來源'!M82</x:f>
        <x:v>26</x:v>
      </x:c>
      <x:c r="N82" s="24" t="n">
        <x:f>F82+H82</x:f>
        <x:v>25.5</x:v>
      </x:c>
      <x:c r="O82" s="24" t="n">
        <x:f>J82+L82</x:f>
        <x:v>12.384615384615383</x:v>
      </x:c>
    </x:row>
    <x:row r="83">
      <x:c r="A83" s="22" t="str">
        <x:v>500101129</x:v>
      </x:c>
      <x:c r="B83" s="17" t="str">
        <x:v>大安區</x:v>
      </x:c>
      <x:c r="C83" s="17" t="str">
        <x:v>幸安國小(仁愛路)</x:v>
      </x:c>
      <x:c r="D83" s="18" t="n">
        <x:v>26</x:v>
      </x:c>
      <x:c r="E83" s="18" t="n">
        <x:v>26</x:v>
      </x:c>
      <x:c r="F83" s="24" t="n">
        <x:f>IFERROR('各站彙總來源'!F83/'各站彙總來源'!G83,"")</x:f>
        <x:v>15.384615384615385</x:v>
      </x:c>
      <x:c r="G83" s="19" t="n">
        <x:f>'各站彙總來源'!G83</x:f>
        <x:v>26</x:v>
      </x:c>
      <x:c r="H83" s="24" t="n">
        <x:f>IFERROR('各站彙總來源'!H83/'各站彙總來源'!I83,"")</x:f>
        <x:v>4.3076923076923075</x:v>
      </x:c>
      <x:c r="I83" s="19" t="n">
        <x:f>'各站彙總來源'!I83</x:f>
        <x:v>26</x:v>
      </x:c>
      <x:c r="J83" s="24" t="n">
        <x:f>IFERROR('各站彙總來源'!J83/'各站彙總來源'!K83,"")</x:f>
        <x:v>6.384615384615385</x:v>
      </x:c>
      <x:c r="K83" s="19" t="n">
        <x:f>'各站彙總來源'!K83</x:f>
        <x:v>26</x:v>
      </x:c>
      <x:c r="L83" s="24" t="n">
        <x:f>IFERROR('各站彙總來源'!L83/'各站彙總來源'!M83,"")</x:f>
        <x:v>2.1538461538461537</x:v>
      </x:c>
      <x:c r="M83" s="19" t="n">
        <x:f>'各站彙總來源'!M83</x:f>
        <x:v>26</x:v>
      </x:c>
      <x:c r="N83" s="24" t="n">
        <x:f>F83+H83</x:f>
        <x:v>19.692307692307693</x:v>
      </x:c>
      <x:c r="O83" s="24" t="n">
        <x:f>J83+L83</x:f>
        <x:v>8.538461538461538</x:v>
      </x:c>
    </x:row>
    <x:row r="84">
      <x:c r="A84" s="22" t="str">
        <x:v>500101130</x:v>
      </x:c>
      <x:c r="B84" s="17" t="str">
        <x:v>大安區</x:v>
      </x:c>
      <x:c r="C84" s="17" t="str">
        <x:v>民榮公園</x:v>
      </x:c>
      <x:c r="D84" s="18" t="n">
        <x:v>26</x:v>
      </x:c>
      <x:c r="E84" s="18" t="n">
        <x:v>26</x:v>
      </x:c>
      <x:c r="F84" s="24" t="n">
        <x:f>IFERROR('各站彙總來源'!F84/'各站彙總來源'!G84,"")</x:f>
        <x:v>18.5</x:v>
      </x:c>
      <x:c r="G84" s="19" t="n">
        <x:f>'各站彙總來源'!G84</x:f>
        <x:v>26</x:v>
      </x:c>
      <x:c r="H84" s="24" t="n">
        <x:f>IFERROR('各站彙總來源'!H84/'各站彙總來源'!I84,"")</x:f>
        <x:v>4.423076923076923</x:v>
      </x:c>
      <x:c r="I84" s="19" t="n">
        <x:f>'各站彙總來源'!I84</x:f>
        <x:v>26</x:v>
      </x:c>
      <x:c r="J84" s="24" t="n">
        <x:f>IFERROR('各站彙總來源'!J84/'各站彙總來源'!K84,"")</x:f>
        <x:v>7.923076923076923</x:v>
      </x:c>
      <x:c r="K84" s="19" t="n">
        <x:f>'各站彙總來源'!K84</x:f>
        <x:v>26</x:v>
      </x:c>
      <x:c r="L84" s="24" t="n">
        <x:f>IFERROR('各站彙總來源'!L84/'各站彙總來源'!M84,"")</x:f>
        <x:v>1.6153846153846154</x:v>
      </x:c>
      <x:c r="M84" s="19" t="n">
        <x:f>'各站彙總來源'!M84</x:f>
        <x:v>26</x:v>
      </x:c>
      <x:c r="N84" s="24" t="n">
        <x:f>F84+H84</x:f>
        <x:v>22.923076923076923</x:v>
      </x:c>
      <x:c r="O84" s="24" t="n">
        <x:f>J84+L84</x:f>
        <x:v>9.538461538461538</x:v>
      </x:c>
    </x:row>
    <x:row r="85">
      <x:c r="A85" s="22" t="str">
        <x:v>500101131</x:v>
      </x:c>
      <x:c r="B85" s="17" t="str">
        <x:v>大安區</x:v>
      </x:c>
      <x:c r="C85" s="17" t="str">
        <x:v>復興南路1段340巷口</x:v>
      </x:c>
      <x:c r="D85" s="18" t="n">
        <x:v>26</x:v>
      </x:c>
      <x:c r="E85" s="18" t="n">
        <x:v>26</x:v>
      </x:c>
      <x:c r="F85" s="24" t="n">
        <x:f>IFERROR('各站彙總來源'!F85/'各站彙總來源'!G85,"")</x:f>
        <x:v>8.153846153846153</x:v>
      </x:c>
      <x:c r="G85" s="19" t="n">
        <x:f>'各站彙總來源'!G85</x:f>
        <x:v>26</x:v>
      </x:c>
      <x:c r="H85" s="24" t="n">
        <x:f>IFERROR('各站彙總來源'!H85/'各站彙總來源'!I85,"")</x:f>
        <x:v>1.7307692307692308</x:v>
      </x:c>
      <x:c r="I85" s="19" t="n">
        <x:f>'各站彙總來源'!I85</x:f>
        <x:v>26</x:v>
      </x:c>
      <x:c r="J85" s="24" t="n">
        <x:f>IFERROR('各站彙總來源'!J85/'各站彙總來源'!K85,"")</x:f>
        <x:v>16.615384615384617</x:v>
      </x:c>
      <x:c r="K85" s="19" t="n">
        <x:f>'各站彙總來源'!K85</x:f>
        <x:v>26</x:v>
      </x:c>
      <x:c r="L85" s="24" t="n">
        <x:f>IFERROR('各站彙總來源'!L85/'各站彙總來源'!M85,"")</x:f>
        <x:v>2.8846153846153846</x:v>
      </x:c>
      <x:c r="M85" s="19" t="n">
        <x:f>'各站彙總來源'!M85</x:f>
        <x:v>26</x:v>
      </x:c>
      <x:c r="N85" s="24" t="n">
        <x:f>F85+H85</x:f>
        <x:v>9.884615384615383</x:v>
      </x:c>
      <x:c r="O85" s="24" t="n">
        <x:f>J85+L85</x:f>
        <x:v>19.5</x:v>
      </x:c>
    </x:row>
    <x:row r="86">
      <x:c r="A86" s="22" t="str">
        <x:v>500101132</x:v>
      </x:c>
      <x:c r="B86" s="17" t="str">
        <x:v>大安區</x:v>
      </x:c>
      <x:c r="C86" s="17" t="str">
        <x:v>建國濟南路口</x:v>
      </x:c>
      <x:c r="D86" s="18" t="n">
        <x:v>26</x:v>
      </x:c>
      <x:c r="E86" s="18" t="n">
        <x:v>26</x:v>
      </x:c>
      <x:c r="F86" s="24" t="n">
        <x:f>IFERROR('各站彙總來源'!F86/'各站彙總來源'!G86,"")</x:f>
        <x:v>7.115384615384615</x:v>
      </x:c>
      <x:c r="G86" s="19" t="n">
        <x:f>'各站彙總來源'!G86</x:f>
        <x:v>26</x:v>
      </x:c>
      <x:c r="H86" s="24" t="n">
        <x:f>IFERROR('各站彙總來源'!H86/'各站彙總來源'!I86,"")</x:f>
        <x:v>1.7692307692307692</x:v>
      </x:c>
      <x:c r="I86" s="19" t="n">
        <x:f>'各站彙總來源'!I86</x:f>
        <x:v>26</x:v>
      </x:c>
      <x:c r="J86" s="24" t="n">
        <x:f>IFERROR('各站彙總來源'!J86/'各站彙總來源'!K86,"")</x:f>
        <x:v>9.26923076923077</x:v>
      </x:c>
      <x:c r="K86" s="19" t="n">
        <x:f>'各站彙總來源'!K86</x:f>
        <x:v>26</x:v>
      </x:c>
      <x:c r="L86" s="24" t="n">
        <x:f>IFERROR('各站彙總來源'!L86/'各站彙總來源'!M86,"")</x:f>
        <x:v>2.269230769230769</x:v>
      </x:c>
      <x:c r="M86" s="19" t="n">
        <x:f>'各站彙總來源'!M86</x:f>
        <x:v>26</x:v>
      </x:c>
      <x:c r="N86" s="24" t="n">
        <x:f>F86+H86</x:f>
        <x:v>8.884615384615383</x:v>
      </x:c>
      <x:c r="O86" s="24" t="n">
        <x:f>J86+L86</x:f>
        <x:v>11.53846153846154</x:v>
      </x:c>
    </x:row>
    <x:row r="87">
      <x:c r="A87" s="22" t="str">
        <x:v>500101133</x:v>
      </x:c>
      <x:c r="B87" s="17" t="str">
        <x:v>大安區</x:v>
      </x:c>
      <x:c r="C87" s="17" t="str">
        <x:v>捷運忠孝復興站(2號出口)</x:v>
      </x:c>
      <x:c r="D87" s="18" t="n">
        <x:v>26</x:v>
      </x:c>
      <x:c r="E87" s="18" t="n">
        <x:v>26</x:v>
      </x:c>
      <x:c r="F87" s="24" t="n">
        <x:f>IFERROR('各站彙總來源'!F87/'各站彙總來源'!G87,"")</x:f>
        <x:v>16.846153846153847</x:v>
      </x:c>
      <x:c r="G87" s="19" t="n">
        <x:f>'各站彙總來源'!G87</x:f>
        <x:v>26</x:v>
      </x:c>
      <x:c r="H87" s="24" t="n">
        <x:f>IFERROR('各站彙總來源'!H87/'各站彙總來源'!I87,"")</x:f>
        <x:v>2.6923076923076925</x:v>
      </x:c>
      <x:c r="I87" s="19" t="n">
        <x:f>'各站彙總來源'!I87</x:f>
        <x:v>26</x:v>
      </x:c>
      <x:c r="J87" s="24" t="n">
        <x:f>IFERROR('各站彙總來源'!J87/'各站彙總來源'!K87,"")</x:f>
        <x:v>11.615384615384615</x:v>
      </x:c>
      <x:c r="K87" s="19" t="n">
        <x:f>'各站彙總來源'!K87</x:f>
        <x:v>26</x:v>
      </x:c>
      <x:c r="L87" s="24" t="n">
        <x:f>IFERROR('各站彙總來源'!L87/'各站彙總來源'!M87,"")</x:f>
        <x:v>2.8076923076923075</x:v>
      </x:c>
      <x:c r="M87" s="19" t="n">
        <x:f>'各站彙總來源'!M87</x:f>
        <x:v>26</x:v>
      </x:c>
      <x:c r="N87" s="24" t="n">
        <x:f>F87+H87</x:f>
        <x:v>19.53846153846154</x:v>
      </x:c>
      <x:c r="O87" s="24" t="n">
        <x:f>J87+L87</x:f>
        <x:v>14.423076923076923</x:v>
      </x:c>
    </x:row>
    <x:row r="88">
      <x:c r="A88" s="22" t="str">
        <x:v>500101134</x:v>
      </x:c>
      <x:c r="B88" s="17" t="str">
        <x:v>大安區</x:v>
      </x:c>
      <x:c r="C88" s="17" t="str">
        <x:v>捷運大安站(4號出口)</x:v>
      </x:c>
      <x:c r="D88" s="18" t="n">
        <x:v>26</x:v>
      </x:c>
      <x:c r="E88" s="18" t="n">
        <x:v>26</x:v>
      </x:c>
      <x:c r="F88" s="24" t="n">
        <x:f>IFERROR('各站彙總來源'!F88/'各站彙總來源'!G88,"")</x:f>
        <x:v>8.615384615384615</x:v>
      </x:c>
      <x:c r="G88" s="19" t="n">
        <x:f>'各站彙總來源'!G88</x:f>
        <x:v>26</x:v>
      </x:c>
      <x:c r="H88" s="24" t="n">
        <x:f>IFERROR('各站彙總來源'!H88/'各站彙總來源'!I88,"")</x:f>
        <x:v>2.230769230769231</x:v>
      </x:c>
      <x:c r="I88" s="19" t="n">
        <x:f>'各站彙總來源'!I88</x:f>
        <x:v>26</x:v>
      </x:c>
      <x:c r="J88" s="24" t="n">
        <x:f>IFERROR('各站彙總來源'!J88/'各站彙總來源'!K88,"")</x:f>
        <x:v>3.4615384615384617</x:v>
      </x:c>
      <x:c r="K88" s="19" t="n">
        <x:f>'各站彙總來源'!K88</x:f>
        <x:v>26</x:v>
      </x:c>
      <x:c r="L88" s="24" t="n">
        <x:f>IFERROR('各站彙總來源'!L88/'各站彙總來源'!M88,"")</x:f>
        <x:v>1.3461538461538463</x:v>
      </x:c>
      <x:c r="M88" s="19" t="n">
        <x:f>'各站彙總來源'!M88</x:f>
        <x:v>26</x:v>
      </x:c>
      <x:c r="N88" s="24" t="n">
        <x:f>F88+H88</x:f>
        <x:v>10.846153846153847</x:v>
      </x:c>
      <x:c r="O88" s="24" t="n">
        <x:f>J88+L88</x:f>
        <x:v>4.807692307692308</x:v>
      </x:c>
    </x:row>
    <x:row r="89">
      <x:c r="A89" s="22" t="str">
        <x:v>500101135</x:v>
      </x:c>
      <x:c r="B89" s="17" t="str">
        <x:v>大安區</x:v>
      </x:c>
      <x:c r="C89" s="17" t="str">
        <x:v>捷運大安站(2號出口)</x:v>
      </x:c>
      <x:c r="D89" s="18" t="n">
        <x:v>26</x:v>
      </x:c>
      <x:c r="E89" s="18" t="n">
        <x:v>26</x:v>
      </x:c>
      <x:c r="F89" s="24" t="n">
        <x:f>IFERROR('各站彙總來源'!F89/'各站彙總來源'!G89,"")</x:f>
        <x:v>4.961538461538462</x:v>
      </x:c>
      <x:c r="G89" s="19" t="n">
        <x:f>'各站彙總來源'!G89</x:f>
        <x:v>26</x:v>
      </x:c>
      <x:c r="H89" s="24" t="n">
        <x:f>IFERROR('各站彙總來源'!H89/'各站彙總來源'!I89,"")</x:f>
        <x:v>1.5769230769230769</x:v>
      </x:c>
      <x:c r="I89" s="19" t="n">
        <x:f>'各站彙總來源'!I89</x:f>
        <x:v>26</x:v>
      </x:c>
      <x:c r="J89" s="24" t="n">
        <x:f>IFERROR('各站彙總來源'!J89/'各站彙總來源'!K89,"")</x:f>
        <x:v>19.846153846153847</x:v>
      </x:c>
      <x:c r="K89" s="19" t="n">
        <x:f>'各站彙總來源'!K89</x:f>
        <x:v>26</x:v>
      </x:c>
      <x:c r="L89" s="24" t="n">
        <x:f>IFERROR('各站彙總來源'!L89/'各站彙總來源'!M89,"")</x:f>
        <x:v>5.3076923076923075</x:v>
      </x:c>
      <x:c r="M89" s="19" t="n">
        <x:f>'各站彙總來源'!M89</x:f>
        <x:v>26</x:v>
      </x:c>
      <x:c r="N89" s="24" t="n">
        <x:f>F89+H89</x:f>
        <x:v>6.538461538461538</x:v>
      </x:c>
      <x:c r="O89" s="24" t="n">
        <x:f>J89+L89</x:f>
        <x:v>25.153846153846153</x:v>
      </x:c>
    </x:row>
    <x:row r="90">
      <x:c r="A90" s="22" t="str">
        <x:v>500101136</x:v>
      </x:c>
      <x:c r="B90" s="17" t="str">
        <x:v>大安區</x:v>
      </x:c>
      <x:c r="C90" s="17" t="str">
        <x:v>信義大安路口(信維大樓)</x:v>
      </x:c>
      <x:c r="D90" s="18" t="n">
        <x:v>26</x:v>
      </x:c>
      <x:c r="E90" s="18" t="n">
        <x:v>26</x:v>
      </x:c>
      <x:c r="F90" s="24" t="n">
        <x:f>IFERROR('各站彙總來源'!F90/'各站彙總來源'!G90,"")</x:f>
        <x:v>10.115384615384615</x:v>
      </x:c>
      <x:c r="G90" s="19" t="n">
        <x:f>'各站彙總來源'!G90</x:f>
        <x:v>26</x:v>
      </x:c>
      <x:c r="H90" s="24" t="n">
        <x:f>IFERROR('各站彙總來源'!H90/'各站彙總來源'!I90,"")</x:f>
        <x:v>2.576923076923077</x:v>
      </x:c>
      <x:c r="I90" s="19" t="n">
        <x:f>'各站彙總來源'!I90</x:f>
        <x:v>26</x:v>
      </x:c>
      <x:c r="J90" s="24" t="n">
        <x:f>IFERROR('各站彙總來源'!J90/'各站彙總來源'!K90,"")</x:f>
        <x:v>5.346153846153846</x:v>
      </x:c>
      <x:c r="K90" s="19" t="n">
        <x:f>'各站彙總來源'!K90</x:f>
        <x:v>26</x:v>
      </x:c>
      <x:c r="L90" s="24" t="n">
        <x:f>IFERROR('各站彙總來源'!L90/'各站彙總來源'!M90,"")</x:f>
        <x:v>1.6923076923076923</x:v>
      </x:c>
      <x:c r="M90" s="19" t="n">
        <x:f>'各站彙總來源'!M90</x:f>
        <x:v>26</x:v>
      </x:c>
      <x:c r="N90" s="24" t="n">
        <x:f>F90+H90</x:f>
        <x:v>12.692307692307692</x:v>
      </x:c>
      <x:c r="O90" s="24" t="n">
        <x:f>J90+L90</x:f>
        <x:v>7.038461538461538</x:v>
      </x:c>
    </x:row>
    <x:row r="91">
      <x:c r="A91" s="22" t="str">
        <x:v>500101137</x:v>
      </x:c>
      <x:c r="B91" s="17" t="str">
        <x:v>大安區</x:v>
      </x:c>
      <x:c r="C91" s="17" t="str">
        <x:v>龍門廣場</x:v>
      </x:c>
      <x:c r="D91" s="18" t="n">
        <x:v>26</x:v>
      </x:c>
      <x:c r="E91" s="18" t="n">
        <x:v>26</x:v>
      </x:c>
      <x:c r="F91" s="24" t="n">
        <x:f>IFERROR('各站彙總來源'!F91/'各站彙總來源'!G91,"")</x:f>
        <x:v>15.346153846153847</x:v>
      </x:c>
      <x:c r="G91" s="19" t="n">
        <x:f>'各站彙總來源'!G91</x:f>
        <x:v>26</x:v>
      </x:c>
      <x:c r="H91" s="24" t="n">
        <x:f>IFERROR('各站彙總來源'!H91/'各站彙總來源'!I91,"")</x:f>
        <x:v>2.3846153846153846</x:v>
      </x:c>
      <x:c r="I91" s="19" t="n">
        <x:f>'各站彙總來源'!I91</x:f>
        <x:v>26</x:v>
      </x:c>
      <x:c r="J91" s="24" t="n">
        <x:f>IFERROR('各站彙總來源'!J91/'各站彙總來源'!K91,"")</x:f>
        <x:v>33.53846153846154</x:v>
      </x:c>
      <x:c r="K91" s="19" t="n">
        <x:f>'各站彙總來源'!K91</x:f>
        <x:v>26</x:v>
      </x:c>
      <x:c r="L91" s="24" t="n">
        <x:f>IFERROR('各站彙總來源'!L91/'各站彙總來源'!M91,"")</x:f>
        <x:v>7</x:v>
      </x:c>
      <x:c r="M91" s="19" t="n">
        <x:f>'各站彙總來源'!M91</x:f>
        <x:v>26</x:v>
      </x:c>
      <x:c r="N91" s="24" t="n">
        <x:f>F91+H91</x:f>
        <x:v>17.73076923076923</x:v>
      </x:c>
      <x:c r="O91" s="24" t="n">
        <x:f>J91+L91</x:f>
        <x:v>40.53846153846154</x:v>
      </x:c>
    </x:row>
    <x:row r="92">
      <x:c r="A92" s="22" t="str">
        <x:v>500101138</x:v>
      </x:c>
      <x:c r="B92" s="17" t="str">
        <x:v>大安區</x:v>
      </x:c>
      <x:c r="C92" s="17" t="str">
        <x:v>仁愛安和路口</x:v>
      </x:c>
      <x:c r="D92" s="18" t="n">
        <x:v>26</x:v>
      </x:c>
      <x:c r="E92" s="18" t="n">
        <x:v>26</x:v>
      </x:c>
      <x:c r="F92" s="24" t="n">
        <x:f>IFERROR('各站彙總來源'!F92/'各站彙總來源'!G92,"")</x:f>
        <x:v>5.8076923076923075</x:v>
      </x:c>
      <x:c r="G92" s="19" t="n">
        <x:f>'各站彙總來源'!G92</x:f>
        <x:v>26</x:v>
      </x:c>
      <x:c r="H92" s="24" t="n">
        <x:f>IFERROR('各站彙總來源'!H92/'各站彙總來源'!I92,"")</x:f>
        <x:v>0.8461538461538461</x:v>
      </x:c>
      <x:c r="I92" s="19" t="n">
        <x:f>'各站彙總來源'!I92</x:f>
        <x:v>26</x:v>
      </x:c>
      <x:c r="J92" s="24" t="n">
        <x:f>IFERROR('各站彙總來源'!J92/'各站彙總來源'!K92,"")</x:f>
        <x:v>20.53846153846154</x:v>
      </x:c>
      <x:c r="K92" s="19" t="n">
        <x:f>'各站彙總來源'!K92</x:f>
        <x:v>26</x:v>
      </x:c>
      <x:c r="L92" s="24" t="n">
        <x:f>IFERROR('各站彙總來源'!L92/'各站彙總來源'!M92,"")</x:f>
        <x:v>5.038461538461538</x:v>
      </x:c>
      <x:c r="M92" s="19" t="n">
        <x:f>'各站彙總來源'!M92</x:f>
        <x:v>26</x:v>
      </x:c>
      <x:c r="N92" s="24" t="n">
        <x:f>F92+H92</x:f>
        <x:v>6.653846153846153</x:v>
      </x:c>
      <x:c r="O92" s="24" t="n">
        <x:f>J92+L92</x:f>
        <x:v>25.57692307692308</x:v>
      </x:c>
    </x:row>
    <x:row r="93">
      <x:c r="A93" s="22" t="str">
        <x:v>500101139</x:v>
      </x:c>
      <x:c r="B93" s="17" t="str">
        <x:v>大安區</x:v>
      </x:c>
      <x:c r="C93" s="17" t="str">
        <x:v>信義敦化路口</x:v>
      </x:c>
      <x:c r="D93" s="18" t="n">
        <x:v>26</x:v>
      </x:c>
      <x:c r="E93" s="18" t="n">
        <x:v>26</x:v>
      </x:c>
      <x:c r="F93" s="24" t="n">
        <x:f>IFERROR('各站彙總來源'!F93/'各站彙總來源'!G93,"")</x:f>
        <x:v>22.76923076923077</x:v>
      </x:c>
      <x:c r="G93" s="19" t="n">
        <x:f>'各站彙總來源'!G93</x:f>
        <x:v>26</x:v>
      </x:c>
      <x:c r="H93" s="24" t="n">
        <x:f>IFERROR('各站彙總來源'!H93/'各站彙總來源'!I93,"")</x:f>
        <x:v>2.8846153846153846</x:v>
      </x:c>
      <x:c r="I93" s="19" t="n">
        <x:f>'各站彙總來源'!I93</x:f>
        <x:v>26</x:v>
      </x:c>
      <x:c r="J93" s="24" t="n">
        <x:f>IFERROR('各站彙總來源'!J93/'各站彙總來源'!K93,"")</x:f>
        <x:v>17.346153846153847</x:v>
      </x:c>
      <x:c r="K93" s="19" t="n">
        <x:f>'各站彙總來源'!K93</x:f>
        <x:v>26</x:v>
      </x:c>
      <x:c r="L93" s="24" t="n">
        <x:f>IFERROR('各站彙總來源'!L93/'各站彙總來源'!M93,"")</x:f>
        <x:v>4.269230769230769</x:v>
      </x:c>
      <x:c r="M93" s="19" t="n">
        <x:f>'各站彙總來源'!M93</x:f>
        <x:v>26</x:v>
      </x:c>
      <x:c r="N93" s="24" t="n">
        <x:f>F93+H93</x:f>
        <x:v>25.653846153846153</x:v>
      </x:c>
      <x:c r="O93" s="24" t="n">
        <x:f>J93+L93</x:f>
        <x:v>21.615384615384617</x:v>
      </x:c>
    </x:row>
    <x:row r="94">
      <x:c r="A94" s="22" t="str">
        <x:v>500101140</x:v>
      </x:c>
      <x:c r="B94" s="17" t="str">
        <x:v>大安區</x:v>
      </x:c>
      <x:c r="C94" s="17" t="str">
        <x:v>仁愛國中</x:v>
      </x:c>
      <x:c r="D94" s="18" t="n">
        <x:v>26</x:v>
      </x:c>
      <x:c r="E94" s="18" t="n">
        <x:v>26</x:v>
      </x:c>
      <x:c r="F94" s="24" t="n">
        <x:f>IFERROR('各站彙總來源'!F94/'各站彙總來源'!G94,"")</x:f>
        <x:v>4.538461538461538</x:v>
      </x:c>
      <x:c r="G94" s="19" t="n">
        <x:f>'各站彙總來源'!G94</x:f>
        <x:v>26</x:v>
      </x:c>
      <x:c r="H94" s="24" t="n">
        <x:f>IFERROR('各站彙總來源'!H94/'各站彙總來源'!I94,"")</x:f>
        <x:v>0.9615384615384616</x:v>
      </x:c>
      <x:c r="I94" s="19" t="n">
        <x:f>'各站彙總來源'!I94</x:f>
        <x:v>26</x:v>
      </x:c>
      <x:c r="J94" s="24" t="n">
        <x:f>IFERROR('各站彙總來源'!J94/'各站彙總來源'!K94,"")</x:f>
        <x:v>13.692307692307692</x:v>
      </x:c>
      <x:c r="K94" s="19" t="n">
        <x:f>'各站彙總來源'!K94</x:f>
        <x:v>26</x:v>
      </x:c>
      <x:c r="L94" s="24" t="n">
        <x:f>IFERROR('各站彙總來源'!L94/'各站彙總來源'!M94,"")</x:f>
        <x:v>2.769230769230769</x:v>
      </x:c>
      <x:c r="M94" s="19" t="n">
        <x:f>'各站彙總來源'!M94</x:f>
        <x:v>26</x:v>
      </x:c>
      <x:c r="N94" s="24" t="n">
        <x:f>F94+H94</x:f>
        <x:v>5.5</x:v>
      </x:c>
      <x:c r="O94" s="24" t="n">
        <x:f>J94+L94</x:f>
        <x:v>16.46153846153846</x:v>
      </x:c>
    </x:row>
    <x:row r="95">
      <x:c r="A95" s="22" t="str">
        <x:v>500101141</x:v>
      </x:c>
      <x:c r="B95" s="17" t="str">
        <x:v>大安區</x:v>
      </x:c>
      <x:c r="C95" s="17" t="str">
        <x:v>捷運信義安和站(2號出口)</x:v>
      </x:c>
      <x:c r="D95" s="18" t="n">
        <x:v>26</x:v>
      </x:c>
      <x:c r="E95" s="18" t="n">
        <x:v>26</x:v>
      </x:c>
      <x:c r="F95" s="24" t="n">
        <x:f>IFERROR('各站彙總來源'!F95/'各站彙總來源'!G95,"")</x:f>
        <x:v>12.076923076923077</x:v>
      </x:c>
      <x:c r="G95" s="19" t="n">
        <x:f>'各站彙總來源'!G95</x:f>
        <x:v>26</x:v>
      </x:c>
      <x:c r="H95" s="24" t="n">
        <x:f>IFERROR('各站彙總來源'!H95/'各站彙總來源'!I95,"")</x:f>
        <x:v>2</x:v>
      </x:c>
      <x:c r="I95" s="19" t="n">
        <x:f>'各站彙總來源'!I95</x:f>
        <x:v>26</x:v>
      </x:c>
      <x:c r="J95" s="24" t="n">
        <x:f>IFERROR('各站彙總來源'!J95/'各站彙總來源'!K95,"")</x:f>
        <x:v>5.461538461538462</x:v>
      </x:c>
      <x:c r="K95" s="19" t="n">
        <x:f>'各站彙總來源'!K95</x:f>
        <x:v>26</x:v>
      </x:c>
      <x:c r="L95" s="24" t="n">
        <x:f>IFERROR('各站彙總來源'!L95/'各站彙總來源'!M95,"")</x:f>
        <x:v>1.3461538461538463</x:v>
      </x:c>
      <x:c r="M95" s="19" t="n">
        <x:f>'各站彙總來源'!M95</x:f>
        <x:v>26</x:v>
      </x:c>
      <x:c r="N95" s="24" t="n">
        <x:f>F95+H95</x:f>
        <x:v>14.076923076923077</x:v>
      </x:c>
      <x:c r="O95" s="24" t="n">
        <x:f>J95+L95</x:f>
        <x:v>6.807692307692308</x:v>
      </x:c>
    </x:row>
    <x:row r="96">
      <x:c r="A96" s="22" t="str">
        <x:v>500101142</x:v>
      </x:c>
      <x:c r="B96" s="17" t="str">
        <x:v>大安區</x:v>
      </x:c>
      <x:c r="C96" s="17" t="str">
        <x:v>八德市場</x:v>
      </x:c>
      <x:c r="D96" s="18" t="n">
        <x:v>26</x:v>
      </x:c>
      <x:c r="E96" s="18" t="n">
        <x:v>26</x:v>
      </x:c>
      <x:c r="F96" s="24" t="n">
        <x:f>IFERROR('各站彙總來源'!F96/'各站彙總來源'!G96,"")</x:f>
        <x:v>7.884615384615385</x:v>
      </x:c>
      <x:c r="G96" s="19" t="n">
        <x:f>'各站彙總來源'!G96</x:f>
        <x:v>26</x:v>
      </x:c>
      <x:c r="H96" s="24" t="n">
        <x:f>IFERROR('各站彙總來源'!H96/'各站彙總來源'!I96,"")</x:f>
        <x:v>2</x:v>
      </x:c>
      <x:c r="I96" s="19" t="n">
        <x:f>'各站彙總來源'!I96</x:f>
        <x:v>26</x:v>
      </x:c>
      <x:c r="J96" s="24" t="n">
        <x:f>IFERROR('各站彙總來源'!J96/'各站彙總來源'!K96,"")</x:f>
        <x:v>16.53846153846154</x:v>
      </x:c>
      <x:c r="K96" s="19" t="n">
        <x:f>'各站彙總來源'!K96</x:f>
        <x:v>26</x:v>
      </x:c>
      <x:c r="L96" s="24" t="n">
        <x:f>IFERROR('各站彙總來源'!L96/'各站彙總來源'!M96,"")</x:f>
        <x:v>2.1538461538461537</x:v>
      </x:c>
      <x:c r="M96" s="19" t="n">
        <x:f>'各站彙總來源'!M96</x:f>
        <x:v>26</x:v>
      </x:c>
      <x:c r="N96" s="24" t="n">
        <x:f>F96+H96</x:f>
        <x:v>9.884615384615385</x:v>
      </x:c>
      <x:c r="O96" s="24" t="n">
        <x:f>J96+L96</x:f>
        <x:v>18.692307692307693</x:v>
      </x:c>
    </x:row>
    <x:row r="97">
      <x:c r="A97" s="22" t="str">
        <x:v>500101143</x:v>
      </x:c>
      <x:c r="B97" s="17" t="str">
        <x:v>大安區</x:v>
      </x:c>
      <x:c r="C97" s="17" t="str">
        <x:v>昌隆公園</x:v>
      </x:c>
      <x:c r="D97" s="18" t="n">
        <x:v>26</x:v>
      </x:c>
      <x:c r="E97" s="18" t="n">
        <x:v>26</x:v>
      </x:c>
      <x:c r="F97" s="24" t="n">
        <x:f>IFERROR('各站彙總來源'!F97/'各站彙總來源'!G97,"")</x:f>
        <x:v>7.6923076923076925</x:v>
      </x:c>
      <x:c r="G97" s="19" t="n">
        <x:f>'各站彙總來源'!G97</x:f>
        <x:v>26</x:v>
      </x:c>
      <x:c r="H97" s="24" t="n">
        <x:f>IFERROR('各站彙總來源'!H97/'各站彙總來源'!I97,"")</x:f>
        <x:v>1.3846153846153846</x:v>
      </x:c>
      <x:c r="I97" s="19" t="n">
        <x:f>'各站彙總來源'!I97</x:f>
        <x:v>26</x:v>
      </x:c>
      <x:c r="J97" s="24" t="n">
        <x:f>IFERROR('各站彙總來源'!J97/'各站彙總來源'!K97,"")</x:f>
        <x:v>7.730769230769231</x:v>
      </x:c>
      <x:c r="K97" s="19" t="n">
        <x:f>'各站彙總來源'!K97</x:f>
        <x:v>26</x:v>
      </x:c>
      <x:c r="L97" s="24" t="n">
        <x:f>IFERROR('各站彙總來源'!L97/'各站彙總來源'!M97,"")</x:f>
        <x:v>2.3076923076923075</x:v>
      </x:c>
      <x:c r="M97" s="19" t="n">
        <x:f>'各站彙總來源'!M97</x:f>
        <x:v>26</x:v>
      </x:c>
      <x:c r="N97" s="24" t="n">
        <x:f>F97+H97</x:f>
        <x:v>9.076923076923077</x:v>
      </x:c>
      <x:c r="O97" s="24" t="n">
        <x:f>J97+L97</x:f>
        <x:v>10.038461538461538</x:v>
      </x:c>
    </x:row>
    <x:row r="98">
      <x:c r="A98" s="22" t="str">
        <x:v>500101144</x:v>
      </x:c>
      <x:c r="B98" s="17" t="str">
        <x:v>大安區</x:v>
      </x:c>
      <x:c r="C98" s="17" t="str">
        <x:v>捷運大安森林公園站(2號出口)</x:v>
      </x:c>
      <x:c r="D98" s="18" t="n">
        <x:v>26</x:v>
      </x:c>
      <x:c r="E98" s="18" t="n">
        <x:v>26</x:v>
      </x:c>
      <x:c r="F98" s="24" t="n">
        <x:f>IFERROR('各站彙總來源'!F98/'各站彙總來源'!G98,"")</x:f>
        <x:v>39.38461538461539</x:v>
      </x:c>
      <x:c r="G98" s="19" t="n">
        <x:f>'各站彙總來源'!G98</x:f>
        <x:v>26</x:v>
      </x:c>
      <x:c r="H98" s="24" t="n">
        <x:f>IFERROR('各站彙總來源'!H98/'各站彙總來源'!I98,"")</x:f>
        <x:v>6.961538461538462</x:v>
      </x:c>
      <x:c r="I98" s="19" t="n">
        <x:f>'各站彙總來源'!I98</x:f>
        <x:v>26</x:v>
      </x:c>
      <x:c r="J98" s="24" t="n">
        <x:f>IFERROR('各站彙總來源'!J98/'各站彙總來源'!K98,"")</x:f>
        <x:v>19.076923076923077</x:v>
      </x:c>
      <x:c r="K98" s="19" t="n">
        <x:f>'各站彙總來源'!K98</x:f>
        <x:v>26</x:v>
      </x:c>
      <x:c r="L98" s="24" t="n">
        <x:f>IFERROR('各站彙總來源'!L98/'各站彙總來源'!M98,"")</x:f>
        <x:v>7.269230769230769</x:v>
      </x:c>
      <x:c r="M98" s="19" t="n">
        <x:f>'各站彙總來源'!M98</x:f>
        <x:v>26</x:v>
      </x:c>
      <x:c r="N98" s="24" t="n">
        <x:f>F98+H98</x:f>
        <x:v>46.34615384615385</x:v>
      </x:c>
      <x:c r="O98" s="24" t="n">
        <x:f>J98+L98</x:f>
        <x:v>26.346153846153847</x:v>
      </x:c>
    </x:row>
    <x:row r="99">
      <x:c r="A99" s="22" t="str">
        <x:v>500101145</x:v>
      </x:c>
      <x:c r="B99" s="17" t="str">
        <x:v>大安區</x:v>
      </x:c>
      <x:c r="C99" s="17" t="str">
        <x:v>信義延吉街口</x:v>
      </x:c>
      <x:c r="D99" s="18" t="n">
        <x:v>26</x:v>
      </x:c>
      <x:c r="E99" s="18" t="n">
        <x:v>26</x:v>
      </x:c>
      <x:c r="F99" s="24" t="n">
        <x:f>IFERROR('各站彙總來源'!F99/'各站彙總來源'!G99,"")</x:f>
        <x:v>4.884615384615385</x:v>
      </x:c>
      <x:c r="G99" s="19" t="n">
        <x:f>'各站彙總來源'!G99</x:f>
        <x:v>26</x:v>
      </x:c>
      <x:c r="H99" s="24" t="n">
        <x:f>IFERROR('各站彙總來源'!H99/'各站彙總來源'!I99,"")</x:f>
        <x:v>0.9615384615384616</x:v>
      </x:c>
      <x:c r="I99" s="19" t="n">
        <x:f>'各站彙總來源'!I99</x:f>
        <x:v>26</x:v>
      </x:c>
      <x:c r="J99" s="24" t="n">
        <x:f>IFERROR('各站彙總來源'!J99/'各站彙總來源'!K99,"")</x:f>
        <x:v>6.730769230769231</x:v>
      </x:c>
      <x:c r="K99" s="19" t="n">
        <x:f>'各站彙總來源'!K99</x:f>
        <x:v>26</x:v>
      </x:c>
      <x:c r="L99" s="24" t="n">
        <x:f>IFERROR('各站彙總來源'!L99/'各站彙總來源'!M99,"")</x:f>
        <x:v>1.1153846153846154</x:v>
      </x:c>
      <x:c r="M99" s="19" t="n">
        <x:f>'各站彙總來源'!M99</x:f>
        <x:v>26</x:v>
      </x:c>
      <x:c r="N99" s="24" t="n">
        <x:f>F99+H99</x:f>
        <x:v>5.846153846153847</x:v>
      </x:c>
      <x:c r="O99" s="24" t="n">
        <x:f>J99+L99</x:f>
        <x:v>7.846153846153847</x:v>
      </x:c>
    </x:row>
    <x:row r="100">
      <x:c r="A100" s="22" t="str">
        <x:v>500101146</x:v>
      </x:c>
      <x:c r="B100" s="17" t="str">
        <x:v>大安區</x:v>
      </x:c>
      <x:c r="C100" s="17" t="str">
        <x:v>光信公園(光復南路456巷)</x:v>
      </x:c>
      <x:c r="D100" s="18" t="n">
        <x:v>26</x:v>
      </x:c>
      <x:c r="E100" s="18" t="n">
        <x:v>26</x:v>
      </x:c>
      <x:c r="F100" s="24" t="n">
        <x:f>IFERROR('各站彙總來源'!F100/'各站彙總來源'!G100,"")</x:f>
        <x:v>17.346153846153847</x:v>
      </x:c>
      <x:c r="G100" s="19" t="n">
        <x:f>'各站彙總來源'!G100</x:f>
        <x:v>26</x:v>
      </x:c>
      <x:c r="H100" s="24" t="n">
        <x:f>IFERROR('各站彙總來源'!H100/'各站彙總來源'!I100,"")</x:f>
        <x:v>1.3461538461538463</x:v>
      </x:c>
      <x:c r="I100" s="19" t="n">
        <x:f>'各站彙總來源'!I100</x:f>
        <x:v>26</x:v>
      </x:c>
      <x:c r="J100" s="24" t="n">
        <x:f>IFERROR('各站彙總來源'!J100/'各站彙總來源'!K100,"")</x:f>
        <x:v>6.269230769230769</x:v>
      </x:c>
      <x:c r="K100" s="19" t="n">
        <x:f>'各站彙總來源'!K100</x:f>
        <x:v>26</x:v>
      </x:c>
      <x:c r="L100" s="24" t="n">
        <x:f>IFERROR('各站彙總來源'!L100/'各站彙總來源'!M100,"")</x:f>
        <x:v>2.1538461538461537</x:v>
      </x:c>
      <x:c r="M100" s="19" t="n">
        <x:f>'各站彙總來源'!M100</x:f>
        <x:v>26</x:v>
      </x:c>
      <x:c r="N100" s="24" t="n">
        <x:f>F100+H100</x:f>
        <x:v>18.692307692307693</x:v>
      </x:c>
      <x:c r="O100" s="24" t="n">
        <x:f>J100+L100</x:f>
        <x:v>8.423076923076923</x:v>
      </x:c>
    </x:row>
    <x:row r="101">
      <x:c r="A101" s="22" t="str">
        <x:v>500101147</x:v>
      </x:c>
      <x:c r="B101" s="17" t="str">
        <x:v>大安區</x:v>
      </x:c>
      <x:c r="C101" s="17" t="str">
        <x:v>僑安地下停車場(2號出口)東南側</x:v>
      </x:c>
      <x:c r="D101" s="18" t="n">
        <x:v>26</x:v>
      </x:c>
      <x:c r="E101" s="18" t="n">
        <x:v>26</x:v>
      </x:c>
      <x:c r="F101" s="24" t="n">
        <x:f>IFERROR('各站彙總來源'!F101/'各站彙總來源'!G101,"")</x:f>
        <x:v>5.653846153846154</x:v>
      </x:c>
      <x:c r="G101" s="19" t="n">
        <x:f>'各站彙總來源'!G101</x:f>
        <x:v>26</x:v>
      </x:c>
      <x:c r="H101" s="24" t="n">
        <x:f>IFERROR('各站彙總來源'!H101/'各站彙總來源'!I101,"")</x:f>
        <x:v>0.6923076923076923</x:v>
      </x:c>
      <x:c r="I101" s="19" t="n">
        <x:f>'各站彙總來源'!I101</x:f>
        <x:v>26</x:v>
      </x:c>
      <x:c r="J101" s="24" t="n">
        <x:f>IFERROR('各站彙總來源'!J101/'各站彙總來源'!K101,"")</x:f>
        <x:v>7.730769230769231</x:v>
      </x:c>
      <x:c r="K101" s="19" t="n">
        <x:f>'各站彙總來源'!K101</x:f>
        <x:v>26</x:v>
      </x:c>
      <x:c r="L101" s="24" t="n">
        <x:f>IFERROR('各站彙總來源'!L101/'各站彙總來源'!M101,"")</x:f>
        <x:v>2.3461538461538463</x:v>
      </x:c>
      <x:c r="M101" s="19" t="n">
        <x:f>'各站彙總來源'!M101</x:f>
        <x:v>26</x:v>
      </x:c>
      <x:c r="N101" s="24" t="n">
        <x:f>F101+H101</x:f>
        <x:v>6.346153846153847</x:v>
      </x:c>
      <x:c r="O101" s="24" t="n">
        <x:f>J101+L101</x:f>
        <x:v>10.076923076923077</x:v>
      </x:c>
    </x:row>
    <x:row r="102">
      <x:c r="A102" s="22" t="str">
        <x:v>500101148</x:v>
      </x:c>
      <x:c r="B102" s="17" t="str">
        <x:v>大安區</x:v>
      </x:c>
      <x:c r="C102" s="17" t="str">
        <x:v>建國南路一段279巷口</x:v>
      </x:c>
      <x:c r="D102" s="18" t="n">
        <x:v>26</x:v>
      </x:c>
      <x:c r="E102" s="18" t="n">
        <x:v>26</x:v>
      </x:c>
      <x:c r="F102" s="24" t="n">
        <x:f>IFERROR('各站彙總來源'!F102/'各站彙總來源'!G102,"")</x:f>
        <x:v>15.923076923076923</x:v>
      </x:c>
      <x:c r="G102" s="19" t="n">
        <x:f>'各站彙總來源'!G102</x:f>
        <x:v>26</x:v>
      </x:c>
      <x:c r="H102" s="24" t="n">
        <x:f>IFERROR('各站彙總來源'!H102/'各站彙總來源'!I102,"")</x:f>
        <x:v>2.730769230769231</x:v>
      </x:c>
      <x:c r="I102" s="19" t="n">
        <x:f>'各站彙總來源'!I102</x:f>
        <x:v>26</x:v>
      </x:c>
      <x:c r="J102" s="24" t="n">
        <x:f>IFERROR('各站彙總來源'!J102/'各站彙總來源'!K102,"")</x:f>
        <x:v>9.76923076923077</x:v>
      </x:c>
      <x:c r="K102" s="19" t="n">
        <x:f>'各站彙總來源'!K102</x:f>
        <x:v>26</x:v>
      </x:c>
      <x:c r="L102" s="24" t="n">
        <x:f>IFERROR('各站彙總來源'!L102/'各站彙總來源'!M102,"")</x:f>
        <x:v>2.730769230769231</x:v>
      </x:c>
      <x:c r="M102" s="19" t="n">
        <x:f>'各站彙總來源'!M102</x:f>
        <x:v>26</x:v>
      </x:c>
      <x:c r="N102" s="24" t="n">
        <x:f>F102+H102</x:f>
        <x:v>18.653846153846153</x:v>
      </x:c>
      <x:c r="O102" s="24" t="n">
        <x:f>J102+L102</x:f>
        <x:v>12.5</x:v>
      </x:c>
    </x:row>
    <x:row r="103">
      <x:c r="A103" s="22" t="str">
        <x:v>500101149</x:v>
      </x:c>
      <x:c r="B103" s="17" t="str">
        <x:v>大安區</x:v>
      </x:c>
      <x:c r="C103" s="17" t="str">
        <x:v>捷運忠孝新生站(6號出口)</x:v>
      </x:c>
      <x:c r="D103" s="18" t="n">
        <x:v>26</x:v>
      </x:c>
      <x:c r="E103" s="18" t="n">
        <x:v>26</x:v>
      </x:c>
      <x:c r="F103" s="24" t="n">
        <x:f>IFERROR('各站彙總來源'!F103/'各站彙總來源'!G103,"")</x:f>
        <x:v>13.076923076923077</x:v>
      </x:c>
      <x:c r="G103" s="19" t="n">
        <x:f>'各站彙總來源'!G103</x:f>
        <x:v>26</x:v>
      </x:c>
      <x:c r="H103" s="24" t="n">
        <x:f>IFERROR('各站彙總來源'!H103/'各站彙總來源'!I103,"")</x:f>
        <x:v>1.6923076923076923</x:v>
      </x:c>
      <x:c r="I103" s="19" t="n">
        <x:f>'各站彙總來源'!I103</x:f>
        <x:v>26</x:v>
      </x:c>
      <x:c r="J103" s="24" t="n">
        <x:f>IFERROR('各站彙總來源'!J103/'各站彙總來源'!K103,"")</x:f>
        <x:v>7.153846153846154</x:v>
      </x:c>
      <x:c r="K103" s="19" t="n">
        <x:f>'各站彙總來源'!K103</x:f>
        <x:v>26</x:v>
      </x:c>
      <x:c r="L103" s="24" t="n">
        <x:f>IFERROR('各站彙總來源'!L103/'各站彙總來源'!M103,"")</x:f>
        <x:v>1</x:v>
      </x:c>
      <x:c r="M103" s="19" t="n">
        <x:f>'各站彙總來源'!M103</x:f>
        <x:v>26</x:v>
      </x:c>
      <x:c r="N103" s="24" t="n">
        <x:f>F103+H103</x:f>
        <x:v>14.769230769230768</x:v>
      </x:c>
      <x:c r="O103" s="24" t="n">
        <x:f>J103+L103</x:f>
        <x:v>8.153846153846153</x:v>
      </x:c>
    </x:row>
    <x:row r="104">
      <x:c r="A104" s="22" t="str">
        <x:v>500101150</x:v>
      </x:c>
      <x:c r="B104" s="17" t="str">
        <x:v>大安區</x:v>
      </x:c>
      <x:c r="C104" s="17" t="str">
        <x:v>捷運忠孝新生站(4號出口)</x:v>
      </x:c>
      <x:c r="D104" s="18" t="n">
        <x:v>26</x:v>
      </x:c>
      <x:c r="E104" s="18" t="n">
        <x:v>26</x:v>
      </x:c>
      <x:c r="F104" s="24" t="n">
        <x:f>IFERROR('各站彙總來源'!F104/'各站彙總來源'!G104,"")</x:f>
        <x:v>15.115384615384615</x:v>
      </x:c>
      <x:c r="G104" s="19" t="n">
        <x:f>'各站彙總來源'!G104</x:f>
        <x:v>26</x:v>
      </x:c>
      <x:c r="H104" s="24" t="n">
        <x:f>IFERROR('各站彙總來源'!H104/'各站彙總來源'!I104,"")</x:f>
        <x:v>3.5384615384615383</x:v>
      </x:c>
      <x:c r="I104" s="19" t="n">
        <x:f>'各站彙總來源'!I104</x:f>
        <x:v>26</x:v>
      </x:c>
      <x:c r="J104" s="24" t="n">
        <x:f>IFERROR('各站彙總來源'!J104/'各站彙總來源'!K104,"")</x:f>
        <x:v>16.423076923076923</x:v>
      </x:c>
      <x:c r="K104" s="19" t="n">
        <x:f>'各站彙總來源'!K104</x:f>
        <x:v>26</x:v>
      </x:c>
      <x:c r="L104" s="24" t="n">
        <x:f>IFERROR('各站彙總來源'!L104/'各站彙總來源'!M104,"")</x:f>
        <x:v>2.8846153846153846</x:v>
      </x:c>
      <x:c r="M104" s="19" t="n">
        <x:f>'各站彙總來源'!M104</x:f>
        <x:v>26</x:v>
      </x:c>
      <x:c r="N104" s="24" t="n">
        <x:f>F104+H104</x:f>
        <x:v>18.653846153846153</x:v>
      </x:c>
      <x:c r="O104" s="24" t="n">
        <x:f>J104+L104</x:f>
        <x:v>19.307692307692307</x:v>
      </x:c>
    </x:row>
    <x:row r="105">
      <x:c r="A105" s="22" t="str">
        <x:v>500101151</x:v>
      </x:c>
      <x:c r="B105" s="17" t="str">
        <x:v>大安區</x:v>
      </x:c>
      <x:c r="C105" s="17" t="str">
        <x:v>大安高工</x:v>
      </x:c>
      <x:c r="D105" s="18" t="n">
        <x:v>26</x:v>
      </x:c>
      <x:c r="E105" s="18" t="n">
        <x:v>26</x:v>
      </x:c>
      <x:c r="F105" s="24" t="n">
        <x:f>IFERROR('各站彙總來源'!F105/'各站彙總來源'!G105,"")</x:f>
        <x:v>9.538461538461538</x:v>
      </x:c>
      <x:c r="G105" s="19" t="n">
        <x:f>'各站彙總來源'!G105</x:f>
        <x:v>26</x:v>
      </x:c>
      <x:c r="H105" s="24" t="n">
        <x:f>IFERROR('各站彙總來源'!H105/'各站彙總來源'!I105,"")</x:f>
        <x:v>1.5384615384615385</x:v>
      </x:c>
      <x:c r="I105" s="19" t="n">
        <x:f>'各站彙總來源'!I105</x:f>
        <x:v>26</x:v>
      </x:c>
      <x:c r="J105" s="24" t="n">
        <x:f>IFERROR('各站彙總來源'!J105/'各站彙總來源'!K105,"")</x:f>
        <x:v>3.1923076923076925</x:v>
      </x:c>
      <x:c r="K105" s="19" t="n">
        <x:f>'各站彙總來源'!K105</x:f>
        <x:v>26</x:v>
      </x:c>
      <x:c r="L105" s="24" t="n">
        <x:f>IFERROR('各站彙總來源'!L105/'各站彙總來源'!M105,"")</x:f>
        <x:v>1</x:v>
      </x:c>
      <x:c r="M105" s="19" t="n">
        <x:f>'各站彙總來源'!M105</x:f>
        <x:v>26</x:v>
      </x:c>
      <x:c r="N105" s="24" t="n">
        <x:f>F105+H105</x:f>
        <x:v>11.076923076923077</x:v>
      </x:c>
      <x:c r="O105" s="24" t="n">
        <x:f>J105+L105</x:f>
        <x:v>4.1923076923076925</x:v>
      </x:c>
    </x:row>
    <x:row r="106">
      <x:c r="A106" s="22" t="str">
        <x:v>500101152</x:v>
      </x:c>
      <x:c r="B106" s="17" t="str">
        <x:v>大安區</x:v>
      </x:c>
      <x:c r="C106" s="17" t="str">
        <x:v>捷運忠孝新生站(3號出口)</x:v>
      </x:c>
      <x:c r="D106" s="18" t="n">
        <x:v>26</x:v>
      </x:c>
      <x:c r="E106" s="18" t="n">
        <x:v>26</x:v>
      </x:c>
      <x:c r="F106" s="24" t="n">
        <x:f>IFERROR('各站彙總來源'!F106/'各站彙總來源'!G106,"")</x:f>
        <x:v>15.461538461538462</x:v>
      </x:c>
      <x:c r="G106" s="19" t="n">
        <x:f>'各站彙總來源'!G106</x:f>
        <x:v>26</x:v>
      </x:c>
      <x:c r="H106" s="24" t="n">
        <x:f>IFERROR('各站彙總來源'!H106/'各站彙總來源'!I106,"")</x:f>
        <x:v>2.6153846153846154</x:v>
      </x:c>
      <x:c r="I106" s="19" t="n">
        <x:f>'各站彙總來源'!I106</x:f>
        <x:v>26</x:v>
      </x:c>
      <x:c r="J106" s="24" t="n">
        <x:f>IFERROR('各站彙總來源'!J106/'各站彙總來源'!K106,"")</x:f>
        <x:v>7.1923076923076925</x:v>
      </x:c>
      <x:c r="K106" s="19" t="n">
        <x:f>'各站彙總來源'!K106</x:f>
        <x:v>26</x:v>
      </x:c>
      <x:c r="L106" s="24" t="n">
        <x:f>IFERROR('各站彙總來源'!L106/'各站彙總來源'!M106,"")</x:f>
        <x:v>1.2307692307692308</x:v>
      </x:c>
      <x:c r="M106" s="19" t="n">
        <x:f>'各站彙總來源'!M106</x:f>
        <x:v>26</x:v>
      </x:c>
      <x:c r="N106" s="24" t="n">
        <x:f>F106+H106</x:f>
        <x:v>18.076923076923077</x:v>
      </x:c>
      <x:c r="O106" s="24" t="n">
        <x:f>J106+L106</x:f>
        <x:v>8.423076923076923</x:v>
      </x:c>
    </x:row>
    <x:row r="107">
      <x:c r="A107" s="22" t="str">
        <x:v>500101153</x:v>
      </x:c>
      <x:c r="B107" s="17" t="str">
        <x:v>大安區</x:v>
      </x:c>
      <x:c r="C107" s="17" t="str">
        <x:v>瑠公公園</x:v>
      </x:c>
      <x:c r="D107" s="18" t="n">
        <x:v>26</x:v>
      </x:c>
      <x:c r="E107" s="18" t="n">
        <x:v>26</x:v>
      </x:c>
      <x:c r="F107" s="24" t="n">
        <x:f>IFERROR('各站彙總來源'!F107/'各站彙總來源'!G107,"")</x:f>
        <x:v>10.038461538461538</x:v>
      </x:c>
      <x:c r="G107" s="19" t="n">
        <x:f>'各站彙總來源'!G107</x:f>
        <x:v>26</x:v>
      </x:c>
      <x:c r="H107" s="24" t="n">
        <x:f>IFERROR('各站彙總來源'!H107/'各站彙總來源'!I107,"")</x:f>
        <x:v>0.38461538461538464</x:v>
      </x:c>
      <x:c r="I107" s="19" t="n">
        <x:f>'各站彙總來源'!I107</x:f>
        <x:v>26</x:v>
      </x:c>
      <x:c r="J107" s="24" t="n">
        <x:f>IFERROR('各站彙總來源'!J107/'各站彙總來源'!K107,"")</x:f>
        <x:v>9.26923076923077</x:v>
      </x:c>
      <x:c r="K107" s="19" t="n">
        <x:f>'各站彙總來源'!K107</x:f>
        <x:v>26</x:v>
      </x:c>
      <x:c r="L107" s="24" t="n">
        <x:f>IFERROR('各站彙總來源'!L107/'各站彙總來源'!M107,"")</x:f>
        <x:v>2.6923076923076925</x:v>
      </x:c>
      <x:c r="M107" s="19" t="n">
        <x:f>'各站彙總來源'!M107</x:f>
        <x:v>26</x:v>
      </x:c>
      <x:c r="N107" s="24" t="n">
        <x:f>F107+H107</x:f>
        <x:v>10.423076923076923</x:v>
      </x:c>
      <x:c r="O107" s="24" t="n">
        <x:f>J107+L107</x:f>
        <x:v>11.961538461538463</x:v>
      </x:c>
    </x:row>
    <x:row r="108">
      <x:c r="A108" s="22" t="str">
        <x:v>500101154</x:v>
      </x:c>
      <x:c r="B108" s="17" t="str">
        <x:v>大安區</x:v>
      </x:c>
      <x:c r="C108" s="17" t="str">
        <x:v>敦化市民路口</x:v>
      </x:c>
      <x:c r="D108" s="18" t="n">
        <x:v>26</x:v>
      </x:c>
      <x:c r="E108" s="18" t="n">
        <x:v>26</x:v>
      </x:c>
      <x:c r="F108" s="24" t="n">
        <x:f>IFERROR('各站彙總來源'!F108/'各站彙總來源'!G108,"")</x:f>
        <x:v>12.307692307692308</x:v>
      </x:c>
      <x:c r="G108" s="19" t="n">
        <x:f>'各站彙總來源'!G108</x:f>
        <x:v>26</x:v>
      </x:c>
      <x:c r="H108" s="24" t="n">
        <x:f>IFERROR('各站彙總來源'!H108/'各站彙總來源'!I108,"")</x:f>
        <x:v>1.1538461538461537</x:v>
      </x:c>
      <x:c r="I108" s="19" t="n">
        <x:f>'各站彙總來源'!I108</x:f>
        <x:v>26</x:v>
      </x:c>
      <x:c r="J108" s="24" t="n">
        <x:f>IFERROR('各站彙總來源'!J108/'各站彙總來源'!K108,"")</x:f>
        <x:v>8.384615384615385</x:v>
      </x:c>
      <x:c r="K108" s="19" t="n">
        <x:f>'各站彙總來源'!K108</x:f>
        <x:v>26</x:v>
      </x:c>
      <x:c r="L108" s="24" t="n">
        <x:f>IFERROR('各站彙總來源'!L108/'各站彙總來源'!M108,"")</x:f>
        <x:v>2.3076923076923075</x:v>
      </x:c>
      <x:c r="M108" s="19" t="n">
        <x:f>'各站彙總來源'!M108</x:f>
        <x:v>26</x:v>
      </x:c>
      <x:c r="N108" s="24" t="n">
        <x:f>F108+H108</x:f>
        <x:v>13.461538461538462</x:v>
      </x:c>
      <x:c r="O108" s="24" t="n">
        <x:f>J108+L108</x:f>
        <x:v>10.692307692307693</x:v>
      </x:c>
    </x:row>
    <x:row r="109">
      <x:c r="A109" s="22" t="str">
        <x:v>500101155</x:v>
      </x:c>
      <x:c r="B109" s="17" t="str">
        <x:v>大安區</x:v>
      </x:c>
      <x:c r="C109" s="17" t="str">
        <x:v>捷運大安森林公園站(5號出口)</x:v>
      </x:c>
      <x:c r="D109" s="18" t="n">
        <x:v>26</x:v>
      </x:c>
      <x:c r="E109" s="18" t="n">
        <x:v>26</x:v>
      </x:c>
      <x:c r="F109" s="24" t="n">
        <x:f>IFERROR('各站彙總來源'!F109/'各站彙總來源'!G109,"")</x:f>
        <x:v>9.692307692307692</x:v>
      </x:c>
      <x:c r="G109" s="19" t="n">
        <x:f>'各站彙總來源'!G109</x:f>
        <x:v>26</x:v>
      </x:c>
      <x:c r="H109" s="24" t="n">
        <x:f>IFERROR('各站彙總來源'!H109/'各站彙總來源'!I109,"")</x:f>
        <x:v>3.923076923076923</x:v>
      </x:c>
      <x:c r="I109" s="19" t="n">
        <x:f>'各站彙總來源'!I109</x:f>
        <x:v>26</x:v>
      </x:c>
      <x:c r="J109" s="24" t="n">
        <x:f>IFERROR('各站彙總來源'!J109/'各站彙總來源'!K109,"")</x:f>
        <x:v>6.576923076923077</x:v>
      </x:c>
      <x:c r="K109" s="19" t="n">
        <x:f>'各站彙總來源'!K109</x:f>
        <x:v>26</x:v>
      </x:c>
      <x:c r="L109" s="24" t="n">
        <x:f>IFERROR('各站彙總來源'!L109/'各站彙總來源'!M109,"")</x:f>
        <x:v>1.5</x:v>
      </x:c>
      <x:c r="M109" s="19" t="n">
        <x:f>'各站彙總來源'!M109</x:f>
        <x:v>26</x:v>
      </x:c>
      <x:c r="N109" s="24" t="n">
        <x:f>F109+H109</x:f>
        <x:v>13.615384615384615</x:v>
      </x:c>
      <x:c r="O109" s="24" t="n">
        <x:f>J109+L109</x:f>
        <x:v>8.076923076923077</x:v>
      </x:c>
    </x:row>
    <x:row r="110">
      <x:c r="A110" s="22" t="str">
        <x:v>500101156</x:v>
      </x:c>
      <x:c r="B110" s="17" t="str">
        <x:v>大安區</x:v>
      </x:c>
      <x:c r="C110" s="17" t="str">
        <x:v>信義建國路口</x:v>
      </x:c>
      <x:c r="D110" s="18" t="n">
        <x:v>26</x:v>
      </x:c>
      <x:c r="E110" s="18" t="n">
        <x:v>26</x:v>
      </x:c>
      <x:c r="F110" s="24" t="n">
        <x:f>IFERROR('各站彙總來源'!F110/'各站彙總來源'!G110,"")</x:f>
        <x:v>24.192307692307693</x:v>
      </x:c>
      <x:c r="G110" s="19" t="n">
        <x:f>'各站彙總來源'!G110</x:f>
        <x:v>26</x:v>
      </x:c>
      <x:c r="H110" s="24" t="n">
        <x:f>IFERROR('各站彙總來源'!H110/'各站彙總來源'!I110,"")</x:f>
        <x:v>7.846153846153846</x:v>
      </x:c>
      <x:c r="I110" s="19" t="n">
        <x:f>'各站彙總來源'!I110</x:f>
        <x:v>26</x:v>
      </x:c>
      <x:c r="J110" s="24" t="n">
        <x:f>IFERROR('各站彙總來源'!J110/'各站彙總來源'!K110,"")</x:f>
        <x:v>10.384615384615385</x:v>
      </x:c>
      <x:c r="K110" s="19" t="n">
        <x:f>'各站彙總來源'!K110</x:f>
        <x:v>26</x:v>
      </x:c>
      <x:c r="L110" s="24" t="n">
        <x:f>IFERROR('各站彙總來源'!L110/'各站彙總來源'!M110,"")</x:f>
        <x:v>6.269230769230769</x:v>
      </x:c>
      <x:c r="M110" s="19" t="n">
        <x:f>'各站彙總來源'!M110</x:f>
        <x:v>26</x:v>
      </x:c>
      <x:c r="N110" s="24" t="n">
        <x:f>F110+H110</x:f>
        <x:v>32.03846153846154</x:v>
      </x:c>
      <x:c r="O110" s="24" t="n">
        <x:f>J110+L110</x:f>
        <x:v>16.653846153846153</x:v>
      </x:c>
    </x:row>
    <x:row r="111">
      <x:c r="A111" s="22" t="str">
        <x:v>500101157</x:v>
      </x:c>
      <x:c r="B111" s="17" t="str">
        <x:v>大安區</x:v>
      </x:c>
      <x:c r="C111" s="17" t="str">
        <x:v>東豐公園</x:v>
      </x:c>
      <x:c r="D111" s="18" t="n">
        <x:v>26</x:v>
      </x:c>
      <x:c r="E111" s="18" t="n">
        <x:v>26</x:v>
      </x:c>
      <x:c r="F111" s="24" t="n">
        <x:f>IFERROR('各站彙總來源'!F111/'各站彙總來源'!G111,"")</x:f>
        <x:v>9.423076923076923</x:v>
      </x:c>
      <x:c r="G111" s="19" t="n">
        <x:f>'各站彙總來源'!G111</x:f>
        <x:v>26</x:v>
      </x:c>
      <x:c r="H111" s="24" t="n">
        <x:f>IFERROR('各站彙總來源'!H111/'各站彙總來源'!I111,"")</x:f>
        <x:v>2.5384615384615383</x:v>
      </x:c>
      <x:c r="I111" s="19" t="n">
        <x:f>'各站彙總來源'!I111</x:f>
        <x:v>26</x:v>
      </x:c>
      <x:c r="J111" s="24" t="n">
        <x:f>IFERROR('各站彙總來源'!J111/'各站彙總來源'!K111,"")</x:f>
        <x:v>5.576923076923077</x:v>
      </x:c>
      <x:c r="K111" s="19" t="n">
        <x:f>'各站彙總來源'!K111</x:f>
        <x:v>26</x:v>
      </x:c>
      <x:c r="L111" s="24" t="n">
        <x:f>IFERROR('各站彙總來源'!L111/'各站彙總來源'!M111,"")</x:f>
        <x:v>1.9615384615384615</x:v>
      </x:c>
      <x:c r="M111" s="19" t="n">
        <x:f>'各站彙總來源'!M111</x:f>
        <x:v>26</x:v>
      </x:c>
      <x:c r="N111" s="24" t="n">
        <x:f>F111+H111</x:f>
        <x:v>11.961538461538462</x:v>
      </x:c>
      <x:c r="O111" s="24" t="n">
        <x:f>J111+L111</x:f>
        <x:v>7.538461538461538</x:v>
      </x:c>
    </x:row>
    <x:row r="112">
      <x:c r="A112" s="22" t="str">
        <x:v>500101158</x:v>
      </x:c>
      <x:c r="B112" s="17" t="str">
        <x:v>大安區</x:v>
      </x:c>
      <x:c r="C112" s="17" t="str">
        <x:v>德安公園(四維路66巷)</x:v>
      </x:c>
      <x:c r="D112" s="18" t="n">
        <x:v>26</x:v>
      </x:c>
      <x:c r="E112" s="18" t="n">
        <x:v>26</x:v>
      </x:c>
      <x:c r="F112" s="24" t="n">
        <x:f>IFERROR('各站彙總來源'!F112/'各站彙總來源'!G112,"")</x:f>
        <x:v>12.115384615384615</x:v>
      </x:c>
      <x:c r="G112" s="19" t="n">
        <x:f>'各站彙總來源'!G112</x:f>
        <x:v>26</x:v>
      </x:c>
      <x:c r="H112" s="24" t="n">
        <x:f>IFERROR('各站彙總來源'!H112/'各站彙總來源'!I112,"")</x:f>
        <x:v>2.0384615384615383</x:v>
      </x:c>
      <x:c r="I112" s="19" t="n">
        <x:f>'各站彙總來源'!I112</x:f>
        <x:v>26</x:v>
      </x:c>
      <x:c r="J112" s="24" t="n">
        <x:f>IFERROR('各站彙總來源'!J112/'各站彙總來源'!K112,"")</x:f>
        <x:v>6.153846153846154</x:v>
      </x:c>
      <x:c r="K112" s="19" t="n">
        <x:f>'各站彙總來源'!K112</x:f>
        <x:v>26</x:v>
      </x:c>
      <x:c r="L112" s="24" t="n">
        <x:f>IFERROR('各站彙總來源'!L112/'各站彙總來源'!M112,"")</x:f>
        <x:v>1.3461538461538463</x:v>
      </x:c>
      <x:c r="M112" s="19" t="n">
        <x:f>'各站彙總來源'!M112</x:f>
        <x:v>26</x:v>
      </x:c>
      <x:c r="N112" s="24" t="n">
        <x:f>F112+H112</x:f>
        <x:v>14.153846153846153</x:v>
      </x:c>
      <x:c r="O112" s="24" t="n">
        <x:f>J112+L112</x:f>
        <x:v>7.5</x:v>
      </x:c>
    </x:row>
    <x:row r="113">
      <x:c r="A113" s="22" t="str">
        <x:v>500101159</x:v>
      </x:c>
      <x:c r="B113" s="17" t="str">
        <x:v>大安區</x:v>
      </x:c>
      <x:c r="C113" s="17" t="str">
        <x:v>捷運忠孝復興站(5號出口)</x:v>
      </x:c>
      <x:c r="D113" s="18" t="n">
        <x:v>26</x:v>
      </x:c>
      <x:c r="E113" s="18" t="n">
        <x:v>26</x:v>
      </x:c>
      <x:c r="F113" s="24" t="n">
        <x:f>IFERROR('各站彙總來源'!F113/'各站彙總來源'!G113,"")</x:f>
        <x:v>13.23076923076923</x:v>
      </x:c>
      <x:c r="G113" s="19" t="n">
        <x:f>'各站彙總來源'!G113</x:f>
        <x:v>26</x:v>
      </x:c>
      <x:c r="H113" s="24" t="n">
        <x:f>IFERROR('各站彙總來源'!H113/'各站彙總來源'!I113,"")</x:f>
        <x:v>3.730769230769231</x:v>
      </x:c>
      <x:c r="I113" s="19" t="n">
        <x:f>'各站彙總來源'!I113</x:f>
        <x:v>26</x:v>
      </x:c>
      <x:c r="J113" s="24" t="n">
        <x:f>IFERROR('各站彙總來源'!J113/'各站彙總來源'!K113,"")</x:f>
        <x:v>11.192307692307692</x:v>
      </x:c>
      <x:c r="K113" s="19" t="n">
        <x:f>'各站彙總來源'!K113</x:f>
        <x:v>26</x:v>
      </x:c>
      <x:c r="L113" s="24" t="n">
        <x:f>IFERROR('各站彙總來源'!L113/'各站彙總來源'!M113,"")</x:f>
        <x:v>2.923076923076923</x:v>
      </x:c>
      <x:c r="M113" s="19" t="n">
        <x:f>'各站彙總來源'!M113</x:f>
        <x:v>26</x:v>
      </x:c>
      <x:c r="N113" s="24" t="n">
        <x:f>F113+H113</x:f>
        <x:v>16.96153846153846</x:v>
      </x:c>
      <x:c r="O113" s="24" t="n">
        <x:f>J113+L113</x:f>
        <x:v>14.115384615384615</x:v>
      </x:c>
    </x:row>
    <x:row r="114">
      <x:c r="A114" s="22" t="str">
        <x:v>500101160</x:v>
      </x:c>
      <x:c r="B114" s="17" t="str">
        <x:v>大安區</x:v>
      </x:c>
      <x:c r="C114" s="17" t="str">
        <x:v>捷運忠孝敦化站(2號出口)</x:v>
      </x:c>
      <x:c r="D114" s="18" t="n">
        <x:v>26</x:v>
      </x:c>
      <x:c r="E114" s="18" t="n">
        <x:v>26</x:v>
      </x:c>
      <x:c r="F114" s="24" t="n">
        <x:f>IFERROR('各站彙總來源'!F114/'各站彙總來源'!G114,"")</x:f>
        <x:v>6.923076923076923</x:v>
      </x:c>
      <x:c r="G114" s="19" t="n">
        <x:f>'各站彙總來源'!G114</x:f>
        <x:v>26</x:v>
      </x:c>
      <x:c r="H114" s="24" t="n">
        <x:f>IFERROR('各站彙總來源'!H114/'各站彙總來源'!I114,"")</x:f>
        <x:v>1</x:v>
      </x:c>
      <x:c r="I114" s="19" t="n">
        <x:f>'各站彙總來源'!I114</x:f>
        <x:v>26</x:v>
      </x:c>
      <x:c r="J114" s="24" t="n">
        <x:f>IFERROR('各站彙總來源'!J114/'各站彙總來源'!K114,"")</x:f>
        <x:v>9.384615384615385</x:v>
      </x:c>
      <x:c r="K114" s="19" t="n">
        <x:f>'各站彙總來源'!K114</x:f>
        <x:v>26</x:v>
      </x:c>
      <x:c r="L114" s="24" t="n">
        <x:f>IFERROR('各站彙總來源'!L114/'各站彙總來源'!M114,"")</x:f>
        <x:v>2.9615384615384617</x:v>
      </x:c>
      <x:c r="M114" s="19" t="n">
        <x:f>'各站彙總來源'!M114</x:f>
        <x:v>26</x:v>
      </x:c>
      <x:c r="N114" s="24" t="n">
        <x:f>F114+H114</x:f>
        <x:v>7.923076923076923</x:v>
      </x:c>
      <x:c r="O114" s="24" t="n">
        <x:f>J114+L114</x:f>
        <x:v>12.346153846153847</x:v>
      </x:c>
    </x:row>
    <x:row r="115">
      <x:c r="A115" s="22" t="str">
        <x:v>500101161</x:v>
      </x:c>
      <x:c r="B115" s="17" t="str">
        <x:v>大安區</x:v>
      </x:c>
      <x:c r="C115" s="17" t="str">
        <x:v>捷運忠孝敦化站(7號出口)</x:v>
      </x:c>
      <x:c r="D115" s="18" t="n">
        <x:v>26</x:v>
      </x:c>
      <x:c r="E115" s="18" t="n">
        <x:v>26</x:v>
      </x:c>
      <x:c r="F115" s="24" t="n">
        <x:f>IFERROR('各站彙總來源'!F115/'各站彙總來源'!G115,"")</x:f>
        <x:v>8.615384615384615</x:v>
      </x:c>
      <x:c r="G115" s="19" t="n">
        <x:f>'各站彙總來源'!G115</x:f>
        <x:v>26</x:v>
      </x:c>
      <x:c r="H115" s="24" t="n">
        <x:f>IFERROR('各站彙總來源'!H115/'各站彙總來源'!I115,"")</x:f>
        <x:v>1.5</x:v>
      </x:c>
      <x:c r="I115" s="19" t="n">
        <x:f>'各站彙總來源'!I115</x:f>
        <x:v>26</x:v>
      </x:c>
      <x:c r="J115" s="24" t="n">
        <x:f>IFERROR('各站彙總來源'!J115/'各站彙總來源'!K115,"")</x:f>
        <x:v>11.23076923076923</x:v>
      </x:c>
      <x:c r="K115" s="19" t="n">
        <x:f>'各站彙總來源'!K115</x:f>
        <x:v>26</x:v>
      </x:c>
      <x:c r="L115" s="24" t="n">
        <x:f>IFERROR('各站彙總來源'!L115/'各站彙總來源'!M115,"")</x:f>
        <x:v>2.923076923076923</x:v>
      </x:c>
      <x:c r="M115" s="19" t="n">
        <x:f>'各站彙總來源'!M115</x:f>
        <x:v>26</x:v>
      </x:c>
      <x:c r="N115" s="24" t="n">
        <x:f>F115+H115</x:f>
        <x:v>10.115384615384615</x:v>
      </x:c>
      <x:c r="O115" s="24" t="n">
        <x:f>J115+L115</x:f>
        <x:v>14.153846153846153</x:v>
      </x:c>
    </x:row>
    <x:row r="116">
      <x:c r="A116" s="22" t="str">
        <x:v>500101162</x:v>
      </x:c>
      <x:c r="B116" s="17" t="str">
        <x:v>大安區</x:v>
      </x:c>
      <x:c r="C116" s="17" t="str">
        <x:v>忠孝東路四段223巷口(市民大道側)</x:v>
      </x:c>
      <x:c r="D116" s="18" t="n">
        <x:v>26</x:v>
      </x:c>
      <x:c r="E116" s="18" t="n">
        <x:v>26</x:v>
      </x:c>
      <x:c r="F116" s="24" t="n">
        <x:f>IFERROR('各站彙總來源'!F116/'各站彙總來源'!G116,"")</x:f>
        <x:v>22.692307692307693</x:v>
      </x:c>
      <x:c r="G116" s="19" t="n">
        <x:f>'各站彙總來源'!G116</x:f>
        <x:v>26</x:v>
      </x:c>
      <x:c r="H116" s="24" t="n">
        <x:f>IFERROR('各站彙總來源'!H116/'各站彙總來源'!I116,"")</x:f>
        <x:v>5.153846153846154</x:v>
      </x:c>
      <x:c r="I116" s="19" t="n">
        <x:f>'各站彙總來源'!I116</x:f>
        <x:v>26</x:v>
      </x:c>
      <x:c r="J116" s="24" t="n">
        <x:f>IFERROR('各站彙總來源'!J116/'各站彙總來源'!K116,"")</x:f>
        <x:v>8.73076923076923</x:v>
      </x:c>
      <x:c r="K116" s="19" t="n">
        <x:f>'各站彙總來源'!K116</x:f>
        <x:v>26</x:v>
      </x:c>
      <x:c r="L116" s="24" t="n">
        <x:f>IFERROR('各站彙總來源'!L116/'各站彙總來源'!M116,"")</x:f>
        <x:v>1.6153846153846154</x:v>
      </x:c>
      <x:c r="M116" s="19" t="n">
        <x:f>'各站彙總來源'!M116</x:f>
        <x:v>26</x:v>
      </x:c>
      <x:c r="N116" s="24" t="n">
        <x:f>F116+H116</x:f>
        <x:v>27.846153846153847</x:v>
      </x:c>
      <x:c r="O116" s="24" t="n">
        <x:f>J116+L116</x:f>
        <x:v>10.346153846153845</x:v>
      </x:c>
    </x:row>
    <x:row r="117">
      <x:c r="A117" s="22" t="str">
        <x:v>500101163</x:v>
      </x:c>
      <x:c r="B117" s="17" t="str">
        <x:v>大安區</x:v>
      </x:c>
      <x:c r="C117" s="17" t="str">
        <x:v>瑞安街208巷</x:v>
      </x:c>
      <x:c r="D117" s="18" t="n">
        <x:v>26</x:v>
      </x:c>
      <x:c r="E117" s="18" t="n">
        <x:v>26</x:v>
      </x:c>
      <x:c r="F117" s="24" t="n">
        <x:f>IFERROR('各站彙總來源'!F117/'各站彙總來源'!G117,"")</x:f>
        <x:v>17.192307692307693</x:v>
      </x:c>
      <x:c r="G117" s="19" t="n">
        <x:f>'各站彙總來源'!G117</x:f>
        <x:v>26</x:v>
      </x:c>
      <x:c r="H117" s="24" t="n">
        <x:f>IFERROR('各站彙總來源'!H117/'各站彙總來源'!I117,"")</x:f>
        <x:v>3.3461538461538463</x:v>
      </x:c>
      <x:c r="I117" s="19" t="n">
        <x:f>'各站彙總來源'!I117</x:f>
        <x:v>26</x:v>
      </x:c>
      <x:c r="J117" s="24" t="n">
        <x:f>IFERROR('各站彙總來源'!J117/'各站彙總來源'!K117,"")</x:f>
        <x:v>4.884615384615385</x:v>
      </x:c>
      <x:c r="K117" s="19" t="n">
        <x:f>'各站彙總來源'!K117</x:f>
        <x:v>26</x:v>
      </x:c>
      <x:c r="L117" s="24" t="n">
        <x:f>IFERROR('各站彙總來源'!L117/'各站彙總來源'!M117,"")</x:f>
        <x:v>1.3076923076923077</x:v>
      </x:c>
      <x:c r="M117" s="19" t="n">
        <x:f>'各站彙總來源'!M117</x:f>
        <x:v>26</x:v>
      </x:c>
      <x:c r="N117" s="24" t="n">
        <x:f>F117+H117</x:f>
        <x:v>20.53846153846154</x:v>
      </x:c>
      <x:c r="O117" s="24" t="n">
        <x:f>J117+L117</x:f>
        <x:v>6.1923076923076925</x:v>
      </x:c>
    </x:row>
    <x:row r="118">
      <x:c r="A118" s="22" t="str">
        <x:v>500101164</x:v>
      </x:c>
      <x:c r="B118" s="17" t="str">
        <x:v>大安區</x:v>
      </x:c>
      <x:c r="C118" s="17" t="str">
        <x:v>和安公園</x:v>
      </x:c>
      <x:c r="D118" s="18" t="n">
        <x:v>26</x:v>
      </x:c>
      <x:c r="E118" s="18" t="n">
        <x:v>26</x:v>
      </x:c>
      <x:c r="F118" s="24" t="n">
        <x:f>IFERROR('各站彙總來源'!F118/'各站彙總來源'!G118,"")</x:f>
        <x:v>0</x:v>
      </x:c>
      <x:c r="G118" s="19" t="n">
        <x:f>'各站彙總來源'!G118</x:f>
        <x:v>26</x:v>
      </x:c>
      <x:c r="H118" s="24" t="n">
        <x:f>IFERROR('各站彙總來源'!H118/'各站彙總來源'!I118,"")</x:f>
        <x:v>0</x:v>
      </x:c>
      <x:c r="I118" s="19" t="n">
        <x:f>'各站彙總來源'!I118</x:f>
        <x:v>26</x:v>
      </x:c>
      <x:c r="J118" s="24" t="n">
        <x:f>IFERROR('各站彙總來源'!J118/'各站彙總來源'!K118,"")</x:f>
        <x:v>0</x:v>
      </x:c>
      <x:c r="K118" s="19" t="n">
        <x:f>'各站彙總來源'!K118</x:f>
        <x:v>26</x:v>
      </x:c>
      <x:c r="L118" s="24" t="n">
        <x:f>IFERROR('各站彙總來源'!L118/'各站彙總來源'!M118,"")</x:f>
        <x:v>0</x:v>
      </x:c>
      <x:c r="M118" s="19" t="n">
        <x:f>'各站彙總來源'!M118</x:f>
        <x:v>26</x:v>
      </x:c>
      <x:c r="N118" s="24" t="n">
        <x:f>F118+H118</x:f>
        <x:v>0</x:v>
      </x:c>
      <x:c r="O118" s="24" t="n">
        <x:f>J118+L118</x:f>
        <x:v>0</x:v>
      </x:c>
    </x:row>
    <x:row r="119">
      <x:c r="A119" s="22" t="str">
        <x:v>500101165</x:v>
      </x:c>
      <x:c r="B119" s="17" t="str">
        <x:v>大安區</x:v>
      </x:c>
      <x:c r="C119" s="17" t="str">
        <x:v>樂利路21巷口</x:v>
      </x:c>
      <x:c r="D119" s="18" t="n">
        <x:v>26</x:v>
      </x:c>
      <x:c r="E119" s="18" t="n">
        <x:v>26</x:v>
      </x:c>
      <x:c r="F119" s="24" t="n">
        <x:f>IFERROR('各站彙總來源'!F119/'各站彙總來源'!G119,"")</x:f>
        <x:v>15.807692307692308</x:v>
      </x:c>
      <x:c r="G119" s="19" t="n">
        <x:f>'各站彙總來源'!G119</x:f>
        <x:v>26</x:v>
      </x:c>
      <x:c r="H119" s="24" t="n">
        <x:f>IFERROR('各站彙總來源'!H119/'各站彙總來源'!I119,"")</x:f>
        <x:v>2.269230769230769</x:v>
      </x:c>
      <x:c r="I119" s="19" t="n">
        <x:f>'各站彙總來源'!I119</x:f>
        <x:v>26</x:v>
      </x:c>
      <x:c r="J119" s="24" t="n">
        <x:f>IFERROR('各站彙總來源'!J119/'各站彙總來源'!K119,"")</x:f>
        <x:v>3.3076923076923075</x:v>
      </x:c>
      <x:c r="K119" s="19" t="n">
        <x:f>'各站彙總來源'!K119</x:f>
        <x:v>26</x:v>
      </x:c>
      <x:c r="L119" s="24" t="n">
        <x:f>IFERROR('各站彙總來源'!L119/'各站彙總來源'!M119,"")</x:f>
        <x:v>0.8461538461538461</x:v>
      </x:c>
      <x:c r="M119" s="19" t="n">
        <x:f>'各站彙總來源'!M119</x:f>
        <x:v>26</x:v>
      </x:c>
      <x:c r="N119" s="24" t="n">
        <x:f>F119+H119</x:f>
        <x:v>18.076923076923077</x:v>
      </x:c>
      <x:c r="O119" s="24" t="n">
        <x:f>J119+L119</x:f>
        <x:v>4.153846153846153</x:v>
      </x:c>
    </x:row>
    <x:row r="120">
      <x:c r="A120" s="22" t="str">
        <x:v>500101166</x:v>
      </x:c>
      <x:c r="B120" s="17" t="str">
        <x:v>大安區</x:v>
      </x:c>
      <x:c r="C120" s="17" t="str">
        <x:v>捷運科技大樓站(台北教育大學)</x:v>
      </x:c>
      <x:c r="D120" s="18" t="n">
        <x:v>26</x:v>
      </x:c>
      <x:c r="E120" s="18" t="n">
        <x:v>26</x:v>
      </x:c>
      <x:c r="F120" s="24" t="n">
        <x:f>IFERROR('各站彙總來源'!F120/'各站彙總來源'!G120,"")</x:f>
        <x:v>28.346153846153847</x:v>
      </x:c>
      <x:c r="G120" s="19" t="n">
        <x:f>'各站彙總來源'!G120</x:f>
        <x:v>26</x:v>
      </x:c>
      <x:c r="H120" s="24" t="n">
        <x:f>IFERROR('各站彙總來源'!H120/'各站彙總來源'!I120,"")</x:f>
        <x:v>3.1153846153846154</x:v>
      </x:c>
      <x:c r="I120" s="19" t="n">
        <x:f>'各站彙總來源'!I120</x:f>
        <x:v>26</x:v>
      </x:c>
      <x:c r="J120" s="24" t="n">
        <x:f>IFERROR('各站彙總來源'!J120/'各站彙總來源'!K120,"")</x:f>
        <x:v>10.923076923076923</x:v>
      </x:c>
      <x:c r="K120" s="19" t="n">
        <x:f>'各站彙總來源'!K120</x:f>
        <x:v>26</x:v>
      </x:c>
      <x:c r="L120" s="24" t="n">
        <x:f>IFERROR('各站彙總來源'!L120/'各站彙總來源'!M120,"")</x:f>
        <x:v>2</x:v>
      </x:c>
      <x:c r="M120" s="19" t="n">
        <x:f>'各站彙總來源'!M120</x:f>
        <x:v>26</x:v>
      </x:c>
      <x:c r="N120" s="24" t="n">
        <x:f>F120+H120</x:f>
        <x:v>31.461538461538463</x:v>
      </x:c>
      <x:c r="O120" s="24" t="n">
        <x:f>J120+L120</x:f>
        <x:v>12.923076923076923</x:v>
      </x:c>
    </x:row>
    <x:row r="121">
      <x:c r="A121" s="22" t="str">
        <x:v>500101167</x:v>
      </x:c>
      <x:c r="B121" s="17" t="str">
        <x:v>大安區</x:v>
      </x:c>
      <x:c r="C121" s="17" t="str">
        <x:v>捷運國父紀念館站(2號出口)</x:v>
      </x:c>
      <x:c r="D121" s="18" t="n">
        <x:v>26</x:v>
      </x:c>
      <x:c r="E121" s="18" t="n">
        <x:v>26</x:v>
      </x:c>
      <x:c r="F121" s="24" t="n">
        <x:f>IFERROR('各站彙總來源'!F121/'各站彙總來源'!G121,"")</x:f>
        <x:v>15.884615384615385</x:v>
      </x:c>
      <x:c r="G121" s="19" t="n">
        <x:f>'各站彙總來源'!G121</x:f>
        <x:v>26</x:v>
      </x:c>
      <x:c r="H121" s="24" t="n">
        <x:f>IFERROR('各站彙總來源'!H121/'各站彙總來源'!I121,"")</x:f>
        <x:v>3.076923076923077</x:v>
      </x:c>
      <x:c r="I121" s="19" t="n">
        <x:f>'各站彙總來源'!I121</x:f>
        <x:v>26</x:v>
      </x:c>
      <x:c r="J121" s="24" t="n">
        <x:f>IFERROR('各站彙總來源'!J121/'各站彙總來源'!K121,"")</x:f>
        <x:v>20.807692307692307</x:v>
      </x:c>
      <x:c r="K121" s="19" t="n">
        <x:f>'各站彙總來源'!K121</x:f>
        <x:v>26</x:v>
      </x:c>
      <x:c r="L121" s="24" t="n">
        <x:f>IFERROR('各站彙總來源'!L121/'各站彙總來源'!M121,"")</x:f>
        <x:v>6.076923076923077</x:v>
      </x:c>
      <x:c r="M121" s="19" t="n">
        <x:f>'各站彙總來源'!M121</x:f>
        <x:v>26</x:v>
      </x:c>
      <x:c r="N121" s="24" t="n">
        <x:f>F121+H121</x:f>
        <x:v>18.961538461538463</x:v>
      </x:c>
      <x:c r="O121" s="24" t="n">
        <x:f>J121+L121</x:f>
        <x:v>26.884615384615383</x:v>
      </x:c>
    </x:row>
    <x:row r="122">
      <x:c r="A122" s="22" t="str">
        <x:v>500101168</x:v>
      </x:c>
      <x:c r="B122" s="17" t="str">
        <x:v>大安區</x:v>
      </x:c>
      <x:c r="C122" s="17" t="str">
        <x:v>仁愛醫院</x:v>
      </x:c>
      <x:c r="D122" s="18" t="n">
        <x:v>26</x:v>
      </x:c>
      <x:c r="E122" s="18" t="n">
        <x:v>26</x:v>
      </x:c>
      <x:c r="F122" s="24" t="n">
        <x:f>IFERROR('各站彙總來源'!F122/'各站彙總來源'!G122,"")</x:f>
        <x:v>5.076923076923077</x:v>
      </x:c>
      <x:c r="G122" s="19" t="n">
        <x:f>'各站彙總來源'!G122</x:f>
        <x:v>26</x:v>
      </x:c>
      <x:c r="H122" s="24" t="n">
        <x:f>IFERROR('各站彙總來源'!H122/'各站彙總來源'!I122,"")</x:f>
        <x:v>1.2692307692307692</x:v>
      </x:c>
      <x:c r="I122" s="19" t="n">
        <x:f>'各站彙總來源'!I122</x:f>
        <x:v>26</x:v>
      </x:c>
      <x:c r="J122" s="24" t="n">
        <x:f>IFERROR('各站彙總來源'!J122/'各站彙總來源'!K122,"")</x:f>
        <x:v>23.192307692307693</x:v>
      </x:c>
      <x:c r="K122" s="19" t="n">
        <x:f>'各站彙總來源'!K122</x:f>
        <x:v>26</x:v>
      </x:c>
      <x:c r="L122" s="24" t="n">
        <x:f>IFERROR('各站彙總來源'!L122/'各站彙總來源'!M122,"")</x:f>
        <x:v>2.3846153846153846</x:v>
      </x:c>
      <x:c r="M122" s="19" t="n">
        <x:f>'各站彙總來源'!M122</x:f>
        <x:v>26</x:v>
      </x:c>
      <x:c r="N122" s="24" t="n">
        <x:f>F122+H122</x:f>
        <x:v>6.346153846153846</x:v>
      </x:c>
      <x:c r="O122" s="24" t="n">
        <x:f>J122+L122</x:f>
        <x:v>25.576923076923077</x:v>
      </x:c>
    </x:row>
    <x:row r="123">
      <x:c r="A123" s="22" t="str">
        <x:v>500101169</x:v>
      </x:c>
      <x:c r="B123" s="17" t="str">
        <x:v>大安區</x:v>
      </x:c>
      <x:c r="C123" s="17" t="str">
        <x:v>捷運信義安和站(4號出口)</x:v>
      </x:c>
      <x:c r="D123" s="18" t="n">
        <x:v>26</x:v>
      </x:c>
      <x:c r="E123" s="18" t="n">
        <x:v>26</x:v>
      </x:c>
      <x:c r="F123" s="24" t="n">
        <x:f>IFERROR('各站彙總來源'!F123/'各站彙總來源'!G123,"")</x:f>
        <x:v>28.384615384615383</x:v>
      </x:c>
      <x:c r="G123" s="19" t="n">
        <x:f>'各站彙總來源'!G123</x:f>
        <x:v>26</x:v>
      </x:c>
      <x:c r="H123" s="24" t="n">
        <x:f>IFERROR('各站彙總來源'!H123/'各站彙總來源'!I123,"")</x:f>
        <x:v>3.0384615384615383</x:v>
      </x:c>
      <x:c r="I123" s="19" t="n">
        <x:f>'各站彙總來源'!I123</x:f>
        <x:v>26</x:v>
      </x:c>
      <x:c r="J123" s="24" t="n">
        <x:f>IFERROR('各站彙總來源'!J123/'各站彙總來源'!K123,"")</x:f>
        <x:v>6.230769230769231</x:v>
      </x:c>
      <x:c r="K123" s="19" t="n">
        <x:f>'各站彙總來源'!K123</x:f>
        <x:v>26</x:v>
      </x:c>
      <x:c r="L123" s="24" t="n">
        <x:f>IFERROR('各站彙總來源'!L123/'各站彙總來源'!M123,"")</x:f>
        <x:v>3.269230769230769</x:v>
      </x:c>
      <x:c r="M123" s="19" t="n">
        <x:f>'各站彙總來源'!M123</x:f>
        <x:v>26</x:v>
      </x:c>
      <x:c r="N123" s="24" t="n">
        <x:f>F123+H123</x:f>
        <x:v>31.42307692307692</x:v>
      </x:c>
      <x:c r="O123" s="24" t="n">
        <x:f>J123+L123</x:f>
        <x:v>9.5</x:v>
      </x:c>
    </x:row>
    <x:row r="124">
      <x:c r="A124" s="22" t="str">
        <x:v>500101170</x:v>
      </x:c>
      <x:c r="B124" s="17" t="str">
        <x:v>大安區</x:v>
      </x:c>
      <x:c r="C124" s="17" t="str">
        <x:v>成功國宅</x:v>
      </x:c>
      <x:c r="D124" s="18" t="n">
        <x:v>26</x:v>
      </x:c>
      <x:c r="E124" s="18" t="n">
        <x:v>26</x:v>
      </x:c>
      <x:c r="F124" s="24" t="n">
        <x:f>IFERROR('各站彙總來源'!F124/'各站彙總來源'!G124,"")</x:f>
        <x:v>36.19230769230769</x:v>
      </x:c>
      <x:c r="G124" s="19" t="n">
        <x:f>'各站彙總來源'!G124</x:f>
        <x:v>26</x:v>
      </x:c>
      <x:c r="H124" s="24" t="n">
        <x:f>IFERROR('各站彙總來源'!H124/'各站彙總來源'!I124,"")</x:f>
        <x:v>4.730769230769231</x:v>
      </x:c>
      <x:c r="I124" s="19" t="n">
        <x:f>'各站彙總來源'!I124</x:f>
        <x:v>26</x:v>
      </x:c>
      <x:c r="J124" s="24" t="n">
        <x:f>IFERROR('各站彙總來源'!J124/'各站彙總來源'!K124,"")</x:f>
        <x:v>7.076923076923077</x:v>
      </x:c>
      <x:c r="K124" s="19" t="n">
        <x:f>'各站彙總來源'!K124</x:f>
        <x:v>26</x:v>
      </x:c>
      <x:c r="L124" s="24" t="n">
        <x:f>IFERROR('各站彙總來源'!L124/'各站彙總來源'!M124,"")</x:f>
        <x:v>1.5384615384615385</x:v>
      </x:c>
      <x:c r="M124" s="19" t="n">
        <x:f>'各站彙總來源'!M124</x:f>
        <x:v>26</x:v>
      </x:c>
      <x:c r="N124" s="24" t="n">
        <x:f>F124+H124</x:f>
        <x:v>40.92307692307693</x:v>
      </x:c>
      <x:c r="O124" s="24" t="n">
        <x:f>J124+L124</x:f>
        <x:v>8.615384615384615</x:v>
      </x:c>
    </x:row>
    <x:row r="125">
      <x:c r="A125" s="22" t="str">
        <x:v>500101171</x:v>
      </x:c>
      <x:c r="B125" s="17" t="str">
        <x:v>大安區</x:v>
      </x:c>
      <x:c r="C125" s="17" t="str">
        <x:v>仁愛延吉街口</x:v>
      </x:c>
      <x:c r="D125" s="18" t="n">
        <x:v>26</x:v>
      </x:c>
      <x:c r="E125" s="18" t="n">
        <x:v>26</x:v>
      </x:c>
      <x:c r="F125" s="24" t="n">
        <x:f>IFERROR('各站彙總來源'!F125/'各站彙總來源'!G125,"")</x:f>
        <x:v>7.538461538461538</x:v>
      </x:c>
      <x:c r="G125" s="19" t="n">
        <x:f>'各站彙總來源'!G125</x:f>
        <x:v>26</x:v>
      </x:c>
      <x:c r="H125" s="24" t="n">
        <x:f>IFERROR('各站彙總來源'!H125/'各站彙總來源'!I125,"")</x:f>
        <x:v>1.2307692307692308</x:v>
      </x:c>
      <x:c r="I125" s="19" t="n">
        <x:f>'各站彙總來源'!I125</x:f>
        <x:v>26</x:v>
      </x:c>
      <x:c r="J125" s="24" t="n">
        <x:f>IFERROR('各站彙總來源'!J125/'各站彙總來源'!K125,"")</x:f>
        <x:v>14.576923076923077</x:v>
      </x:c>
      <x:c r="K125" s="19" t="n">
        <x:f>'各站彙總來源'!K125</x:f>
        <x:v>26</x:v>
      </x:c>
      <x:c r="L125" s="24" t="n">
        <x:f>IFERROR('各站彙總來源'!L125/'各站彙總來源'!M125,"")</x:f>
        <x:v>1.9230769230769231</x:v>
      </x:c>
      <x:c r="M125" s="19" t="n">
        <x:f>'各站彙總來源'!M125</x:f>
        <x:v>26</x:v>
      </x:c>
      <x:c r="N125" s="24" t="n">
        <x:f>F125+H125</x:f>
        <x:v>8.76923076923077</x:v>
      </x:c>
      <x:c r="O125" s="24" t="n">
        <x:f>J125+L125</x:f>
        <x:v>16.5</x:v>
      </x:c>
    </x:row>
    <x:row r="126">
      <x:c r="A126" s="22" t="str">
        <x:v>500101172</x:v>
      </x:c>
      <x:c r="B126" s="17" t="str">
        <x:v>大安區</x:v>
      </x:c>
      <x:c r="C126" s="17" t="str">
        <x:v>捷運信義安和站(1號出口)</x:v>
      </x:c>
      <x:c r="D126" s="18" t="n">
        <x:v>26</x:v>
      </x:c>
      <x:c r="E126" s="18" t="n">
        <x:v>26</x:v>
      </x:c>
      <x:c r="F126" s="24" t="n">
        <x:f>IFERROR('各站彙總來源'!F126/'各站彙總來源'!G126,"")</x:f>
        <x:v>26.307692307692307</x:v>
      </x:c>
      <x:c r="G126" s="19" t="n">
        <x:f>'各站彙總來源'!G126</x:f>
        <x:v>26</x:v>
      </x:c>
      <x:c r="H126" s="24" t="n">
        <x:f>IFERROR('各站彙總來源'!H126/'各站彙總來源'!I126,"")</x:f>
        <x:v>4.1923076923076925</x:v>
      </x:c>
      <x:c r="I126" s="19" t="n">
        <x:f>'各站彙總來源'!I126</x:f>
        <x:v>26</x:v>
      </x:c>
      <x:c r="J126" s="24" t="n">
        <x:f>IFERROR('各站彙總來源'!J126/'各站彙總來源'!K126,"")</x:f>
        <x:v>7.884615384615385</x:v>
      </x:c>
      <x:c r="K126" s="19" t="n">
        <x:f>'各站彙總來源'!K126</x:f>
        <x:v>26</x:v>
      </x:c>
      <x:c r="L126" s="24" t="n">
        <x:f>IFERROR('各站彙總來源'!L126/'各站彙總來源'!M126,"")</x:f>
        <x:v>3.423076923076923</x:v>
      </x:c>
      <x:c r="M126" s="19" t="n">
        <x:f>'各站彙總來源'!M126</x:f>
        <x:v>26</x:v>
      </x:c>
      <x:c r="N126" s="24" t="n">
        <x:f>F126+H126</x:f>
        <x:v>30.5</x:v>
      </x:c>
      <x:c r="O126" s="24" t="n">
        <x:f>J126+L126</x:f>
        <x:v>11.307692307692308</x:v>
      </x:c>
    </x:row>
    <x:row r="127">
      <x:c r="A127" s="22" t="str">
        <x:v>500101173</x:v>
      </x:c>
      <x:c r="B127" s="17" t="str">
        <x:v>大安區</x:v>
      </x:c>
      <x:c r="C127" s="17" t="str">
        <x:v>敦化南路二段103巷口</x:v>
      </x:c>
      <x:c r="D127" s="18" t="n">
        <x:v>26</x:v>
      </x:c>
      <x:c r="E127" s="18" t="n">
        <x:v>26</x:v>
      </x:c>
      <x:c r="F127" s="24" t="n">
        <x:f>IFERROR('各站彙總來源'!F127/'各站彙總來源'!G127,"")</x:f>
        <x:v>4.961538461538462</x:v>
      </x:c>
      <x:c r="G127" s="19" t="n">
        <x:f>'各站彙總來源'!G127</x:f>
        <x:v>26</x:v>
      </x:c>
      <x:c r="H127" s="24" t="n">
        <x:f>IFERROR('各站彙總來源'!H127/'各站彙總來源'!I127,"")</x:f>
        <x:v>2.269230769230769</x:v>
      </x:c>
      <x:c r="I127" s="19" t="n">
        <x:f>'各站彙總來源'!I127</x:f>
        <x:v>26</x:v>
      </x:c>
      <x:c r="J127" s="24" t="n">
        <x:f>IFERROR('各站彙總來源'!J127/'各站彙總來源'!K127,"")</x:f>
        <x:v>137.19230769230768</x:v>
      </x:c>
      <x:c r="K127" s="19" t="n">
        <x:f>'各站彙總來源'!K127</x:f>
        <x:v>26</x:v>
      </x:c>
      <x:c r="L127" s="24" t="n">
        <x:f>IFERROR('各站彙總來源'!L127/'各站彙總來源'!M127,"")</x:f>
        <x:v>3.230769230769231</x:v>
      </x:c>
      <x:c r="M127" s="19" t="n">
        <x:f>'各站彙總來源'!M127</x:f>
        <x:v>26</x:v>
      </x:c>
      <x:c r="N127" s="24" t="n">
        <x:f>F127+H127</x:f>
        <x:v>7.230769230769231</x:v>
      </x:c>
      <x:c r="O127" s="24" t="n">
        <x:f>J127+L127</x:f>
        <x:v>140.4230769230769</x:v>
      </x:c>
    </x:row>
    <x:row r="128">
      <x:c r="A128" s="22" t="str">
        <x:v>500101174</x:v>
      </x:c>
      <x:c r="B128" s="17" t="str">
        <x:v>大安區</x:v>
      </x:c>
      <x:c r="C128" s="17" t="str">
        <x:v>復興南路二段128巷口</x:v>
      </x:c>
      <x:c r="D128" s="18" t="n">
        <x:v>26</x:v>
      </x:c>
      <x:c r="E128" s="18" t="n">
        <x:v>26</x:v>
      </x:c>
      <x:c r="F128" s="24" t="n">
        <x:f>IFERROR('各站彙總來源'!F128/'各站彙總來源'!G128,"")</x:f>
        <x:v>12.307692307692308</x:v>
      </x:c>
      <x:c r="G128" s="19" t="n">
        <x:f>'各站彙總來源'!G128</x:f>
        <x:v>26</x:v>
      </x:c>
      <x:c r="H128" s="24" t="n">
        <x:f>IFERROR('各站彙總來源'!H128/'各站彙總來源'!I128,"")</x:f>
        <x:v>2.8076923076923075</x:v>
      </x:c>
      <x:c r="I128" s="19" t="n">
        <x:f>'各站彙總來源'!I128</x:f>
        <x:v>26</x:v>
      </x:c>
      <x:c r="J128" s="24" t="n">
        <x:f>IFERROR('各站彙總來源'!J128/'各站彙總來源'!K128,"")</x:f>
        <x:v>7.923076923076923</x:v>
      </x:c>
      <x:c r="K128" s="19" t="n">
        <x:f>'各站彙總來源'!K128</x:f>
        <x:v>26</x:v>
      </x:c>
      <x:c r="L128" s="24" t="n">
        <x:f>IFERROR('各站彙總來源'!L128/'各站彙總來源'!M128,"")</x:f>
        <x:v>3.076923076923077</x:v>
      </x:c>
      <x:c r="M128" s="19" t="n">
        <x:f>'各站彙總來源'!M128</x:f>
        <x:v>26</x:v>
      </x:c>
      <x:c r="N128" s="24" t="n">
        <x:f>F128+H128</x:f>
        <x:v>15.115384615384617</x:v>
      </x:c>
      <x:c r="O128" s="24" t="n">
        <x:f>J128+L128</x:f>
        <x:v>11</x:v>
      </x:c>
    </x:row>
    <x:row r="129">
      <x:c r="A129" s="22" t="str">
        <x:v>500101175</x:v>
      </x:c>
      <x:c r="B129" s="17" t="str">
        <x:v>大安區</x:v>
      </x:c>
      <x:c r="C129" s="17" t="str">
        <x:v>和平東建國南路口</x:v>
      </x:c>
      <x:c r="D129" s="18" t="n">
        <x:v>26</x:v>
      </x:c>
      <x:c r="E129" s="18" t="n">
        <x:v>26</x:v>
      </x:c>
      <x:c r="F129" s="24" t="n">
        <x:f>IFERROR('各站彙總來源'!F129/'各站彙總來源'!G129,"")</x:f>
        <x:v>5.461538461538462</x:v>
      </x:c>
      <x:c r="G129" s="19" t="n">
        <x:f>'各站彙總來源'!G129</x:f>
        <x:v>26</x:v>
      </x:c>
      <x:c r="H129" s="24" t="n">
        <x:f>IFERROR('各站彙總來源'!H129/'各站彙總來源'!I129,"")</x:f>
        <x:v>0.8076923076923077</x:v>
      </x:c>
      <x:c r="I129" s="19" t="n">
        <x:f>'各站彙總來源'!I129</x:f>
        <x:v>26</x:v>
      </x:c>
      <x:c r="J129" s="24" t="n">
        <x:f>IFERROR('各站彙總來源'!J129/'各站彙總來源'!K129,"")</x:f>
        <x:v>5.884615384615385</x:v>
      </x:c>
      <x:c r="K129" s="19" t="n">
        <x:f>'各站彙總來源'!K129</x:f>
        <x:v>26</x:v>
      </x:c>
      <x:c r="L129" s="24" t="n">
        <x:f>IFERROR('各站彙總來源'!L129/'各站彙總來源'!M129,"")</x:f>
        <x:v>1.2692307692307692</x:v>
      </x:c>
      <x:c r="M129" s="19" t="n">
        <x:f>'各站彙總來源'!M129</x:f>
        <x:v>26</x:v>
      </x:c>
      <x:c r="N129" s="24" t="n">
        <x:f>F129+H129</x:f>
        <x:v>6.269230769230769</x:v>
      </x:c>
      <x:c r="O129" s="24" t="n">
        <x:f>J129+L129</x:f>
        <x:v>7.153846153846154</x:v>
      </x:c>
    </x:row>
    <x:row r="130">
      <x:c r="A130" s="22" t="str">
        <x:v>500101176</x:v>
      </x:c>
      <x:c r="B130" s="17" t="str">
        <x:v>大安區</x:v>
      </x:c>
      <x:c r="C130" s="17" t="str">
        <x:v>芳蘭山莊</x:v>
      </x:c>
      <x:c r="D130" s="18" t="n">
        <x:v>26</x:v>
      </x:c>
      <x:c r="E130" s="18" t="n">
        <x:v>26</x:v>
      </x:c>
      <x:c r="F130" s="24" t="n">
        <x:f>IFERROR('各站彙總來源'!F130/'各站彙總來源'!G130,"")</x:f>
        <x:v>9.576923076923077</x:v>
      </x:c>
      <x:c r="G130" s="19" t="n">
        <x:f>'各站彙總來源'!G130</x:f>
        <x:v>26</x:v>
      </x:c>
      <x:c r="H130" s="24" t="n">
        <x:f>IFERROR('各站彙總來源'!H130/'各站彙總來源'!I130,"")</x:f>
        <x:v>2</x:v>
      </x:c>
      <x:c r="I130" s="19" t="n">
        <x:f>'各站彙總來源'!I130</x:f>
        <x:v>26</x:v>
      </x:c>
      <x:c r="J130" s="24" t="n">
        <x:f>IFERROR('各站彙總來源'!J130/'各站彙總來源'!K130,"")</x:f>
        <x:v>4.923076923076923</x:v>
      </x:c>
      <x:c r="K130" s="19" t="n">
        <x:f>'各站彙總來源'!K130</x:f>
        <x:v>26</x:v>
      </x:c>
      <x:c r="L130" s="24" t="n">
        <x:f>IFERROR('各站彙總來源'!L130/'各站彙總來源'!M130,"")</x:f>
        <x:v>0.9230769230769231</x:v>
      </x:c>
      <x:c r="M130" s="19" t="n">
        <x:f>'各站彙總來源'!M130</x:f>
        <x:v>26</x:v>
      </x:c>
      <x:c r="N130" s="24" t="n">
        <x:f>F130+H130</x:f>
        <x:v>11.576923076923077</x:v>
      </x:c>
      <x:c r="O130" s="24" t="n">
        <x:f>J130+L130</x:f>
        <x:v>5.846153846153847</x:v>
      </x:c>
    </x:row>
    <x:row r="131">
      <x:c r="A131" s="22" t="str">
        <x:v>500101177</x:v>
      </x:c>
      <x:c r="B131" s="17" t="str">
        <x:v>大安區</x:v>
      </x:c>
      <x:c r="C131" s="17" t="str">
        <x:v>復興南路一段126巷口</x:v>
      </x:c>
      <x:c r="D131" s="18" t="n">
        <x:v>26</x:v>
      </x:c>
      <x:c r="E131" s="18" t="n">
        <x:v>26</x:v>
      </x:c>
      <x:c r="F131" s="24" t="n">
        <x:f>IFERROR('各站彙總來源'!F131/'各站彙總來源'!G131,"")</x:f>
        <x:v>5.769230769230769</x:v>
      </x:c>
      <x:c r="G131" s="19" t="n">
        <x:f>'各站彙總來源'!G131</x:f>
        <x:v>26</x:v>
      </x:c>
      <x:c r="H131" s="24" t="n">
        <x:f>IFERROR('各站彙總來源'!H131/'各站彙總來源'!I131,"")</x:f>
        <x:v>1.0769230769230769</x:v>
      </x:c>
      <x:c r="I131" s="19" t="n">
        <x:f>'各站彙總來源'!I131</x:f>
        <x:v>26</x:v>
      </x:c>
      <x:c r="J131" s="24" t="n">
        <x:f>IFERROR('各站彙總來源'!J131/'各站彙總來源'!K131,"")</x:f>
        <x:v>5.038461538461538</x:v>
      </x:c>
      <x:c r="K131" s="19" t="n">
        <x:f>'各站彙總來源'!K131</x:f>
        <x:v>26</x:v>
      </x:c>
      <x:c r="L131" s="24" t="n">
        <x:f>IFERROR('各站彙總來源'!L131/'各站彙總來源'!M131,"")</x:f>
        <x:v>1.2692307692307692</x:v>
      </x:c>
      <x:c r="M131" s="19" t="n">
        <x:f>'各站彙總來源'!M131</x:f>
        <x:v>26</x:v>
      </x:c>
      <x:c r="N131" s="24" t="n">
        <x:f>F131+H131</x:f>
        <x:v>6.846153846153846</x:v>
      </x:c>
      <x:c r="O131" s="24" t="n">
        <x:f>J131+L131</x:f>
        <x:v>6.3076923076923075</x:v>
      </x:c>
    </x:row>
    <x:row r="132">
      <x:c r="A132" s="22" t="str">
        <x:v>500101178</x:v>
      </x:c>
      <x:c r="B132" s="17" t="str">
        <x:v>大安區</x:v>
      </x:c>
      <x:c r="C132" s="17" t="str">
        <x:v>羅斯福新生南路口</x:v>
      </x:c>
      <x:c r="D132" s="18" t="n">
        <x:v>26</x:v>
      </x:c>
      <x:c r="E132" s="18" t="n">
        <x:v>14</x:v>
      </x:c>
      <x:c r="F132" s="24" t="n">
        <x:f>IFERROR('各站彙總來源'!F132/'各站彙總來源'!G132,"")</x:f>
        <x:v>0</x:v>
      </x:c>
      <x:c r="G132" s="19" t="n">
        <x:f>'各站彙總來源'!G132</x:f>
        <x:v>14</x:v>
      </x:c>
      <x:c r="H132" s="24" t="n">
        <x:f>IFERROR('各站彙總來源'!H132/'各站彙總來源'!I132,"")</x:f>
        <x:v>0</x:v>
      </x:c>
      <x:c r="I132" s="19" t="n">
        <x:f>'各站彙總來源'!I132</x:f>
        <x:v>14</x:v>
      </x:c>
      <x:c r="J132" s="24" t="n">
        <x:f>IFERROR('各站彙總來源'!J132/'各站彙總來源'!K132,"")</x:f>
        <x:v>0</x:v>
      </x:c>
      <x:c r="K132" s="19" t="n">
        <x:f>'各站彙總來源'!K132</x:f>
        <x:v>13</x:v>
      </x:c>
      <x:c r="L132" s="24" t="n">
        <x:f>IFERROR('各站彙總來源'!L132/'各站彙總來源'!M132,"")</x:f>
        <x:v>0</x:v>
      </x:c>
      <x:c r="M132" s="19" t="n">
        <x:f>'各站彙總來源'!M132</x:f>
        <x:v>13</x:v>
      </x:c>
      <x:c r="N132" s="24" t="n">
        <x:f>F132+H132</x:f>
        <x:v>0</x:v>
      </x:c>
      <x:c r="O132" s="24" t="n">
        <x:f>J132+L132</x:f>
        <x:v>0</x:v>
      </x:c>
    </x:row>
    <x:row r="133">
      <x:c r="A133" s="22" t="str">
        <x:v>500101179</x:v>
      </x:c>
      <x:c r="B133" s="17" t="str">
        <x:v>大安區</x:v>
      </x:c>
      <x:c r="C133" s="17" t="str">
        <x:v>捷運東門站(5號出口)</x:v>
      </x:c>
      <x:c r="D133" s="18" t="n">
        <x:v>26</x:v>
      </x:c>
      <x:c r="E133" s="18" t="n">
        <x:v>26</x:v>
      </x:c>
      <x:c r="F133" s="24" t="n">
        <x:f>IFERROR('各站彙總來源'!F133/'各站彙總來源'!G133,"")</x:f>
        <x:v>14.192307692307692</x:v>
      </x:c>
      <x:c r="G133" s="19" t="n">
        <x:f>'各站彙總來源'!G133</x:f>
        <x:v>26</x:v>
      </x:c>
      <x:c r="H133" s="24" t="n">
        <x:f>IFERROR('各站彙總來源'!H133/'各站彙總來源'!I133,"")</x:f>
        <x:v>2.3076923076923075</x:v>
      </x:c>
      <x:c r="I133" s="19" t="n">
        <x:f>'各站彙總來源'!I133</x:f>
        <x:v>26</x:v>
      </x:c>
      <x:c r="J133" s="24" t="n">
        <x:f>IFERROR('各站彙總來源'!J133/'各站彙總來源'!K133,"")</x:f>
        <x:v>10.923076923076923</x:v>
      </x:c>
      <x:c r="K133" s="19" t="n">
        <x:f>'各站彙總來源'!K133</x:f>
        <x:v>26</x:v>
      </x:c>
      <x:c r="L133" s="24" t="n">
        <x:f>IFERROR('各站彙總來源'!L133/'各站彙總來源'!M133,"")</x:f>
        <x:v>2.230769230769231</x:v>
      </x:c>
      <x:c r="M133" s="19" t="n">
        <x:f>'各站彙總來源'!M133</x:f>
        <x:v>26</x:v>
      </x:c>
      <x:c r="N133" s="24" t="n">
        <x:f>F133+H133</x:f>
        <x:v>16.5</x:v>
      </x:c>
      <x:c r="O133" s="24" t="n">
        <x:f>J133+L133</x:f>
        <x:v>13.153846153846153</x:v>
      </x:c>
    </x:row>
    <x:row r="134">
      <x:c r="A134" s="22" t="str">
        <x:v>500101180</x:v>
      </x:c>
      <x:c r="B134" s="17" t="str">
        <x:v>大安區</x:v>
      </x:c>
      <x:c r="C134" s="17" t="str">
        <x:v>仁愛路四段48巷口</x:v>
      </x:c>
      <x:c r="D134" s="18" t="n">
        <x:v>26</x:v>
      </x:c>
      <x:c r="E134" s="18" t="n">
        <x:v>26</x:v>
      </x:c>
      <x:c r="F134" s="24" t="n">
        <x:f>IFERROR('各站彙總來源'!F134/'各站彙總來源'!G134,"")</x:f>
        <x:v>4.384615384615385</x:v>
      </x:c>
      <x:c r="G134" s="19" t="n">
        <x:f>'各站彙總來源'!G134</x:f>
        <x:v>26</x:v>
      </x:c>
      <x:c r="H134" s="24" t="n">
        <x:f>IFERROR('各站彙總來源'!H134/'各站彙總來源'!I134,"")</x:f>
        <x:v>1.3461538461538463</x:v>
      </x:c>
      <x:c r="I134" s="19" t="n">
        <x:f>'各站彙總來源'!I134</x:f>
        <x:v>26</x:v>
      </x:c>
      <x:c r="J134" s="24" t="n">
        <x:f>IFERROR('各站彙總來源'!J134/'各站彙總來源'!K134,"")</x:f>
        <x:v>5.653846153846154</x:v>
      </x:c>
      <x:c r="K134" s="19" t="n">
        <x:f>'各站彙總來源'!K134</x:f>
        <x:v>26</x:v>
      </x:c>
      <x:c r="L134" s="24" t="n">
        <x:f>IFERROR('各站彙總來源'!L134/'各站彙總來源'!M134,"")</x:f>
        <x:v>1.0769230769230769</x:v>
      </x:c>
      <x:c r="M134" s="19" t="n">
        <x:f>'各站彙總來源'!M134</x:f>
        <x:v>26</x:v>
      </x:c>
      <x:c r="N134" s="24" t="n">
        <x:f>F134+H134</x:f>
        <x:v>5.730769230769232</x:v>
      </x:c>
      <x:c r="O134" s="24" t="n">
        <x:f>J134+L134</x:f>
        <x:v>6.730769230769231</x:v>
      </x:c>
    </x:row>
    <x:row r="135">
      <x:c r="A135" s="22" t="str">
        <x:v>500101181</x:v>
      </x:c>
      <x:c r="B135" s="17" t="str">
        <x:v>大安區</x:v>
      </x:c>
      <x:c r="C135" s="17" t="str">
        <x:v>捷運公館站(3號出口)</x:v>
      </x:c>
      <x:c r="D135" s="18" t="n">
        <x:v>26</x:v>
      </x:c>
      <x:c r="E135" s="18" t="n">
        <x:v>26</x:v>
      </x:c>
      <x:c r="F135" s="24" t="n">
        <x:f>IFERROR('各站彙總來源'!F135/'各站彙總來源'!G135,"")</x:f>
        <x:v>80.73076923076923</x:v>
      </x:c>
      <x:c r="G135" s="19" t="n">
        <x:f>'各站彙總來源'!G135</x:f>
        <x:v>26</x:v>
      </x:c>
      <x:c r="H135" s="24" t="n">
        <x:f>IFERROR('各站彙總來源'!H135/'各站彙總來源'!I135,"")</x:f>
        <x:v>2.4615384615384617</x:v>
      </x:c>
      <x:c r="I135" s="19" t="n">
        <x:f>'各站彙總來源'!I135</x:f>
        <x:v>26</x:v>
      </x:c>
      <x:c r="J135" s="24" t="n">
        <x:f>IFERROR('各站彙總來源'!J135/'各站彙總來源'!K135,"")</x:f>
        <x:v>35.30769230769231</x:v>
      </x:c>
      <x:c r="K135" s="19" t="n">
        <x:f>'各站彙總來源'!K135</x:f>
        <x:v>26</x:v>
      </x:c>
      <x:c r="L135" s="24" t="n">
        <x:f>IFERROR('各站彙總來源'!L135/'各站彙總來源'!M135,"")</x:f>
        <x:v>3.230769230769231</x:v>
      </x:c>
      <x:c r="M135" s="19" t="n">
        <x:f>'各站彙總來源'!M135</x:f>
        <x:v>26</x:v>
      </x:c>
      <x:c r="N135" s="24" t="n">
        <x:f>F135+H135</x:f>
        <x:v>83.1923076923077</x:v>
      </x:c>
      <x:c r="O135" s="24" t="n">
        <x:f>J135+L135</x:f>
        <x:v>38.53846153846154</x:v>
      </x:c>
    </x:row>
    <x:row r="136">
      <x:c r="A136" s="22" t="str">
        <x:v>500101182</x:v>
      </x:c>
      <x:c r="B136" s="17" t="str">
        <x:v>大安區</x:v>
      </x:c>
      <x:c r="C136" s="17" t="str">
        <x:v>臺北科技大學(電機工程系)</x:v>
      </x:c>
      <x:c r="D136" s="18" t="n">
        <x:v>26</x:v>
      </x:c>
      <x:c r="E136" s="18" t="n">
        <x:v>26</x:v>
      </x:c>
      <x:c r="F136" s="24" t="n">
        <x:f>IFERROR('各站彙總來源'!F136/'各站彙總來源'!G136,"")</x:f>
        <x:v>7.153846153846154</x:v>
      </x:c>
      <x:c r="G136" s="19" t="n">
        <x:f>'各站彙總來源'!G136</x:f>
        <x:v>26</x:v>
      </x:c>
      <x:c r="H136" s="24" t="n">
        <x:f>IFERROR('各站彙總來源'!H136/'各站彙總來源'!I136,"")</x:f>
        <x:v>1.8846153846153846</x:v>
      </x:c>
      <x:c r="I136" s="19" t="n">
        <x:f>'各站彙總來源'!I136</x:f>
        <x:v>26</x:v>
      </x:c>
      <x:c r="J136" s="24" t="n">
        <x:f>IFERROR('各站彙總來源'!J136/'各站彙總來源'!K136,"")</x:f>
        <x:v>18.653846153846153</x:v>
      </x:c>
      <x:c r="K136" s="19" t="n">
        <x:f>'各站彙總來源'!K136</x:f>
        <x:v>26</x:v>
      </x:c>
      <x:c r="L136" s="24" t="n">
        <x:f>IFERROR('各站彙總來源'!L136/'各站彙總來源'!M136,"")</x:f>
        <x:v>2.8846153846153846</x:v>
      </x:c>
      <x:c r="M136" s="19" t="n">
        <x:f>'各站彙總來源'!M136</x:f>
        <x:v>26</x:v>
      </x:c>
      <x:c r="N136" s="24" t="n">
        <x:f>F136+H136</x:f>
        <x:v>9.038461538461538</x:v>
      </x:c>
      <x:c r="O136" s="24" t="n">
        <x:f>J136+L136</x:f>
        <x:v>21.538461538461537</x:v>
      </x:c>
    </x:row>
    <x:row r="137">
      <x:c r="A137" s="22" t="str">
        <x:v>500101183</x:v>
      </x:c>
      <x:c r="B137" s="17" t="str">
        <x:v>大安區</x:v>
      </x:c>
      <x:c r="C137" s="17" t="str">
        <x:v>忠孝東路三段217巷口</x:v>
      </x:c>
      <x:c r="D137" s="18" t="n">
        <x:v>26</x:v>
      </x:c>
      <x:c r="E137" s="18" t="n">
        <x:v>26</x:v>
      </x:c>
      <x:c r="F137" s="24" t="n">
        <x:f>IFERROR('各站彙總來源'!F137/'各站彙總來源'!G137,"")</x:f>
        <x:v>0</x:v>
      </x:c>
      <x:c r="G137" s="19" t="n">
        <x:f>'各站彙總來源'!G137</x:f>
        <x:v>26</x:v>
      </x:c>
      <x:c r="H137" s="24" t="n">
        <x:f>IFERROR('各站彙總來源'!H137/'各站彙總來源'!I137,"")</x:f>
        <x:v>0</x:v>
      </x:c>
      <x:c r="I137" s="19" t="n">
        <x:f>'各站彙總來源'!I137</x:f>
        <x:v>26</x:v>
      </x:c>
      <x:c r="J137" s="24" t="n">
        <x:f>IFERROR('各站彙總來源'!J137/'各站彙總來源'!K137,"")</x:f>
        <x:v>0</x:v>
      </x:c>
      <x:c r="K137" s="19" t="n">
        <x:f>'各站彙總來源'!K137</x:f>
        <x:v>26</x:v>
      </x:c>
      <x:c r="L137" s="24" t="n">
        <x:f>IFERROR('各站彙總來源'!L137/'各站彙總來源'!M137,"")</x:f>
        <x:v>0</x:v>
      </x:c>
      <x:c r="M137" s="19" t="n">
        <x:f>'各站彙總來源'!M137</x:f>
        <x:v>26</x:v>
      </x:c>
      <x:c r="N137" s="24" t="n">
        <x:f>F137+H137</x:f>
        <x:v>0</x:v>
      </x:c>
      <x:c r="O137" s="24" t="n">
        <x:f>J137+L137</x:f>
        <x:v>0</x:v>
      </x:c>
    </x:row>
    <x:row r="138">
      <x:c r="A138" s="22" t="str">
        <x:v>500101184</x:v>
      </x:c>
      <x:c r="B138" s="17" t="str">
        <x:v>大安區</x:v>
      </x:c>
      <x:c r="C138" s="17" t="str">
        <x:v>新生南路三段94巷口</x:v>
      </x:c>
      <x:c r="D138" s="18" t="n">
        <x:v>26</x:v>
      </x:c>
      <x:c r="E138" s="18" t="n">
        <x:v>26</x:v>
      </x:c>
      <x:c r="F138" s="24" t="n">
        <x:f>IFERROR('各站彙總來源'!F138/'各站彙總來源'!G138,"")</x:f>
        <x:v>5.5</x:v>
      </x:c>
      <x:c r="G138" s="19" t="n">
        <x:f>'各站彙總來源'!G138</x:f>
        <x:v>26</x:v>
      </x:c>
      <x:c r="H138" s="24" t="n">
        <x:f>IFERROR('各站彙總來源'!H138/'各站彙總來源'!I138,"")</x:f>
        <x:v>0.34615384615384615</x:v>
      </x:c>
      <x:c r="I138" s="19" t="n">
        <x:f>'各站彙總來源'!I138</x:f>
        <x:v>26</x:v>
      </x:c>
      <x:c r="J138" s="24" t="n">
        <x:f>IFERROR('各站彙總來源'!J138/'各站彙總來源'!K138,"")</x:f>
        <x:v>5.115384615384615</x:v>
      </x:c>
      <x:c r="K138" s="19" t="n">
        <x:f>'各站彙總來源'!K138</x:f>
        <x:v>26</x:v>
      </x:c>
      <x:c r="L138" s="24" t="n">
        <x:f>IFERROR('各站彙總來源'!L138/'各站彙總來源'!M138,"")</x:f>
        <x:v>0.7307692307692307</x:v>
      </x:c>
      <x:c r="M138" s="19" t="n">
        <x:f>'各站彙總來源'!M138</x:f>
        <x:v>26</x:v>
      </x:c>
      <x:c r="N138" s="24" t="n">
        <x:f>F138+H138</x:f>
        <x:v>5.846153846153846</x:v>
      </x:c>
      <x:c r="O138" s="24" t="n">
        <x:f>J138+L138</x:f>
        <x:v>5.846153846153846</x:v>
      </x:c>
    </x:row>
    <x:row r="139">
      <x:c r="A139" s="22" t="str">
        <x:v>500101185</x:v>
      </x:c>
      <x:c r="B139" s="17" t="str">
        <x:v>大安區</x:v>
      </x:c>
      <x:c r="C139" s="17" t="str">
        <x:v>辛亥新生路口西北側</x:v>
      </x:c>
      <x:c r="D139" s="18" t="n">
        <x:v>26</x:v>
      </x:c>
      <x:c r="E139" s="18" t="n">
        <x:v>26</x:v>
      </x:c>
      <x:c r="F139" s="24" t="n">
        <x:f>IFERROR('各站彙總來源'!F139/'各站彙總來源'!G139,"")</x:f>
        <x:v>15.307692307692308</x:v>
      </x:c>
      <x:c r="G139" s="19" t="n">
        <x:f>'各站彙總來源'!G139</x:f>
        <x:v>26</x:v>
      </x:c>
      <x:c r="H139" s="24" t="n">
        <x:f>IFERROR('各站彙總來源'!H139/'各站彙總來源'!I139,"")</x:f>
        <x:v>3.923076923076923</x:v>
      </x:c>
      <x:c r="I139" s="19" t="n">
        <x:f>'各站彙總來源'!I139</x:f>
        <x:v>26</x:v>
      </x:c>
      <x:c r="J139" s="24" t="n">
        <x:f>IFERROR('各站彙總來源'!J139/'各站彙總來源'!K139,"")</x:f>
        <x:v>5.346153846153846</x:v>
      </x:c>
      <x:c r="K139" s="19" t="n">
        <x:f>'各站彙總來源'!K139</x:f>
        <x:v>26</x:v>
      </x:c>
      <x:c r="L139" s="24" t="n">
        <x:f>IFERROR('各站彙總來源'!L139/'各站彙總來源'!M139,"")</x:f>
        <x:v>1.4230769230769231</x:v>
      </x:c>
      <x:c r="M139" s="19" t="n">
        <x:f>'各站彙總來源'!M139</x:f>
        <x:v>26</x:v>
      </x:c>
      <x:c r="N139" s="24" t="n">
        <x:f>F139+H139</x:f>
        <x:v>19.23076923076923</x:v>
      </x:c>
      <x:c r="O139" s="24" t="n">
        <x:f>J139+L139</x:f>
        <x:v>6.769230769230769</x:v>
      </x:c>
    </x:row>
    <x:row r="140">
      <x:c r="A140" s="22" t="str">
        <x:v>500101186</x:v>
      </x:c>
      <x:c r="B140" s="17" t="str">
        <x:v>大安區</x:v>
      </x:c>
      <x:c r="C140" s="17" t="str">
        <x:v>捷運大安站(6號出口)</x:v>
      </x:c>
      <x:c r="D140" s="18" t="n">
        <x:v>26</x:v>
      </x:c>
      <x:c r="E140" s="18" t="n">
        <x:v>26</x:v>
      </x:c>
      <x:c r="F140" s="24" t="n">
        <x:f>IFERROR('各站彙總來源'!F140/'各站彙總來源'!G140,"")</x:f>
        <x:v>16.53846153846154</x:v>
      </x:c>
      <x:c r="G140" s="19" t="n">
        <x:f>'各站彙總來源'!G140</x:f>
        <x:v>26</x:v>
      </x:c>
      <x:c r="H140" s="24" t="n">
        <x:f>IFERROR('各站彙總來源'!H140/'各站彙總來源'!I140,"")</x:f>
        <x:v>1.4230769230769231</x:v>
      </x:c>
      <x:c r="I140" s="19" t="n">
        <x:f>'各站彙總來源'!I140</x:f>
        <x:v>26</x:v>
      </x:c>
      <x:c r="J140" s="24" t="n">
        <x:f>IFERROR('各站彙總來源'!J140/'各站彙總來源'!K140,"")</x:f>
        <x:v>8.115384615384615</x:v>
      </x:c>
      <x:c r="K140" s="19" t="n">
        <x:f>'各站彙總來源'!K140</x:f>
        <x:v>26</x:v>
      </x:c>
      <x:c r="L140" s="24" t="n">
        <x:f>IFERROR('各站彙總來源'!L140/'各站彙總來源'!M140,"")</x:f>
        <x:v>1.4615384615384615</x:v>
      </x:c>
      <x:c r="M140" s="19" t="n">
        <x:f>'各站彙總來源'!M140</x:f>
        <x:v>26</x:v>
      </x:c>
      <x:c r="N140" s="24" t="n">
        <x:f>F140+H140</x:f>
        <x:v>17.961538461538463</x:v>
      </x:c>
      <x:c r="O140" s="24" t="n">
        <x:f>J140+L140</x:f>
        <x:v>9.576923076923077</x:v>
      </x:c>
    </x:row>
    <x:row r="141">
      <x:c r="A141" s="22" t="str">
        <x:v>500101187</x:v>
      </x:c>
      <x:c r="B141" s="17" t="str">
        <x:v>大安區</x:v>
      </x:c>
      <x:c r="C141" s="17" t="str">
        <x:v>臥龍街195巷口</x:v>
      </x:c>
      <x:c r="D141" s="18" t="n">
        <x:v>26</x:v>
      </x:c>
      <x:c r="E141" s="18" t="n">
        <x:v>26</x:v>
      </x:c>
      <x:c r="F141" s="24" t="n">
        <x:f>IFERROR('各站彙總來源'!F141/'各站彙總來源'!G141,"")</x:f>
        <x:v>11.153846153846153</x:v>
      </x:c>
      <x:c r="G141" s="19" t="n">
        <x:f>'各站彙總來源'!G141</x:f>
        <x:v>26</x:v>
      </x:c>
      <x:c r="H141" s="24" t="n">
        <x:f>IFERROR('各站彙總來源'!H141/'各站彙總來源'!I141,"")</x:f>
        <x:v>1.3076923076923077</x:v>
      </x:c>
      <x:c r="I141" s="19" t="n">
        <x:f>'各站彙總來源'!I141</x:f>
        <x:v>26</x:v>
      </x:c>
      <x:c r="J141" s="24" t="n">
        <x:f>IFERROR('各站彙總來源'!J141/'各站彙總來源'!K141,"")</x:f>
        <x:v>3.3461538461538463</x:v>
      </x:c>
      <x:c r="K141" s="19" t="n">
        <x:f>'各站彙總來源'!K141</x:f>
        <x:v>26</x:v>
      </x:c>
      <x:c r="L141" s="24" t="n">
        <x:f>IFERROR('各站彙總來源'!L141/'各站彙總來源'!M141,"")</x:f>
        <x:v>1.1153846153846154</x:v>
      </x:c>
      <x:c r="M141" s="19" t="n">
        <x:f>'各站彙總來源'!M141</x:f>
        <x:v>26</x:v>
      </x:c>
      <x:c r="N141" s="24" t="n">
        <x:f>F141+H141</x:f>
        <x:v>12.461538461538462</x:v>
      </x:c>
      <x:c r="O141" s="24" t="n">
        <x:f>J141+L141</x:f>
        <x:v>4.461538461538462</x:v>
      </x:c>
    </x:row>
    <x:row r="142">
      <x:c r="A142" s="22" t="str">
        <x:v>500101188</x:v>
      </x:c>
      <x:c r="B142" s="17" t="str">
        <x:v>大安區</x:v>
      </x:c>
      <x:c r="C142" s="17" t="str">
        <x:v>辛亥路三段157巷口</x:v>
      </x:c>
      <x:c r="D142" s="18" t="n">
        <x:v>26</x:v>
      </x:c>
      <x:c r="E142" s="18" t="n">
        <x:v>26</x:v>
      </x:c>
      <x:c r="F142" s="24" t="n">
        <x:f>IFERROR('各站彙總來源'!F142/'各站彙總來源'!G142,"")</x:f>
        <x:v>12.346153846153847</x:v>
      </x:c>
      <x:c r="G142" s="19" t="n">
        <x:f>'各站彙總來源'!G142</x:f>
        <x:v>26</x:v>
      </x:c>
      <x:c r="H142" s="24" t="n">
        <x:f>IFERROR('各站彙總來源'!H142/'各站彙總來源'!I142,"")</x:f>
        <x:v>1.1538461538461537</x:v>
      </x:c>
      <x:c r="I142" s="19" t="n">
        <x:f>'各站彙總來源'!I142</x:f>
        <x:v>26</x:v>
      </x:c>
      <x:c r="J142" s="24" t="n">
        <x:f>IFERROR('各站彙總來源'!J142/'各站彙總來源'!K142,"")</x:f>
        <x:v>10.692307692307692</x:v>
      </x:c>
      <x:c r="K142" s="19" t="n">
        <x:f>'各站彙總來源'!K142</x:f>
        <x:v>26</x:v>
      </x:c>
      <x:c r="L142" s="24" t="n">
        <x:f>IFERROR('各站彙總來源'!L142/'各站彙總來源'!M142,"")</x:f>
        <x:v>0.5384615384615384</x:v>
      </x:c>
      <x:c r="M142" s="19" t="n">
        <x:f>'各站彙總來源'!M142</x:f>
        <x:v>26</x:v>
      </x:c>
      <x:c r="N142" s="24" t="n">
        <x:f>F142+H142</x:f>
        <x:v>13.5</x:v>
      </x:c>
      <x:c r="O142" s="24" t="n">
        <x:f>J142+L142</x:f>
        <x:v>11.23076923076923</x:v>
      </x:c>
    </x:row>
    <x:row r="143">
      <x:c r="A143" s="22" t="str">
        <x:v>500101189</x:v>
      </x:c>
      <x:c r="B143" s="17" t="str">
        <x:v>大安區</x:v>
      </x:c>
      <x:c r="C143" s="17" t="str">
        <x:v>臥龍基隆路口</x:v>
      </x:c>
      <x:c r="D143" s="18" t="n">
        <x:v>26</x:v>
      </x:c>
      <x:c r="E143" s="18" t="n">
        <x:v>26</x:v>
      </x:c>
      <x:c r="F143" s="24" t="n">
        <x:f>IFERROR('各站彙總來源'!F143/'各站彙總來源'!G143,"")</x:f>
        <x:v>4.230769230769231</x:v>
      </x:c>
      <x:c r="G143" s="19" t="n">
        <x:f>'各站彙總來源'!G143</x:f>
        <x:v>26</x:v>
      </x:c>
      <x:c r="H143" s="24" t="n">
        <x:f>IFERROR('各站彙總來源'!H143/'各站彙總來源'!I143,"")</x:f>
        <x:v>0.5769230769230769</x:v>
      </x:c>
      <x:c r="I143" s="19" t="n">
        <x:f>'各站彙總來源'!I143</x:f>
        <x:v>26</x:v>
      </x:c>
      <x:c r="J143" s="24" t="n">
        <x:f>IFERROR('各站彙總來源'!J143/'各站彙總來源'!K143,"")</x:f>
        <x:v>6.038461538461538</x:v>
      </x:c>
      <x:c r="K143" s="19" t="n">
        <x:f>'各站彙總來源'!K143</x:f>
        <x:v>26</x:v>
      </x:c>
      <x:c r="L143" s="24" t="n">
        <x:f>IFERROR('各站彙總來源'!L143/'各站彙總來源'!M143,"")</x:f>
        <x:v>0.7692307692307693</x:v>
      </x:c>
      <x:c r="M143" s="19" t="n">
        <x:f>'各站彙總來源'!M143</x:f>
        <x:v>26</x:v>
      </x:c>
      <x:c r="N143" s="24" t="n">
        <x:f>F143+H143</x:f>
        <x:v>4.8076923076923075</x:v>
      </x:c>
      <x:c r="O143" s="24" t="n">
        <x:f>J143+L143</x:f>
        <x:v>6.8076923076923075</x:v>
      </x:c>
    </x:row>
    <x:row r="144">
      <x:c r="A144" s="22" t="str">
        <x:v>500101190</x:v>
      </x:c>
      <x:c r="B144" s="17" t="str">
        <x:v>大安區</x:v>
      </x:c>
      <x:c r="C144" s="17" t="str">
        <x:v>敦親公園</x:v>
      </x:c>
      <x:c r="D144" s="18" t="n">
        <x:v>26</x:v>
      </x:c>
      <x:c r="E144" s="18" t="n">
        <x:v>26</x:v>
      </x:c>
      <x:c r="F144" s="24" t="n">
        <x:f>IFERROR('各站彙總來源'!F144/'各站彙總來源'!G144,"")</x:f>
        <x:v>19.384615384615383</x:v>
      </x:c>
      <x:c r="G144" s="19" t="n">
        <x:f>'各站彙總來源'!G144</x:f>
        <x:v>26</x:v>
      </x:c>
      <x:c r="H144" s="24" t="n">
        <x:f>IFERROR('各站彙總來源'!H144/'各站彙總來源'!I144,"")</x:f>
        <x:v>2.6538461538461537</x:v>
      </x:c>
      <x:c r="I144" s="19" t="n">
        <x:f>'各站彙總來源'!I144</x:f>
        <x:v>26</x:v>
      </x:c>
      <x:c r="J144" s="24" t="n">
        <x:f>IFERROR('各站彙總來源'!J144/'各站彙總來源'!K144,"")</x:f>
        <x:v>6.269230769230769</x:v>
      </x:c>
      <x:c r="K144" s="19" t="n">
        <x:f>'各站彙總來源'!K144</x:f>
        <x:v>26</x:v>
      </x:c>
      <x:c r="L144" s="24" t="n">
        <x:f>IFERROR('各站彙總來源'!L144/'各站彙總來源'!M144,"")</x:f>
        <x:v>1.7307692307692308</x:v>
      </x:c>
      <x:c r="M144" s="19" t="n">
        <x:f>'各站彙總來源'!M144</x:f>
        <x:v>26</x:v>
      </x:c>
      <x:c r="N144" s="24" t="n">
        <x:f>F144+H144</x:f>
        <x:v>22.038461538461537</x:v>
      </x:c>
      <x:c r="O144" s="24" t="n">
        <x:f>J144+L144</x:f>
        <x:v>8</x:v>
      </x:c>
    </x:row>
    <x:row r="145">
      <x:c r="A145" s="22" t="str">
        <x:v>500101191</x:v>
      </x:c>
      <x:c r="B145" s="17" t="str">
        <x:v>大安區</x:v>
      </x:c>
      <x:c r="C145" s="17" t="str">
        <x:v>大安運動中心</x:v>
      </x:c>
      <x:c r="D145" s="18" t="n">
        <x:v>26</x:v>
      </x:c>
      <x:c r="E145" s="18" t="n">
        <x:v>26</x:v>
      </x:c>
      <x:c r="F145" s="24" t="n">
        <x:f>IFERROR('各站彙總來源'!F145/'各站彙總來源'!G145,"")</x:f>
        <x:v>13.692307692307692</x:v>
      </x:c>
      <x:c r="G145" s="19" t="n">
        <x:f>'各站彙總來源'!G145</x:f>
        <x:v>26</x:v>
      </x:c>
      <x:c r="H145" s="24" t="n">
        <x:f>IFERROR('各站彙總來源'!H145/'各站彙總來源'!I145,"")</x:f>
        <x:v>3.1538461538461537</x:v>
      </x:c>
      <x:c r="I145" s="19" t="n">
        <x:f>'各站彙總來源'!I145</x:f>
        <x:v>26</x:v>
      </x:c>
      <x:c r="J145" s="24" t="n">
        <x:f>IFERROR('各站彙總來源'!J145/'各站彙總來源'!K145,"")</x:f>
        <x:v>20.423076923076923</x:v>
      </x:c>
      <x:c r="K145" s="19" t="n">
        <x:f>'各站彙總來源'!K145</x:f>
        <x:v>26</x:v>
      </x:c>
      <x:c r="L145" s="24" t="n">
        <x:f>IFERROR('各站彙總來源'!L145/'各站彙總來源'!M145,"")</x:f>
        <x:v>6.423076923076923</x:v>
      </x:c>
      <x:c r="M145" s="19" t="n">
        <x:f>'各站彙總來源'!M145</x:f>
        <x:v>26</x:v>
      </x:c>
      <x:c r="N145" s="24" t="n">
        <x:f>F145+H145</x:f>
        <x:v>16.846153846153847</x:v>
      </x:c>
      <x:c r="O145" s="24" t="n">
        <x:f>J145+L145</x:f>
        <x:v>26.846153846153847</x:v>
      </x:c>
    </x:row>
    <x:row r="146">
      <x:c r="A146" s="22" t="str">
        <x:v>500101192</x:v>
      </x:c>
      <x:c r="B146" s="17" t="str">
        <x:v>大安區</x:v>
      </x:c>
      <x:c r="C146" s="17" t="str">
        <x:v>和平敦化路口</x:v>
      </x:c>
      <x:c r="D146" s="18" t="n">
        <x:v>26</x:v>
      </x:c>
      <x:c r="E146" s="18" t="n">
        <x:v>26</x:v>
      </x:c>
      <x:c r="F146" s="24" t="n">
        <x:f>IFERROR('各站彙總來源'!F146/'各站彙總來源'!G146,"")</x:f>
        <x:v>12.461538461538462</x:v>
      </x:c>
      <x:c r="G146" s="19" t="n">
        <x:f>'各站彙總來源'!G146</x:f>
        <x:v>26</x:v>
      </x:c>
      <x:c r="H146" s="24" t="n">
        <x:f>IFERROR('各站彙總來源'!H146/'各站彙總來源'!I146,"")</x:f>
        <x:v>1.4615384615384615</x:v>
      </x:c>
      <x:c r="I146" s="19" t="n">
        <x:f>'各站彙總來源'!I146</x:f>
        <x:v>26</x:v>
      </x:c>
      <x:c r="J146" s="24" t="n">
        <x:f>IFERROR('各站彙總來源'!J146/'各站彙總來源'!K146,"")</x:f>
        <x:v>10.192307692307692</x:v>
      </x:c>
      <x:c r="K146" s="19" t="n">
        <x:f>'各站彙總來源'!K146</x:f>
        <x:v>26</x:v>
      </x:c>
      <x:c r="L146" s="24" t="n">
        <x:f>IFERROR('各站彙總來源'!L146/'各站彙總來源'!M146,"")</x:f>
        <x:v>1.6923076923076923</x:v>
      </x:c>
      <x:c r="M146" s="19" t="n">
        <x:f>'各站彙總來源'!M146</x:f>
        <x:v>26</x:v>
      </x:c>
      <x:c r="N146" s="24" t="n">
        <x:f>F146+H146</x:f>
        <x:v>13.923076923076923</x:v>
      </x:c>
      <x:c r="O146" s="24" t="n">
        <x:f>J146+L146</x:f>
        <x:v>11.884615384615383</x:v>
      </x:c>
    </x:row>
    <x:row r="147">
      <x:c r="A147" s="22" t="str">
        <x:v>500101193</x:v>
      </x:c>
      <x:c r="B147" s="17" t="str">
        <x:v>大安區</x:v>
      </x:c>
      <x:c r="C147" s="17" t="str">
        <x:v>基隆長興路口</x:v>
      </x:c>
      <x:c r="D147" s="18" t="n">
        <x:v>26</x:v>
      </x:c>
      <x:c r="E147" s="18" t="n">
        <x:v>26</x:v>
      </x:c>
      <x:c r="F147" s="24" t="n">
        <x:f>IFERROR('各站彙總來源'!F147/'各站彙總來源'!G147,"")</x:f>
        <x:v>43.65384615384615</x:v>
      </x:c>
      <x:c r="G147" s="19" t="n">
        <x:f>'各站彙總來源'!G147</x:f>
        <x:v>26</x:v>
      </x:c>
      <x:c r="H147" s="24" t="n">
        <x:f>IFERROR('各站彙總來源'!H147/'各站彙總來源'!I147,"")</x:f>
        <x:v>3.4615384615384617</x:v>
      </x:c>
      <x:c r="I147" s="19" t="n">
        <x:f>'各站彙總來源'!I147</x:f>
        <x:v>26</x:v>
      </x:c>
      <x:c r="J147" s="24" t="n">
        <x:f>IFERROR('各站彙總來源'!J147/'各站彙總來源'!K147,"")</x:f>
        <x:v>10.923076923076923</x:v>
      </x:c>
      <x:c r="K147" s="19" t="n">
        <x:f>'各站彙總來源'!K147</x:f>
        <x:v>26</x:v>
      </x:c>
      <x:c r="L147" s="24" t="n">
        <x:f>IFERROR('各站彙總來源'!L147/'各站彙總來源'!M147,"")</x:f>
        <x:v>3.1538461538461537</x:v>
      </x:c>
      <x:c r="M147" s="19" t="n">
        <x:f>'各站彙總來源'!M147</x:f>
        <x:v>26</x:v>
      </x:c>
      <x:c r="N147" s="24" t="n">
        <x:f>F147+H147</x:f>
        <x:v>47.11538461538461</x:v>
      </x:c>
      <x:c r="O147" s="24" t="n">
        <x:f>J147+L147</x:f>
        <x:v>14.076923076923077</x:v>
      </x:c>
    </x:row>
    <x:row r="148">
      <x:c r="A148" s="22" t="str">
        <x:v>500101194</x:v>
      </x:c>
      <x:c r="B148" s="17" t="str">
        <x:v>大安區</x:v>
      </x:c>
      <x:c r="C148" s="17" t="str">
        <x:v>仁愛路四段122巷口</x:v>
      </x:c>
      <x:c r="D148" s="18" t="n">
        <x:v>26</x:v>
      </x:c>
      <x:c r="E148" s="18" t="n">
        <x:v>26</x:v>
      </x:c>
      <x:c r="F148" s="24" t="n">
        <x:f>IFERROR('各站彙總來源'!F148/'各站彙總來源'!G148,"")</x:f>
        <x:v>4.6923076923076925</x:v>
      </x:c>
      <x:c r="G148" s="19" t="n">
        <x:f>'各站彙總來源'!G148</x:f>
        <x:v>26</x:v>
      </x:c>
      <x:c r="H148" s="24" t="n">
        <x:f>IFERROR('各站彙總來源'!H148/'各站彙總來源'!I148,"")</x:f>
        <x:v>0.6923076923076923</x:v>
      </x:c>
      <x:c r="I148" s="19" t="n">
        <x:f>'各站彙總來源'!I148</x:f>
        <x:v>26</x:v>
      </x:c>
      <x:c r="J148" s="24" t="n">
        <x:f>IFERROR('各站彙總來源'!J148/'各站彙總來源'!K148,"")</x:f>
        <x:v>15.461538461538462</x:v>
      </x:c>
      <x:c r="K148" s="19" t="n">
        <x:f>'各站彙總來源'!K148</x:f>
        <x:v>26</x:v>
      </x:c>
      <x:c r="L148" s="24" t="n">
        <x:f>IFERROR('各站彙總來源'!L148/'各站彙總來源'!M148,"")</x:f>
        <x:v>1.5384615384615385</x:v>
      </x:c>
      <x:c r="M148" s="19" t="n">
        <x:f>'各站彙總來源'!M148</x:f>
        <x:v>26</x:v>
      </x:c>
      <x:c r="N148" s="24" t="n">
        <x:f>F148+H148</x:f>
        <x:v>5.384615384615385</x:v>
      </x:c>
      <x:c r="O148" s="24" t="n">
        <x:f>J148+L148</x:f>
        <x:v>17</x:v>
      </x:c>
    </x:row>
    <x:row r="149">
      <x:c r="A149" s="22" t="str">
        <x:v>500101195</x:v>
      </x:c>
      <x:c r="B149" s="17" t="str">
        <x:v>大安區</x:v>
      </x:c>
      <x:c r="C149" s="17" t="str">
        <x:v>忠孝延吉街口</x:v>
      </x:c>
      <x:c r="D149" s="18" t="n">
        <x:v>26</x:v>
      </x:c>
      <x:c r="E149" s="18" t="n">
        <x:v>26</x:v>
      </x:c>
      <x:c r="F149" s="24" t="n">
        <x:f>IFERROR('各站彙總來源'!F149/'各站彙總來源'!G149,"")</x:f>
        <x:v>0</x:v>
      </x:c>
      <x:c r="G149" s="19" t="n">
        <x:f>'各站彙總來源'!G149</x:f>
        <x:v>26</x:v>
      </x:c>
      <x:c r="H149" s="24" t="n">
        <x:f>IFERROR('各站彙總來源'!H149/'各站彙總來源'!I149,"")</x:f>
        <x:v>0</x:v>
      </x:c>
      <x:c r="I149" s="19" t="n">
        <x:f>'各站彙總來源'!I149</x:f>
        <x:v>26</x:v>
      </x:c>
      <x:c r="J149" s="24" t="n">
        <x:f>IFERROR('各站彙總來源'!J149/'各站彙總來源'!K149,"")</x:f>
        <x:v>0</x:v>
      </x:c>
      <x:c r="K149" s="19" t="n">
        <x:f>'各站彙總來源'!K149</x:f>
        <x:v>26</x:v>
      </x:c>
      <x:c r="L149" s="24" t="n">
        <x:f>IFERROR('各站彙總來源'!L149/'各站彙總來源'!M149,"")</x:f>
        <x:v>0</x:v>
      </x:c>
      <x:c r="M149" s="19" t="n">
        <x:f>'各站彙總來源'!M149</x:f>
        <x:v>26</x:v>
      </x:c>
      <x:c r="N149" s="24" t="n">
        <x:f>F149+H149</x:f>
        <x:v>0</x:v>
      </x:c>
      <x:c r="O149" s="24" t="n">
        <x:f>J149+L149</x:f>
        <x:v>0</x:v>
      </x:c>
    </x:row>
    <x:row r="150">
      <x:c r="A150" s="22" t="str">
        <x:v>500101196</x:v>
      </x:c>
      <x:c r="B150" s="17" t="str">
        <x:v>大安區</x:v>
      </x:c>
      <x:c r="C150" s="17" t="str">
        <x:v>市民敦化路口</x:v>
      </x:c>
      <x:c r="D150" s="18" t="n">
        <x:v>26</x:v>
      </x:c>
      <x:c r="E150" s="18" t="n">
        <x:v>26</x:v>
      </x:c>
      <x:c r="F150" s="24" t="n">
        <x:f>IFERROR('各站彙總來源'!F150/'各站彙總來源'!G150,"")</x:f>
        <x:v>8.538461538461538</x:v>
      </x:c>
      <x:c r="G150" s="19" t="n">
        <x:f>'各站彙總來源'!G150</x:f>
        <x:v>26</x:v>
      </x:c>
      <x:c r="H150" s="24" t="n">
        <x:f>IFERROR('各站彙總來源'!H150/'各站彙總來源'!I150,"")</x:f>
        <x:v>1.4615384615384615</x:v>
      </x:c>
      <x:c r="I150" s="19" t="n">
        <x:f>'各站彙總來源'!I150</x:f>
        <x:v>26</x:v>
      </x:c>
      <x:c r="J150" s="24" t="n">
        <x:f>IFERROR('各站彙總來源'!J150/'各站彙總來源'!K150,"")</x:f>
        <x:v>11.961538461538462</x:v>
      </x:c>
      <x:c r="K150" s="19" t="n">
        <x:f>'各站彙總來源'!K150</x:f>
        <x:v>26</x:v>
      </x:c>
      <x:c r="L150" s="24" t="n">
        <x:f>IFERROR('各站彙總來源'!L150/'各站彙總來源'!M150,"")</x:f>
        <x:v>2.269230769230769</x:v>
      </x:c>
      <x:c r="M150" s="19" t="n">
        <x:f>'各站彙總來源'!M150</x:f>
        <x:v>26</x:v>
      </x:c>
      <x:c r="N150" s="24" t="n">
        <x:f>F150+H150</x:f>
        <x:v>10</x:v>
      </x:c>
      <x:c r="O150" s="24" t="n">
        <x:f>J150+L150</x:f>
        <x:v>14.23076923076923</x:v>
      </x:c>
    </x:row>
    <x:row r="151">
      <x:c r="A151" s="22" t="str">
        <x:v>500101197</x:v>
      </x:c>
      <x:c r="B151" s="17" t="str">
        <x:v>大安區</x:v>
      </x:c>
      <x:c r="C151" s="17" t="str">
        <x:v>忠孝東路四段49巷口</x:v>
      </x:c>
      <x:c r="D151" s="18" t="n">
        <x:v>26</x:v>
      </x:c>
      <x:c r="E151" s="18" t="n">
        <x:v>26</x:v>
      </x:c>
      <x:c r="F151" s="24" t="n">
        <x:f>IFERROR('各站彙總來源'!F151/'各站彙總來源'!G151,"")</x:f>
        <x:v>6.961538461538462</x:v>
      </x:c>
      <x:c r="G151" s="19" t="n">
        <x:f>'各站彙總來源'!G151</x:f>
        <x:v>26</x:v>
      </x:c>
      <x:c r="H151" s="24" t="n">
        <x:f>IFERROR('各站彙總來源'!H151/'各站彙總來源'!I151,"")</x:f>
        <x:v>0.7307692307692307</x:v>
      </x:c>
      <x:c r="I151" s="19" t="n">
        <x:f>'各站彙總來源'!I151</x:f>
        <x:v>26</x:v>
      </x:c>
      <x:c r="J151" s="24" t="n">
        <x:f>IFERROR('各站彙總來源'!J151/'各站彙總來源'!K151,"")</x:f>
        <x:v>7.230769230769231</x:v>
      </x:c>
      <x:c r="K151" s="19" t="n">
        <x:f>'各站彙總來源'!K151</x:f>
        <x:v>26</x:v>
      </x:c>
      <x:c r="L151" s="24" t="n">
        <x:f>IFERROR('各站彙總來源'!L151/'各站彙總來源'!M151,"")</x:f>
        <x:v>1.2307692307692308</x:v>
      </x:c>
      <x:c r="M151" s="19" t="n">
        <x:f>'各站彙總來源'!M151</x:f>
        <x:v>26</x:v>
      </x:c>
      <x:c r="N151" s="24" t="n">
        <x:f>F151+H151</x:f>
        <x:v>7.6923076923076925</x:v>
      </x:c>
      <x:c r="O151" s="24" t="n">
        <x:f>J151+L151</x:f>
        <x:v>8.461538461538462</x:v>
      </x:c>
    </x:row>
    <x:row r="152">
      <x:c r="A152" s="22" t="str">
        <x:v>500101198</x:v>
      </x:c>
      <x:c r="B152" s="17" t="str">
        <x:v>大安區</x:v>
      </x:c>
      <x:c r="C152" s="17" t="str">
        <x:v>市民復興路口(東南側)</x:v>
      </x:c>
      <x:c r="D152" s="18" t="n">
        <x:v>26</x:v>
      </x:c>
      <x:c r="E152" s="18" t="n">
        <x:v>26</x:v>
      </x:c>
      <x:c r="F152" s="24" t="n">
        <x:f>IFERROR('各站彙總來源'!F152/'各站彙總來源'!G152,"")</x:f>
        <x:v>6.384615384615385</x:v>
      </x:c>
      <x:c r="G152" s="19" t="n">
        <x:f>'各站彙總來源'!G152</x:f>
        <x:v>26</x:v>
      </x:c>
      <x:c r="H152" s="24" t="n">
        <x:f>IFERROR('各站彙總來源'!H152/'各站彙總來源'!I152,"")</x:f>
        <x:v>0.7307692307692307</x:v>
      </x:c>
      <x:c r="I152" s="19" t="n">
        <x:f>'各站彙總來源'!I152</x:f>
        <x:v>26</x:v>
      </x:c>
      <x:c r="J152" s="24" t="n">
        <x:f>IFERROR('各站彙總來源'!J152/'各站彙總來源'!K152,"")</x:f>
        <x:v>10.153846153846153</x:v>
      </x:c>
      <x:c r="K152" s="19" t="n">
        <x:f>'各站彙總來源'!K152</x:f>
        <x:v>26</x:v>
      </x:c>
      <x:c r="L152" s="24" t="n">
        <x:f>IFERROR('各站彙總來源'!L152/'各站彙總來源'!M152,"")</x:f>
        <x:v>2.923076923076923</x:v>
      </x:c>
      <x:c r="M152" s="19" t="n">
        <x:f>'各站彙總來源'!M152</x:f>
        <x:v>26</x:v>
      </x:c>
      <x:c r="N152" s="24" t="n">
        <x:f>F152+H152</x:f>
        <x:v>7.115384615384616</x:v>
      </x:c>
      <x:c r="O152" s="24" t="n">
        <x:f>J152+L152</x:f>
        <x:v>13.076923076923077</x:v>
      </x:c>
    </x:row>
    <x:row r="153">
      <x:c r="A153" s="22" t="str">
        <x:v>500101199</x:v>
      </x:c>
      <x:c r="B153" s="17" t="str">
        <x:v>大安區</x:v>
      </x:c>
      <x:c r="C153" s="17" t="str">
        <x:v>和平新生路口西南側</x:v>
      </x:c>
      <x:c r="D153" s="18" t="n">
        <x:v>26</x:v>
      </x:c>
      <x:c r="E153" s="18" t="n">
        <x:v>26</x:v>
      </x:c>
      <x:c r="F153" s="24" t="n">
        <x:f>IFERROR('各站彙總來源'!F153/'各站彙總來源'!G153,"")</x:f>
        <x:v>12.76923076923077</x:v>
      </x:c>
      <x:c r="G153" s="19" t="n">
        <x:f>'各站彙總來源'!G153</x:f>
        <x:v>26</x:v>
      </x:c>
      <x:c r="H153" s="24" t="n">
        <x:f>IFERROR('各站彙總來源'!H153/'各站彙總來源'!I153,"")</x:f>
        <x:v>3.230769230769231</x:v>
      </x:c>
      <x:c r="I153" s="19" t="n">
        <x:f>'各站彙總來源'!I153</x:f>
        <x:v>26</x:v>
      </x:c>
      <x:c r="J153" s="24" t="n">
        <x:f>IFERROR('各站彙總來源'!J153/'各站彙總來源'!K153,"")</x:f>
        <x:v>5.346153846153846</x:v>
      </x:c>
      <x:c r="K153" s="19" t="n">
        <x:f>'各站彙總來源'!K153</x:f>
        <x:v>26</x:v>
      </x:c>
      <x:c r="L153" s="24" t="n">
        <x:f>IFERROR('各站彙總來源'!L153/'各站彙總來源'!M153,"")</x:f>
        <x:v>1.6538461538461537</x:v>
      </x:c>
      <x:c r="M153" s="19" t="n">
        <x:f>'各站彙總來源'!M153</x:f>
        <x:v>26</x:v>
      </x:c>
      <x:c r="N153" s="24" t="n">
        <x:f>F153+H153</x:f>
        <x:v>16</x:v>
      </x:c>
      <x:c r="O153" s="24" t="n">
        <x:f>J153+L153</x:f>
        <x:v>7</x:v>
      </x:c>
    </x:row>
    <x:row r="154">
      <x:c r="A154" s="22" t="str">
        <x:v>500101200</x:v>
      </x:c>
      <x:c r="B154" s="17" t="str">
        <x:v>大安區</x:v>
      </x:c>
      <x:c r="C154" s="17" t="str">
        <x:v>全安公園</x:v>
      </x:c>
      <x:c r="D154" s="18" t="n">
        <x:v>26</x:v>
      </x:c>
      <x:c r="E154" s="18" t="n">
        <x:v>26</x:v>
      </x:c>
      <x:c r="F154" s="24" t="n">
        <x:f>IFERROR('各站彙總來源'!F154/'各站彙總來源'!G154,"")</x:f>
        <x:v>10.192307692307692</x:v>
      </x:c>
      <x:c r="G154" s="19" t="n">
        <x:f>'各站彙總來源'!G154</x:f>
        <x:v>26</x:v>
      </x:c>
      <x:c r="H154" s="24" t="n">
        <x:f>IFERROR('各站彙總來源'!H154/'各站彙總來源'!I154,"")</x:f>
        <x:v>1.6538461538461537</x:v>
      </x:c>
      <x:c r="I154" s="19" t="n">
        <x:f>'各站彙總來源'!I154</x:f>
        <x:v>26</x:v>
      </x:c>
      <x:c r="J154" s="24" t="n">
        <x:f>IFERROR('各站彙總來源'!J154/'各站彙總來源'!K154,"")</x:f>
        <x:v>4.153846153846154</x:v>
      </x:c>
      <x:c r="K154" s="19" t="n">
        <x:f>'各站彙總來源'!K154</x:f>
        <x:v>26</x:v>
      </x:c>
      <x:c r="L154" s="24" t="n">
        <x:f>IFERROR('各站彙總來源'!L154/'各站彙總來源'!M154,"")</x:f>
        <x:v>1.7307692307692308</x:v>
      </x:c>
      <x:c r="M154" s="19" t="n">
        <x:f>'各站彙總來源'!M154</x:f>
        <x:v>26</x:v>
      </x:c>
      <x:c r="N154" s="24" t="n">
        <x:f>F154+H154</x:f>
        <x:v>11.846153846153845</x:v>
      </x:c>
      <x:c r="O154" s="24" t="n">
        <x:f>J154+L154</x:f>
        <x:v>5.884615384615385</x:v>
      </x:c>
    </x:row>
    <x:row r="155">
      <x:c r="A155" s="22" t="str">
        <x:v>500101201</x:v>
      </x:c>
      <x:c r="B155" s="17" t="str">
        <x:v>大安區</x:v>
      </x:c>
      <x:c r="C155" s="17" t="str">
        <x:v>信義路三段134巷口</x:v>
      </x:c>
      <x:c r="D155" s="18" t="n">
        <x:v>26</x:v>
      </x:c>
      <x:c r="E155" s="18" t="n">
        <x:v>26</x:v>
      </x:c>
      <x:c r="F155" s="24" t="n">
        <x:f>IFERROR('各站彙總來源'!F155/'各站彙總來源'!G155,"")</x:f>
        <x:v>4.1923076923076925</x:v>
      </x:c>
      <x:c r="G155" s="19" t="n">
        <x:f>'各站彙總來源'!G155</x:f>
        <x:v>26</x:v>
      </x:c>
      <x:c r="H155" s="24" t="n">
        <x:f>IFERROR('各站彙總來源'!H155/'各站彙總來源'!I155,"")</x:f>
        <x:v>0.9230769230769231</x:v>
      </x:c>
      <x:c r="I155" s="19" t="n">
        <x:f>'各站彙總來源'!I155</x:f>
        <x:v>26</x:v>
      </x:c>
      <x:c r="J155" s="24" t="n">
        <x:f>IFERROR('各站彙總來源'!J155/'各站彙總來源'!K155,"")</x:f>
        <x:v>7.5</x:v>
      </x:c>
      <x:c r="K155" s="19" t="n">
        <x:f>'各站彙總來源'!K155</x:f>
        <x:v>26</x:v>
      </x:c>
      <x:c r="L155" s="24" t="n">
        <x:f>IFERROR('各站彙總來源'!L155/'各站彙總來源'!M155,"")</x:f>
        <x:v>1.0769230769230769</x:v>
      </x:c>
      <x:c r="M155" s="19" t="n">
        <x:f>'各站彙總來源'!M155</x:f>
        <x:v>26</x:v>
      </x:c>
      <x:c r="N155" s="24" t="n">
        <x:f>F155+H155</x:f>
        <x:v>5.115384615384616</x:v>
      </x:c>
      <x:c r="O155" s="24" t="n">
        <x:f>J155+L155</x:f>
        <x:v>8.576923076923077</x:v>
      </x:c>
    </x:row>
    <x:row r="156">
      <x:c r="A156" s="22" t="str">
        <x:v>500101202</x:v>
      </x:c>
      <x:c r="B156" s="17" t="str">
        <x:v>大安區</x:v>
      </x:c>
      <x:c r="C156" s="17" t="str">
        <x:v>仁愛敦南圓環(東南側)</x:v>
      </x:c>
      <x:c r="D156" s="18" t="n">
        <x:v>26</x:v>
      </x:c>
      <x:c r="E156" s="18" t="n">
        <x:v>26</x:v>
      </x:c>
      <x:c r="F156" s="24" t="n">
        <x:f>IFERROR('各站彙總來源'!F156/'各站彙總來源'!G156,"")</x:f>
        <x:v>2.6923076923076925</x:v>
      </x:c>
      <x:c r="G156" s="19" t="n">
        <x:f>'各站彙總來源'!G156</x:f>
        <x:v>26</x:v>
      </x:c>
      <x:c r="H156" s="24" t="n">
        <x:f>IFERROR('各站彙總來源'!H156/'各站彙總來源'!I156,"")</x:f>
        <x:v>1.1923076923076923</x:v>
      </x:c>
      <x:c r="I156" s="19" t="n">
        <x:f>'各站彙總來源'!I156</x:f>
        <x:v>26</x:v>
      </x:c>
      <x:c r="J156" s="24" t="n">
        <x:f>IFERROR('各站彙總來源'!J156/'各站彙總來源'!K156,"")</x:f>
        <x:v>9.692307692307692</x:v>
      </x:c>
      <x:c r="K156" s="19" t="n">
        <x:f>'各站彙總來源'!K156</x:f>
        <x:v>26</x:v>
      </x:c>
      <x:c r="L156" s="24" t="n">
        <x:f>IFERROR('各站彙總來源'!L156/'各站彙總來源'!M156,"")</x:f>
        <x:v>1.3076923076923077</x:v>
      </x:c>
      <x:c r="M156" s="19" t="n">
        <x:f>'各站彙總來源'!M156</x:f>
        <x:v>26</x:v>
      </x:c>
      <x:c r="N156" s="24" t="n">
        <x:f>F156+H156</x:f>
        <x:v>3.884615384615385</x:v>
      </x:c>
      <x:c r="O156" s="24" t="n">
        <x:f>J156+L156</x:f>
        <x:v>11</x:v>
      </x:c>
    </x:row>
    <x:row r="157">
      <x:c r="A157" s="22" t="str">
        <x:v>500101203</x:v>
      </x:c>
      <x:c r="B157" s="17" t="str">
        <x:v>大安區</x:v>
      </x:c>
      <x:c r="C157" s="17" t="str">
        <x:v>臺北遠企購物中心</x:v>
      </x:c>
      <x:c r="D157" s="18" t="n">
        <x:v>26</x:v>
      </x:c>
      <x:c r="E157" s="18" t="n">
        <x:v>26</x:v>
      </x:c>
      <x:c r="F157" s="24" t="n">
        <x:f>IFERROR('各站彙總來源'!F157/'各站彙總來源'!G157,"")</x:f>
        <x:v>3.9615384615384617</x:v>
      </x:c>
      <x:c r="G157" s="19" t="n">
        <x:f>'各站彙總來源'!G157</x:f>
        <x:v>26</x:v>
      </x:c>
      <x:c r="H157" s="24" t="n">
        <x:f>IFERROR('各站彙總來源'!H157/'各站彙總來源'!I157,"")</x:f>
        <x:v>1.6923076923076923</x:v>
      </x:c>
      <x:c r="I157" s="19" t="n">
        <x:f>'各站彙總來源'!I157</x:f>
        <x:v>26</x:v>
      </x:c>
      <x:c r="J157" s="24" t="n">
        <x:f>IFERROR('各站彙總來源'!J157/'各站彙總來源'!K157,"")</x:f>
        <x:v>13.807692307692308</x:v>
      </x:c>
      <x:c r="K157" s="19" t="n">
        <x:f>'各站彙總來源'!K157</x:f>
        <x:v>26</x:v>
      </x:c>
      <x:c r="L157" s="24" t="n">
        <x:f>IFERROR('各站彙總來源'!L157/'各站彙總來源'!M157,"")</x:f>
        <x:v>4.8076923076923075</x:v>
      </x:c>
      <x:c r="M157" s="19" t="n">
        <x:f>'各站彙總來源'!M157</x:f>
        <x:v>26</x:v>
      </x:c>
      <x:c r="N157" s="24" t="n">
        <x:f>F157+H157</x:f>
        <x:v>5.653846153846154</x:v>
      </x:c>
      <x:c r="O157" s="24" t="n">
        <x:f>J157+L157</x:f>
        <x:v>18.615384615384617</x:v>
      </x:c>
    </x:row>
    <x:row r="158">
      <x:c r="A158" s="22" t="str">
        <x:v>500101204</x:v>
      </x:c>
      <x:c r="B158" s="17" t="str">
        <x:v>大安區</x:v>
      </x:c>
      <x:c r="C158" s="17" t="str">
        <x:v>外交部外交及國際事務學院</x:v>
      </x:c>
      <x:c r="D158" s="18" t="n">
        <x:v>26</x:v>
      </x:c>
      <x:c r="E158" s="18" t="n">
        <x:v>26</x:v>
      </x:c>
      <x:c r="F158" s="24" t="n">
        <x:f>IFERROR('各站彙總來源'!F158/'各站彙總來源'!G158,"")</x:f>
        <x:v>3.1538461538461537</x:v>
      </x:c>
      <x:c r="G158" s="19" t="n">
        <x:f>'各站彙總來源'!G158</x:f>
        <x:v>26</x:v>
      </x:c>
      <x:c r="H158" s="24" t="n">
        <x:f>IFERROR('各站彙總來源'!H158/'各站彙總來源'!I158,"")</x:f>
        <x:v>0.8076923076923077</x:v>
      </x:c>
      <x:c r="I158" s="19" t="n">
        <x:f>'各站彙總來源'!I158</x:f>
        <x:v>26</x:v>
      </x:c>
      <x:c r="J158" s="24" t="n">
        <x:f>IFERROR('各站彙總來源'!J158/'各站彙總來源'!K158,"")</x:f>
        <x:v>12.038461538461538</x:v>
      </x:c>
      <x:c r="K158" s="19" t="n">
        <x:f>'各站彙總來源'!K158</x:f>
        <x:v>26</x:v>
      </x:c>
      <x:c r="L158" s="24" t="n">
        <x:f>IFERROR('各站彙總來源'!L158/'各站彙總來源'!M158,"")</x:f>
        <x:v>2.230769230769231</x:v>
      </x:c>
      <x:c r="M158" s="19" t="n">
        <x:f>'各站彙總來源'!M158</x:f>
        <x:v>26</x:v>
      </x:c>
      <x:c r="N158" s="24" t="n">
        <x:f>F158+H158</x:f>
        <x:v>3.9615384615384617</x:v>
      </x:c>
      <x:c r="O158" s="24" t="n">
        <x:f>J158+L158</x:f>
        <x:v>14.26923076923077</x:v>
      </x:c>
    </x:row>
    <x:row r="159">
      <x:c r="A159" s="22" t="str">
        <x:v>500101205</x:v>
      </x:c>
      <x:c r="B159" s="17" t="str">
        <x:v>大安區</x:v>
      </x:c>
      <x:c r="C159" s="17" t="str">
        <x:v>四維路170巷口</x:v>
      </x:c>
      <x:c r="D159" s="18" t="n">
        <x:v>26</x:v>
      </x:c>
      <x:c r="E159" s="18" t="n">
        <x:v>26</x:v>
      </x:c>
      <x:c r="F159" s="24" t="n">
        <x:f>IFERROR('各站彙總來源'!F159/'各站彙總來源'!G159,"")</x:f>
        <x:v>5.3076923076923075</x:v>
      </x:c>
      <x:c r="G159" s="19" t="n">
        <x:f>'各站彙總來源'!G159</x:f>
        <x:v>26</x:v>
      </x:c>
      <x:c r="H159" s="24" t="n">
        <x:f>IFERROR('各站彙總來源'!H159/'各站彙總來源'!I159,"")</x:f>
        <x:v>1.4615384615384615</x:v>
      </x:c>
      <x:c r="I159" s="19" t="n">
        <x:f>'各站彙總來源'!I159</x:f>
        <x:v>26</x:v>
      </x:c>
      <x:c r="J159" s="24" t="n">
        <x:f>IFERROR('各站彙總來源'!J159/'各站彙總來源'!K159,"")</x:f>
        <x:v>10.653846153846153</x:v>
      </x:c>
      <x:c r="K159" s="19" t="n">
        <x:f>'各站彙總來源'!K159</x:f>
        <x:v>26</x:v>
      </x:c>
      <x:c r="L159" s="24" t="n">
        <x:f>IFERROR('各站彙總來源'!L159/'各站彙總來源'!M159,"")</x:f>
        <x:v>2.5384615384615383</x:v>
      </x:c>
      <x:c r="M159" s="19" t="n">
        <x:f>'各站彙總來源'!M159</x:f>
        <x:v>26</x:v>
      </x:c>
      <x:c r="N159" s="24" t="n">
        <x:f>F159+H159</x:f>
        <x:v>6.769230769230769</x:v>
      </x:c>
      <x:c r="O159" s="24" t="n">
        <x:f>J159+L159</x:f>
        <x:v>13.192307692307692</x:v>
      </x:c>
    </x:row>
    <x:row r="160">
      <x:c r="A160" s="22" t="str">
        <x:v>500101206</x:v>
      </x:c>
      <x:c r="B160" s="17" t="str">
        <x:v>大安區</x:v>
      </x:c>
      <x:c r="C160" s="17" t="str">
        <x:v>捷運大安站(3號出口)</x:v>
      </x:c>
      <x:c r="D160" s="18" t="n">
        <x:v>26</x:v>
      </x:c>
      <x:c r="E160" s="18" t="n">
        <x:v>26</x:v>
      </x:c>
      <x:c r="F160" s="24" t="n">
        <x:f>IFERROR('各站彙總來源'!F160/'各站彙總來源'!G160,"")</x:f>
        <x:v>24.846153846153847</x:v>
      </x:c>
      <x:c r="G160" s="19" t="n">
        <x:f>'各站彙總來源'!G160</x:f>
        <x:v>26</x:v>
      </x:c>
      <x:c r="H160" s="24" t="n">
        <x:f>IFERROR('各站彙總來源'!H160/'各站彙總來源'!I160,"")</x:f>
        <x:v>2.423076923076923</x:v>
      </x:c>
      <x:c r="I160" s="19" t="n">
        <x:f>'各站彙總來源'!I160</x:f>
        <x:v>26</x:v>
      </x:c>
      <x:c r="J160" s="24" t="n">
        <x:f>IFERROR('各站彙總來源'!J160/'各站彙總來源'!K160,"")</x:f>
        <x:v>9.846153846153847</x:v>
      </x:c>
      <x:c r="K160" s="19" t="n">
        <x:f>'各站彙總來源'!K160</x:f>
        <x:v>26</x:v>
      </x:c>
      <x:c r="L160" s="24" t="n">
        <x:f>IFERROR('各站彙總來源'!L160/'各站彙總來源'!M160,"")</x:f>
        <x:v>3.6923076923076925</x:v>
      </x:c>
      <x:c r="M160" s="19" t="n">
        <x:f>'各站彙總來源'!M160</x:f>
        <x:v>26</x:v>
      </x:c>
      <x:c r="N160" s="24" t="n">
        <x:f>F160+H160</x:f>
        <x:v>27.26923076923077</x:v>
      </x:c>
      <x:c r="O160" s="24" t="n">
        <x:f>J160+L160</x:f>
        <x:v>13.53846153846154</x:v>
      </x:c>
    </x:row>
    <x:row r="161">
      <x:c r="A161" s="22" t="str">
        <x:v>500101207</x:v>
      </x:c>
      <x:c r="B161" s="17" t="str">
        <x:v>大安區</x:v>
      </x:c>
      <x:c r="C161" s="17" t="str">
        <x:v>捷運臺電大樓站(2號出口)_1</x:v>
      </x:c>
      <x:c r="D161" s="18" t="n">
        <x:v>26</x:v>
      </x:c>
      <x:c r="E161" s="18" t="n">
        <x:v>26</x:v>
      </x:c>
      <x:c r="F161" s="24" t="n">
        <x:f>IFERROR('各站彙總來源'!F161/'各站彙總來源'!G161,"")</x:f>
        <x:v>16.076923076923077</x:v>
      </x:c>
      <x:c r="G161" s="19" t="n">
        <x:f>'各站彙總來源'!G161</x:f>
        <x:v>26</x:v>
      </x:c>
      <x:c r="H161" s="24" t="n">
        <x:f>IFERROR('各站彙總來源'!H161/'各站彙總來源'!I161,"")</x:f>
        <x:v>1.9230769230769231</x:v>
      </x:c>
      <x:c r="I161" s="19" t="n">
        <x:f>'各站彙總來源'!I161</x:f>
        <x:v>26</x:v>
      </x:c>
      <x:c r="J161" s="24" t="n">
        <x:f>IFERROR('各站彙總來源'!J161/'各站彙總來源'!K161,"")</x:f>
        <x:v>5.076923076923077</x:v>
      </x:c>
      <x:c r="K161" s="19" t="n">
        <x:f>'各站彙總來源'!K161</x:f>
        <x:v>26</x:v>
      </x:c>
      <x:c r="L161" s="24" t="n">
        <x:f>IFERROR('各站彙總來源'!L161/'各站彙總來源'!M161,"")</x:f>
        <x:v>0.6153846153846154</x:v>
      </x:c>
      <x:c r="M161" s="19" t="n">
        <x:f>'各站彙總來源'!M161</x:f>
        <x:v>26</x:v>
      </x:c>
      <x:c r="N161" s="24" t="n">
        <x:f>F161+H161</x:f>
        <x:v>18</x:v>
      </x:c>
      <x:c r="O161" s="24" t="n">
        <x:f>J161+L161</x:f>
        <x:v>5.692307692307692</x:v>
      </x:c>
    </x:row>
    <x:row r="162">
      <x:c r="A162" s="22" t="str">
        <x:v>500101208</x:v>
      </x:c>
      <x:c r="B162" s="17" t="str">
        <x:v>大安區</x:v>
      </x:c>
      <x:c r="C162" s="17" t="str">
        <x:v>信義路四段199巷</x:v>
      </x:c>
      <x:c r="D162" s="18" t="n">
        <x:v>26</x:v>
      </x:c>
      <x:c r="E162" s="18" t="n">
        <x:v>26</x:v>
      </x:c>
      <x:c r="F162" s="24" t="n">
        <x:f>IFERROR('各站彙總來源'!F162/'各站彙總來源'!G162,"")</x:f>
        <x:v>8.923076923076923</x:v>
      </x:c>
      <x:c r="G162" s="19" t="n">
        <x:f>'各站彙總來源'!G162</x:f>
        <x:v>26</x:v>
      </x:c>
      <x:c r="H162" s="24" t="n">
        <x:f>IFERROR('各站彙總來源'!H162/'各站彙總來源'!I162,"")</x:f>
        <x:v>2.3846153846153846</x:v>
      </x:c>
      <x:c r="I162" s="19" t="n">
        <x:f>'各站彙總來源'!I162</x:f>
        <x:v>26</x:v>
      </x:c>
      <x:c r="J162" s="24" t="n">
        <x:f>IFERROR('各站彙總來源'!J162/'各站彙總來源'!K162,"")</x:f>
        <x:v>4.6923076923076925</x:v>
      </x:c>
      <x:c r="K162" s="19" t="n">
        <x:f>'各站彙總來源'!K162</x:f>
        <x:v>26</x:v>
      </x:c>
      <x:c r="L162" s="24" t="n">
        <x:f>IFERROR('各站彙總來源'!L162/'各站彙總來源'!M162,"")</x:f>
        <x:v>1.2692307692307692</x:v>
      </x:c>
      <x:c r="M162" s="19" t="n">
        <x:f>'各站彙總來源'!M162</x:f>
        <x:v>26</x:v>
      </x:c>
      <x:c r="N162" s="24" t="n">
        <x:f>F162+H162</x:f>
        <x:v>11.307692307692308</x:v>
      </x:c>
      <x:c r="O162" s="24" t="n">
        <x:f>J162+L162</x:f>
        <x:v>5.961538461538462</x:v>
      </x:c>
    </x:row>
    <x:row r="163">
      <x:c r="A163" s="22" t="str">
        <x:v>500101209</x:v>
      </x:c>
      <x:c r="B163" s="17" t="str">
        <x:v>大安區</x:v>
      </x:c>
      <x:c r="C163" s="17" t="str">
        <x:v>臺大資訊大樓</x:v>
      </x:c>
      <x:c r="D163" s="18" t="n">
        <x:v>26</x:v>
      </x:c>
      <x:c r="E163" s="18" t="n">
        <x:v>26</x:v>
      </x:c>
      <x:c r="F163" s="24" t="n">
        <x:f>IFERROR('各站彙總來源'!F163/'各站彙總來源'!G163,"")</x:f>
        <x:v>5</x:v>
      </x:c>
      <x:c r="G163" s="19" t="n">
        <x:f>'各站彙總來源'!G163</x:f>
        <x:v>26</x:v>
      </x:c>
      <x:c r="H163" s="24" t="n">
        <x:f>IFERROR('各站彙總來源'!H163/'各站彙總來源'!I163,"")</x:f>
        <x:v>0.23076923076923078</x:v>
      </x:c>
      <x:c r="I163" s="19" t="n">
        <x:f>'各站彙總來源'!I163</x:f>
        <x:v>26</x:v>
      </x:c>
      <x:c r="J163" s="24" t="n">
        <x:f>IFERROR('各站彙總來源'!J163/'各站彙總來源'!K163,"")</x:f>
        <x:v>54.34615384615385</x:v>
      </x:c>
      <x:c r="K163" s="19" t="n">
        <x:f>'各站彙總來源'!K163</x:f>
        <x:v>26</x:v>
      </x:c>
      <x:c r="L163" s="24" t="n">
        <x:f>IFERROR('各站彙總來源'!L163/'各站彙總來源'!M163,"")</x:f>
        <x:v>7.384615384615385</x:v>
      </x:c>
      <x:c r="M163" s="19" t="n">
        <x:f>'各站彙總來源'!M163</x:f>
        <x:v>26</x:v>
      </x:c>
      <x:c r="N163" s="24" t="n">
        <x:f>F163+H163</x:f>
        <x:v>5.230769230769231</x:v>
      </x:c>
      <x:c r="O163" s="24" t="n">
        <x:f>J163+L163</x:f>
        <x:v>61.73076923076923</x:v>
      </x:c>
    </x:row>
    <x:row r="164">
      <x:c r="A164" s="22" t="str">
        <x:v>500101210</x:v>
      </x:c>
      <x:c r="B164" s="17" t="str">
        <x:v>大安區</x:v>
      </x:c>
      <x:c r="C164" s="17" t="str">
        <x:v>敦化南路二段81巷</x:v>
      </x:c>
      <x:c r="D164" s="18" t="n">
        <x:v>26</x:v>
      </x:c>
      <x:c r="E164" s="18" t="n">
        <x:v>26</x:v>
      </x:c>
      <x:c r="F164" s="24" t="n">
        <x:f>IFERROR('各站彙總來源'!F164/'各站彙總來源'!G164,"")</x:f>
        <x:v>6.653846153846154</x:v>
      </x:c>
      <x:c r="G164" s="19" t="n">
        <x:f>'各站彙總來源'!G164</x:f>
        <x:v>26</x:v>
      </x:c>
      <x:c r="H164" s="24" t="n">
        <x:f>IFERROR('各站彙總來源'!H164/'各站彙總來源'!I164,"")</x:f>
        <x:v>1.6538461538461537</x:v>
      </x:c>
      <x:c r="I164" s="19" t="n">
        <x:f>'各站彙總來源'!I164</x:f>
        <x:v>26</x:v>
      </x:c>
      <x:c r="J164" s="24" t="n">
        <x:f>IFERROR('各站彙總來源'!J164/'各站彙總來源'!K164,"")</x:f>
        <x:v>21.46153846153846</x:v>
      </x:c>
      <x:c r="K164" s="19" t="n">
        <x:f>'各站彙總來源'!K164</x:f>
        <x:v>26</x:v>
      </x:c>
      <x:c r="L164" s="24" t="n">
        <x:f>IFERROR('各站彙總來源'!L164/'各站彙總來源'!M164,"")</x:f>
        <x:v>2.8846153846153846</x:v>
      </x:c>
      <x:c r="M164" s="19" t="n">
        <x:f>'各站彙總來源'!M164</x:f>
        <x:v>26</x:v>
      </x:c>
      <x:c r="N164" s="24" t="n">
        <x:f>F164+H164</x:f>
        <x:v>8.307692307692308</x:v>
      </x:c>
      <x:c r="O164" s="24" t="n">
        <x:f>J164+L164</x:f>
        <x:v>24.346153846153843</x:v>
      </x:c>
    </x:row>
    <x:row r="165">
      <x:c r="A165" s="22" t="str">
        <x:v>500101211</x:v>
      </x:c>
      <x:c r="B165" s="17" t="str">
        <x:v>大安區</x:v>
      </x:c>
      <x:c r="C165" s="17" t="str">
        <x:v>原臺北刑務所官舍</x:v>
      </x:c>
      <x:c r="D165" s="18" t="n">
        <x:v>26</x:v>
      </x:c>
      <x:c r="E165" s="18" t="n">
        <x:v>26</x:v>
      </x:c>
      <x:c r="F165" s="24" t="n">
        <x:f>IFERROR('各站彙總來源'!F165/'各站彙總來源'!G165,"")</x:f>
        <x:v>5.5</x:v>
      </x:c>
      <x:c r="G165" s="19" t="n">
        <x:f>'各站彙總來源'!G165</x:f>
        <x:v>26</x:v>
      </x:c>
      <x:c r="H165" s="24" t="n">
        <x:f>IFERROR('各站彙總來源'!H165/'各站彙總來源'!I165,"")</x:f>
        <x:v>1.6923076923076923</x:v>
      </x:c>
      <x:c r="I165" s="19" t="n">
        <x:f>'各站彙總來源'!I165</x:f>
        <x:v>26</x:v>
      </x:c>
      <x:c r="J165" s="24" t="n">
        <x:f>IFERROR('各站彙總來源'!J165/'各站彙總來源'!K165,"")</x:f>
        <x:v>5.5</x:v>
      </x:c>
      <x:c r="K165" s="19" t="n">
        <x:f>'各站彙總來源'!K165</x:f>
        <x:v>26</x:v>
      </x:c>
      <x:c r="L165" s="24" t="n">
        <x:f>IFERROR('各站彙總來源'!L165/'各站彙總來源'!M165,"")</x:f>
        <x:v>1.1538461538461537</x:v>
      </x:c>
      <x:c r="M165" s="19" t="n">
        <x:f>'各站彙總來源'!M165</x:f>
        <x:v>26</x:v>
      </x:c>
      <x:c r="N165" s="24" t="n">
        <x:f>F165+H165</x:f>
        <x:v>7.1923076923076925</x:v>
      </x:c>
      <x:c r="O165" s="24" t="n">
        <x:f>J165+L165</x:f>
        <x:v>6.653846153846153</x:v>
      </x:c>
    </x:row>
    <x:row r="166">
      <x:c r="A166" s="22" t="str">
        <x:v>500101212</x:v>
      </x:c>
      <x:c r="B166" s="17" t="str">
        <x:v>大安區</x:v>
      </x:c>
      <x:c r="C166" s="17" t="str">
        <x:v>捷運國父紀念館站(1號出口)</x:v>
      </x:c>
      <x:c r="D166" s="18" t="n">
        <x:v>26</x:v>
      </x:c>
      <x:c r="E166" s="18" t="n">
        <x:v>26</x:v>
      </x:c>
      <x:c r="F166" s="24" t="n">
        <x:f>IFERROR('各站彙總來源'!F166/'各站彙總來源'!G166,"")</x:f>
        <x:v>7.038461538461538</x:v>
      </x:c>
      <x:c r="G166" s="19" t="n">
        <x:f>'各站彙總來源'!G166</x:f>
        <x:v>26</x:v>
      </x:c>
      <x:c r="H166" s="24" t="n">
        <x:f>IFERROR('各站彙總來源'!H166/'各站彙總來源'!I166,"")</x:f>
        <x:v>0.9230769230769231</x:v>
      </x:c>
      <x:c r="I166" s="19" t="n">
        <x:f>'各站彙總來源'!I166</x:f>
        <x:v>26</x:v>
      </x:c>
      <x:c r="J166" s="24" t="n">
        <x:f>IFERROR('各站彙總來源'!J166/'各站彙總來源'!K166,"")</x:f>
        <x:v>9.576923076923077</x:v>
      </x:c>
      <x:c r="K166" s="19" t="n">
        <x:f>'各站彙總來源'!K166</x:f>
        <x:v>26</x:v>
      </x:c>
      <x:c r="L166" s="24" t="n">
        <x:f>IFERROR('各站彙總來源'!L166/'各站彙總來源'!M166,"")</x:f>
        <x:v>3.1923076923076925</x:v>
      </x:c>
      <x:c r="M166" s="19" t="n">
        <x:f>'各站彙總來源'!M166</x:f>
        <x:v>26</x:v>
      </x:c>
      <x:c r="N166" s="24" t="n">
        <x:f>F166+H166</x:f>
        <x:v>7.961538461538462</x:v>
      </x:c>
      <x:c r="O166" s="24" t="n">
        <x:f>J166+L166</x:f>
        <x:v>12.76923076923077</x:v>
      </x:c>
    </x:row>
    <x:row r="167">
      <x:c r="A167" s="22" t="str">
        <x:v>500101213</x:v>
      </x:c>
      <x:c r="B167" s="17" t="str">
        <x:v>大安區</x:v>
      </x:c>
      <x:c r="C167" s="17" t="str">
        <x:v>懷生國中</x:v>
      </x:c>
      <x:c r="D167" s="18" t="n">
        <x:v>26</x:v>
      </x:c>
      <x:c r="E167" s="18" t="n">
        <x:v>26</x:v>
      </x:c>
      <x:c r="F167" s="24" t="n">
        <x:f>IFERROR('各站彙總來源'!F167/'各站彙總來源'!G167,"")</x:f>
        <x:v>7.961538461538462</x:v>
      </x:c>
      <x:c r="G167" s="19" t="n">
        <x:f>'各站彙總來源'!G167</x:f>
        <x:v>26</x:v>
      </x:c>
      <x:c r="H167" s="24" t="n">
        <x:f>IFERROR('各站彙總來源'!H167/'各站彙總來源'!I167,"")</x:f>
        <x:v>0.8846153846153846</x:v>
      </x:c>
      <x:c r="I167" s="19" t="n">
        <x:f>'各站彙總來源'!I167</x:f>
        <x:v>26</x:v>
      </x:c>
      <x:c r="J167" s="24" t="n">
        <x:f>IFERROR('各站彙總來源'!J167/'各站彙總來源'!K167,"")</x:f>
        <x:v>6.269230769230769</x:v>
      </x:c>
      <x:c r="K167" s="19" t="n">
        <x:f>'各站彙總來源'!K167</x:f>
        <x:v>26</x:v>
      </x:c>
      <x:c r="L167" s="24" t="n">
        <x:f>IFERROR('各站彙總來源'!L167/'各站彙總來源'!M167,"")</x:f>
        <x:v>2.1923076923076925</x:v>
      </x:c>
      <x:c r="M167" s="19" t="n">
        <x:f>'各站彙總來源'!M167</x:f>
        <x:v>26</x:v>
      </x:c>
      <x:c r="N167" s="24" t="n">
        <x:f>F167+H167</x:f>
        <x:v>8.846153846153847</x:v>
      </x:c>
      <x:c r="O167" s="24" t="n">
        <x:f>J167+L167</x:f>
        <x:v>8.461538461538462</x:v>
      </x:c>
    </x:row>
    <x:row r="168">
      <x:c r="A168" s="22" t="str">
        <x:v>500101214</x:v>
      </x:c>
      <x:c r="B168" s="17" t="str">
        <x:v>大安區</x:v>
      </x:c>
      <x:c r="C168" s="17" t="str">
        <x:v>仁愛敦南圓環(西北側)</x:v>
      </x:c>
      <x:c r="D168" s="18" t="n">
        <x:v>26</x:v>
      </x:c>
      <x:c r="E168" s="18" t="n">
        <x:v>26</x:v>
      </x:c>
      <x:c r="F168" s="24" t="n">
        <x:f>IFERROR('各站彙總來源'!F168/'各站彙總來源'!G168,"")</x:f>
        <x:v>3</x:v>
      </x:c>
      <x:c r="G168" s="19" t="n">
        <x:f>'各站彙總來源'!G168</x:f>
        <x:v>26</x:v>
      </x:c>
      <x:c r="H168" s="24" t="n">
        <x:f>IFERROR('各站彙總來源'!H168/'各站彙總來源'!I168,"")</x:f>
        <x:v>0.9615384615384616</x:v>
      </x:c>
      <x:c r="I168" s="19" t="n">
        <x:f>'各站彙總來源'!I168</x:f>
        <x:v>26</x:v>
      </x:c>
      <x:c r="J168" s="24" t="n">
        <x:f>IFERROR('各站彙總來源'!J168/'各站彙總來源'!K168,"")</x:f>
        <x:v>6.461538461538462</x:v>
      </x:c>
      <x:c r="K168" s="19" t="n">
        <x:f>'各站彙總來源'!K168</x:f>
        <x:v>26</x:v>
      </x:c>
      <x:c r="L168" s="24" t="n">
        <x:f>IFERROR('各站彙總來源'!L168/'各站彙總來源'!M168,"")</x:f>
        <x:v>2.769230769230769</x:v>
      </x:c>
      <x:c r="M168" s="19" t="n">
        <x:f>'各站彙總來源'!M168</x:f>
        <x:v>26</x:v>
      </x:c>
      <x:c r="N168" s="24" t="n">
        <x:f>F168+H168</x:f>
        <x:v>3.9615384615384617</x:v>
      </x:c>
      <x:c r="O168" s="24" t="n">
        <x:f>J168+L168</x:f>
        <x:v>9.23076923076923</x:v>
      </x:c>
    </x:row>
    <x:row r="169">
      <x:c r="A169" s="22" t="str">
        <x:v>500101215</x:v>
      </x:c>
      <x:c r="B169" s="17" t="str">
        <x:v>大安區</x:v>
      </x:c>
      <x:c r="C169" s="17" t="str">
        <x:v>立人國小</x:v>
      </x:c>
      <x:c r="D169" s="18" t="n">
        <x:v>26</x:v>
      </x:c>
      <x:c r="E169" s="18" t="n">
        <x:v>26</x:v>
      </x:c>
      <x:c r="F169" s="24" t="n">
        <x:f>IFERROR('各站彙總來源'!F169/'各站彙總來源'!G169,"")</x:f>
        <x:v>5.730769230769231</x:v>
      </x:c>
      <x:c r="G169" s="19" t="n">
        <x:f>'各站彙總來源'!G169</x:f>
        <x:v>26</x:v>
      </x:c>
      <x:c r="H169" s="24" t="n">
        <x:f>IFERROR('各站彙總來源'!H169/'各站彙總來源'!I169,"")</x:f>
        <x:v>2.9615384615384617</x:v>
      </x:c>
      <x:c r="I169" s="19" t="n">
        <x:f>'各站彙總來源'!I169</x:f>
        <x:v>26</x:v>
      </x:c>
      <x:c r="J169" s="24" t="n">
        <x:f>IFERROR('各站彙總來源'!J169/'各站彙總來源'!K169,"")</x:f>
        <x:v>5.730769230769231</x:v>
      </x:c>
      <x:c r="K169" s="19" t="n">
        <x:f>'各站彙總來源'!K169</x:f>
        <x:v>26</x:v>
      </x:c>
      <x:c r="L169" s="24" t="n">
        <x:f>IFERROR('各站彙總來源'!L169/'各站彙總來源'!M169,"")</x:f>
        <x:v>1.7692307692307692</x:v>
      </x:c>
      <x:c r="M169" s="19" t="n">
        <x:f>'各站彙總來源'!M169</x:f>
        <x:v>26</x:v>
      </x:c>
      <x:c r="N169" s="24" t="n">
        <x:f>F169+H169</x:f>
        <x:v>8.692307692307693</x:v>
      </x:c>
      <x:c r="O169" s="24" t="n">
        <x:f>J169+L169</x:f>
        <x:v>7.5</x:v>
      </x:c>
    </x:row>
    <x:row r="170">
      <x:c r="A170" s="22" t="str">
        <x:v>500101216</x:v>
      </x:c>
      <x:c r="B170" s="17" t="str">
        <x:v>大安區</x:v>
      </x:c>
      <x:c r="C170" s="17" t="str">
        <x:v>和平東路二段18巷口</x:v>
      </x:c>
      <x:c r="D170" s="18" t="n">
        <x:v>26</x:v>
      </x:c>
      <x:c r="E170" s="18" t="n">
        <x:v>26</x:v>
      </x:c>
      <x:c r="F170" s="24" t="n">
        <x:f>IFERROR('各站彙總來源'!F170/'各站彙總來源'!G170,"")</x:f>
        <x:v>12.423076923076923</x:v>
      </x:c>
      <x:c r="G170" s="19" t="n">
        <x:f>'各站彙總來源'!G170</x:f>
        <x:v>26</x:v>
      </x:c>
      <x:c r="H170" s="24" t="n">
        <x:f>IFERROR('各站彙總來源'!H170/'各站彙總來源'!I170,"")</x:f>
        <x:v>2.6923076923076925</x:v>
      </x:c>
      <x:c r="I170" s="19" t="n">
        <x:f>'各站彙總來源'!I170</x:f>
        <x:v>26</x:v>
      </x:c>
      <x:c r="J170" s="24" t="n">
        <x:f>IFERROR('各站彙總來源'!J170/'各站彙總來源'!K170,"")</x:f>
        <x:v>7.384615384615385</x:v>
      </x:c>
      <x:c r="K170" s="19" t="n">
        <x:f>'各站彙總來源'!K170</x:f>
        <x:v>26</x:v>
      </x:c>
      <x:c r="L170" s="24" t="n">
        <x:f>IFERROR('各站彙總來源'!L170/'各站彙總來源'!M170,"")</x:f>
        <x:v>1.2692307692307692</x:v>
      </x:c>
      <x:c r="M170" s="19" t="n">
        <x:f>'各站彙總來源'!M170</x:f>
        <x:v>26</x:v>
      </x:c>
      <x:c r="N170" s="24" t="n">
        <x:f>F170+H170</x:f>
        <x:v>15.115384615384617</x:v>
      </x:c>
      <x:c r="O170" s="24" t="n">
        <x:f>J170+L170</x:f>
        <x:v>8.653846153846153</x:v>
      </x:c>
    </x:row>
    <x:row r="171">
      <x:c r="A171" s="22" t="str">
        <x:v>500101217</x:v>
      </x:c>
      <x:c r="B171" s="17" t="str">
        <x:v>大安區</x:v>
      </x:c>
      <x:c r="C171" s="17" t="str">
        <x:v>捷運大安站(5號出口)</x:v>
      </x:c>
      <x:c r="D171" s="18" t="n">
        <x:v>26</x:v>
      </x:c>
      <x:c r="E171" s="18" t="n">
        <x:v>26</x:v>
      </x:c>
      <x:c r="F171" s="24" t="n">
        <x:f>IFERROR('各站彙總來源'!F171/'各站彙總來源'!G171,"")</x:f>
        <x:v>17.46153846153846</x:v>
      </x:c>
      <x:c r="G171" s="19" t="n">
        <x:f>'各站彙總來源'!G171</x:f>
        <x:v>26</x:v>
      </x:c>
      <x:c r="H171" s="24" t="n">
        <x:f>IFERROR('各站彙總來源'!H171/'各站彙總來源'!I171,"")</x:f>
        <x:v>1.5</x:v>
      </x:c>
      <x:c r="I171" s="19" t="n">
        <x:f>'各站彙總來源'!I171</x:f>
        <x:v>26</x:v>
      </x:c>
      <x:c r="J171" s="24" t="n">
        <x:f>IFERROR('各站彙總來源'!J171/'各站彙總來源'!K171,"")</x:f>
        <x:v>5.730769230769231</x:v>
      </x:c>
      <x:c r="K171" s="19" t="n">
        <x:f>'各站彙總來源'!K171</x:f>
        <x:v>26</x:v>
      </x:c>
      <x:c r="L171" s="24" t="n">
        <x:f>IFERROR('各站彙總來源'!L171/'各站彙總來源'!M171,"")</x:f>
        <x:v>0.9230769230769231</x:v>
      </x:c>
      <x:c r="M171" s="19" t="n">
        <x:f>'各站彙總來源'!M171</x:f>
        <x:v>26</x:v>
      </x:c>
      <x:c r="N171" s="24" t="n">
        <x:f>F171+H171</x:f>
        <x:v>18.96153846153846</x:v>
      </x:c>
      <x:c r="O171" s="24" t="n">
        <x:f>J171+L171</x:f>
        <x:v>6.653846153846154</x:v>
      </x:c>
    </x:row>
    <x:row r="172">
      <x:c r="A172" s="22" t="str">
        <x:v>500101218</x:v>
      </x:c>
      <x:c r="B172" s="17" t="str">
        <x:v>大安區</x:v>
      </x:c>
      <x:c r="C172" s="17" t="str">
        <x:v>臨江公園</x:v>
      </x:c>
      <x:c r="D172" s="18" t="n">
        <x:v>26</x:v>
      </x:c>
      <x:c r="E172" s="18" t="n">
        <x:v>26</x:v>
      </x:c>
      <x:c r="F172" s="24" t="n">
        <x:f>IFERROR('各站彙總來源'!F172/'各站彙總來源'!G172,"")</x:f>
        <x:v>22.384615384615383</x:v>
      </x:c>
      <x:c r="G172" s="19" t="n">
        <x:f>'各站彙總來源'!G172</x:f>
        <x:v>26</x:v>
      </x:c>
      <x:c r="H172" s="24" t="n">
        <x:f>IFERROR('各站彙總來源'!H172/'各站彙總來源'!I172,"")</x:f>
        <x:v>3.576923076923077</x:v>
      </x:c>
      <x:c r="I172" s="19" t="n">
        <x:f>'各站彙總來源'!I172</x:f>
        <x:v>26</x:v>
      </x:c>
      <x:c r="J172" s="24" t="n">
        <x:f>IFERROR('各站彙總來源'!J172/'各站彙總來源'!K172,"")</x:f>
        <x:v>3.6923076923076925</x:v>
      </x:c>
      <x:c r="K172" s="19" t="n">
        <x:f>'各站彙總來源'!K172</x:f>
        <x:v>26</x:v>
      </x:c>
      <x:c r="L172" s="24" t="n">
        <x:f>IFERROR('各站彙總來源'!L172/'各站彙總來源'!M172,"")</x:f>
        <x:v>1.3846153846153846</x:v>
      </x:c>
      <x:c r="M172" s="19" t="n">
        <x:f>'各站彙總來源'!M172</x:f>
        <x:v>26</x:v>
      </x:c>
      <x:c r="N172" s="24" t="n">
        <x:f>F172+H172</x:f>
        <x:v>25.96153846153846</x:v>
      </x:c>
      <x:c r="O172" s="24" t="n">
        <x:f>J172+L172</x:f>
        <x:v>5.076923076923077</x:v>
      </x:c>
    </x:row>
    <x:row r="173">
      <x:c r="A173" s="22" t="str">
        <x:v>500101219</x:v>
      </x:c>
      <x:c r="B173" s="17" t="str">
        <x:v>大安區</x:v>
      </x:c>
      <x:c r="C173" s="17" t="str">
        <x:v>羅斯福路四段113巷19弄口</x:v>
      </x:c>
      <x:c r="D173" s="18" t="n">
        <x:v>26</x:v>
      </x:c>
      <x:c r="E173" s="18" t="n">
        <x:v>26</x:v>
      </x:c>
      <x:c r="F173" s="24" t="n">
        <x:f>IFERROR('各站彙總來源'!F173/'各站彙總來源'!G173,"")</x:f>
        <x:v>8.73076923076923</x:v>
      </x:c>
      <x:c r="G173" s="19" t="n">
        <x:f>'各站彙總來源'!G173</x:f>
        <x:v>26</x:v>
      </x:c>
      <x:c r="H173" s="24" t="n">
        <x:f>IFERROR('各站彙總來源'!H173/'各站彙總來源'!I173,"")</x:f>
        <x:v>0.6153846153846154</x:v>
      </x:c>
      <x:c r="I173" s="19" t="n">
        <x:f>'各站彙總來源'!I173</x:f>
        <x:v>26</x:v>
      </x:c>
      <x:c r="J173" s="24" t="n">
        <x:f>IFERROR('各站彙總來源'!J173/'各站彙總來源'!K173,"")</x:f>
        <x:v>3.1923076923076925</x:v>
      </x:c>
      <x:c r="K173" s="19" t="n">
        <x:f>'各站彙總來源'!K173</x:f>
        <x:v>26</x:v>
      </x:c>
      <x:c r="L173" s="24" t="n">
        <x:f>IFERROR('各站彙總來源'!L173/'各站彙總來源'!M173,"")</x:f>
        <x:v>0.5</x:v>
      </x:c>
      <x:c r="M173" s="19" t="n">
        <x:f>'各站彙總來源'!M173</x:f>
        <x:v>26</x:v>
      </x:c>
      <x:c r="N173" s="24" t="n">
        <x:f>F173+H173</x:f>
        <x:v>9.346153846153845</x:v>
      </x:c>
      <x:c r="O173" s="24" t="n">
        <x:f>J173+L173</x:f>
        <x:v>3.6923076923076925</x:v>
      </x:c>
    </x:row>
    <x:row r="174">
      <x:c r="A174" s="22" t="str">
        <x:v>500101220</x:v>
      </x:c>
      <x:c r="B174" s="17" t="str">
        <x:v>大安區</x:v>
      </x:c>
      <x:c r="C174" s="17" t="str">
        <x:v>大安高工(復興南路二段78巷)</x:v>
      </x:c>
      <x:c r="D174" s="18" t="n">
        <x:v>26</x:v>
      </x:c>
      <x:c r="E174" s="18" t="n">
        <x:v>26</x:v>
      </x:c>
      <x:c r="F174" s="24" t="n">
        <x:f>IFERROR('各站彙總來源'!F174/'各站彙總來源'!G174,"")</x:f>
        <x:v>0</x:v>
      </x:c>
      <x:c r="G174" s="19" t="n">
        <x:f>'各站彙總來源'!G174</x:f>
        <x:v>26</x:v>
      </x:c>
      <x:c r="H174" s="24" t="n">
        <x:f>IFERROR('各站彙總來源'!H174/'各站彙總來源'!I174,"")</x:f>
        <x:v>0</x:v>
      </x:c>
      <x:c r="I174" s="19" t="n">
        <x:f>'各站彙總來源'!I174</x:f>
        <x:v>26</x:v>
      </x:c>
      <x:c r="J174" s="24" t="n">
        <x:f>IFERROR('各站彙總來源'!J174/'各站彙總來源'!K174,"")</x:f>
        <x:v>0</x:v>
      </x:c>
      <x:c r="K174" s="19" t="n">
        <x:f>'各站彙總來源'!K174</x:f>
        <x:v>26</x:v>
      </x:c>
      <x:c r="L174" s="24" t="n">
        <x:f>IFERROR('各站彙總來源'!L174/'各站彙總來源'!M174,"")</x:f>
        <x:v>0</x:v>
      </x:c>
      <x:c r="M174" s="19" t="n">
        <x:f>'各站彙總來源'!M174</x:f>
        <x:v>26</x:v>
      </x:c>
      <x:c r="N174" s="24" t="n">
        <x:f>F174+H174</x:f>
        <x:v>0</x:v>
      </x:c>
      <x:c r="O174" s="24" t="n">
        <x:f>J174+L174</x:f>
        <x:v>0</x:v>
      </x:c>
    </x:row>
    <x:row r="175">
      <x:c r="A175" s="22" t="str">
        <x:v>500101221</x:v>
      </x:c>
      <x:c r="B175" s="17" t="str">
        <x:v>大安區</x:v>
      </x:c>
      <x:c r="C175" s="17" t="str">
        <x:v>忠孝東路四段248巷口</x:v>
      </x:c>
      <x:c r="D175" s="18" t="n">
        <x:v>26</x:v>
      </x:c>
      <x:c r="E175" s="18" t="n">
        <x:v>26</x:v>
      </x:c>
      <x:c r="F175" s="24" t="n">
        <x:f>IFERROR('各站彙總來源'!F175/'各站彙總來源'!G175,"")</x:f>
        <x:v>8.423076923076923</x:v>
      </x:c>
      <x:c r="G175" s="19" t="n">
        <x:f>'各站彙總來源'!G175</x:f>
        <x:v>26</x:v>
      </x:c>
      <x:c r="H175" s="24" t="n">
        <x:f>IFERROR('各站彙總來源'!H175/'各站彙總來源'!I175,"")</x:f>
        <x:v>2</x:v>
      </x:c>
      <x:c r="I175" s="19" t="n">
        <x:f>'各站彙總來源'!I175</x:f>
        <x:v>26</x:v>
      </x:c>
      <x:c r="J175" s="24" t="n">
        <x:f>IFERROR('各站彙總來源'!J175/'各站彙總來源'!K175,"")</x:f>
        <x:v>10.192307692307692</x:v>
      </x:c>
      <x:c r="K175" s="19" t="n">
        <x:f>'各站彙總來源'!K175</x:f>
        <x:v>26</x:v>
      </x:c>
      <x:c r="L175" s="24" t="n">
        <x:f>IFERROR('各站彙總來源'!L175/'各站彙總來源'!M175,"")</x:f>
        <x:v>3.0384615384615383</x:v>
      </x:c>
      <x:c r="M175" s="19" t="n">
        <x:f>'各站彙總來源'!M175</x:f>
        <x:v>26</x:v>
      </x:c>
      <x:c r="N175" s="24" t="n">
        <x:f>F175+H175</x:f>
        <x:v>10.423076923076923</x:v>
      </x:c>
      <x:c r="O175" s="24" t="n">
        <x:f>J175+L175</x:f>
        <x:v>13.23076923076923</x:v>
      </x:c>
    </x:row>
    <x:row r="176">
      <x:c r="A176" s="22" t="str">
        <x:v>500101222</x:v>
      </x:c>
      <x:c r="B176" s="17" t="str">
        <x:v>大安區</x:v>
      </x:c>
      <x:c r="C176" s="17" t="str">
        <x:v>仁愛延吉路口(西北側)</x:v>
      </x:c>
      <x:c r="D176" s="18" t="n">
        <x:v>26</x:v>
      </x:c>
      <x:c r="E176" s="18" t="n">
        <x:v>26</x:v>
      </x:c>
      <x:c r="F176" s="24" t="n">
        <x:f>IFERROR('各站彙總來源'!F176/'各站彙總來源'!G176,"")</x:f>
        <x:v>3.8076923076923075</x:v>
      </x:c>
      <x:c r="G176" s="19" t="n">
        <x:f>'各站彙總來源'!G176</x:f>
        <x:v>26</x:v>
      </x:c>
      <x:c r="H176" s="24" t="n">
        <x:f>IFERROR('各站彙總來源'!H176/'各站彙總來源'!I176,"")</x:f>
        <x:v>0.8461538461538461</x:v>
      </x:c>
      <x:c r="I176" s="19" t="n">
        <x:f>'各站彙總來源'!I176</x:f>
        <x:v>26</x:v>
      </x:c>
      <x:c r="J176" s="24" t="n">
        <x:f>IFERROR('各站彙總來源'!J176/'各站彙總來源'!K176,"")</x:f>
        <x:v>10.384615384615385</x:v>
      </x:c>
      <x:c r="K176" s="19" t="n">
        <x:f>'各站彙總來源'!K176</x:f>
        <x:v>26</x:v>
      </x:c>
      <x:c r="L176" s="24" t="n">
        <x:f>IFERROR('各站彙總來源'!L176/'各站彙總來源'!M176,"")</x:f>
        <x:v>3.076923076923077</x:v>
      </x:c>
      <x:c r="M176" s="19" t="n">
        <x:f>'各站彙總來源'!M176</x:f>
        <x:v>26</x:v>
      </x:c>
      <x:c r="N176" s="24" t="n">
        <x:f>F176+H176</x:f>
        <x:v>4.653846153846153</x:v>
      </x:c>
      <x:c r="O176" s="24" t="n">
        <x:f>J176+L176</x:f>
        <x:v>13.461538461538462</x:v>
      </x:c>
    </x:row>
    <x:row r="177">
      <x:c r="A177" s="22" t="str">
        <x:v>500101223</x:v>
      </x:c>
      <x:c r="B177" s="17" t="str">
        <x:v>大安區</x:v>
      </x:c>
      <x:c r="C177" s="17" t="str">
        <x:v>樂利路101巷口</x:v>
      </x:c>
      <x:c r="D177" s="18" t="n">
        <x:v>26</x:v>
      </x:c>
      <x:c r="E177" s="18" t="n">
        <x:v>26</x:v>
      </x:c>
      <x:c r="F177" s="24" t="n">
        <x:f>IFERROR('各站彙總來源'!F177/'各站彙總來源'!G177,"")</x:f>
        <x:v>7.346153846153846</x:v>
      </x:c>
      <x:c r="G177" s="19" t="n">
        <x:f>'各站彙總來源'!G177</x:f>
        <x:v>26</x:v>
      </x:c>
      <x:c r="H177" s="24" t="n">
        <x:f>IFERROR('各站彙總來源'!H177/'各站彙總來源'!I177,"")</x:f>
        <x:v>0.9615384615384616</x:v>
      </x:c>
      <x:c r="I177" s="19" t="n">
        <x:f>'各站彙總來源'!I177</x:f>
        <x:v>26</x:v>
      </x:c>
      <x:c r="J177" s="24" t="n">
        <x:f>IFERROR('各站彙總來源'!J177/'各站彙總來源'!K177,"")</x:f>
        <x:v>2.3846153846153846</x:v>
      </x:c>
      <x:c r="K177" s="19" t="n">
        <x:f>'各站彙總來源'!K177</x:f>
        <x:v>26</x:v>
      </x:c>
      <x:c r="L177" s="24" t="n">
        <x:f>IFERROR('各站彙總來源'!L177/'各站彙總來源'!M177,"")</x:f>
        <x:v>0.7307692307692307</x:v>
      </x:c>
      <x:c r="M177" s="19" t="n">
        <x:f>'各站彙總來源'!M177</x:f>
        <x:v>26</x:v>
      </x:c>
      <x:c r="N177" s="24" t="n">
        <x:f>F177+H177</x:f>
        <x:v>8.307692307692307</x:v>
      </x:c>
      <x:c r="O177" s="24" t="n">
        <x:f>J177+L177</x:f>
        <x:v>3.1153846153846154</x:v>
      </x:c>
    </x:row>
    <x:row r="178">
      <x:c r="A178" s="22" t="str">
        <x:v>500101224</x:v>
      </x:c>
      <x:c r="B178" s="17" t="str">
        <x:v>大安區</x:v>
      </x:c>
      <x:c r="C178" s="17" t="str">
        <x:v>羅斯福浦城街口</x:v>
      </x:c>
      <x:c r="D178" s="18" t="n">
        <x:v>26</x:v>
      </x:c>
      <x:c r="E178" s="18" t="n">
        <x:v>26</x:v>
      </x:c>
      <x:c r="F178" s="24" t="n">
        <x:f>IFERROR('各站彙總來源'!F178/'各站彙總來源'!G178,"")</x:f>
        <x:v>16.46153846153846</x:v>
      </x:c>
      <x:c r="G178" s="19" t="n">
        <x:f>'各站彙總來源'!G178</x:f>
        <x:v>26</x:v>
      </x:c>
      <x:c r="H178" s="24" t="n">
        <x:f>IFERROR('各站彙總來源'!H178/'各站彙總來源'!I178,"")</x:f>
        <x:v>2.3846153846153846</x:v>
      </x:c>
      <x:c r="I178" s="19" t="n">
        <x:f>'各站彙總來源'!I178</x:f>
        <x:v>26</x:v>
      </x:c>
      <x:c r="J178" s="24" t="n">
        <x:f>IFERROR('各站彙總來源'!J178/'各站彙總來源'!K178,"")</x:f>
        <x:v>4.115384615384615</x:v>
      </x:c>
      <x:c r="K178" s="19" t="n">
        <x:f>'各站彙總來源'!K178</x:f>
        <x:v>26</x:v>
      </x:c>
      <x:c r="L178" s="24" t="n">
        <x:f>IFERROR('各站彙總來源'!L178/'各站彙總來源'!M178,"")</x:f>
        <x:v>1</x:v>
      </x:c>
      <x:c r="M178" s="19" t="n">
        <x:f>'各站彙總來源'!M178</x:f>
        <x:v>26</x:v>
      </x:c>
      <x:c r="N178" s="24" t="n">
        <x:f>F178+H178</x:f>
        <x:v>18.846153846153843</x:v>
      </x:c>
      <x:c r="O178" s="24" t="n">
        <x:f>J178+L178</x:f>
        <x:v>5.115384615384615</x:v>
      </x:c>
    </x:row>
    <x:row r="179">
      <x:c r="A179" s="22" t="str">
        <x:v>500101225</x:v>
      </x:c>
      <x:c r="B179" s="17" t="str">
        <x:v>大安區</x:v>
      </x:c>
      <x:c r="C179" s="17" t="str">
        <x:v>敦化南路一段295巷口</x:v>
      </x:c>
      <x:c r="D179" s="18" t="n">
        <x:v>26</x:v>
      </x:c>
      <x:c r="E179" s="18" t="n">
        <x:v>26</x:v>
      </x:c>
      <x:c r="F179" s="24" t="n">
        <x:f>IFERROR('各站彙總來源'!F179/'各站彙總來源'!G179,"")</x:f>
        <x:v>7.8076923076923075</x:v>
      </x:c>
      <x:c r="G179" s="19" t="n">
        <x:f>'各站彙總來源'!G179</x:f>
        <x:v>26</x:v>
      </x:c>
      <x:c r="H179" s="24" t="n">
        <x:f>IFERROR('各站彙總來源'!H179/'各站彙總來源'!I179,"")</x:f>
        <x:v>1.1153846153846154</x:v>
      </x:c>
      <x:c r="I179" s="19" t="n">
        <x:f>'各站彙總來源'!I179</x:f>
        <x:v>26</x:v>
      </x:c>
      <x:c r="J179" s="24" t="n">
        <x:f>IFERROR('各站彙總來源'!J179/'各站彙總來源'!K179,"")</x:f>
        <x:v>6.538461538461538</x:v>
      </x:c>
      <x:c r="K179" s="19" t="n">
        <x:f>'各站彙總來源'!K179</x:f>
        <x:v>26</x:v>
      </x:c>
      <x:c r="L179" s="24" t="n">
        <x:f>IFERROR('各站彙總來源'!L179/'各站彙總來源'!M179,"")</x:f>
        <x:v>1.8846153846153846</x:v>
      </x:c>
      <x:c r="M179" s="19" t="n">
        <x:f>'各站彙總來源'!M179</x:f>
        <x:v>26</x:v>
      </x:c>
      <x:c r="N179" s="24" t="n">
        <x:f>F179+H179</x:f>
        <x:v>8.923076923076923</x:v>
      </x:c>
      <x:c r="O179" s="24" t="n">
        <x:f>J179+L179</x:f>
        <x:v>8.423076923076923</x:v>
      </x:c>
    </x:row>
    <x:row r="180">
      <x:c r="A180" s="22" t="str">
        <x:v>500101226</x:v>
      </x:c>
      <x:c r="B180" s="17" t="str">
        <x:v>大安區</x:v>
      </x:c>
      <x:c r="C180" s="17" t="str">
        <x:v>通安區民活動中心</x:v>
      </x:c>
      <x:c r="D180" s="18" t="n">
        <x:v>26</x:v>
      </x:c>
      <x:c r="E180" s="18" t="n">
        <x:v>26</x:v>
      </x:c>
      <x:c r="F180" s="24" t="n">
        <x:f>IFERROR('各站彙總來源'!F180/'各站彙總來源'!G180,"")</x:f>
        <x:v>31.846153846153847</x:v>
      </x:c>
      <x:c r="G180" s="19" t="n">
        <x:f>'各站彙總來源'!G180</x:f>
        <x:v>26</x:v>
      </x:c>
      <x:c r="H180" s="24" t="n">
        <x:f>IFERROR('各站彙總來源'!H180/'各站彙總來源'!I180,"")</x:f>
        <x:v>2.769230769230769</x:v>
      </x:c>
      <x:c r="I180" s="19" t="n">
        <x:f>'各站彙總來源'!I180</x:f>
        <x:v>26</x:v>
      </x:c>
      <x:c r="J180" s="24" t="n">
        <x:f>IFERROR('各站彙總來源'!J180/'各站彙總來源'!K180,"")</x:f>
        <x:v>2.576923076923077</x:v>
      </x:c>
      <x:c r="K180" s="19" t="n">
        <x:f>'各站彙總來源'!K180</x:f>
        <x:v>26</x:v>
      </x:c>
      <x:c r="L180" s="24" t="n">
        <x:f>IFERROR('各站彙總來源'!L180/'各站彙總來源'!M180,"")</x:f>
        <x:v>1.2692307692307692</x:v>
      </x:c>
      <x:c r="M180" s="19" t="n">
        <x:f>'各站彙總來源'!M180</x:f>
        <x:v>26</x:v>
      </x:c>
      <x:c r="N180" s="24" t="n">
        <x:f>F180+H180</x:f>
        <x:v>34.61538461538461</x:v>
      </x:c>
      <x:c r="O180" s="24" t="n">
        <x:f>J180+L180</x:f>
        <x:v>3.8461538461538463</x:v>
      </x:c>
    </x:row>
    <x:row r="181">
      <x:c r="A181" s="22" t="str">
        <x:v>500101227</x:v>
      </x:c>
      <x:c r="B181" s="17" t="str">
        <x:v>大安區</x:v>
      </x:c>
      <x:c r="C181" s="17" t="str">
        <x:v>復興忠孝東路口(東南側)</x:v>
      </x:c>
      <x:c r="D181" s="18" t="n">
        <x:v>26</x:v>
      </x:c>
      <x:c r="E181" s="18" t="n">
        <x:v>26</x:v>
      </x:c>
      <x:c r="F181" s="24" t="n">
        <x:f>IFERROR('各站彙總來源'!F181/'各站彙總來源'!G181,"")</x:f>
        <x:v>13.115384615384615</x:v>
      </x:c>
      <x:c r="G181" s="19" t="n">
        <x:f>'各站彙總來源'!G181</x:f>
        <x:v>26</x:v>
      </x:c>
      <x:c r="H181" s="24" t="n">
        <x:f>IFERROR('各站彙總來源'!H181/'各站彙總來源'!I181,"")</x:f>
        <x:v>1.3461538461538463</x:v>
      </x:c>
      <x:c r="I181" s="19" t="n">
        <x:f>'各站彙總來源'!I181</x:f>
        <x:v>26</x:v>
      </x:c>
      <x:c r="J181" s="24" t="n">
        <x:f>IFERROR('各站彙總來源'!J181/'各站彙總來源'!K181,"")</x:f>
        <x:v>11.692307692307692</x:v>
      </x:c>
      <x:c r="K181" s="19" t="n">
        <x:f>'各站彙總來源'!K181</x:f>
        <x:v>26</x:v>
      </x:c>
      <x:c r="L181" s="24" t="n">
        <x:f>IFERROR('各站彙總來源'!L181/'各站彙總來源'!M181,"")</x:f>
        <x:v>2.1923076923076925</x:v>
      </x:c>
      <x:c r="M181" s="19" t="n">
        <x:f>'各站彙總來源'!M181</x:f>
        <x:v>26</x:v>
      </x:c>
      <x:c r="N181" s="24" t="n">
        <x:f>F181+H181</x:f>
        <x:v>14.461538461538462</x:v>
      </x:c>
      <x:c r="O181" s="24" t="n">
        <x:f>J181+L181</x:f>
        <x:v>13.884615384615383</x:v>
      </x:c>
    </x:row>
    <x:row r="182">
      <x:c r="A182" s="22" t="str">
        <x:v>500101228</x:v>
      </x:c>
      <x:c r="B182" s="17" t="str">
        <x:v>大安區</x:v>
      </x:c>
      <x:c r="C182" s="17" t="str">
        <x:v>仁愛大安路口(東北側)</x:v>
      </x:c>
      <x:c r="D182" s="18" t="n">
        <x:v>26</x:v>
      </x:c>
      <x:c r="E182" s="18" t="n">
        <x:v>26</x:v>
      </x:c>
      <x:c r="F182" s="24" t="n">
        <x:f>IFERROR('各站彙總來源'!F182/'各站彙總來源'!G182,"")</x:f>
        <x:v>4.423076923076923</x:v>
      </x:c>
      <x:c r="G182" s="19" t="n">
        <x:f>'各站彙總來源'!G182</x:f>
        <x:v>26</x:v>
      </x:c>
      <x:c r="H182" s="24" t="n">
        <x:f>IFERROR('各站彙總來源'!H182/'各站彙總來源'!I182,"")</x:f>
        <x:v>0.5</x:v>
      </x:c>
      <x:c r="I182" s="19" t="n">
        <x:f>'各站彙總來源'!I182</x:f>
        <x:v>26</x:v>
      </x:c>
      <x:c r="J182" s="24" t="n">
        <x:f>IFERROR('各站彙總來源'!J182/'各站彙總來源'!K182,"")</x:f>
        <x:v>10.653846153846153</x:v>
      </x:c>
      <x:c r="K182" s="19" t="n">
        <x:f>'各站彙總來源'!K182</x:f>
        <x:v>26</x:v>
      </x:c>
      <x:c r="L182" s="24" t="n">
        <x:f>IFERROR('各站彙總來源'!L182/'各站彙總來源'!M182,"")</x:f>
        <x:v>1.9230769230769231</x:v>
      </x:c>
      <x:c r="M182" s="19" t="n">
        <x:f>'各站彙總來源'!M182</x:f>
        <x:v>26</x:v>
      </x:c>
      <x:c r="N182" s="24" t="n">
        <x:f>F182+H182</x:f>
        <x:v>4.923076923076923</x:v>
      </x:c>
      <x:c r="O182" s="24" t="n">
        <x:f>J182+L182</x:f>
        <x:v>12.576923076923077</x:v>
      </x:c>
    </x:row>
    <x:row r="183">
      <x:c r="A183" s="22" t="str">
        <x:v>500101229</x:v>
      </x:c>
      <x:c r="B183" s="17" t="str">
        <x:v>大安區</x:v>
      </x:c>
      <x:c r="C183" s="17" t="str">
        <x:v>臺灣師範大學(浦城街)</x:v>
      </x:c>
      <x:c r="D183" s="18" t="n">
        <x:v>26</x:v>
      </x:c>
      <x:c r="E183" s="18" t="n">
        <x:v>26</x:v>
      </x:c>
      <x:c r="F183" s="24" t="n">
        <x:f>IFERROR('各站彙總來源'!F183/'各站彙總來源'!G183,"")</x:f>
        <x:v>12.153846153846153</x:v>
      </x:c>
      <x:c r="G183" s="19" t="n">
        <x:f>'各站彙總來源'!G183</x:f>
        <x:v>26</x:v>
      </x:c>
      <x:c r="H183" s="24" t="n">
        <x:f>IFERROR('各站彙總來源'!H183/'各站彙總來源'!I183,"")</x:f>
        <x:v>3.1153846153846154</x:v>
      </x:c>
      <x:c r="I183" s="19" t="n">
        <x:f>'各站彙總來源'!I183</x:f>
        <x:v>26</x:v>
      </x:c>
      <x:c r="J183" s="24" t="n">
        <x:f>IFERROR('各站彙總來源'!J183/'各站彙總來源'!K183,"")</x:f>
        <x:v>8.192307692307692</x:v>
      </x:c>
      <x:c r="K183" s="19" t="n">
        <x:f>'各站彙總來源'!K183</x:f>
        <x:v>26</x:v>
      </x:c>
      <x:c r="L183" s="24" t="n">
        <x:f>IFERROR('各站彙總來源'!L183/'各站彙總來源'!M183,"")</x:f>
        <x:v>1.1538461538461537</x:v>
      </x:c>
      <x:c r="M183" s="19" t="n">
        <x:f>'各站彙總來源'!M183</x:f>
        <x:v>26</x:v>
      </x:c>
      <x:c r="N183" s="24" t="n">
        <x:f>F183+H183</x:f>
        <x:v>15.269230769230768</x:v>
      </x:c>
      <x:c r="O183" s="24" t="n">
        <x:f>J183+L183</x:f>
        <x:v>9.346153846153845</x:v>
      </x:c>
    </x:row>
    <x:row r="184">
      <x:c r="A184" s="22" t="str">
        <x:v>500101230</x:v>
      </x:c>
      <x:c r="B184" s="17" t="str">
        <x:v>大安區</x:v>
      </x:c>
      <x:c r="C184" s="17" t="str">
        <x:v>安和路二段69巷口</x:v>
      </x:c>
      <x:c r="D184" s="18" t="n">
        <x:v>26</x:v>
      </x:c>
      <x:c r="E184" s="18" t="n">
        <x:v>26</x:v>
      </x:c>
      <x:c r="F184" s="24" t="n">
        <x:f>IFERROR('各站彙總來源'!F184/'各站彙總來源'!G184,"")</x:f>
        <x:v>7.576923076923077</x:v>
      </x:c>
      <x:c r="G184" s="19" t="n">
        <x:f>'各站彙總來源'!G184</x:f>
        <x:v>26</x:v>
      </x:c>
      <x:c r="H184" s="24" t="n">
        <x:f>IFERROR('各站彙總來源'!H184/'各站彙總來源'!I184,"")</x:f>
        <x:v>2.4615384615384617</x:v>
      </x:c>
      <x:c r="I184" s="19" t="n">
        <x:f>'各站彙總來源'!I184</x:f>
        <x:v>26</x:v>
      </x:c>
      <x:c r="J184" s="24" t="n">
        <x:f>IFERROR('各站彙總來源'!J184/'各站彙總來源'!K184,"")</x:f>
        <x:v>4.269230769230769</x:v>
      </x:c>
      <x:c r="K184" s="19" t="n">
        <x:f>'各站彙總來源'!K184</x:f>
        <x:v>26</x:v>
      </x:c>
      <x:c r="L184" s="24" t="n">
        <x:f>IFERROR('各站彙總來源'!L184/'各站彙總來源'!M184,"")</x:f>
        <x:v>0.9615384615384616</x:v>
      </x:c>
      <x:c r="M184" s="19" t="n">
        <x:f>'各站彙總來源'!M184</x:f>
        <x:v>26</x:v>
      </x:c>
      <x:c r="N184" s="24" t="n">
        <x:f>F184+H184</x:f>
        <x:v>10.038461538461538</x:v>
      </x:c>
      <x:c r="O184" s="24" t="n">
        <x:f>J184+L184</x:f>
        <x:v>5.230769230769231</x:v>
      </x:c>
    </x:row>
    <x:row r="185">
      <x:c r="A185" s="22" t="str">
        <x:v>500101231</x:v>
      </x:c>
      <x:c r="B185" s="17" t="str">
        <x:v>大安區</x:v>
      </x:c>
      <x:c r="C185" s="17" t="str">
        <x:v>大安國小</x:v>
      </x:c>
      <x:c r="D185" s="18" t="n">
        <x:v>26</x:v>
      </x:c>
      <x:c r="E185" s="18" t="n">
        <x:v>26</x:v>
      </x:c>
      <x:c r="F185" s="24" t="n">
        <x:f>IFERROR('各站彙總來源'!F185/'各站彙總來源'!G185,"")</x:f>
        <x:v>17.884615384615383</x:v>
      </x:c>
      <x:c r="G185" s="19" t="n">
        <x:f>'各站彙總來源'!G185</x:f>
        <x:v>26</x:v>
      </x:c>
      <x:c r="H185" s="24" t="n">
        <x:f>IFERROR('各站彙總來源'!H185/'各站彙總來源'!I185,"")</x:f>
        <x:v>2.8846153846153846</x:v>
      </x:c>
      <x:c r="I185" s="19" t="n">
        <x:f>'各站彙總來源'!I185</x:f>
        <x:v>26</x:v>
      </x:c>
      <x:c r="J185" s="24" t="n">
        <x:f>IFERROR('各站彙總來源'!J185/'各站彙總來源'!K185,"")</x:f>
        <x:v>3.076923076923077</x:v>
      </x:c>
      <x:c r="K185" s="19" t="n">
        <x:f>'各站彙總來源'!K185</x:f>
        <x:v>26</x:v>
      </x:c>
      <x:c r="L185" s="24" t="n">
        <x:f>IFERROR('各站彙總來源'!L185/'各站彙總來源'!M185,"")</x:f>
        <x:v>0.5</x:v>
      </x:c>
      <x:c r="M185" s="19" t="n">
        <x:f>'各站彙總來源'!M185</x:f>
        <x:v>26</x:v>
      </x:c>
      <x:c r="N185" s="24" t="n">
        <x:f>F185+H185</x:f>
        <x:v>20.769230769230766</x:v>
      </x:c>
      <x:c r="O185" s="24" t="n">
        <x:f>J185+L185</x:f>
        <x:v>3.576923076923077</x:v>
      </x:c>
    </x:row>
    <x:row r="186">
      <x:c r="A186" s="22" t="str">
        <x:v>500101232</x:v>
      </x:c>
      <x:c r="B186" s="17" t="str">
        <x:v>大安區</x:v>
      </x:c>
      <x:c r="C186" s="17" t="str">
        <x:v>捷運古亭站(3號出口)</x:v>
      </x:c>
      <x:c r="D186" s="18" t="n">
        <x:v>26</x:v>
      </x:c>
      <x:c r="E186" s="18" t="n">
        <x:v>26</x:v>
      </x:c>
      <x:c r="F186" s="24" t="n">
        <x:f>IFERROR('各站彙總來源'!F186/'各站彙總來源'!G186,"")</x:f>
        <x:v>7.1923076923076925</x:v>
      </x:c>
      <x:c r="G186" s="19" t="n">
        <x:f>'各站彙總來源'!G186</x:f>
        <x:v>26</x:v>
      </x:c>
      <x:c r="H186" s="24" t="n">
        <x:f>IFERROR('各站彙總來源'!H186/'各站彙總來源'!I186,"")</x:f>
        <x:v>0.6538461538461539</x:v>
      </x:c>
      <x:c r="I186" s="19" t="n">
        <x:f>'各站彙總來源'!I186</x:f>
        <x:v>26</x:v>
      </x:c>
      <x:c r="J186" s="24" t="n">
        <x:f>IFERROR('各站彙總來源'!J186/'各站彙總來源'!K186,"")</x:f>
        <x:v>5.769230769230769</x:v>
      </x:c>
      <x:c r="K186" s="19" t="n">
        <x:f>'各站彙總來源'!K186</x:f>
        <x:v>26</x:v>
      </x:c>
      <x:c r="L186" s="24" t="n">
        <x:f>IFERROR('各站彙總來源'!L186/'各站彙總來源'!M186,"")</x:f>
        <x:v>0.9230769230769231</x:v>
      </x:c>
      <x:c r="M186" s="19" t="n">
        <x:f>'各站彙總來源'!M186</x:f>
        <x:v>26</x:v>
      </x:c>
      <x:c r="N186" s="24" t="n">
        <x:f>F186+H186</x:f>
        <x:v>7.846153846153847</x:v>
      </x:c>
      <x:c r="O186" s="24" t="n">
        <x:f>J186+L186</x:f>
        <x:v>6.6923076923076925</x:v>
      </x:c>
    </x:row>
    <x:row r="187">
      <x:c r="A187" s="22" t="str">
        <x:v>500101233</x:v>
      </x:c>
      <x:c r="B187" s="17" t="str">
        <x:v>大安區</x:v>
      </x:c>
      <x:c r="C187" s="17" t="str">
        <x:v>捷運忠孝復興站(3號出口)</x:v>
      </x:c>
      <x:c r="D187" s="18" t="n">
        <x:v>26</x:v>
      </x:c>
      <x:c r="E187" s="18" t="n">
        <x:v>26</x:v>
      </x:c>
      <x:c r="F187" s="24" t="n">
        <x:f>IFERROR('各站彙總來源'!F187/'各站彙總來源'!G187,"")</x:f>
        <x:v>8.115384615384615</x:v>
      </x:c>
      <x:c r="G187" s="19" t="n">
        <x:f>'各站彙總來源'!G187</x:f>
        <x:v>26</x:v>
      </x:c>
      <x:c r="H187" s="24" t="n">
        <x:f>IFERROR('各站彙總來源'!H187/'各站彙總來源'!I187,"")</x:f>
        <x:v>0.9615384615384616</x:v>
      </x:c>
      <x:c r="I187" s="19" t="n">
        <x:f>'各站彙總來源'!I187</x:f>
        <x:v>26</x:v>
      </x:c>
      <x:c r="J187" s="24" t="n">
        <x:f>IFERROR('各站彙總來源'!J187/'各站彙總來源'!K187,"")</x:f>
        <x:v>8.461538461538462</x:v>
      </x:c>
      <x:c r="K187" s="19" t="n">
        <x:f>'各站彙總來源'!K187</x:f>
        <x:v>26</x:v>
      </x:c>
      <x:c r="L187" s="24" t="n">
        <x:f>IFERROR('各站彙總來源'!L187/'各站彙總來源'!M187,"")</x:f>
        <x:v>1.8076923076923077</x:v>
      </x:c>
      <x:c r="M187" s="19" t="n">
        <x:f>'各站彙總來源'!M187</x:f>
        <x:v>26</x:v>
      </x:c>
      <x:c r="N187" s="24" t="n">
        <x:f>F187+H187</x:f>
        <x:v>9.076923076923077</x:v>
      </x:c>
      <x:c r="O187" s="24" t="n">
        <x:f>J187+L187</x:f>
        <x:v>10.26923076923077</x:v>
      </x:c>
    </x:row>
    <x:row r="188">
      <x:c r="A188" s="22" t="str">
        <x:v>500101234</x:v>
      </x:c>
      <x:c r="B188" s="17" t="str">
        <x:v>大安區</x:v>
      </x:c>
      <x:c r="C188" s="17" t="str">
        <x:v>和平東路二段90巷</x:v>
      </x:c>
      <x:c r="D188" s="18" t="n">
        <x:v>26</x:v>
      </x:c>
      <x:c r="E188" s="18" t="n">
        <x:v>26</x:v>
      </x:c>
      <x:c r="F188" s="24" t="n">
        <x:f>IFERROR('各站彙總來源'!F188/'各站彙總來源'!G188,"")</x:f>
        <x:v>9.76923076923077</x:v>
      </x:c>
      <x:c r="G188" s="19" t="n">
        <x:f>'各站彙總來源'!G188</x:f>
        <x:v>26</x:v>
      </x:c>
      <x:c r="H188" s="24" t="n">
        <x:f>IFERROR('各站彙總來源'!H188/'各站彙總來源'!I188,"")</x:f>
        <x:v>1.2307692307692308</x:v>
      </x:c>
      <x:c r="I188" s="19" t="n">
        <x:f>'各站彙總來源'!I188</x:f>
        <x:v>26</x:v>
      </x:c>
      <x:c r="J188" s="24" t="n">
        <x:f>IFERROR('各站彙總來源'!J188/'各站彙總來源'!K188,"")</x:f>
        <x:v>4.3076923076923075</x:v>
      </x:c>
      <x:c r="K188" s="19" t="n">
        <x:f>'各站彙總來源'!K188</x:f>
        <x:v>26</x:v>
      </x:c>
      <x:c r="L188" s="24" t="n">
        <x:f>IFERROR('各站彙總來源'!L188/'各站彙總來源'!M188,"")</x:f>
        <x:v>0.7692307692307693</x:v>
      </x:c>
      <x:c r="M188" s="19" t="n">
        <x:f>'各站彙總來源'!M188</x:f>
        <x:v>26</x:v>
      </x:c>
      <x:c r="N188" s="24" t="n">
        <x:f>F188+H188</x:f>
        <x:v>11</x:v>
      </x:c>
      <x:c r="O188" s="24" t="n">
        <x:f>J188+L188</x:f>
        <x:v>5.076923076923077</x:v>
      </x:c>
    </x:row>
    <x:row r="189">
      <x:c r="A189" s="22" t="str">
        <x:v>500101235</x:v>
      </x:c>
      <x:c r="B189" s="17" t="str">
        <x:v>大安區</x:v>
      </x:c>
      <x:c r="C189" s="17" t="str">
        <x:v>光復南路420巷口</x:v>
      </x:c>
      <x:c r="D189" s="18" t="n">
        <x:v>26</x:v>
      </x:c>
      <x:c r="E189" s="18" t="n">
        <x:v>26</x:v>
      </x:c>
      <x:c r="F189" s="24" t="n">
        <x:f>IFERROR('各站彙總來源'!F189/'各站彙總來源'!G189,"")</x:f>
        <x:v>6.884615384615385</x:v>
      </x:c>
      <x:c r="G189" s="19" t="n">
        <x:f>'各站彙總來源'!G189</x:f>
        <x:v>26</x:v>
      </x:c>
      <x:c r="H189" s="24" t="n">
        <x:f>IFERROR('各站彙總來源'!H189/'各站彙總來源'!I189,"")</x:f>
        <x:v>1.0769230769230769</x:v>
      </x:c>
      <x:c r="I189" s="19" t="n">
        <x:f>'各站彙總來源'!I189</x:f>
        <x:v>26</x:v>
      </x:c>
      <x:c r="J189" s="24" t="n">
        <x:f>IFERROR('各站彙總來源'!J189/'各站彙總來源'!K189,"")</x:f>
        <x:v>5.5</x:v>
      </x:c>
      <x:c r="K189" s="19" t="n">
        <x:f>'各站彙總來源'!K189</x:f>
        <x:v>26</x:v>
      </x:c>
      <x:c r="L189" s="24" t="n">
        <x:f>IFERROR('各站彙總來源'!L189/'各站彙總來源'!M189,"")</x:f>
        <x:v>1.5</x:v>
      </x:c>
      <x:c r="M189" s="19" t="n">
        <x:f>'各站彙總來源'!M189</x:f>
        <x:v>26</x:v>
      </x:c>
      <x:c r="N189" s="24" t="n">
        <x:f>F189+H189</x:f>
        <x:v>7.961538461538462</x:v>
      </x:c>
      <x:c r="O189" s="24" t="n">
        <x:f>J189+L189</x:f>
        <x:v>7</x:v>
      </x:c>
    </x:row>
    <x:row r="190">
      <x:c r="A190" s="22" t="str">
        <x:v>500101236</x:v>
      </x:c>
      <x:c r="B190" s="17" t="str">
        <x:v>大安區</x:v>
      </x:c>
      <x:c r="C190" s="17" t="str">
        <x:v>富陽臥龍街口</x:v>
      </x:c>
      <x:c r="D190" s="18" t="n">
        <x:v>26</x:v>
      </x:c>
      <x:c r="E190" s="18" t="n">
        <x:v>26</x:v>
      </x:c>
      <x:c r="F190" s="24" t="n">
        <x:f>IFERROR('各站彙總來源'!F190/'各站彙總來源'!G190,"")</x:f>
        <x:v>16.384615384615383</x:v>
      </x:c>
      <x:c r="G190" s="19" t="n">
        <x:f>'各站彙總來源'!G190</x:f>
        <x:v>26</x:v>
      </x:c>
      <x:c r="H190" s="24" t="n">
        <x:f>IFERROR('各站彙總來源'!H190/'各站彙總來源'!I190,"")</x:f>
        <x:v>3.269230769230769</x:v>
      </x:c>
      <x:c r="I190" s="19" t="n">
        <x:f>'各站彙總來源'!I190</x:f>
        <x:v>26</x:v>
      </x:c>
      <x:c r="J190" s="24" t="n">
        <x:f>IFERROR('各站彙總來源'!J190/'各站彙總來源'!K190,"")</x:f>
        <x:v>3.730769230769231</x:v>
      </x:c>
      <x:c r="K190" s="19" t="n">
        <x:f>'各站彙總來源'!K190</x:f>
        <x:v>26</x:v>
      </x:c>
      <x:c r="L190" s="24" t="n">
        <x:f>IFERROR('各站彙總來源'!L190/'各站彙總來源'!M190,"")</x:f>
        <x:v>0.6153846153846154</x:v>
      </x:c>
      <x:c r="M190" s="19" t="n">
        <x:f>'各站彙總來源'!M190</x:f>
        <x:v>26</x:v>
      </x:c>
      <x:c r="N190" s="24" t="n">
        <x:f>F190+H190</x:f>
        <x:v>19.653846153846153</x:v>
      </x:c>
      <x:c r="O190" s="24" t="n">
        <x:f>J190+L190</x:f>
        <x:v>4.346153846153847</x:v>
      </x:c>
    </x:row>
    <x:row r="191">
      <x:c r="A191" s="22" t="str">
        <x:v>500101237</x:v>
      </x:c>
      <x:c r="B191" s="17" t="str">
        <x:v>大安區</x:v>
      </x:c>
      <x:c r="C191" s="17" t="str">
        <x:v>仁愛復興路口</x:v>
      </x:c>
      <x:c r="D191" s="18" t="n">
        <x:v>26</x:v>
      </x:c>
      <x:c r="E191" s="18" t="n">
        <x:v>26</x:v>
      </x:c>
      <x:c r="F191" s="24" t="n">
        <x:f>IFERROR('各站彙總來源'!F191/'各站彙總來源'!G191,"")</x:f>
        <x:v>5.346153846153846</x:v>
      </x:c>
      <x:c r="G191" s="19" t="n">
        <x:f>'各站彙總來源'!G191</x:f>
        <x:v>26</x:v>
      </x:c>
      <x:c r="H191" s="24" t="n">
        <x:f>IFERROR('各站彙總來源'!H191/'各站彙總來源'!I191,"")</x:f>
        <x:v>0.5</x:v>
      </x:c>
      <x:c r="I191" s="19" t="n">
        <x:f>'各站彙總來源'!I191</x:f>
        <x:v>26</x:v>
      </x:c>
      <x:c r="J191" s="24" t="n">
        <x:f>IFERROR('各站彙總來源'!J191/'各站彙總來源'!K191,"")</x:f>
        <x:v>17.192307692307693</x:v>
      </x:c>
      <x:c r="K191" s="19" t="n">
        <x:f>'各站彙總來源'!K191</x:f>
        <x:v>26</x:v>
      </x:c>
      <x:c r="L191" s="24" t="n">
        <x:f>IFERROR('各站彙總來源'!L191/'各站彙總來源'!M191,"")</x:f>
        <x:v>1.9615384615384615</x:v>
      </x:c>
      <x:c r="M191" s="19" t="n">
        <x:f>'各站彙總來源'!M191</x:f>
        <x:v>26</x:v>
      </x:c>
      <x:c r="N191" s="24" t="n">
        <x:f>F191+H191</x:f>
        <x:v>5.846153846153846</x:v>
      </x:c>
      <x:c r="O191" s="24" t="n">
        <x:f>J191+L191</x:f>
        <x:v>19.153846153846153</x:v>
      </x:c>
    </x:row>
    <x:row r="192">
      <x:c r="A192" s="22" t="str">
        <x:v>500101238</x:v>
      </x:c>
      <x:c r="B192" s="17" t="str">
        <x:v>大安區</x:v>
      </x:c>
      <x:c r="C192" s="17" t="str">
        <x:v>仁愛敦南圓環(東側)</x:v>
      </x:c>
      <x:c r="D192" s="18" t="n">
        <x:v>26</x:v>
      </x:c>
      <x:c r="E192" s="18" t="n">
        <x:v>26</x:v>
      </x:c>
      <x:c r="F192" s="24" t="n">
        <x:f>IFERROR('各站彙總來源'!F192/'各站彙總來源'!G192,"")</x:f>
        <x:v>3.5384615384615383</x:v>
      </x:c>
      <x:c r="G192" s="19" t="n">
        <x:f>'各站彙總來源'!G192</x:f>
        <x:v>26</x:v>
      </x:c>
      <x:c r="H192" s="24" t="n">
        <x:f>IFERROR('各站彙總來源'!H192/'各站彙總來源'!I192,"")</x:f>
        <x:v>0.8076923076923077</x:v>
      </x:c>
      <x:c r="I192" s="19" t="n">
        <x:f>'各站彙總來源'!I192</x:f>
        <x:v>26</x:v>
      </x:c>
      <x:c r="J192" s="24" t="n">
        <x:f>IFERROR('各站彙總來源'!J192/'各站彙總來源'!K192,"")</x:f>
        <x:v>15.26923076923077</x:v>
      </x:c>
      <x:c r="K192" s="19" t="n">
        <x:f>'各站彙總來源'!K192</x:f>
        <x:v>26</x:v>
      </x:c>
      <x:c r="L192" s="24" t="n">
        <x:f>IFERROR('各站彙總來源'!L192/'各站彙總來源'!M192,"")</x:f>
        <x:v>3.230769230769231</x:v>
      </x:c>
      <x:c r="M192" s="19" t="n">
        <x:f>'各站彙總來源'!M192</x:f>
        <x:v>26</x:v>
      </x:c>
      <x:c r="N192" s="24" t="n">
        <x:f>F192+H192</x:f>
        <x:v>4.346153846153846</x:v>
      </x:c>
      <x:c r="O192" s="24" t="n">
        <x:f>J192+L192</x:f>
        <x:v>18.5</x:v>
      </x:c>
    </x:row>
    <x:row r="193">
      <x:c r="A193" s="22" t="str">
        <x:v>500101239</x:v>
      </x:c>
      <x:c r="B193" s="17" t="str">
        <x:v>大安區</x:v>
      </x:c>
      <x:c r="C193" s="17" t="str">
        <x:v>古風公園</x:v>
      </x:c>
      <x:c r="D193" s="18" t="n">
        <x:v>26</x:v>
      </x:c>
      <x:c r="E193" s="18" t="n">
        <x:v>26</x:v>
      </x:c>
      <x:c r="F193" s="24" t="n">
        <x:f>IFERROR('各站彙總來源'!F193/'各站彙總來源'!G193,"")</x:f>
        <x:v>15.615384615384615</x:v>
      </x:c>
      <x:c r="G193" s="19" t="n">
        <x:f>'各站彙總來源'!G193</x:f>
        <x:v>26</x:v>
      </x:c>
      <x:c r="H193" s="24" t="n">
        <x:f>IFERROR('各站彙總來源'!H193/'各站彙總來源'!I193,"")</x:f>
        <x:v>2.6153846153846154</x:v>
      </x:c>
      <x:c r="I193" s="19" t="n">
        <x:f>'各站彙總來源'!I193</x:f>
        <x:v>26</x:v>
      </x:c>
      <x:c r="J193" s="24" t="n">
        <x:f>IFERROR('各站彙總來源'!J193/'各站彙總來源'!K193,"")</x:f>
        <x:v>2.8846153846153846</x:v>
      </x:c>
      <x:c r="K193" s="19" t="n">
        <x:f>'各站彙總來源'!K193</x:f>
        <x:v>26</x:v>
      </x:c>
      <x:c r="L193" s="24" t="n">
        <x:f>IFERROR('各站彙總來源'!L193/'各站彙總來源'!M193,"")</x:f>
        <x:v>0.7692307692307693</x:v>
      </x:c>
      <x:c r="M193" s="19" t="n">
        <x:f>'各站彙總來源'!M193</x:f>
        <x:v>26</x:v>
      </x:c>
      <x:c r="N193" s="24" t="n">
        <x:f>F193+H193</x:f>
        <x:v>18.23076923076923</x:v>
      </x:c>
      <x:c r="O193" s="24" t="n">
        <x:f>J193+L193</x:f>
        <x:v>3.6538461538461537</x:v>
      </x:c>
    </x:row>
    <x:row r="194">
      <x:c r="A194" s="22" t="str">
        <x:v>500101240</x:v>
      </x:c>
      <x:c r="B194" s="17" t="str">
        <x:v>大安區</x:v>
      </x:c>
      <x:c r="C194" s="17" t="str">
        <x:v>和平東路二段76巷</x:v>
      </x:c>
      <x:c r="D194" s="18" t="n">
        <x:v>26</x:v>
      </x:c>
      <x:c r="E194" s="18" t="n">
        <x:v>26</x:v>
      </x:c>
      <x:c r="F194" s="24" t="n">
        <x:f>IFERROR('各站彙總來源'!F194/'各站彙總來源'!G194,"")</x:f>
        <x:v>30</x:v>
      </x:c>
      <x:c r="G194" s="19" t="n">
        <x:f>'各站彙總來源'!G194</x:f>
        <x:v>26</x:v>
      </x:c>
      <x:c r="H194" s="24" t="n">
        <x:f>IFERROR('各站彙總來源'!H194/'各站彙總來源'!I194,"")</x:f>
        <x:v>3.4615384615384617</x:v>
      </x:c>
      <x:c r="I194" s="19" t="n">
        <x:f>'各站彙總來源'!I194</x:f>
        <x:v>26</x:v>
      </x:c>
      <x:c r="J194" s="24" t="n">
        <x:f>IFERROR('各站彙總來源'!J194/'各站彙總來源'!K194,"")</x:f>
        <x:v>4.153846153846154</x:v>
      </x:c>
      <x:c r="K194" s="19" t="n">
        <x:f>'各站彙總來源'!K194</x:f>
        <x:v>26</x:v>
      </x:c>
      <x:c r="L194" s="24" t="n">
        <x:f>IFERROR('各站彙總來源'!L194/'各站彙總來源'!M194,"")</x:f>
        <x:v>1.2307692307692308</x:v>
      </x:c>
      <x:c r="M194" s="19" t="n">
        <x:f>'各站彙總來源'!M194</x:f>
        <x:v>26</x:v>
      </x:c>
      <x:c r="N194" s="24" t="n">
        <x:f>F194+H194</x:f>
        <x:v>33.46153846153846</x:v>
      </x:c>
      <x:c r="O194" s="24" t="n">
        <x:f>J194+L194</x:f>
        <x:v>5.384615384615385</x:v>
      </x:c>
    </x:row>
    <x:row r="195">
      <x:c r="A195" s="22" t="str">
        <x:v>500101241</x:v>
      </x:c>
      <x:c r="B195" s="17" t="str">
        <x:v>大安區</x:v>
      </x:c>
      <x:c r="C195" s="17" t="str">
        <x:v>敦化信義路口(東南側)</x:v>
      </x:c>
      <x:c r="D195" s="18" t="n">
        <x:v>26</x:v>
      </x:c>
      <x:c r="E195" s="18" t="n">
        <x:v>26</x:v>
      </x:c>
      <x:c r="F195" s="24" t="n">
        <x:f>IFERROR('各站彙總來源'!F195/'各站彙總來源'!G195,"")</x:f>
        <x:v>8.538461538461538</x:v>
      </x:c>
      <x:c r="G195" s="19" t="n">
        <x:f>'各站彙總來源'!G195</x:f>
        <x:v>26</x:v>
      </x:c>
      <x:c r="H195" s="24" t="n">
        <x:f>IFERROR('各站彙總來源'!H195/'各站彙總來源'!I195,"")</x:f>
        <x:v>1.2307692307692308</x:v>
      </x:c>
      <x:c r="I195" s="19" t="n">
        <x:f>'各站彙總來源'!I195</x:f>
        <x:v>26</x:v>
      </x:c>
      <x:c r="J195" s="24" t="n">
        <x:f>IFERROR('各站彙總來源'!J195/'各站彙總來源'!K195,"")</x:f>
        <x:v>7.461538461538462</x:v>
      </x:c>
      <x:c r="K195" s="19" t="n">
        <x:f>'各站彙總來源'!K195</x:f>
        <x:v>26</x:v>
      </x:c>
      <x:c r="L195" s="24" t="n">
        <x:f>IFERROR('各站彙總來源'!L195/'各站彙總來源'!M195,"")</x:f>
        <x:v>2.3846153846153846</x:v>
      </x:c>
      <x:c r="M195" s="19" t="n">
        <x:f>'各站彙總來源'!M195</x:f>
        <x:v>26</x:v>
      </x:c>
      <x:c r="N195" s="24" t="n">
        <x:f>F195+H195</x:f>
        <x:v>9.76923076923077</x:v>
      </x:c>
      <x:c r="O195" s="24" t="n">
        <x:f>J195+L195</x:f>
        <x:v>9.846153846153847</x:v>
      </x:c>
    </x:row>
    <x:row r="196">
      <x:c r="A196" s="22" t="str">
        <x:v>500101242</x:v>
      </x:c>
      <x:c r="B196" s="17" t="str">
        <x:v>大安區</x:v>
      </x:c>
      <x:c r="C196" s="17" t="str">
        <x:v>和平東路三段308巷口</x:v>
      </x:c>
      <x:c r="D196" s="18" t="n">
        <x:v>26</x:v>
      </x:c>
      <x:c r="E196" s="18" t="n">
        <x:v>26</x:v>
      </x:c>
      <x:c r="F196" s="24" t="n">
        <x:f>IFERROR('各站彙總來源'!F196/'各站彙總來源'!G196,"")</x:f>
        <x:v>15.76923076923077</x:v>
      </x:c>
      <x:c r="G196" s="19" t="n">
        <x:f>'各站彙總來源'!G196</x:f>
        <x:v>26</x:v>
      </x:c>
      <x:c r="H196" s="24" t="n">
        <x:f>IFERROR('各站彙總來源'!H196/'各站彙總來源'!I196,"")</x:f>
        <x:v>3.230769230769231</x:v>
      </x:c>
      <x:c r="I196" s="19" t="n">
        <x:f>'各站彙總來源'!I196</x:f>
        <x:v>26</x:v>
      </x:c>
      <x:c r="J196" s="24" t="n">
        <x:f>IFERROR('各站彙總來源'!J196/'各站彙總來源'!K196,"")</x:f>
        <x:v>2.5</x:v>
      </x:c>
      <x:c r="K196" s="19" t="n">
        <x:f>'各站彙總來源'!K196</x:f>
        <x:v>26</x:v>
      </x:c>
      <x:c r="L196" s="24" t="n">
        <x:f>IFERROR('各站彙總來源'!L196/'各站彙總來源'!M196,"")</x:f>
        <x:v>0.8076923076923077</x:v>
      </x:c>
      <x:c r="M196" s="19" t="n">
        <x:f>'各站彙總來源'!M196</x:f>
        <x:v>26</x:v>
      </x:c>
      <x:c r="N196" s="24" t="n">
        <x:f>F196+H196</x:f>
        <x:v>19</x:v>
      </x:c>
      <x:c r="O196" s="24" t="n">
        <x:f>J196+L196</x:f>
        <x:v>3.3076923076923075</x:v>
      </x:c>
    </x:row>
    <x:row r="197">
      <x:c r="A197" s="22" t="str">
        <x:v>500101243</x:v>
      </x:c>
      <x:c r="B197" s="17" t="str">
        <x:v>大安區</x:v>
      </x:c>
      <x:c r="C197" s="17" t="str">
        <x:v>忠孝建國路口(東南側)</x:v>
      </x:c>
      <x:c r="D197" s="18" t="n">
        <x:v>26</x:v>
      </x:c>
      <x:c r="E197" s="18" t="n">
        <x:v>26</x:v>
      </x:c>
      <x:c r="F197" s="24" t="n">
        <x:f>IFERROR('各站彙總來源'!F197/'各站彙總來源'!G197,"")</x:f>
        <x:v>8.961538461538462</x:v>
      </x:c>
      <x:c r="G197" s="19" t="n">
        <x:f>'各站彙總來源'!G197</x:f>
        <x:v>26</x:v>
      </x:c>
      <x:c r="H197" s="24" t="n">
        <x:f>IFERROR('各站彙總來源'!H197/'各站彙總來源'!I197,"")</x:f>
        <x:v>2.3076923076923075</x:v>
      </x:c>
      <x:c r="I197" s="19" t="n">
        <x:f>'各站彙總來源'!I197</x:f>
        <x:v>26</x:v>
      </x:c>
      <x:c r="J197" s="24" t="n">
        <x:f>IFERROR('各站彙總來源'!J197/'各站彙總來源'!K197,"")</x:f>
        <x:v>6.961538461538462</x:v>
      </x:c>
      <x:c r="K197" s="19" t="n">
        <x:f>'各站彙總來源'!K197</x:f>
        <x:v>26</x:v>
      </x:c>
      <x:c r="L197" s="24" t="n">
        <x:f>IFERROR('各站彙總來源'!L197/'各站彙總來源'!M197,"")</x:f>
        <x:v>1.8461538461538463</x:v>
      </x:c>
      <x:c r="M197" s="19" t="n">
        <x:f>'各站彙總來源'!M197</x:f>
        <x:v>26</x:v>
      </x:c>
      <x:c r="N197" s="24" t="n">
        <x:f>F197+H197</x:f>
        <x:v>11.26923076923077</x:v>
      </x:c>
      <x:c r="O197" s="24" t="n">
        <x:f>J197+L197</x:f>
        <x:v>8.807692307692308</x:v>
      </x:c>
    </x:row>
    <x:row r="198">
      <x:c r="A198" s="22" t="str">
        <x:v>500101244</x:v>
      </x:c>
      <x:c r="B198" s="17" t="str">
        <x:v>大安區</x:v>
      </x:c>
      <x:c r="C198" s="17" t="str">
        <x:v>浦城街26巷</x:v>
      </x:c>
      <x:c r="D198" s="18" t="n">
        <x:v>26</x:v>
      </x:c>
      <x:c r="E198" s="18" t="n">
        <x:v>26</x:v>
      </x:c>
      <x:c r="F198" s="24" t="n">
        <x:f>IFERROR('各站彙總來源'!F198/'各站彙總來源'!G198,"")</x:f>
        <x:v>17.576923076923077</x:v>
      </x:c>
      <x:c r="G198" s="19" t="n">
        <x:f>'各站彙總來源'!G198</x:f>
        <x:v>26</x:v>
      </x:c>
      <x:c r="H198" s="24" t="n">
        <x:f>IFERROR('各站彙總來源'!H198/'各站彙總來源'!I198,"")</x:f>
        <x:v>2.3461538461538463</x:v>
      </x:c>
      <x:c r="I198" s="19" t="n">
        <x:f>'各站彙總來源'!I198</x:f>
        <x:v>26</x:v>
      </x:c>
      <x:c r="J198" s="24" t="n">
        <x:f>IFERROR('各站彙總來源'!J198/'各站彙總來源'!K198,"")</x:f>
        <x:v>3.6538461538461537</x:v>
      </x:c>
      <x:c r="K198" s="19" t="n">
        <x:f>'各站彙總來源'!K198</x:f>
        <x:v>26</x:v>
      </x:c>
      <x:c r="L198" s="24" t="n">
        <x:f>IFERROR('各站彙總來源'!L198/'各站彙總來源'!M198,"")</x:f>
        <x:v>0.38461538461538464</x:v>
      </x:c>
      <x:c r="M198" s="19" t="n">
        <x:f>'各站彙總來源'!M198</x:f>
        <x:v>26</x:v>
      </x:c>
      <x:c r="N198" s="24" t="n">
        <x:f>F198+H198</x:f>
        <x:v>19.923076923076923</x:v>
      </x:c>
      <x:c r="O198" s="24" t="n">
        <x:f>J198+L198</x:f>
        <x:v>4.038461538461538</x:v>
      </x:c>
    </x:row>
    <x:row r="199">
      <x:c r="A199" s="22" t="str">
        <x:v>500101245</x:v>
      </x:c>
      <x:c r="B199" s="17" t="str">
        <x:v>大安區</x:v>
      </x:c>
      <x:c r="C199" s="17" t="str">
        <x:v>青峰活動中心</x:v>
      </x:c>
      <x:c r="D199" s="18" t="n">
        <x:v>26</x:v>
      </x:c>
      <x:c r="E199" s="18" t="n">
        <x:v>26</x:v>
      </x:c>
      <x:c r="F199" s="24" t="n">
        <x:f>IFERROR('各站彙總來源'!F199/'各站彙總來源'!G199,"")</x:f>
        <x:v>6.576923076923077</x:v>
      </x:c>
      <x:c r="G199" s="19" t="n">
        <x:f>'各站彙總來源'!G199</x:f>
        <x:v>26</x:v>
      </x:c>
      <x:c r="H199" s="24" t="n">
        <x:f>IFERROR('各站彙總來源'!H199/'各站彙總來源'!I199,"")</x:f>
        <x:v>1.8076923076923077</x:v>
      </x:c>
      <x:c r="I199" s="19" t="n">
        <x:f>'各站彙總來源'!I199</x:f>
        <x:v>26</x:v>
      </x:c>
      <x:c r="J199" s="24" t="n">
        <x:f>IFERROR('各站彙總來源'!J199/'各站彙總來源'!K199,"")</x:f>
        <x:v>10.576923076923077</x:v>
      </x:c>
      <x:c r="K199" s="19" t="n">
        <x:f>'各站彙總來源'!K199</x:f>
        <x:v>26</x:v>
      </x:c>
      <x:c r="L199" s="24" t="n">
        <x:f>IFERROR('各站彙總來源'!L199/'各站彙總來源'!M199,"")</x:f>
        <x:v>3.1538461538461537</x:v>
      </x:c>
      <x:c r="M199" s="19" t="n">
        <x:f>'各站彙總來源'!M199</x:f>
        <x:v>26</x:v>
      </x:c>
      <x:c r="N199" s="24" t="n">
        <x:f>F199+H199</x:f>
        <x:v>8.384615384615385</x:v>
      </x:c>
      <x:c r="O199" s="24" t="n">
        <x:f>J199+L199</x:f>
        <x:v>13.73076923076923</x:v>
      </x:c>
    </x:row>
    <x:row r="200">
      <x:c r="A200" s="22" t="str">
        <x:v>500101246</x:v>
      </x:c>
      <x:c r="B200" s="17" t="str">
        <x:v>大安區</x:v>
      </x:c>
      <x:c r="C200" s="17" t="str">
        <x:v>忠孝東路三段216巷口</x:v>
      </x:c>
      <x:c r="D200" s="18" t="n">
        <x:v>26</x:v>
      </x:c>
      <x:c r="E200" s="18" t="n">
        <x:v>26</x:v>
      </x:c>
      <x:c r="F200" s="24" t="n">
        <x:f>IFERROR('各站彙總來源'!F200/'各站彙總來源'!G200,"")</x:f>
        <x:v>16.653846153846153</x:v>
      </x:c>
      <x:c r="G200" s="19" t="n">
        <x:f>'各站彙總來源'!G200</x:f>
        <x:v>26</x:v>
      </x:c>
      <x:c r="H200" s="24" t="n">
        <x:f>IFERROR('各站彙總來源'!H200/'各站彙總來源'!I200,"")</x:f>
        <x:v>2</x:v>
      </x:c>
      <x:c r="I200" s="19" t="n">
        <x:f>'各站彙總來源'!I200</x:f>
        <x:v>26</x:v>
      </x:c>
      <x:c r="J200" s="24" t="n">
        <x:f>IFERROR('各站彙總來源'!J200/'各站彙總來源'!K200,"")</x:f>
        <x:v>5.769230769230769</x:v>
      </x:c>
      <x:c r="K200" s="19" t="n">
        <x:f>'各站彙總來源'!K200</x:f>
        <x:v>26</x:v>
      </x:c>
      <x:c r="L200" s="24" t="n">
        <x:f>IFERROR('各站彙總來源'!L200/'各站彙總來源'!M200,"")</x:f>
        <x:v>2.1538461538461537</x:v>
      </x:c>
      <x:c r="M200" s="19" t="n">
        <x:f>'各站彙總來源'!M200</x:f>
        <x:v>26</x:v>
      </x:c>
      <x:c r="N200" s="24" t="n">
        <x:f>F200+H200</x:f>
        <x:v>18.653846153846153</x:v>
      </x:c>
      <x:c r="O200" s="24" t="n">
        <x:f>J200+L200</x:f>
        <x:v>7.923076923076923</x:v>
      </x:c>
    </x:row>
    <x:row r="201">
      <x:c r="A201" s="22" t="str">
        <x:v>500101247</x:v>
      </x:c>
      <x:c r="B201" s="17" t="str">
        <x:v>大安區</x:v>
      </x:c>
      <x:c r="C201" s="17" t="str">
        <x:v>捷運忠孝復興站(4號出口)</x:v>
      </x:c>
      <x:c r="D201" s="18" t="n">
        <x:v>26</x:v>
      </x:c>
      <x:c r="E201" s="18" t="n">
        <x:v>26</x:v>
      </x:c>
      <x:c r="F201" s="24" t="n">
        <x:f>IFERROR('各站彙總來源'!F201/'各站彙總來源'!G201,"")</x:f>
        <x:v>14.884615384615385</x:v>
      </x:c>
      <x:c r="G201" s="19" t="n">
        <x:f>'各站彙總來源'!G201</x:f>
        <x:v>26</x:v>
      </x:c>
      <x:c r="H201" s="24" t="n">
        <x:f>IFERROR('各站彙總來源'!H201/'各站彙總來源'!I201,"")</x:f>
        <x:v>1.9615384615384615</x:v>
      </x:c>
      <x:c r="I201" s="19" t="n">
        <x:f>'各站彙總來源'!I201</x:f>
        <x:v>26</x:v>
      </x:c>
      <x:c r="J201" s="24" t="n">
        <x:f>IFERROR('各站彙總來源'!J201/'各站彙總來源'!K201,"")</x:f>
        <x:v>7.1923076923076925</x:v>
      </x:c>
      <x:c r="K201" s="19" t="n">
        <x:f>'各站彙總來源'!K201</x:f>
        <x:v>26</x:v>
      </x:c>
      <x:c r="L201" s="24" t="n">
        <x:f>IFERROR('各站彙總來源'!L201/'各站彙總來源'!M201,"")</x:f>
        <x:v>1.0384615384615385</x:v>
      </x:c>
      <x:c r="M201" s="19" t="n">
        <x:f>'各站彙總來源'!M201</x:f>
        <x:v>26</x:v>
      </x:c>
      <x:c r="N201" s="24" t="n">
        <x:f>F201+H201</x:f>
        <x:v>16.846153846153847</x:v>
      </x:c>
      <x:c r="O201" s="24" t="n">
        <x:f>J201+L201</x:f>
        <x:v>8.230769230769232</x:v>
      </x:c>
    </x:row>
    <x:row r="202">
      <x:c r="A202" s="22" t="str">
        <x:v>500101248</x:v>
      </x:c>
      <x:c r="B202" s="17" t="str">
        <x:v>大安區</x:v>
      </x:c>
      <x:c r="C202" s="17" t="str">
        <x:v>和平溫州街口</x:v>
      </x:c>
      <x:c r="D202" s="18" t="n">
        <x:v>26</x:v>
      </x:c>
      <x:c r="E202" s="18" t="n">
        <x:v>26</x:v>
      </x:c>
      <x:c r="F202" s="24" t="n">
        <x:f>IFERROR('各站彙總來源'!F202/'各站彙總來源'!G202,"")</x:f>
        <x:v>21.615384615384617</x:v>
      </x:c>
      <x:c r="G202" s="19" t="n">
        <x:f>'各站彙總來源'!G202</x:f>
        <x:v>26</x:v>
      </x:c>
      <x:c r="H202" s="24" t="n">
        <x:f>IFERROR('各站彙總來源'!H202/'各站彙總來源'!I202,"")</x:f>
        <x:v>2.576923076923077</x:v>
      </x:c>
      <x:c r="I202" s="19" t="n">
        <x:f>'各站彙總來源'!I202</x:f>
        <x:v>26</x:v>
      </x:c>
      <x:c r="J202" s="24" t="n">
        <x:f>IFERROR('各站彙總來源'!J202/'各站彙總來源'!K202,"")</x:f>
        <x:v>5.538461538461538</x:v>
      </x:c>
      <x:c r="K202" s="19" t="n">
        <x:f>'各站彙總來源'!K202</x:f>
        <x:v>26</x:v>
      </x:c>
      <x:c r="L202" s="24" t="n">
        <x:f>IFERROR('各站彙總來源'!L202/'各站彙總來源'!M202,"")</x:f>
        <x:v>0.9230769230769231</x:v>
      </x:c>
      <x:c r="M202" s="19" t="n">
        <x:f>'各站彙總來源'!M202</x:f>
        <x:v>26</x:v>
      </x:c>
      <x:c r="N202" s="24" t="n">
        <x:f>F202+H202</x:f>
        <x:v>24.192307692307693</x:v>
      </x:c>
      <x:c r="O202" s="24" t="n">
        <x:f>J202+L202</x:f>
        <x:v>6.461538461538462</x:v>
      </x:c>
    </x:row>
    <x:row r="203">
      <x:c r="A203" s="22" t="str">
        <x:v>500101249</x:v>
      </x:c>
      <x:c r="B203" s="17" t="str">
        <x:v>大安區</x:v>
      </x:c>
      <x:c r="C203" s="17" t="str">
        <x:v>安居街75巷</x:v>
      </x:c>
      <x:c r="D203" s="18" t="n">
        <x:v>26</x:v>
      </x:c>
      <x:c r="E203" s="18" t="n">
        <x:v>26</x:v>
      </x:c>
      <x:c r="F203" s="24" t="n">
        <x:f>IFERROR('各站彙總來源'!F203/'各站彙總來源'!G203,"")</x:f>
        <x:v>0</x:v>
      </x:c>
      <x:c r="G203" s="19" t="n">
        <x:f>'各站彙總來源'!G203</x:f>
        <x:v>26</x:v>
      </x:c>
      <x:c r="H203" s="24" t="n">
        <x:f>IFERROR('各站彙總來源'!H203/'各站彙總來源'!I203,"")</x:f>
        <x:v>0</x:v>
      </x:c>
      <x:c r="I203" s="19" t="n">
        <x:f>'各站彙總來源'!I203</x:f>
        <x:v>26</x:v>
      </x:c>
      <x:c r="J203" s="24" t="n">
        <x:f>IFERROR('各站彙總來源'!J203/'各站彙總來源'!K203,"")</x:f>
        <x:v>0</x:v>
      </x:c>
      <x:c r="K203" s="19" t="n">
        <x:f>'各站彙總來源'!K203</x:f>
        <x:v>26</x:v>
      </x:c>
      <x:c r="L203" s="24" t="n">
        <x:f>IFERROR('各站彙總來源'!L203/'各站彙總來源'!M203,"")</x:f>
        <x:v>0</x:v>
      </x:c>
      <x:c r="M203" s="19" t="n">
        <x:f>'各站彙總來源'!M203</x:f>
        <x:v>26</x:v>
      </x:c>
      <x:c r="N203" s="24" t="n">
        <x:f>F203+H203</x:f>
        <x:v>0</x:v>
      </x:c>
      <x:c r="O203" s="24" t="n">
        <x:f>J203+L203</x:f>
        <x:v>0</x:v>
      </x:c>
    </x:row>
    <x:row r="204">
      <x:c r="A204" s="22" t="str">
        <x:v>500101250</x:v>
      </x:c>
      <x:c r="B204" s="17" t="str">
        <x:v>大安區</x:v>
      </x:c>
      <x:c r="C204" s="17" t="str">
        <x:v>國立臺北教育大學創意館</x:v>
      </x:c>
      <x:c r="D204" s="18" t="n">
        <x:v>26</x:v>
      </x:c>
      <x:c r="E204" s="18" t="n">
        <x:v>26</x:v>
      </x:c>
      <x:c r="F204" s="24" t="n">
        <x:f>IFERROR('各站彙總來源'!F204/'各站彙總來源'!G204,"")</x:f>
        <x:v>8.076923076923077</x:v>
      </x:c>
      <x:c r="G204" s="19" t="n">
        <x:f>'各站彙總來源'!G204</x:f>
        <x:v>26</x:v>
      </x:c>
      <x:c r="H204" s="24" t="n">
        <x:f>IFERROR('各站彙總來源'!H204/'各站彙總來源'!I204,"")</x:f>
        <x:v>2.1923076923076925</x:v>
      </x:c>
      <x:c r="I204" s="19" t="n">
        <x:f>'各站彙總來源'!I204</x:f>
        <x:v>26</x:v>
      </x:c>
      <x:c r="J204" s="24" t="n">
        <x:f>IFERROR('各站彙總來源'!J204/'各站彙總來源'!K204,"")</x:f>
        <x:v>5.576923076923077</x:v>
      </x:c>
      <x:c r="K204" s="19" t="n">
        <x:f>'各站彙總來源'!K204</x:f>
        <x:v>26</x:v>
      </x:c>
      <x:c r="L204" s="24" t="n">
        <x:f>IFERROR('各站彙總來源'!L204/'各站彙總來源'!M204,"")</x:f>
        <x:v>0.9615384615384616</x:v>
      </x:c>
      <x:c r="M204" s="19" t="n">
        <x:f>'各站彙總來源'!M204</x:f>
        <x:v>26</x:v>
      </x:c>
      <x:c r="N204" s="24" t="n">
        <x:f>F204+H204</x:f>
        <x:v>10.26923076923077</x:v>
      </x:c>
      <x:c r="O204" s="24" t="n">
        <x:f>J204+L204</x:f>
        <x:v>6.538461538461538</x:v>
      </x:c>
    </x:row>
    <x:row r="205">
      <x:c r="A205" s="22" t="str">
        <x:v>500101251</x:v>
      </x:c>
      <x:c r="B205" s="17" t="str">
        <x:v>大安區</x:v>
      </x:c>
      <x:c r="C205" s="17" t="str">
        <x:v>捷運忠孝復興站(1號出口)</x:v>
      </x:c>
      <x:c r="D205" s="18" t="n">
        <x:v>26</x:v>
      </x:c>
      <x:c r="E205" s="18" t="n">
        <x:v>26</x:v>
      </x:c>
      <x:c r="F205" s="24" t="n">
        <x:f>IFERROR('各站彙總來源'!F205/'各站彙總來源'!G205,"")</x:f>
        <x:v>15.192307692307692</x:v>
      </x:c>
      <x:c r="G205" s="19" t="n">
        <x:f>'各站彙總來源'!G205</x:f>
        <x:v>26</x:v>
      </x:c>
      <x:c r="H205" s="24" t="n">
        <x:f>IFERROR('各站彙總來源'!H205/'各站彙總來源'!I205,"")</x:f>
        <x:v>2.5384615384615383</x:v>
      </x:c>
      <x:c r="I205" s="19" t="n">
        <x:f>'各站彙總來源'!I205</x:f>
        <x:v>26</x:v>
      </x:c>
      <x:c r="J205" s="24" t="n">
        <x:f>IFERROR('各站彙總來源'!J205/'各站彙總來源'!K205,"")</x:f>
        <x:v>9.038461538461538</x:v>
      </x:c>
      <x:c r="K205" s="19" t="n">
        <x:f>'各站彙總來源'!K205</x:f>
        <x:v>26</x:v>
      </x:c>
      <x:c r="L205" s="24" t="n">
        <x:f>IFERROR('各站彙總來源'!L205/'各站彙總來源'!M205,"")</x:f>
        <x:v>2.076923076923077</x:v>
      </x:c>
      <x:c r="M205" s="19" t="n">
        <x:f>'各站彙總來源'!M205</x:f>
        <x:v>26</x:v>
      </x:c>
      <x:c r="N205" s="24" t="n">
        <x:f>F205+H205</x:f>
        <x:v>17.73076923076923</x:v>
      </x:c>
      <x:c r="O205" s="24" t="n">
        <x:f>J205+L205</x:f>
        <x:v>11.115384615384615</x:v>
      </x:c>
    </x:row>
    <x:row r="206">
      <x:c r="A206" s="22" t="str">
        <x:v>500101252</x:v>
      </x:c>
      <x:c r="B206" s="17" t="str">
        <x:v>大安區</x:v>
      </x:c>
      <x:c r="C206" s="17" t="str">
        <x:v>政大公企中心</x:v>
      </x:c>
      <x:c r="D206" s="18" t="n">
        <x:v>26</x:v>
      </x:c>
      <x:c r="E206" s="18" t="n">
        <x:v>26</x:v>
      </x:c>
      <x:c r="F206" s="24" t="n">
        <x:f>IFERROR('各站彙總來源'!F206/'各站彙總來源'!G206,"")</x:f>
        <x:v>4.346153846153846</x:v>
      </x:c>
      <x:c r="G206" s="19" t="n">
        <x:f>'各站彙總來源'!G206</x:f>
        <x:v>26</x:v>
      </x:c>
      <x:c r="H206" s="24" t="n">
        <x:f>IFERROR('各站彙總來源'!H206/'各站彙總來源'!I206,"")</x:f>
        <x:v>1.0384615384615385</x:v>
      </x:c>
      <x:c r="I206" s="19" t="n">
        <x:f>'各站彙總來源'!I206</x:f>
        <x:v>26</x:v>
      </x:c>
      <x:c r="J206" s="24" t="n">
        <x:f>IFERROR('各站彙總來源'!J206/'各站彙總來源'!K206,"")</x:f>
        <x:v>5.576923076923077</x:v>
      </x:c>
      <x:c r="K206" s="19" t="n">
        <x:f>'各站彙總來源'!K206</x:f>
        <x:v>26</x:v>
      </x:c>
      <x:c r="L206" s="24" t="n">
        <x:f>IFERROR('各站彙總來源'!L206/'各站彙總來源'!M206,"")</x:f>
        <x:v>2</x:v>
      </x:c>
      <x:c r="M206" s="19" t="n">
        <x:f>'各站彙總來源'!M206</x:f>
        <x:v>26</x:v>
      </x:c>
      <x:c r="N206" s="24" t="n">
        <x:f>F206+H206</x:f>
        <x:v>5.384615384615384</x:v>
      </x:c>
      <x:c r="O206" s="24" t="n">
        <x:f>J206+L206</x:f>
        <x:v>7.576923076923077</x:v>
      </x:c>
    </x:row>
    <x:row r="207">
      <x:c r="A207" s="22" t="str">
        <x:v>500101253</x:v>
      </x:c>
      <x:c r="B207" s="17" t="str">
        <x:v>大安區</x:v>
      </x:c>
      <x:c r="C207" s="17" t="str">
        <x:v>大安路二段90巷口</x:v>
      </x:c>
      <x:c r="D207" s="18" t="n">
        <x:v>26</x:v>
      </x:c>
      <x:c r="E207" s="18" t="n">
        <x:v>26</x:v>
      </x:c>
      <x:c r="F207" s="24" t="n">
        <x:f>IFERROR('各站彙總來源'!F207/'各站彙總來源'!G207,"")</x:f>
        <x:v>4.615384615384615</x:v>
      </x:c>
      <x:c r="G207" s="19" t="n">
        <x:f>'各站彙總來源'!G207</x:f>
        <x:v>26</x:v>
      </x:c>
      <x:c r="H207" s="24" t="n">
        <x:f>IFERROR('各站彙總來源'!H207/'各站彙總來源'!I207,"")</x:f>
        <x:v>1.8076923076923077</x:v>
      </x:c>
      <x:c r="I207" s="19" t="n">
        <x:f>'各站彙總來源'!I207</x:f>
        <x:v>26</x:v>
      </x:c>
      <x:c r="J207" s="24" t="n">
        <x:f>IFERROR('各站彙總來源'!J207/'各站彙總來源'!K207,"")</x:f>
        <x:v>5.076923076923077</x:v>
      </x:c>
      <x:c r="K207" s="19" t="n">
        <x:f>'各站彙總來源'!K207</x:f>
        <x:v>26</x:v>
      </x:c>
      <x:c r="L207" s="24" t="n">
        <x:f>IFERROR('各站彙總來源'!L207/'各站彙總來源'!M207,"")</x:f>
        <x:v>1.2307692307692308</x:v>
      </x:c>
      <x:c r="M207" s="19" t="n">
        <x:f>'各站彙總來源'!M207</x:f>
        <x:v>26</x:v>
      </x:c>
      <x:c r="N207" s="24" t="n">
        <x:f>F207+H207</x:f>
        <x:v>6.4230769230769225</x:v>
      </x:c>
      <x:c r="O207" s="24" t="n">
        <x:f>J207+L207</x:f>
        <x:v>6.3076923076923075</x:v>
      </x:c>
    </x:row>
    <x:row r="208">
      <x:c r="A208" s="22" t="str">
        <x:v>500101254</x:v>
      </x:c>
      <x:c r="B208" s="17" t="str">
        <x:v>大安區</x:v>
      </x:c>
      <x:c r="C208" s="17" t="str">
        <x:v>師大附中運動中心</x:v>
      </x:c>
      <x:c r="D208" s="18" t="n">
        <x:v>26</x:v>
      </x:c>
      <x:c r="E208" s="18" t="n">
        <x:v>26</x:v>
      </x:c>
      <x:c r="F208" s="24" t="n">
        <x:f>IFERROR('各站彙總來源'!F208/'各站彙總來源'!G208,"")</x:f>
        <x:v>11.346153846153847</x:v>
      </x:c>
      <x:c r="G208" s="19" t="n">
        <x:f>'各站彙總來源'!G208</x:f>
        <x:v>26</x:v>
      </x:c>
      <x:c r="H208" s="24" t="n">
        <x:f>IFERROR('各站彙總來源'!H208/'各站彙總來源'!I208,"")</x:f>
        <x:v>1.1923076923076923</x:v>
      </x:c>
      <x:c r="I208" s="19" t="n">
        <x:f>'各站彙總來源'!I208</x:f>
        <x:v>26</x:v>
      </x:c>
      <x:c r="J208" s="24" t="n">
        <x:f>IFERROR('各站彙總來源'!J208/'各站彙總來源'!K208,"")</x:f>
        <x:v>12.153846153846153</x:v>
      </x:c>
      <x:c r="K208" s="19" t="n">
        <x:f>'各站彙總來源'!K208</x:f>
        <x:v>26</x:v>
      </x:c>
      <x:c r="L208" s="24" t="n">
        <x:f>IFERROR('各站彙總來源'!L208/'各站彙總來源'!M208,"")</x:f>
        <x:v>1.7307692307692308</x:v>
      </x:c>
      <x:c r="M208" s="19" t="n">
        <x:f>'各站彙總來源'!M208</x:f>
        <x:v>26</x:v>
      </x:c>
      <x:c r="N208" s="24" t="n">
        <x:f>F208+H208</x:f>
        <x:v>12.538461538461538</x:v>
      </x:c>
      <x:c r="O208" s="24" t="n">
        <x:f>J208+L208</x:f>
        <x:v>13.884615384615383</x:v>
      </x:c>
    </x:row>
    <x:row r="209">
      <x:c r="A209" s="22" t="str">
        <x:v>500101255</x:v>
      </x:c>
      <x:c r="B209" s="17" t="str">
        <x:v>大安區</x:v>
      </x:c>
      <x:c r="C209" s="17" t="str">
        <x:v>錦安區民活動中心</x:v>
      </x:c>
      <x:c r="D209" s="18" t="n">
        <x:v>26</x:v>
      </x:c>
      <x:c r="E209" s="18" t="n">
        <x:v>26</x:v>
      </x:c>
      <x:c r="F209" s="24" t="n">
        <x:f>IFERROR('各站彙總來源'!F209/'各站彙總來源'!G209,"")</x:f>
        <x:v>5.346153846153846</x:v>
      </x:c>
      <x:c r="G209" s="19" t="n">
        <x:f>'各站彙總來源'!G209</x:f>
        <x:v>26</x:v>
      </x:c>
      <x:c r="H209" s="24" t="n">
        <x:f>IFERROR('各站彙總來源'!H209/'各站彙總來源'!I209,"")</x:f>
        <x:v>3.1153846153846154</x:v>
      </x:c>
      <x:c r="I209" s="19" t="n">
        <x:f>'各站彙總來源'!I209</x:f>
        <x:v>26</x:v>
      </x:c>
      <x:c r="J209" s="24" t="n">
        <x:f>IFERROR('各站彙總來源'!J209/'各站彙總來源'!K209,"")</x:f>
        <x:v>7.346153846153846</x:v>
      </x:c>
      <x:c r="K209" s="19" t="n">
        <x:f>'各站彙總來源'!K209</x:f>
        <x:v>26</x:v>
      </x:c>
      <x:c r="L209" s="24" t="n">
        <x:f>IFERROR('各站彙總來源'!L209/'各站彙總來源'!M209,"")</x:f>
        <x:v>2</x:v>
      </x:c>
      <x:c r="M209" s="19" t="n">
        <x:f>'各站彙總來源'!M209</x:f>
        <x:v>26</x:v>
      </x:c>
      <x:c r="N209" s="24" t="n">
        <x:f>F209+H209</x:f>
        <x:v>8.461538461538462</x:v>
      </x:c>
      <x:c r="O209" s="24" t="n">
        <x:f>J209+L209</x:f>
        <x:v>9.346153846153847</x:v>
      </x:c>
    </x:row>
    <x:row r="210">
      <x:c r="A210" s="22" t="str">
        <x:v>500101256</x:v>
      </x:c>
      <x:c r="B210" s="17" t="str">
        <x:v>大安區</x:v>
      </x:c>
      <x:c r="C210" s="17" t="str">
        <x:v>敦化基隆路口(東北側)</x:v>
      </x:c>
      <x:c r="D210" s="18" t="n">
        <x:v>26</x:v>
      </x:c>
      <x:c r="E210" s="18" t="n">
        <x:v>26</x:v>
      </x:c>
      <x:c r="F210" s="24" t="n">
        <x:f>IFERROR('各站彙總來源'!F210/'各站彙總來源'!G210,"")</x:f>
        <x:v>7.423076923076923</x:v>
      </x:c>
      <x:c r="G210" s="19" t="n">
        <x:f>'各站彙總來源'!G210</x:f>
        <x:v>26</x:v>
      </x:c>
      <x:c r="H210" s="24" t="n">
        <x:f>IFERROR('各站彙總來源'!H210/'各站彙總來源'!I210,"")</x:f>
        <x:v>1.5769230769230769</x:v>
      </x:c>
      <x:c r="I210" s="19" t="n">
        <x:f>'各站彙總來源'!I210</x:f>
        <x:v>26</x:v>
      </x:c>
      <x:c r="J210" s="24" t="n">
        <x:f>IFERROR('各站彙總來源'!J210/'各站彙總來源'!K210,"")</x:f>
        <x:v>6.8076923076923075</x:v>
      </x:c>
      <x:c r="K210" s="19" t="n">
        <x:f>'各站彙總來源'!K210</x:f>
        <x:v>26</x:v>
      </x:c>
      <x:c r="L210" s="24" t="n">
        <x:f>IFERROR('各站彙總來源'!L210/'各站彙總來源'!M210,"")</x:f>
        <x:v>2.3461538461538463</x:v>
      </x:c>
      <x:c r="M210" s="19" t="n">
        <x:f>'各站彙總來源'!M210</x:f>
        <x:v>26</x:v>
      </x:c>
      <x:c r="N210" s="24" t="n">
        <x:f>F210+H210</x:f>
        <x:v>9</x:v>
      </x:c>
      <x:c r="O210" s="24" t="n">
        <x:f>J210+L210</x:f>
        <x:v>9.153846153846153</x:v>
      </x:c>
    </x:row>
    <x:row r="211">
      <x:c r="A211" s="22" t="str">
        <x:v>500101257</x:v>
      </x:c>
      <x:c r="B211" s="17" t="str">
        <x:v>大安區</x:v>
      </x:c>
      <x:c r="C211" s="17" t="str">
        <x:v>龍圖公園</x:v>
      </x:c>
      <x:c r="D211" s="18" t="n">
        <x:v>26</x:v>
      </x:c>
      <x:c r="E211" s="18" t="n">
        <x:v>26</x:v>
      </x:c>
      <x:c r="F211" s="24" t="n">
        <x:f>IFERROR('各站彙總來源'!F211/'各站彙總來源'!G211,"")</x:f>
        <x:v>11.153846153846153</x:v>
      </x:c>
      <x:c r="G211" s="19" t="n">
        <x:f>'各站彙總來源'!G211</x:f>
        <x:v>26</x:v>
      </x:c>
      <x:c r="H211" s="24" t="n">
        <x:f>IFERROR('各站彙總來源'!H211/'各站彙總來源'!I211,"")</x:f>
        <x:v>2.3846153846153846</x:v>
      </x:c>
      <x:c r="I211" s="19" t="n">
        <x:f>'各站彙總來源'!I211</x:f>
        <x:v>26</x:v>
      </x:c>
      <x:c r="J211" s="24" t="n">
        <x:f>IFERROR('各站彙總來源'!J211/'各站彙總來源'!K211,"")</x:f>
        <x:v>2.923076923076923</x:v>
      </x:c>
      <x:c r="K211" s="19" t="n">
        <x:f>'各站彙總來源'!K211</x:f>
        <x:v>26</x:v>
      </x:c>
      <x:c r="L211" s="24" t="n">
        <x:f>IFERROR('各站彙總來源'!L211/'各站彙總來源'!M211,"")</x:f>
        <x:v>0.8846153846153846</x:v>
      </x:c>
      <x:c r="M211" s="19" t="n">
        <x:f>'各站彙總來源'!M211</x:f>
        <x:v>26</x:v>
      </x:c>
      <x:c r="N211" s="24" t="n">
        <x:f>F211+H211</x:f>
        <x:v>13.538461538461538</x:v>
      </x:c>
      <x:c r="O211" s="24" t="n">
        <x:f>J211+L211</x:f>
        <x:v>3.8076923076923075</x:v>
      </x:c>
    </x:row>
    <x:row r="212">
      <x:c r="A212" s="22" t="str">
        <x:v>500101258</x:v>
      </x:c>
      <x:c r="B212" s="17" t="str">
        <x:v>大安區</x:v>
      </x:c>
      <x:c r="C212" s="17" t="str">
        <x:v>新生南路二段54巷口</x:v>
      </x:c>
      <x:c r="D212" s="18" t="n">
        <x:v>26</x:v>
      </x:c>
      <x:c r="E212" s="18" t="n">
        <x:v>26</x:v>
      </x:c>
      <x:c r="F212" s="24" t="n">
        <x:f>IFERROR('各站彙總來源'!F212/'各站彙總來源'!G212,"")</x:f>
        <x:v>7.346153846153846</x:v>
      </x:c>
      <x:c r="G212" s="19" t="n">
        <x:f>'各站彙總來源'!G212</x:f>
        <x:v>26</x:v>
      </x:c>
      <x:c r="H212" s="24" t="n">
        <x:f>IFERROR('各站彙總來源'!H212/'各站彙總來源'!I212,"")</x:f>
        <x:v>1.3461538461538463</x:v>
      </x:c>
      <x:c r="I212" s="19" t="n">
        <x:f>'各站彙總來源'!I212</x:f>
        <x:v>26</x:v>
      </x:c>
      <x:c r="J212" s="24" t="n">
        <x:f>IFERROR('各站彙總來源'!J212/'各站彙總來源'!K212,"")</x:f>
        <x:v>5.1923076923076925</x:v>
      </x:c>
      <x:c r="K212" s="19" t="n">
        <x:f>'各站彙總來源'!K212</x:f>
        <x:v>26</x:v>
      </x:c>
      <x:c r="L212" s="24" t="n">
        <x:f>IFERROR('各站彙總來源'!L212/'各站彙總來源'!M212,"")</x:f>
        <x:v>1.1153846153846154</x:v>
      </x:c>
      <x:c r="M212" s="19" t="n">
        <x:f>'各站彙總來源'!M212</x:f>
        <x:v>26</x:v>
      </x:c>
      <x:c r="N212" s="24" t="n">
        <x:f>F212+H212</x:f>
        <x:v>8.692307692307692</x:v>
      </x:c>
      <x:c r="O212" s="24" t="n">
        <x:f>J212+L212</x:f>
        <x:v>6.307692307692308</x:v>
      </x:c>
    </x:row>
    <x:row r="213">
      <x:c r="A213" s="22" t="str">
        <x:v>500101259</x:v>
      </x:c>
      <x:c r="B213" s="17" t="str">
        <x:v>大安區</x:v>
      </x:c>
      <x:c r="C213" s="17" t="str">
        <x:v>臺靜農人文會館</x:v>
      </x:c>
      <x:c r="D213" s="18" t="n">
        <x:v>26</x:v>
      </x:c>
      <x:c r="E213" s="18" t="n">
        <x:v>26</x:v>
      </x:c>
      <x:c r="F213" s="24" t="n">
        <x:f>IFERROR('各站彙總來源'!F213/'各站彙總來源'!G213,"")</x:f>
        <x:v>9.038461538461538</x:v>
      </x:c>
      <x:c r="G213" s="19" t="n">
        <x:f>'各站彙總來源'!G213</x:f>
        <x:v>26</x:v>
      </x:c>
      <x:c r="H213" s="24" t="n">
        <x:f>IFERROR('各站彙總來源'!H213/'各站彙總來源'!I213,"")</x:f>
        <x:v>1.6538461538461537</x:v>
      </x:c>
      <x:c r="I213" s="19" t="n">
        <x:f>'各站彙總來源'!I213</x:f>
        <x:v>26</x:v>
      </x:c>
      <x:c r="J213" s="24" t="n">
        <x:f>IFERROR('各站彙總來源'!J213/'各站彙總來源'!K213,"")</x:f>
        <x:v>4.538461538461538</x:v>
      </x:c>
      <x:c r="K213" s="19" t="n">
        <x:f>'各站彙總來源'!K213</x:f>
        <x:v>26</x:v>
      </x:c>
      <x:c r="L213" s="24" t="n">
        <x:f>IFERROR('各站彙總來源'!L213/'各站彙總來源'!M213,"")</x:f>
        <x:v>0.6538461538461539</x:v>
      </x:c>
      <x:c r="M213" s="19" t="n">
        <x:f>'各站彙總來源'!M213</x:f>
        <x:v>26</x:v>
      </x:c>
      <x:c r="N213" s="24" t="n">
        <x:f>F213+H213</x:f>
        <x:v>10.692307692307692</x:v>
      </x:c>
      <x:c r="O213" s="24" t="n">
        <x:f>J213+L213</x:f>
        <x:v>5.1923076923076925</x:v>
      </x:c>
    </x:row>
    <x:row r="214">
      <x:c r="A214" s="22" t="str">
        <x:v>500101260</x:v>
      </x:c>
      <x:c r="B214" s="17" t="str">
        <x:v>大安區</x:v>
      </x:c>
      <x:c r="C214" s="17" t="str">
        <x:v>建國南路二段瑞安街264巷口</x:v>
      </x:c>
      <x:c r="D214" s="18" t="n">
        <x:v>26</x:v>
      </x:c>
      <x:c r="E214" s="18" t="n">
        <x:v>26</x:v>
      </x:c>
      <x:c r="F214" s="24" t="n">
        <x:f>IFERROR('各站彙總來源'!F214/'各站彙總來源'!G214,"")</x:f>
        <x:v>8.923076923076923</x:v>
      </x:c>
      <x:c r="G214" s="19" t="n">
        <x:f>'各站彙總來源'!G214</x:f>
        <x:v>26</x:v>
      </x:c>
      <x:c r="H214" s="24" t="n">
        <x:f>IFERROR('各站彙總來源'!H214/'各站彙總來源'!I214,"")</x:f>
        <x:v>1.8076923076923077</x:v>
      </x:c>
      <x:c r="I214" s="19" t="n">
        <x:f>'各站彙總來源'!I214</x:f>
        <x:v>26</x:v>
      </x:c>
      <x:c r="J214" s="24" t="n">
        <x:f>IFERROR('各站彙總來源'!J214/'各站彙總來源'!K214,"")</x:f>
        <x:v>3.6538461538461537</x:v>
      </x:c>
      <x:c r="K214" s="19" t="n">
        <x:f>'各站彙總來源'!K214</x:f>
        <x:v>26</x:v>
      </x:c>
      <x:c r="L214" s="24" t="n">
        <x:f>IFERROR('各站彙總來源'!L214/'各站彙總來源'!M214,"")</x:f>
        <x:v>0.9230769230769231</x:v>
      </x:c>
      <x:c r="M214" s="19" t="n">
        <x:f>'各站彙總來源'!M214</x:f>
        <x:v>26</x:v>
      </x:c>
      <x:c r="N214" s="24" t="n">
        <x:f>F214+H214</x:f>
        <x:v>10.730769230769232</x:v>
      </x:c>
      <x:c r="O214" s="24" t="n">
        <x:f>J214+L214</x:f>
        <x:v>4.576923076923077</x:v>
      </x:c>
    </x:row>
    <x:row r="215">
      <x:c r="A215" s="22" t="str">
        <x:v>500101261</x:v>
      </x:c>
      <x:c r="B215" s="17" t="str">
        <x:v>大安區</x:v>
      </x:c>
      <x:c r="C215" s="17" t="str">
        <x:v>辛亥路一段77巷口</x:v>
      </x:c>
      <x:c r="D215" s="18" t="n">
        <x:v>26</x:v>
      </x:c>
      <x:c r="E215" s="18" t="n">
        <x:v>26</x:v>
      </x:c>
      <x:c r="F215" s="24" t="n">
        <x:f>IFERROR('各站彙總來源'!F215/'各站彙總來源'!G215,"")</x:f>
        <x:v>17.115384615384617</x:v>
      </x:c>
      <x:c r="G215" s="19" t="n">
        <x:f>'各站彙總來源'!G215</x:f>
        <x:v>26</x:v>
      </x:c>
      <x:c r="H215" s="24" t="n">
        <x:f>IFERROR('各站彙總來源'!H215/'各站彙總來源'!I215,"")</x:f>
        <x:v>2.5384615384615383</x:v>
      </x:c>
      <x:c r="I215" s="19" t="n">
        <x:f>'各站彙總來源'!I215</x:f>
        <x:v>26</x:v>
      </x:c>
      <x:c r="J215" s="24" t="n">
        <x:f>IFERROR('各站彙總來源'!J215/'各站彙總來源'!K215,"")</x:f>
        <x:v>4.961538461538462</x:v>
      </x:c>
      <x:c r="K215" s="19" t="n">
        <x:f>'各站彙總來源'!K215</x:f>
        <x:v>26</x:v>
      </x:c>
      <x:c r="L215" s="24" t="n">
        <x:f>IFERROR('各站彙總來源'!L215/'各站彙總來源'!M215,"")</x:f>
        <x:v>0.7307692307692307</x:v>
      </x:c>
      <x:c r="M215" s="19" t="n">
        <x:f>'各站彙總來源'!M215</x:f>
        <x:v>26</x:v>
      </x:c>
      <x:c r="N215" s="24" t="n">
        <x:f>F215+H215</x:f>
        <x:v>19.653846153846153</x:v>
      </x:c>
      <x:c r="O215" s="24" t="n">
        <x:f>J215+L215</x:f>
        <x:v>5.6923076923076925</x:v>
      </x:c>
    </x:row>
    <x:row r="216">
      <x:c r="A216" s="22" t="str">
        <x:v>500101262</x:v>
      </x:c>
      <x:c r="B216" s="17" t="str">
        <x:v>大安區</x:v>
      </x:c>
      <x:c r="C216" s="17" t="str">
        <x:v>愛國東路210巷口</x:v>
      </x:c>
      <x:c r="D216" s="18" t="n">
        <x:v>26</x:v>
      </x:c>
      <x:c r="E216" s="18" t="n">
        <x:v>26</x:v>
      </x:c>
      <x:c r="F216" s="24" t="n">
        <x:f>IFERROR('各站彙總來源'!F216/'各站彙總來源'!G216,"")</x:f>
        <x:v>7.961538461538462</x:v>
      </x:c>
      <x:c r="G216" s="19" t="n">
        <x:f>'各站彙總來源'!G216</x:f>
        <x:v>26</x:v>
      </x:c>
      <x:c r="H216" s="24" t="n">
        <x:f>IFERROR('各站彙總來源'!H216/'各站彙總來源'!I216,"")</x:f>
        <x:v>1</x:v>
      </x:c>
      <x:c r="I216" s="19" t="n">
        <x:f>'各站彙總來源'!I216</x:f>
        <x:v>26</x:v>
      </x:c>
      <x:c r="J216" s="24" t="n">
        <x:f>IFERROR('各站彙總來源'!J216/'各站彙總來源'!K216,"")</x:f>
        <x:v>18.076923076923077</x:v>
      </x:c>
      <x:c r="K216" s="19" t="n">
        <x:f>'各站彙總來源'!K216</x:f>
        <x:v>26</x:v>
      </x:c>
      <x:c r="L216" s="24" t="n">
        <x:f>IFERROR('各站彙總來源'!L216/'各站彙總來源'!M216,"")</x:f>
        <x:v>1.3846153846153846</x:v>
      </x:c>
      <x:c r="M216" s="19" t="n">
        <x:f>'各站彙總來源'!M216</x:f>
        <x:v>26</x:v>
      </x:c>
      <x:c r="N216" s="24" t="n">
        <x:f>F216+H216</x:f>
        <x:v>8.961538461538462</x:v>
      </x:c>
      <x:c r="O216" s="24" t="n">
        <x:f>J216+L216</x:f>
        <x:v>19.46153846153846</x:v>
      </x:c>
    </x:row>
    <x:row r="217">
      <x:c r="A217" s="22" t="str">
        <x:v>500101263</x:v>
      </x:c>
      <x:c r="B217" s="17" t="str">
        <x:v>大安區</x:v>
      </x:c>
      <x:c r="C217" s="17" t="str">
        <x:v>信義路三段134巷</x:v>
      </x:c>
      <x:c r="D217" s="18" t="n">
        <x:v>26</x:v>
      </x:c>
      <x:c r="E217" s="18" t="n">
        <x:v>26</x:v>
      </x:c>
      <x:c r="F217" s="24" t="n">
        <x:f>IFERROR('各站彙總來源'!F217/'各站彙總來源'!G217,"")</x:f>
        <x:v>0</x:v>
      </x:c>
      <x:c r="G217" s="19" t="n">
        <x:f>'各站彙總來源'!G217</x:f>
        <x:v>26</x:v>
      </x:c>
      <x:c r="H217" s="24" t="n">
        <x:f>IFERROR('各站彙總來源'!H217/'各站彙總來源'!I217,"")</x:f>
        <x:v>0</x:v>
      </x:c>
      <x:c r="I217" s="19" t="n">
        <x:f>'各站彙總來源'!I217</x:f>
        <x:v>26</x:v>
      </x:c>
      <x:c r="J217" s="24" t="n">
        <x:f>IFERROR('各站彙總來源'!J217/'各站彙總來源'!K217,"")</x:f>
        <x:v>0</x:v>
      </x:c>
      <x:c r="K217" s="19" t="n">
        <x:f>'各站彙總來源'!K217</x:f>
        <x:v>26</x:v>
      </x:c>
      <x:c r="L217" s="24" t="n">
        <x:f>IFERROR('各站彙總來源'!L217/'各站彙總來源'!M217,"")</x:f>
        <x:v>0</x:v>
      </x:c>
      <x:c r="M217" s="19" t="n">
        <x:f>'各站彙總來源'!M217</x:f>
        <x:v>26</x:v>
      </x:c>
      <x:c r="N217" s="24" t="n">
        <x:f>F217+H217</x:f>
        <x:v>0</x:v>
      </x:c>
      <x:c r="O217" s="24" t="n">
        <x:f>J217+L217</x:f>
        <x:v>0</x:v>
      </x:c>
    </x:row>
    <x:row r="218">
      <x:c r="A218" s="22" t="str">
        <x:v>500101264</x:v>
      </x:c>
      <x:c r="B218" s="17" t="str">
        <x:v>大安區</x:v>
      </x:c>
      <x:c r="C218" s="17" t="str">
        <x:v>金華國中</x:v>
      </x:c>
      <x:c r="D218" s="18" t="n">
        <x:v>26</x:v>
      </x:c>
      <x:c r="E218" s="18" t="n">
        <x:v>26</x:v>
      </x:c>
      <x:c r="F218" s="24" t="n">
        <x:f>IFERROR('各站彙總來源'!F218/'各站彙總來源'!G218,"")</x:f>
        <x:v>4.653846153846154</x:v>
      </x:c>
      <x:c r="G218" s="19" t="n">
        <x:f>'各站彙總來源'!G218</x:f>
        <x:v>26</x:v>
      </x:c>
      <x:c r="H218" s="24" t="n">
        <x:f>IFERROR('各站彙總來源'!H218/'各站彙總來源'!I218,"")</x:f>
        <x:v>0.7692307692307693</x:v>
      </x:c>
      <x:c r="I218" s="19" t="n">
        <x:f>'各站彙總來源'!I218</x:f>
        <x:v>26</x:v>
      </x:c>
      <x:c r="J218" s="24" t="n">
        <x:f>IFERROR('各站彙總來源'!J218/'各站彙總來源'!K218,"")</x:f>
        <x:v>5.230769230769231</x:v>
      </x:c>
      <x:c r="K218" s="19" t="n">
        <x:f>'各站彙總來源'!K218</x:f>
        <x:v>26</x:v>
      </x:c>
      <x:c r="L218" s="24" t="n">
        <x:f>IFERROR('各站彙總來源'!L218/'各站彙總來源'!M218,"")</x:f>
        <x:v>1.1153846153846154</x:v>
      </x:c>
      <x:c r="M218" s="19" t="n">
        <x:f>'各站彙總來源'!M218</x:f>
        <x:v>26</x:v>
      </x:c>
      <x:c r="N218" s="24" t="n">
        <x:f>F218+H218</x:f>
        <x:v>5.423076923076923</x:v>
      </x:c>
      <x:c r="O218" s="24" t="n">
        <x:f>J218+L218</x:f>
        <x:v>6.346153846153847</x:v>
      </x:c>
    </x:row>
    <x:row r="219">
      <x:c r="A219" s="22" t="str">
        <x:v>500101265</x:v>
      </x:c>
      <x:c r="B219" s="17" t="str">
        <x:v>大安區</x:v>
      </x:c>
      <x:c r="C219" s="17" t="str">
        <x:v>羅斯福路三段283巷</x:v>
      </x:c>
      <x:c r="D219" s="18" t="n">
        <x:v>26</x:v>
      </x:c>
      <x:c r="E219" s="18" t="n">
        <x:v>26</x:v>
      </x:c>
      <x:c r="F219" s="24" t="n">
        <x:f>IFERROR('各站彙總來源'!F219/'各站彙總來源'!G219,"")</x:f>
        <x:v>17.192307692307693</x:v>
      </x:c>
      <x:c r="G219" s="19" t="n">
        <x:f>'各站彙總來源'!G219</x:f>
        <x:v>26</x:v>
      </x:c>
      <x:c r="H219" s="24" t="n">
        <x:f>IFERROR('各站彙總來源'!H219/'各站彙總來源'!I219,"")</x:f>
        <x:v>1.8076923076923077</x:v>
      </x:c>
      <x:c r="I219" s="19" t="n">
        <x:f>'各站彙總來源'!I219</x:f>
        <x:v>26</x:v>
      </x:c>
      <x:c r="J219" s="24" t="n">
        <x:f>IFERROR('各站彙總來源'!J219/'各站彙總來源'!K219,"")</x:f>
        <x:v>3.769230769230769</x:v>
      </x:c>
      <x:c r="K219" s="19" t="n">
        <x:f>'各站彙總來源'!K219</x:f>
        <x:v>26</x:v>
      </x:c>
      <x:c r="L219" s="24" t="n">
        <x:f>IFERROR('各站彙總來源'!L219/'各站彙總來源'!M219,"")</x:f>
        <x:v>0.9230769230769231</x:v>
      </x:c>
      <x:c r="M219" s="19" t="n">
        <x:f>'各站彙總來源'!M219</x:f>
        <x:v>26</x:v>
      </x:c>
      <x:c r="N219" s="24" t="n">
        <x:f>F219+H219</x:f>
        <x:v>19</x:v>
      </x:c>
      <x:c r="O219" s="24" t="n">
        <x:f>J219+L219</x:f>
        <x:v>4.6923076923076925</x:v>
      </x:c>
    </x:row>
    <x:row r="220">
      <x:c r="A220" s="22" t="str">
        <x:v>500101266</x:v>
      </x:c>
      <x:c r="B220" s="17" t="str">
        <x:v>大安區</x:v>
      </x:c>
      <x:c r="C220" s="17" t="str">
        <x:v>臺科大側門(基隆路四段73巷)</x:v>
      </x:c>
      <x:c r="D220" s="18" t="n">
        <x:v>26</x:v>
      </x:c>
      <x:c r="E220" s="18" t="n">
        <x:v>26</x:v>
      </x:c>
      <x:c r="F220" s="24" t="n">
        <x:f>IFERROR('各站彙總來源'!F220/'各站彙總來源'!G220,"")</x:f>
        <x:v>0</x:v>
      </x:c>
      <x:c r="G220" s="19" t="n">
        <x:f>'各站彙總來源'!G220</x:f>
        <x:v>26</x:v>
      </x:c>
      <x:c r="H220" s="24" t="n">
        <x:f>IFERROR('各站彙總來源'!H220/'各站彙總來源'!I220,"")</x:f>
        <x:v>0</x:v>
      </x:c>
      <x:c r="I220" s="19" t="n">
        <x:f>'各站彙總來源'!I220</x:f>
        <x:v>26</x:v>
      </x:c>
      <x:c r="J220" s="24" t="n">
        <x:f>IFERROR('各站彙總來源'!J220/'各站彙總來源'!K220,"")</x:f>
        <x:v>0</x:v>
      </x:c>
      <x:c r="K220" s="19" t="n">
        <x:f>'各站彙總來源'!K220</x:f>
        <x:v>26</x:v>
      </x:c>
      <x:c r="L220" s="24" t="n">
        <x:f>IFERROR('各站彙總來源'!L220/'各站彙總來源'!M220,"")</x:f>
        <x:v>0</x:v>
      </x:c>
      <x:c r="M220" s="19" t="n">
        <x:f>'各站彙總來源'!M220</x:f>
        <x:v>26</x:v>
      </x:c>
      <x:c r="N220" s="24" t="n">
        <x:f>F220+H220</x:f>
        <x:v>0</x:v>
      </x:c>
      <x:c r="O220" s="24" t="n">
        <x:f>J220+L220</x:f>
        <x:v>0</x:v>
      </x:c>
    </x:row>
    <x:row r="221">
      <x:c r="A221" s="22" t="str">
        <x:v>500101267</x:v>
      </x:c>
      <x:c r="B221" s="17" t="str">
        <x:v>大安區</x:v>
      </x:c>
      <x:c r="C221" s="17" t="str">
        <x:v>黎和公園</x:v>
      </x:c>
      <x:c r="D221" s="18" t="n">
        <x:v>26</x:v>
      </x:c>
      <x:c r="E221" s="18" t="n">
        <x:v>26</x:v>
      </x:c>
      <x:c r="F221" s="24" t="n">
        <x:f>IFERROR('各站彙總來源'!F221/'各站彙總來源'!G221,"")</x:f>
        <x:v>10.692307692307692</x:v>
      </x:c>
      <x:c r="G221" s="19" t="n">
        <x:f>'各站彙總來源'!G221</x:f>
        <x:v>26</x:v>
      </x:c>
      <x:c r="H221" s="24" t="n">
        <x:f>IFERROR('各站彙總來源'!H221/'各站彙總來源'!I221,"")</x:f>
        <x:v>1.6153846153846154</x:v>
      </x:c>
      <x:c r="I221" s="19" t="n">
        <x:f>'各站彙總來源'!I221</x:f>
        <x:v>26</x:v>
      </x:c>
      <x:c r="J221" s="24" t="n">
        <x:f>IFERROR('各站彙總來源'!J221/'各站彙總來源'!K221,"")</x:f>
        <x:v>3.769230769230769</x:v>
      </x:c>
      <x:c r="K221" s="19" t="n">
        <x:f>'各站彙總來源'!K221</x:f>
        <x:v>26</x:v>
      </x:c>
      <x:c r="L221" s="24" t="n">
        <x:f>IFERROR('各站彙總來源'!L221/'各站彙總來源'!M221,"")</x:f>
        <x:v>0.8461538461538461</x:v>
      </x:c>
      <x:c r="M221" s="19" t="n">
        <x:f>'各站彙總來源'!M221</x:f>
        <x:v>26</x:v>
      </x:c>
      <x:c r="N221" s="24" t="n">
        <x:f>F221+H221</x:f>
        <x:v>12.307692307692307</x:v>
      </x:c>
      <x:c r="O221" s="24" t="n">
        <x:f>J221+L221</x:f>
        <x:v>4.615384615384615</x:v>
      </x:c>
    </x:row>
    <x:row r="222">
      <x:c r="A222" s="22" t="str">
        <x:v>500101268</x:v>
      </x:c>
      <x:c r="B222" s="17" t="str">
        <x:v>大安區</x:v>
      </x:c>
      <x:c r="C222" s="17" t="str">
        <x:v>信義四維路口</x:v>
      </x:c>
      <x:c r="D222" s="18" t="n">
        <x:v>26</x:v>
      </x:c>
      <x:c r="E222" s="18" t="n">
        <x:v>26</x:v>
      </x:c>
      <x:c r="F222" s="24" t="n">
        <x:f>IFERROR('各站彙總來源'!F222/'各站彙總來源'!G222,"")</x:f>
        <x:v>5.730769230769231</x:v>
      </x:c>
      <x:c r="G222" s="19" t="n">
        <x:f>'各站彙總來源'!G222</x:f>
        <x:v>26</x:v>
      </x:c>
      <x:c r="H222" s="24" t="n">
        <x:f>IFERROR('各站彙總來源'!H222/'各站彙總來源'!I222,"")</x:f>
        <x:v>1.4615384615384615</x:v>
      </x:c>
      <x:c r="I222" s="19" t="n">
        <x:f>'各站彙總來源'!I222</x:f>
        <x:v>26</x:v>
      </x:c>
      <x:c r="J222" s="24" t="n">
        <x:f>IFERROR('各站彙總來源'!J222/'各站彙總來源'!K222,"")</x:f>
        <x:v>4.884615384615385</x:v>
      </x:c>
      <x:c r="K222" s="19" t="n">
        <x:f>'各站彙總來源'!K222</x:f>
        <x:v>26</x:v>
      </x:c>
      <x:c r="L222" s="24" t="n">
        <x:f>IFERROR('各站彙總來源'!L222/'各站彙總來源'!M222,"")</x:f>
        <x:v>1.1538461538461537</x:v>
      </x:c>
      <x:c r="M222" s="19" t="n">
        <x:f>'各站彙總來源'!M222</x:f>
        <x:v>26</x:v>
      </x:c>
      <x:c r="N222" s="24" t="n">
        <x:f>F222+H222</x:f>
        <x:v>7.1923076923076925</x:v>
      </x:c>
      <x:c r="O222" s="24" t="n">
        <x:f>J222+L222</x:f>
        <x:v>6.038461538461538</x:v>
      </x:c>
    </x:row>
    <x:row r="223">
      <x:c r="A223" s="22" t="str">
        <x:v>500101269</x:v>
      </x:c>
      <x:c r="B223" s="17" t="str">
        <x:v>大安區</x:v>
      </x:c>
      <x:c r="C223" s="17" t="str">
        <x:v>和平高中(辛亥基隆路口)</x:v>
      </x:c>
      <x:c r="D223" s="18" t="n">
        <x:v>26</x:v>
      </x:c>
      <x:c r="E223" s="18" t="n">
        <x:v>26</x:v>
      </x:c>
      <x:c r="F223" s="24" t="n">
        <x:f>IFERROR('各站彙總來源'!F223/'各站彙總來源'!G223,"")</x:f>
        <x:v>7.923076923076923</x:v>
      </x:c>
      <x:c r="G223" s="19" t="n">
        <x:f>'各站彙總來源'!G223</x:f>
        <x:v>26</x:v>
      </x:c>
      <x:c r="H223" s="24" t="n">
        <x:f>IFERROR('各站彙總來源'!H223/'各站彙總來源'!I223,"")</x:f>
        <x:v>0.6923076923076923</x:v>
      </x:c>
      <x:c r="I223" s="19" t="n">
        <x:f>'各站彙總來源'!I223</x:f>
        <x:v>26</x:v>
      </x:c>
      <x:c r="J223" s="24" t="n">
        <x:f>IFERROR('各站彙總來源'!J223/'各站彙總來源'!K223,"")</x:f>
        <x:v>14.692307692307692</x:v>
      </x:c>
      <x:c r="K223" s="19" t="n">
        <x:f>'各站彙總來源'!K223</x:f>
        <x:v>26</x:v>
      </x:c>
      <x:c r="L223" s="24" t="n">
        <x:f>IFERROR('各站彙總來源'!L223/'各站彙總來源'!M223,"")</x:f>
        <x:v>1.3461538461538463</x:v>
      </x:c>
      <x:c r="M223" s="19" t="n">
        <x:f>'各站彙總來源'!M223</x:f>
        <x:v>26</x:v>
      </x:c>
      <x:c r="N223" s="24" t="n">
        <x:f>F223+H223</x:f>
        <x:v>8.615384615384615</x:v>
      </x:c>
      <x:c r="O223" s="24" t="n">
        <x:f>J223+L223</x:f>
        <x:v>16.038461538461537</x:v>
      </x:c>
    </x:row>
    <x:row r="224">
      <x:c r="A224" s="22" t="str">
        <x:v>500101270</x:v>
      </x:c>
      <x:c r="B224" s="17" t="str">
        <x:v>大安區</x:v>
      </x:c>
      <x:c r="C224" s="17" t="str">
        <x:v>和平東路二段107巷口</x:v>
      </x:c>
      <x:c r="D224" s="18" t="n">
        <x:v>26</x:v>
      </x:c>
      <x:c r="E224" s="18" t="n">
        <x:v>26</x:v>
      </x:c>
      <x:c r="F224" s="24" t="n">
        <x:f>IFERROR('各站彙總來源'!F224/'各站彙總來源'!G224,"")</x:f>
        <x:v>5.038461538461538</x:v>
      </x:c>
      <x:c r="G224" s="19" t="n">
        <x:f>'各站彙總來源'!G224</x:f>
        <x:v>26</x:v>
      </x:c>
      <x:c r="H224" s="24" t="n">
        <x:f>IFERROR('各站彙總來源'!H224/'各站彙總來源'!I224,"")</x:f>
        <x:v>1.0384615384615385</x:v>
      </x:c>
      <x:c r="I224" s="19" t="n">
        <x:f>'各站彙總來源'!I224</x:f>
        <x:v>26</x:v>
      </x:c>
      <x:c r="J224" s="24" t="n">
        <x:f>IFERROR('各站彙總來源'!J224/'各站彙總來源'!K224,"")</x:f>
        <x:v>4.269230769230769</x:v>
      </x:c>
      <x:c r="K224" s="19" t="n">
        <x:f>'各站彙總來源'!K224</x:f>
        <x:v>26</x:v>
      </x:c>
      <x:c r="L224" s="24" t="n">
        <x:f>IFERROR('各站彙總來源'!L224/'各站彙總來源'!M224,"")</x:f>
        <x:v>1.1153846153846154</x:v>
      </x:c>
      <x:c r="M224" s="19" t="n">
        <x:f>'各站彙總來源'!M224</x:f>
        <x:v>26</x:v>
      </x:c>
      <x:c r="N224" s="24" t="n">
        <x:f>F224+H224</x:f>
        <x:v>6.076923076923077</x:v>
      </x:c>
      <x:c r="O224" s="24" t="n">
        <x:f>J224+L224</x:f>
        <x:v>5.384615384615385</x:v>
      </x:c>
    </x:row>
    <x:row r="225">
      <x:c r="A225" s="22" t="str">
        <x:v>500101271</x:v>
      </x:c>
      <x:c r="B225" s="17" t="str">
        <x:v>大安區</x:v>
      </x:c>
      <x:c r="C225" s="17" t="str">
        <x:v>信義金山路口(西南側)</x:v>
      </x:c>
      <x:c r="D225" s="18" t="n">
        <x:v>26</x:v>
      </x:c>
      <x:c r="E225" s="18" t="n">
        <x:v>26</x:v>
      </x:c>
      <x:c r="F225" s="24" t="n">
        <x:f>IFERROR('各站彙總來源'!F225/'各站彙總來源'!G225,"")</x:f>
        <x:v>4</x:v>
      </x:c>
      <x:c r="G225" s="19" t="n">
        <x:f>'各站彙總來源'!G225</x:f>
        <x:v>26</x:v>
      </x:c>
      <x:c r="H225" s="24" t="n">
        <x:f>IFERROR('各站彙總來源'!H225/'各站彙總來源'!I225,"")</x:f>
        <x:v>1.1153846153846154</x:v>
      </x:c>
      <x:c r="I225" s="19" t="n">
        <x:f>'各站彙總來源'!I225</x:f>
        <x:v>26</x:v>
      </x:c>
      <x:c r="J225" s="24" t="n">
        <x:f>IFERROR('各站彙總來源'!J225/'各站彙總來源'!K225,"")</x:f>
        <x:v>3.1923076923076925</x:v>
      </x:c>
      <x:c r="K225" s="19" t="n">
        <x:f>'各站彙總來源'!K225</x:f>
        <x:v>26</x:v>
      </x:c>
      <x:c r="L225" s="24" t="n">
        <x:f>IFERROR('各站彙總來源'!L225/'各站彙總來源'!M225,"")</x:f>
        <x:v>0.9615384615384616</x:v>
      </x:c>
      <x:c r="M225" s="19" t="n">
        <x:f>'各站彙總來源'!M225</x:f>
        <x:v>26</x:v>
      </x:c>
      <x:c r="N225" s="24" t="n">
        <x:f>F225+H225</x:f>
        <x:v>5.115384615384615</x:v>
      </x:c>
      <x:c r="O225" s="24" t="n">
        <x:f>J225+L225</x:f>
        <x:v>4.153846153846154</x:v>
      </x:c>
    </x:row>
    <x:row r="226">
      <x:c r="A226" s="22" t="str">
        <x:v>500101272</x:v>
      </x:c>
      <x:c r="B226" s="17" t="str">
        <x:v>大安區</x:v>
      </x:c>
      <x:c r="C226" s="17" t="str">
        <x:v>金華國中(新生南路二段30巷)</x:v>
      </x:c>
      <x:c r="D226" s="18" t="n">
        <x:v>26</x:v>
      </x:c>
      <x:c r="E226" s="18" t="n">
        <x:v>26</x:v>
      </x:c>
      <x:c r="F226" s="24" t="n">
        <x:f>IFERROR('各站彙總來源'!F226/'各站彙總來源'!G226,"")</x:f>
        <x:v>8.23076923076923</x:v>
      </x:c>
      <x:c r="G226" s="19" t="n">
        <x:f>'各站彙總來源'!G226</x:f>
        <x:v>26</x:v>
      </x:c>
      <x:c r="H226" s="24" t="n">
        <x:f>IFERROR('各站彙總來源'!H226/'各站彙總來源'!I226,"")</x:f>
        <x:v>1.1538461538461537</x:v>
      </x:c>
      <x:c r="I226" s="19" t="n">
        <x:f>'各站彙總來源'!I226</x:f>
        <x:v>26</x:v>
      </x:c>
      <x:c r="J226" s="24" t="n">
        <x:f>IFERROR('各站彙總來源'!J226/'各站彙總來源'!K226,"")</x:f>
        <x:v>4.115384615384615</x:v>
      </x:c>
      <x:c r="K226" s="19" t="n">
        <x:f>'各站彙總來源'!K226</x:f>
        <x:v>26</x:v>
      </x:c>
      <x:c r="L226" s="24" t="n">
        <x:f>IFERROR('各站彙總來源'!L226/'各站彙總來源'!M226,"")</x:f>
        <x:v>0.8846153846153846</x:v>
      </x:c>
      <x:c r="M226" s="19" t="n">
        <x:f>'各站彙總來源'!M226</x:f>
        <x:v>26</x:v>
      </x:c>
      <x:c r="N226" s="24" t="n">
        <x:f>F226+H226</x:f>
        <x:v>9.384615384615383</x:v>
      </x:c>
      <x:c r="O226" s="24" t="n">
        <x:f>J226+L226</x:f>
        <x:v>5</x:v>
      </x:c>
    </x:row>
    <x:row r="227">
      <x:c r="A227" s="22" t="str">
        <x:v>500101273</x:v>
      </x:c>
      <x:c r="B227" s="17" t="str">
        <x:v>大安區</x:v>
      </x:c>
      <x:c r="C227" s="17" t="str">
        <x:v>羅斯福路四段123巷</x:v>
      </x:c>
      <x:c r="D227" s="18" t="n">
        <x:v>26</x:v>
      </x:c>
      <x:c r="E227" s="18" t="n">
        <x:v>26</x:v>
      </x:c>
      <x:c r="F227" s="24" t="n">
        <x:f>IFERROR('各站彙總來源'!F227/'各站彙總來源'!G227,"")</x:f>
        <x:v>3.6923076923076925</x:v>
      </x:c>
      <x:c r="G227" s="19" t="n">
        <x:f>'各站彙總來源'!G227</x:f>
        <x:v>26</x:v>
      </x:c>
      <x:c r="H227" s="24" t="n">
        <x:f>IFERROR('各站彙總來源'!H227/'各站彙總來源'!I227,"")</x:f>
        <x:v>0.46153846153846156</x:v>
      </x:c>
      <x:c r="I227" s="19" t="n">
        <x:f>'各站彙總來源'!I227</x:f>
        <x:v>26</x:v>
      </x:c>
      <x:c r="J227" s="24" t="n">
        <x:f>IFERROR('各站彙總來源'!J227/'各站彙總來源'!K227,"")</x:f>
        <x:v>3.4615384615384617</x:v>
      </x:c>
      <x:c r="K227" s="19" t="n">
        <x:f>'各站彙總來源'!K227</x:f>
        <x:v>26</x:v>
      </x:c>
      <x:c r="L227" s="24" t="n">
        <x:f>IFERROR('各站彙總來源'!L227/'各站彙總來源'!M227,"")</x:f>
        <x:v>0.9615384615384616</x:v>
      </x:c>
      <x:c r="M227" s="19" t="n">
        <x:f>'各站彙總來源'!M227</x:f>
        <x:v>26</x:v>
      </x:c>
      <x:c r="N227" s="24" t="n">
        <x:f>F227+H227</x:f>
        <x:v>4.153846153846154</x:v>
      </x:c>
      <x:c r="O227" s="24" t="n">
        <x:f>J227+L227</x:f>
        <x:v>4.423076923076923</x:v>
      </x:c>
    </x:row>
    <x:row r="228">
      <x:c r="A228" s="22" t="str">
        <x:v>500101274</x:v>
      </x:c>
      <x:c r="B228" s="17" t="str">
        <x:v>大安區</x:v>
      </x:c>
      <x:c r="C228" s="17" t="str">
        <x:v>捷運科技大樓站(2號出口)</x:v>
      </x:c>
      <x:c r="D228" s="18" t="n">
        <x:v>26</x:v>
      </x:c>
      <x:c r="E228" s="18" t="n">
        <x:v>26</x:v>
      </x:c>
      <x:c r="F228" s="24" t="n">
        <x:f>IFERROR('各站彙總來源'!F228/'各站彙總來源'!G228,"")</x:f>
        <x:v>20.96153846153846</x:v>
      </x:c>
      <x:c r="G228" s="19" t="n">
        <x:f>'各站彙總來源'!G228</x:f>
        <x:v>26</x:v>
      </x:c>
      <x:c r="H228" s="24" t="n">
        <x:f>IFERROR('各站彙總來源'!H228/'各站彙總來源'!I228,"")</x:f>
        <x:v>1.8846153846153846</x:v>
      </x:c>
      <x:c r="I228" s="19" t="n">
        <x:f>'各站彙總來源'!I228</x:f>
        <x:v>26</x:v>
      </x:c>
      <x:c r="J228" s="24" t="n">
        <x:f>IFERROR('各站彙總來源'!J228/'各站彙總來源'!K228,"")</x:f>
        <x:v>9.23076923076923</x:v>
      </x:c>
      <x:c r="K228" s="19" t="n">
        <x:f>'各站彙總來源'!K228</x:f>
        <x:v>26</x:v>
      </x:c>
      <x:c r="L228" s="24" t="n">
        <x:f>IFERROR('各站彙總來源'!L228/'各站彙總來源'!M228,"")</x:f>
        <x:v>1.5384615384615385</x:v>
      </x:c>
      <x:c r="M228" s="19" t="n">
        <x:f>'各站彙總來源'!M228</x:f>
        <x:v>26</x:v>
      </x:c>
      <x:c r="N228" s="24" t="n">
        <x:f>F228+H228</x:f>
        <x:v>22.846153846153843</x:v>
      </x:c>
      <x:c r="O228" s="24" t="n">
        <x:f>J228+L228</x:f>
        <x:v>10.769230769230768</x:v>
      </x:c>
    </x:row>
    <x:row r="229">
      <x:c r="A229" s="22" t="str">
        <x:v>500101275</x:v>
      </x:c>
      <x:c r="B229" s="17" t="str">
        <x:v>大安區</x:v>
      </x:c>
      <x:c r="C229" s="17" t="str">
        <x:v>敦化南路一段252巷口</x:v>
      </x:c>
      <x:c r="D229" s="18" t="n">
        <x:v>26</x:v>
      </x:c>
      <x:c r="E229" s="18" t="n">
        <x:v>26</x:v>
      </x:c>
      <x:c r="F229" s="24" t="n">
        <x:f>IFERROR('各站彙總來源'!F229/'各站彙總來源'!G229,"")</x:f>
        <x:v>0</x:v>
      </x:c>
      <x:c r="G229" s="19" t="n">
        <x:f>'各站彙總來源'!G229</x:f>
        <x:v>26</x:v>
      </x:c>
      <x:c r="H229" s="24" t="n">
        <x:f>IFERROR('各站彙總來源'!H229/'各站彙總來源'!I229,"")</x:f>
        <x:v>0</x:v>
      </x:c>
      <x:c r="I229" s="19" t="n">
        <x:f>'各站彙總來源'!I229</x:f>
        <x:v>26</x:v>
      </x:c>
      <x:c r="J229" s="24" t="n">
        <x:f>IFERROR('各站彙總來源'!J229/'各站彙總來源'!K229,"")</x:f>
        <x:v>0</x:v>
      </x:c>
      <x:c r="K229" s="19" t="n">
        <x:f>'各站彙總來源'!K229</x:f>
        <x:v>26</x:v>
      </x:c>
      <x:c r="L229" s="24" t="n">
        <x:f>IFERROR('各站彙總來源'!L229/'各站彙總來源'!M229,"")</x:f>
        <x:v>0</x:v>
      </x:c>
      <x:c r="M229" s="19" t="n">
        <x:f>'各站彙總來源'!M229</x:f>
        <x:v>26</x:v>
      </x:c>
      <x:c r="N229" s="24" t="n">
        <x:f>F229+H229</x:f>
        <x:v>0</x:v>
      </x:c>
      <x:c r="O229" s="24" t="n">
        <x:f>J229+L229</x:f>
        <x:v>0</x:v>
      </x:c>
    </x:row>
    <x:row r="230">
      <x:c r="A230" s="22" t="str">
        <x:v>500101276</x:v>
      </x:c>
      <x:c r="B230" s="17" t="str">
        <x:v>大安區</x:v>
      </x:c>
      <x:c r="C230" s="17" t="str">
        <x:v>羅斯福新生南路口</x:v>
      </x:c>
      <x:c r="D230" s="18" t="n">
        <x:v>26</x:v>
      </x:c>
      <x:c r="E230" s="18" t="n">
        <x:v>26</x:v>
      </x:c>
      <x:c r="F230" s="24" t="n">
        <x:f>IFERROR('各站彙總來源'!F230/'各站彙總來源'!G230,"")</x:f>
        <x:v>4.3076923076923075</x:v>
      </x:c>
      <x:c r="G230" s="19" t="n">
        <x:f>'各站彙總來源'!G230</x:f>
        <x:v>26</x:v>
      </x:c>
      <x:c r="H230" s="24" t="n">
        <x:f>IFERROR('各站彙總來源'!H230/'各站彙總來源'!I230,"")</x:f>
        <x:v>1.2692307692307692</x:v>
      </x:c>
      <x:c r="I230" s="19" t="n">
        <x:f>'各站彙總來源'!I230</x:f>
        <x:v>26</x:v>
      </x:c>
      <x:c r="J230" s="24" t="n">
        <x:f>IFERROR('各站彙總來源'!J230/'各站彙總來源'!K230,"")</x:f>
        <x:v>9.5</x:v>
      </x:c>
      <x:c r="K230" s="19" t="n">
        <x:f>'各站彙總來源'!K230</x:f>
        <x:v>26</x:v>
      </x:c>
      <x:c r="L230" s="24" t="n">
        <x:f>IFERROR('各站彙總來源'!L230/'各站彙總來源'!M230,"")</x:f>
        <x:v>1.5769230769230769</x:v>
      </x:c>
      <x:c r="M230" s="19" t="n">
        <x:f>'各站彙總來源'!M230</x:f>
        <x:v>26</x:v>
      </x:c>
      <x:c r="N230" s="24" t="n">
        <x:f>F230+H230</x:f>
        <x:v>5.576923076923077</x:v>
      </x:c>
      <x:c r="O230" s="24" t="n">
        <x:f>J230+L230</x:f>
        <x:v>11.076923076923077</x:v>
      </x:c>
    </x:row>
    <x:row r="231">
      <x:c r="A231" s="22" t="str">
        <x:v>500101277</x:v>
      </x:c>
      <x:c r="B231" s="17" t="str">
        <x:v>大安區</x:v>
      </x:c>
      <x:c r="C231" s="17" t="str">
        <x:v>金山南路二段156巷口</x:v>
      </x:c>
      <x:c r="D231" s="18" t="n">
        <x:v>26</x:v>
      </x:c>
      <x:c r="E231" s="18" t="n">
        <x:v>26</x:v>
      </x:c>
      <x:c r="F231" s="24" t="n">
        <x:f>IFERROR('各站彙總來源'!F231/'各站彙總來源'!G231,"")</x:f>
        <x:v>4.576923076923077</x:v>
      </x:c>
      <x:c r="G231" s="19" t="n">
        <x:f>'各站彙總來源'!G231</x:f>
        <x:v>26</x:v>
      </x:c>
      <x:c r="H231" s="24" t="n">
        <x:f>IFERROR('各站彙總來源'!H231/'各站彙總來源'!I231,"")</x:f>
        <x:v>2.1538461538461537</x:v>
      </x:c>
      <x:c r="I231" s="19" t="n">
        <x:f>'各站彙總來源'!I231</x:f>
        <x:v>26</x:v>
      </x:c>
      <x:c r="J231" s="24" t="n">
        <x:f>IFERROR('各站彙總來源'!J231/'各站彙總來源'!K231,"")</x:f>
        <x:v>4.1923076923076925</x:v>
      </x:c>
      <x:c r="K231" s="19" t="n">
        <x:f>'各站彙總來源'!K231</x:f>
        <x:v>26</x:v>
      </x:c>
      <x:c r="L231" s="24" t="n">
        <x:f>IFERROR('各站彙總來源'!L231/'各站彙總來源'!M231,"")</x:f>
        <x:v>1</x:v>
      </x:c>
      <x:c r="M231" s="19" t="n">
        <x:f>'各站彙總來源'!M231</x:f>
        <x:v>26</x:v>
      </x:c>
      <x:c r="N231" s="24" t="n">
        <x:f>F231+H231</x:f>
        <x:v>6.73076923076923</x:v>
      </x:c>
      <x:c r="O231" s="24" t="n">
        <x:f>J231+L231</x:f>
        <x:v>5.1923076923076925</x:v>
      </x:c>
    </x:row>
    <x:row r="232">
      <x:c r="A232" s="22" t="str">
        <x:v>500101278</x:v>
      </x:c>
      <x:c r="B232" s="17" t="str">
        <x:v>大安區</x:v>
      </x:c>
      <x:c r="C232" s="17" t="str">
        <x:v>安祥公園旁平面停車場</x:v>
      </x:c>
      <x:c r="D232" s="18" t="n">
        <x:v>26</x:v>
      </x:c>
      <x:c r="E232" s="18" t="n">
        <x:v>26</x:v>
      </x:c>
      <x:c r="F232" s="24" t="n">
        <x:f>IFERROR('各站彙總來源'!F232/'各站彙總來源'!G232,"")</x:f>
        <x:v>1.3076923076923077</x:v>
      </x:c>
      <x:c r="G232" s="19" t="n">
        <x:f>'各站彙總來源'!G232</x:f>
        <x:v>26</x:v>
      </x:c>
      <x:c r="H232" s="24" t="n">
        <x:f>IFERROR('各站彙總來源'!H232/'各站彙總來源'!I232,"")</x:f>
        <x:v>0.11538461538461539</x:v>
      </x:c>
      <x:c r="I232" s="19" t="n">
        <x:f>'各站彙總來源'!I232</x:f>
        <x:v>26</x:v>
      </x:c>
      <x:c r="J232" s="24" t="n">
        <x:f>IFERROR('各站彙總來源'!J232/'各站彙總來源'!K232,"")</x:f>
        <x:v>0.8461538461538461</x:v>
      </x:c>
      <x:c r="K232" s="19" t="n">
        <x:f>'各站彙總來源'!K232</x:f>
        <x:v>26</x:v>
      </x:c>
      <x:c r="L232" s="24" t="n">
        <x:f>IFERROR('各站彙總來源'!L232/'各站彙總來源'!M232,"")</x:f>
        <x:v>0.15384615384615385</x:v>
      </x:c>
      <x:c r="M232" s="19" t="n">
        <x:f>'各站彙總來源'!M232</x:f>
        <x:v>26</x:v>
      </x:c>
      <x:c r="N232" s="24" t="n">
        <x:f>F232+H232</x:f>
        <x:v>1.4230769230769231</x:v>
      </x:c>
      <x:c r="O232" s="24" t="n">
        <x:f>J232+L232</x:f>
        <x:v>1</x:v>
      </x:c>
    </x:row>
    <x:row r="233">
      <x:c r="A233" s="22" t="str">
        <x:v>500101279</x:v>
      </x:c>
      <x:c r="B233" s="17" t="str">
        <x:v>大安區</x:v>
      </x:c>
      <x:c r="C233" s="17" t="str">
        <x:v>和平金山路口(西北側)</x:v>
      </x:c>
      <x:c r="D233" s="18" t="n">
        <x:v>26</x:v>
      </x:c>
      <x:c r="E233" s="18" t="n">
        <x:v>25</x:v>
      </x:c>
      <x:c r="F233" s="24" t="n">
        <x:f>IFERROR('各站彙總來源'!F233/'各站彙總來源'!G233,"")</x:f>
        <x:v>2</x:v>
      </x:c>
      <x:c r="G233" s="19" t="n">
        <x:f>'各站彙總來源'!G233</x:f>
        <x:v>24</x:v>
      </x:c>
      <x:c r="H233" s="24" t="n">
        <x:f>IFERROR('各站彙總來源'!H233/'各站彙總來源'!I233,"")</x:f>
        <x:v>0.25</x:v>
      </x:c>
      <x:c r="I233" s="19" t="n">
        <x:f>'各站彙總來源'!I233</x:f>
        <x:v>24</x:v>
      </x:c>
      <x:c r="J233" s="24" t="n">
        <x:f>IFERROR('各站彙總來源'!J233/'各站彙總來源'!K233,"")</x:f>
        <x:v>2</x:v>
      </x:c>
      <x:c r="K233" s="19" t="n">
        <x:f>'各站彙總來源'!K233</x:f>
        <x:v>25</x:v>
      </x:c>
      <x:c r="L233" s="24" t="n">
        <x:f>IFERROR('各站彙總來源'!L233/'各站彙總來源'!M233,"")</x:f>
        <x:v>0.52</x:v>
      </x:c>
      <x:c r="M233" s="19" t="n">
        <x:f>'各站彙總來源'!M233</x:f>
        <x:v>25</x:v>
      </x:c>
      <x:c r="N233" s="24" t="n">
        <x:f>F233+H233</x:f>
        <x:v>2.25</x:v>
      </x:c>
      <x:c r="O233" s="24" t="n">
        <x:f>J233+L233</x:f>
        <x:v>2.52</x:v>
      </x:c>
    </x:row>
    <x:row r="234">
      <x:c r="A234" s="22" t="str">
        <x:v>500101280</x:v>
      </x:c>
      <x:c r="B234" s="17" t="str">
        <x:v>大安區</x:v>
      </x:c>
      <x:c r="C234" s="17" t="str">
        <x:v>大安11號綠地</x:v>
      </x:c>
      <x:c r="D234" s="18" t="n">
        <x:v>26</x:v>
      </x:c>
      <x:c r="E234" s="18" t="n">
        <x:v>13</x:v>
      </x:c>
      <x:c r="F234" s="24" t="n">
        <x:f>IFERROR('各站彙總來源'!F234/'各站彙總來源'!G234,"")</x:f>
        <x:v>5.916666666666667</x:v>
      </x:c>
      <x:c r="G234" s="19" t="n">
        <x:f>'各站彙總來源'!G234</x:f>
        <x:v>12</x:v>
      </x:c>
      <x:c r="H234" s="24" t="n">
        <x:f>IFERROR('各站彙總來源'!H234/'各站彙總來源'!I234,"")</x:f>
        <x:v>0.9166666666666666</x:v>
      </x:c>
      <x:c r="I234" s="19" t="n">
        <x:f>'各站彙總來源'!I234</x:f>
        <x:v>12</x:v>
      </x:c>
      <x:c r="J234" s="24" t="n">
        <x:f>IFERROR('各站彙總來源'!J234/'各站彙總來源'!K234,"")</x:f>
        <x:v>2.076923076923077</x:v>
      </x:c>
      <x:c r="K234" s="19" t="n">
        <x:f>'各站彙總來源'!K234</x:f>
        <x:v>13</x:v>
      </x:c>
      <x:c r="L234" s="24" t="n">
        <x:f>IFERROR('各站彙總來源'!L234/'各站彙總來源'!M234,"")</x:f>
        <x:v>1.0769230769230769</x:v>
      </x:c>
      <x:c r="M234" s="19" t="n">
        <x:f>'各站彙總來源'!M234</x:f>
        <x:v>13</x:v>
      </x:c>
      <x:c r="N234" s="24" t="n">
        <x:f>F234+H234</x:f>
        <x:v>6.833333333333334</x:v>
      </x:c>
      <x:c r="O234" s="24" t="n">
        <x:f>J234+L234</x:f>
        <x:v>3.153846153846154</x:v>
      </x:c>
    </x:row>
    <x:row r="235">
      <x:c r="A235" s="22" t="str">
        <x:v>500102111</x:v>
      </x:c>
      <x:c r="B235" s="17" t="str">
        <x:v>其他</x:v>
      </x:c>
      <x:c r="C235" s="17" t="str">
        <x:v>500102111</x:v>
      </x:c>
      <x:c r="D235" s="18" t="n">
        <x:v>26</x:v>
      </x:c>
      <x:c r="E235" s="18" t="n">
        <x:v>26</x:v>
      </x:c>
      <x:c r="F235" s="24" t="n">
        <x:f>IFERROR('各站彙總來源'!F235/'各站彙總來源'!G235,"")</x:f>
        <x:v>0</x:v>
      </x:c>
      <x:c r="G235" s="19" t="n">
        <x:f>'各站彙總來源'!G235</x:f>
        <x:v>26</x:v>
      </x:c>
      <x:c r="H235" s="24" t="n">
        <x:f>IFERROR('各站彙總來源'!H235/'各站彙總來源'!I235,"")</x:f>
        <x:v>0</x:v>
      </x:c>
      <x:c r="I235" s="19" t="n">
        <x:f>'各站彙總來源'!I235</x:f>
        <x:v>26</x:v>
      </x:c>
      <x:c r="J235" s="24" t="n">
        <x:f>IFERROR('各站彙總來源'!J235/'各站彙總來源'!K235,"")</x:f>
        <x:v>0</x:v>
      </x:c>
      <x:c r="K235" s="19" t="n">
        <x:f>'各站彙總來源'!K235</x:f>
        <x:v>26</x:v>
      </x:c>
      <x:c r="L235" s="24" t="n">
        <x:f>IFERROR('各站彙總來源'!L235/'各站彙總來源'!M235,"")</x:f>
        <x:v>0</x:v>
      </x:c>
      <x:c r="M235" s="19" t="n">
        <x:f>'各站彙總來源'!M235</x:f>
        <x:v>26</x:v>
      </x:c>
      <x:c r="N235" s="24" t="n">
        <x:f>F235+H235</x:f>
        <x:v>0</x:v>
      </x:c>
      <x:c r="O235" s="24" t="n">
        <x:f>J235+L235</x:f>
        <x:v>0</x:v>
      </x:c>
    </x:row>
    <x:row r="236">
      <x:c r="A236" s="22" t="str">
        <x:v>500103001</x:v>
      </x:c>
      <x:c r="B236" s="17" t="str">
        <x:v>大同區</x:v>
      </x:c>
      <x:c r="C236" s="17" t="str">
        <x:v>延平國宅</x:v>
      </x:c>
      <x:c r="D236" s="18" t="n">
        <x:v>26</x:v>
      </x:c>
      <x:c r="E236" s="18" t="n">
        <x:v>26</x:v>
      </x:c>
      <x:c r="F236" s="24" t="n">
        <x:f>IFERROR('各站彙總來源'!F236/'各站彙總來源'!G236,"")</x:f>
        <x:v>33.80769230769231</x:v>
      </x:c>
      <x:c r="G236" s="19" t="n">
        <x:f>'各站彙總來源'!G236</x:f>
        <x:v>26</x:v>
      </x:c>
      <x:c r="H236" s="24" t="n">
        <x:f>IFERROR('各站彙總來源'!H236/'各站彙總來源'!I236,"")</x:f>
        <x:v>3.1153846153846154</x:v>
      </x:c>
      <x:c r="I236" s="19" t="n">
        <x:f>'各站彙總來源'!I236</x:f>
        <x:v>26</x:v>
      </x:c>
      <x:c r="J236" s="24" t="n">
        <x:f>IFERROR('各站彙總來源'!J236/'各站彙總來源'!K236,"")</x:f>
        <x:v>12.384615384615385</x:v>
      </x:c>
      <x:c r="K236" s="19" t="n">
        <x:f>'各站彙總來源'!K236</x:f>
        <x:v>26</x:v>
      </x:c>
      <x:c r="L236" s="24" t="n">
        <x:f>IFERROR('各站彙總來源'!L236/'各站彙總來源'!M236,"")</x:f>
        <x:v>1.4230769230769231</x:v>
      </x:c>
      <x:c r="M236" s="19" t="n">
        <x:f>'各站彙總來源'!M236</x:f>
        <x:v>26</x:v>
      </x:c>
      <x:c r="N236" s="24" t="n">
        <x:f>F236+H236</x:f>
        <x:v>36.92307692307692</x:v>
      </x:c>
      <x:c r="O236" s="24" t="n">
        <x:f>J236+L236</x:f>
        <x:v>13.807692307692308</x:v>
      </x:c>
    </x:row>
    <x:row r="237">
      <x:c r="A237" s="22" t="str">
        <x:v>500103002</x:v>
      </x:c>
      <x:c r="B237" s="17" t="str">
        <x:v>大同區</x:v>
      </x:c>
      <x:c r="C237" s="17" t="str">
        <x:v>臺北市立圖書館大同分館</x:v>
      </x:c>
      <x:c r="D237" s="18" t="n">
        <x:v>26</x:v>
      </x:c>
      <x:c r="E237" s="18" t="n">
        <x:v>26</x:v>
      </x:c>
      <x:c r="F237" s="24" t="n">
        <x:f>IFERROR('各站彙總來源'!F237/'各站彙總來源'!G237,"")</x:f>
        <x:v>22.115384615384617</x:v>
      </x:c>
      <x:c r="G237" s="19" t="n">
        <x:f>'各站彙總來源'!G237</x:f>
        <x:v>26</x:v>
      </x:c>
      <x:c r="H237" s="24" t="n">
        <x:f>IFERROR('各站彙總來源'!H237/'各站彙總來源'!I237,"")</x:f>
        <x:v>5.384615384615385</x:v>
      </x:c>
      <x:c r="I237" s="19" t="n">
        <x:f>'各站彙總來源'!I237</x:f>
        <x:v>26</x:v>
      </x:c>
      <x:c r="J237" s="24" t="n">
        <x:f>IFERROR('各站彙總來源'!J237/'各站彙總來源'!K237,"")</x:f>
        <x:v>5.461538461538462</x:v>
      </x:c>
      <x:c r="K237" s="19" t="n">
        <x:f>'各站彙總來源'!K237</x:f>
        <x:v>26</x:v>
      </x:c>
      <x:c r="L237" s="24" t="n">
        <x:f>IFERROR('各站彙總來源'!L237/'各站彙總來源'!M237,"")</x:f>
        <x:v>1.6923076923076923</x:v>
      </x:c>
      <x:c r="M237" s="19" t="n">
        <x:f>'各站彙總來源'!M237</x:f>
        <x:v>26</x:v>
      </x:c>
      <x:c r="N237" s="24" t="n">
        <x:f>F237+H237</x:f>
        <x:v>27.5</x:v>
      </x:c>
      <x:c r="O237" s="24" t="n">
        <x:f>J237+L237</x:f>
        <x:v>7.153846153846154</x:v>
      </x:c>
    </x:row>
    <x:row r="238">
      <x:c r="A238" s="22" t="str">
        <x:v>500103003</x:v>
      </x:c>
      <x:c r="B238" s="17" t="str">
        <x:v>大同區</x:v>
      </x:c>
      <x:c r="C238" s="17" t="str">
        <x:v>合昌宮</x:v>
      </x:c>
      <x:c r="D238" s="18" t="n">
        <x:v>26</x:v>
      </x:c>
      <x:c r="E238" s="18" t="n">
        <x:v>26</x:v>
      </x:c>
      <x:c r="F238" s="24" t="n">
        <x:f>IFERROR('各站彙總來源'!F238/'各站彙總來源'!G238,"")</x:f>
        <x:v>17.76923076923077</x:v>
      </x:c>
      <x:c r="G238" s="19" t="n">
        <x:f>'各站彙總來源'!G238</x:f>
        <x:v>26</x:v>
      </x:c>
      <x:c r="H238" s="24" t="n">
        <x:f>IFERROR('各站彙總來源'!H238/'各站彙總來源'!I238,"")</x:f>
        <x:v>1.2692307692307692</x:v>
      </x:c>
      <x:c r="I238" s="19" t="n">
        <x:f>'各站彙總來源'!I238</x:f>
        <x:v>26</x:v>
      </x:c>
      <x:c r="J238" s="24" t="n">
        <x:f>IFERROR('各站彙總來源'!J238/'各站彙總來源'!K238,"")</x:f>
        <x:v>7.076923076923077</x:v>
      </x:c>
      <x:c r="K238" s="19" t="n">
        <x:f>'各站彙總來源'!K238</x:f>
        <x:v>26</x:v>
      </x:c>
      <x:c r="L238" s="24" t="n">
        <x:f>IFERROR('各站彙總來源'!L238/'各站彙總來源'!M238,"")</x:f>
        <x:v>1.1923076923076923</x:v>
      </x:c>
      <x:c r="M238" s="19" t="n">
        <x:f>'各站彙總來源'!M238</x:f>
        <x:v>26</x:v>
      </x:c>
      <x:c r="N238" s="24" t="n">
        <x:f>F238+H238</x:f>
        <x:v>19.03846153846154</x:v>
      </x:c>
      <x:c r="O238" s="24" t="n">
        <x:f>J238+L238</x:f>
        <x:v>8.269230769230768</x:v>
      </x:c>
    </x:row>
    <x:row r="239">
      <x:c r="A239" s="22" t="str">
        <x:v>500103004</x:v>
      </x:c>
      <x:c r="B239" s="17" t="str">
        <x:v>大同區</x:v>
      </x:c>
      <x:c r="C239" s="17" t="str">
        <x:v>民族延平路口</x:v>
      </x:c>
      <x:c r="D239" s="18" t="n">
        <x:v>26</x:v>
      </x:c>
      <x:c r="E239" s="18" t="n">
        <x:v>26</x:v>
      </x:c>
      <x:c r="F239" s="24" t="n">
        <x:f>IFERROR('各站彙總來源'!F239/'各站彙總來源'!G239,"")</x:f>
        <x:v>46.38461538461539</x:v>
      </x:c>
      <x:c r="G239" s="19" t="n">
        <x:f>'各站彙總來源'!G239</x:f>
        <x:v>26</x:v>
      </x:c>
      <x:c r="H239" s="24" t="n">
        <x:f>IFERROR('各站彙總來源'!H239/'各站彙總來源'!I239,"")</x:f>
        <x:v>2.230769230769231</x:v>
      </x:c>
      <x:c r="I239" s="19" t="n">
        <x:f>'各站彙總來源'!I239</x:f>
        <x:v>26</x:v>
      </x:c>
      <x:c r="J239" s="24" t="n">
        <x:f>IFERROR('各站彙總來源'!J239/'各站彙總來源'!K239,"")</x:f>
        <x:v>5.730769230769231</x:v>
      </x:c>
      <x:c r="K239" s="19" t="n">
        <x:f>'各站彙總來源'!K239</x:f>
        <x:v>26</x:v>
      </x:c>
      <x:c r="L239" s="24" t="n">
        <x:f>IFERROR('各站彙總來源'!L239/'各站彙總來源'!M239,"")</x:f>
        <x:v>2.576923076923077</x:v>
      </x:c>
      <x:c r="M239" s="19" t="n">
        <x:f>'各站彙總來源'!M239</x:f>
        <x:v>26</x:v>
      </x:c>
      <x:c r="N239" s="24" t="n">
        <x:f>F239+H239</x:f>
        <x:v>48.61538461538462</x:v>
      </x:c>
      <x:c r="O239" s="24" t="n">
        <x:f>J239+L239</x:f>
        <x:v>8.307692307692308</x:v>
      </x:c>
    </x:row>
    <x:row r="240">
      <x:c r="A240" s="22" t="str">
        <x:v>500103005</x:v>
      </x:c>
      <x:c r="B240" s="17" t="str">
        <x:v>大同區</x:v>
      </x:c>
      <x:c r="C240" s="17" t="str">
        <x:v>重慶酒泉街口</x:v>
      </x:c>
      <x:c r="D240" s="18" t="n">
        <x:v>26</x:v>
      </x:c>
      <x:c r="E240" s="18" t="n">
        <x:v>26</x:v>
      </x:c>
      <x:c r="F240" s="24" t="n">
        <x:f>IFERROR('各站彙總來源'!F240/'各站彙總來源'!G240,"")</x:f>
        <x:v>34.26923076923077</x:v>
      </x:c>
      <x:c r="G240" s="19" t="n">
        <x:f>'各站彙總來源'!G240</x:f>
        <x:v>26</x:v>
      </x:c>
      <x:c r="H240" s="24" t="n">
        <x:f>IFERROR('各站彙總來源'!H240/'各站彙總來源'!I240,"")</x:f>
        <x:v>3</x:v>
      </x:c>
      <x:c r="I240" s="19" t="n">
        <x:f>'各站彙總來源'!I240</x:f>
        <x:v>26</x:v>
      </x:c>
      <x:c r="J240" s="24" t="n">
        <x:f>IFERROR('各站彙總來源'!J240/'各站彙總來源'!K240,"")</x:f>
        <x:v>4.461538461538462</x:v>
      </x:c>
      <x:c r="K240" s="19" t="n">
        <x:f>'各站彙總來源'!K240</x:f>
        <x:v>26</x:v>
      </x:c>
      <x:c r="L240" s="24" t="n">
        <x:f>IFERROR('各站彙總來源'!L240/'各站彙總來源'!M240,"")</x:f>
        <x:v>1.2307692307692308</x:v>
      </x:c>
      <x:c r="M240" s="19" t="n">
        <x:f>'各站彙總來源'!M240</x:f>
        <x:v>26</x:v>
      </x:c>
      <x:c r="N240" s="24" t="n">
        <x:f>F240+H240</x:f>
        <x:v>37.26923076923077</x:v>
      </x:c>
      <x:c r="O240" s="24" t="n">
        <x:f>J240+L240</x:f>
        <x:v>5.6923076923076925</x:v>
      </x:c>
    </x:row>
    <x:row r="241">
      <x:c r="A241" s="22" t="str">
        <x:v>500103006</x:v>
      </x:c>
      <x:c r="B241" s="17" t="str">
        <x:v>大同區</x:v>
      </x:c>
      <x:c r="C241" s="17" t="str">
        <x:v>樹德公園</x:v>
      </x:c>
      <x:c r="D241" s="18" t="n">
        <x:v>26</x:v>
      </x:c>
      <x:c r="E241" s="18" t="n">
        <x:v>26</x:v>
      </x:c>
      <x:c r="F241" s="24" t="n">
        <x:f>IFERROR('各站彙總來源'!F241/'各站彙總來源'!G241,"")</x:f>
        <x:v>12.961538461538462</x:v>
      </x:c>
      <x:c r="G241" s="19" t="n">
        <x:f>'各站彙總來源'!G241</x:f>
        <x:v>26</x:v>
      </x:c>
      <x:c r="H241" s="24" t="n">
        <x:f>IFERROR('各站彙總來源'!H241/'各站彙總來源'!I241,"")</x:f>
        <x:v>1.6538461538461537</x:v>
      </x:c>
      <x:c r="I241" s="19" t="n">
        <x:f>'各站彙總來源'!I241</x:f>
        <x:v>26</x:v>
      </x:c>
      <x:c r="J241" s="24" t="n">
        <x:f>IFERROR('各站彙總來源'!J241/'各站彙總來源'!K241,"")</x:f>
        <x:v>3.1923076923076925</x:v>
      </x:c>
      <x:c r="K241" s="19" t="n">
        <x:f>'各站彙總來源'!K241</x:f>
        <x:v>26</x:v>
      </x:c>
      <x:c r="L241" s="24" t="n">
        <x:f>IFERROR('各站彙總來源'!L241/'各站彙總來源'!M241,"")</x:f>
        <x:v>0.8846153846153846</x:v>
      </x:c>
      <x:c r="M241" s="19" t="n">
        <x:f>'各站彙總來源'!M241</x:f>
        <x:v>26</x:v>
      </x:c>
      <x:c r="N241" s="24" t="n">
        <x:f>F241+H241</x:f>
        <x:v>14.615384615384615</x:v>
      </x:c>
      <x:c r="O241" s="24" t="n">
        <x:f>J241+L241</x:f>
        <x:v>4.076923076923077</x:v>
      </x:c>
    </x:row>
    <x:row r="242">
      <x:c r="A242" s="22" t="str">
        <x:v>500103007</x:v>
      </x:c>
      <x:c r="B242" s="17" t="str">
        <x:v>大同區</x:v>
      </x:c>
      <x:c r="C242" s="17" t="str">
        <x:v>陳天來故居</x:v>
      </x:c>
      <x:c r="D242" s="18" t="n">
        <x:v>26</x:v>
      </x:c>
      <x:c r="E242" s="18" t="n">
        <x:v>26</x:v>
      </x:c>
      <x:c r="F242" s="24" t="n">
        <x:f>IFERROR('各站彙總來源'!F242/'各站彙總來源'!G242,"")</x:f>
        <x:v>8.653846153846153</x:v>
      </x:c>
      <x:c r="G242" s="19" t="n">
        <x:f>'各站彙總來源'!G242</x:f>
        <x:v>26</x:v>
      </x:c>
      <x:c r="H242" s="24" t="n">
        <x:f>IFERROR('各站彙總來源'!H242/'各站彙總來源'!I242,"")</x:f>
        <x:v>1.4230769230769231</x:v>
      </x:c>
      <x:c r="I242" s="19" t="n">
        <x:f>'各站彙總來源'!I242</x:f>
        <x:v>26</x:v>
      </x:c>
      <x:c r="J242" s="24" t="n">
        <x:f>IFERROR('各站彙總來源'!J242/'各站彙總來源'!K242,"")</x:f>
        <x:v>8.807692307692308</x:v>
      </x:c>
      <x:c r="K242" s="19" t="n">
        <x:f>'各站彙總來源'!K242</x:f>
        <x:v>26</x:v>
      </x:c>
      <x:c r="L242" s="24" t="n">
        <x:f>IFERROR('各站彙總來源'!L242/'各站彙總來源'!M242,"")</x:f>
        <x:v>1.7307692307692308</x:v>
      </x:c>
      <x:c r="M242" s="19" t="n">
        <x:f>'各站彙總來源'!M242</x:f>
        <x:v>26</x:v>
      </x:c>
      <x:c r="N242" s="24" t="n">
        <x:f>F242+H242</x:f>
        <x:v>10.076923076923077</x:v>
      </x:c>
      <x:c r="O242" s="24" t="n">
        <x:f>J242+L242</x:f>
        <x:v>10.53846153846154</x:v>
      </x:c>
    </x:row>
    <x:row r="243">
      <x:c r="A243" s="22" t="str">
        <x:v>500103008</x:v>
      </x:c>
      <x:c r="B243" s="17" t="str">
        <x:v>大同區</x:v>
      </x:c>
      <x:c r="C243" s="17" t="str">
        <x:v>臺北孔廟</x:v>
      </x:c>
      <x:c r="D243" s="18" t="n">
        <x:v>26</x:v>
      </x:c>
      <x:c r="E243" s="18" t="n">
        <x:v>26</x:v>
      </x:c>
      <x:c r="F243" s="24" t="n">
        <x:f>IFERROR('各站彙總來源'!F243/'各站彙總來源'!G243,"")</x:f>
        <x:v>26.23076923076923</x:v>
      </x:c>
      <x:c r="G243" s="19" t="n">
        <x:f>'各站彙總來源'!G243</x:f>
        <x:v>26</x:v>
      </x:c>
      <x:c r="H243" s="24" t="n">
        <x:f>IFERROR('各站彙總來源'!H243/'各站彙總來源'!I243,"")</x:f>
        <x:v>3.6923076923076925</x:v>
      </x:c>
      <x:c r="I243" s="19" t="n">
        <x:f>'各站彙總來源'!I243</x:f>
        <x:v>26</x:v>
      </x:c>
      <x:c r="J243" s="24" t="n">
        <x:f>IFERROR('各站彙總來源'!J243/'各站彙總來源'!K243,"")</x:f>
        <x:v>6.346153846153846</x:v>
      </x:c>
      <x:c r="K243" s="19" t="n">
        <x:f>'各站彙總來源'!K243</x:f>
        <x:v>26</x:v>
      </x:c>
      <x:c r="L243" s="24" t="n">
        <x:f>IFERROR('各站彙總來源'!L243/'各站彙總來源'!M243,"")</x:f>
        <x:v>1.2307692307692308</x:v>
      </x:c>
      <x:c r="M243" s="19" t="n">
        <x:f>'各站彙總來源'!M243</x:f>
        <x:v>26</x:v>
      </x:c>
      <x:c r="N243" s="24" t="n">
        <x:f>F243+H243</x:f>
        <x:v>29.923076923076923</x:v>
      </x:c>
      <x:c r="O243" s="24" t="n">
        <x:f>J243+L243</x:f>
        <x:v>7.576923076923077</x:v>
      </x:c>
    </x:row>
    <x:row r="244">
      <x:c r="A244" s="22" t="str">
        <x:v>500103009</x:v>
      </x:c>
      <x:c r="B244" s="17" t="str">
        <x:v>大同區</x:v>
      </x:c>
      <x:c r="C244" s="17" t="str">
        <x:v>捷運圓山站(1號出口)</x:v>
      </x:c>
      <x:c r="D244" s="18" t="n">
        <x:v>26</x:v>
      </x:c>
      <x:c r="E244" s="18" t="n">
        <x:v>26</x:v>
      </x:c>
      <x:c r="F244" s="24" t="n">
        <x:f>IFERROR('各站彙總來源'!F244/'各站彙總來源'!G244,"")</x:f>
        <x:v>28.384615384615383</x:v>
      </x:c>
      <x:c r="G244" s="19" t="n">
        <x:f>'各站彙總來源'!G244</x:f>
        <x:v>26</x:v>
      </x:c>
      <x:c r="H244" s="24" t="n">
        <x:f>IFERROR('各站彙總來源'!H244/'各站彙總來源'!I244,"")</x:f>
        <x:v>4.846153846153846</x:v>
      </x:c>
      <x:c r="I244" s="19" t="n">
        <x:f>'各站彙總來源'!I244</x:f>
        <x:v>26</x:v>
      </x:c>
      <x:c r="J244" s="24" t="n">
        <x:f>IFERROR('各站彙總來源'!J244/'各站彙總來源'!K244,"")</x:f>
        <x:v>29.96153846153846</x:v>
      </x:c>
      <x:c r="K244" s="19" t="n">
        <x:f>'各站彙總來源'!K244</x:f>
        <x:v>26</x:v>
      </x:c>
      <x:c r="L244" s="24" t="n">
        <x:f>IFERROR('各站彙總來源'!L244/'各站彙總來源'!M244,"")</x:f>
        <x:v>3.5</x:v>
      </x:c>
      <x:c r="M244" s="19" t="n">
        <x:f>'各站彙總來源'!M244</x:f>
        <x:v>26</x:v>
      </x:c>
      <x:c r="N244" s="24" t="n">
        <x:f>F244+H244</x:f>
        <x:v>33.230769230769226</x:v>
      </x:c>
      <x:c r="O244" s="24" t="n">
        <x:f>J244+L244</x:f>
        <x:v>33.46153846153846</x:v>
      </x:c>
    </x:row>
    <x:row r="245">
      <x:c r="A245" s="22" t="str">
        <x:v>500103010</x:v>
      </x:c>
      <x:c r="B245" s="17" t="str">
        <x:v>大同區</x:v>
      </x:c>
      <x:c r="C245" s="17" t="str">
        <x:v>酒泉延平路口</x:v>
      </x:c>
      <x:c r="D245" s="18" t="n">
        <x:v>26</x:v>
      </x:c>
      <x:c r="E245" s="18" t="n">
        <x:v>26</x:v>
      </x:c>
      <x:c r="F245" s="24" t="n">
        <x:f>IFERROR('各站彙總來源'!F245/'各站彙總來源'!G245,"")</x:f>
        <x:v>10.615384615384615</x:v>
      </x:c>
      <x:c r="G245" s="19" t="n">
        <x:f>'各站彙總來源'!G245</x:f>
        <x:v>26</x:v>
      </x:c>
      <x:c r="H245" s="24" t="n">
        <x:f>IFERROR('各站彙總來源'!H245/'各站彙總來源'!I245,"")</x:f>
        <x:v>1.5</x:v>
      </x:c>
      <x:c r="I245" s="19" t="n">
        <x:f>'各站彙總來源'!I245</x:f>
        <x:v>26</x:v>
      </x:c>
      <x:c r="J245" s="24" t="n">
        <x:f>IFERROR('各站彙總來源'!J245/'各站彙總來源'!K245,"")</x:f>
        <x:v>10.846153846153847</x:v>
      </x:c>
      <x:c r="K245" s="19" t="n">
        <x:f>'各站彙總來源'!K245</x:f>
        <x:v>26</x:v>
      </x:c>
      <x:c r="L245" s="24" t="n">
        <x:f>IFERROR('各站彙總來源'!L245/'各站彙總來源'!M245,"")</x:f>
        <x:v>2.1153846153846154</x:v>
      </x:c>
      <x:c r="M245" s="19" t="n">
        <x:f>'各站彙總來源'!M245</x:f>
        <x:v>26</x:v>
      </x:c>
      <x:c r="N245" s="24" t="n">
        <x:f>F245+H245</x:f>
        <x:v>12.115384615384615</x:v>
      </x:c>
      <x:c r="O245" s="24" t="n">
        <x:f>J245+L245</x:f>
        <x:v>12.961538461538462</x:v>
      </x:c>
    </x:row>
    <x:row r="246">
      <x:c r="A246" s="22" t="str">
        <x:v>500103011</x:v>
      </x:c>
      <x:c r="B246" s="17" t="str">
        <x:v>大同區</x:v>
      </x:c>
      <x:c r="C246" s="17" t="str">
        <x:v>重慶國中</x:v>
      </x:c>
      <x:c r="D246" s="18" t="n">
        <x:v>26</x:v>
      </x:c>
      <x:c r="E246" s="18" t="n">
        <x:v>26</x:v>
      </x:c>
      <x:c r="F246" s="24" t="n">
        <x:f>IFERROR('各站彙總來源'!F246/'各站彙總來源'!G246,"")</x:f>
        <x:v>7.6923076923076925</x:v>
      </x:c>
      <x:c r="G246" s="19" t="n">
        <x:f>'各站彙總來源'!G246</x:f>
        <x:v>26</x:v>
      </x:c>
      <x:c r="H246" s="24" t="n">
        <x:f>IFERROR('各站彙總來源'!H246/'各站彙總來源'!I246,"")</x:f>
        <x:v>0.8846153846153846</x:v>
      </x:c>
      <x:c r="I246" s="19" t="n">
        <x:f>'各站彙總來源'!I246</x:f>
        <x:v>26</x:v>
      </x:c>
      <x:c r="J246" s="24" t="n">
        <x:f>IFERROR('各站彙總來源'!J246/'各站彙總來源'!K246,"")</x:f>
        <x:v>36.96153846153846</x:v>
      </x:c>
      <x:c r="K246" s="19" t="n">
        <x:f>'各站彙總來源'!K246</x:f>
        <x:v>26</x:v>
      </x:c>
      <x:c r="L246" s="24" t="n">
        <x:f>IFERROR('各站彙總來源'!L246/'各站彙總來源'!M246,"")</x:f>
        <x:v>1.7692307692307692</x:v>
      </x:c>
      <x:c r="M246" s="19" t="n">
        <x:f>'各站彙總來源'!M246</x:f>
        <x:v>26</x:v>
      </x:c>
      <x:c r="N246" s="24" t="n">
        <x:f>F246+H246</x:f>
        <x:v>8.576923076923077</x:v>
      </x:c>
      <x:c r="O246" s="24" t="n">
        <x:f>J246+L246</x:f>
        <x:v>38.730769230769226</x:v>
      </x:c>
    </x:row>
    <x:row r="247">
      <x:c r="A247" s="22" t="str">
        <x:v>500103012</x:v>
      </x:c>
      <x:c r="B247" s="17" t="str">
        <x:v>大同區</x:v>
      </x:c>
      <x:c r="C247" s="17" t="str">
        <x:v>重慶北路三段383巷口</x:v>
      </x:c>
      <x:c r="D247" s="18" t="n">
        <x:v>26</x:v>
      </x:c>
      <x:c r="E247" s="18" t="n">
        <x:v>26</x:v>
      </x:c>
      <x:c r="F247" s="24" t="n">
        <x:f>IFERROR('各站彙總來源'!F247/'各站彙總來源'!G247,"")</x:f>
        <x:v>22.153846153846153</x:v>
      </x:c>
      <x:c r="G247" s="19" t="n">
        <x:f>'各站彙總來源'!G247</x:f>
        <x:v>26</x:v>
      </x:c>
      <x:c r="H247" s="24" t="n">
        <x:f>IFERROR('各站彙總來源'!H247/'各站彙總來源'!I247,"")</x:f>
        <x:v>2.076923076923077</x:v>
      </x:c>
      <x:c r="I247" s="19" t="n">
        <x:f>'各站彙總來源'!I247</x:f>
        <x:v>26</x:v>
      </x:c>
      <x:c r="J247" s="24" t="n">
        <x:f>IFERROR('各站彙總來源'!J247/'各站彙總來源'!K247,"")</x:f>
        <x:v>5.615384615384615</x:v>
      </x:c>
      <x:c r="K247" s="19" t="n">
        <x:f>'各站彙總來源'!K247</x:f>
        <x:v>26</x:v>
      </x:c>
      <x:c r="L247" s="24" t="n">
        <x:f>IFERROR('各站彙總來源'!L247/'各站彙總來源'!M247,"")</x:f>
        <x:v>1.3461538461538463</x:v>
      </x:c>
      <x:c r="M247" s="19" t="n">
        <x:f>'各站彙總來源'!M247</x:f>
        <x:v>26</x:v>
      </x:c>
      <x:c r="N247" s="24" t="n">
        <x:f>F247+H247</x:f>
        <x:v>24.23076923076923</x:v>
      </x:c>
      <x:c r="O247" s="24" t="n">
        <x:f>J247+L247</x:f>
        <x:v>6.961538461538462</x:v>
      </x:c>
    </x:row>
    <x:row r="248">
      <x:c r="A248" s="22" t="str">
        <x:v>500103013</x:v>
      </x:c>
      <x:c r="B248" s="17" t="str">
        <x:v>大同區</x:v>
      </x:c>
      <x:c r="C248" s="17" t="str">
        <x:v>台北數位產業園區</x:v>
      </x:c>
      <x:c r="D248" s="18" t="n">
        <x:v>26</x:v>
      </x:c>
      <x:c r="E248" s="18" t="n">
        <x:v>26</x:v>
      </x:c>
      <x:c r="F248" s="24" t="n">
        <x:f>IFERROR('各站彙總來源'!F248/'各站彙總來源'!G248,"")</x:f>
        <x:v>6.346153846153846</x:v>
      </x:c>
      <x:c r="G248" s="19" t="n">
        <x:f>'各站彙總來源'!G248</x:f>
        <x:v>26</x:v>
      </x:c>
      <x:c r="H248" s="24" t="n">
        <x:f>IFERROR('各站彙總來源'!H248/'各站彙總來源'!I248,"")</x:f>
        <x:v>1.0769230769230769</x:v>
      </x:c>
      <x:c r="I248" s="19" t="n">
        <x:f>'各站彙總來源'!I248</x:f>
        <x:v>26</x:v>
      </x:c>
      <x:c r="J248" s="24" t="n">
        <x:f>IFERROR('各站彙總來源'!J248/'各站彙總來源'!K248,"")</x:f>
        <x:v>9.923076923076923</x:v>
      </x:c>
      <x:c r="K248" s="19" t="n">
        <x:f>'各站彙總來源'!K248</x:f>
        <x:v>26</x:v>
      </x:c>
      <x:c r="L248" s="24" t="n">
        <x:f>IFERROR('各站彙總來源'!L248/'各站彙總來源'!M248,"")</x:f>
        <x:v>1.6153846153846154</x:v>
      </x:c>
      <x:c r="M248" s="19" t="n">
        <x:f>'各站彙總來源'!M248</x:f>
        <x:v>26</x:v>
      </x:c>
      <x:c r="N248" s="24" t="n">
        <x:f>F248+H248</x:f>
        <x:v>7.4230769230769225</x:v>
      </x:c>
      <x:c r="O248" s="24" t="n">
        <x:f>J248+L248</x:f>
        <x:v>11.538461538461538</x:v>
      </x:c>
    </x:row>
    <x:row r="249">
      <x:c r="A249" s="22" t="str">
        <x:v>500103019</x:v>
      </x:c>
      <x:c r="B249" s="17" t="str">
        <x:v>大同區</x:v>
      </x:c>
      <x:c r="C249" s="17" t="str">
        <x:v>民權延平路口(西北側)</x:v>
      </x:c>
      <x:c r="D249" s="18" t="n">
        <x:v>26</x:v>
      </x:c>
      <x:c r="E249" s="18" t="n">
        <x:v>26</x:v>
      </x:c>
      <x:c r="F249" s="24" t="n">
        <x:f>IFERROR('各站彙總來源'!F249/'各站彙總來源'!G249,"")</x:f>
        <x:v>9.346153846153847</x:v>
      </x:c>
      <x:c r="G249" s="19" t="n">
        <x:f>'各站彙總來源'!G249</x:f>
        <x:v>26</x:v>
      </x:c>
      <x:c r="H249" s="24" t="n">
        <x:f>IFERROR('各站彙總來源'!H249/'各站彙總來源'!I249,"")</x:f>
        <x:v>0.7692307692307693</x:v>
      </x:c>
      <x:c r="I249" s="19" t="n">
        <x:f>'各站彙總來源'!I249</x:f>
        <x:v>26</x:v>
      </x:c>
      <x:c r="J249" s="24" t="n">
        <x:f>IFERROR('各站彙總來源'!J249/'各站彙總來源'!K249,"")</x:f>
        <x:v>3.1923076923076925</x:v>
      </x:c>
      <x:c r="K249" s="19" t="n">
        <x:f>'各站彙總來源'!K249</x:f>
        <x:v>26</x:v>
      </x:c>
      <x:c r="L249" s="24" t="n">
        <x:f>IFERROR('各站彙總來源'!L249/'各站彙總來源'!M249,"")</x:f>
        <x:v>0.6923076923076923</x:v>
      </x:c>
      <x:c r="M249" s="19" t="n">
        <x:f>'各站彙總來源'!M249</x:f>
        <x:v>26</x:v>
      </x:c>
      <x:c r="N249" s="24" t="n">
        <x:f>F249+H249</x:f>
        <x:v>10.115384615384617</x:v>
      </x:c>
      <x:c r="O249" s="24" t="n">
        <x:f>J249+L249</x:f>
        <x:v>3.884615384615385</x:v>
      </x:c>
    </x:row>
    <x:row r="250">
      <x:c r="A250" s="22" t="str">
        <x:v>500103020</x:v>
      </x:c>
      <x:c r="B250" s="17" t="str">
        <x:v>大同區</x:v>
      </x:c>
      <x:c r="C250" s="17" t="str">
        <x:v>民權迪化街口</x:v>
      </x:c>
      <x:c r="D250" s="18" t="n">
        <x:v>26</x:v>
      </x:c>
      <x:c r="E250" s="18" t="n">
        <x:v>26</x:v>
      </x:c>
      <x:c r="F250" s="24" t="n">
        <x:f>IFERROR('各站彙總來源'!F250/'各站彙總來源'!G250,"")</x:f>
        <x:v>24</x:v>
      </x:c>
      <x:c r="G250" s="19" t="n">
        <x:f>'各站彙總來源'!G250</x:f>
        <x:v>26</x:v>
      </x:c>
      <x:c r="H250" s="24" t="n">
        <x:f>IFERROR('各站彙總來源'!H250/'各站彙總來源'!I250,"")</x:f>
        <x:v>2.076923076923077</x:v>
      </x:c>
      <x:c r="I250" s="19" t="n">
        <x:f>'各站彙總來源'!I250</x:f>
        <x:v>26</x:v>
      </x:c>
      <x:c r="J250" s="24" t="n">
        <x:f>IFERROR('各站彙總來源'!J250/'各站彙總來源'!K250,"")</x:f>
        <x:v>6.3076923076923075</x:v>
      </x:c>
      <x:c r="K250" s="19" t="n">
        <x:f>'各站彙總來源'!K250</x:f>
        <x:v>26</x:v>
      </x:c>
      <x:c r="L250" s="24" t="n">
        <x:f>IFERROR('各站彙總來源'!L250/'各站彙總來源'!M250,"")</x:f>
        <x:v>2</x:v>
      </x:c>
      <x:c r="M250" s="19" t="n">
        <x:f>'各站彙總來源'!M250</x:f>
        <x:v>26</x:v>
      </x:c>
      <x:c r="N250" s="24" t="n">
        <x:f>F250+H250</x:f>
        <x:v>26.076923076923077</x:v>
      </x:c>
      <x:c r="O250" s="24" t="n">
        <x:f>J250+L250</x:f>
        <x:v>8.307692307692307</x:v>
      </x:c>
    </x:row>
    <x:row r="251">
      <x:c r="A251" s="22" t="str">
        <x:v>500103021</x:v>
      </x:c>
      <x:c r="B251" s="17" t="str">
        <x:v>大同區</x:v>
      </x:c>
      <x:c r="C251" s="17" t="str">
        <x:v>大稻埕公園</x:v>
      </x:c>
      <x:c r="D251" s="18" t="n">
        <x:v>26</x:v>
      </x:c>
      <x:c r="E251" s="18" t="n">
        <x:v>26</x:v>
      </x:c>
      <x:c r="F251" s="24" t="n">
        <x:f>IFERROR('各站彙總來源'!F251/'各站彙總來源'!G251,"")</x:f>
        <x:v>13.923076923076923</x:v>
      </x:c>
      <x:c r="G251" s="19" t="n">
        <x:f>'各站彙總來源'!G251</x:f>
        <x:v>26</x:v>
      </x:c>
      <x:c r="H251" s="24" t="n">
        <x:f>IFERROR('各站彙總來源'!H251/'各站彙總來源'!I251,"")</x:f>
        <x:v>2.230769230769231</x:v>
      </x:c>
      <x:c r="I251" s="19" t="n">
        <x:f>'各站彙總來源'!I251</x:f>
        <x:v>26</x:v>
      </x:c>
      <x:c r="J251" s="24" t="n">
        <x:f>IFERROR('各站彙總來源'!J251/'各站彙總來源'!K251,"")</x:f>
        <x:v>10</x:v>
      </x:c>
      <x:c r="K251" s="19" t="n">
        <x:f>'各站彙總來源'!K251</x:f>
        <x:v>26</x:v>
      </x:c>
      <x:c r="L251" s="24" t="n">
        <x:f>IFERROR('各站彙總來源'!L251/'各站彙總來源'!M251,"")</x:f>
        <x:v>2.3461538461538463</x:v>
      </x:c>
      <x:c r="M251" s="19" t="n">
        <x:f>'各站彙總來源'!M251</x:f>
        <x:v>26</x:v>
      </x:c>
      <x:c r="N251" s="24" t="n">
        <x:f>F251+H251</x:f>
        <x:v>16.153846153846153</x:v>
      </x:c>
      <x:c r="O251" s="24" t="n">
        <x:f>J251+L251</x:f>
        <x:v>12.346153846153847</x:v>
      </x:c>
    </x:row>
    <x:row r="252">
      <x:c r="A252" s="22" t="str">
        <x:v>500103022</x:v>
      </x:c>
      <x:c r="B252" s="17" t="str">
        <x:v>大同區</x:v>
      </x:c>
      <x:c r="C252" s="17" t="str">
        <x:v>大龍老人住宅</x:v>
      </x:c>
      <x:c r="D252" s="18" t="n">
        <x:v>26</x:v>
      </x:c>
      <x:c r="E252" s="18" t="n">
        <x:v>26</x:v>
      </x:c>
      <x:c r="F252" s="24" t="n">
        <x:f>IFERROR('各站彙總來源'!F252/'各站彙總來源'!G252,"")</x:f>
        <x:v>8.5</x:v>
      </x:c>
      <x:c r="G252" s="19" t="n">
        <x:f>'各站彙總來源'!G252</x:f>
        <x:v>26</x:v>
      </x:c>
      <x:c r="H252" s="24" t="n">
        <x:f>IFERROR('各站彙總來源'!H252/'各站彙總來源'!I252,"")</x:f>
        <x:v>1.1538461538461537</x:v>
      </x:c>
      <x:c r="I252" s="19" t="n">
        <x:f>'各站彙總來源'!I252</x:f>
        <x:v>26</x:v>
      </x:c>
      <x:c r="J252" s="24" t="n">
        <x:f>IFERROR('各站彙總來源'!J252/'各站彙總來源'!K252,"")</x:f>
        <x:v>4.346153846153846</x:v>
      </x:c>
      <x:c r="K252" s="19" t="n">
        <x:f>'各站彙總來源'!K252</x:f>
        <x:v>26</x:v>
      </x:c>
      <x:c r="L252" s="24" t="n">
        <x:f>IFERROR('各站彙總來源'!L252/'各站彙總來源'!M252,"")</x:f>
        <x:v>1.1538461538461537</x:v>
      </x:c>
      <x:c r="M252" s="19" t="n">
        <x:f>'各站彙總來源'!M252</x:f>
        <x:v>26</x:v>
      </x:c>
      <x:c r="N252" s="24" t="n">
        <x:f>F252+H252</x:f>
        <x:v>9.653846153846153</x:v>
      </x:c>
      <x:c r="O252" s="24" t="n">
        <x:f>J252+L252</x:f>
        <x:v>5.5</x:v>
      </x:c>
    </x:row>
    <x:row r="253">
      <x:c r="A253" s="22" t="str">
        <x:v>500103023</x:v>
      </x:c>
      <x:c r="B253" s="17" t="str">
        <x:v>大同區</x:v>
      </x:c>
      <x:c r="C253" s="17" t="str">
        <x:v>大龍峒社會住宅</x:v>
      </x:c>
      <x:c r="D253" s="18" t="n">
        <x:v>26</x:v>
      </x:c>
      <x:c r="E253" s="18" t="n">
        <x:v>26</x:v>
      </x:c>
      <x:c r="F253" s="24" t="n">
        <x:f>IFERROR('各站彙總來源'!F253/'各站彙總來源'!G253,"")</x:f>
        <x:v>19.346153846153847</x:v>
      </x:c>
      <x:c r="G253" s="19" t="n">
        <x:f>'各站彙總來源'!G253</x:f>
        <x:v>26</x:v>
      </x:c>
      <x:c r="H253" s="24" t="n">
        <x:f>IFERROR('各站彙總來源'!H253/'各站彙總來源'!I253,"")</x:f>
        <x:v>1.4615384615384615</x:v>
      </x:c>
      <x:c r="I253" s="19" t="n">
        <x:f>'各站彙總來源'!I253</x:f>
        <x:v>26</x:v>
      </x:c>
      <x:c r="J253" s="24" t="n">
        <x:f>IFERROR('各站彙總來源'!J253/'各站彙總來源'!K253,"")</x:f>
        <x:v>6.653846153846154</x:v>
      </x:c>
      <x:c r="K253" s="19" t="n">
        <x:f>'各站彙總來源'!K253</x:f>
        <x:v>26</x:v>
      </x:c>
      <x:c r="L253" s="24" t="n">
        <x:f>IFERROR('各站彙總來源'!L253/'各站彙總來源'!M253,"")</x:f>
        <x:v>1.1153846153846154</x:v>
      </x:c>
      <x:c r="M253" s="19" t="n">
        <x:f>'各站彙總來源'!M253</x:f>
        <x:v>26</x:v>
      </x:c>
      <x:c r="N253" s="24" t="n">
        <x:f>F253+H253</x:f>
        <x:v>20.807692307692307</x:v>
      </x:c>
      <x:c r="O253" s="24" t="n">
        <x:f>J253+L253</x:f>
        <x:v>7.76923076923077</x:v>
      </x:c>
    </x:row>
    <x:row r="254">
      <x:c r="A254" s="22" t="str">
        <x:v>500103024</x:v>
      </x:c>
      <x:c r="B254" s="17" t="str">
        <x:v>大同區</x:v>
      </x:c>
      <x:c r="C254" s="17" t="str">
        <x:v>捷運大橋頭站(2號出口)</x:v>
      </x:c>
      <x:c r="D254" s="18" t="n">
        <x:v>26</x:v>
      </x:c>
      <x:c r="E254" s="18" t="n">
        <x:v>26</x:v>
      </x:c>
      <x:c r="F254" s="24" t="n">
        <x:f>IFERROR('各站彙總來源'!F254/'各站彙總來源'!G254,"")</x:f>
        <x:v>17.53846153846154</x:v>
      </x:c>
      <x:c r="G254" s="19" t="n">
        <x:f>'各站彙總來源'!G254</x:f>
        <x:v>26</x:v>
      </x:c>
      <x:c r="H254" s="24" t="n">
        <x:f>IFERROR('各站彙總來源'!H254/'各站彙總來源'!I254,"")</x:f>
        <x:v>4.384615384615385</x:v>
      </x:c>
      <x:c r="I254" s="19" t="n">
        <x:f>'各站彙總來源'!I254</x:f>
        <x:v>26</x:v>
      </x:c>
      <x:c r="J254" s="24" t="n">
        <x:f>IFERROR('各站彙總來源'!J254/'各站彙總來源'!K254,"")</x:f>
        <x:v>8.576923076923077</x:v>
      </x:c>
      <x:c r="K254" s="19" t="n">
        <x:f>'各站彙總來源'!K254</x:f>
        <x:v>26</x:v>
      </x:c>
      <x:c r="L254" s="24" t="n">
        <x:f>IFERROR('各站彙總來源'!L254/'各站彙總來源'!M254,"")</x:f>
        <x:v>1.1538461538461537</x:v>
      </x:c>
      <x:c r="M254" s="19" t="n">
        <x:f>'各站彙總來源'!M254</x:f>
        <x:v>26</x:v>
      </x:c>
      <x:c r="N254" s="24" t="n">
        <x:f>F254+H254</x:f>
        <x:v>21.923076923076927</x:v>
      </x:c>
      <x:c r="O254" s="24" t="n">
        <x:f>J254+L254</x:f>
        <x:v>9.73076923076923</x:v>
      </x:c>
    </x:row>
    <x:row r="255">
      <x:c r="A255" s="22" t="str">
        <x:v>500103025</x:v>
      </x:c>
      <x:c r="B255" s="17" t="str">
        <x:v>大同區</x:v>
      </x:c>
      <x:c r="C255" s="17" t="str">
        <x:v>捷運大橋頭站(1A出口)</x:v>
      </x:c>
      <x:c r="D255" s="18" t="n">
        <x:v>26</x:v>
      </x:c>
      <x:c r="E255" s="18" t="n">
        <x:v>26</x:v>
      </x:c>
      <x:c r="F255" s="24" t="n">
        <x:f>IFERROR('各站彙總來源'!F255/'各站彙總來源'!G255,"")</x:f>
        <x:v>12.538461538461538</x:v>
      </x:c>
      <x:c r="G255" s="19" t="n">
        <x:f>'各站彙總來源'!G255</x:f>
        <x:v>26</x:v>
      </x:c>
      <x:c r="H255" s="24" t="n">
        <x:f>IFERROR('各站彙總來源'!H255/'各站彙總來源'!I255,"")</x:f>
        <x:v>2.269230769230769</x:v>
      </x:c>
      <x:c r="I255" s="19" t="n">
        <x:f>'各站彙總來源'!I255</x:f>
        <x:v>26</x:v>
      </x:c>
      <x:c r="J255" s="24" t="n">
        <x:f>IFERROR('各站彙總來源'!J255/'各站彙總來源'!K255,"")</x:f>
        <x:v>4.1923076923076925</x:v>
      </x:c>
      <x:c r="K255" s="19" t="n">
        <x:f>'各站彙總來源'!K255</x:f>
        <x:v>26</x:v>
      </x:c>
      <x:c r="L255" s="24" t="n">
        <x:f>IFERROR('各站彙總來源'!L255/'各站彙總來源'!M255,"")</x:f>
        <x:v>0.9615384615384616</x:v>
      </x:c>
      <x:c r="M255" s="19" t="n">
        <x:f>'各站彙總來源'!M255</x:f>
        <x:v>26</x:v>
      </x:c>
      <x:c r="N255" s="24" t="n">
        <x:f>F255+H255</x:f>
        <x:v>14.807692307692307</x:v>
      </x:c>
      <x:c r="O255" s="24" t="n">
        <x:f>J255+L255</x:f>
        <x:v>5.153846153846154</x:v>
      </x:c>
    </x:row>
    <x:row r="256">
      <x:c r="A256" s="22" t="str">
        <x:v>500103026</x:v>
      </x:c>
      <x:c r="B256" s="17" t="str">
        <x:v>大同區</x:v>
      </x:c>
      <x:c r="C256" s="17" t="str">
        <x:v>捷運民權西路站(2號出口)</x:v>
      </x:c>
      <x:c r="D256" s="18" t="n">
        <x:v>26</x:v>
      </x:c>
      <x:c r="E256" s="18" t="n">
        <x:v>26</x:v>
      </x:c>
      <x:c r="F256" s="24" t="n">
        <x:f>IFERROR('各站彙總來源'!F256/'各站彙總來源'!G256,"")</x:f>
        <x:v>5.384615384615385</x:v>
      </x:c>
      <x:c r="G256" s="19" t="n">
        <x:f>'各站彙總來源'!G256</x:f>
        <x:v>26</x:v>
      </x:c>
      <x:c r="H256" s="24" t="n">
        <x:f>IFERROR('各站彙總來源'!H256/'各站彙總來源'!I256,"")</x:f>
        <x:v>0.5</x:v>
      </x:c>
      <x:c r="I256" s="19" t="n">
        <x:f>'各站彙總來源'!I256</x:f>
        <x:v>26</x:v>
      </x:c>
      <x:c r="J256" s="24" t="n">
        <x:f>IFERROR('各站彙總來源'!J256/'各站彙總來源'!K256,"")</x:f>
        <x:v>3.730769230769231</x:v>
      </x:c>
      <x:c r="K256" s="19" t="n">
        <x:f>'各站彙總來源'!K256</x:f>
        <x:v>26</x:v>
      </x:c>
      <x:c r="L256" s="24" t="n">
        <x:f>IFERROR('各站彙總來源'!L256/'各站彙總來源'!M256,"")</x:f>
        <x:v>1</x:v>
      </x:c>
      <x:c r="M256" s="19" t="n">
        <x:f>'各站彙總來源'!M256</x:f>
        <x:v>26</x:v>
      </x:c>
      <x:c r="N256" s="24" t="n">
        <x:f>F256+H256</x:f>
        <x:v>5.884615384615385</x:v>
      </x:c>
      <x:c r="O256" s="24" t="n">
        <x:f>J256+L256</x:f>
        <x:v>4.730769230769231</x:v>
      </x:c>
    </x:row>
    <x:row r="257">
      <x:c r="A257" s="22" t="str">
        <x:v>500103027</x:v>
      </x:c>
      <x:c r="B257" s="17" t="str">
        <x:v>大同區</x:v>
      </x:c>
      <x:c r="C257" s="17" t="str">
        <x:v>捷運雙連站(2號出口)</x:v>
      </x:c>
      <x:c r="D257" s="18" t="n">
        <x:v>26</x:v>
      </x:c>
      <x:c r="E257" s="18" t="n">
        <x:v>26</x:v>
      </x:c>
      <x:c r="F257" s="24" t="n">
        <x:f>IFERROR('各站彙總來源'!F257/'各站彙總來源'!G257,"")</x:f>
        <x:v>8</x:v>
      </x:c>
      <x:c r="G257" s="19" t="n">
        <x:f>'各站彙總來源'!G257</x:f>
        <x:v>26</x:v>
      </x:c>
      <x:c r="H257" s="24" t="n">
        <x:f>IFERROR('各站彙總來源'!H257/'各站彙總來源'!I257,"")</x:f>
        <x:v>1.8461538461538463</x:v>
      </x:c>
      <x:c r="I257" s="19" t="n">
        <x:f>'各站彙總來源'!I257</x:f>
        <x:v>26</x:v>
      </x:c>
      <x:c r="J257" s="24" t="n">
        <x:f>IFERROR('各站彙總來源'!J257/'各站彙總來源'!K257,"")</x:f>
        <x:v>13.346153846153847</x:v>
      </x:c>
      <x:c r="K257" s="19" t="n">
        <x:f>'各站彙總來源'!K257</x:f>
        <x:v>26</x:v>
      </x:c>
      <x:c r="L257" s="24" t="n">
        <x:f>IFERROR('各站彙總來源'!L257/'各站彙總來源'!M257,"")</x:f>
        <x:v>2.6923076923076925</x:v>
      </x:c>
      <x:c r="M257" s="19" t="n">
        <x:f>'各站彙總來源'!M257</x:f>
        <x:v>26</x:v>
      </x:c>
      <x:c r="N257" s="24" t="n">
        <x:f>F257+H257</x:f>
        <x:v>9.846153846153847</x:v>
      </x:c>
      <x:c r="O257" s="24" t="n">
        <x:f>J257+L257</x:f>
        <x:v>16.03846153846154</x:v>
      </x:c>
    </x:row>
    <x:row r="258">
      <x:c r="A258" s="22" t="str">
        <x:v>500103028</x:v>
      </x:c>
      <x:c r="B258" s="17" t="str">
        <x:v>大同區</x:v>
      </x:c>
      <x:c r="C258" s="17" t="str">
        <x:v>捷運北門站(3號出口)</x:v>
      </x:c>
      <x:c r="D258" s="18" t="n">
        <x:v>26</x:v>
      </x:c>
      <x:c r="E258" s="18" t="n">
        <x:v>26</x:v>
      </x:c>
      <x:c r="F258" s="24" t="n">
        <x:f>IFERROR('各站彙總來源'!F258/'各站彙總來源'!G258,"")</x:f>
        <x:v>18.307692307692307</x:v>
      </x:c>
      <x:c r="G258" s="19" t="n">
        <x:f>'各站彙總來源'!G258</x:f>
        <x:v>26</x:v>
      </x:c>
      <x:c r="H258" s="24" t="n">
        <x:f>IFERROR('各站彙總來源'!H258/'各站彙總來源'!I258,"")</x:f>
        <x:v>3.4615384615384617</x:v>
      </x:c>
      <x:c r="I258" s="19" t="n">
        <x:f>'各站彙總來源'!I258</x:f>
        <x:v>26</x:v>
      </x:c>
      <x:c r="J258" s="24" t="n">
        <x:f>IFERROR('各站彙總來源'!J258/'各站彙總來源'!K258,"")</x:f>
        <x:v>18.653846153846153</x:v>
      </x:c>
      <x:c r="K258" s="19" t="n">
        <x:f>'各站彙總來源'!K258</x:f>
        <x:v>26</x:v>
      </x:c>
      <x:c r="L258" s="24" t="n">
        <x:f>IFERROR('各站彙總來源'!L258/'各站彙總來源'!M258,"")</x:f>
        <x:v>5.6923076923076925</x:v>
      </x:c>
      <x:c r="M258" s="19" t="n">
        <x:f>'各站彙總來源'!M258</x:f>
        <x:v>26</x:v>
      </x:c>
      <x:c r="N258" s="24" t="n">
        <x:f>F258+H258</x:f>
        <x:v>21.769230769230766</x:v>
      </x:c>
      <x:c r="O258" s="24" t="n">
        <x:f>J258+L258</x:f>
        <x:v>24.346153846153847</x:v>
      </x:c>
    </x:row>
    <x:row r="259">
      <x:c r="A259" s="22" t="str">
        <x:v>500103029</x:v>
      </x:c>
      <x:c r="B259" s="17" t="str">
        <x:v>大同區</x:v>
      </x:c>
      <x:c r="C259" s="17" t="str">
        <x:v>朝陽公園</x:v>
      </x:c>
      <x:c r="D259" s="18" t="n">
        <x:v>26</x:v>
      </x:c>
      <x:c r="E259" s="18" t="n">
        <x:v>26</x:v>
      </x:c>
      <x:c r="F259" s="24" t="n">
        <x:f>IFERROR('各站彙總來源'!F259/'各站彙總來源'!G259,"")</x:f>
        <x:v>4.461538461538462</x:v>
      </x:c>
      <x:c r="G259" s="19" t="n">
        <x:f>'各站彙總來源'!G259</x:f>
        <x:v>26</x:v>
      </x:c>
      <x:c r="H259" s="24" t="n">
        <x:f>IFERROR('各站彙總來源'!H259/'各站彙總來源'!I259,"")</x:f>
        <x:v>1.1923076923076923</x:v>
      </x:c>
      <x:c r="I259" s="19" t="n">
        <x:f>'各站彙總來源'!I259</x:f>
        <x:v>26</x:v>
      </x:c>
      <x:c r="J259" s="24" t="n">
        <x:f>IFERROR('各站彙總來源'!J259/'各站彙總來源'!K259,"")</x:f>
        <x:v>5.153846153846154</x:v>
      </x:c>
      <x:c r="K259" s="19" t="n">
        <x:f>'各站彙總來源'!K259</x:f>
        <x:v>26</x:v>
      </x:c>
      <x:c r="L259" s="24" t="n">
        <x:f>IFERROR('各站彙總來源'!L259/'各站彙總來源'!M259,"")</x:f>
        <x:v>1.1538461538461537</x:v>
      </x:c>
      <x:c r="M259" s="19" t="n">
        <x:f>'各站彙總來源'!M259</x:f>
        <x:v>26</x:v>
      </x:c>
      <x:c r="N259" s="24" t="n">
        <x:f>F259+H259</x:f>
        <x:v>5.653846153846154</x:v>
      </x:c>
      <x:c r="O259" s="24" t="n">
        <x:f>J259+L259</x:f>
        <x:v>6.307692307692308</x:v>
      </x:c>
    </x:row>
    <x:row r="260">
      <x:c r="A260" s="22" t="str">
        <x:v>500103030</x:v>
      </x:c>
      <x:c r="B260" s="17" t="str">
        <x:v>大同區</x:v>
      </x:c>
      <x:c r="C260" s="17" t="str">
        <x:v>永樂市場</x:v>
      </x:c>
      <x:c r="D260" s="18" t="n">
        <x:v>26</x:v>
      </x:c>
      <x:c r="E260" s="18" t="n">
        <x:v>26</x:v>
      </x:c>
      <x:c r="F260" s="24" t="n">
        <x:f>IFERROR('各站彙總來源'!F260/'各站彙總來源'!G260,"")</x:f>
        <x:v>3.423076923076923</x:v>
      </x:c>
      <x:c r="G260" s="19" t="n">
        <x:f>'各站彙總來源'!G260</x:f>
        <x:v>26</x:v>
      </x:c>
      <x:c r="H260" s="24" t="n">
        <x:f>IFERROR('各站彙總來源'!H260/'各站彙總來源'!I260,"")</x:f>
        <x:v>2.3461538461538463</x:v>
      </x:c>
      <x:c r="I260" s="19" t="n">
        <x:f>'各站彙總來源'!I260</x:f>
        <x:v>26</x:v>
      </x:c>
      <x:c r="J260" s="24" t="n">
        <x:f>IFERROR('各站彙總來源'!J260/'各站彙總來源'!K260,"")</x:f>
        <x:v>52.15384615384615</x:v>
      </x:c>
      <x:c r="K260" s="19" t="n">
        <x:f>'各站彙總來源'!K260</x:f>
        <x:v>26</x:v>
      </x:c>
      <x:c r="L260" s="24" t="n">
        <x:f>IFERROR('各站彙總來源'!L260/'各站彙總來源'!M260,"")</x:f>
        <x:v>4.115384615384615</x:v>
      </x:c>
      <x:c r="M260" s="19" t="n">
        <x:f>'各站彙總來源'!M260</x:f>
        <x:v>26</x:v>
      </x:c>
      <x:c r="N260" s="24" t="n">
        <x:f>F260+H260</x:f>
        <x:v>5.769230769230769</x:v>
      </x:c>
      <x:c r="O260" s="24" t="n">
        <x:f>J260+L260</x:f>
        <x:v>56.26923076923077</x:v>
      </x:c>
    </x:row>
    <x:row r="261">
      <x:c r="A261" s="22" t="str">
        <x:v>500103031</x:v>
      </x:c>
      <x:c r="B261" s="17" t="str">
        <x:v>大同區</x:v>
      </x:c>
      <x:c r="C261" s="17" t="str">
        <x:v>大龍公園</x:v>
      </x:c>
      <x:c r="D261" s="18" t="n">
        <x:v>26</x:v>
      </x:c>
      <x:c r="E261" s="18" t="n">
        <x:v>26</x:v>
      </x:c>
      <x:c r="F261" s="24" t="n">
        <x:f>IFERROR('各站彙總來源'!F261/'各站彙總來源'!G261,"")</x:f>
        <x:v>18.923076923076923</x:v>
      </x:c>
      <x:c r="G261" s="19" t="n">
        <x:f>'各站彙總來源'!G261</x:f>
        <x:v>26</x:v>
      </x:c>
      <x:c r="H261" s="24" t="n">
        <x:f>IFERROR('各站彙總來源'!H261/'各站彙總來源'!I261,"")</x:f>
        <x:v>2.923076923076923</x:v>
      </x:c>
      <x:c r="I261" s="19" t="n">
        <x:f>'各站彙總來源'!I261</x:f>
        <x:v>26</x:v>
      </x:c>
      <x:c r="J261" s="24" t="n">
        <x:f>IFERROR('各站彙總來源'!J261/'各站彙總來源'!K261,"")</x:f>
        <x:v>4.115384615384615</x:v>
      </x:c>
      <x:c r="K261" s="19" t="n">
        <x:f>'各站彙總來源'!K261</x:f>
        <x:v>26</x:v>
      </x:c>
      <x:c r="L261" s="24" t="n">
        <x:f>IFERROR('各站彙總來源'!L261/'各站彙總來源'!M261,"")</x:f>
        <x:v>1.2307692307692308</x:v>
      </x:c>
      <x:c r="M261" s="19" t="n">
        <x:f>'各站彙總來源'!M261</x:f>
        <x:v>26</x:v>
      </x:c>
      <x:c r="N261" s="24" t="n">
        <x:f>F261+H261</x:f>
        <x:v>21.846153846153847</x:v>
      </x:c>
      <x:c r="O261" s="24" t="n">
        <x:f>J261+L261</x:f>
        <x:v>5.346153846153846</x:v>
      </x:c>
    </x:row>
    <x:row r="262">
      <x:c r="A262" s="22" t="str">
        <x:v>500103032</x:v>
      </x:c>
      <x:c r="B262" s="17" t="str">
        <x:v>大同區</x:v>
      </x:c>
      <x:c r="C262" s="17" t="str">
        <x:v>重慶涼州街口</x:v>
      </x:c>
      <x:c r="D262" s="18" t="n">
        <x:v>26</x:v>
      </x:c>
      <x:c r="E262" s="18" t="n">
        <x:v>26</x:v>
      </x:c>
      <x:c r="F262" s="24" t="n">
        <x:f>IFERROR('各站彙總來源'!F262/'各站彙總來源'!G262,"")</x:f>
        <x:v>5.961538461538462</x:v>
      </x:c>
      <x:c r="G262" s="19" t="n">
        <x:f>'各站彙總來源'!G262</x:f>
        <x:v>26</x:v>
      </x:c>
      <x:c r="H262" s="24" t="n">
        <x:f>IFERROR('各站彙總來源'!H262/'各站彙總來源'!I262,"")</x:f>
        <x:v>1.4615384615384615</x:v>
      </x:c>
      <x:c r="I262" s="19" t="n">
        <x:f>'各站彙總來源'!I262</x:f>
        <x:v>26</x:v>
      </x:c>
      <x:c r="J262" s="24" t="n">
        <x:f>IFERROR('各站彙總來源'!J262/'各站彙總來源'!K262,"")</x:f>
        <x:v>4</x:v>
      </x:c>
      <x:c r="K262" s="19" t="n">
        <x:f>'各站彙總來源'!K262</x:f>
        <x:v>26</x:v>
      </x:c>
      <x:c r="L262" s="24" t="n">
        <x:f>IFERROR('各站彙總來源'!L262/'各站彙總來源'!M262,"")</x:f>
        <x:v>0.8461538461538461</x:v>
      </x:c>
      <x:c r="M262" s="19" t="n">
        <x:f>'各站彙總來源'!M262</x:f>
        <x:v>26</x:v>
      </x:c>
      <x:c r="N262" s="24" t="n">
        <x:f>F262+H262</x:f>
        <x:v>7.423076923076923</x:v>
      </x:c>
      <x:c r="O262" s="24" t="n">
        <x:f>J262+L262</x:f>
        <x:v>4.846153846153846</x:v>
      </x:c>
    </x:row>
    <x:row r="263">
      <x:c r="A263" s="22" t="str">
        <x:v>500103033</x:v>
      </x:c>
      <x:c r="B263" s="17" t="str">
        <x:v>大同區</x:v>
      </x:c>
      <x:c r="C263" s="17" t="str">
        <x:v>圓山線形公園</x:v>
      </x:c>
      <x:c r="D263" s="18" t="n">
        <x:v>26</x:v>
      </x:c>
      <x:c r="E263" s="18" t="n">
        <x:v>26</x:v>
      </x:c>
      <x:c r="F263" s="24" t="n">
        <x:f>IFERROR('各站彙總來源'!F263/'各站彙總來源'!G263,"")</x:f>
        <x:v>3.8076923076923075</x:v>
      </x:c>
      <x:c r="G263" s="19" t="n">
        <x:f>'各站彙總來源'!G263</x:f>
        <x:v>26</x:v>
      </x:c>
      <x:c r="H263" s="24" t="n">
        <x:f>IFERROR('各站彙總來源'!H263/'各站彙總來源'!I263,"")</x:f>
        <x:v>0.8076923076923077</x:v>
      </x:c>
      <x:c r="I263" s="19" t="n">
        <x:f>'各站彙總來源'!I263</x:f>
        <x:v>26</x:v>
      </x:c>
      <x:c r="J263" s="24" t="n">
        <x:f>IFERROR('各站彙總來源'!J263/'各站彙總來源'!K263,"")</x:f>
        <x:v>9.26923076923077</x:v>
      </x:c>
      <x:c r="K263" s="19" t="n">
        <x:f>'各站彙總來源'!K263</x:f>
        <x:v>26</x:v>
      </x:c>
      <x:c r="L263" s="24" t="n">
        <x:f>IFERROR('各站彙總來源'!L263/'各站彙總來源'!M263,"")</x:f>
        <x:v>0.8461538461538461</x:v>
      </x:c>
      <x:c r="M263" s="19" t="n">
        <x:f>'各站彙總來源'!M263</x:f>
        <x:v>26</x:v>
      </x:c>
      <x:c r="N263" s="24" t="n">
        <x:f>F263+H263</x:f>
        <x:v>4.615384615384615</x:v>
      </x:c>
      <x:c r="O263" s="24" t="n">
        <x:f>J263+L263</x:f>
        <x:v>10.115384615384617</x:v>
      </x:c>
    </x:row>
    <x:row r="264">
      <x:c r="A264" s="22" t="str">
        <x:v>500103034</x:v>
      </x:c>
      <x:c r="B264" s="17" t="str">
        <x:v>大同區</x:v>
      </x:c>
      <x:c r="C264" s="17" t="str">
        <x:v>圓環站</x:v>
      </x:c>
      <x:c r="D264" s="18" t="n">
        <x:v>26</x:v>
      </x:c>
      <x:c r="E264" s="18" t="n">
        <x:v>26</x:v>
      </x:c>
      <x:c r="F264" s="24" t="n">
        <x:f>IFERROR('各站彙總來源'!F264/'各站彙總來源'!G264,"")</x:f>
        <x:v>18.03846153846154</x:v>
      </x:c>
      <x:c r="G264" s="19" t="n">
        <x:f>'各站彙總來源'!G264</x:f>
        <x:v>26</x:v>
      </x:c>
      <x:c r="H264" s="24" t="n">
        <x:f>IFERROR('各站彙總來源'!H264/'各站彙總來源'!I264,"")</x:f>
        <x:v>2.3076923076923075</x:v>
      </x:c>
      <x:c r="I264" s="19" t="n">
        <x:f>'各站彙總來源'!I264</x:f>
        <x:v>26</x:v>
      </x:c>
      <x:c r="J264" s="24" t="n">
        <x:f>IFERROR('各站彙總來源'!J264/'各站彙總來源'!K264,"")</x:f>
        <x:v>11.653846153846153</x:v>
      </x:c>
      <x:c r="K264" s="19" t="n">
        <x:f>'各站彙總來源'!K264</x:f>
        <x:v>26</x:v>
      </x:c>
      <x:c r="L264" s="24" t="n">
        <x:f>IFERROR('各站彙總來源'!L264/'各站彙總來源'!M264,"")</x:f>
        <x:v>1.8846153846153846</x:v>
      </x:c>
      <x:c r="M264" s="19" t="n">
        <x:f>'各站彙總來源'!M264</x:f>
        <x:v>26</x:v>
      </x:c>
      <x:c r="N264" s="24" t="n">
        <x:f>F264+H264</x:f>
        <x:v>20.346153846153847</x:v>
      </x:c>
      <x:c r="O264" s="24" t="n">
        <x:f>J264+L264</x:f>
        <x:v>13.538461538461538</x:v>
      </x:c>
    </x:row>
    <x:row r="265">
      <x:c r="A265" s="22" t="str">
        <x:v>500103035</x:v>
      </x:c>
      <x:c r="B265" s="17" t="str">
        <x:v>大同區</x:v>
      </x:c>
      <x:c r="C265" s="17" t="str">
        <x:v>重慶民族路口</x:v>
      </x:c>
      <x:c r="D265" s="18" t="n">
        <x:v>26</x:v>
      </x:c>
      <x:c r="E265" s="18" t="n">
        <x:v>26</x:v>
      </x:c>
      <x:c r="F265" s="24" t="n">
        <x:f>IFERROR('各站彙總來源'!F265/'各站彙總來源'!G265,"")</x:f>
        <x:v>36.73076923076923</x:v>
      </x:c>
      <x:c r="G265" s="19" t="n">
        <x:f>'各站彙總來源'!G265</x:f>
        <x:v>26</x:v>
      </x:c>
      <x:c r="H265" s="24" t="n">
        <x:f>IFERROR('各站彙總來源'!H265/'各站彙總來源'!I265,"")</x:f>
        <x:v>2.3076923076923075</x:v>
      </x:c>
      <x:c r="I265" s="19" t="n">
        <x:f>'各站彙總來源'!I265</x:f>
        <x:v>26</x:v>
      </x:c>
      <x:c r="J265" s="24" t="n">
        <x:f>IFERROR('各站彙總來源'!J265/'各站彙總來源'!K265,"")</x:f>
        <x:v>5.576923076923077</x:v>
      </x:c>
      <x:c r="K265" s="19" t="n">
        <x:f>'各站彙總來源'!K265</x:f>
        <x:v>26</x:v>
      </x:c>
      <x:c r="L265" s="24" t="n">
        <x:f>IFERROR('各站彙總來源'!L265/'各站彙總來源'!M265,"")</x:f>
        <x:v>1.3461538461538463</x:v>
      </x:c>
      <x:c r="M265" s="19" t="n">
        <x:f>'各站彙總來源'!M265</x:f>
        <x:v>26</x:v>
      </x:c>
      <x:c r="N265" s="24" t="n">
        <x:f>F265+H265</x:f>
        <x:v>39.03846153846154</x:v>
      </x:c>
      <x:c r="O265" s="24" t="n">
        <x:f>J265+L265</x:f>
        <x:v>6.923076923076923</x:v>
      </x:c>
    </x:row>
    <x:row r="266">
      <x:c r="A266" s="22" t="str">
        <x:v>500103036</x:v>
      </x:c>
      <x:c r="B266" s="17" t="str">
        <x:v>大同區</x:v>
      </x:c>
      <x:c r="C266" s="17" t="str">
        <x:v>承德路三段8巷口</x:v>
      </x:c>
      <x:c r="D266" s="18" t="n">
        <x:v>26</x:v>
      </x:c>
      <x:c r="E266" s="18" t="n">
        <x:v>26</x:v>
      </x:c>
      <x:c r="F266" s="24" t="n">
        <x:f>IFERROR('各站彙總來源'!F266/'各站彙總來源'!G266,"")</x:f>
        <x:v>2.6153846153846154</x:v>
      </x:c>
      <x:c r="G266" s="19" t="n">
        <x:f>'各站彙總來源'!G266</x:f>
        <x:v>26</x:v>
      </x:c>
      <x:c r="H266" s="24" t="n">
        <x:f>IFERROR('各站彙總來源'!H266/'各站彙總來源'!I266,"")</x:f>
        <x:v>1.0769230769230769</x:v>
      </x:c>
      <x:c r="I266" s="19" t="n">
        <x:f>'各站彙總來源'!I266</x:f>
        <x:v>26</x:v>
      </x:c>
      <x:c r="J266" s="24" t="n">
        <x:f>IFERROR('各站彙總來源'!J266/'各站彙總來源'!K266,"")</x:f>
        <x:v>6.038461538461538</x:v>
      </x:c>
      <x:c r="K266" s="19" t="n">
        <x:f>'各站彙總來源'!K266</x:f>
        <x:v>26</x:v>
      </x:c>
      <x:c r="L266" s="24" t="n">
        <x:f>IFERROR('各站彙總來源'!L266/'各站彙總來源'!M266,"")</x:f>
        <x:v>0.5</x:v>
      </x:c>
      <x:c r="M266" s="19" t="n">
        <x:f>'各站彙總來源'!M266</x:f>
        <x:v>26</x:v>
      </x:c>
      <x:c r="N266" s="24" t="n">
        <x:f>F266+H266</x:f>
        <x:v>3.6923076923076925</x:v>
      </x:c>
      <x:c r="O266" s="24" t="n">
        <x:f>J266+L266</x:f>
        <x:v>6.538461538461538</x:v>
      </x:c>
    </x:row>
    <x:row r="267">
      <x:c r="A267" s="22" t="str">
        <x:v>500103037</x:v>
      </x:c>
      <x:c r="B267" s="17" t="str">
        <x:v>大同區</x:v>
      </x:c>
      <x:c r="C267" s="17" t="str">
        <x:v>太原廣場</x:v>
      </x:c>
      <x:c r="D267" s="18" t="n">
        <x:v>26</x:v>
      </x:c>
      <x:c r="E267" s="18" t="n">
        <x:v>26</x:v>
      </x:c>
      <x:c r="F267" s="24" t="n">
        <x:f>IFERROR('各站彙總來源'!F267/'各站彙總來源'!G267,"")</x:f>
        <x:v>17.153846153846153</x:v>
      </x:c>
      <x:c r="G267" s="19" t="n">
        <x:f>'各站彙總來源'!G267</x:f>
        <x:v>26</x:v>
      </x:c>
      <x:c r="H267" s="24" t="n">
        <x:f>IFERROR('各站彙總來源'!H267/'各站彙總來源'!I267,"")</x:f>
        <x:v>2.6538461538461537</x:v>
      </x:c>
      <x:c r="I267" s="19" t="n">
        <x:f>'各站彙總來源'!I267</x:f>
        <x:v>26</x:v>
      </x:c>
      <x:c r="J267" s="24" t="n">
        <x:f>IFERROR('各站彙總來源'!J267/'各站彙總來源'!K267,"")</x:f>
        <x:v>17.26923076923077</x:v>
      </x:c>
      <x:c r="K267" s="19" t="n">
        <x:f>'各站彙總來源'!K267</x:f>
        <x:v>26</x:v>
      </x:c>
      <x:c r="L267" s="24" t="n">
        <x:f>IFERROR('各站彙總來源'!L267/'各站彙總來源'!M267,"")</x:f>
        <x:v>2.0384615384615383</x:v>
      </x:c>
      <x:c r="M267" s="19" t="n">
        <x:f>'各站彙總來源'!M267</x:f>
        <x:v>26</x:v>
      </x:c>
      <x:c r="N267" s="24" t="n">
        <x:f>F267+H267</x:f>
        <x:v>19.807692307692307</x:v>
      </x:c>
      <x:c r="O267" s="24" t="n">
        <x:f>J267+L267</x:f>
        <x:v>19.307692307692307</x:v>
      </x:c>
    </x:row>
    <x:row r="268">
      <x:c r="A268" s="22" t="str">
        <x:v>500103038</x:v>
      </x:c>
      <x:c r="B268" s="17" t="str">
        <x:v>大同區</x:v>
      </x:c>
      <x:c r="C268" s="17" t="str">
        <x:v>國順公園</x:v>
      </x:c>
      <x:c r="D268" s="18" t="n">
        <x:v>26</x:v>
      </x:c>
      <x:c r="E268" s="18" t="n">
        <x:v>26</x:v>
      </x:c>
      <x:c r="F268" s="24" t="n">
        <x:f>IFERROR('各站彙總來源'!F268/'各站彙總來源'!G268,"")</x:f>
        <x:v>21.807692307692307</x:v>
      </x:c>
      <x:c r="G268" s="19" t="n">
        <x:f>'各站彙總來源'!G268</x:f>
        <x:v>26</x:v>
      </x:c>
      <x:c r="H268" s="24" t="n">
        <x:f>IFERROR('各站彙總來源'!H268/'各站彙總來源'!I268,"")</x:f>
        <x:v>1</x:v>
      </x:c>
      <x:c r="I268" s="19" t="n">
        <x:f>'各站彙總來源'!I268</x:f>
        <x:v>26</x:v>
      </x:c>
      <x:c r="J268" s="24" t="n">
        <x:f>IFERROR('各站彙總來源'!J268/'各站彙總來源'!K268,"")</x:f>
        <x:v>5.538461538461538</x:v>
      </x:c>
      <x:c r="K268" s="19" t="n">
        <x:f>'各站彙總來源'!K268</x:f>
        <x:v>26</x:v>
      </x:c>
      <x:c r="L268" s="24" t="n">
        <x:f>IFERROR('各站彙總來源'!L268/'各站彙總來源'!M268,"")</x:f>
        <x:v>1.5</x:v>
      </x:c>
      <x:c r="M268" s="19" t="n">
        <x:f>'各站彙總來源'!M268</x:f>
        <x:v>26</x:v>
      </x:c>
      <x:c r="N268" s="24" t="n">
        <x:f>F268+H268</x:f>
        <x:v>22.807692307692307</x:v>
      </x:c>
      <x:c r="O268" s="24" t="n">
        <x:f>J268+L268</x:f>
        <x:v>7.038461538461538</x:v>
      </x:c>
    </x:row>
    <x:row r="269">
      <x:c r="A269" s="22" t="str">
        <x:v>500103039</x:v>
      </x:c>
      <x:c r="B269" s="17" t="str">
        <x:v>大同區</x:v>
      </x:c>
      <x:c r="C269" s="17" t="str">
        <x:v>聯合醫院中興院區</x:v>
      </x:c>
      <x:c r="D269" s="18" t="n">
        <x:v>26</x:v>
      </x:c>
      <x:c r="E269" s="18" t="n">
        <x:v>26</x:v>
      </x:c>
      <x:c r="F269" s="24" t="n">
        <x:f>IFERROR('各站彙總來源'!F269/'各站彙總來源'!G269,"")</x:f>
        <x:v>9.923076923076923</x:v>
      </x:c>
      <x:c r="G269" s="19" t="n">
        <x:f>'各站彙總來源'!G269</x:f>
        <x:v>26</x:v>
      </x:c>
      <x:c r="H269" s="24" t="n">
        <x:f>IFERROR('各站彙總來源'!H269/'各站彙總來源'!I269,"")</x:f>
        <x:v>1.5384615384615385</x:v>
      </x:c>
      <x:c r="I269" s="19" t="n">
        <x:f>'各站彙總來源'!I269</x:f>
        <x:v>26</x:v>
      </x:c>
      <x:c r="J269" s="24" t="n">
        <x:f>IFERROR('各站彙總來源'!J269/'各站彙總來源'!K269,"")</x:f>
        <x:v>19.807692307692307</x:v>
      </x:c>
      <x:c r="K269" s="19" t="n">
        <x:f>'各站彙總來源'!K269</x:f>
        <x:v>26</x:v>
      </x:c>
      <x:c r="L269" s="24" t="n">
        <x:f>IFERROR('各站彙總來源'!L269/'各站彙總來源'!M269,"")</x:f>
        <x:v>3.269230769230769</x:v>
      </x:c>
      <x:c r="M269" s="19" t="n">
        <x:f>'各站彙總來源'!M269</x:f>
        <x:v>26</x:v>
      </x:c>
      <x:c r="N269" s="24" t="n">
        <x:f>F269+H269</x:f>
        <x:v>11.461538461538462</x:v>
      </x:c>
      <x:c r="O269" s="24" t="n">
        <x:f>J269+L269</x:f>
        <x:v>23.076923076923077</x:v>
      </x:c>
    </x:row>
    <x:row r="270">
      <x:c r="A270" s="22" t="str">
        <x:v>500103040</x:v>
      </x:c>
      <x:c r="B270" s="17" t="str">
        <x:v>大同區</x:v>
      </x:c>
      <x:c r="C270" s="17" t="str">
        <x:v>蔣渭水紀念公園</x:v>
      </x:c>
      <x:c r="D270" s="18" t="n">
        <x:v>26</x:v>
      </x:c>
      <x:c r="E270" s="18" t="n">
        <x:v>26</x:v>
      </x:c>
      <x:c r="F270" s="24" t="n">
        <x:f>IFERROR('各站彙總來源'!F270/'各站彙總來源'!G270,"")</x:f>
        <x:v>23.846153846153847</x:v>
      </x:c>
      <x:c r="G270" s="19" t="n">
        <x:f>'各站彙總來源'!G270</x:f>
        <x:v>26</x:v>
      </x:c>
      <x:c r="H270" s="24" t="n">
        <x:f>IFERROR('各站彙總來源'!H270/'各站彙總來源'!I270,"")</x:f>
        <x:v>5.615384615384615</x:v>
      </x:c>
      <x:c r="I270" s="19" t="n">
        <x:f>'各站彙總來源'!I270</x:f>
        <x:v>26</x:v>
      </x:c>
      <x:c r="J270" s="24" t="n">
        <x:f>IFERROR('各站彙總來源'!J270/'各站彙總來源'!K270,"")</x:f>
        <x:v>7.115384615384615</x:v>
      </x:c>
      <x:c r="K270" s="19" t="n">
        <x:f>'各站彙總來源'!K270</x:f>
        <x:v>26</x:v>
      </x:c>
      <x:c r="L270" s="24" t="n">
        <x:f>IFERROR('各站彙總來源'!L270/'各站彙總來源'!M270,"")</x:f>
        <x:v>1.6538461538461537</x:v>
      </x:c>
      <x:c r="M270" s="19" t="n">
        <x:f>'各站彙總來源'!M270</x:f>
        <x:v>26</x:v>
      </x:c>
      <x:c r="N270" s="24" t="n">
        <x:f>F270+H270</x:f>
        <x:v>29.46153846153846</x:v>
      </x:c>
      <x:c r="O270" s="24" t="n">
        <x:f>J270+L270</x:f>
        <x:v>8.769230769230768</x:v>
      </x:c>
    </x:row>
    <x:row r="271">
      <x:c r="A271" s="22" t="str">
        <x:v>500103041</x:v>
      </x:c>
      <x:c r="B271" s="17" t="str">
        <x:v>大同區</x:v>
      </x:c>
      <x:c r="C271" s="17" t="str">
        <x:v>迪化休閒運動公園</x:v>
      </x:c>
      <x:c r="D271" s="18" t="n">
        <x:v>26</x:v>
      </x:c>
      <x:c r="E271" s="18" t="n">
        <x:v>26</x:v>
      </x:c>
      <x:c r="F271" s="24" t="n">
        <x:f>IFERROR('各站彙總來源'!F271/'各站彙總來源'!G271,"")</x:f>
        <x:v>12.73076923076923</x:v>
      </x:c>
      <x:c r="G271" s="19" t="n">
        <x:f>'各站彙總來源'!G271</x:f>
        <x:v>26</x:v>
      </x:c>
      <x:c r="H271" s="24" t="n">
        <x:f>IFERROR('各站彙總來源'!H271/'各站彙總來源'!I271,"")</x:f>
        <x:v>2.3076923076923075</x:v>
      </x:c>
      <x:c r="I271" s="19" t="n">
        <x:f>'各站彙總來源'!I271</x:f>
        <x:v>26</x:v>
      </x:c>
      <x:c r="J271" s="24" t="n">
        <x:f>IFERROR('各站彙總來源'!J271/'各站彙總來源'!K271,"")</x:f>
        <x:v>6.653846153846154</x:v>
      </x:c>
      <x:c r="K271" s="19" t="n">
        <x:f>'各站彙總來源'!K271</x:f>
        <x:v>26</x:v>
      </x:c>
      <x:c r="L271" s="24" t="n">
        <x:f>IFERROR('各站彙總來源'!L271/'各站彙總來源'!M271,"")</x:f>
        <x:v>1.1923076923076923</x:v>
      </x:c>
      <x:c r="M271" s="19" t="n">
        <x:f>'各站彙總來源'!M271</x:f>
        <x:v>26</x:v>
      </x:c>
      <x:c r="N271" s="24" t="n">
        <x:f>F271+H271</x:f>
        <x:v>15.038461538461537</x:v>
      </x:c>
      <x:c r="O271" s="24" t="n">
        <x:f>J271+L271</x:f>
        <x:v>7.846153846153847</x:v>
      </x:c>
    </x:row>
    <x:row r="272">
      <x:c r="A272" s="22" t="str">
        <x:v>500103042</x:v>
      </x:c>
      <x:c r="B272" s="17" t="str">
        <x:v>大同區</x:v>
      </x:c>
      <x:c r="C272" s="17" t="str">
        <x:v>大同運動中心</x:v>
      </x:c>
      <x:c r="D272" s="18" t="n">
        <x:v>26</x:v>
      </x:c>
      <x:c r="E272" s="18" t="n">
        <x:v>26</x:v>
      </x:c>
      <x:c r="F272" s="24" t="n">
        <x:f>IFERROR('各站彙總來源'!F272/'各站彙總來源'!G272,"")</x:f>
        <x:v>9.73076923076923</x:v>
      </x:c>
      <x:c r="G272" s="19" t="n">
        <x:f>'各站彙總來源'!G272</x:f>
        <x:v>26</x:v>
      </x:c>
      <x:c r="H272" s="24" t="n">
        <x:f>IFERROR('各站彙總來源'!H272/'各站彙總來源'!I272,"")</x:f>
        <x:v>1.8076923076923077</x:v>
      </x:c>
      <x:c r="I272" s="19" t="n">
        <x:f>'各站彙總來源'!I272</x:f>
        <x:v>26</x:v>
      </x:c>
      <x:c r="J272" s="24" t="n">
        <x:f>IFERROR('各站彙總來源'!J272/'各站彙總來源'!K272,"")</x:f>
        <x:v>8.307692307692308</x:v>
      </x:c>
      <x:c r="K272" s="19" t="n">
        <x:f>'各站彙總來源'!K272</x:f>
        <x:v>26</x:v>
      </x:c>
      <x:c r="L272" s="24" t="n">
        <x:f>IFERROR('各站彙總來源'!L272/'各站彙總來源'!M272,"")</x:f>
        <x:v>1.5769230769230769</x:v>
      </x:c>
      <x:c r="M272" s="19" t="n">
        <x:f>'各站彙總來源'!M272</x:f>
        <x:v>26</x:v>
      </x:c>
      <x:c r="N272" s="24" t="n">
        <x:f>F272+H272</x:f>
        <x:v>11.538461538461538</x:v>
      </x:c>
      <x:c r="O272" s="24" t="n">
        <x:f>J272+L272</x:f>
        <x:v>9.884615384615385</x:v>
      </x:c>
    </x:row>
    <x:row r="273">
      <x:c r="A273" s="22" t="str">
        <x:v>500103043</x:v>
      </x:c>
      <x:c r="B273" s="17" t="str">
        <x:v>大同區</x:v>
      </x:c>
      <x:c r="C273" s="17" t="str">
        <x:v>重慶保安街口(家樂福重慶店)</x:v>
      </x:c>
      <x:c r="D273" s="18" t="n">
        <x:v>26</x:v>
      </x:c>
      <x:c r="E273" s="18" t="n">
        <x:v>26</x:v>
      </x:c>
      <x:c r="F273" s="24" t="n">
        <x:f>IFERROR('各站彙總來源'!F273/'各站彙總來源'!G273,"")</x:f>
        <x:v>8.923076923076923</x:v>
      </x:c>
      <x:c r="G273" s="19" t="n">
        <x:f>'各站彙總來源'!G273</x:f>
        <x:v>26</x:v>
      </x:c>
      <x:c r="H273" s="24" t="n">
        <x:f>IFERROR('各站彙總來源'!H273/'各站彙總來源'!I273,"")</x:f>
        <x:v>1.3076923076923077</x:v>
      </x:c>
      <x:c r="I273" s="19" t="n">
        <x:f>'各站彙總來源'!I273</x:f>
        <x:v>26</x:v>
      </x:c>
      <x:c r="J273" s="24" t="n">
        <x:f>IFERROR('各站彙總來源'!J273/'各站彙總來源'!K273,"")</x:f>
        <x:v>7.153846153846154</x:v>
      </x:c>
      <x:c r="K273" s="19" t="n">
        <x:f>'各站彙總來源'!K273</x:f>
        <x:v>26</x:v>
      </x:c>
      <x:c r="L273" s="24" t="n">
        <x:f>IFERROR('各站彙總來源'!L273/'各站彙總來源'!M273,"")</x:f>
        <x:v>1.1923076923076923</x:v>
      </x:c>
      <x:c r="M273" s="19" t="n">
        <x:f>'各站彙總來源'!M273</x:f>
        <x:v>26</x:v>
      </x:c>
      <x:c r="N273" s="24" t="n">
        <x:f>F273+H273</x:f>
        <x:v>10.230769230769232</x:v>
      </x:c>
      <x:c r="O273" s="24" t="n">
        <x:f>J273+L273</x:f>
        <x:v>8.346153846153847</x:v>
      </x:c>
    </x:row>
    <x:row r="274">
      <x:c r="A274" s="22" t="str">
        <x:v>500103044</x:v>
      </x:c>
      <x:c r="B274" s="17" t="str">
        <x:v>大同區</x:v>
      </x:c>
      <x:c r="C274" s="17" t="str">
        <x:v>大稻埕碼頭</x:v>
      </x:c>
      <x:c r="D274" s="18" t="n">
        <x:v>26</x:v>
      </x:c>
      <x:c r="E274" s="18" t="n">
        <x:v>26</x:v>
      </x:c>
      <x:c r="F274" s="24" t="n">
        <x:f>IFERROR('各站彙總來源'!F274/'各站彙總來源'!G274,"")</x:f>
        <x:v>14.73076923076923</x:v>
      </x:c>
      <x:c r="G274" s="19" t="n">
        <x:f>'各站彙總來源'!G274</x:f>
        <x:v>26</x:v>
      </x:c>
      <x:c r="H274" s="24" t="n">
        <x:f>IFERROR('各站彙總來源'!H274/'各站彙總來源'!I274,"")</x:f>
        <x:v>3.5384615384615383</x:v>
      </x:c>
      <x:c r="I274" s="19" t="n">
        <x:f>'各站彙總來源'!I274</x:f>
        <x:v>26</x:v>
      </x:c>
      <x:c r="J274" s="24" t="n">
        <x:f>IFERROR('各站彙總來源'!J274/'各站彙總來源'!K274,"")</x:f>
        <x:v>19.076923076923077</x:v>
      </x:c>
      <x:c r="K274" s="19" t="n">
        <x:f>'各站彙總來源'!K274</x:f>
        <x:v>26</x:v>
      </x:c>
      <x:c r="L274" s="24" t="n">
        <x:f>IFERROR('各站彙總來源'!L274/'各站彙總來源'!M274,"")</x:f>
        <x:v>3.769230769230769</x:v>
      </x:c>
      <x:c r="M274" s="19" t="n">
        <x:f>'各站彙總來源'!M274</x:f>
        <x:v>26</x:v>
      </x:c>
      <x:c r="N274" s="24" t="n">
        <x:f>F274+H274</x:f>
        <x:v>18.269230769230766</x:v>
      </x:c>
      <x:c r="O274" s="24" t="n">
        <x:f>J274+L274</x:f>
        <x:v>22.846153846153847</x:v>
      </x:c>
    </x:row>
    <x:row r="275">
      <x:c r="A275" s="22" t="str">
        <x:v>500103045</x:v>
      </x:c>
      <x:c r="B275" s="17" t="str">
        <x:v>大同區</x:v>
      </x:c>
      <x:c r="C275" s="17" t="str">
        <x:v>歸綏戲曲公園</x:v>
      </x:c>
      <x:c r="D275" s="18" t="n">
        <x:v>26</x:v>
      </x:c>
      <x:c r="E275" s="18" t="n">
        <x:v>26</x:v>
      </x:c>
      <x:c r="F275" s="24" t="n">
        <x:f>IFERROR('各站彙總來源'!F275/'各站彙總來源'!G275,"")</x:f>
        <x:v>16.23076923076923</x:v>
      </x:c>
      <x:c r="G275" s="19" t="n">
        <x:f>'各站彙總來源'!G275</x:f>
        <x:v>26</x:v>
      </x:c>
      <x:c r="H275" s="24" t="n">
        <x:f>IFERROR('各站彙總來源'!H275/'各站彙總來源'!I275,"")</x:f>
        <x:v>3.076923076923077</x:v>
      </x:c>
      <x:c r="I275" s="19" t="n">
        <x:f>'各站彙總來源'!I275</x:f>
        <x:v>26</x:v>
      </x:c>
      <x:c r="J275" s="24" t="n">
        <x:f>IFERROR('各站彙總來源'!J275/'各站彙總來源'!K275,"")</x:f>
        <x:v>4.346153846153846</x:v>
      </x:c>
      <x:c r="K275" s="19" t="n">
        <x:f>'各站彙總來源'!K275</x:f>
        <x:v>26</x:v>
      </x:c>
      <x:c r="L275" s="24" t="n">
        <x:f>IFERROR('各站彙總來源'!L275/'各站彙總來源'!M275,"")</x:f>
        <x:v>1.0384615384615385</x:v>
      </x:c>
      <x:c r="M275" s="19" t="n">
        <x:f>'各站彙總來源'!M275</x:f>
        <x:v>26</x:v>
      </x:c>
      <x:c r="N275" s="24" t="n">
        <x:f>F275+H275</x:f>
        <x:v>19.307692307692307</x:v>
      </x:c>
      <x:c r="O275" s="24" t="n">
        <x:f>J275+L275</x:f>
        <x:v>5.384615384615384</x:v>
      </x:c>
    </x:row>
    <x:row r="276">
      <x:c r="A276" s="22" t="str">
        <x:v>500103046</x:v>
      </x:c>
      <x:c r="B276" s="17" t="str">
        <x:v>大同區</x:v>
      </x:c>
      <x:c r="C276" s="17" t="str">
        <x:v>民權國中(民權西路)</x:v>
      </x:c>
      <x:c r="D276" s="18" t="n">
        <x:v>26</x:v>
      </x:c>
      <x:c r="E276" s="18" t="n">
        <x:v>26</x:v>
      </x:c>
      <x:c r="F276" s="24" t="n">
        <x:f>IFERROR('各站彙總來源'!F276/'各站彙總來源'!G276,"")</x:f>
        <x:v>6.1923076923076925</x:v>
      </x:c>
      <x:c r="G276" s="19" t="n">
        <x:f>'各站彙總來源'!G276</x:f>
        <x:v>26</x:v>
      </x:c>
      <x:c r="H276" s="24" t="n">
        <x:f>IFERROR('各站彙總來源'!H276/'各站彙總來源'!I276,"")</x:f>
        <x:v>1.1153846153846154</x:v>
      </x:c>
      <x:c r="I276" s="19" t="n">
        <x:f>'各站彙總來源'!I276</x:f>
        <x:v>26</x:v>
      </x:c>
      <x:c r="J276" s="24" t="n">
        <x:f>IFERROR('各站彙總來源'!J276/'各站彙總來源'!K276,"")</x:f>
        <x:v>5.653846153846154</x:v>
      </x:c>
      <x:c r="K276" s="19" t="n">
        <x:f>'各站彙總來源'!K276</x:f>
        <x:v>26</x:v>
      </x:c>
      <x:c r="L276" s="24" t="n">
        <x:f>IFERROR('各站彙總來源'!L276/'各站彙總來源'!M276,"")</x:f>
        <x:v>1</x:v>
      </x:c>
      <x:c r="M276" s="19" t="n">
        <x:f>'各站彙總來源'!M276</x:f>
        <x:v>26</x:v>
      </x:c>
      <x:c r="N276" s="24" t="n">
        <x:f>F276+H276</x:f>
        <x:v>7.307692307692308</x:v>
      </x:c>
      <x:c r="O276" s="24" t="n">
        <x:f>J276+L276</x:f>
        <x:v>6.653846153846154</x:v>
      </x:c>
    </x:row>
    <x:row r="277">
      <x:c r="A277" s="22" t="str">
        <x:v>500103047</x:v>
      </x:c>
      <x:c r="B277" s="17" t="str">
        <x:v>大同區</x:v>
      </x:c>
      <x:c r="C277" s="17" t="str">
        <x:v>承德民權路口</x:v>
      </x:c>
      <x:c r="D277" s="18" t="n">
        <x:v>26</x:v>
      </x:c>
      <x:c r="E277" s="18" t="n">
        <x:v>26</x:v>
      </x:c>
      <x:c r="F277" s="24" t="n">
        <x:f>IFERROR('各站彙總來源'!F277/'各站彙總來源'!G277,"")</x:f>
        <x:v>2.576923076923077</x:v>
      </x:c>
      <x:c r="G277" s="19" t="n">
        <x:f>'各站彙總來源'!G277</x:f>
        <x:v>26</x:v>
      </x:c>
      <x:c r="H277" s="24" t="n">
        <x:f>IFERROR('各站彙總來源'!H277/'各站彙總來源'!I277,"")</x:f>
        <x:v>0.6153846153846154</x:v>
      </x:c>
      <x:c r="I277" s="19" t="n">
        <x:f>'各站彙總來源'!I277</x:f>
        <x:v>26</x:v>
      </x:c>
      <x:c r="J277" s="24" t="n">
        <x:f>IFERROR('各站彙總來源'!J277/'各站彙總來源'!K277,"")</x:f>
        <x:v>12.961538461538462</x:v>
      </x:c>
      <x:c r="K277" s="19" t="n">
        <x:f>'各站彙總來源'!K277</x:f>
        <x:v>26</x:v>
      </x:c>
      <x:c r="L277" s="24" t="n">
        <x:f>IFERROR('各站彙總來源'!L277/'各站彙總來源'!M277,"")</x:f>
        <x:v>1.5769230769230769</x:v>
      </x:c>
      <x:c r="M277" s="19" t="n">
        <x:f>'各站彙總來源'!M277</x:f>
        <x:v>26</x:v>
      </x:c>
      <x:c r="N277" s="24" t="n">
        <x:f>F277+H277</x:f>
        <x:v>3.1923076923076925</x:v>
      </x:c>
      <x:c r="O277" s="24" t="n">
        <x:f>J277+L277</x:f>
        <x:v>14.538461538461538</x:v>
      </x:c>
    </x:row>
    <x:row r="278">
      <x:c r="A278" s="22" t="str">
        <x:v>500103048</x:v>
      </x:c>
      <x:c r="B278" s="17" t="str">
        <x:v>大同區</x:v>
      </x:c>
      <x:c r="C278" s="17" t="str">
        <x:v>南京太原路口</x:v>
      </x:c>
      <x:c r="D278" s="18" t="n">
        <x:v>26</x:v>
      </x:c>
      <x:c r="E278" s="18" t="n">
        <x:v>26</x:v>
      </x:c>
      <x:c r="F278" s="24" t="n">
        <x:f>IFERROR('各站彙總來源'!F278/'各站彙總來源'!G278,"")</x:f>
        <x:v>10.192307692307692</x:v>
      </x:c>
      <x:c r="G278" s="19" t="n">
        <x:f>'各站彙總來源'!G278</x:f>
        <x:v>26</x:v>
      </x:c>
      <x:c r="H278" s="24" t="n">
        <x:f>IFERROR('各站彙總來源'!H278/'各站彙總來源'!I278,"")</x:f>
        <x:v>1.9615384615384615</x:v>
      </x:c>
      <x:c r="I278" s="19" t="n">
        <x:f>'各站彙總來源'!I278</x:f>
        <x:v>26</x:v>
      </x:c>
      <x:c r="J278" s="24" t="n">
        <x:f>IFERROR('各站彙總來源'!J278/'各站彙總來源'!K278,"")</x:f>
        <x:v>8.538461538461538</x:v>
      </x:c>
      <x:c r="K278" s="19" t="n">
        <x:f>'各站彙總來源'!K278</x:f>
        <x:v>26</x:v>
      </x:c>
      <x:c r="L278" s="24" t="n">
        <x:f>IFERROR('各站彙總來源'!L278/'各站彙總來源'!M278,"")</x:f>
        <x:v>1.4230769230769231</x:v>
      </x:c>
      <x:c r="M278" s="19" t="n">
        <x:f>'各站彙總來源'!M278</x:f>
        <x:v>26</x:v>
      </x:c>
      <x:c r="N278" s="24" t="n">
        <x:f>F278+H278</x:f>
        <x:v>12.153846153846153</x:v>
      </x:c>
      <x:c r="O278" s="24" t="n">
        <x:f>J278+L278</x:f>
        <x:v>9.961538461538462</x:v>
      </x:c>
    </x:row>
    <x:row r="279">
      <x:c r="A279" s="22" t="str">
        <x:v>500103049</x:v>
      </x:c>
      <x:c r="B279" s="17" t="str">
        <x:v>大同區</x:v>
      </x:c>
      <x:c r="C279" s="17" t="str">
        <x:v>承德民生西路口</x:v>
      </x:c>
      <x:c r="D279" s="18" t="n">
        <x:v>26</x:v>
      </x:c>
      <x:c r="E279" s="18" t="n">
        <x:v>26</x:v>
      </x:c>
      <x:c r="F279" s="24" t="n">
        <x:f>IFERROR('各站彙總來源'!F279/'各站彙總來源'!G279,"")</x:f>
        <x:v>5.6923076923076925</x:v>
      </x:c>
      <x:c r="G279" s="19" t="n">
        <x:f>'各站彙總來源'!G279</x:f>
        <x:v>26</x:v>
      </x:c>
      <x:c r="H279" s="24" t="n">
        <x:f>IFERROR('各站彙總來源'!H279/'各站彙總來源'!I279,"")</x:f>
        <x:v>0.8076923076923077</x:v>
      </x:c>
      <x:c r="I279" s="19" t="n">
        <x:f>'各站彙總來源'!I279</x:f>
        <x:v>26</x:v>
      </x:c>
      <x:c r="J279" s="24" t="n">
        <x:f>IFERROR('各站彙總來源'!J279/'各站彙總來源'!K279,"")</x:f>
        <x:v>5.576923076923077</x:v>
      </x:c>
      <x:c r="K279" s="19" t="n">
        <x:f>'各站彙總來源'!K279</x:f>
        <x:v>26</x:v>
      </x:c>
      <x:c r="L279" s="24" t="n">
        <x:f>IFERROR('各站彙總來源'!L279/'各站彙總來源'!M279,"")</x:f>
        <x:v>1.2307692307692308</x:v>
      </x:c>
      <x:c r="M279" s="19" t="n">
        <x:f>'各站彙總來源'!M279</x:f>
        <x:v>26</x:v>
      </x:c>
      <x:c r="N279" s="24" t="n">
        <x:f>F279+H279</x:f>
        <x:v>6.5</x:v>
      </x:c>
      <x:c r="O279" s="24" t="n">
        <x:f>J279+L279</x:f>
        <x:v>6.8076923076923075</x:v>
      </x:c>
    </x:row>
    <x:row r="280">
      <x:c r="A280" s="22" t="str">
        <x:v>500103050</x:v>
      </x:c>
      <x:c r="B280" s="17" t="str">
        <x:v>大同區</x:v>
      </x:c>
      <x:c r="C280" s="17" t="str">
        <x:v>太原五原路口</x:v>
      </x:c>
      <x:c r="D280" s="18" t="n">
        <x:v>26</x:v>
      </x:c>
      <x:c r="E280" s="18" t="n">
        <x:v>26</x:v>
      </x:c>
      <x:c r="F280" s="24" t="n">
        <x:f>IFERROR('各站彙總來源'!F280/'各站彙總來源'!G280,"")</x:f>
        <x:v>29.46153846153846</x:v>
      </x:c>
      <x:c r="G280" s="19" t="n">
        <x:f>'各站彙總來源'!G280</x:f>
        <x:v>26</x:v>
      </x:c>
      <x:c r="H280" s="24" t="n">
        <x:f>IFERROR('各站彙總來源'!H280/'各站彙總來源'!I280,"")</x:f>
        <x:v>2.5</x:v>
      </x:c>
      <x:c r="I280" s="19" t="n">
        <x:f>'各站彙總來源'!I280</x:f>
        <x:v>26</x:v>
      </x:c>
      <x:c r="J280" s="24" t="n">
        <x:f>IFERROR('各站彙總來源'!J280/'各站彙總來源'!K280,"")</x:f>
        <x:v>9.76923076923077</x:v>
      </x:c>
      <x:c r="K280" s="19" t="n">
        <x:f>'各站彙總來源'!K280</x:f>
        <x:v>26</x:v>
      </x:c>
      <x:c r="L280" s="24" t="n">
        <x:f>IFERROR('各站彙總來源'!L280/'各站彙總來源'!M280,"")</x:f>
        <x:v>2.0384615384615383</x:v>
      </x:c>
      <x:c r="M280" s="19" t="n">
        <x:f>'各站彙總來源'!M280</x:f>
        <x:v>26</x:v>
      </x:c>
      <x:c r="N280" s="24" t="n">
        <x:f>F280+H280</x:f>
        <x:v>31.96153846153846</x:v>
      </x:c>
      <x:c r="O280" s="24" t="n">
        <x:f>J280+L280</x:f>
        <x:v>11.807692307692308</x:v>
      </x:c>
    </x:row>
    <x:row r="281">
      <x:c r="A281" s="22" t="str">
        <x:v>500103051</x:v>
      </x:c>
      <x:c r="B281" s="17" t="str">
        <x:v>大同區</x:v>
      </x:c>
      <x:c r="C281" s="17" t="str">
        <x:v>臺北轉運站(華陰街)</x:v>
      </x:c>
      <x:c r="D281" s="18" t="n">
        <x:v>26</x:v>
      </x:c>
      <x:c r="E281" s="18" t="n">
        <x:v>26</x:v>
      </x:c>
      <x:c r="F281" s="24" t="n">
        <x:f>IFERROR('各站彙總來源'!F281/'各站彙總來源'!G281,"")</x:f>
        <x:v>7.076923076923077</x:v>
      </x:c>
      <x:c r="G281" s="19" t="n">
        <x:f>'各站彙總來源'!G281</x:f>
        <x:v>26</x:v>
      </x:c>
      <x:c r="H281" s="24" t="n">
        <x:f>IFERROR('各站彙總來源'!H281/'各站彙總來源'!I281,"")</x:f>
        <x:v>1.6538461538461537</x:v>
      </x:c>
      <x:c r="I281" s="19" t="n">
        <x:f>'各站彙總來源'!I281</x:f>
        <x:v>26</x:v>
      </x:c>
      <x:c r="J281" s="24" t="n">
        <x:f>IFERROR('各站彙總來源'!J281/'各站彙總來源'!K281,"")</x:f>
        <x:v>8.26923076923077</x:v>
      </x:c>
      <x:c r="K281" s="19" t="n">
        <x:f>'各站彙總來源'!K281</x:f>
        <x:v>26</x:v>
      </x:c>
      <x:c r="L281" s="24" t="n">
        <x:f>IFERROR('各站彙總來源'!L281/'各站彙總來源'!M281,"")</x:f>
        <x:v>1.7692307692307692</x:v>
      </x:c>
      <x:c r="M281" s="19" t="n">
        <x:f>'各站彙總來源'!M281</x:f>
        <x:v>26</x:v>
      </x:c>
      <x:c r="N281" s="24" t="n">
        <x:f>F281+H281</x:f>
        <x:v>8.73076923076923</x:v>
      </x:c>
      <x:c r="O281" s="24" t="n">
        <x:f>J281+L281</x:f>
        <x:v>10.03846153846154</x:v>
      </x:c>
    </x:row>
    <x:row r="282">
      <x:c r="A282" s="22" t="str">
        <x:v>500103052</x:v>
      </x:c>
      <x:c r="B282" s="17" t="str">
        <x:v>大同區</x:v>
      </x:c>
      <x:c r="C282" s="17" t="str">
        <x:v>捷運民權西路站(3號出口)</x:v>
      </x:c>
      <x:c r="D282" s="18" t="n">
        <x:v>26</x:v>
      </x:c>
      <x:c r="E282" s="18" t="n">
        <x:v>26</x:v>
      </x:c>
      <x:c r="F282" s="24" t="n">
        <x:f>IFERROR('各站彙總來源'!F282/'各站彙總來源'!G282,"")</x:f>
        <x:v>9.538461538461538</x:v>
      </x:c>
      <x:c r="G282" s="19" t="n">
        <x:f>'各站彙總來源'!G282</x:f>
        <x:v>26</x:v>
      </x:c>
      <x:c r="H282" s="24" t="n">
        <x:f>IFERROR('各站彙總來源'!H282/'各站彙總來源'!I282,"")</x:f>
        <x:v>1.8846153846153846</x:v>
      </x:c>
      <x:c r="I282" s="19" t="n">
        <x:f>'各站彙總來源'!I282</x:f>
        <x:v>26</x:v>
      </x:c>
      <x:c r="J282" s="24" t="n">
        <x:f>IFERROR('各站彙總來源'!J282/'各站彙總來源'!K282,"")</x:f>
        <x:v>10.5</x:v>
      </x:c>
      <x:c r="K282" s="19" t="n">
        <x:f>'各站彙總來源'!K282</x:f>
        <x:v>26</x:v>
      </x:c>
      <x:c r="L282" s="24" t="n">
        <x:f>IFERROR('各站彙總來源'!L282/'各站彙總來源'!M282,"")</x:f>
        <x:v>1.3846153846153846</x:v>
      </x:c>
      <x:c r="M282" s="19" t="n">
        <x:f>'各站彙總來源'!M282</x:f>
        <x:v>26</x:v>
      </x:c>
      <x:c r="N282" s="24" t="n">
        <x:f>F282+H282</x:f>
        <x:v>11.423076923076923</x:v>
      </x:c>
      <x:c r="O282" s="24" t="n">
        <x:f>J282+L282</x:f>
        <x:v>11.884615384615385</x:v>
      </x:c>
    </x:row>
    <x:row r="283">
      <x:c r="A283" s="22" t="str">
        <x:v>500103053</x:v>
      </x:c>
      <x:c r="B283" s="17" t="str">
        <x:v>大同區</x:v>
      </x:c>
      <x:c r="C283" s="17" t="str">
        <x:v>捷運中山站(5號出口)</x:v>
      </x:c>
      <x:c r="D283" s="18" t="n">
        <x:v>26</x:v>
      </x:c>
      <x:c r="E283" s="18" t="n">
        <x:v>26</x:v>
      </x:c>
      <x:c r="F283" s="24" t="n">
        <x:f>IFERROR('各站彙總來源'!F283/'各站彙總來源'!G283,"")</x:f>
        <x:v>4.3076923076923075</x:v>
      </x:c>
      <x:c r="G283" s="19" t="n">
        <x:f>'各站彙總來源'!G283</x:f>
        <x:v>26</x:v>
      </x:c>
      <x:c r="H283" s="24" t="n">
        <x:f>IFERROR('各站彙總來源'!H283/'各站彙總來源'!I283,"")</x:f>
        <x:v>0.6538461538461539</x:v>
      </x:c>
      <x:c r="I283" s="19" t="n">
        <x:f>'各站彙總來源'!I283</x:f>
        <x:v>26</x:v>
      </x:c>
      <x:c r="J283" s="24" t="n">
        <x:f>IFERROR('各站彙總來源'!J283/'各站彙總來源'!K283,"")</x:f>
        <x:v>6.884615384615385</x:v>
      </x:c>
      <x:c r="K283" s="19" t="n">
        <x:f>'各站彙總來源'!K283</x:f>
        <x:v>26</x:v>
      </x:c>
      <x:c r="L283" s="24" t="n">
        <x:f>IFERROR('各站彙總來源'!L283/'各站彙總來源'!M283,"")</x:f>
        <x:v>2</x:v>
      </x:c>
      <x:c r="M283" s="19" t="n">
        <x:f>'各站彙總來源'!M283</x:f>
        <x:v>26</x:v>
      </x:c>
      <x:c r="N283" s="24" t="n">
        <x:f>F283+H283</x:f>
        <x:v>4.961538461538462</x:v>
      </x:c>
      <x:c r="O283" s="24" t="n">
        <x:f>J283+L283</x:f>
        <x:v>8.884615384615385</x:v>
      </x:c>
    </x:row>
    <x:row r="284">
      <x:c r="A284" s="22" t="str">
        <x:v>500103054</x:v>
      </x:c>
      <x:c r="B284" s="17" t="str">
        <x:v>大同區</x:v>
      </x:c>
      <x:c r="C284" s="17" t="str">
        <x:v>重慶長安路口</x:v>
      </x:c>
      <x:c r="D284" s="18" t="n">
        <x:v>26</x:v>
      </x:c>
      <x:c r="E284" s="18" t="n">
        <x:v>26</x:v>
      </x:c>
      <x:c r="F284" s="24" t="n">
        <x:f>IFERROR('各站彙總來源'!F284/'各站彙總來源'!G284,"")</x:f>
        <x:v>10.884615384615385</x:v>
      </x:c>
      <x:c r="G284" s="19" t="n">
        <x:f>'各站彙總來源'!G284</x:f>
        <x:v>26</x:v>
      </x:c>
      <x:c r="H284" s="24" t="n">
        <x:f>IFERROR('各站彙總來源'!H284/'各站彙總來源'!I284,"")</x:f>
        <x:v>1.8076923076923077</x:v>
      </x:c>
      <x:c r="I284" s="19" t="n">
        <x:f>'各站彙總來源'!I284</x:f>
        <x:v>26</x:v>
      </x:c>
      <x:c r="J284" s="24" t="n">
        <x:f>IFERROR('各站彙總來源'!J284/'各站彙總來源'!K284,"")</x:f>
        <x:v>9.846153846153847</x:v>
      </x:c>
      <x:c r="K284" s="19" t="n">
        <x:f>'各站彙總來源'!K284</x:f>
        <x:v>26</x:v>
      </x:c>
      <x:c r="L284" s="24" t="n">
        <x:f>IFERROR('各站彙總來源'!L284/'各站彙總來源'!M284,"")</x:f>
        <x:v>1.8461538461538463</x:v>
      </x:c>
      <x:c r="M284" s="19" t="n">
        <x:f>'各站彙總來源'!M284</x:f>
        <x:v>26</x:v>
      </x:c>
      <x:c r="N284" s="24" t="n">
        <x:f>F284+H284</x:f>
        <x:v>12.692307692307693</x:v>
      </x:c>
      <x:c r="O284" s="24" t="n">
        <x:f>J284+L284</x:f>
        <x:v>11.692307692307693</x:v>
      </x:c>
    </x:row>
    <x:row r="285">
      <x:c r="A285" s="22" t="str">
        <x:v>500103055</x:v>
      </x:c>
      <x:c r="B285" s="17" t="str">
        <x:v>大同區</x:v>
      </x:c>
      <x:c r="C285" s="17" t="str">
        <x:v>承德昌吉街口</x:v>
      </x:c>
      <x:c r="D285" s="18" t="n">
        <x:v>26</x:v>
      </x:c>
      <x:c r="E285" s="18" t="n">
        <x:v>26</x:v>
      </x:c>
      <x:c r="F285" s="24" t="n">
        <x:f>IFERROR('各站彙總來源'!F285/'各站彙總來源'!G285,"")</x:f>
        <x:v>7.846153846153846</x:v>
      </x:c>
      <x:c r="G285" s="19" t="n">
        <x:f>'各站彙總來源'!G285</x:f>
        <x:v>26</x:v>
      </x:c>
      <x:c r="H285" s="24" t="n">
        <x:f>IFERROR('各站彙總來源'!H285/'各站彙總來源'!I285,"")</x:f>
        <x:v>1.4615384615384615</x:v>
      </x:c>
      <x:c r="I285" s="19" t="n">
        <x:f>'各站彙總來源'!I285</x:f>
        <x:v>26</x:v>
      </x:c>
      <x:c r="J285" s="24" t="n">
        <x:f>IFERROR('各站彙總來源'!J285/'各站彙總來源'!K285,"")</x:f>
        <x:v>8.423076923076923</x:v>
      </x:c>
      <x:c r="K285" s="19" t="n">
        <x:f>'各站彙總來源'!K285</x:f>
        <x:v>26</x:v>
      </x:c>
      <x:c r="L285" s="24" t="n">
        <x:f>IFERROR('各站彙總來源'!L285/'各站彙總來源'!M285,"")</x:f>
        <x:v>0.6538461538461539</x:v>
      </x:c>
      <x:c r="M285" s="19" t="n">
        <x:f>'各站彙總來源'!M285</x:f>
        <x:v>26</x:v>
      </x:c>
      <x:c r="N285" s="24" t="n">
        <x:f>F285+H285</x:f>
        <x:v>9.307692307692307</x:v>
      </x:c>
      <x:c r="O285" s="24" t="n">
        <x:f>J285+L285</x:f>
        <x:v>9.076923076923077</x:v>
      </x:c>
    </x:row>
    <x:row r="286">
      <x:c r="A286" s="22" t="str">
        <x:v>500103056</x:v>
      </x:c>
      <x:c r="B286" s="17" t="str">
        <x:v>大同區</x:v>
      </x:c>
      <x:c r="C286" s="17" t="str">
        <x:v>大同16號廣場</x:v>
      </x:c>
      <x:c r="D286" s="18" t="n">
        <x:v>26</x:v>
      </x:c>
      <x:c r="E286" s="18" t="n">
        <x:v>26</x:v>
      </x:c>
      <x:c r="F286" s="24" t="n">
        <x:f>IFERROR('各站彙總來源'!F286/'各站彙總來源'!G286,"")</x:f>
        <x:v>10.192307692307692</x:v>
      </x:c>
      <x:c r="G286" s="19" t="n">
        <x:f>'各站彙總來源'!G286</x:f>
        <x:v>26</x:v>
      </x:c>
      <x:c r="H286" s="24" t="n">
        <x:f>IFERROR('各站彙總來源'!H286/'各站彙總來源'!I286,"")</x:f>
        <x:v>0.6538461538461539</x:v>
      </x:c>
      <x:c r="I286" s="19" t="n">
        <x:f>'各站彙總來源'!I286</x:f>
        <x:v>26</x:v>
      </x:c>
      <x:c r="J286" s="24" t="n">
        <x:f>IFERROR('各站彙總來源'!J286/'各站彙總來源'!K286,"")</x:f>
        <x:v>4.923076923076923</x:v>
      </x:c>
      <x:c r="K286" s="19" t="n">
        <x:f>'各站彙總來源'!K286</x:f>
        <x:v>26</x:v>
      </x:c>
      <x:c r="L286" s="24" t="n">
        <x:f>IFERROR('各站彙總來源'!L286/'各站彙總來源'!M286,"")</x:f>
        <x:v>0.7692307692307693</x:v>
      </x:c>
      <x:c r="M286" s="19" t="n">
        <x:f>'各站彙總來源'!M286</x:f>
        <x:v>26</x:v>
      </x:c>
      <x:c r="N286" s="24" t="n">
        <x:f>F286+H286</x:f>
        <x:v>10.846153846153845</x:v>
      </x:c>
      <x:c r="O286" s="24" t="n">
        <x:f>J286+L286</x:f>
        <x:v>5.6923076923076925</x:v>
      </x:c>
    </x:row>
    <x:row r="287">
      <x:c r="A287" s="22" t="str">
        <x:v>500103057</x:v>
      </x:c>
      <x:c r="B287" s="17" t="str">
        <x:v>大同區</x:v>
      </x:c>
      <x:c r="C287" s="17" t="str">
        <x:v>捷運圓山站(2號出口)</x:v>
      </x:c>
      <x:c r="D287" s="18" t="n">
        <x:v>26</x:v>
      </x:c>
      <x:c r="E287" s="18" t="n">
        <x:v>26</x:v>
      </x:c>
      <x:c r="F287" s="24" t="n">
        <x:f>IFERROR('各站彙總來源'!F287/'各站彙總來源'!G287,"")</x:f>
        <x:v>12.346153846153847</x:v>
      </x:c>
      <x:c r="G287" s="19" t="n">
        <x:f>'各站彙總來源'!G287</x:f>
        <x:v>26</x:v>
      </x:c>
      <x:c r="H287" s="24" t="n">
        <x:f>IFERROR('各站彙總來源'!H287/'各站彙總來源'!I287,"")</x:f>
        <x:v>1.6923076923076923</x:v>
      </x:c>
      <x:c r="I287" s="19" t="n">
        <x:f>'各站彙總來源'!I287</x:f>
        <x:v>26</x:v>
      </x:c>
      <x:c r="J287" s="24" t="n">
        <x:f>IFERROR('各站彙總來源'!J287/'各站彙總來源'!K287,"")</x:f>
        <x:v>18.23076923076923</x:v>
      </x:c>
      <x:c r="K287" s="19" t="n">
        <x:f>'各站彙總來源'!K287</x:f>
        <x:v>26</x:v>
      </x:c>
      <x:c r="L287" s="24" t="n">
        <x:f>IFERROR('各站彙總來源'!L287/'各站彙總來源'!M287,"")</x:f>
        <x:v>3.3076923076923075</x:v>
      </x:c>
      <x:c r="M287" s="19" t="n">
        <x:f>'各站彙總來源'!M287</x:f>
        <x:v>26</x:v>
      </x:c>
      <x:c r="N287" s="24" t="n">
        <x:f>F287+H287</x:f>
        <x:v>14.038461538461538</x:v>
      </x:c>
      <x:c r="O287" s="24" t="n">
        <x:f>J287+L287</x:f>
        <x:v>21.538461538461537</x:v>
      </x:c>
    </x:row>
    <x:row r="288">
      <x:c r="A288" s="22" t="str">
        <x:v>500103058</x:v>
      </x:c>
      <x:c r="B288" s="17" t="str">
        <x:v>大同區</x:v>
      </x:c>
      <x:c r="C288" s="17" t="str">
        <x:v>樹德公園_1</x:v>
      </x:c>
      <x:c r="D288" s="18" t="n">
        <x:v>26</x:v>
      </x:c>
      <x:c r="E288" s="18" t="n">
        <x:v>26</x:v>
      </x:c>
      <x:c r="F288" s="24" t="n">
        <x:f>IFERROR('各站彙總來源'!F288/'各站彙總來源'!G288,"")</x:f>
        <x:v>35.80769230769231</x:v>
      </x:c>
      <x:c r="G288" s="19" t="n">
        <x:f>'各站彙總來源'!G288</x:f>
        <x:v>26</x:v>
      </x:c>
      <x:c r="H288" s="24" t="n">
        <x:f>IFERROR('各站彙總來源'!H288/'各站彙總來源'!I288,"")</x:f>
        <x:v>3.1538461538461537</x:v>
      </x:c>
      <x:c r="I288" s="19" t="n">
        <x:f>'各站彙總來源'!I288</x:f>
        <x:v>26</x:v>
      </x:c>
      <x:c r="J288" s="24" t="n">
        <x:f>IFERROR('各站彙總來源'!J288/'各站彙總來源'!K288,"")</x:f>
        <x:v>6.923076923076923</x:v>
      </x:c>
      <x:c r="K288" s="19" t="n">
        <x:f>'各站彙總來源'!K288</x:f>
        <x:v>26</x:v>
      </x:c>
      <x:c r="L288" s="24" t="n">
        <x:f>IFERROR('各站彙總來源'!L288/'各站彙總來源'!M288,"")</x:f>
        <x:v>1.7692307692307692</x:v>
      </x:c>
      <x:c r="M288" s="19" t="n">
        <x:f>'各站彙總來源'!M288</x:f>
        <x:v>26</x:v>
      </x:c>
      <x:c r="N288" s="24" t="n">
        <x:f>F288+H288</x:f>
        <x:v>38.96153846153846</x:v>
      </x:c>
      <x:c r="O288" s="24" t="n">
        <x:f>J288+L288</x:f>
        <x:v>8.692307692307693</x:v>
      </x:c>
    </x:row>
    <x:row r="289">
      <x:c r="A289" s="22" t="str">
        <x:v>500103059</x:v>
      </x:c>
      <x:c r="B289" s="17" t="str">
        <x:v>大同區</x:v>
      </x:c>
      <x:c r="C289" s="17" t="str">
        <x:v>承德鄭州路口(市民高架下)</x:v>
      </x:c>
      <x:c r="D289" s="18" t="n">
        <x:v>26</x:v>
      </x:c>
      <x:c r="E289" s="18" t="n">
        <x:v>26</x:v>
      </x:c>
      <x:c r="F289" s="24" t="n">
        <x:f>IFERROR('各站彙總來源'!F289/'各站彙總來源'!G289,"")</x:f>
        <x:v>15.538461538461538</x:v>
      </x:c>
      <x:c r="G289" s="19" t="n">
        <x:f>'各站彙總來源'!G289</x:f>
        <x:v>26</x:v>
      </x:c>
      <x:c r="H289" s="24" t="n">
        <x:f>IFERROR('各站彙總來源'!H289/'各站彙總來源'!I289,"")</x:f>
        <x:v>2.9615384615384617</x:v>
      </x:c>
      <x:c r="I289" s="19" t="n">
        <x:f>'各站彙總來源'!I289</x:f>
        <x:v>26</x:v>
      </x:c>
      <x:c r="J289" s="24" t="n">
        <x:f>IFERROR('各站彙總來源'!J289/'各站彙總來源'!K289,"")</x:f>
        <x:v>15.23076923076923</x:v>
      </x:c>
      <x:c r="K289" s="19" t="n">
        <x:f>'各站彙總來源'!K289</x:f>
        <x:v>26</x:v>
      </x:c>
      <x:c r="L289" s="24" t="n">
        <x:f>IFERROR('各站彙總來源'!L289/'各站彙總來源'!M289,"")</x:f>
        <x:v>2.5384615384615383</x:v>
      </x:c>
      <x:c r="M289" s="19" t="n">
        <x:f>'各站彙總來源'!M289</x:f>
        <x:v>26</x:v>
      </x:c>
      <x:c r="N289" s="24" t="n">
        <x:f>F289+H289</x:f>
        <x:v>18.5</x:v>
      </x:c>
      <x:c r="O289" s="24" t="n">
        <x:f>J289+L289</x:f>
        <x:v>17.769230769230766</x:v>
      </x:c>
    </x:row>
    <x:row r="290">
      <x:c r="A290" s="22" t="str">
        <x:v>500103060</x:v>
      </x:c>
      <x:c r="B290" s="17" t="str">
        <x:v>大同區</x:v>
      </x:c>
      <x:c r="C290" s="17" t="str">
        <x:v>成淵高中</x:v>
      </x:c>
      <x:c r="D290" s="18" t="n">
        <x:v>26</x:v>
      </x:c>
      <x:c r="E290" s="18" t="n">
        <x:v>26</x:v>
      </x:c>
      <x:c r="F290" s="24" t="n">
        <x:f>IFERROR('各站彙總來源'!F290/'各站彙總來源'!G290,"")</x:f>
        <x:v>5.538461538461538</x:v>
      </x:c>
      <x:c r="G290" s="19" t="n">
        <x:f>'各站彙總來源'!G290</x:f>
        <x:v>26</x:v>
      </x:c>
      <x:c r="H290" s="24" t="n">
        <x:f>IFERROR('各站彙總來源'!H290/'各站彙總來源'!I290,"")</x:f>
        <x:v>1</x:v>
      </x:c>
      <x:c r="I290" s="19" t="n">
        <x:f>'各站彙總來源'!I290</x:f>
        <x:v>26</x:v>
      </x:c>
      <x:c r="J290" s="24" t="n">
        <x:f>IFERROR('各站彙總來源'!J290/'各站彙總來源'!K290,"")</x:f>
        <x:v>7.038461538461538</x:v>
      </x:c>
      <x:c r="K290" s="19" t="n">
        <x:f>'各站彙總來源'!K290</x:f>
        <x:v>26</x:v>
      </x:c>
      <x:c r="L290" s="24" t="n">
        <x:f>IFERROR('各站彙總來源'!L290/'各站彙總來源'!M290,"")</x:f>
        <x:v>1.5</x:v>
      </x:c>
      <x:c r="M290" s="19" t="n">
        <x:f>'各站彙總來源'!M290</x:f>
        <x:v>26</x:v>
      </x:c>
      <x:c r="N290" s="24" t="n">
        <x:f>F290+H290</x:f>
        <x:v>6.538461538461538</x:v>
      </x:c>
      <x:c r="O290" s="24" t="n">
        <x:f>J290+L290</x:f>
        <x:v>8.538461538461538</x:v>
      </x:c>
    </x:row>
    <x:row r="291">
      <x:c r="A291" s="22" t="str">
        <x:v>500103061</x:v>
      </x:c>
      <x:c r="B291" s="17" t="str">
        <x:v>大同區</x:v>
      </x:c>
      <x:c r="C291" s="17" t="str">
        <x:v>雙蓮國小</x:v>
      </x:c>
      <x:c r="D291" s="18" t="n">
        <x:v>26</x:v>
      </x:c>
      <x:c r="E291" s="18" t="n">
        <x:v>26</x:v>
      </x:c>
      <x:c r="F291" s="24" t="n">
        <x:f>IFERROR('各站彙總來源'!F291/'各站彙總來源'!G291,"")</x:f>
        <x:v>10.076923076923077</x:v>
      </x:c>
      <x:c r="G291" s="19" t="n">
        <x:f>'各站彙總來源'!G291</x:f>
        <x:v>26</x:v>
      </x:c>
      <x:c r="H291" s="24" t="n">
        <x:f>IFERROR('各站彙總來源'!H291/'各站彙總來源'!I291,"")</x:f>
        <x:v>1.6923076923076923</x:v>
      </x:c>
      <x:c r="I291" s="19" t="n">
        <x:f>'各站彙總來源'!I291</x:f>
        <x:v>26</x:v>
      </x:c>
      <x:c r="J291" s="24" t="n">
        <x:f>IFERROR('各站彙總來源'!J291/'各站彙總來源'!K291,"")</x:f>
        <x:v>5.576923076923077</x:v>
      </x:c>
      <x:c r="K291" s="19" t="n">
        <x:f>'各站彙總來源'!K291</x:f>
        <x:v>26</x:v>
      </x:c>
      <x:c r="L291" s="24" t="n">
        <x:f>IFERROR('各站彙總來源'!L291/'各站彙總來源'!M291,"")</x:f>
        <x:v>0.9615384615384616</x:v>
      </x:c>
      <x:c r="M291" s="19" t="n">
        <x:f>'各站彙總來源'!M291</x:f>
        <x:v>26</x:v>
      </x:c>
      <x:c r="N291" s="24" t="n">
        <x:f>F291+H291</x:f>
        <x:v>11.769230769230768</x:v>
      </x:c>
      <x:c r="O291" s="24" t="n">
        <x:f>J291+L291</x:f>
        <x:v>6.538461538461538</x:v>
      </x:c>
    </x:row>
    <x:row r="292">
      <x:c r="A292" s="22" t="str">
        <x:v>500103062</x:v>
      </x:c>
      <x:c r="B292" s="17" t="str">
        <x:v>大同區</x:v>
      </x:c>
      <x:c r="C292" s="17" t="str">
        <x:v>寧夏涼州街口</x:v>
      </x:c>
      <x:c r="D292" s="18" t="n">
        <x:v>26</x:v>
      </x:c>
      <x:c r="E292" s="18" t="n">
        <x:v>26</x:v>
      </x:c>
      <x:c r="F292" s="24" t="n">
        <x:f>IFERROR('各站彙總來源'!F292/'各站彙總來源'!G292,"")</x:f>
        <x:v>8.538461538461538</x:v>
      </x:c>
      <x:c r="G292" s="19" t="n">
        <x:f>'各站彙總來源'!G292</x:f>
        <x:v>26</x:v>
      </x:c>
      <x:c r="H292" s="24" t="n">
        <x:f>IFERROR('各站彙總來源'!H292/'各站彙總來源'!I292,"")</x:f>
        <x:v>1.2307692307692308</x:v>
      </x:c>
      <x:c r="I292" s="19" t="n">
        <x:f>'各站彙總來源'!I292</x:f>
        <x:v>26</x:v>
      </x:c>
      <x:c r="J292" s="24" t="n">
        <x:f>IFERROR('各站彙總來源'!J292/'各站彙總來源'!K292,"")</x:f>
        <x:v>4.1923076923076925</x:v>
      </x:c>
      <x:c r="K292" s="19" t="n">
        <x:f>'各站彙總來源'!K292</x:f>
        <x:v>26</x:v>
      </x:c>
      <x:c r="L292" s="24" t="n">
        <x:f>IFERROR('各站彙總來源'!L292/'各站彙總來源'!M292,"")</x:f>
        <x:v>1.0769230769230769</x:v>
      </x:c>
      <x:c r="M292" s="19" t="n">
        <x:f>'各站彙總來源'!M292</x:f>
        <x:v>26</x:v>
      </x:c>
      <x:c r="N292" s="24" t="n">
        <x:f>F292+H292</x:f>
        <x:v>9.76923076923077</x:v>
      </x:c>
      <x:c r="O292" s="24" t="n">
        <x:f>J292+L292</x:f>
        <x:v>5.269230769230769</x:v>
      </x:c>
    </x:row>
    <x:row r="293">
      <x:c r="A293" s="22" t="str">
        <x:v>500103063</x:v>
      </x:c>
      <x:c r="B293" s="17" t="str">
        <x:v>大同區</x:v>
      </x:c>
      <x:c r="C293" s="17" t="str">
        <x:v>延平涼州街口</x:v>
      </x:c>
      <x:c r="D293" s="18" t="n">
        <x:v>26</x:v>
      </x:c>
      <x:c r="E293" s="18" t="n">
        <x:v>26</x:v>
      </x:c>
      <x:c r="F293" s="24" t="n">
        <x:f>IFERROR('各站彙總來源'!F293/'各站彙總來源'!G293,"")</x:f>
        <x:v>12.423076923076923</x:v>
      </x:c>
      <x:c r="G293" s="19" t="n">
        <x:f>'各站彙總來源'!G293</x:f>
        <x:v>26</x:v>
      </x:c>
      <x:c r="H293" s="24" t="n">
        <x:f>IFERROR('各站彙總來源'!H293/'各站彙總來源'!I293,"")</x:f>
        <x:v>1.8076923076923077</x:v>
      </x:c>
      <x:c r="I293" s="19" t="n">
        <x:f>'各站彙總來源'!I293</x:f>
        <x:v>26</x:v>
      </x:c>
      <x:c r="J293" s="24" t="n">
        <x:f>IFERROR('各站彙總來源'!J293/'各站彙總來源'!K293,"")</x:f>
        <x:v>4.576923076923077</x:v>
      </x:c>
      <x:c r="K293" s="19" t="n">
        <x:f>'各站彙總來源'!K293</x:f>
        <x:v>26</x:v>
      </x:c>
      <x:c r="L293" s="24" t="n">
        <x:f>IFERROR('各站彙總來源'!L293/'各站彙總來源'!M293,"")</x:f>
        <x:v>1.2307692307692308</x:v>
      </x:c>
      <x:c r="M293" s="19" t="n">
        <x:f>'各站彙總來源'!M293</x:f>
        <x:v>26</x:v>
      </x:c>
      <x:c r="N293" s="24" t="n">
        <x:f>F293+H293</x:f>
        <x:v>14.230769230769232</x:v>
      </x:c>
      <x:c r="O293" s="24" t="n">
        <x:f>J293+L293</x:f>
        <x:v>5.8076923076923075</x:v>
      </x:c>
    </x:row>
    <x:row r="294">
      <x:c r="A294" s="22" t="str">
        <x:v>500103064</x:v>
      </x:c>
      <x:c r="B294" s="17" t="str">
        <x:v>大同區</x:v>
      </x:c>
      <x:c r="C294" s="17" t="str">
        <x:v>大同行政中心</x:v>
      </x:c>
      <x:c r="D294" s="18" t="n">
        <x:v>26</x:v>
      </x:c>
      <x:c r="E294" s="18" t="n">
        <x:v>26</x:v>
      </x:c>
      <x:c r="F294" s="24" t="n">
        <x:f>IFERROR('各站彙總來源'!F294/'各站彙總來源'!G294,"")</x:f>
        <x:v>15.73076923076923</x:v>
      </x:c>
      <x:c r="G294" s="19" t="n">
        <x:f>'各站彙總來源'!G294</x:f>
        <x:v>26</x:v>
      </x:c>
      <x:c r="H294" s="24" t="n">
        <x:f>IFERROR('各站彙總來源'!H294/'各站彙總來源'!I294,"")</x:f>
        <x:v>1.1538461538461537</x:v>
      </x:c>
      <x:c r="I294" s="19" t="n">
        <x:f>'各站彙總來源'!I294</x:f>
        <x:v>26</x:v>
      </x:c>
      <x:c r="J294" s="24" t="n">
        <x:f>IFERROR('各站彙總來源'!J294/'各站彙總來源'!K294,"")</x:f>
        <x:v>6</x:v>
      </x:c>
      <x:c r="K294" s="19" t="n">
        <x:f>'各站彙總來源'!K294</x:f>
        <x:v>26</x:v>
      </x:c>
      <x:c r="L294" s="24" t="n">
        <x:f>IFERROR('各站彙總來源'!L294/'各站彙總來源'!M294,"")</x:f>
        <x:v>1.5769230769230769</x:v>
      </x:c>
      <x:c r="M294" s="19" t="n">
        <x:f>'各站彙總來源'!M294</x:f>
        <x:v>26</x:v>
      </x:c>
      <x:c r="N294" s="24" t="n">
        <x:f>F294+H294</x:f>
        <x:v>16.884615384615383</x:v>
      </x:c>
      <x:c r="O294" s="24" t="n">
        <x:f>J294+L294</x:f>
        <x:v>7.576923076923077</x:v>
      </x:c>
    </x:row>
    <x:row r="295">
      <x:c r="A295" s="22" t="str">
        <x:v>500103065</x:v>
      </x:c>
      <x:c r="B295" s="17" t="str">
        <x:v>大同區</x:v>
      </x:c>
      <x:c r="C295" s="17" t="str">
        <x:v>大龍市場</x:v>
      </x:c>
      <x:c r="D295" s="18" t="n">
        <x:v>26</x:v>
      </x:c>
      <x:c r="E295" s="18" t="n">
        <x:v>26</x:v>
      </x:c>
      <x:c r="F295" s="24" t="n">
        <x:f>IFERROR('各站彙總來源'!F295/'各站彙總來源'!G295,"")</x:f>
        <x:v>13.692307692307692</x:v>
      </x:c>
      <x:c r="G295" s="19" t="n">
        <x:f>'各站彙總來源'!G295</x:f>
        <x:v>26</x:v>
      </x:c>
      <x:c r="H295" s="24" t="n">
        <x:f>IFERROR('各站彙總來源'!H295/'各站彙總來源'!I295,"")</x:f>
        <x:v>1.4230769230769231</x:v>
      </x:c>
      <x:c r="I295" s="19" t="n">
        <x:f>'各站彙總來源'!I295</x:f>
        <x:v>26</x:v>
      </x:c>
      <x:c r="J295" s="24" t="n">
        <x:f>IFERROR('各站彙總來源'!J295/'各站彙總來源'!K295,"")</x:f>
        <x:v>5.346153846153846</x:v>
      </x:c>
      <x:c r="K295" s="19" t="n">
        <x:f>'各站彙總來源'!K295</x:f>
        <x:v>26</x:v>
      </x:c>
      <x:c r="L295" s="24" t="n">
        <x:f>IFERROR('各站彙總來源'!L295/'各站彙總來源'!M295,"")</x:f>
        <x:v>1.1538461538461537</x:v>
      </x:c>
      <x:c r="M295" s="19" t="n">
        <x:f>'各站彙總來源'!M295</x:f>
        <x:v>26</x:v>
      </x:c>
      <x:c r="N295" s="24" t="n">
        <x:f>F295+H295</x:f>
        <x:v>15.115384615384615</x:v>
      </x:c>
      <x:c r="O295" s="24" t="n">
        <x:f>J295+L295</x:f>
        <x:v>6.5</x:v>
      </x:c>
    </x:row>
    <x:row r="296">
      <x:c r="A296" s="22" t="str">
        <x:v>500103066</x:v>
      </x:c>
      <x:c r="B296" s="17" t="str">
        <x:v>大同區</x:v>
      </x:c>
      <x:c r="C296" s="17" t="str">
        <x:v>南京西寧北路口(西北側)</x:v>
      </x:c>
      <x:c r="D296" s="18" t="n">
        <x:v>26</x:v>
      </x:c>
      <x:c r="E296" s="18" t="n">
        <x:v>26</x:v>
      </x:c>
      <x:c r="F296" s="24" t="n">
        <x:f>IFERROR('各站彙總來源'!F296/'各站彙總來源'!G296,"")</x:f>
        <x:v>9.461538461538462</x:v>
      </x:c>
      <x:c r="G296" s="19" t="n">
        <x:f>'各站彙總來源'!G296</x:f>
        <x:v>26</x:v>
      </x:c>
      <x:c r="H296" s="24" t="n">
        <x:f>IFERROR('各站彙總來源'!H296/'各站彙總來源'!I296,"")</x:f>
        <x:v>1.3846153846153846</x:v>
      </x:c>
      <x:c r="I296" s="19" t="n">
        <x:f>'各站彙總來源'!I296</x:f>
        <x:v>26</x:v>
      </x:c>
      <x:c r="J296" s="24" t="n">
        <x:f>IFERROR('各站彙總來源'!J296/'各站彙總來源'!K296,"")</x:f>
        <x:v>8.923076923076923</x:v>
      </x:c>
      <x:c r="K296" s="19" t="n">
        <x:f>'各站彙總來源'!K296</x:f>
        <x:v>26</x:v>
      </x:c>
      <x:c r="L296" s="24" t="n">
        <x:f>IFERROR('各站彙總來源'!L296/'各站彙總來源'!M296,"")</x:f>
        <x:v>1.8846153846153846</x:v>
      </x:c>
      <x:c r="M296" s="19" t="n">
        <x:f>'各站彙總來源'!M296</x:f>
        <x:v>26</x:v>
      </x:c>
      <x:c r="N296" s="24" t="n">
        <x:f>F296+H296</x:f>
        <x:v>10.846153846153847</x:v>
      </x:c>
      <x:c r="O296" s="24" t="n">
        <x:f>J296+L296</x:f>
        <x:v>10.807692307692308</x:v>
      </x:c>
    </x:row>
    <x:row r="297">
      <x:c r="A297" s="22" t="str">
        <x:v>500103067</x:v>
      </x:c>
      <x:c r="B297" s="17" t="str">
        <x:v>大同區</x:v>
      </x:c>
      <x:c r="C297" s="17" t="str">
        <x:v>重慶昌吉街口</x:v>
      </x:c>
      <x:c r="D297" s="18" t="n">
        <x:v>26</x:v>
      </x:c>
      <x:c r="E297" s="18" t="n">
        <x:v>26</x:v>
      </x:c>
      <x:c r="F297" s="24" t="n">
        <x:f>IFERROR('各站彙總來源'!F297/'各站彙總來源'!G297,"")</x:f>
        <x:v>0</x:v>
      </x:c>
      <x:c r="G297" s="19" t="n">
        <x:f>'各站彙總來源'!G297</x:f>
        <x:v>26</x:v>
      </x:c>
      <x:c r="H297" s="24" t="n">
        <x:f>IFERROR('各站彙總來源'!H297/'各站彙總來源'!I297,"")</x:f>
        <x:v>0</x:v>
      </x:c>
      <x:c r="I297" s="19" t="n">
        <x:f>'各站彙總來源'!I297</x:f>
        <x:v>26</x:v>
      </x:c>
      <x:c r="J297" s="24" t="n">
        <x:f>IFERROR('各站彙總來源'!J297/'各站彙總來源'!K297,"")</x:f>
        <x:v>0</x:v>
      </x:c>
      <x:c r="K297" s="19" t="n">
        <x:f>'各站彙總來源'!K297</x:f>
        <x:v>26</x:v>
      </x:c>
      <x:c r="L297" s="24" t="n">
        <x:f>IFERROR('各站彙總來源'!L297/'各站彙總來源'!M297,"")</x:f>
        <x:v>0</x:v>
      </x:c>
      <x:c r="M297" s="19" t="n">
        <x:f>'各站彙總來源'!M297</x:f>
        <x:v>26</x:v>
      </x:c>
      <x:c r="N297" s="24" t="n">
        <x:f>F297+H297</x:f>
        <x:v>0</x:v>
      </x:c>
      <x:c r="O297" s="24" t="n">
        <x:f>J297+L297</x:f>
        <x:v>0</x:v>
      </x:c>
    </x:row>
    <x:row r="298">
      <x:c r="A298" s="22" t="str">
        <x:v>500103068</x:v>
      </x:c>
      <x:c r="B298" s="17" t="str">
        <x:v>大同區</x:v>
      </x:c>
      <x:c r="C298" s="17" t="str">
        <x:v>哈密街23巷19弄口</x:v>
      </x:c>
      <x:c r="D298" s="18" t="n">
        <x:v>26</x:v>
      </x:c>
      <x:c r="E298" s="18" t="n">
        <x:v>26</x:v>
      </x:c>
      <x:c r="F298" s="24" t="n">
        <x:f>IFERROR('各站彙總來源'!F298/'各站彙總來源'!G298,"")</x:f>
        <x:v>19.884615384615383</x:v>
      </x:c>
      <x:c r="G298" s="19" t="n">
        <x:f>'各站彙總來源'!G298</x:f>
        <x:v>26</x:v>
      </x:c>
      <x:c r="H298" s="24" t="n">
        <x:f>IFERROR('各站彙總來源'!H298/'各站彙總來源'!I298,"")</x:f>
        <x:v>1.2692307692307692</x:v>
      </x:c>
      <x:c r="I298" s="19" t="n">
        <x:f>'各站彙總來源'!I298</x:f>
        <x:v>26</x:v>
      </x:c>
      <x:c r="J298" s="24" t="n">
        <x:f>IFERROR('各站彙總來源'!J298/'各站彙總來源'!K298,"")</x:f>
        <x:v>7.1923076923076925</x:v>
      </x:c>
      <x:c r="K298" s="19" t="n">
        <x:f>'各站彙總來源'!K298</x:f>
        <x:v>26</x:v>
      </x:c>
      <x:c r="L298" s="24" t="n">
        <x:f>IFERROR('各站彙總來源'!L298/'各站彙總來源'!M298,"")</x:f>
        <x:v>1</x:v>
      </x:c>
      <x:c r="M298" s="19" t="n">
        <x:f>'各站彙總來源'!M298</x:f>
        <x:v>26</x:v>
      </x:c>
      <x:c r="N298" s="24" t="n">
        <x:f>F298+H298</x:f>
        <x:v>21.153846153846153</x:v>
      </x:c>
      <x:c r="O298" s="24" t="n">
        <x:f>J298+L298</x:f>
        <x:v>8.192307692307693</x:v>
      </x:c>
    </x:row>
    <x:row r="299">
      <x:c r="A299" s="22" t="str">
        <x:v>500103069</x:v>
      </x:c>
      <x:c r="B299" s="17" t="str">
        <x:v>大同區</x:v>
      </x:c>
      <x:c r="C299" s="17" t="str">
        <x:v>民權西路160巷口</x:v>
      </x:c>
      <x:c r="D299" s="18" t="n">
        <x:v>26</x:v>
      </x:c>
      <x:c r="E299" s="18" t="n">
        <x:v>26</x:v>
      </x:c>
      <x:c r="F299" s="24" t="n">
        <x:f>IFERROR('各站彙總來源'!F299/'各站彙總來源'!G299,"")</x:f>
        <x:v>5.076923076923077</x:v>
      </x:c>
      <x:c r="G299" s="19" t="n">
        <x:f>'各站彙總來源'!G299</x:f>
        <x:v>26</x:v>
      </x:c>
      <x:c r="H299" s="24" t="n">
        <x:f>IFERROR('各站彙總來源'!H299/'各站彙總來源'!I299,"")</x:f>
        <x:v>1.2307692307692308</x:v>
      </x:c>
      <x:c r="I299" s="19" t="n">
        <x:f>'各站彙總來源'!I299</x:f>
        <x:v>26</x:v>
      </x:c>
      <x:c r="J299" s="24" t="n">
        <x:f>IFERROR('各站彙總來源'!J299/'各站彙總來源'!K299,"")</x:f>
        <x:v>5</x:v>
      </x:c>
      <x:c r="K299" s="19" t="n">
        <x:f>'各站彙總來源'!K299</x:f>
        <x:v>26</x:v>
      </x:c>
      <x:c r="L299" s="24" t="n">
        <x:f>IFERROR('各站彙總來源'!L299/'各站彙總來源'!M299,"")</x:f>
        <x:v>1.7692307692307692</x:v>
      </x:c>
      <x:c r="M299" s="19" t="n">
        <x:f>'各站彙總來源'!M299</x:f>
        <x:v>26</x:v>
      </x:c>
      <x:c r="N299" s="24" t="n">
        <x:f>F299+H299</x:f>
        <x:v>6.3076923076923075</x:v>
      </x:c>
      <x:c r="O299" s="24" t="n">
        <x:f>J299+L299</x:f>
        <x:v>6.769230769230769</x:v>
      </x:c>
    </x:row>
    <x:row r="300">
      <x:c r="A300" s="22" t="str">
        <x:v>500103070</x:v>
      </x:c>
      <x:c r="B300" s="17" t="str">
        <x:v>大同區</x:v>
      </x:c>
      <x:c r="C300" s="17" t="str">
        <x:v>重慶北路三段205巷口</x:v>
      </x:c>
      <x:c r="D300" s="18" t="n">
        <x:v>26</x:v>
      </x:c>
      <x:c r="E300" s="18" t="n">
        <x:v>26</x:v>
      </x:c>
      <x:c r="F300" s="24" t="n">
        <x:f>IFERROR('各站彙總來源'!F300/'各站彙總來源'!G300,"")</x:f>
        <x:v>15.615384615384615</x:v>
      </x:c>
      <x:c r="G300" s="19" t="n">
        <x:f>'各站彙總來源'!G300</x:f>
        <x:v>26</x:v>
      </x:c>
      <x:c r="H300" s="24" t="n">
        <x:f>IFERROR('各站彙總來源'!H300/'各站彙總來源'!I300,"")</x:f>
        <x:v>2</x:v>
      </x:c>
      <x:c r="I300" s="19" t="n">
        <x:f>'各站彙總來源'!I300</x:f>
        <x:v>26</x:v>
      </x:c>
      <x:c r="J300" s="24" t="n">
        <x:f>IFERROR('各站彙總來源'!J300/'各站彙總來源'!K300,"")</x:f>
        <x:v>3.3846153846153846</x:v>
      </x:c>
      <x:c r="K300" s="19" t="n">
        <x:f>'各站彙總來源'!K300</x:f>
        <x:v>26</x:v>
      </x:c>
      <x:c r="L300" s="24" t="n">
        <x:f>IFERROR('各站彙總來源'!L300/'各站彙總來源'!M300,"")</x:f>
        <x:v>1.0769230769230769</x:v>
      </x:c>
      <x:c r="M300" s="19" t="n">
        <x:f>'各站彙總來源'!M300</x:f>
        <x:v>26</x:v>
      </x:c>
      <x:c r="N300" s="24" t="n">
        <x:f>F300+H300</x:f>
        <x:v>17.615384615384613</x:v>
      </x:c>
      <x:c r="O300" s="24" t="n">
        <x:f>J300+L300</x:f>
        <x:v>4.461538461538462</x:v>
      </x:c>
    </x:row>
    <x:row r="301">
      <x:c r="A301" s="22" t="str">
        <x:v>500103071</x:v>
      </x:c>
      <x:c r="B301" s="17" t="str">
        <x:v>大同區</x:v>
      </x:c>
      <x:c r="C301" s="17" t="str">
        <x:v>承德路二段91巷口</x:v>
      </x:c>
      <x:c r="D301" s="18" t="n">
        <x:v>26</x:v>
      </x:c>
      <x:c r="E301" s="18" t="n">
        <x:v>26</x:v>
      </x:c>
      <x:c r="F301" s="24" t="n">
        <x:f>IFERROR('各站彙總來源'!F301/'各站彙總來源'!G301,"")</x:f>
        <x:v>4.5</x:v>
      </x:c>
      <x:c r="G301" s="19" t="n">
        <x:f>'各站彙總來源'!G301</x:f>
        <x:v>26</x:v>
      </x:c>
      <x:c r="H301" s="24" t="n">
        <x:f>IFERROR('各站彙總來源'!H301/'各站彙總來源'!I301,"")</x:f>
        <x:v>1.4615384615384615</x:v>
      </x:c>
      <x:c r="I301" s="19" t="n">
        <x:f>'各站彙總來源'!I301</x:f>
        <x:v>26</x:v>
      </x:c>
      <x:c r="J301" s="24" t="n">
        <x:f>IFERROR('各站彙總來源'!J301/'各站彙總來源'!K301,"")</x:f>
        <x:v>11.76923076923077</x:v>
      </x:c>
      <x:c r="K301" s="19" t="n">
        <x:f>'各站彙總來源'!K301</x:f>
        <x:v>26</x:v>
      </x:c>
      <x:c r="L301" s="24" t="n">
        <x:f>IFERROR('各站彙總來源'!L301/'各站彙總來源'!M301,"")</x:f>
        <x:v>2.5384615384615383</x:v>
      </x:c>
      <x:c r="M301" s="19" t="n">
        <x:f>'各站彙總來源'!M301</x:f>
        <x:v>26</x:v>
      </x:c>
      <x:c r="N301" s="24" t="n">
        <x:f>F301+H301</x:f>
        <x:v>5.961538461538462</x:v>
      </x:c>
      <x:c r="O301" s="24" t="n">
        <x:f>J301+L301</x:f>
        <x:v>14.307692307692308</x:v>
      </x:c>
    </x:row>
    <x:row r="302">
      <x:c r="A302" s="22" t="str">
        <x:v>500103072</x:v>
      </x:c>
      <x:c r="B302" s="17" t="str">
        <x:v>大同區</x:v>
      </x:c>
      <x:c r="C302" s="17" t="str">
        <x:v>酒泉庫倫街口</x:v>
      </x:c>
      <x:c r="D302" s="18" t="n">
        <x:v>26</x:v>
      </x:c>
      <x:c r="E302" s="18" t="n">
        <x:v>26</x:v>
      </x:c>
      <x:c r="F302" s="24" t="n">
        <x:f>IFERROR('各站彙總來源'!F302/'各站彙總來源'!G302,"")</x:f>
        <x:v>7</x:v>
      </x:c>
      <x:c r="G302" s="19" t="n">
        <x:f>'各站彙總來源'!G302</x:f>
        <x:v>26</x:v>
      </x:c>
      <x:c r="H302" s="24" t="n">
        <x:f>IFERROR('各站彙總來源'!H302/'各站彙總來源'!I302,"")</x:f>
        <x:v>1.2307692307692308</x:v>
      </x:c>
      <x:c r="I302" s="19" t="n">
        <x:f>'各站彙總來源'!I302</x:f>
        <x:v>26</x:v>
      </x:c>
      <x:c r="J302" s="24" t="n">
        <x:f>IFERROR('各站彙總來源'!J302/'各站彙總來源'!K302,"")</x:f>
        <x:v>4.6923076923076925</x:v>
      </x:c>
      <x:c r="K302" s="19" t="n">
        <x:f>'各站彙總來源'!K302</x:f>
        <x:v>26</x:v>
      </x:c>
      <x:c r="L302" s="24" t="n">
        <x:f>IFERROR('各站彙總來源'!L302/'各站彙總來源'!M302,"")</x:f>
        <x:v>0.8076923076923077</x:v>
      </x:c>
      <x:c r="M302" s="19" t="n">
        <x:f>'各站彙總來源'!M302</x:f>
        <x:v>26</x:v>
      </x:c>
      <x:c r="N302" s="24" t="n">
        <x:f>F302+H302</x:f>
        <x:v>8.23076923076923</x:v>
      </x:c>
      <x:c r="O302" s="24" t="n">
        <x:f>J302+L302</x:f>
        <x:v>5.5</x:v>
      </x:c>
    </x:row>
    <x:row r="303">
      <x:c r="A303" s="22" t="str">
        <x:v>500103073</x:v>
      </x:c>
      <x:c r="B303" s="17" t="str">
        <x:v>大同區</x:v>
      </x:c>
      <x:c r="C303" s="17" t="str">
        <x:v>民族西大龍街口</x:v>
      </x:c>
      <x:c r="D303" s="18" t="n">
        <x:v>26</x:v>
      </x:c>
      <x:c r="E303" s="18" t="n">
        <x:v>26</x:v>
      </x:c>
      <x:c r="F303" s="24" t="n">
        <x:f>IFERROR('各站彙總來源'!F303/'各站彙總來源'!G303,"")</x:f>
        <x:v>15.26923076923077</x:v>
      </x:c>
      <x:c r="G303" s="19" t="n">
        <x:f>'各站彙總來源'!G303</x:f>
        <x:v>26</x:v>
      </x:c>
      <x:c r="H303" s="24" t="n">
        <x:f>IFERROR('各站彙總來源'!H303/'各站彙總來源'!I303,"")</x:f>
        <x:v>2</x:v>
      </x:c>
      <x:c r="I303" s="19" t="n">
        <x:f>'各站彙總來源'!I303</x:f>
        <x:v>26</x:v>
      </x:c>
      <x:c r="J303" s="24" t="n">
        <x:f>IFERROR('各站彙總來源'!J303/'各站彙總來源'!K303,"")</x:f>
        <x:v>5.153846153846154</x:v>
      </x:c>
      <x:c r="K303" s="19" t="n">
        <x:f>'各站彙總來源'!K303</x:f>
        <x:v>26</x:v>
      </x:c>
      <x:c r="L303" s="24" t="n">
        <x:f>IFERROR('各站彙總來源'!L303/'各站彙總來源'!M303,"")</x:f>
        <x:v>0.7692307692307693</x:v>
      </x:c>
      <x:c r="M303" s="19" t="n">
        <x:f>'各站彙總來源'!M303</x:f>
        <x:v>26</x:v>
      </x:c>
      <x:c r="N303" s="24" t="n">
        <x:f>F303+H303</x:f>
        <x:v>17.26923076923077</x:v>
      </x:c>
      <x:c r="O303" s="24" t="n">
        <x:f>J303+L303</x:f>
        <x:v>5.923076923076923</x:v>
      </x:c>
    </x:row>
    <x:row r="304">
      <x:c r="A304" s="22" t="str">
        <x:v>500103074</x:v>
      </x:c>
      <x:c r="B304" s="17" t="str">
        <x:v>大同區</x:v>
      </x:c>
      <x:c r="C304" s="17" t="str">
        <x:v>承德路三段324巷口</x:v>
      </x:c>
      <x:c r="D304" s="18" t="n">
        <x:v>26</x:v>
      </x:c>
      <x:c r="E304" s="18" t="n">
        <x:v>26</x:v>
      </x:c>
      <x:c r="F304" s="24" t="n">
        <x:f>IFERROR('各站彙總來源'!F304/'各站彙總來源'!G304,"")</x:f>
        <x:v>10.038461538461538</x:v>
      </x:c>
      <x:c r="G304" s="19" t="n">
        <x:f>'各站彙總來源'!G304</x:f>
        <x:v>26</x:v>
      </x:c>
      <x:c r="H304" s="24" t="n">
        <x:f>IFERROR('各站彙總來源'!H304/'各站彙總來源'!I304,"")</x:f>
        <x:v>0.8846153846153846</x:v>
      </x:c>
      <x:c r="I304" s="19" t="n">
        <x:f>'各站彙總來源'!I304</x:f>
        <x:v>26</x:v>
      </x:c>
      <x:c r="J304" s="24" t="n">
        <x:f>IFERROR('各站彙總來源'!J304/'各站彙總來源'!K304,"")</x:f>
        <x:v>9.73076923076923</x:v>
      </x:c>
      <x:c r="K304" s="19" t="n">
        <x:f>'各站彙總來源'!K304</x:f>
        <x:v>26</x:v>
      </x:c>
      <x:c r="L304" s="24" t="n">
        <x:f>IFERROR('各站彙總來源'!L304/'各站彙總來源'!M304,"")</x:f>
        <x:v>1.5769230769230769</x:v>
      </x:c>
      <x:c r="M304" s="19" t="n">
        <x:f>'各站彙總來源'!M304</x:f>
        <x:v>26</x:v>
      </x:c>
      <x:c r="N304" s="24" t="n">
        <x:f>F304+H304</x:f>
        <x:v>10.923076923076923</x:v>
      </x:c>
      <x:c r="O304" s="24" t="n">
        <x:f>J304+L304</x:f>
        <x:v>11.307692307692307</x:v>
      </x:c>
    </x:row>
    <x:row r="305">
      <x:c r="A305" s="22" t="str">
        <x:v>500103075</x:v>
      </x:c>
      <x:c r="B305" s="17" t="str">
        <x:v>大同區</x:v>
      </x:c>
      <x:c r="C305" s="17" t="str">
        <x:v>玉泉公園(鄭州路)</x:v>
      </x:c>
      <x:c r="D305" s="18" t="n">
        <x:v>26</x:v>
      </x:c>
      <x:c r="E305" s="18" t="n">
        <x:v>26</x:v>
      </x:c>
      <x:c r="F305" s="24" t="n">
        <x:f>IFERROR('各站彙總來源'!F305/'各站彙總來源'!G305,"")</x:f>
        <x:v>5.115384615384615</x:v>
      </x:c>
      <x:c r="G305" s="19" t="n">
        <x:f>'各站彙總來源'!G305</x:f>
        <x:v>26</x:v>
      </x:c>
      <x:c r="H305" s="24" t="n">
        <x:f>IFERROR('各站彙總來源'!H305/'各站彙總來源'!I305,"")</x:f>
        <x:v>0.5769230769230769</x:v>
      </x:c>
      <x:c r="I305" s="19" t="n">
        <x:f>'各站彙總來源'!I305</x:f>
        <x:v>26</x:v>
      </x:c>
      <x:c r="J305" s="24" t="n">
        <x:f>IFERROR('各站彙總來源'!J305/'各站彙總來源'!K305,"")</x:f>
        <x:v>10.115384615384615</x:v>
      </x:c>
      <x:c r="K305" s="19" t="n">
        <x:f>'各站彙總來源'!K305</x:f>
        <x:v>26</x:v>
      </x:c>
      <x:c r="L305" s="24" t="n">
        <x:f>IFERROR('各站彙總來源'!L305/'各站彙總來源'!M305,"")</x:f>
        <x:v>1.1923076923076923</x:v>
      </x:c>
      <x:c r="M305" s="19" t="n">
        <x:f>'各站彙總來源'!M305</x:f>
        <x:v>26</x:v>
      </x:c>
      <x:c r="N305" s="24" t="n">
        <x:f>F305+H305</x:f>
        <x:v>5.692307692307692</x:v>
      </x:c>
      <x:c r="O305" s="24" t="n">
        <x:f>J305+L305</x:f>
        <x:v>11.307692307692307</x:v>
      </x:c>
    </x:row>
    <x:row r="306">
      <x:c r="A306" s="22" t="str">
        <x:v>500103076</x:v>
      </x:c>
      <x:c r="B306" s="17" t="str">
        <x:v>大同區</x:v>
      </x:c>
      <x:c r="C306" s="17" t="str">
        <x:v>玉泉公園(忠孝西路)</x:v>
      </x:c>
      <x:c r="D306" s="18" t="n">
        <x:v>26</x:v>
      </x:c>
      <x:c r="E306" s="18" t="n">
        <x:v>26</x:v>
      </x:c>
      <x:c r="F306" s="24" t="n">
        <x:f>IFERROR('各站彙總來源'!F306/'各站彙總來源'!G306,"")</x:f>
        <x:v>8.807692307692308</x:v>
      </x:c>
      <x:c r="G306" s="19" t="n">
        <x:f>'各站彙總來源'!G306</x:f>
        <x:v>26</x:v>
      </x:c>
      <x:c r="H306" s="24" t="n">
        <x:f>IFERROR('各站彙總來源'!H306/'各站彙總來源'!I306,"")</x:f>
        <x:v>1.4230769230769231</x:v>
      </x:c>
      <x:c r="I306" s="19" t="n">
        <x:f>'各站彙總來源'!I306</x:f>
        <x:v>26</x:v>
      </x:c>
      <x:c r="J306" s="24" t="n">
        <x:f>IFERROR('各站彙總來源'!J306/'各站彙總來源'!K306,"")</x:f>
        <x:v>9.384615384615385</x:v>
      </x:c>
      <x:c r="K306" s="19" t="n">
        <x:f>'各站彙總來源'!K306</x:f>
        <x:v>26</x:v>
      </x:c>
      <x:c r="L306" s="24" t="n">
        <x:f>IFERROR('各站彙總來源'!L306/'各站彙總來源'!M306,"")</x:f>
        <x:v>1.3846153846153846</x:v>
      </x:c>
      <x:c r="M306" s="19" t="n">
        <x:f>'各站彙總來源'!M306</x:f>
        <x:v>26</x:v>
      </x:c>
      <x:c r="N306" s="24" t="n">
        <x:f>F306+H306</x:f>
        <x:v>10.230769230769232</x:v>
      </x:c>
      <x:c r="O306" s="24" t="n">
        <x:f>J306+L306</x:f>
        <x:v>10.76923076923077</x:v>
      </x:c>
    </x:row>
    <x:row r="307">
      <x:c r="A307" s="22" t="str">
        <x:v>500103077</x:v>
      </x:c>
      <x:c r="B307" s="17" t="str">
        <x:v>大同區</x:v>
      </x:c>
      <x:c r="C307" s="17" t="str">
        <x:v>太平國小</x:v>
      </x:c>
      <x:c r="D307" s="18" t="n">
        <x:v>26</x:v>
      </x:c>
      <x:c r="E307" s="18" t="n">
        <x:v>26</x:v>
      </x:c>
      <x:c r="F307" s="24" t="n">
        <x:f>IFERROR('各站彙總來源'!F307/'各站彙總來源'!G307,"")</x:f>
        <x:v>7.576923076923077</x:v>
      </x:c>
      <x:c r="G307" s="19" t="n">
        <x:f>'各站彙總來源'!G307</x:f>
        <x:v>26</x:v>
      </x:c>
      <x:c r="H307" s="24" t="n">
        <x:f>IFERROR('各站彙總來源'!H307/'各站彙總來源'!I307,"")</x:f>
        <x:v>1.2692307692307692</x:v>
      </x:c>
      <x:c r="I307" s="19" t="n">
        <x:f>'各站彙總來源'!I307</x:f>
        <x:v>26</x:v>
      </x:c>
      <x:c r="J307" s="24" t="n">
        <x:f>IFERROR('各站彙總來源'!J307/'各站彙總來源'!K307,"")</x:f>
        <x:v>4.884615384615385</x:v>
      </x:c>
      <x:c r="K307" s="19" t="n">
        <x:f>'各站彙總來源'!K307</x:f>
        <x:v>26</x:v>
      </x:c>
      <x:c r="L307" s="24" t="n">
        <x:f>IFERROR('各站彙總來源'!L307/'各站彙總來源'!M307,"")</x:f>
        <x:v>0.7692307692307693</x:v>
      </x:c>
      <x:c r="M307" s="19" t="n">
        <x:f>'各站彙總來源'!M307</x:f>
        <x:v>26</x:v>
      </x:c>
      <x:c r="N307" s="24" t="n">
        <x:f>F307+H307</x:f>
        <x:v>8.846153846153847</x:v>
      </x:c>
      <x:c r="O307" s="24" t="n">
        <x:f>J307+L307</x:f>
        <x:v>5.653846153846154</x:v>
      </x:c>
    </x:row>
    <x:row r="308">
      <x:c r="A308" s="22" t="str">
        <x:v>500103078</x:v>
      </x:c>
      <x:c r="B308" s="17" t="str">
        <x:v>大同區</x:v>
      </x:c>
      <x:c r="C308" s="17" t="str">
        <x:v>明倫高中</x:v>
      </x:c>
      <x:c r="D308" s="18" t="n">
        <x:v>26</x:v>
      </x:c>
      <x:c r="E308" s="18" t="n">
        <x:v>26</x:v>
      </x:c>
      <x:c r="F308" s="24" t="n">
        <x:f>IFERROR('各站彙總來源'!F308/'各站彙總來源'!G308,"")</x:f>
        <x:v>3.923076923076923</x:v>
      </x:c>
      <x:c r="G308" s="19" t="n">
        <x:f>'各站彙總來源'!G308</x:f>
        <x:v>26</x:v>
      </x:c>
      <x:c r="H308" s="24" t="n">
        <x:f>IFERROR('各站彙總來源'!H308/'各站彙總來源'!I308,"")</x:f>
        <x:v>0.8846153846153846</x:v>
      </x:c>
      <x:c r="I308" s="19" t="n">
        <x:f>'各站彙總來源'!I308</x:f>
        <x:v>26</x:v>
      </x:c>
      <x:c r="J308" s="24" t="n">
        <x:f>IFERROR('各站彙總來源'!J308/'各站彙總來源'!K308,"")</x:f>
        <x:v>21.96153846153846</x:v>
      </x:c>
      <x:c r="K308" s="19" t="n">
        <x:f>'各站彙總來源'!K308</x:f>
        <x:v>26</x:v>
      </x:c>
      <x:c r="L308" s="24" t="n">
        <x:f>IFERROR('各站彙總來源'!L308/'各站彙總來源'!M308,"")</x:f>
        <x:v>0.9230769230769231</x:v>
      </x:c>
      <x:c r="M308" s="19" t="n">
        <x:f>'各站彙總來源'!M308</x:f>
        <x:v>26</x:v>
      </x:c>
      <x:c r="N308" s="24" t="n">
        <x:f>F308+H308</x:f>
        <x:v>4.8076923076923075</x:v>
      </x:c>
      <x:c r="O308" s="24" t="n">
        <x:f>J308+L308</x:f>
        <x:v>22.884615384615383</x:v>
      </x:c>
    </x:row>
    <x:row r="309">
      <x:c r="A309" s="22" t="str">
        <x:v>500103079</x:v>
      </x:c>
      <x:c r="B309" s="17" t="str">
        <x:v>大同區</x:v>
      </x:c>
      <x:c r="C309" s="17" t="str">
        <x:v>伊寧重慶北路口</x:v>
      </x:c>
      <x:c r="D309" s="18" t="n">
        <x:v>26</x:v>
      </x:c>
      <x:c r="E309" s="18" t="n">
        <x:v>26</x:v>
      </x:c>
      <x:c r="F309" s="24" t="n">
        <x:f>IFERROR('各站彙總來源'!F309/'各站彙總來源'!G309,"")</x:f>
        <x:v>4.1923076923076925</x:v>
      </x:c>
      <x:c r="G309" s="19" t="n">
        <x:f>'各站彙總來源'!G309</x:f>
        <x:v>26</x:v>
      </x:c>
      <x:c r="H309" s="24" t="n">
        <x:f>IFERROR('各站彙總來源'!H309/'各站彙總來源'!I309,"")</x:f>
        <x:v>0.5384615384615384</x:v>
      </x:c>
      <x:c r="I309" s="19" t="n">
        <x:f>'各站彙總來源'!I309</x:f>
        <x:v>26</x:v>
      </x:c>
      <x:c r="J309" s="24" t="n">
        <x:f>IFERROR('各站彙總來源'!J309/'各站彙總來源'!K309,"")</x:f>
        <x:v>6.269230769230769</x:v>
      </x:c>
      <x:c r="K309" s="19" t="n">
        <x:f>'各站彙總來源'!K309</x:f>
        <x:v>26</x:v>
      </x:c>
      <x:c r="L309" s="24" t="n">
        <x:f>IFERROR('各站彙總來源'!L309/'各站彙總來源'!M309,"")</x:f>
        <x:v>1.4230769230769231</x:v>
      </x:c>
      <x:c r="M309" s="19" t="n">
        <x:f>'各站彙總來源'!M309</x:f>
        <x:v>26</x:v>
      </x:c>
      <x:c r="N309" s="24" t="n">
        <x:f>F309+H309</x:f>
        <x:v>4.730769230769231</x:v>
      </x:c>
      <x:c r="O309" s="24" t="n">
        <x:f>J309+L309</x:f>
        <x:v>7.6923076923076925</x:v>
      </x:c>
    </x:row>
    <x:row r="310">
      <x:c r="A310" s="22" t="str">
        <x:v>500103080</x:v>
      </x:c>
      <x:c r="B310" s="17" t="str">
        <x:v>大同區</x:v>
      </x:c>
      <x:c r="C310" s="17" t="str">
        <x:v>永樂國小</x:v>
      </x:c>
      <x:c r="D310" s="18" t="n">
        <x:v>26</x:v>
      </x:c>
      <x:c r="E310" s="18" t="n">
        <x:v>26</x:v>
      </x:c>
      <x:c r="F310" s="24" t="n">
        <x:f>IFERROR('各站彙總來源'!F310/'各站彙總來源'!G310,"")</x:f>
        <x:v>13.923076923076923</x:v>
      </x:c>
      <x:c r="G310" s="19" t="n">
        <x:f>'各站彙總來源'!G310</x:f>
        <x:v>26</x:v>
      </x:c>
      <x:c r="H310" s="24" t="n">
        <x:f>IFERROR('各站彙總來源'!H310/'各站彙總來源'!I310,"")</x:f>
        <x:v>1.8076923076923077</x:v>
      </x:c>
      <x:c r="I310" s="19" t="n">
        <x:f>'各站彙總來源'!I310</x:f>
        <x:v>26</x:v>
      </x:c>
      <x:c r="J310" s="24" t="n">
        <x:f>IFERROR('各站彙總來源'!J310/'各站彙總來源'!K310,"")</x:f>
        <x:v>5.615384615384615</x:v>
      </x:c>
      <x:c r="K310" s="19" t="n">
        <x:f>'各站彙總來源'!K310</x:f>
        <x:v>26</x:v>
      </x:c>
      <x:c r="L310" s="24" t="n">
        <x:f>IFERROR('各站彙總來源'!L310/'各站彙總來源'!M310,"")</x:f>
        <x:v>1.5769230769230769</x:v>
      </x:c>
      <x:c r="M310" s="19" t="n">
        <x:f>'各站彙總來源'!M310</x:f>
        <x:v>26</x:v>
      </x:c>
      <x:c r="N310" s="24" t="n">
        <x:f>F310+H310</x:f>
        <x:v>15.730769230769232</x:v>
      </x:c>
      <x:c r="O310" s="24" t="n">
        <x:f>J310+L310</x:f>
        <x:v>7.192307692307692</x:v>
      </x:c>
    </x:row>
    <x:row r="311">
      <x:c r="A311" s="22" t="str">
        <x:v>500103081</x:v>
      </x:c>
      <x:c r="B311" s="17" t="str">
        <x:v>大同區</x:v>
      </x:c>
      <x:c r="C311" s="17" t="str">
        <x:v>民權延平路口(西南側)</x:v>
      </x:c>
      <x:c r="D311" s="18" t="n">
        <x:v>26</x:v>
      </x:c>
      <x:c r="E311" s="18" t="n">
        <x:v>26</x:v>
      </x:c>
      <x:c r="F311" s="24" t="n">
        <x:f>IFERROR('各站彙總來源'!F311/'各站彙總來源'!G311,"")</x:f>
        <x:v>7.653846153846154</x:v>
      </x:c>
      <x:c r="G311" s="19" t="n">
        <x:f>'各站彙總來源'!G311</x:f>
        <x:v>26</x:v>
      </x:c>
      <x:c r="H311" s="24" t="n">
        <x:f>IFERROR('各站彙總來源'!H311/'各站彙總來源'!I311,"")</x:f>
        <x:v>1.9615384615384615</x:v>
      </x:c>
      <x:c r="I311" s="19" t="n">
        <x:f>'各站彙總來源'!I311</x:f>
        <x:v>26</x:v>
      </x:c>
      <x:c r="J311" s="24" t="n">
        <x:f>IFERROR('各站彙總來源'!J311/'各站彙總來源'!K311,"")</x:f>
        <x:v>3.5</x:v>
      </x:c>
      <x:c r="K311" s="19" t="n">
        <x:f>'各站彙總來源'!K311</x:f>
        <x:v>26</x:v>
      </x:c>
      <x:c r="L311" s="24" t="n">
        <x:f>IFERROR('各站彙總來源'!L311/'各站彙總來源'!M311,"")</x:f>
        <x:v>0.8846153846153846</x:v>
      </x:c>
      <x:c r="M311" s="19" t="n">
        <x:f>'各站彙總來源'!M311</x:f>
        <x:v>26</x:v>
      </x:c>
      <x:c r="N311" s="24" t="n">
        <x:f>F311+H311</x:f>
        <x:v>9.615384615384615</x:v>
      </x:c>
      <x:c r="O311" s="24" t="n">
        <x:f>J311+L311</x:f>
        <x:v>4.384615384615385</x:v>
      </x:c>
    </x:row>
    <x:row r="312">
      <x:c r="A312" s="22" t="str">
        <x:v>500103082</x:v>
      </x:c>
      <x:c r="B312" s="17" t="str">
        <x:v>大同區</x:v>
      </x:c>
      <x:c r="C312" s="17" t="str">
        <x:v>捷運民權西路站(1號出口)</x:v>
      </x:c>
      <x:c r="D312" s="18" t="n">
        <x:v>26</x:v>
      </x:c>
      <x:c r="E312" s="18" t="n">
        <x:v>26</x:v>
      </x:c>
      <x:c r="F312" s="24" t="n">
        <x:f>IFERROR('各站彙總來源'!F312/'各站彙總來源'!G312,"")</x:f>
        <x:v>9.692307692307692</x:v>
      </x:c>
      <x:c r="G312" s="19" t="n">
        <x:f>'各站彙總來源'!G312</x:f>
        <x:v>26</x:v>
      </x:c>
      <x:c r="H312" s="24" t="n">
        <x:f>IFERROR('各站彙總來源'!H312/'各站彙總來源'!I312,"")</x:f>
        <x:v>1.7692307692307692</x:v>
      </x:c>
      <x:c r="I312" s="19" t="n">
        <x:f>'各站彙總來源'!I312</x:f>
        <x:v>26</x:v>
      </x:c>
      <x:c r="J312" s="24" t="n">
        <x:f>IFERROR('各站彙總來源'!J312/'各站彙總來源'!K312,"")</x:f>
        <x:v>7.038461538461538</x:v>
      </x:c>
      <x:c r="K312" s="19" t="n">
        <x:f>'各站彙總來源'!K312</x:f>
        <x:v>26</x:v>
      </x:c>
      <x:c r="L312" s="24" t="n">
        <x:f>IFERROR('各站彙總來源'!L312/'各站彙總來源'!M312,"")</x:f>
        <x:v>2.076923076923077</x:v>
      </x:c>
      <x:c r="M312" s="19" t="n">
        <x:f>'各站彙總來源'!M312</x:f>
        <x:v>26</x:v>
      </x:c>
      <x:c r="N312" s="24" t="n">
        <x:f>F312+H312</x:f>
        <x:v>11.46153846153846</x:v>
      </x:c>
      <x:c r="O312" s="24" t="n">
        <x:f>J312+L312</x:f>
        <x:v>9.115384615384615</x:v>
      </x:c>
    </x:row>
    <x:row r="313">
      <x:c r="A313" s="22" t="str">
        <x:v>500103083</x:v>
      </x:c>
      <x:c r="B313" s="17" t="str">
        <x:v>大同區</x:v>
      </x:c>
      <x:c r="C313" s="17" t="str">
        <x:v>承德路三段301巷</x:v>
      </x:c>
      <x:c r="D313" s="18" t="n">
        <x:v>26</x:v>
      </x:c>
      <x:c r="E313" s="18" t="n">
        <x:v>26</x:v>
      </x:c>
      <x:c r="F313" s="24" t="n">
        <x:f>IFERROR('各站彙總來源'!F313/'各站彙總來源'!G313,"")</x:f>
        <x:v>20.153846153846153</x:v>
      </x:c>
      <x:c r="G313" s="19" t="n">
        <x:f>'各站彙總來源'!G313</x:f>
        <x:v>26</x:v>
      </x:c>
      <x:c r="H313" s="24" t="n">
        <x:f>IFERROR('各站彙總來源'!H313/'各站彙總來源'!I313,"")</x:f>
        <x:v>2.8461538461538463</x:v>
      </x:c>
      <x:c r="I313" s="19" t="n">
        <x:f>'各站彙總來源'!I313</x:f>
        <x:v>26</x:v>
      </x:c>
      <x:c r="J313" s="24" t="n">
        <x:f>IFERROR('各站彙總來源'!J313/'各站彙總來源'!K313,"")</x:f>
        <x:v>5.269230769230769</x:v>
      </x:c>
      <x:c r="K313" s="19" t="n">
        <x:f>'各站彙總來源'!K313</x:f>
        <x:v>26</x:v>
      </x:c>
      <x:c r="L313" s="24" t="n">
        <x:f>IFERROR('各站彙總來源'!L313/'各站彙總來源'!M313,"")</x:f>
        <x:v>0.9230769230769231</x:v>
      </x:c>
      <x:c r="M313" s="19" t="n">
        <x:f>'各站彙總來源'!M313</x:f>
        <x:v>26</x:v>
      </x:c>
      <x:c r="N313" s="24" t="n">
        <x:f>F313+H313</x:f>
        <x:v>23</x:v>
      </x:c>
      <x:c r="O313" s="24" t="n">
        <x:f>J313+L313</x:f>
        <x:v>6.1923076923076925</x:v>
      </x:c>
    </x:row>
    <x:row r="314">
      <x:c r="A314" s="22" t="str">
        <x:v>500103084</x:v>
      </x:c>
      <x:c r="B314" s="17" t="str">
        <x:v>大同區</x:v>
      </x:c>
      <x:c r="C314" s="17" t="str">
        <x:v>捷運圓山站(庫倫街61巷口)</x:v>
      </x:c>
      <x:c r="D314" s="18" t="n">
        <x:v>26</x:v>
      </x:c>
      <x:c r="E314" s="18" t="n">
        <x:v>26</x:v>
      </x:c>
      <x:c r="F314" s="24" t="n">
        <x:f>IFERROR('各站彙總來源'!F314/'各站彙總來源'!G314,"")</x:f>
        <x:v>15.538461538461538</x:v>
      </x:c>
      <x:c r="G314" s="19" t="n">
        <x:f>'各站彙總來源'!G314</x:f>
        <x:v>26</x:v>
      </x:c>
      <x:c r="H314" s="24" t="n">
        <x:f>IFERROR('各站彙總來源'!H314/'各站彙總來源'!I314,"")</x:f>
        <x:v>1.7692307692307692</x:v>
      </x:c>
      <x:c r="I314" s="19" t="n">
        <x:f>'各站彙總來源'!I314</x:f>
        <x:v>26</x:v>
      </x:c>
      <x:c r="J314" s="24" t="n">
        <x:f>IFERROR('各站彙總來源'!J314/'各站彙總來源'!K314,"")</x:f>
        <x:v>19.923076923076923</x:v>
      </x:c>
      <x:c r="K314" s="19" t="n">
        <x:f>'各站彙總來源'!K314</x:f>
        <x:v>26</x:v>
      </x:c>
      <x:c r="L314" s="24" t="n">
        <x:f>IFERROR('各站彙總來源'!L314/'各站彙總來源'!M314,"")</x:f>
        <x:v>2.269230769230769</x:v>
      </x:c>
      <x:c r="M314" s="19" t="n">
        <x:f>'各站彙總來源'!M314</x:f>
        <x:v>26</x:v>
      </x:c>
      <x:c r="N314" s="24" t="n">
        <x:f>F314+H314</x:f>
        <x:v>17.307692307692307</x:v>
      </x:c>
      <x:c r="O314" s="24" t="n">
        <x:f>J314+L314</x:f>
        <x:v>22.192307692307693</x:v>
      </x:c>
    </x:row>
    <x:row r="315">
      <x:c r="A315" s="22" t="str">
        <x:v>500103085</x:v>
      </x:c>
      <x:c r="B315" s="17" t="str">
        <x:v>大同區</x:v>
      </x:c>
      <x:c r="C315" s="17" t="str">
        <x:v>大龍國小地下停車場</x:v>
      </x:c>
      <x:c r="D315" s="18" t="n">
        <x:v>26</x:v>
      </x:c>
      <x:c r="E315" s="18" t="n">
        <x:v>26</x:v>
      </x:c>
      <x:c r="F315" s="24" t="n">
        <x:f>IFERROR('各站彙總來源'!F315/'各站彙總來源'!G315,"")</x:f>
        <x:v>15.73076923076923</x:v>
      </x:c>
      <x:c r="G315" s="19" t="n">
        <x:f>'各站彙總來源'!G315</x:f>
        <x:v>26</x:v>
      </x:c>
      <x:c r="H315" s="24" t="n">
        <x:f>IFERROR('各站彙總來源'!H315/'各站彙總來源'!I315,"")</x:f>
        <x:v>1.3461538461538463</x:v>
      </x:c>
      <x:c r="I315" s="19" t="n">
        <x:f>'各站彙總來源'!I315</x:f>
        <x:v>26</x:v>
      </x:c>
      <x:c r="J315" s="24" t="n">
        <x:f>IFERROR('各站彙總來源'!J315/'各站彙總來源'!K315,"")</x:f>
        <x:v>7.038461538461538</x:v>
      </x:c>
      <x:c r="K315" s="19" t="n">
        <x:f>'各站彙總來源'!K315</x:f>
        <x:v>26</x:v>
      </x:c>
      <x:c r="L315" s="24" t="n">
        <x:f>IFERROR('各站彙總來源'!L315/'各站彙總來源'!M315,"")</x:f>
        <x:v>1.0769230769230769</x:v>
      </x:c>
      <x:c r="M315" s="19" t="n">
        <x:f>'各站彙總來源'!M315</x:f>
        <x:v>26</x:v>
      </x:c>
      <x:c r="N315" s="24" t="n">
        <x:f>F315+H315</x:f>
        <x:v>17.076923076923077</x:v>
      </x:c>
      <x:c r="O315" s="24" t="n">
        <x:f>J315+L315</x:f>
        <x:v>8.115384615384615</x:v>
      </x:c>
    </x:row>
    <x:row r="316">
      <x:c r="A316" s="22" t="str">
        <x:v>500103086</x:v>
      </x:c>
      <x:c r="B316" s="17" t="str">
        <x:v>大同區</x:v>
      </x:c>
      <x:c r="C316" s="17" t="str">
        <x:v>捷運北門站(1號出口)</x:v>
      </x:c>
      <x:c r="D316" s="18" t="n">
        <x:v>26</x:v>
      </x:c>
      <x:c r="E316" s="18" t="n">
        <x:v>26</x:v>
      </x:c>
      <x:c r="F316" s="24" t="n">
        <x:f>IFERROR('各站彙總來源'!F316/'各站彙總來源'!G316,"")</x:f>
        <x:v>5.730769230769231</x:v>
      </x:c>
      <x:c r="G316" s="19" t="n">
        <x:f>'各站彙總來源'!G316</x:f>
        <x:v>26</x:v>
      </x:c>
      <x:c r="H316" s="24" t="n">
        <x:f>IFERROR('各站彙總來源'!H316/'各站彙總來源'!I316,"")</x:f>
        <x:v>0.5</x:v>
      </x:c>
      <x:c r="I316" s="19" t="n">
        <x:f>'各站彙總來源'!I316</x:f>
        <x:v>26</x:v>
      </x:c>
      <x:c r="J316" s="24" t="n">
        <x:f>IFERROR('各站彙總來源'!J316/'各站彙總來源'!K316,"")</x:f>
        <x:v>7.961538461538462</x:v>
      </x:c>
      <x:c r="K316" s="19" t="n">
        <x:f>'各站彙總來源'!K316</x:f>
        <x:v>26</x:v>
      </x:c>
      <x:c r="L316" s="24" t="n">
        <x:f>IFERROR('各站彙總來源'!L316/'各站彙總來源'!M316,"")</x:f>
        <x:v>1.0384615384615385</x:v>
      </x:c>
      <x:c r="M316" s="19" t="n">
        <x:f>'各站彙總來源'!M316</x:f>
        <x:v>26</x:v>
      </x:c>
      <x:c r="N316" s="24" t="n">
        <x:f>F316+H316</x:f>
        <x:v>6.230769230769231</x:v>
      </x:c>
      <x:c r="O316" s="24" t="n">
        <x:f>J316+L316</x:f>
        <x:v>9</x:v>
      </x:c>
    </x:row>
    <x:row r="317">
      <x:c r="A317" s="22" t="str">
        <x:v>500103087</x:v>
      </x:c>
      <x:c r="B317" s="17" t="str">
        <x:v>大同區</x:v>
      </x:c>
      <x:c r="C317" s="17" t="str">
        <x:v>重慶北路派出所</x:v>
      </x:c>
      <x:c r="D317" s="18" t="n">
        <x:v>26</x:v>
      </x:c>
      <x:c r="E317" s="18" t="n">
        <x:v>26</x:v>
      </x:c>
      <x:c r="F317" s="24" t="n">
        <x:f>IFERROR('各站彙總來源'!F317/'各站彙總來源'!G317,"")</x:f>
        <x:v>10.076923076923077</x:v>
      </x:c>
      <x:c r="G317" s="19" t="n">
        <x:f>'各站彙總來源'!G317</x:f>
        <x:v>26</x:v>
      </x:c>
      <x:c r="H317" s="24" t="n">
        <x:f>IFERROR('各站彙總來源'!H317/'各站彙總來源'!I317,"")</x:f>
        <x:v>1.3846153846153846</x:v>
      </x:c>
      <x:c r="I317" s="19" t="n">
        <x:f>'各站彙總來源'!I317</x:f>
        <x:v>26</x:v>
      </x:c>
      <x:c r="J317" s="24" t="n">
        <x:f>IFERROR('各站彙總來源'!J317/'各站彙總來源'!K317,"")</x:f>
        <x:v>4</x:v>
      </x:c>
      <x:c r="K317" s="19" t="n">
        <x:f>'各站彙總來源'!K317</x:f>
        <x:v>26</x:v>
      </x:c>
      <x:c r="L317" s="24" t="n">
        <x:f>IFERROR('各站彙總來源'!L317/'各站彙總來源'!M317,"")</x:f>
        <x:v>0.8461538461538461</x:v>
      </x:c>
      <x:c r="M317" s="19" t="n">
        <x:f>'各站彙總來源'!M317</x:f>
        <x:v>26</x:v>
      </x:c>
      <x:c r="N317" s="24" t="n">
        <x:f>F317+H317</x:f>
        <x:v>11.461538461538462</x:v>
      </x:c>
      <x:c r="O317" s="24" t="n">
        <x:f>J317+L317</x:f>
        <x:v>4.846153846153846</x:v>
      </x:c>
    </x:row>
    <x:row r="318">
      <x:c r="A318" s="22" t="str">
        <x:v>500103088</x:v>
      </x:c>
      <x:c r="B318" s="17" t="str">
        <x:v>大同區</x:v>
      </x:c>
      <x:c r="C318" s="17" t="str">
        <x:v>承德路三段251巷口</x:v>
      </x:c>
      <x:c r="D318" s="18" t="n">
        <x:v>26</x:v>
      </x:c>
      <x:c r="E318" s="18" t="n">
        <x:v>26</x:v>
      </x:c>
      <x:c r="F318" s="24" t="n">
        <x:f>IFERROR('各站彙總來源'!F318/'各站彙總來源'!G318,"")</x:f>
        <x:v>5.230769230769231</x:v>
      </x:c>
      <x:c r="G318" s="19" t="n">
        <x:f>'各站彙總來源'!G318</x:f>
        <x:v>26</x:v>
      </x:c>
      <x:c r="H318" s="24" t="n">
        <x:f>IFERROR('各站彙總來源'!H318/'各站彙總來源'!I318,"")</x:f>
        <x:v>1.0769230769230769</x:v>
      </x:c>
      <x:c r="I318" s="19" t="n">
        <x:f>'各站彙總來源'!I318</x:f>
        <x:v>26</x:v>
      </x:c>
      <x:c r="J318" s="24" t="n">
        <x:f>IFERROR('各站彙總來源'!J318/'各站彙總來源'!K318,"")</x:f>
        <x:v>6.615384615384615</x:v>
      </x:c>
      <x:c r="K318" s="19" t="n">
        <x:f>'各站彙總來源'!K318</x:f>
        <x:v>26</x:v>
      </x:c>
      <x:c r="L318" s="24" t="n">
        <x:f>IFERROR('各站彙總來源'!L318/'各站彙總來源'!M318,"")</x:f>
        <x:v>1.4615384615384615</x:v>
      </x:c>
      <x:c r="M318" s="19" t="n">
        <x:f>'各站彙總來源'!M318</x:f>
        <x:v>26</x:v>
      </x:c>
      <x:c r="N318" s="24" t="n">
        <x:f>F318+H318</x:f>
        <x:v>6.3076923076923075</x:v>
      </x:c>
      <x:c r="O318" s="24" t="n">
        <x:f>J318+L318</x:f>
        <x:v>8.076923076923077</x:v>
      </x:c>
    </x:row>
    <x:row r="319">
      <x:c r="A319" s="22" t="str">
        <x:v>500103089</x:v>
      </x:c>
      <x:c r="B319" s="17" t="str">
        <x:v>大同區</x:v>
      </x:c>
      <x:c r="C319" s="17" t="str">
        <x:v>忠和公園</x:v>
      </x:c>
      <x:c r="D319" s="18" t="n">
        <x:v>26</x:v>
      </x:c>
      <x:c r="E319" s="18" t="n">
        <x:v>26</x:v>
      </x:c>
      <x:c r="F319" s="24" t="n">
        <x:f>IFERROR('各站彙總來源'!F319/'各站彙總來源'!G319,"")</x:f>
        <x:v>9.538461538461538</x:v>
      </x:c>
      <x:c r="G319" s="19" t="n">
        <x:f>'各站彙總來源'!G319</x:f>
        <x:v>26</x:v>
      </x:c>
      <x:c r="H319" s="24" t="n">
        <x:f>IFERROR('各站彙總來源'!H319/'各站彙總來源'!I319,"")</x:f>
        <x:v>0.8076923076923077</x:v>
      </x:c>
      <x:c r="I319" s="19" t="n">
        <x:f>'各站彙總來源'!I319</x:f>
        <x:v>26</x:v>
      </x:c>
      <x:c r="J319" s="24" t="n">
        <x:f>IFERROR('各站彙總來源'!J319/'各站彙總來源'!K319,"")</x:f>
        <x:v>6.038461538461538</x:v>
      </x:c>
      <x:c r="K319" s="19" t="n">
        <x:f>'各站彙總來源'!K319</x:f>
        <x:v>26</x:v>
      </x:c>
      <x:c r="L319" s="24" t="n">
        <x:f>IFERROR('各站彙總來源'!L319/'各站彙總來源'!M319,"")</x:f>
        <x:v>1.2692307692307692</x:v>
      </x:c>
      <x:c r="M319" s="19" t="n">
        <x:f>'各站彙總來源'!M319</x:f>
        <x:v>26</x:v>
      </x:c>
      <x:c r="N319" s="24" t="n">
        <x:f>F319+H319</x:f>
        <x:v>10.346153846153847</x:v>
      </x:c>
      <x:c r="O319" s="24" t="n">
        <x:f>J319+L319</x:f>
        <x:v>7.3076923076923075</x:v>
      </x:c>
    </x:row>
    <x:row r="320">
      <x:c r="A320" s="22" t="str">
        <x:v>500103090</x:v>
      </x:c>
      <x:c r="B320" s="17" t="str">
        <x:v>大同區</x:v>
      </x:c>
      <x:c r="C320" s="17" t="str">
        <x:v>臺北當代藝術館</x:v>
      </x:c>
      <x:c r="D320" s="18" t="n">
        <x:v>26</x:v>
      </x:c>
      <x:c r="E320" s="18" t="n">
        <x:v>26</x:v>
      </x:c>
      <x:c r="F320" s="24" t="n">
        <x:f>IFERROR('各站彙總來源'!F320/'各站彙總來源'!G320,"")</x:f>
        <x:v>4.230769230769231</x:v>
      </x:c>
      <x:c r="G320" s="19" t="n">
        <x:f>'各站彙總來源'!G320</x:f>
        <x:v>26</x:v>
      </x:c>
      <x:c r="H320" s="24" t="n">
        <x:f>IFERROR('各站彙總來源'!H320/'各站彙總來源'!I320,"")</x:f>
        <x:v>1.0769230769230769</x:v>
      </x:c>
      <x:c r="I320" s="19" t="n">
        <x:f>'各站彙總來源'!I320</x:f>
        <x:v>26</x:v>
      </x:c>
      <x:c r="J320" s="24" t="n">
        <x:f>IFERROR('各站彙總來源'!J320/'各站彙總來源'!K320,"")</x:f>
        <x:v>9.153846153846153</x:v>
      </x:c>
      <x:c r="K320" s="19" t="n">
        <x:f>'各站彙總來源'!K320</x:f>
        <x:v>26</x:v>
      </x:c>
      <x:c r="L320" s="24" t="n">
        <x:f>IFERROR('各站彙總來源'!L320/'各站彙總來源'!M320,"")</x:f>
        <x:v>1.1538461538461537</x:v>
      </x:c>
      <x:c r="M320" s="19" t="n">
        <x:f>'各站彙總來源'!M320</x:f>
        <x:v>26</x:v>
      </x:c>
      <x:c r="N320" s="24" t="n">
        <x:f>F320+H320</x:f>
        <x:v>5.3076923076923075</x:v>
      </x:c>
      <x:c r="O320" s="24" t="n">
        <x:f>J320+L320</x:f>
        <x:v>10.307692307692307</x:v>
      </x:c>
    </x:row>
    <x:row r="321">
      <x:c r="A321" s="22" t="str">
        <x:v>500103091</x:v>
      </x:c>
      <x:c r="B321" s="17" t="str">
        <x:v>大同區</x:v>
      </x:c>
      <x:c r="C321" s="17" t="str">
        <x:v>明倫社會住宅(庫倫街61巷)</x:v>
      </x:c>
      <x:c r="D321" s="18" t="n">
        <x:v>26</x:v>
      </x:c>
      <x:c r="E321" s="18" t="n">
        <x:v>26</x:v>
      </x:c>
      <x:c r="F321" s="24" t="n">
        <x:f>IFERROR('各站彙總來源'!F321/'各站彙總來源'!G321,"")</x:f>
        <x:v>0</x:v>
      </x:c>
      <x:c r="G321" s="19" t="n">
        <x:f>'各站彙總來源'!G321</x:f>
        <x:v>26</x:v>
      </x:c>
      <x:c r="H321" s="24" t="n">
        <x:f>IFERROR('各站彙總來源'!H321/'各站彙總來源'!I321,"")</x:f>
        <x:v>0</x:v>
      </x:c>
      <x:c r="I321" s="19" t="n">
        <x:f>'各站彙總來源'!I321</x:f>
        <x:v>26</x:v>
      </x:c>
      <x:c r="J321" s="24" t="n">
        <x:f>IFERROR('各站彙總來源'!J321/'各站彙總來源'!K321,"")</x:f>
        <x:v>0</x:v>
      </x:c>
      <x:c r="K321" s="19" t="n">
        <x:f>'各站彙總來源'!K321</x:f>
        <x:v>26</x:v>
      </x:c>
      <x:c r="L321" s="24" t="n">
        <x:f>IFERROR('各站彙總來源'!L321/'各站彙總來源'!M321,"")</x:f>
        <x:v>0</x:v>
      </x:c>
      <x:c r="M321" s="19" t="n">
        <x:f>'各站彙總來源'!M321</x:f>
        <x:v>26</x:v>
      </x:c>
      <x:c r="N321" s="24" t="n">
        <x:f>F321+H321</x:f>
        <x:v>0</x:v>
      </x:c>
      <x:c r="O321" s="24" t="n">
        <x:f>J321+L321</x:f>
        <x:v>0</x:v>
      </x:c>
    </x:row>
    <x:row r="322">
      <x:c r="A322" s="22" t="str">
        <x:v>500104001</x:v>
      </x:c>
      <x:c r="B322" s="17" t="str">
        <x:v>士林區</x:v>
      </x:c>
      <x:c r="C322" s="17" t="str">
        <x:v>劍潭抽水站</x:v>
      </x:c>
      <x:c r="D322" s="18" t="n">
        <x:v>26</x:v>
      </x:c>
      <x:c r="E322" s="18" t="n">
        <x:v>26</x:v>
      </x:c>
      <x:c r="F322" s="24" t="n">
        <x:f>IFERROR('各站彙總來源'!F322/'各站彙總來源'!G322,"")</x:f>
        <x:v>14.76923076923077</x:v>
      </x:c>
      <x:c r="G322" s="19" t="n">
        <x:f>'各站彙總來源'!G322</x:f>
        <x:v>26</x:v>
      </x:c>
      <x:c r="H322" s="24" t="n">
        <x:f>IFERROR('各站彙總來源'!H322/'各站彙總來源'!I322,"")</x:f>
        <x:v>2.4615384615384617</x:v>
      </x:c>
      <x:c r="I322" s="19" t="n">
        <x:f>'各站彙總來源'!I322</x:f>
        <x:v>26</x:v>
      </x:c>
      <x:c r="J322" s="24" t="n">
        <x:f>IFERROR('各站彙總來源'!J322/'各站彙總來源'!K322,"")</x:f>
        <x:v>4.846153846153846</x:v>
      </x:c>
      <x:c r="K322" s="19" t="n">
        <x:f>'各站彙總來源'!K322</x:f>
        <x:v>26</x:v>
      </x:c>
      <x:c r="L322" s="24" t="n">
        <x:f>IFERROR('各站彙總來源'!L322/'各站彙總來源'!M322,"")</x:f>
        <x:v>0.8076923076923077</x:v>
      </x:c>
      <x:c r="M322" s="19" t="n">
        <x:f>'各站彙總來源'!M322</x:f>
        <x:v>26</x:v>
      </x:c>
      <x:c r="N322" s="24" t="n">
        <x:f>F322+H322</x:f>
        <x:v>17.230769230769234</x:v>
      </x:c>
      <x:c r="O322" s="24" t="n">
        <x:f>J322+L322</x:f>
        <x:v>5.653846153846153</x:v>
      </x:c>
    </x:row>
    <x:row r="323">
      <x:c r="A323" s="22" t="str">
        <x:v>500104002</x:v>
      </x:c>
      <x:c r="B323" s="17" t="str">
        <x:v>士林區</x:v>
      </x:c>
      <x:c r="C323" s="17" t="str">
        <x:v>通河東街大南路口</x:v>
      </x:c>
      <x:c r="D323" s="18" t="n">
        <x:v>26</x:v>
      </x:c>
      <x:c r="E323" s="18" t="n">
        <x:v>26</x:v>
      </x:c>
      <x:c r="F323" s="24" t="n">
        <x:f>IFERROR('各站彙總來源'!F323/'各站彙總來源'!G323,"")</x:f>
        <x:v>12.653846153846153</x:v>
      </x:c>
      <x:c r="G323" s="19" t="n">
        <x:f>'各站彙總來源'!G323</x:f>
        <x:v>26</x:v>
      </x:c>
      <x:c r="H323" s="24" t="n">
        <x:f>IFERROR('各站彙總來源'!H323/'各站彙總來源'!I323,"")</x:f>
        <x:v>1.5769230769230769</x:v>
      </x:c>
      <x:c r="I323" s="19" t="n">
        <x:f>'各站彙總來源'!I323</x:f>
        <x:v>26</x:v>
      </x:c>
      <x:c r="J323" s="24" t="n">
        <x:f>IFERROR('各站彙總來源'!J323/'各站彙總來源'!K323,"")</x:f>
        <x:v>7.269230769230769</x:v>
      </x:c>
      <x:c r="K323" s="19" t="n">
        <x:f>'各站彙總來源'!K323</x:f>
        <x:v>26</x:v>
      </x:c>
      <x:c r="L323" s="24" t="n">
        <x:f>IFERROR('各站彙總來源'!L323/'各站彙總來源'!M323,"")</x:f>
        <x:v>0.5</x:v>
      </x:c>
      <x:c r="M323" s="19" t="n">
        <x:f>'各站彙總來源'!M323</x:f>
        <x:v>26</x:v>
      </x:c>
      <x:c r="N323" s="24" t="n">
        <x:f>F323+H323</x:f>
        <x:v>14.23076923076923</x:v>
      </x:c>
      <x:c r="O323" s="24" t="n">
        <x:f>J323+L323</x:f>
        <x:v>7.769230769230769</x:v>
      </x:c>
    </x:row>
    <x:row r="324">
      <x:c r="A324" s="22" t="str">
        <x:v>500104003</x:v>
      </x:c>
      <x:c r="B324" s="17" t="str">
        <x:v>士林區</x:v>
      </x:c>
      <x:c r="C324" s="17" t="str">
        <x:v>福港街停車場</x:v>
      </x:c>
      <x:c r="D324" s="18" t="n">
        <x:v>26</x:v>
      </x:c>
      <x:c r="E324" s="18" t="n">
        <x:v>26</x:v>
      </x:c>
      <x:c r="F324" s="24" t="n">
        <x:f>IFERROR('各站彙總來源'!F324/'各站彙總來源'!G324,"")</x:f>
        <x:v>63.15384615384615</x:v>
      </x:c>
      <x:c r="G324" s="19" t="n">
        <x:f>'各站彙總來源'!G324</x:f>
        <x:v>26</x:v>
      </x:c>
      <x:c r="H324" s="24" t="n">
        <x:f>IFERROR('各站彙總來源'!H324/'各站彙總來源'!I324,"")</x:f>
        <x:v>4.1923076923076925</x:v>
      </x:c>
      <x:c r="I324" s="19" t="n">
        <x:f>'各站彙總來源'!I324</x:f>
        <x:v>26</x:v>
      </x:c>
      <x:c r="J324" s="24" t="n">
        <x:f>IFERROR('各站彙總來源'!J324/'各站彙總來源'!K324,"")</x:f>
        <x:v>8.807692307692308</x:v>
      </x:c>
      <x:c r="K324" s="19" t="n">
        <x:f>'各站彙總來源'!K324</x:f>
        <x:v>26</x:v>
      </x:c>
      <x:c r="L324" s="24" t="n">
        <x:f>IFERROR('各站彙總來源'!L324/'各站彙總來源'!M324,"")</x:f>
        <x:v>0.9230769230769231</x:v>
      </x:c>
      <x:c r="M324" s="19" t="n">
        <x:f>'各站彙總來源'!M324</x:f>
        <x:v>26</x:v>
      </x:c>
      <x:c r="N324" s="24" t="n">
        <x:f>F324+H324</x:f>
        <x:v>67.34615384615384</x:v>
      </x:c>
      <x:c r="O324" s="24" t="n">
        <x:f>J324+L324</x:f>
        <x:v>9.730769230769232</x:v>
      </x:c>
    </x:row>
    <x:row r="325">
      <x:c r="A325" s="22" t="str">
        <x:v>500104004</x:v>
      </x:c>
      <x:c r="B325" s="17" t="str">
        <x:v>士林區</x:v>
      </x:c>
      <x:c r="C325" s="17" t="str">
        <x:v>百齡國小</x:v>
      </x:c>
      <x:c r="D325" s="18" t="n">
        <x:v>26</x:v>
      </x:c>
      <x:c r="E325" s="18" t="n">
        <x:v>26</x:v>
      </x:c>
      <x:c r="F325" s="24" t="n">
        <x:f>IFERROR('各站彙總來源'!F325/'各站彙總來源'!G325,"")</x:f>
        <x:v>117.11538461538461</x:v>
      </x:c>
      <x:c r="G325" s="19" t="n">
        <x:f>'各站彙總來源'!G325</x:f>
        <x:v>26</x:v>
      </x:c>
      <x:c r="H325" s="24" t="n">
        <x:f>IFERROR('各站彙總來源'!H325/'各站彙總來源'!I325,"")</x:f>
        <x:v>7.423076923076923</x:v>
      </x:c>
      <x:c r="I325" s="19" t="n">
        <x:f>'各站彙總來源'!I325</x:f>
        <x:v>26</x:v>
      </x:c>
      <x:c r="J325" s="24" t="n">
        <x:f>IFERROR('各站彙總來源'!J325/'各站彙總來源'!K325,"")</x:f>
        <x:v>8.576923076923077</x:v>
      </x:c>
      <x:c r="K325" s="19" t="n">
        <x:f>'各站彙總來源'!K325</x:f>
        <x:v>26</x:v>
      </x:c>
      <x:c r="L325" s="24" t="n">
        <x:f>IFERROR('各站彙總來源'!L325/'各站彙總來源'!M325,"")</x:f>
        <x:v>1</x:v>
      </x:c>
      <x:c r="M325" s="19" t="n">
        <x:f>'各站彙總來源'!M325</x:f>
        <x:v>26</x:v>
      </x:c>
      <x:c r="N325" s="24" t="n">
        <x:f>F325+H325</x:f>
        <x:v>124.53846153846153</x:v>
      </x:c>
      <x:c r="O325" s="24" t="n">
        <x:f>J325+L325</x:f>
        <x:v>9.576923076923077</x:v>
      </x:c>
    </x:row>
    <x:row r="326">
      <x:c r="A326" s="22" t="str">
        <x:v>500104005</x:v>
      </x:c>
      <x:c r="B326" s="17" t="str">
        <x:v>士林區</x:v>
      </x:c>
      <x:c r="C326" s="17" t="str">
        <x:v>雨聲街165巷口</x:v>
      </x:c>
      <x:c r="D326" s="18" t="n">
        <x:v>26</x:v>
      </x:c>
      <x:c r="E326" s="18" t="n">
        <x:v>26</x:v>
      </x:c>
      <x:c r="F326" s="24" t="n">
        <x:f>IFERROR('各站彙總來源'!F326/'各站彙總來源'!G326,"")</x:f>
        <x:v>6.423076923076923</x:v>
      </x:c>
      <x:c r="G326" s="19" t="n">
        <x:f>'各站彙總來源'!G326</x:f>
        <x:v>26</x:v>
      </x:c>
      <x:c r="H326" s="24" t="n">
        <x:f>IFERROR('各站彙總來源'!H326/'各站彙總來源'!I326,"")</x:f>
        <x:v>1.5384615384615385</x:v>
      </x:c>
      <x:c r="I326" s="19" t="n">
        <x:f>'各站彙總來源'!I326</x:f>
        <x:v>26</x:v>
      </x:c>
      <x:c r="J326" s="24" t="n">
        <x:f>IFERROR('各站彙總來源'!J326/'各站彙總來源'!K326,"")</x:f>
        <x:v>7.730769230769231</x:v>
      </x:c>
      <x:c r="K326" s="19" t="n">
        <x:f>'各站彙總來源'!K326</x:f>
        <x:v>26</x:v>
      </x:c>
      <x:c r="L326" s="24" t="n">
        <x:f>IFERROR('各站彙總來源'!L326/'各站彙總來源'!M326,"")</x:f>
        <x:v>1.0769230769230769</x:v>
      </x:c>
      <x:c r="M326" s="19" t="n">
        <x:f>'各站彙總來源'!M326</x:f>
        <x:v>26</x:v>
      </x:c>
      <x:c r="N326" s="24" t="n">
        <x:f>F326+H326</x:f>
        <x:v>7.961538461538462</x:v>
      </x:c>
      <x:c r="O326" s="24" t="n">
        <x:f>J326+L326</x:f>
        <x:v>8.807692307692308</x:v>
      </x:c>
    </x:row>
    <x:row r="327">
      <x:c r="A327" s="22" t="str">
        <x:v>500104006</x:v>
      </x:c>
      <x:c r="B327" s="17" t="str">
        <x:v>士林區</x:v>
      </x:c>
      <x:c r="C327" s="17" t="str">
        <x:v>天和公園</x:v>
      </x:c>
      <x:c r="D327" s="18" t="n">
        <x:v>26</x:v>
      </x:c>
      <x:c r="E327" s="18" t="n">
        <x:v>26</x:v>
      </x:c>
      <x:c r="F327" s="24" t="n">
        <x:f>IFERROR('各站彙總來源'!F327/'各站彙總來源'!G327,"")</x:f>
        <x:v>16.115384615384617</x:v>
      </x:c>
      <x:c r="G327" s="19" t="n">
        <x:f>'各站彙總來源'!G327</x:f>
        <x:v>26</x:v>
      </x:c>
      <x:c r="H327" s="24" t="n">
        <x:f>IFERROR('各站彙總來源'!H327/'各站彙總來源'!I327,"")</x:f>
        <x:v>3.230769230769231</x:v>
      </x:c>
      <x:c r="I327" s="19" t="n">
        <x:f>'各站彙總來源'!I327</x:f>
        <x:v>26</x:v>
      </x:c>
      <x:c r="J327" s="24" t="n">
        <x:f>IFERROR('各站彙總來源'!J327/'各站彙總來源'!K327,"")</x:f>
        <x:v>5.038461538461538</x:v>
      </x:c>
      <x:c r="K327" s="19" t="n">
        <x:f>'各站彙總來源'!K327</x:f>
        <x:v>26</x:v>
      </x:c>
      <x:c r="L327" s="24" t="n">
        <x:f>IFERROR('各站彙總來源'!L327/'各站彙總來源'!M327,"")</x:f>
        <x:v>1.4615384615384615</x:v>
      </x:c>
      <x:c r="M327" s="19" t="n">
        <x:f>'各站彙總來源'!M327</x:f>
        <x:v>26</x:v>
      </x:c>
      <x:c r="N327" s="24" t="n">
        <x:f>F327+H327</x:f>
        <x:v>19.346153846153847</x:v>
      </x:c>
      <x:c r="O327" s="24" t="n">
        <x:f>J327+L327</x:f>
        <x:v>6.5</x:v>
      </x:c>
    </x:row>
    <x:row r="328">
      <x:c r="A328" s="22" t="str">
        <x:v>500104007</x:v>
      </x:c>
      <x:c r="B328" s="17" t="str">
        <x:v>士林區</x:v>
      </x:c>
      <x:c r="C328" s="17" t="str">
        <x:v>中山天母路口</x:v>
      </x:c>
      <x:c r="D328" s="18" t="n">
        <x:v>26</x:v>
      </x:c>
      <x:c r="E328" s="18" t="n">
        <x:v>26</x:v>
      </x:c>
      <x:c r="F328" s="24" t="n">
        <x:f>IFERROR('各站彙總來源'!F328/'各站彙總來源'!G328,"")</x:f>
        <x:v>18.384615384615383</x:v>
      </x:c>
      <x:c r="G328" s="19" t="n">
        <x:f>'各站彙總來源'!G328</x:f>
        <x:v>26</x:v>
      </x:c>
      <x:c r="H328" s="24" t="n">
        <x:f>IFERROR('各站彙總來源'!H328/'各站彙總來源'!I328,"")</x:f>
        <x:v>4.576923076923077</x:v>
      </x:c>
      <x:c r="I328" s="19" t="n">
        <x:f>'各站彙總來源'!I328</x:f>
        <x:v>26</x:v>
      </x:c>
      <x:c r="J328" s="24" t="n">
        <x:f>IFERROR('各站彙總來源'!J328/'各站彙總來源'!K328,"")</x:f>
        <x:v>11.346153846153847</x:v>
      </x:c>
      <x:c r="K328" s="19" t="n">
        <x:f>'各站彙總來源'!K328</x:f>
        <x:v>26</x:v>
      </x:c>
      <x:c r="L328" s="24" t="n">
        <x:f>IFERROR('各站彙總來源'!L328/'各站彙總來源'!M328,"")</x:f>
        <x:v>4.115384615384615</x:v>
      </x:c>
      <x:c r="M328" s="19" t="n">
        <x:f>'各站彙總來源'!M328</x:f>
        <x:v>26</x:v>
      </x:c>
      <x:c r="N328" s="24" t="n">
        <x:f>F328+H328</x:f>
        <x:v>22.96153846153846</x:v>
      </x:c>
      <x:c r="O328" s="24" t="n">
        <x:f>J328+L328</x:f>
        <x:v>15.461538461538462</x:v>
      </x:c>
    </x:row>
    <x:row r="329">
      <x:c r="A329" s="22" t="str">
        <x:v>500104008</x:v>
      </x:c>
      <x:c r="B329" s="17" t="str">
        <x:v>士林區</x:v>
      </x:c>
      <x:c r="C329" s="17" t="str">
        <x:v>天母運動公園</x:v>
      </x:c>
      <x:c r="D329" s="18" t="n">
        <x:v>26</x:v>
      </x:c>
      <x:c r="E329" s="18" t="n">
        <x:v>26</x:v>
      </x:c>
      <x:c r="F329" s="24" t="n">
        <x:f>IFERROR('各站彙總來源'!F329/'各站彙總來源'!G329,"")</x:f>
        <x:v>11.76923076923077</x:v>
      </x:c>
      <x:c r="G329" s="19" t="n">
        <x:f>'各站彙總來源'!G329</x:f>
        <x:v>26</x:v>
      </x:c>
      <x:c r="H329" s="24" t="n">
        <x:f>IFERROR('各站彙總來源'!H329/'各站彙總來源'!I329,"")</x:f>
        <x:v>2.4615384615384617</x:v>
      </x:c>
      <x:c r="I329" s="19" t="n">
        <x:f>'各站彙總來源'!I329</x:f>
        <x:v>26</x:v>
      </x:c>
      <x:c r="J329" s="24" t="n">
        <x:f>IFERROR('各站彙總來源'!J329/'各站彙總來源'!K329,"")</x:f>
        <x:v>24.076923076923077</x:v>
      </x:c>
      <x:c r="K329" s="19" t="n">
        <x:f>'各站彙總來源'!K329</x:f>
        <x:v>26</x:v>
      </x:c>
      <x:c r="L329" s="24" t="n">
        <x:f>IFERROR('各站彙總來源'!L329/'各站彙總來源'!M329,"")</x:f>
        <x:v>4.576923076923077</x:v>
      </x:c>
      <x:c r="M329" s="19" t="n">
        <x:f>'各站彙總來源'!M329</x:f>
        <x:v>26</x:v>
      </x:c>
      <x:c r="N329" s="24" t="n">
        <x:f>F329+H329</x:f>
        <x:v>14.230769230769232</x:v>
      </x:c>
      <x:c r="O329" s="24" t="n">
        <x:f>J329+L329</x:f>
        <x:v>28.653846153846153</x:v>
      </x:c>
    </x:row>
    <x:row r="330">
      <x:c r="A330" s="22" t="str">
        <x:v>500104009</x:v>
      </x:c>
      <x:c r="B330" s="17" t="str">
        <x:v>士林區</x:v>
      </x:c>
      <x:c r="C330" s="17" t="str">
        <x:v>臺北市立大學(天母校區)</x:v>
      </x:c>
      <x:c r="D330" s="18" t="n">
        <x:v>26</x:v>
      </x:c>
      <x:c r="E330" s="18" t="n">
        <x:v>26</x:v>
      </x:c>
      <x:c r="F330" s="24" t="n">
        <x:f>IFERROR('各站彙總來源'!F330/'各站彙總來源'!G330,"")</x:f>
        <x:v>19.76923076923077</x:v>
      </x:c>
      <x:c r="G330" s="19" t="n">
        <x:f>'各站彙總來源'!G330</x:f>
        <x:v>26</x:v>
      </x:c>
      <x:c r="H330" s="24" t="n">
        <x:f>IFERROR('各站彙總來源'!H330/'各站彙總來源'!I330,"")</x:f>
        <x:v>3.923076923076923</x:v>
      </x:c>
      <x:c r="I330" s="19" t="n">
        <x:f>'各站彙總來源'!I330</x:f>
        <x:v>26</x:v>
      </x:c>
      <x:c r="J330" s="24" t="n">
        <x:f>IFERROR('各站彙總來源'!J330/'各站彙總來源'!K330,"")</x:f>
        <x:v>29.115384615384617</x:v>
      </x:c>
      <x:c r="K330" s="19" t="n">
        <x:f>'各站彙總來源'!K330</x:f>
        <x:v>26</x:v>
      </x:c>
      <x:c r="L330" s="24" t="n">
        <x:f>IFERROR('各站彙總來源'!L330/'各站彙總來源'!M330,"")</x:f>
        <x:v>4.846153846153846</x:v>
      </x:c>
      <x:c r="M330" s="19" t="n">
        <x:f>'各站彙總來源'!M330</x:f>
        <x:v>26</x:v>
      </x:c>
      <x:c r="N330" s="24" t="n">
        <x:f>F330+H330</x:f>
        <x:v>23.692307692307693</x:v>
      </x:c>
      <x:c r="O330" s="24" t="n">
        <x:f>J330+L330</x:f>
        <x:v>33.96153846153846</x:v>
      </x:c>
    </x:row>
    <x:row r="331">
      <x:c r="A331" s="22" t="str">
        <x:v>500104010</x:v>
      </x:c>
      <x:c r="B331" s="17" t="str">
        <x:v>士林區</x:v>
      </x:c>
      <x:c r="C331" s="17" t="str">
        <x:v>忠誠路二段53巷</x:v>
      </x:c>
      <x:c r="D331" s="18" t="n">
        <x:v>26</x:v>
      </x:c>
      <x:c r="E331" s="18" t="n">
        <x:v>26</x:v>
      </x:c>
      <x:c r="F331" s="24" t="n">
        <x:f>IFERROR('各站彙總來源'!F331/'各站彙總來源'!G331,"")</x:f>
        <x:v>5.961538461538462</x:v>
      </x:c>
      <x:c r="G331" s="19" t="n">
        <x:f>'各站彙總來源'!G331</x:f>
        <x:v>26</x:v>
      </x:c>
      <x:c r="H331" s="24" t="n">
        <x:f>IFERROR('各站彙總來源'!H331/'各站彙總來源'!I331,"")</x:f>
        <x:v>1.3461538461538463</x:v>
      </x:c>
      <x:c r="I331" s="19" t="n">
        <x:f>'各站彙總來源'!I331</x:f>
        <x:v>26</x:v>
      </x:c>
      <x:c r="J331" s="24" t="n">
        <x:f>IFERROR('各站彙總來源'!J331/'各站彙總來源'!K331,"")</x:f>
        <x:v>61.11538461538461</x:v>
      </x:c>
      <x:c r="K331" s="19" t="n">
        <x:f>'各站彙總來源'!K331</x:f>
        <x:v>26</x:v>
      </x:c>
      <x:c r="L331" s="24" t="n">
        <x:f>IFERROR('各站彙總來源'!L331/'各站彙總來源'!M331,"")</x:f>
        <x:v>3.4615384615384617</x:v>
      </x:c>
      <x:c r="M331" s="19" t="n">
        <x:f>'各站彙總來源'!M331</x:f>
        <x:v>26</x:v>
      </x:c>
      <x:c r="N331" s="24" t="n">
        <x:f>F331+H331</x:f>
        <x:v>7.307692307692308</x:v>
      </x:c>
      <x:c r="O331" s="24" t="n">
        <x:f>J331+L331</x:f>
        <x:v>64.57692307692308</x:v>
      </x:c>
    </x:row>
    <x:row r="332">
      <x:c r="A332" s="22" t="str">
        <x:v>500104011</x:v>
      </x:c>
      <x:c r="B332" s="17" t="str">
        <x:v>士林區</x:v>
      </x:c>
      <x:c r="C332" s="17" t="str">
        <x:v>天母國中</x:v>
      </x:c>
      <x:c r="D332" s="18" t="n">
        <x:v>26</x:v>
      </x:c>
      <x:c r="E332" s="18" t="n">
        <x:v>26</x:v>
      </x:c>
      <x:c r="F332" s="24" t="n">
        <x:f>IFERROR('各站彙總來源'!F332/'各站彙總來源'!G332,"")</x:f>
        <x:v>0</x:v>
      </x:c>
      <x:c r="G332" s="19" t="n">
        <x:f>'各站彙總來源'!G332</x:f>
        <x:v>26</x:v>
      </x:c>
      <x:c r="H332" s="24" t="n">
        <x:f>IFERROR('各站彙總來源'!H332/'各站彙總來源'!I332,"")</x:f>
        <x:v>0</x:v>
      </x:c>
      <x:c r="I332" s="19" t="n">
        <x:f>'各站彙總來源'!I332</x:f>
        <x:v>26</x:v>
      </x:c>
      <x:c r="J332" s="24" t="n">
        <x:f>IFERROR('各站彙總來源'!J332/'各站彙總來源'!K332,"")</x:f>
        <x:v>0</x:v>
      </x:c>
      <x:c r="K332" s="19" t="n">
        <x:f>'各站彙總來源'!K332</x:f>
        <x:v>26</x:v>
      </x:c>
      <x:c r="L332" s="24" t="n">
        <x:f>IFERROR('各站彙總來源'!L332/'各站彙總來源'!M332,"")</x:f>
        <x:v>0</x:v>
      </x:c>
      <x:c r="M332" s="19" t="n">
        <x:f>'各站彙總來源'!M332</x:f>
        <x:v>26</x:v>
      </x:c>
      <x:c r="N332" s="24" t="n">
        <x:f>F332+H332</x:f>
        <x:v>0</x:v>
      </x:c>
      <x:c r="O332" s="24" t="n">
        <x:f>J332+L332</x:f>
        <x:v>0</x:v>
      </x:c>
    </x:row>
    <x:row r="333">
      <x:c r="A333" s="22" t="str">
        <x:v>500104012</x:v>
      </x:c>
      <x:c r="B333" s="17" t="str">
        <x:v>士林區</x:v>
      </x:c>
      <x:c r="C333" s="17" t="str">
        <x:v>天母棒球場</x:v>
      </x:c>
      <x:c r="D333" s="18" t="n">
        <x:v>26</x:v>
      </x:c>
      <x:c r="E333" s="18" t="n">
        <x:v>26</x:v>
      </x:c>
      <x:c r="F333" s="24" t="n">
        <x:f>IFERROR('各站彙總來源'!F333/'各站彙總來源'!G333,"")</x:f>
        <x:v>8.346153846153847</x:v>
      </x:c>
      <x:c r="G333" s="19" t="n">
        <x:f>'各站彙總來源'!G333</x:f>
        <x:v>26</x:v>
      </x:c>
      <x:c r="H333" s="24" t="n">
        <x:f>IFERROR('各站彙總來源'!H333/'各站彙總來源'!I333,"")</x:f>
        <x:v>0.38461538461538464</x:v>
      </x:c>
      <x:c r="I333" s="19" t="n">
        <x:f>'各站彙總來源'!I333</x:f>
        <x:v>26</x:v>
      </x:c>
      <x:c r="J333" s="24" t="n">
        <x:f>IFERROR('各站彙總來源'!J333/'各站彙總來源'!K333,"")</x:f>
        <x:v>7.423076923076923</x:v>
      </x:c>
      <x:c r="K333" s="19" t="n">
        <x:f>'各站彙總來源'!K333</x:f>
        <x:v>26</x:v>
      </x:c>
      <x:c r="L333" s="24" t="n">
        <x:f>IFERROR('各站彙總來源'!L333/'各站彙總來源'!M333,"")</x:f>
        <x:v>1.3461538461538463</x:v>
      </x:c>
      <x:c r="M333" s="19" t="n">
        <x:f>'各站彙總來源'!M333</x:f>
        <x:v>26</x:v>
      </x:c>
      <x:c r="N333" s="24" t="n">
        <x:f>F333+H333</x:f>
        <x:v>8.730769230769232</x:v>
      </x:c>
      <x:c r="O333" s="24" t="n">
        <x:f>J333+L333</x:f>
        <x:v>8.76923076923077</x:v>
      </x:c>
    </x:row>
    <x:row r="334">
      <x:c r="A334" s="22" t="str">
        <x:v>500104013</x:v>
      </x:c>
      <x:c r="B334" s="17" t="str">
        <x:v>士林區</x:v>
      </x:c>
      <x:c r="C334" s="17" t="str">
        <x:v>天母北天玉街口</x:v>
      </x:c>
      <x:c r="D334" s="18" t="n">
        <x:v>26</x:v>
      </x:c>
      <x:c r="E334" s="18" t="n">
        <x:v>26</x:v>
      </x:c>
      <x:c r="F334" s="24" t="n">
        <x:f>IFERROR('各站彙總來源'!F334/'各站彙總來源'!G334,"")</x:f>
        <x:v>7.923076923076923</x:v>
      </x:c>
      <x:c r="G334" s="19" t="n">
        <x:f>'各站彙總來源'!G334</x:f>
        <x:v>26</x:v>
      </x:c>
      <x:c r="H334" s="24" t="n">
        <x:f>IFERROR('各站彙總來源'!H334/'各站彙總來源'!I334,"")</x:f>
        <x:v>0.7307692307692307</x:v>
      </x:c>
      <x:c r="I334" s="19" t="n">
        <x:f>'各站彙總來源'!I334</x:f>
        <x:v>26</x:v>
      </x:c>
      <x:c r="J334" s="24" t="n">
        <x:f>IFERROR('各站彙總來源'!J334/'各站彙總來源'!K334,"")</x:f>
        <x:v>3.8076923076923075</x:v>
      </x:c>
      <x:c r="K334" s="19" t="n">
        <x:f>'各站彙總來源'!K334</x:f>
        <x:v>26</x:v>
      </x:c>
      <x:c r="L334" s="24" t="n">
        <x:f>IFERROR('各站彙總來源'!L334/'各站彙總來源'!M334,"")</x:f>
        <x:v>2.1923076923076925</x:v>
      </x:c>
      <x:c r="M334" s="19" t="n">
        <x:f>'各站彙總來源'!M334</x:f>
        <x:v>26</x:v>
      </x:c>
      <x:c r="N334" s="24" t="n">
        <x:f>F334+H334</x:f>
        <x:v>8.653846153846153</x:v>
      </x:c>
      <x:c r="O334" s="24" t="n">
        <x:f>J334+L334</x:f>
        <x:v>6</x:v>
      </x:c>
    </x:row>
    <x:row r="335">
      <x:c r="A335" s="22" t="str">
        <x:v>500104014</x:v>
      </x:c>
      <x:c r="B335" s="17" t="str">
        <x:v>士林區</x:v>
      </x:c>
      <x:c r="C335" s="17" t="str">
        <x:v>蘭興公園</x:v>
      </x:c>
      <x:c r="D335" s="18" t="n">
        <x:v>26</x:v>
      </x:c>
      <x:c r="E335" s="18" t="n">
        <x:v>26</x:v>
      </x:c>
      <x:c r="F335" s="24" t="n">
        <x:f>IFERROR('各站彙總來源'!F335/'各站彙總來源'!G335,"")</x:f>
        <x:v>45.5</x:v>
      </x:c>
      <x:c r="G335" s="19" t="n">
        <x:f>'各站彙總來源'!G335</x:f>
        <x:v>26</x:v>
      </x:c>
      <x:c r="H335" s="24" t="n">
        <x:f>IFERROR('各站彙總來源'!H335/'各站彙總來源'!I335,"")</x:f>
        <x:v>3.076923076923077</x:v>
      </x:c>
      <x:c r="I335" s="19" t="n">
        <x:f>'各站彙總來源'!I335</x:f>
        <x:v>26</x:v>
      </x:c>
      <x:c r="J335" s="24" t="n">
        <x:f>IFERROR('各站彙總來源'!J335/'各站彙總來源'!K335,"")</x:f>
        <x:v>8.26923076923077</x:v>
      </x:c>
      <x:c r="K335" s="19" t="n">
        <x:f>'各站彙總來源'!K335</x:f>
        <x:v>26</x:v>
      </x:c>
      <x:c r="L335" s="24" t="n">
        <x:f>IFERROR('各站彙總來源'!L335/'各站彙總來源'!M335,"")</x:f>
        <x:v>1.1153846153846154</x:v>
      </x:c>
      <x:c r="M335" s="19" t="n">
        <x:f>'各站彙總來源'!M335</x:f>
        <x:v>26</x:v>
      </x:c>
      <x:c r="N335" s="24" t="n">
        <x:f>F335+H335</x:f>
        <x:v>48.57692307692308</x:v>
      </x:c>
      <x:c r="O335" s="24" t="n">
        <x:f>J335+L335</x:f>
        <x:v>9.384615384615385</x:v>
      </x:c>
    </x:row>
    <x:row r="336">
      <x:c r="A336" s="22" t="str">
        <x:v>500104015</x:v>
      </x:c>
      <x:c r="B336" s="17" t="str">
        <x:v>士林區</x:v>
      </x:c>
      <x:c r="C336" s="17" t="str">
        <x:v>明勝公園</x:v>
      </x:c>
      <x:c r="D336" s="18" t="n">
        <x:v>26</x:v>
      </x:c>
      <x:c r="E336" s="18" t="n">
        <x:v>26</x:v>
      </x:c>
      <x:c r="F336" s="24" t="n">
        <x:f>IFERROR('各站彙總來源'!F336/'各站彙總來源'!G336,"")</x:f>
        <x:v>18.692307692307693</x:v>
      </x:c>
      <x:c r="G336" s="19" t="n">
        <x:f>'各站彙總來源'!G336</x:f>
        <x:v>26</x:v>
      </x:c>
      <x:c r="H336" s="24" t="n">
        <x:f>IFERROR('各站彙總來源'!H336/'各站彙總來源'!I336,"")</x:f>
        <x:v>1.4230769230769231</x:v>
      </x:c>
      <x:c r="I336" s="19" t="n">
        <x:f>'各站彙總來源'!I336</x:f>
        <x:v>26</x:v>
      </x:c>
      <x:c r="J336" s="24" t="n">
        <x:f>IFERROR('各站彙總來源'!J336/'各站彙總來源'!K336,"")</x:f>
        <x:v>4.076923076923077</x:v>
      </x:c>
      <x:c r="K336" s="19" t="n">
        <x:f>'各站彙總來源'!K336</x:f>
        <x:v>26</x:v>
      </x:c>
      <x:c r="L336" s="24" t="n">
        <x:f>IFERROR('各站彙總來源'!L336/'各站彙總來源'!M336,"")</x:f>
        <x:v>0.2692307692307692</x:v>
      </x:c>
      <x:c r="M336" s="19" t="n">
        <x:f>'各站彙總來源'!M336</x:f>
        <x:v>26</x:v>
      </x:c>
      <x:c r="N336" s="24" t="n">
        <x:f>F336+H336</x:f>
        <x:v>20.115384615384617</x:v>
      </x:c>
      <x:c r="O336" s="24" t="n">
        <x:f>J336+L336</x:f>
        <x:v>4.346153846153846</x:v>
      </x:c>
    </x:row>
    <x:row r="337">
      <x:c r="A337" s="22" t="str">
        <x:v>500104016</x:v>
      </x:c>
      <x:c r="B337" s="17" t="str">
        <x:v>士林區</x:v>
      </x:c>
      <x:c r="C337" s="17" t="str">
        <x:v>劍潭海外青年活動中心</x:v>
      </x:c>
      <x:c r="D337" s="18" t="n">
        <x:v>26</x:v>
      </x:c>
      <x:c r="E337" s="18" t="n">
        <x:v>26</x:v>
      </x:c>
      <x:c r="F337" s="24" t="n">
        <x:f>IFERROR('各站彙總來源'!F337/'各站彙總來源'!G337,"")</x:f>
        <x:v>6.653846153846154</x:v>
      </x:c>
      <x:c r="G337" s="19" t="n">
        <x:f>'各站彙總來源'!G337</x:f>
        <x:v>26</x:v>
      </x:c>
      <x:c r="H337" s="24" t="n">
        <x:f>IFERROR('各站彙總來源'!H337/'各站彙總來源'!I337,"")</x:f>
        <x:v>2.3461538461538463</x:v>
      </x:c>
      <x:c r="I337" s="19" t="n">
        <x:f>'各站彙總來源'!I337</x:f>
        <x:v>26</x:v>
      </x:c>
      <x:c r="J337" s="24" t="n">
        <x:f>IFERROR('各站彙總來源'!J337/'各站彙總來源'!K337,"")</x:f>
        <x:v>8.615384615384615</x:v>
      </x:c>
      <x:c r="K337" s="19" t="n">
        <x:f>'各站彙總來源'!K337</x:f>
        <x:v>26</x:v>
      </x:c>
      <x:c r="L337" s="24" t="n">
        <x:f>IFERROR('各站彙總來源'!L337/'各站彙總來源'!M337,"")</x:f>
        <x:v>1.1923076923076923</x:v>
      </x:c>
      <x:c r="M337" s="19" t="n">
        <x:f>'各站彙總來源'!M337</x:f>
        <x:v>26</x:v>
      </x:c>
      <x:c r="N337" s="24" t="n">
        <x:f>F337+H337</x:f>
        <x:v>9</x:v>
      </x:c>
      <x:c r="O337" s="24" t="n">
        <x:f>J337+L337</x:f>
        <x:v>9.807692307692307</x:v>
      </x:c>
    </x:row>
    <x:row r="338">
      <x:c r="A338" s="22" t="str">
        <x:v>500104017</x:v>
      </x:c>
      <x:c r="B338" s="17" t="str">
        <x:v>士林區</x:v>
      </x:c>
      <x:c r="C338" s="17" t="str">
        <x:v>忠義街137號</x:v>
      </x:c>
      <x:c r="D338" s="18" t="n">
        <x:v>26</x:v>
      </x:c>
      <x:c r="E338" s="18" t="n">
        <x:v>26</x:v>
      </x:c>
      <x:c r="F338" s="24" t="n">
        <x:f>IFERROR('各站彙總來源'!F338/'各站彙總來源'!G338,"")</x:f>
        <x:v>0</x:v>
      </x:c>
      <x:c r="G338" s="19" t="n">
        <x:f>'各站彙總來源'!G338</x:f>
        <x:v>26</x:v>
      </x:c>
      <x:c r="H338" s="24" t="n">
        <x:f>IFERROR('各站彙總來源'!H338/'各站彙總來源'!I338,"")</x:f>
        <x:v>0</x:v>
      </x:c>
      <x:c r="I338" s="19" t="n">
        <x:f>'各站彙總來源'!I338</x:f>
        <x:v>26</x:v>
      </x:c>
      <x:c r="J338" s="24" t="n">
        <x:f>IFERROR('各站彙總來源'!J338/'各站彙總來源'!K338,"")</x:f>
        <x:v>0</x:v>
      </x:c>
      <x:c r="K338" s="19" t="n">
        <x:f>'各站彙總來源'!K338</x:f>
        <x:v>26</x:v>
      </x:c>
      <x:c r="L338" s="24" t="n">
        <x:f>IFERROR('各站彙總來源'!L338/'各站彙總來源'!M338,"")</x:f>
        <x:v>0</x:v>
      </x:c>
      <x:c r="M338" s="19" t="n">
        <x:f>'各站彙總來源'!M338</x:f>
        <x:v>26</x:v>
      </x:c>
      <x:c r="N338" s="24" t="n">
        <x:f>F338+H338</x:f>
        <x:v>0</x:v>
      </x:c>
      <x:c r="O338" s="24" t="n">
        <x:f>J338+L338</x:f>
        <x:v>0</x:v>
      </x:c>
    </x:row>
    <x:row r="339">
      <x:c r="A339" s="22" t="str">
        <x:v>500104018</x:v>
      </x:c>
      <x:c r="B339" s="17" t="str">
        <x:v>士林區</x:v>
      </x:c>
      <x:c r="C339" s="17" t="str">
        <x:v>忠誠路一段173巷口</x:v>
      </x:c>
      <x:c r="D339" s="18" t="n">
        <x:v>26</x:v>
      </x:c>
      <x:c r="E339" s="18" t="n">
        <x:v>26</x:v>
      </x:c>
      <x:c r="F339" s="24" t="n">
        <x:f>IFERROR('各站彙總來源'!F339/'各站彙總來源'!G339,"")</x:f>
        <x:v>7.461538461538462</x:v>
      </x:c>
      <x:c r="G339" s="19" t="n">
        <x:f>'各站彙總來源'!G339</x:f>
        <x:v>26</x:v>
      </x:c>
      <x:c r="H339" s="24" t="n">
        <x:f>IFERROR('各站彙總來源'!H339/'各站彙總來源'!I339,"")</x:f>
        <x:v>1.6153846153846154</x:v>
      </x:c>
      <x:c r="I339" s="19" t="n">
        <x:f>'各站彙總來源'!I339</x:f>
        <x:v>26</x:v>
      </x:c>
      <x:c r="J339" s="24" t="n">
        <x:f>IFERROR('各站彙總來源'!J339/'各站彙總來源'!K339,"")</x:f>
        <x:v>4.461538461538462</x:v>
      </x:c>
      <x:c r="K339" s="19" t="n">
        <x:f>'各站彙總來源'!K339</x:f>
        <x:v>26</x:v>
      </x:c>
      <x:c r="L339" s="24" t="n">
        <x:f>IFERROR('各站彙總來源'!L339/'各站彙總來源'!M339,"")</x:f>
        <x:v>1.5769230769230769</x:v>
      </x:c>
      <x:c r="M339" s="19" t="n">
        <x:f>'各站彙總來源'!M339</x:f>
        <x:v>26</x:v>
      </x:c>
      <x:c r="N339" s="24" t="n">
        <x:f>F339+H339</x:f>
        <x:v>9.076923076923077</x:v>
      </x:c>
      <x:c r="O339" s="24" t="n">
        <x:f>J339+L339</x:f>
        <x:v>6.038461538461538</x:v>
      </x:c>
    </x:row>
    <x:row r="340">
      <x:c r="A340" s="22" t="str">
        <x:v>500104019</x:v>
      </x:c>
      <x:c r="B340" s="17" t="str">
        <x:v>士林區</x:v>
      </x:c>
      <x:c r="C340" s="17" t="str">
        <x:v>雨農國小</x:v>
      </x:c>
      <x:c r="D340" s="18" t="n">
        <x:v>26</x:v>
      </x:c>
      <x:c r="E340" s="18" t="n">
        <x:v>26</x:v>
      </x:c>
      <x:c r="F340" s="24" t="n">
        <x:f>IFERROR('各站彙總來源'!F340/'各站彙總來源'!G340,"")</x:f>
        <x:v>14.384615384615385</x:v>
      </x:c>
      <x:c r="G340" s="19" t="n">
        <x:f>'各站彙總來源'!G340</x:f>
        <x:v>26</x:v>
      </x:c>
      <x:c r="H340" s="24" t="n">
        <x:f>IFERROR('各站彙總來源'!H340/'各站彙總來源'!I340,"")</x:f>
        <x:v>1.4615384615384615</x:v>
      </x:c>
      <x:c r="I340" s="19" t="n">
        <x:f>'各站彙總來源'!I340</x:f>
        <x:v>26</x:v>
      </x:c>
      <x:c r="J340" s="24" t="n">
        <x:f>IFERROR('各站彙總來源'!J340/'各站彙總來源'!K340,"")</x:f>
        <x:v>4.461538461538462</x:v>
      </x:c>
      <x:c r="K340" s="19" t="n">
        <x:f>'各站彙總來源'!K340</x:f>
        <x:v>26</x:v>
      </x:c>
      <x:c r="L340" s="24" t="n">
        <x:f>IFERROR('各站彙總來源'!L340/'各站彙總來源'!M340,"")</x:f>
        <x:v>0.5384615384615384</x:v>
      </x:c>
      <x:c r="M340" s="19" t="n">
        <x:f>'各站彙總來源'!M340</x:f>
        <x:v>26</x:v>
      </x:c>
      <x:c r="N340" s="24" t="n">
        <x:f>F340+H340</x:f>
        <x:v>15.846153846153847</x:v>
      </x:c>
      <x:c r="O340" s="24" t="n">
        <x:f>J340+L340</x:f>
        <x:v>5</x:v>
      </x:c>
    </x:row>
    <x:row r="341">
      <x:c r="A341" s="22" t="str">
        <x:v>500104020</x:v>
      </x:c>
      <x:c r="B341" s="17" t="str">
        <x:v>士林區</x:v>
      </x:c>
      <x:c r="C341" s="17" t="str">
        <x:v>忠誠公園</x:v>
      </x:c>
      <x:c r="D341" s="18" t="n">
        <x:v>26</x:v>
      </x:c>
      <x:c r="E341" s="18" t="n">
        <x:v>26</x:v>
      </x:c>
      <x:c r="F341" s="24" t="n">
        <x:f>IFERROR('各站彙總來源'!F341/'各站彙總來源'!G341,"")</x:f>
        <x:v>6.769230769230769</x:v>
      </x:c>
      <x:c r="G341" s="19" t="n">
        <x:f>'各站彙總來源'!G341</x:f>
        <x:v>26</x:v>
      </x:c>
      <x:c r="H341" s="24" t="n">
        <x:f>IFERROR('各站彙總來源'!H341/'各站彙總來源'!I341,"")</x:f>
        <x:v>0.8461538461538461</x:v>
      </x:c>
      <x:c r="I341" s="19" t="n">
        <x:f>'各站彙總來源'!I341</x:f>
        <x:v>26</x:v>
      </x:c>
      <x:c r="J341" s="24" t="n">
        <x:f>IFERROR('各站彙總來源'!J341/'各站彙總來源'!K341,"")</x:f>
        <x:v>8.26923076923077</x:v>
      </x:c>
      <x:c r="K341" s="19" t="n">
        <x:f>'各站彙總來源'!K341</x:f>
        <x:v>26</x:v>
      </x:c>
      <x:c r="L341" s="24" t="n">
        <x:f>IFERROR('各站彙總來源'!L341/'各站彙總來源'!M341,"")</x:f>
        <x:v>1.6923076923076923</x:v>
      </x:c>
      <x:c r="M341" s="19" t="n">
        <x:f>'各站彙總來源'!M341</x:f>
        <x:v>26</x:v>
      </x:c>
      <x:c r="N341" s="24" t="n">
        <x:f>F341+H341</x:f>
        <x:v>7.615384615384615</x:v>
      </x:c>
      <x:c r="O341" s="24" t="n">
        <x:f>J341+L341</x:f>
        <x:v>9.961538461538462</x:v>
      </x:c>
    </x:row>
    <x:row r="342">
      <x:c r="A342" s="22" t="str">
        <x:v>500104021</x:v>
      </x:c>
      <x:c r="B342" s="17" t="str">
        <x:v>士林區</x:v>
      </x:c>
      <x:c r="C342" s="17" t="str">
        <x:v>芝山抽水站</x:v>
      </x:c>
      <x:c r="D342" s="18" t="n">
        <x:v>26</x:v>
      </x:c>
      <x:c r="E342" s="18" t="n">
        <x:v>26</x:v>
      </x:c>
      <x:c r="F342" s="24" t="n">
        <x:f>IFERROR('各站彙總來源'!F342/'各站彙總來源'!G342,"")</x:f>
        <x:v>40.15384615384615</x:v>
      </x:c>
      <x:c r="G342" s="19" t="n">
        <x:f>'各站彙總來源'!G342</x:f>
        <x:v>26</x:v>
      </x:c>
      <x:c r="H342" s="24" t="n">
        <x:f>IFERROR('各站彙總來源'!H342/'各站彙總來源'!I342,"")</x:f>
        <x:v>3.6538461538461537</x:v>
      </x:c>
      <x:c r="I342" s="19" t="n">
        <x:f>'各站彙總來源'!I342</x:f>
        <x:v>26</x:v>
      </x:c>
      <x:c r="J342" s="24" t="n">
        <x:f>IFERROR('各站彙總來源'!J342/'各站彙總來源'!K342,"")</x:f>
        <x:v>6.461538461538462</x:v>
      </x:c>
      <x:c r="K342" s="19" t="n">
        <x:f>'各站彙總來源'!K342</x:f>
        <x:v>26</x:v>
      </x:c>
      <x:c r="L342" s="24" t="n">
        <x:f>IFERROR('各站彙總來源'!L342/'各站彙總來源'!M342,"")</x:f>
        <x:v>0.8076923076923077</x:v>
      </x:c>
      <x:c r="M342" s="19" t="n">
        <x:f>'各站彙總來源'!M342</x:f>
        <x:v>26</x:v>
      </x:c>
      <x:c r="N342" s="24" t="n">
        <x:f>F342+H342</x:f>
        <x:v>43.80769230769231</x:v>
      </x:c>
      <x:c r="O342" s="24" t="n">
        <x:f>J342+L342</x:f>
        <x:v>7.269230769230769</x:v>
      </x:c>
    </x:row>
    <x:row r="343">
      <x:c r="A343" s="22" t="str">
        <x:v>500104022</x:v>
      </x:c>
      <x:c r="B343" s="17" t="str">
        <x:v>士林區</x:v>
      </x:c>
      <x:c r="C343" s="17" t="str">
        <x:v>至誠路一段305巷口</x:v>
      </x:c>
      <x:c r="D343" s="18" t="n">
        <x:v>26</x:v>
      </x:c>
      <x:c r="E343" s="18" t="n">
        <x:v>26</x:v>
      </x:c>
      <x:c r="F343" s="24" t="n">
        <x:f>IFERROR('各站彙總來源'!F343/'各站彙總來源'!G343,"")</x:f>
        <x:v>23.115384615384617</x:v>
      </x:c>
      <x:c r="G343" s="19" t="n">
        <x:f>'各站彙總來源'!G343</x:f>
        <x:v>26</x:v>
      </x:c>
      <x:c r="H343" s="24" t="n">
        <x:f>IFERROR('各站彙總來源'!H343/'各站彙總來源'!I343,"")</x:f>
        <x:v>2.3461538461538463</x:v>
      </x:c>
      <x:c r="I343" s="19" t="n">
        <x:f>'各站彙總來源'!I343</x:f>
        <x:v>26</x:v>
      </x:c>
      <x:c r="J343" s="24" t="n">
        <x:f>IFERROR('各站彙總來源'!J343/'各站彙總來源'!K343,"")</x:f>
        <x:v>3.5384615384615383</x:v>
      </x:c>
      <x:c r="K343" s="19" t="n">
        <x:f>'各站彙總來源'!K343</x:f>
        <x:v>26</x:v>
      </x:c>
      <x:c r="L343" s="24" t="n">
        <x:f>IFERROR('各站彙總來源'!L343/'各站彙總來源'!M343,"")</x:f>
        <x:v>0.6923076923076923</x:v>
      </x:c>
      <x:c r="M343" s="19" t="n">
        <x:f>'各站彙總來源'!M343</x:f>
        <x:v>26</x:v>
      </x:c>
      <x:c r="N343" s="24" t="n">
        <x:f>F343+H343</x:f>
        <x:v>25.461538461538463</x:v>
      </x:c>
      <x:c r="O343" s="24" t="n">
        <x:f>J343+L343</x:f>
        <x:v>4.230769230769231</x:v>
      </x:c>
    </x:row>
    <x:row r="344">
      <x:c r="A344" s="22" t="str">
        <x:v>500104023</x:v>
      </x:c>
      <x:c r="B344" s="17" t="str">
        <x:v>士林區</x:v>
      </x:c>
      <x:c r="C344" s="17" t="str">
        <x:v>華齡公園</x:v>
      </x:c>
      <x:c r="D344" s="18" t="n">
        <x:v>26</x:v>
      </x:c>
      <x:c r="E344" s="18" t="n">
        <x:v>26</x:v>
      </x:c>
      <x:c r="F344" s="24" t="n">
        <x:f>IFERROR('各站彙總來源'!F344/'各站彙總來源'!G344,"")</x:f>
        <x:v>40.34615384615385</x:v>
      </x:c>
      <x:c r="G344" s="19" t="n">
        <x:f>'各站彙總來源'!G344</x:f>
        <x:v>26</x:v>
      </x:c>
      <x:c r="H344" s="24" t="n">
        <x:f>IFERROR('各站彙總來源'!H344/'各站彙總來源'!I344,"")</x:f>
        <x:v>3.1153846153846154</x:v>
      </x:c>
      <x:c r="I344" s="19" t="n">
        <x:f>'各站彙總來源'!I344</x:f>
        <x:v>26</x:v>
      </x:c>
      <x:c r="J344" s="24" t="n">
        <x:f>IFERROR('各站彙總來源'!J344/'各站彙總來源'!K344,"")</x:f>
        <x:v>6.269230769230769</x:v>
      </x:c>
      <x:c r="K344" s="19" t="n">
        <x:f>'各站彙總來源'!K344</x:f>
        <x:v>26</x:v>
      </x:c>
      <x:c r="L344" s="24" t="n">
        <x:f>IFERROR('各站彙總來源'!L344/'各站彙總來源'!M344,"")</x:f>
        <x:v>1</x:v>
      </x:c>
      <x:c r="M344" s="19" t="n">
        <x:f>'各站彙總來源'!M344</x:f>
        <x:v>26</x:v>
      </x:c>
      <x:c r="N344" s="24" t="n">
        <x:f>F344+H344</x:f>
        <x:v>43.46153846153846</x:v>
      </x:c>
      <x:c r="O344" s="24" t="n">
        <x:f>J344+L344</x:f>
        <x:v>7.269230769230769</x:v>
      </x:c>
    </x:row>
    <x:row r="345">
      <x:c r="A345" s="22" t="str">
        <x:v>500104024</x:v>
      </x:c>
      <x:c r="B345" s="17" t="str">
        <x:v>士林區</x:v>
      </x:c>
      <x:c r="C345" s="17" t="str">
        <x:v>前港公園(福德宮)</x:v>
      </x:c>
      <x:c r="D345" s="18" t="n">
        <x:v>26</x:v>
      </x:c>
      <x:c r="E345" s="18" t="n">
        <x:v>26</x:v>
      </x:c>
      <x:c r="F345" s="24" t="n">
        <x:f>IFERROR('各站彙總來源'!F345/'各站彙總來源'!G345,"")</x:f>
        <x:v>16.26923076923077</x:v>
      </x:c>
      <x:c r="G345" s="19" t="n">
        <x:f>'各站彙總來源'!G345</x:f>
        <x:v>26</x:v>
      </x:c>
      <x:c r="H345" s="24" t="n">
        <x:f>IFERROR('各站彙總來源'!H345/'各站彙總來源'!I345,"")</x:f>
        <x:v>2.0384615384615383</x:v>
      </x:c>
      <x:c r="I345" s="19" t="n">
        <x:f>'各站彙總來源'!I345</x:f>
        <x:v>26</x:v>
      </x:c>
      <x:c r="J345" s="24" t="n">
        <x:f>IFERROR('各站彙總來源'!J345/'各站彙總來源'!K345,"")</x:f>
        <x:v>4.230769230769231</x:v>
      </x:c>
      <x:c r="K345" s="19" t="n">
        <x:f>'各站彙總來源'!K345</x:f>
        <x:v>26</x:v>
      </x:c>
      <x:c r="L345" s="24" t="n">
        <x:f>IFERROR('各站彙總來源'!L345/'各站彙總來源'!M345,"")</x:f>
        <x:v>0.9615384615384616</x:v>
      </x:c>
      <x:c r="M345" s="19" t="n">
        <x:f>'各站彙總來源'!M345</x:f>
        <x:v>26</x:v>
      </x:c>
      <x:c r="N345" s="24" t="n">
        <x:f>F345+H345</x:f>
        <x:v>18.307692307692307</x:v>
      </x:c>
      <x:c r="O345" s="24" t="n">
        <x:f>J345+L345</x:f>
        <x:v>5.1923076923076925</x:v>
      </x:c>
    </x:row>
    <x:row r="346">
      <x:c r="A346" s="22" t="str">
        <x:v>500104025</x:v>
      </x:c>
      <x:c r="B346" s="17" t="str">
        <x:v>士林區</x:v>
      </x:c>
      <x:c r="C346" s="17" t="str">
        <x:v>華齡街185巷口</x:v>
      </x:c>
      <x:c r="D346" s="18" t="n">
        <x:v>26</x:v>
      </x:c>
      <x:c r="E346" s="18" t="n">
        <x:v>26</x:v>
      </x:c>
      <x:c r="F346" s="24" t="n">
        <x:f>IFERROR('各站彙總來源'!F346/'各站彙總來源'!G346,"")</x:f>
        <x:v>20.46153846153846</x:v>
      </x:c>
      <x:c r="G346" s="19" t="n">
        <x:f>'各站彙總來源'!G346</x:f>
        <x:v>26</x:v>
      </x:c>
      <x:c r="H346" s="24" t="n">
        <x:f>IFERROR('各站彙總來源'!H346/'各站彙總來源'!I346,"")</x:f>
        <x:v>1.8846153846153846</x:v>
      </x:c>
      <x:c r="I346" s="19" t="n">
        <x:f>'各站彙總來源'!I346</x:f>
        <x:v>26</x:v>
      </x:c>
      <x:c r="J346" s="24" t="n">
        <x:f>IFERROR('各站彙總來源'!J346/'各站彙總來源'!K346,"")</x:f>
        <x:v>3.6923076923076925</x:v>
      </x:c>
      <x:c r="K346" s="19" t="n">
        <x:f>'各站彙總來源'!K346</x:f>
        <x:v>26</x:v>
      </x:c>
      <x:c r="L346" s="24" t="n">
        <x:f>IFERROR('各站彙總來源'!L346/'各站彙總來源'!M346,"")</x:f>
        <x:v>0.6538461538461539</x:v>
      </x:c>
      <x:c r="M346" s="19" t="n">
        <x:f>'各站彙總來源'!M346</x:f>
        <x:v>26</x:v>
      </x:c>
      <x:c r="N346" s="24" t="n">
        <x:f>F346+H346</x:f>
        <x:v>22.346153846153843</x:v>
      </x:c>
      <x:c r="O346" s="24" t="n">
        <x:f>J346+L346</x:f>
        <x:v>4.346153846153847</x:v>
      </x:c>
    </x:row>
    <x:row r="347">
      <x:c r="A347" s="22" t="str">
        <x:v>500104026</x:v>
      </x:c>
      <x:c r="B347" s="17" t="str">
        <x:v>士林區</x:v>
      </x:c>
      <x:c r="C347" s="17" t="str">
        <x:v>前港公園(前港街)</x:v>
      </x:c>
      <x:c r="D347" s="18" t="n">
        <x:v>26</x:v>
      </x:c>
      <x:c r="E347" s="18" t="n">
        <x:v>26</x:v>
      </x:c>
      <x:c r="F347" s="24" t="n">
        <x:f>IFERROR('各站彙總來源'!F347/'各站彙總來源'!G347,"")</x:f>
        <x:v>12.384615384615385</x:v>
      </x:c>
      <x:c r="G347" s="19" t="n">
        <x:f>'各站彙總來源'!G347</x:f>
        <x:v>26</x:v>
      </x:c>
      <x:c r="H347" s="24" t="n">
        <x:f>IFERROR('各站彙總來源'!H347/'各站彙總來源'!I347,"")</x:f>
        <x:v>1.2692307692307692</x:v>
      </x:c>
      <x:c r="I347" s="19" t="n">
        <x:f>'各站彙總來源'!I347</x:f>
        <x:v>26</x:v>
      </x:c>
      <x:c r="J347" s="24" t="n">
        <x:f>IFERROR('各站彙總來源'!J347/'各站彙總來源'!K347,"")</x:f>
        <x:v>4.423076923076923</x:v>
      </x:c>
      <x:c r="K347" s="19" t="n">
        <x:f>'各站彙總來源'!K347</x:f>
        <x:v>26</x:v>
      </x:c>
      <x:c r="L347" s="24" t="n">
        <x:f>IFERROR('各站彙總來源'!L347/'各站彙總來源'!M347,"")</x:f>
        <x:v>0.8076923076923077</x:v>
      </x:c>
      <x:c r="M347" s="19" t="n">
        <x:f>'各站彙總來源'!M347</x:f>
        <x:v>26</x:v>
      </x:c>
      <x:c r="N347" s="24" t="n">
        <x:f>F347+H347</x:f>
        <x:v>13.653846153846153</x:v>
      </x:c>
      <x:c r="O347" s="24" t="n">
        <x:f>J347+L347</x:f>
        <x:v>5.230769230769231</x:v>
      </x:c>
    </x:row>
    <x:row r="348">
      <x:c r="A348" s="22" t="str">
        <x:v>500104027</x:v>
      </x:c>
      <x:c r="B348" s="17" t="str">
        <x:v>士林區</x:v>
      </x:c>
      <x:c r="C348" s="17" t="str">
        <x:v>百齡高中</x:v>
      </x:c>
      <x:c r="D348" s="18" t="n">
        <x:v>26</x:v>
      </x:c>
      <x:c r="E348" s="18" t="n">
        <x:v>26</x:v>
      </x:c>
      <x:c r="F348" s="24" t="n">
        <x:f>IFERROR('各站彙總來源'!F348/'各站彙總來源'!G348,"")</x:f>
        <x:v>3.8076923076923075</x:v>
      </x:c>
      <x:c r="G348" s="19" t="n">
        <x:f>'各站彙總來源'!G348</x:f>
        <x:v>26</x:v>
      </x:c>
      <x:c r="H348" s="24" t="n">
        <x:f>IFERROR('各站彙總來源'!H348/'各站彙總來源'!I348,"")</x:f>
        <x:v>0.6923076923076923</x:v>
      </x:c>
      <x:c r="I348" s="19" t="n">
        <x:f>'各站彙總來源'!I348</x:f>
        <x:v>26</x:v>
      </x:c>
      <x:c r="J348" s="24" t="n">
        <x:f>IFERROR('各站彙總來源'!J348/'各站彙總來源'!K348,"")</x:f>
        <x:v>28.03846153846154</x:v>
      </x:c>
      <x:c r="K348" s="19" t="n">
        <x:f>'各站彙總來源'!K348</x:f>
        <x:v>26</x:v>
      </x:c>
      <x:c r="L348" s="24" t="n">
        <x:f>IFERROR('各站彙總來源'!L348/'各站彙總來源'!M348,"")</x:f>
        <x:v>2.4615384615384617</x:v>
      </x:c>
      <x:c r="M348" s="19" t="n">
        <x:f>'各站彙總來源'!M348</x:f>
        <x:v>26</x:v>
      </x:c>
      <x:c r="N348" s="24" t="n">
        <x:f>F348+H348</x:f>
        <x:v>4.5</x:v>
      </x:c>
      <x:c r="O348" s="24" t="n">
        <x:f>J348+L348</x:f>
        <x:v>30.5</x:v>
      </x:c>
    </x:row>
    <x:row r="349">
      <x:c r="A349" s="22" t="str">
        <x:v>500104028</x:v>
      </x:c>
      <x:c r="B349" s="17" t="str">
        <x:v>士林區</x:v>
      </x:c>
      <x:c r="C349" s="17" t="str">
        <x:v>捷運芝山站(2號出口)</x:v>
      </x:c>
      <x:c r="D349" s="18" t="n">
        <x:v>26</x:v>
      </x:c>
      <x:c r="E349" s="18" t="n">
        <x:v>26</x:v>
      </x:c>
      <x:c r="F349" s="24" t="n">
        <x:f>IFERROR('各站彙總來源'!F349/'各站彙總來源'!G349,"")</x:f>
        <x:v>7.423076923076923</x:v>
      </x:c>
      <x:c r="G349" s="19" t="n">
        <x:f>'各站彙總來源'!G349</x:f>
        <x:v>26</x:v>
      </x:c>
      <x:c r="H349" s="24" t="n">
        <x:f>IFERROR('各站彙總來源'!H349/'各站彙總來源'!I349,"")</x:f>
        <x:v>1.0769230769230769</x:v>
      </x:c>
      <x:c r="I349" s="19" t="n">
        <x:f>'各站彙總來源'!I349</x:f>
        <x:v>26</x:v>
      </x:c>
      <x:c r="J349" s="24" t="n">
        <x:f>IFERROR('各站彙總來源'!J349/'各站彙總來源'!K349,"")</x:f>
        <x:v>16.115384615384617</x:v>
      </x:c>
      <x:c r="K349" s="19" t="n">
        <x:f>'各站彙總來源'!K349</x:f>
        <x:v>26</x:v>
      </x:c>
      <x:c r="L349" s="24" t="n">
        <x:f>IFERROR('各站彙總來源'!L349/'各站彙總來源'!M349,"")</x:f>
        <x:v>2.9615384615384617</x:v>
      </x:c>
      <x:c r="M349" s="19" t="n">
        <x:f>'各站彙總來源'!M349</x:f>
        <x:v>26</x:v>
      </x:c>
      <x:c r="N349" s="24" t="n">
        <x:f>F349+H349</x:f>
        <x:v>8.5</x:v>
      </x:c>
      <x:c r="O349" s="24" t="n">
        <x:f>J349+L349</x:f>
        <x:v>19.07692307692308</x:v>
      </x:c>
    </x:row>
    <x:row r="350">
      <x:c r="A350" s="22" t="str">
        <x:v>500104029</x:v>
      </x:c>
      <x:c r="B350" s="17" t="str">
        <x:v>士林區</x:v>
      </x:c>
      <x:c r="C350" s="17" t="str">
        <x:v>臺灣戲曲中心</x:v>
      </x:c>
      <x:c r="D350" s="18" t="n">
        <x:v>26</x:v>
      </x:c>
      <x:c r="E350" s="18" t="n">
        <x:v>26</x:v>
      </x:c>
      <x:c r="F350" s="24" t="n">
        <x:f>IFERROR('各站彙總來源'!F350/'各站彙總來源'!G350,"")</x:f>
        <x:v>7.8076923076923075</x:v>
      </x:c>
      <x:c r="G350" s="19" t="n">
        <x:f>'各站彙總來源'!G350</x:f>
        <x:v>26</x:v>
      </x:c>
      <x:c r="H350" s="24" t="n">
        <x:f>IFERROR('各站彙總來源'!H350/'各站彙總來源'!I350,"")</x:f>
        <x:v>1.2692307692307692</x:v>
      </x:c>
      <x:c r="I350" s="19" t="n">
        <x:f>'各站彙總來源'!I350</x:f>
        <x:v>26</x:v>
      </x:c>
      <x:c r="J350" s="24" t="n">
        <x:f>IFERROR('各站彙總來源'!J350/'各站彙總來源'!K350,"")</x:f>
        <x:v>24.23076923076923</x:v>
      </x:c>
      <x:c r="K350" s="19" t="n">
        <x:f>'各站彙總來源'!K350</x:f>
        <x:v>26</x:v>
      </x:c>
      <x:c r="L350" s="24" t="n">
        <x:f>IFERROR('各站彙總來源'!L350/'各站彙總來源'!M350,"")</x:f>
        <x:v>3.1923076923076925</x:v>
      </x:c>
      <x:c r="M350" s="19" t="n">
        <x:f>'各站彙總來源'!M350</x:f>
        <x:v>26</x:v>
      </x:c>
      <x:c r="N350" s="24" t="n">
        <x:f>F350+H350</x:f>
        <x:v>9.076923076923077</x:v>
      </x:c>
      <x:c r="O350" s="24" t="n">
        <x:f>J350+L350</x:f>
        <x:v>27.423076923076923</x:v>
      </x:c>
    </x:row>
    <x:row r="351">
      <x:c r="A351" s="22" t="str">
        <x:v>500104030</x:v>
      </x:c>
      <x:c r="B351" s="17" t="str">
        <x:v>士林區</x:v>
      </x:c>
      <x:c r="C351" s="17" t="str">
        <x:v>捷運劍潭站(2號出口)</x:v>
      </x:c>
      <x:c r="D351" s="18" t="n">
        <x:v>26</x:v>
      </x:c>
      <x:c r="E351" s="18" t="n">
        <x:v>26</x:v>
      </x:c>
      <x:c r="F351" s="24" t="n">
        <x:f>IFERROR('各站彙總來源'!F351/'各站彙總來源'!G351,"")</x:f>
        <x:v>4.230769230769231</x:v>
      </x:c>
      <x:c r="G351" s="19" t="n">
        <x:f>'各站彙總來源'!G351</x:f>
        <x:v>26</x:v>
      </x:c>
      <x:c r="H351" s="24" t="n">
        <x:f>IFERROR('各站彙總來源'!H351/'各站彙總來源'!I351,"")</x:f>
        <x:v>0.8846153846153846</x:v>
      </x:c>
      <x:c r="I351" s="19" t="n">
        <x:f>'各站彙總來源'!I351</x:f>
        <x:v>26</x:v>
      </x:c>
      <x:c r="J351" s="24" t="n">
        <x:f>IFERROR('各站彙總來源'!J351/'各站彙總來源'!K351,"")</x:f>
        <x:v>33.34615384615385</x:v>
      </x:c>
      <x:c r="K351" s="19" t="n">
        <x:f>'各站彙總來源'!K351</x:f>
        <x:v>26</x:v>
      </x:c>
      <x:c r="L351" s="24" t="n">
        <x:f>IFERROR('各站彙總來源'!L351/'各站彙總來源'!M351,"")</x:f>
        <x:v>4.653846153846154</x:v>
      </x:c>
      <x:c r="M351" s="19" t="n">
        <x:f>'各站彙總來源'!M351</x:f>
        <x:v>26</x:v>
      </x:c>
      <x:c r="N351" s="24" t="n">
        <x:f>F351+H351</x:f>
        <x:v>5.115384615384615</x:v>
      </x:c>
      <x:c r="O351" s="24" t="n">
        <x:f>J351+L351</x:f>
        <x:v>38</x:v>
      </x:c>
    </x:row>
    <x:row r="352">
      <x:c r="A352" s="22" t="str">
        <x:v>500104031</x:v>
      </x:c>
      <x:c r="B352" s="17" t="str">
        <x:v>士林區</x:v>
      </x:c>
      <x:c r="C352" s="17" t="str">
        <x:v>劍潭基河路口</x:v>
      </x:c>
      <x:c r="D352" s="18" t="n">
        <x:v>26</x:v>
      </x:c>
      <x:c r="E352" s="18" t="n">
        <x:v>26</x:v>
      </x:c>
      <x:c r="F352" s="24" t="n">
        <x:f>IFERROR('各站彙總來源'!F352/'各站彙總來源'!G352,"")</x:f>
        <x:v>20.384615384615383</x:v>
      </x:c>
      <x:c r="G352" s="19" t="n">
        <x:f>'各站彙總來源'!G352</x:f>
        <x:v>26</x:v>
      </x:c>
      <x:c r="H352" s="24" t="n">
        <x:f>IFERROR('各站彙總來源'!H352/'各站彙總來源'!I352,"")</x:f>
        <x:v>3.6153846153846154</x:v>
      </x:c>
      <x:c r="I352" s="19" t="n">
        <x:f>'各站彙總來源'!I352</x:f>
        <x:v>26</x:v>
      </x:c>
      <x:c r="J352" s="24" t="n">
        <x:f>IFERROR('各站彙總來源'!J352/'各站彙總來源'!K352,"")</x:f>
        <x:v>139.15384615384616</x:v>
      </x:c>
      <x:c r="K352" s="19" t="n">
        <x:f>'各站彙總來源'!K352</x:f>
        <x:v>26</x:v>
      </x:c>
      <x:c r="L352" s="24" t="n">
        <x:f>IFERROR('各站彙總來源'!L352/'各站彙總來源'!M352,"")</x:f>
        <x:v>7.384615384615385</x:v>
      </x:c>
      <x:c r="M352" s="19" t="n">
        <x:f>'各站彙總來源'!M352</x:f>
        <x:v>26</x:v>
      </x:c>
      <x:c r="N352" s="24" t="n">
        <x:f>F352+H352</x:f>
        <x:v>24</x:v>
      </x:c>
      <x:c r="O352" s="24" t="n">
        <x:f>J352+L352</x:f>
        <x:v>146.53846153846155</x:v>
      </x:c>
    </x:row>
    <x:row r="353">
      <x:c r="A353" s="22" t="str">
        <x:v>500104032</x:v>
      </x:c>
      <x:c r="B353" s="17" t="str">
        <x:v>士林區</x:v>
      </x:c>
      <x:c r="C353" s="17" t="str">
        <x:v>志成公園</x:v>
      </x:c>
      <x:c r="D353" s="18" t="n">
        <x:v>26</x:v>
      </x:c>
      <x:c r="E353" s="18" t="n">
        <x:v>26</x:v>
      </x:c>
      <x:c r="F353" s="24" t="n">
        <x:f>IFERROR('各站彙總來源'!F353/'各站彙總來源'!G353,"")</x:f>
        <x:v>15.153846153846153</x:v>
      </x:c>
      <x:c r="G353" s="19" t="n">
        <x:f>'各站彙總來源'!G353</x:f>
        <x:v>26</x:v>
      </x:c>
      <x:c r="H353" s="24" t="n">
        <x:f>IFERROR('各站彙總來源'!H353/'各站彙總來源'!I353,"")</x:f>
        <x:v>1.8461538461538463</x:v>
      </x:c>
      <x:c r="I353" s="19" t="n">
        <x:f>'各站彙總來源'!I353</x:f>
        <x:v>26</x:v>
      </x:c>
      <x:c r="J353" s="24" t="n">
        <x:f>IFERROR('各站彙總來源'!J353/'各站彙總來源'!K353,"")</x:f>
        <x:v>6.076923076923077</x:v>
      </x:c>
      <x:c r="K353" s="19" t="n">
        <x:f>'各站彙總來源'!K353</x:f>
        <x:v>26</x:v>
      </x:c>
      <x:c r="L353" s="24" t="n">
        <x:f>IFERROR('各站彙總來源'!L353/'各站彙總來源'!M353,"")</x:f>
        <x:v>0.9230769230769231</x:v>
      </x:c>
      <x:c r="M353" s="19" t="n">
        <x:f>'各站彙總來源'!M353</x:f>
        <x:v>26</x:v>
      </x:c>
      <x:c r="N353" s="24" t="n">
        <x:f>F353+H353</x:f>
        <x:v>17</x:v>
      </x:c>
      <x:c r="O353" s="24" t="n">
        <x:f>J353+L353</x:f>
        <x:v>7</x:v>
      </x:c>
    </x:row>
    <x:row r="354">
      <x:c r="A354" s="22" t="str">
        <x:v>500104033</x:v>
      </x:c>
      <x:c r="B354" s="17" t="str">
        <x:v>士林區</x:v>
      </x:c>
      <x:c r="C354" s="17" t="str">
        <x:v>福林國小</x:v>
      </x:c>
      <x:c r="D354" s="18" t="n">
        <x:v>26</x:v>
      </x:c>
      <x:c r="E354" s="18" t="n">
        <x:v>26</x:v>
      </x:c>
      <x:c r="F354" s="24" t="n">
        <x:f>IFERROR('各站彙總來源'!F354/'各站彙總來源'!G354,"")</x:f>
        <x:v>20.03846153846154</x:v>
      </x:c>
      <x:c r="G354" s="19" t="n">
        <x:f>'各站彙總來源'!G354</x:f>
        <x:v>26</x:v>
      </x:c>
      <x:c r="H354" s="24" t="n">
        <x:f>IFERROR('各站彙總來源'!H354/'各站彙總來源'!I354,"")</x:f>
        <x:v>1.6153846153846154</x:v>
      </x:c>
      <x:c r="I354" s="19" t="n">
        <x:f>'各站彙總來源'!I354</x:f>
        <x:v>26</x:v>
      </x:c>
      <x:c r="J354" s="24" t="n">
        <x:f>IFERROR('各站彙總來源'!J354/'各站彙總來源'!K354,"")</x:f>
        <x:v>2.576923076923077</x:v>
      </x:c>
      <x:c r="K354" s="19" t="n">
        <x:f>'各站彙總來源'!K354</x:f>
        <x:v>26</x:v>
      </x:c>
      <x:c r="L354" s="24" t="n">
        <x:f>IFERROR('各站彙總來源'!L354/'各站彙總來源'!M354,"")</x:f>
        <x:v>1.5</x:v>
      </x:c>
      <x:c r="M354" s="19" t="n">
        <x:f>'各站彙總來源'!M354</x:f>
        <x:v>26</x:v>
      </x:c>
      <x:c r="N354" s="24" t="n">
        <x:f>F354+H354</x:f>
        <x:v>21.653846153846157</x:v>
      </x:c>
      <x:c r="O354" s="24" t="n">
        <x:f>J354+L354</x:f>
        <x:v>4.076923076923077</x:v>
      </x:c>
    </x:row>
    <x:row r="355">
      <x:c r="A355" s="22" t="str">
        <x:v>500104034</x:v>
      </x:c>
      <x:c r="B355" s="17" t="str">
        <x:v>士林區</x:v>
      </x:c>
      <x:c r="C355" s="17" t="str">
        <x:v>中山中正路口</x:v>
      </x:c>
      <x:c r="D355" s="18" t="n">
        <x:v>26</x:v>
      </x:c>
      <x:c r="E355" s="18" t="n">
        <x:v>26</x:v>
      </x:c>
      <x:c r="F355" s="24" t="n">
        <x:f>IFERROR('各站彙總來源'!F355/'各站彙總來源'!G355,"")</x:f>
        <x:v>6.923076923076923</x:v>
      </x:c>
      <x:c r="G355" s="19" t="n">
        <x:f>'各站彙總來源'!G355</x:f>
        <x:v>26</x:v>
      </x:c>
      <x:c r="H355" s="24" t="n">
        <x:f>IFERROR('各站彙總來源'!H355/'各站彙總來源'!I355,"")</x:f>
        <x:v>1.5</x:v>
      </x:c>
      <x:c r="I355" s="19" t="n">
        <x:f>'各站彙總來源'!I355</x:f>
        <x:v>26</x:v>
      </x:c>
      <x:c r="J355" s="24" t="n">
        <x:f>IFERROR('各站彙總來源'!J355/'各站彙總來源'!K355,"")</x:f>
        <x:v>11.192307692307692</x:v>
      </x:c>
      <x:c r="K355" s="19" t="n">
        <x:f>'各站彙總來源'!K355</x:f>
        <x:v>26</x:v>
      </x:c>
      <x:c r="L355" s="24" t="n">
        <x:f>IFERROR('各站彙總來源'!L355/'各站彙總來源'!M355,"")</x:f>
        <x:v>1.5</x:v>
      </x:c>
      <x:c r="M355" s="19" t="n">
        <x:f>'各站彙總來源'!M355</x:f>
        <x:v>26</x:v>
      </x:c>
      <x:c r="N355" s="24" t="n">
        <x:f>F355+H355</x:f>
        <x:v>8.423076923076923</x:v>
      </x:c>
      <x:c r="O355" s="24" t="n">
        <x:f>J355+L355</x:f>
        <x:v>12.692307692307692</x:v>
      </x:c>
    </x:row>
    <x:row r="356">
      <x:c r="A356" s="22" t="str">
        <x:v>500104035</x:v>
      </x:c>
      <x:c r="B356" s="17" t="str">
        <x:v>士林區</x:v>
      </x:c>
      <x:c r="C356" s="17" t="str">
        <x:v>士林運動中心</x:v>
      </x:c>
      <x:c r="D356" s="18" t="n">
        <x:v>26</x:v>
      </x:c>
      <x:c r="E356" s="18" t="n">
        <x:v>26</x:v>
      </x:c>
      <x:c r="F356" s="24" t="n">
        <x:f>IFERROR('各站彙總來源'!F356/'各站彙總來源'!G356,"")</x:f>
        <x:v>11.384615384615385</x:v>
      </x:c>
      <x:c r="G356" s="19" t="n">
        <x:f>'各站彙總來源'!G356</x:f>
        <x:v>26</x:v>
      </x:c>
      <x:c r="H356" s="24" t="n">
        <x:f>IFERROR('各站彙總來源'!H356/'各站彙總來源'!I356,"")</x:f>
        <x:v>3.4615384615384617</x:v>
      </x:c>
      <x:c r="I356" s="19" t="n">
        <x:f>'各站彙總來源'!I356</x:f>
        <x:v>26</x:v>
      </x:c>
      <x:c r="J356" s="24" t="n">
        <x:f>IFERROR('各站彙總來源'!J356/'各站彙總來源'!K356,"")</x:f>
        <x:v>16.384615384615383</x:v>
      </x:c>
      <x:c r="K356" s="19" t="n">
        <x:f>'各站彙總來源'!K356</x:f>
        <x:v>26</x:v>
      </x:c>
      <x:c r="L356" s="24" t="n">
        <x:f>IFERROR('各站彙總來源'!L356/'各站彙總來源'!M356,"")</x:f>
        <x:v>3</x:v>
      </x:c>
      <x:c r="M356" s="19" t="n">
        <x:f>'各站彙總來源'!M356</x:f>
        <x:v>26</x:v>
      </x:c>
      <x:c r="N356" s="24" t="n">
        <x:f>F356+H356</x:f>
        <x:v>14.846153846153847</x:v>
      </x:c>
      <x:c r="O356" s="24" t="n">
        <x:f>J356+L356</x:f>
        <x:v>19.384615384615383</x:v>
      </x:c>
    </x:row>
    <x:row r="357">
      <x:c r="A357" s="22" t="str">
        <x:v>500104036</x:v>
      </x:c>
      <x:c r="B357" s="17" t="str">
        <x:v>士林區</x:v>
      </x:c>
      <x:c r="C357" s="17" t="str">
        <x:v>陽明高中</x:v>
      </x:c>
      <x:c r="D357" s="18" t="n">
        <x:v>26</x:v>
      </x:c>
      <x:c r="E357" s="18" t="n">
        <x:v>26</x:v>
      </x:c>
      <x:c r="F357" s="24" t="n">
        <x:f>IFERROR('各站彙總來源'!F357/'各站彙總來源'!G357,"")</x:f>
        <x:v>18.653846153846153</x:v>
      </x:c>
      <x:c r="G357" s="19" t="n">
        <x:f>'各站彙總來源'!G357</x:f>
        <x:v>26</x:v>
      </x:c>
      <x:c r="H357" s="24" t="n">
        <x:f>IFERROR('各站彙總來源'!H357/'各站彙總來源'!I357,"")</x:f>
        <x:v>2.3076923076923075</x:v>
      </x:c>
      <x:c r="I357" s="19" t="n">
        <x:f>'各站彙總來源'!I357</x:f>
        <x:v>26</x:v>
      </x:c>
      <x:c r="J357" s="24" t="n">
        <x:f>IFERROR('各站彙總來源'!J357/'各站彙總來源'!K357,"")</x:f>
        <x:v>39.80769230769231</x:v>
      </x:c>
      <x:c r="K357" s="19" t="n">
        <x:f>'各站彙總來源'!K357</x:f>
        <x:v>26</x:v>
      </x:c>
      <x:c r="L357" s="24" t="n">
        <x:f>IFERROR('各站彙總來源'!L357/'各站彙總來源'!M357,"")</x:f>
        <x:v>3.6538461538461537</x:v>
      </x:c>
      <x:c r="M357" s="19" t="n">
        <x:f>'各站彙總來源'!M357</x:f>
        <x:v>26</x:v>
      </x:c>
      <x:c r="N357" s="24" t="n">
        <x:f>F357+H357</x:f>
        <x:v>20.96153846153846</x:v>
      </x:c>
      <x:c r="O357" s="24" t="n">
        <x:f>J357+L357</x:f>
        <x:v>43.46153846153846</x:v>
      </x:c>
    </x:row>
    <x:row r="358">
      <x:c r="A358" s="22" t="str">
        <x:v>500104037</x:v>
      </x:c>
      <x:c r="B358" s="17" t="str">
        <x:v>士林區</x:v>
      </x:c>
      <x:c r="C358" s="17" t="str">
        <x:v>兒童新樂園</x:v>
      </x:c>
      <x:c r="D358" s="18" t="n">
        <x:v>26</x:v>
      </x:c>
      <x:c r="E358" s="18" t="n">
        <x:v>26</x:v>
      </x:c>
      <x:c r="F358" s="24" t="n">
        <x:f>IFERROR('各站彙總來源'!F358/'各站彙總來源'!G358,"")</x:f>
        <x:v>4.230769230769231</x:v>
      </x:c>
      <x:c r="G358" s="19" t="n">
        <x:f>'各站彙總來源'!G358</x:f>
        <x:v>26</x:v>
      </x:c>
      <x:c r="H358" s="24" t="n">
        <x:f>IFERROR('各站彙總來源'!H358/'各站彙總來源'!I358,"")</x:f>
        <x:v>0.9230769230769231</x:v>
      </x:c>
      <x:c r="I358" s="19" t="n">
        <x:f>'各站彙總來源'!I358</x:f>
        <x:v>26</x:v>
      </x:c>
      <x:c r="J358" s="24" t="n">
        <x:f>IFERROR('各站彙總來源'!J358/'各站彙總來源'!K358,"")</x:f>
        <x:v>17.96153846153846</x:v>
      </x:c>
      <x:c r="K358" s="19" t="n">
        <x:f>'各站彙總來源'!K358</x:f>
        <x:v>26</x:v>
      </x:c>
      <x:c r="L358" s="24" t="n">
        <x:f>IFERROR('各站彙總來源'!L358/'各站彙總來源'!M358,"")</x:f>
        <x:v>2.1538461538461537</x:v>
      </x:c>
      <x:c r="M358" s="19" t="n">
        <x:f>'各站彙總來源'!M358</x:f>
        <x:v>26</x:v>
      </x:c>
      <x:c r="N358" s="24" t="n">
        <x:f>F358+H358</x:f>
        <x:v>5.153846153846154</x:v>
      </x:c>
      <x:c r="O358" s="24" t="n">
        <x:f>J358+L358</x:f>
        <x:v>20.115384615384613</x:v>
      </x:c>
    </x:row>
    <x:row r="359">
      <x:c r="A359" s="22" t="str">
        <x:v>500104038</x:v>
      </x:c>
      <x:c r="B359" s="17" t="str">
        <x:v>士林區</x:v>
      </x:c>
      <x:c r="C359" s="17" t="str">
        <x:v>臺北市立天文館</x:v>
      </x:c>
      <x:c r="D359" s="18" t="n">
        <x:v>26</x:v>
      </x:c>
      <x:c r="E359" s="18" t="n">
        <x:v>26</x:v>
      </x:c>
      <x:c r="F359" s="24" t="n">
        <x:f>IFERROR('各站彙總來源'!F359/'各站彙總來源'!G359,"")</x:f>
        <x:v>10.76923076923077</x:v>
      </x:c>
      <x:c r="G359" s="19" t="n">
        <x:f>'各站彙總來源'!G359</x:f>
        <x:v>26</x:v>
      </x:c>
      <x:c r="H359" s="24" t="n">
        <x:f>IFERROR('各站彙總來源'!H359/'各站彙總來源'!I359,"")</x:f>
        <x:v>1.5</x:v>
      </x:c>
      <x:c r="I359" s="19" t="n">
        <x:f>'各站彙總來源'!I359</x:f>
        <x:v>26</x:v>
      </x:c>
      <x:c r="J359" s="24" t="n">
        <x:f>IFERROR('各站彙總來源'!J359/'各站彙總來源'!K359,"")</x:f>
        <x:v>50.5</x:v>
      </x:c>
      <x:c r="K359" s="19" t="n">
        <x:f>'各站彙總來源'!K359</x:f>
        <x:v>26</x:v>
      </x:c>
      <x:c r="L359" s="24" t="n">
        <x:f>IFERROR('各站彙總來源'!L359/'各站彙總來源'!M359,"")</x:f>
        <x:v>3.923076923076923</x:v>
      </x:c>
      <x:c r="M359" s="19" t="n">
        <x:f>'各站彙總來源'!M359</x:f>
        <x:v>26</x:v>
      </x:c>
      <x:c r="N359" s="24" t="n">
        <x:f>F359+H359</x:f>
        <x:v>12.26923076923077</x:v>
      </x:c>
      <x:c r="O359" s="24" t="n">
        <x:f>J359+L359</x:f>
        <x:v>54.42307692307692</x:v>
      </x:c>
    </x:row>
    <x:row r="360">
      <x:c r="A360" s="22" t="str">
        <x:v>500104039</x:v>
      </x:c>
      <x:c r="B360" s="17" t="str">
        <x:v>士林區</x:v>
      </x:c>
      <x:c r="C360" s="17" t="str">
        <x:v>華聲公園</x:v>
      </x:c>
      <x:c r="D360" s="18" t="n">
        <x:v>26</x:v>
      </x:c>
      <x:c r="E360" s="18" t="n">
        <x:v>26</x:v>
      </x:c>
      <x:c r="F360" s="24" t="n">
        <x:f>IFERROR('各站彙總來源'!F360/'各站彙總來源'!G360,"")</x:f>
        <x:v>16.615384615384617</x:v>
      </x:c>
      <x:c r="G360" s="19" t="n">
        <x:f>'各站彙總來源'!G360</x:f>
        <x:v>26</x:v>
      </x:c>
      <x:c r="H360" s="24" t="n">
        <x:f>IFERROR('各站彙總來源'!H360/'各站彙總來源'!I360,"")</x:f>
        <x:v>2.4615384615384617</x:v>
      </x:c>
      <x:c r="I360" s="19" t="n">
        <x:f>'各站彙總來源'!I360</x:f>
        <x:v>26</x:v>
      </x:c>
      <x:c r="J360" s="24" t="n">
        <x:f>IFERROR('各站彙總來源'!J360/'各站彙總來源'!K360,"")</x:f>
        <x:v>13.615384615384615</x:v>
      </x:c>
      <x:c r="K360" s="19" t="n">
        <x:f>'各站彙總來源'!K360</x:f>
        <x:v>26</x:v>
      </x:c>
      <x:c r="L360" s="24" t="n">
        <x:f>IFERROR('各站彙總來源'!L360/'各站彙總來源'!M360,"")</x:f>
        <x:v>1.5</x:v>
      </x:c>
      <x:c r="M360" s="19" t="n">
        <x:f>'各站彙總來源'!M360</x:f>
        <x:v>26</x:v>
      </x:c>
      <x:c r="N360" s="24" t="n">
        <x:f>F360+H360</x:f>
        <x:v>19.07692307692308</x:v>
      </x:c>
      <x:c r="O360" s="24" t="n">
        <x:f>J360+L360</x:f>
        <x:v>15.115384615384615</x:v>
      </x:c>
    </x:row>
    <x:row r="361">
      <x:c r="A361" s="22" t="str">
        <x:v>500104040</x:v>
      </x:c>
      <x:c r="B361" s="17" t="str">
        <x:v>士林區</x:v>
      </x:c>
      <x:c r="C361" s="17" t="str">
        <x:v>福林公園</x:v>
      </x:c>
      <x:c r="D361" s="18" t="n">
        <x:v>26</x:v>
      </x:c>
      <x:c r="E361" s="18" t="n">
        <x:v>26</x:v>
      </x:c>
      <x:c r="F361" s="24" t="n">
        <x:f>IFERROR('各站彙總來源'!F361/'各站彙總來源'!G361,"")</x:f>
        <x:v>8.038461538461538</x:v>
      </x:c>
      <x:c r="G361" s="19" t="n">
        <x:f>'各站彙總來源'!G361</x:f>
        <x:v>26</x:v>
      </x:c>
      <x:c r="H361" s="24" t="n">
        <x:f>IFERROR('各站彙總來源'!H361/'各站彙總來源'!I361,"")</x:f>
        <x:v>1.1538461538461537</x:v>
      </x:c>
      <x:c r="I361" s="19" t="n">
        <x:f>'各站彙總來源'!I361</x:f>
        <x:v>26</x:v>
      </x:c>
      <x:c r="J361" s="24" t="n">
        <x:f>IFERROR('各站彙總來源'!J361/'各站彙總來源'!K361,"")</x:f>
        <x:v>12.384615384615385</x:v>
      </x:c>
      <x:c r="K361" s="19" t="n">
        <x:f>'各站彙總來源'!K361</x:f>
        <x:v>26</x:v>
      </x:c>
      <x:c r="L361" s="24" t="n">
        <x:f>IFERROR('各站彙總來源'!L361/'各站彙總來源'!M361,"")</x:f>
        <x:v>1.1923076923076923</x:v>
      </x:c>
      <x:c r="M361" s="19" t="n">
        <x:f>'各站彙總來源'!M361</x:f>
        <x:v>26</x:v>
      </x:c>
      <x:c r="N361" s="24" t="n">
        <x:f>F361+H361</x:f>
        <x:v>9.192307692307692</x:v>
      </x:c>
      <x:c r="O361" s="24" t="n">
        <x:f>J361+L361</x:f>
        <x:v>13.576923076923077</x:v>
      </x:c>
    </x:row>
    <x:row r="362">
      <x:c r="A362" s="22" t="str">
        <x:v>500104041</x:v>
      </x:c>
      <x:c r="B362" s="17" t="str">
        <x:v>士林區</x:v>
      </x:c>
      <x:c r="C362" s="17" t="str">
        <x:v>捷運士林站(2號出口)</x:v>
      </x:c>
      <x:c r="D362" s="18" t="n">
        <x:v>26</x:v>
      </x:c>
      <x:c r="E362" s="18" t="n">
        <x:v>26</x:v>
      </x:c>
      <x:c r="F362" s="24" t="n">
        <x:f>IFERROR('各站彙總來源'!F362/'各站彙總來源'!G362,"")</x:f>
        <x:v>8.23076923076923</x:v>
      </x:c>
      <x:c r="G362" s="19" t="n">
        <x:f>'各站彙總來源'!G362</x:f>
        <x:v>26</x:v>
      </x:c>
      <x:c r="H362" s="24" t="n">
        <x:f>IFERROR('各站彙總來源'!H362/'各站彙總來源'!I362,"")</x:f>
        <x:v>2.576923076923077</x:v>
      </x:c>
      <x:c r="I362" s="19" t="n">
        <x:f>'各站彙總來源'!I362</x:f>
        <x:v>26</x:v>
      </x:c>
      <x:c r="J362" s="24" t="n">
        <x:f>IFERROR('各站彙總來源'!J362/'各站彙總來源'!K362,"")</x:f>
        <x:v>17.653846153846153</x:v>
      </x:c>
      <x:c r="K362" s="19" t="n">
        <x:f>'各站彙總來源'!K362</x:f>
        <x:v>26</x:v>
      </x:c>
      <x:c r="L362" s="24" t="n">
        <x:f>IFERROR('各站彙總來源'!L362/'各站彙總來源'!M362,"")</x:f>
        <x:v>3.4615384615384617</x:v>
      </x:c>
      <x:c r="M362" s="19" t="n">
        <x:f>'各站彙總來源'!M362</x:f>
        <x:v>26</x:v>
      </x:c>
      <x:c r="N362" s="24" t="n">
        <x:f>F362+H362</x:f>
        <x:v>10.807692307692307</x:v>
      </x:c>
      <x:c r="O362" s="24" t="n">
        <x:f>J362+L362</x:f>
        <x:v>21.115384615384613</x:v>
      </x:c>
    </x:row>
    <x:row r="363">
      <x:c r="A363" s="22" t="str">
        <x:v>500104042</x:v>
      </x:c>
      <x:c r="B363" s="17" t="str">
        <x:v>士林區</x:v>
      </x:c>
      <x:c r="C363" s="17" t="str">
        <x:v>銘傳大學</x:v>
      </x:c>
      <x:c r="D363" s="18" t="n">
        <x:v>26</x:v>
      </x:c>
      <x:c r="E363" s="18" t="n">
        <x:v>26</x:v>
      </x:c>
      <x:c r="F363" s="24" t="n">
        <x:f>IFERROR('各站彙總來源'!F363/'各站彙總來源'!G363,"")</x:f>
        <x:v>5.461538461538462</x:v>
      </x:c>
      <x:c r="G363" s="19" t="n">
        <x:f>'各站彙總來源'!G363</x:f>
        <x:v>26</x:v>
      </x:c>
      <x:c r="H363" s="24" t="n">
        <x:f>IFERROR('各站彙總來源'!H363/'各站彙總來源'!I363,"")</x:f>
        <x:v>1.6153846153846154</x:v>
      </x:c>
      <x:c r="I363" s="19" t="n">
        <x:f>'各站彙總來源'!I363</x:f>
        <x:v>26</x:v>
      </x:c>
      <x:c r="J363" s="24" t="n">
        <x:f>IFERROR('各站彙總來源'!J363/'各站彙總來源'!K363,"")</x:f>
        <x:v>20.846153846153847</x:v>
      </x:c>
      <x:c r="K363" s="19" t="n">
        <x:f>'各站彙總來源'!K363</x:f>
        <x:v>26</x:v>
      </x:c>
      <x:c r="L363" s="24" t="n">
        <x:f>IFERROR('各站彙總來源'!L363/'各站彙總來源'!M363,"")</x:f>
        <x:v>3.230769230769231</x:v>
      </x:c>
      <x:c r="M363" s="19" t="n">
        <x:f>'各站彙總來源'!M363</x:f>
        <x:v>26</x:v>
      </x:c>
      <x:c r="N363" s="24" t="n">
        <x:f>F363+H363</x:f>
        <x:v>7.076923076923077</x:v>
      </x:c>
      <x:c r="O363" s="24" t="n">
        <x:f>J363+L363</x:f>
        <x:v>24.076923076923077</x:v>
      </x:c>
    </x:row>
    <x:row r="364">
      <x:c r="A364" s="22" t="str">
        <x:v>500104043</x:v>
      </x:c>
      <x:c r="B364" s="17" t="str">
        <x:v>士林區</x:v>
      </x:c>
      <x:c r="C364" s="17" t="str">
        <x:v>士林高商</x:v>
      </x:c>
      <x:c r="D364" s="18" t="n">
        <x:v>26</x:v>
      </x:c>
      <x:c r="E364" s="18" t="n">
        <x:v>26</x:v>
      </x:c>
      <x:c r="F364" s="24" t="n">
        <x:f>IFERROR('各站彙總來源'!F364/'各站彙總來源'!G364,"")</x:f>
        <x:v>6.961538461538462</x:v>
      </x:c>
      <x:c r="G364" s="19" t="n">
        <x:f>'各站彙總來源'!G364</x:f>
        <x:v>26</x:v>
      </x:c>
      <x:c r="H364" s="24" t="n">
        <x:f>IFERROR('各站彙總來源'!H364/'各站彙總來源'!I364,"")</x:f>
        <x:v>1.2692307692307692</x:v>
      </x:c>
      <x:c r="I364" s="19" t="n">
        <x:f>'各站彙總來源'!I364</x:f>
        <x:v>26</x:v>
      </x:c>
      <x:c r="J364" s="24" t="n">
        <x:f>IFERROR('各站彙總來源'!J364/'各站彙總來源'!K364,"")</x:f>
        <x:v>52.76923076923077</x:v>
      </x:c>
      <x:c r="K364" s="19" t="n">
        <x:f>'各站彙總來源'!K364</x:f>
        <x:v>26</x:v>
      </x:c>
      <x:c r="L364" s="24" t="n">
        <x:f>IFERROR('各站彙總來源'!L364/'各站彙總來源'!M364,"")</x:f>
        <x:v>2.6538461538461537</x:v>
      </x:c>
      <x:c r="M364" s="19" t="n">
        <x:f>'各站彙總來源'!M364</x:f>
        <x:v>26</x:v>
      </x:c>
      <x:c r="N364" s="24" t="n">
        <x:f>F364+H364</x:f>
        <x:v>8.23076923076923</x:v>
      </x:c>
      <x:c r="O364" s="24" t="n">
        <x:f>J364+L364</x:f>
        <x:v>55.42307692307692</x:v>
      </x:c>
    </x:row>
    <x:row r="365">
      <x:c r="A365" s="22" t="str">
        <x:v>500104044</x:v>
      </x:c>
      <x:c r="B365" s="17" t="str">
        <x:v>士林區</x:v>
      </x:c>
      <x:c r="C365" s="17" t="str">
        <x:v>蘭雅公園</x:v>
      </x:c>
      <x:c r="D365" s="18" t="n">
        <x:v>26</x:v>
      </x:c>
      <x:c r="E365" s="18" t="n">
        <x:v>26</x:v>
      </x:c>
      <x:c r="F365" s="24" t="n">
        <x:f>IFERROR('各站彙總來源'!F365/'各站彙總來源'!G365,"")</x:f>
        <x:v>10.076923076923077</x:v>
      </x:c>
      <x:c r="G365" s="19" t="n">
        <x:f>'各站彙總來源'!G365</x:f>
        <x:v>26</x:v>
      </x:c>
      <x:c r="H365" s="24" t="n">
        <x:f>IFERROR('各站彙總來源'!H365/'各站彙總來源'!I365,"")</x:f>
        <x:v>0.8076923076923077</x:v>
      </x:c>
      <x:c r="I365" s="19" t="n">
        <x:f>'各站彙總來源'!I365</x:f>
        <x:v>26</x:v>
      </x:c>
      <x:c r="J365" s="24" t="n">
        <x:f>IFERROR('各站彙總來源'!J365/'各站彙總來源'!K365,"")</x:f>
        <x:v>13.461538461538462</x:v>
      </x:c>
      <x:c r="K365" s="19" t="n">
        <x:f>'各站彙總來源'!K365</x:f>
        <x:v>26</x:v>
      </x:c>
      <x:c r="L365" s="24" t="n">
        <x:f>IFERROR('各站彙總來源'!L365/'各站彙總來源'!M365,"")</x:f>
        <x:v>2.1923076923076925</x:v>
      </x:c>
      <x:c r="M365" s="19" t="n">
        <x:f>'各站彙總來源'!M365</x:f>
        <x:v>26</x:v>
      </x:c>
      <x:c r="N365" s="24" t="n">
        <x:f>F365+H365</x:f>
        <x:v>10.884615384615385</x:v>
      </x:c>
      <x:c r="O365" s="24" t="n">
        <x:f>J365+L365</x:f>
        <x:v>15.653846153846153</x:v>
      </x:c>
    </x:row>
    <x:row r="366">
      <x:c r="A366" s="22" t="str">
        <x:v>500104045</x:v>
      </x:c>
      <x:c r="B366" s="17" t="str">
        <x:v>士林區</x:v>
      </x:c>
      <x:c r="C366" s="17" t="str">
        <x:v>聯合醫院陽明院區</x:v>
      </x:c>
      <x:c r="D366" s="18" t="n">
        <x:v>26</x:v>
      </x:c>
      <x:c r="E366" s="18" t="n">
        <x:v>26</x:v>
      </x:c>
      <x:c r="F366" s="24" t="n">
        <x:f>IFERROR('各站彙總來源'!F366/'各站彙總來源'!G366,"")</x:f>
        <x:v>4.461538461538462</x:v>
      </x:c>
      <x:c r="G366" s="19" t="n">
        <x:f>'各站彙總來源'!G366</x:f>
        <x:v>26</x:v>
      </x:c>
      <x:c r="H366" s="24" t="n">
        <x:f>IFERROR('各站彙總來源'!H366/'各站彙總來源'!I366,"")</x:f>
        <x:v>1.3076923076923077</x:v>
      </x:c>
      <x:c r="I366" s="19" t="n">
        <x:f>'各站彙總來源'!I366</x:f>
        <x:v>26</x:v>
      </x:c>
      <x:c r="J366" s="24" t="n">
        <x:f>IFERROR('各站彙總來源'!J366/'各站彙總來源'!K366,"")</x:f>
        <x:v>18.884615384615383</x:v>
      </x:c>
      <x:c r="K366" s="19" t="n">
        <x:f>'各站彙總來源'!K366</x:f>
        <x:v>26</x:v>
      </x:c>
      <x:c r="L366" s="24" t="n">
        <x:f>IFERROR('各站彙總來源'!L366/'各站彙總來源'!M366,"")</x:f>
        <x:v>1.0769230769230769</x:v>
      </x:c>
      <x:c r="M366" s="19" t="n">
        <x:f>'各站彙總來源'!M366</x:f>
        <x:v>26</x:v>
      </x:c>
      <x:c r="N366" s="24" t="n">
        <x:f>F366+H366</x:f>
        <x:v>5.769230769230769</x:v>
      </x:c>
      <x:c r="O366" s="24" t="n">
        <x:f>J366+L366</x:f>
        <x:v>19.96153846153846</x:v>
      </x:c>
    </x:row>
    <x:row r="367">
      <x:c r="A367" s="22" t="str">
        <x:v>500104046</x:v>
      </x:c>
      <x:c r="B367" s="17" t="str">
        <x:v>士林區</x:v>
      </x:c>
      <x:c r="C367" s="17" t="str">
        <x:v>捷運芝山站(1號出口)</x:v>
      </x:c>
      <x:c r="D367" s="18" t="n">
        <x:v>26</x:v>
      </x:c>
      <x:c r="E367" s="18" t="n">
        <x:v>26</x:v>
      </x:c>
      <x:c r="F367" s="24" t="n">
        <x:f>IFERROR('各站彙總來源'!F367/'各站彙總來源'!G367,"")</x:f>
        <x:v>26.53846153846154</x:v>
      </x:c>
      <x:c r="G367" s="19" t="n">
        <x:f>'各站彙總來源'!G367</x:f>
        <x:v>26</x:v>
      </x:c>
      <x:c r="H367" s="24" t="n">
        <x:f>IFERROR('各站彙總來源'!H367/'各站彙總來源'!I367,"")</x:f>
        <x:v>1.8076923076923077</x:v>
      </x:c>
      <x:c r="I367" s="19" t="n">
        <x:f>'各站彙總來源'!I367</x:f>
        <x:v>26</x:v>
      </x:c>
      <x:c r="J367" s="24" t="n">
        <x:f>IFERROR('各站彙總來源'!J367/'各站彙總來源'!K367,"")</x:f>
        <x:v>8.461538461538462</x:v>
      </x:c>
      <x:c r="K367" s="19" t="n">
        <x:f>'各站彙總來源'!K367</x:f>
        <x:v>26</x:v>
      </x:c>
      <x:c r="L367" s="24" t="n">
        <x:f>IFERROR('各站彙總來源'!L367/'各站彙總來源'!M367,"")</x:f>
        <x:v>1.6538461538461537</x:v>
      </x:c>
      <x:c r="M367" s="19" t="n">
        <x:f>'各站彙總來源'!M367</x:f>
        <x:v>26</x:v>
      </x:c>
      <x:c r="N367" s="24" t="n">
        <x:f>F367+H367</x:f>
        <x:v>28.346153846153847</x:v>
      </x:c>
      <x:c r="O367" s="24" t="n">
        <x:f>J367+L367</x:f>
        <x:v>10.115384615384615</x:v>
      </x:c>
    </x:row>
    <x:row r="368">
      <x:c r="A368" s="22" t="str">
        <x:v>500104047</x:v>
      </x:c>
      <x:c r="B368" s="17" t="str">
        <x:v>士林區</x:v>
      </x:c>
      <x:c r="C368" s="17" t="str">
        <x:v>至誠公園</x:v>
      </x:c>
      <x:c r="D368" s="18" t="n">
        <x:v>26</x:v>
      </x:c>
      <x:c r="E368" s="18" t="n">
        <x:v>26</x:v>
      </x:c>
      <x:c r="F368" s="24" t="n">
        <x:f>IFERROR('各站彙總來源'!F368/'各站彙總來源'!G368,"")</x:f>
        <x:v>8.73076923076923</x:v>
      </x:c>
      <x:c r="G368" s="19" t="n">
        <x:f>'各站彙總來源'!G368</x:f>
        <x:v>26</x:v>
      </x:c>
      <x:c r="H368" s="24" t="n">
        <x:f>IFERROR('各站彙總來源'!H368/'各站彙總來源'!I368,"")</x:f>
        <x:v>2.923076923076923</x:v>
      </x:c>
      <x:c r="I368" s="19" t="n">
        <x:f>'各站彙總來源'!I368</x:f>
        <x:v>26</x:v>
      </x:c>
      <x:c r="J368" s="24" t="n">
        <x:f>IFERROR('各站彙總來源'!J368/'各站彙總來源'!K368,"")</x:f>
        <x:v>8.576923076923077</x:v>
      </x:c>
      <x:c r="K368" s="19" t="n">
        <x:f>'各站彙總來源'!K368</x:f>
        <x:v>26</x:v>
      </x:c>
      <x:c r="L368" s="24" t="n">
        <x:f>IFERROR('各站彙總來源'!L368/'各站彙總來源'!M368,"")</x:f>
        <x:v>2.1923076923076925</x:v>
      </x:c>
      <x:c r="M368" s="19" t="n">
        <x:f>'各站彙總來源'!M368</x:f>
        <x:v>26</x:v>
      </x:c>
      <x:c r="N368" s="24" t="n">
        <x:f>F368+H368</x:f>
        <x:v>11.653846153846153</x:v>
      </x:c>
      <x:c r="O368" s="24" t="n">
        <x:f>J368+L368</x:f>
        <x:v>10.76923076923077</x:v>
      </x:c>
    </x:row>
    <x:row r="369">
      <x:c r="A369" s="22" t="str">
        <x:v>500104048</x:v>
      </x:c>
      <x:c r="B369" s="17" t="str">
        <x:v>士林區</x:v>
      </x:c>
      <x:c r="C369" s="17" t="str">
        <x:v>原住民文化主題公園</x:v>
      </x:c>
      <x:c r="D369" s="18" t="n">
        <x:v>26</x:v>
      </x:c>
      <x:c r="E369" s="18" t="n">
        <x:v>26</x:v>
      </x:c>
      <x:c r="F369" s="24" t="n">
        <x:f>IFERROR('各站彙總來源'!F369/'各站彙總來源'!G369,"")</x:f>
        <x:v>3.923076923076923</x:v>
      </x:c>
      <x:c r="G369" s="19" t="n">
        <x:f>'各站彙總來源'!G369</x:f>
        <x:v>26</x:v>
      </x:c>
      <x:c r="H369" s="24" t="n">
        <x:f>IFERROR('各站彙總來源'!H369/'各站彙總來源'!I369,"")</x:f>
        <x:v>2.730769230769231</x:v>
      </x:c>
      <x:c r="I369" s="19" t="n">
        <x:f>'各站彙總來源'!I369</x:f>
        <x:v>26</x:v>
      </x:c>
      <x:c r="J369" s="24" t="n">
        <x:f>IFERROR('各站彙總來源'!J369/'各站彙總來源'!K369,"")</x:f>
        <x:v>10.038461538461538</x:v>
      </x:c>
      <x:c r="K369" s="19" t="n">
        <x:f>'各站彙總來源'!K369</x:f>
        <x:v>26</x:v>
      </x:c>
      <x:c r="L369" s="24" t="n">
        <x:f>IFERROR('各站彙總來源'!L369/'各站彙總來源'!M369,"")</x:f>
        <x:v>3.9615384615384617</x:v>
      </x:c>
      <x:c r="M369" s="19" t="n">
        <x:f>'各站彙總來源'!M369</x:f>
        <x:v>26</x:v>
      </x:c>
      <x:c r="N369" s="24" t="n">
        <x:f>F369+H369</x:f>
        <x:v>6.653846153846153</x:v>
      </x:c>
      <x:c r="O369" s="24" t="n">
        <x:f>J369+L369</x:f>
        <x:v>14</x:v>
      </x:c>
    </x:row>
    <x:row r="370">
      <x:c r="A370" s="22" t="str">
        <x:v>500104049</x:v>
      </x:c>
      <x:c r="B370" s="17" t="str">
        <x:v>士林區</x:v>
      </x:c>
      <x:c r="C370" s="17" t="str">
        <x:v>通河東街2段10巷口</x:v>
      </x:c>
      <x:c r="D370" s="18" t="n">
        <x:v>26</x:v>
      </x:c>
      <x:c r="E370" s="18" t="n">
        <x:v>26</x:v>
      </x:c>
      <x:c r="F370" s="24" t="n">
        <x:f>IFERROR('各站彙總來源'!F370/'各站彙總來源'!G370,"")</x:f>
        <x:v>12.307692307692308</x:v>
      </x:c>
      <x:c r="G370" s="19" t="n">
        <x:f>'各站彙總來源'!G370</x:f>
        <x:v>26</x:v>
      </x:c>
      <x:c r="H370" s="24" t="n">
        <x:f>IFERROR('各站彙總來源'!H370/'各站彙總來源'!I370,"")</x:f>
        <x:v>3.8461538461538463</x:v>
      </x:c>
      <x:c r="I370" s="19" t="n">
        <x:f>'各站彙總來源'!I370</x:f>
        <x:v>26</x:v>
      </x:c>
      <x:c r="J370" s="24" t="n">
        <x:f>IFERROR('各站彙總來源'!J370/'各站彙總來源'!K370,"")</x:f>
        <x:v>7.269230769230769</x:v>
      </x:c>
      <x:c r="K370" s="19" t="n">
        <x:f>'各站彙總來源'!K370</x:f>
        <x:v>26</x:v>
      </x:c>
      <x:c r="L370" s="24" t="n">
        <x:f>IFERROR('各站彙總來源'!L370/'各站彙總來源'!M370,"")</x:f>
        <x:v>1.7307692307692308</x:v>
      </x:c>
      <x:c r="M370" s="19" t="n">
        <x:f>'各站彙總來源'!M370</x:f>
        <x:v>26</x:v>
      </x:c>
      <x:c r="N370" s="24" t="n">
        <x:f>F370+H370</x:f>
        <x:v>16.153846153846153</x:v>
      </x:c>
      <x:c r="O370" s="24" t="n">
        <x:f>J370+L370</x:f>
        <x:v>9</x:v>
      </x:c>
    </x:row>
    <x:row r="371">
      <x:c r="A371" s="22" t="str">
        <x:v>500104050</x:v>
      </x:c>
      <x:c r="B371" s="17" t="str">
        <x:v>士林區</x:v>
      </x:c>
      <x:c r="C371" s="17" t="str">
        <x:v>梅林新村</x:v>
      </x:c>
      <x:c r="D371" s="18" t="n">
        <x:v>26</x:v>
      </x:c>
      <x:c r="E371" s="18" t="n">
        <x:v>26</x:v>
      </x:c>
      <x:c r="F371" s="24" t="n">
        <x:f>IFERROR('各站彙總來源'!F371/'各站彙總來源'!G371,"")</x:f>
        <x:v>9.26923076923077</x:v>
      </x:c>
      <x:c r="G371" s="19" t="n">
        <x:f>'各站彙總來源'!G371</x:f>
        <x:v>26</x:v>
      </x:c>
      <x:c r="H371" s="24" t="n">
        <x:f>IFERROR('各站彙總來源'!H371/'各站彙總來源'!I371,"")</x:f>
        <x:v>0.8076923076923077</x:v>
      </x:c>
      <x:c r="I371" s="19" t="n">
        <x:f>'各站彙總來源'!I371</x:f>
        <x:v>26</x:v>
      </x:c>
      <x:c r="J371" s="24" t="n">
        <x:f>IFERROR('各站彙總來源'!J371/'各站彙總來源'!K371,"")</x:f>
        <x:v>12.884615384615385</x:v>
      </x:c>
      <x:c r="K371" s="19" t="n">
        <x:f>'各站彙總來源'!K371</x:f>
        <x:v>26</x:v>
      </x:c>
      <x:c r="L371" s="24" t="n">
        <x:f>IFERROR('各站彙總來源'!L371/'各站彙總來源'!M371,"")</x:f>
        <x:v>1.4615384615384615</x:v>
      </x:c>
      <x:c r="M371" s="19" t="n">
        <x:f>'各站彙總來源'!M371</x:f>
        <x:v>26</x:v>
      </x:c>
      <x:c r="N371" s="24" t="n">
        <x:f>F371+H371</x:f>
        <x:v>10.076923076923078</x:v>
      </x:c>
      <x:c r="O371" s="24" t="n">
        <x:f>J371+L371</x:f>
        <x:v>14.346153846153847</x:v>
      </x:c>
    </x:row>
    <x:row r="372">
      <x:c r="A372" s="22" t="str">
        <x:v>500104051</x:v>
      </x:c>
      <x:c r="B372" s="17" t="str">
        <x:v>士林區</x:v>
      </x:c>
      <x:c r="C372" s="17" t="str">
        <x:v>延平北中正路口</x:v>
      </x:c>
      <x:c r="D372" s="18" t="n">
        <x:v>26</x:v>
      </x:c>
      <x:c r="E372" s="18" t="n">
        <x:v>26</x:v>
      </x:c>
      <x:c r="F372" s="24" t="n">
        <x:f>IFERROR('各站彙總來源'!F372/'各站彙總來源'!G372,"")</x:f>
        <x:v>21.03846153846154</x:v>
      </x:c>
      <x:c r="G372" s="19" t="n">
        <x:f>'各站彙總來源'!G372</x:f>
        <x:v>26</x:v>
      </x:c>
      <x:c r="H372" s="24" t="n">
        <x:f>IFERROR('各站彙總來源'!H372/'各站彙總來源'!I372,"")</x:f>
        <x:v>5.5</x:v>
      </x:c>
      <x:c r="I372" s="19" t="n">
        <x:f>'各站彙總來源'!I372</x:f>
        <x:v>26</x:v>
      </x:c>
      <x:c r="J372" s="24" t="n">
        <x:f>IFERROR('各站彙總來源'!J372/'各站彙總來源'!K372,"")</x:f>
        <x:v>13.846153846153847</x:v>
      </x:c>
      <x:c r="K372" s="19" t="n">
        <x:f>'各站彙總來源'!K372</x:f>
        <x:v>26</x:v>
      </x:c>
      <x:c r="L372" s="24" t="n">
        <x:f>IFERROR('各站彙總來源'!L372/'各站彙總來源'!M372,"")</x:f>
        <x:v>2.8846153846153846</x:v>
      </x:c>
      <x:c r="M372" s="19" t="n">
        <x:f>'各站彙總來源'!M372</x:f>
        <x:v>26</x:v>
      </x:c>
      <x:c r="N372" s="24" t="n">
        <x:f>F372+H372</x:f>
        <x:v>26.53846153846154</x:v>
      </x:c>
      <x:c r="O372" s="24" t="n">
        <x:f>J372+L372</x:f>
        <x:v>16.73076923076923</x:v>
      </x:c>
    </x:row>
    <x:row r="373">
      <x:c r="A373" s="22" t="str">
        <x:v>500104052</x:v>
      </x:c>
      <x:c r="B373" s="17" t="str">
        <x:v>士林區</x:v>
      </x:c>
      <x:c r="C373" s="17" t="str">
        <x:v>重慶北路四段190巷口</x:v>
      </x:c>
      <x:c r="D373" s="18" t="n">
        <x:v>26</x:v>
      </x:c>
      <x:c r="E373" s="18" t="n">
        <x:v>26</x:v>
      </x:c>
      <x:c r="F373" s="24" t="n">
        <x:f>IFERROR('各站彙總來源'!F373/'各站彙總來源'!G373,"")</x:f>
        <x:v>6.653846153846154</x:v>
      </x:c>
      <x:c r="G373" s="19" t="n">
        <x:f>'各站彙總來源'!G373</x:f>
        <x:v>26</x:v>
      </x:c>
      <x:c r="H373" s="24" t="n">
        <x:f>IFERROR('各站彙總來源'!H373/'各站彙總來源'!I373,"")</x:f>
        <x:v>1.8461538461538463</x:v>
      </x:c>
      <x:c r="I373" s="19" t="n">
        <x:f>'各站彙總來源'!I373</x:f>
        <x:v>26</x:v>
      </x:c>
      <x:c r="J373" s="24" t="n">
        <x:f>IFERROR('各站彙總來源'!J373/'各站彙總來源'!K373,"")</x:f>
        <x:v>2.576923076923077</x:v>
      </x:c>
      <x:c r="K373" s="19" t="n">
        <x:f>'各站彙總來源'!K373</x:f>
        <x:v>26</x:v>
      </x:c>
      <x:c r="L373" s="24" t="n">
        <x:f>IFERROR('各站彙總來源'!L373/'各站彙總來源'!M373,"")</x:f>
        <x:v>0.6923076923076923</x:v>
      </x:c>
      <x:c r="M373" s="19" t="n">
        <x:f>'各站彙總來源'!M373</x:f>
        <x:v>26</x:v>
      </x:c>
      <x:c r="N373" s="24" t="n">
        <x:f>F373+H373</x:f>
        <x:v>8.5</x:v>
      </x:c>
      <x:c r="O373" s="24" t="n">
        <x:f>J373+L373</x:f>
        <x:v>3.269230769230769</x:v>
      </x:c>
    </x:row>
    <x:row r="374">
      <x:c r="A374" s="22" t="str">
        <x:v>500104053</x:v>
      </x:c>
      <x:c r="B374" s="17" t="str">
        <x:v>士林區</x:v>
      </x:c>
      <x:c r="C374" s="17" t="str">
        <x:v>重慶北葫東街口</x:v>
      </x:c>
      <x:c r="D374" s="18" t="n">
        <x:v>26</x:v>
      </x:c>
      <x:c r="E374" s="18" t="n">
        <x:v>26</x:v>
      </x:c>
      <x:c r="F374" s="24" t="n">
        <x:f>IFERROR('各站彙總來源'!F374/'各站彙總來源'!G374,"")</x:f>
        <x:v>1.8461538461538463</x:v>
      </x:c>
      <x:c r="G374" s="19" t="n">
        <x:f>'各站彙總來源'!G374</x:f>
        <x:v>26</x:v>
      </x:c>
      <x:c r="H374" s="24" t="n">
        <x:f>IFERROR('各站彙總來源'!H374/'各站彙總來源'!I374,"")</x:f>
        <x:v>0.5384615384615384</x:v>
      </x:c>
      <x:c r="I374" s="19" t="n">
        <x:f>'各站彙總來源'!I374</x:f>
        <x:v>26</x:v>
      </x:c>
      <x:c r="J374" s="24" t="n">
        <x:f>IFERROR('各站彙總來源'!J374/'各站彙總來源'!K374,"")</x:f>
        <x:v>1.1923076923076923</x:v>
      </x:c>
      <x:c r="K374" s="19" t="n">
        <x:f>'各站彙總來源'!K374</x:f>
        <x:v>26</x:v>
      </x:c>
      <x:c r="L374" s="24" t="n">
        <x:f>IFERROR('各站彙總來源'!L374/'各站彙總來源'!M374,"")</x:f>
        <x:v>0.4230769230769231</x:v>
      </x:c>
      <x:c r="M374" s="19" t="n">
        <x:f>'各站彙總來源'!M374</x:f>
        <x:v>26</x:v>
      </x:c>
      <x:c r="N374" s="24" t="n">
        <x:f>F374+H374</x:f>
        <x:v>2.3846153846153846</x:v>
      </x:c>
      <x:c r="O374" s="24" t="n">
        <x:f>J374+L374</x:f>
        <x:v>1.6153846153846154</x:v>
      </x:c>
    </x:row>
    <x:row r="375">
      <x:c r="A375" s="22" t="str">
        <x:v>500104054</x:v>
      </x:c>
      <x:c r="B375" s="17" t="str">
        <x:v>士林區</x:v>
      </x:c>
      <x:c r="C375" s="17" t="str">
        <x:v>葫蘆國小</x:v>
      </x:c>
      <x:c r="D375" s="18" t="n">
        <x:v>26</x:v>
      </x:c>
      <x:c r="E375" s="18" t="n">
        <x:v>26</x:v>
      </x:c>
      <x:c r="F375" s="24" t="n">
        <x:f>IFERROR('各站彙總來源'!F375/'各站彙總來源'!G375,"")</x:f>
        <x:v>19.26923076923077</x:v>
      </x:c>
      <x:c r="G375" s="19" t="n">
        <x:f>'各站彙總來源'!G375</x:f>
        <x:v>26</x:v>
      </x:c>
      <x:c r="H375" s="24" t="n">
        <x:f>IFERROR('各站彙總來源'!H375/'各站彙總來源'!I375,"")</x:f>
        <x:v>3.230769230769231</x:v>
      </x:c>
      <x:c r="I375" s="19" t="n">
        <x:f>'各站彙總來源'!I375</x:f>
        <x:v>26</x:v>
      </x:c>
      <x:c r="J375" s="24" t="n">
        <x:f>IFERROR('各站彙總來源'!J375/'各站彙總來源'!K375,"")</x:f>
        <x:v>10.538461538461538</x:v>
      </x:c>
      <x:c r="K375" s="19" t="n">
        <x:f>'各站彙總來源'!K375</x:f>
        <x:v>26</x:v>
      </x:c>
      <x:c r="L375" s="24" t="n">
        <x:f>IFERROR('各站彙總來源'!L375/'各站彙總來源'!M375,"")</x:f>
        <x:v>1.7692307692307692</x:v>
      </x:c>
      <x:c r="M375" s="19" t="n">
        <x:f>'各站彙總來源'!M375</x:f>
        <x:v>26</x:v>
      </x:c>
      <x:c r="N375" s="24" t="n">
        <x:f>F375+H375</x:f>
        <x:v>22.5</x:v>
      </x:c>
      <x:c r="O375" s="24" t="n">
        <x:f>J375+L375</x:f>
        <x:v>12.307692307692307</x:v>
      </x:c>
    </x:row>
    <x:row r="376">
      <x:c r="A376" s="22" t="str">
        <x:v>500104055</x:v>
      </x:c>
      <x:c r="B376" s="17" t="str">
        <x:v>士林區</x:v>
      </x:c>
      <x:c r="C376" s="17" t="str">
        <x:v>士林3號廣場</x:v>
      </x:c>
      <x:c r="D376" s="18" t="n">
        <x:v>26</x:v>
      </x:c>
      <x:c r="E376" s="18" t="n">
        <x:v>26</x:v>
      </x:c>
      <x:c r="F376" s="24" t="n">
        <x:f>IFERROR('各站彙總來源'!F376/'各站彙總來源'!G376,"")</x:f>
        <x:v>5.3076923076923075</x:v>
      </x:c>
      <x:c r="G376" s="19" t="n">
        <x:f>'各站彙總來源'!G376</x:f>
        <x:v>26</x:v>
      </x:c>
      <x:c r="H376" s="24" t="n">
        <x:f>IFERROR('各站彙總來源'!H376/'各站彙總來源'!I376,"")</x:f>
        <x:v>1.0769230769230769</x:v>
      </x:c>
      <x:c r="I376" s="19" t="n">
        <x:f>'各站彙總來源'!I376</x:f>
        <x:v>26</x:v>
      </x:c>
      <x:c r="J376" s="24" t="n">
        <x:f>IFERROR('各站彙總來源'!J376/'各站彙總來源'!K376,"")</x:f>
        <x:v>49.92307692307692</x:v>
      </x:c>
      <x:c r="K376" s="19" t="n">
        <x:f>'各站彙總來源'!K376</x:f>
        <x:v>26</x:v>
      </x:c>
      <x:c r="L376" s="24" t="n">
        <x:f>IFERROR('各站彙總來源'!L376/'各站彙總來源'!M376,"")</x:f>
        <x:v>4.076923076923077</x:v>
      </x:c>
      <x:c r="M376" s="19" t="n">
        <x:f>'各站彙總來源'!M376</x:f>
        <x:v>26</x:v>
      </x:c>
      <x:c r="N376" s="24" t="n">
        <x:f>F376+H376</x:f>
        <x:v>6.384615384615384</x:v>
      </x:c>
      <x:c r="O376" s="24" t="n">
        <x:f>J376+L376</x:f>
        <x:v>54</x:v>
      </x:c>
    </x:row>
    <x:row r="377">
      <x:c r="A377" s="22" t="str">
        <x:v>500104056</x:v>
      </x:c>
      <x:c r="B377" s="17" t="str">
        <x:v>士林區</x:v>
      </x:c>
      <x:c r="C377" s="17" t="str">
        <x:v>社正公園</x:v>
      </x:c>
      <x:c r="D377" s="18" t="n">
        <x:v>26</x:v>
      </x:c>
      <x:c r="E377" s="18" t="n">
        <x:v>26</x:v>
      </x:c>
      <x:c r="F377" s="24" t="n">
        <x:f>IFERROR('各站彙總來源'!F377/'各站彙總來源'!G377,"")</x:f>
        <x:v>5.538461538461538</x:v>
      </x:c>
      <x:c r="G377" s="19" t="n">
        <x:f>'各站彙總來源'!G377</x:f>
        <x:v>26</x:v>
      </x:c>
      <x:c r="H377" s="24" t="n">
        <x:f>IFERROR('各站彙總來源'!H377/'各站彙總來源'!I377,"")</x:f>
        <x:v>2.230769230769231</x:v>
      </x:c>
      <x:c r="I377" s="19" t="n">
        <x:f>'各站彙總來源'!I377</x:f>
        <x:v>26</x:v>
      </x:c>
      <x:c r="J377" s="24" t="n">
        <x:f>IFERROR('各站彙總來源'!J377/'各站彙總來源'!K377,"")</x:f>
        <x:v>2.923076923076923</x:v>
      </x:c>
      <x:c r="K377" s="19" t="n">
        <x:f>'各站彙總來源'!K377</x:f>
        <x:v>26</x:v>
      </x:c>
      <x:c r="L377" s="24" t="n">
        <x:f>IFERROR('各站彙總來源'!L377/'各站彙總來源'!M377,"")</x:f>
        <x:v>1.6923076923076923</x:v>
      </x:c>
      <x:c r="M377" s="19" t="n">
        <x:f>'各站彙總來源'!M377</x:f>
        <x:v>26</x:v>
      </x:c>
      <x:c r="N377" s="24" t="n">
        <x:f>F377+H377</x:f>
        <x:v>7.769230769230769</x:v>
      </x:c>
      <x:c r="O377" s="24" t="n">
        <x:f>J377+L377</x:f>
        <x:v>4.615384615384615</x:v>
      </x:c>
    </x:row>
    <x:row r="378">
      <x:c r="A378" s="22" t="str">
        <x:v>500104057</x:v>
      </x:c>
      <x:c r="B378" s="17" t="str">
        <x:v>士林區</x:v>
      </x:c>
      <x:c r="C378" s="17" t="str">
        <x:v>社子國小</x:v>
      </x:c>
      <x:c r="D378" s="18" t="n">
        <x:v>26</x:v>
      </x:c>
      <x:c r="E378" s="18" t="n">
        <x:v>26</x:v>
      </x:c>
      <x:c r="F378" s="24" t="n">
        <x:f>IFERROR('各站彙總來源'!F378/'各站彙總來源'!G378,"")</x:f>
        <x:v>6.153846153846154</x:v>
      </x:c>
      <x:c r="G378" s="19" t="n">
        <x:f>'各站彙總來源'!G378</x:f>
        <x:v>26</x:v>
      </x:c>
      <x:c r="H378" s="24" t="n">
        <x:f>IFERROR('各站彙總來源'!H378/'各站彙總來源'!I378,"")</x:f>
        <x:v>2.5</x:v>
      </x:c>
      <x:c r="I378" s="19" t="n">
        <x:f>'各站彙總來源'!I378</x:f>
        <x:v>26</x:v>
      </x:c>
      <x:c r="J378" s="24" t="n">
        <x:f>IFERROR('各站彙總來源'!J378/'各站彙總來源'!K378,"")</x:f>
        <x:v>5.653846153846154</x:v>
      </x:c>
      <x:c r="K378" s="19" t="n">
        <x:f>'各站彙總來源'!K378</x:f>
        <x:v>26</x:v>
      </x:c>
      <x:c r="L378" s="24" t="n">
        <x:f>IFERROR('各站彙總來源'!L378/'各站彙總來源'!M378,"")</x:f>
        <x:v>2.076923076923077</x:v>
      </x:c>
      <x:c r="M378" s="19" t="n">
        <x:f>'各站彙總來源'!M378</x:f>
        <x:v>26</x:v>
      </x:c>
      <x:c r="N378" s="24" t="n">
        <x:f>F378+H378</x:f>
        <x:v>8.653846153846153</x:v>
      </x:c>
      <x:c r="O378" s="24" t="n">
        <x:f>J378+L378</x:f>
        <x:v>7.730769230769232</x:v>
      </x:c>
    </x:row>
    <x:row r="379">
      <x:c r="A379" s="22" t="str">
        <x:v>500104058</x:v>
      </x:c>
      <x:c r="B379" s="17" t="str">
        <x:v>士林區</x:v>
      </x:c>
      <x:c r="C379" s="17" t="str">
        <x:v>社中街384巷口</x:v>
      </x:c>
      <x:c r="D379" s="18" t="n">
        <x:v>26</x:v>
      </x:c>
      <x:c r="E379" s="18" t="n">
        <x:v>26</x:v>
      </x:c>
      <x:c r="F379" s="24" t="n">
        <x:f>IFERROR('各站彙總來源'!F379/'各站彙總來源'!G379,"")</x:f>
        <x:v>10.576923076923077</x:v>
      </x:c>
      <x:c r="G379" s="19" t="n">
        <x:f>'各站彙總來源'!G379</x:f>
        <x:v>26</x:v>
      </x:c>
      <x:c r="H379" s="24" t="n">
        <x:f>IFERROR('各站彙總來源'!H379/'各站彙總來源'!I379,"")</x:f>
        <x:v>3.3076923076923075</x:v>
      </x:c>
      <x:c r="I379" s="19" t="n">
        <x:f>'各站彙總來源'!I379</x:f>
        <x:v>26</x:v>
      </x:c>
      <x:c r="J379" s="24" t="n">
        <x:f>IFERROR('各站彙總來源'!J379/'各站彙總來源'!K379,"")</x:f>
        <x:v>7.5</x:v>
      </x:c>
      <x:c r="K379" s="19" t="n">
        <x:f>'各站彙總來源'!K379</x:f>
        <x:v>26</x:v>
      </x:c>
      <x:c r="L379" s="24" t="n">
        <x:f>IFERROR('各站彙總來源'!L379/'各站彙總來源'!M379,"")</x:f>
        <x:v>2.923076923076923</x:v>
      </x:c>
      <x:c r="M379" s="19" t="n">
        <x:f>'各站彙總來源'!M379</x:f>
        <x:v>26</x:v>
      </x:c>
      <x:c r="N379" s="24" t="n">
        <x:f>F379+H379</x:f>
        <x:v>13.884615384615383</x:v>
      </x:c>
      <x:c r="O379" s="24" t="n">
        <x:f>J379+L379</x:f>
        <x:v>10.423076923076923</x:v>
      </x:c>
    </x:row>
    <x:row r="380">
      <x:c r="A380" s="22" t="str">
        <x:v>500104059</x:v>
      </x:c>
      <x:c r="B380" s="17" t="str">
        <x:v>士林區</x:v>
      </x:c>
      <x:c r="C380" s="17" t="str">
        <x:v>忠誠路一段138號</x:v>
      </x:c>
      <x:c r="D380" s="18" t="n">
        <x:v>26</x:v>
      </x:c>
      <x:c r="E380" s="18" t="n">
        <x:v>26</x:v>
      </x:c>
      <x:c r="F380" s="24" t="n">
        <x:f>IFERROR('各站彙總來源'!F380/'各站彙總來源'!G380,"")</x:f>
        <x:v>16.23076923076923</x:v>
      </x:c>
      <x:c r="G380" s="19" t="n">
        <x:f>'各站彙總來源'!G380</x:f>
        <x:v>26</x:v>
      </x:c>
      <x:c r="H380" s="24" t="n">
        <x:f>IFERROR('各站彙總來源'!H380/'各站彙總來源'!I380,"")</x:f>
        <x:v>2.8076923076923075</x:v>
      </x:c>
      <x:c r="I380" s="19" t="n">
        <x:f>'各站彙總來源'!I380</x:f>
        <x:v>26</x:v>
      </x:c>
      <x:c r="J380" s="24" t="n">
        <x:f>IFERROR('各站彙總來源'!J380/'各站彙總來源'!K380,"")</x:f>
        <x:v>5.653846153846154</x:v>
      </x:c>
      <x:c r="K380" s="19" t="n">
        <x:f>'各站彙總來源'!K380</x:f>
        <x:v>26</x:v>
      </x:c>
      <x:c r="L380" s="24" t="n">
        <x:f>IFERROR('各站彙總來源'!L380/'各站彙總來源'!M380,"")</x:f>
        <x:v>1.0384615384615385</x:v>
      </x:c>
      <x:c r="M380" s="19" t="n">
        <x:f>'各站彙總來源'!M380</x:f>
        <x:v>26</x:v>
      </x:c>
      <x:c r="N380" s="24" t="n">
        <x:f>F380+H380</x:f>
        <x:v>19.038461538461537</x:v>
      </x:c>
      <x:c r="O380" s="24" t="n">
        <x:f>J380+L380</x:f>
        <x:v>6.6923076923076925</x:v>
      </x:c>
    </x:row>
    <x:row r="381">
      <x:c r="A381" s="22" t="str">
        <x:v>500104060</x:v>
      </x:c>
      <x:c r="B381" s="17" t="str">
        <x:v>士林區</x:v>
      </x:c>
      <x:c r="C381" s="17" t="str">
        <x:v>社子公園</x:v>
      </x:c>
      <x:c r="D381" s="18" t="n">
        <x:v>26</x:v>
      </x:c>
      <x:c r="E381" s="18" t="n">
        <x:v>26</x:v>
      </x:c>
      <x:c r="F381" s="24" t="n">
        <x:f>IFERROR('各站彙總來源'!F381/'各站彙總來源'!G381,"")</x:f>
        <x:v>13.423076923076923</x:v>
      </x:c>
      <x:c r="G381" s="19" t="n">
        <x:f>'各站彙總來源'!G381</x:f>
        <x:v>26</x:v>
      </x:c>
      <x:c r="H381" s="24" t="n">
        <x:f>IFERROR('各站彙總來源'!H381/'各站彙總來源'!I381,"")</x:f>
        <x:v>3.769230769230769</x:v>
      </x:c>
      <x:c r="I381" s="19" t="n">
        <x:f>'各站彙總來源'!I381</x:f>
        <x:v>26</x:v>
      </x:c>
      <x:c r="J381" s="24" t="n">
        <x:f>IFERROR('各站彙總來源'!J381/'各站彙總來源'!K381,"")</x:f>
        <x:v>8.73076923076923</x:v>
      </x:c>
      <x:c r="K381" s="19" t="n">
        <x:f>'各站彙總來源'!K381</x:f>
        <x:v>26</x:v>
      </x:c>
      <x:c r="L381" s="24" t="n">
        <x:f>IFERROR('各站彙總來源'!L381/'各站彙總來源'!M381,"")</x:f>
        <x:v>2.6153846153846154</x:v>
      </x:c>
      <x:c r="M381" s="19" t="n">
        <x:f>'各站彙總來源'!M381</x:f>
        <x:v>26</x:v>
      </x:c>
      <x:c r="N381" s="24" t="n">
        <x:f>F381+H381</x:f>
        <x:v>17.192307692307693</x:v>
      </x:c>
      <x:c r="O381" s="24" t="n">
        <x:f>J381+L381</x:f>
        <x:v>11.346153846153845</x:v>
      </x:c>
    </x:row>
    <x:row r="382">
      <x:c r="A382" s="22" t="str">
        <x:v>500104061</x:v>
      </x:c>
      <x:c r="B382" s="17" t="str">
        <x:v>士林區</x:v>
      </x:c>
      <x:c r="C382" s="17" t="str">
        <x:v>國立故宮博物院</x:v>
      </x:c>
      <x:c r="D382" s="18" t="n">
        <x:v>26</x:v>
      </x:c>
      <x:c r="E382" s="18" t="n">
        <x:v>26</x:v>
      </x:c>
      <x:c r="F382" s="24" t="n">
        <x:f>IFERROR('各站彙總來源'!F382/'各站彙總來源'!G382,"")</x:f>
        <x:v>8.538461538461538</x:v>
      </x:c>
      <x:c r="G382" s="19" t="n">
        <x:f>'各站彙總來源'!G382</x:f>
        <x:v>26</x:v>
      </x:c>
      <x:c r="H382" s="24" t="n">
        <x:f>IFERROR('各站彙總來源'!H382/'各站彙總來源'!I382,"")</x:f>
        <x:v>2.423076923076923</x:v>
      </x:c>
      <x:c r="I382" s="19" t="n">
        <x:f>'各站彙總來源'!I382</x:f>
        <x:v>26</x:v>
      </x:c>
      <x:c r="J382" s="24" t="n">
        <x:f>IFERROR('各站彙總來源'!J382/'各站彙總來源'!K382,"")</x:f>
        <x:v>7.346153846153846</x:v>
      </x:c>
      <x:c r="K382" s="19" t="n">
        <x:f>'各站彙總來源'!K382</x:f>
        <x:v>26</x:v>
      </x:c>
      <x:c r="L382" s="24" t="n">
        <x:f>IFERROR('各站彙總來源'!L382/'各站彙總來源'!M382,"")</x:f>
        <x:v>3.8076923076923075</x:v>
      </x:c>
      <x:c r="M382" s="19" t="n">
        <x:f>'各站彙總來源'!M382</x:f>
        <x:v>26</x:v>
      </x:c>
      <x:c r="N382" s="24" t="n">
        <x:f>F382+H382</x:f>
        <x:v>10.961538461538462</x:v>
      </x:c>
      <x:c r="O382" s="24" t="n">
        <x:f>J382+L382</x:f>
        <x:v>11.153846153846153</x:v>
      </x:c>
    </x:row>
    <x:row r="383">
      <x:c r="A383" s="22" t="str">
        <x:v>500104062</x:v>
      </x:c>
      <x:c r="B383" s="17" t="str">
        <x:v>士林區</x:v>
      </x:c>
      <x:c r="C383" s="17" t="str">
        <x:v>泰北高中</x:v>
      </x:c>
      <x:c r="D383" s="18" t="n">
        <x:v>26</x:v>
      </x:c>
      <x:c r="E383" s="18" t="n">
        <x:v>26</x:v>
      </x:c>
      <x:c r="F383" s="24" t="n">
        <x:f>IFERROR('各站彙總來源'!F383/'各站彙總來源'!G383,"")</x:f>
        <x:v>5.846153846153846</x:v>
      </x:c>
      <x:c r="G383" s="19" t="n">
        <x:f>'各站彙總來源'!G383</x:f>
        <x:v>26</x:v>
      </x:c>
      <x:c r="H383" s="24" t="n">
        <x:f>IFERROR('各站彙總來源'!H383/'各站彙總來源'!I383,"")</x:f>
        <x:v>1.4615384615384615</x:v>
      </x:c>
      <x:c r="I383" s="19" t="n">
        <x:f>'各站彙總來源'!I383</x:f>
        <x:v>26</x:v>
      </x:c>
      <x:c r="J383" s="24" t="n">
        <x:f>IFERROR('各站彙總來源'!J383/'各站彙總來源'!K383,"")</x:f>
        <x:v>9.73076923076923</x:v>
      </x:c>
      <x:c r="K383" s="19" t="n">
        <x:f>'各站彙總來源'!K383</x:f>
        <x:v>26</x:v>
      </x:c>
      <x:c r="L383" s="24" t="n">
        <x:f>IFERROR('各站彙總來源'!L383/'各站彙總來源'!M383,"")</x:f>
        <x:v>2.1153846153846154</x:v>
      </x:c>
      <x:c r="M383" s="19" t="n">
        <x:f>'各站彙總來源'!M383</x:f>
        <x:v>26</x:v>
      </x:c>
      <x:c r="N383" s="24" t="n">
        <x:f>F383+H383</x:f>
        <x:v>7.3076923076923075</x:v>
      </x:c>
      <x:c r="O383" s="24" t="n">
        <x:f>J383+L383</x:f>
        <x:v>11.846153846153845</x:v>
      </x:c>
    </x:row>
    <x:row r="384">
      <x:c r="A384" s="22" t="str">
        <x:v>500104063</x:v>
      </x:c>
      <x:c r="B384" s="17" t="str">
        <x:v>士林區</x:v>
      </x:c>
      <x:c r="C384" s="17" t="str">
        <x:v>後港公園</x:v>
      </x:c>
      <x:c r="D384" s="18" t="n">
        <x:v>26</x:v>
      </x:c>
      <x:c r="E384" s="18" t="n">
        <x:v>26</x:v>
      </x:c>
      <x:c r="F384" s="24" t="n">
        <x:f>IFERROR('各站彙總來源'!F384/'各站彙總來源'!G384,"")</x:f>
        <x:v>9.346153846153847</x:v>
      </x:c>
      <x:c r="G384" s="19" t="n">
        <x:f>'各站彙總來源'!G384</x:f>
        <x:v>26</x:v>
      </x:c>
      <x:c r="H384" s="24" t="n">
        <x:f>IFERROR('各站彙總來源'!H384/'各站彙總來源'!I384,"")</x:f>
        <x:v>2.3461538461538463</x:v>
      </x:c>
      <x:c r="I384" s="19" t="n">
        <x:f>'各站彙總來源'!I384</x:f>
        <x:v>26</x:v>
      </x:c>
      <x:c r="J384" s="24" t="n">
        <x:f>IFERROR('各站彙總來源'!J384/'各站彙總來源'!K384,"")</x:f>
        <x:v>8.576923076923077</x:v>
      </x:c>
      <x:c r="K384" s="19" t="n">
        <x:f>'各站彙總來源'!K384</x:f>
        <x:v>26</x:v>
      </x:c>
      <x:c r="L384" s="24" t="n">
        <x:f>IFERROR('各站彙總來源'!L384/'各站彙總來源'!M384,"")</x:f>
        <x:v>1.7307692307692308</x:v>
      </x:c>
      <x:c r="M384" s="19" t="n">
        <x:f>'各站彙總來源'!M384</x:f>
        <x:v>26</x:v>
      </x:c>
      <x:c r="N384" s="24" t="n">
        <x:f>F384+H384</x:f>
        <x:v>11.692307692307693</x:v>
      </x:c>
      <x:c r="O384" s="24" t="n">
        <x:f>J384+L384</x:f>
        <x:v>10.307692307692307</x:v>
      </x:c>
    </x:row>
    <x:row r="385">
      <x:c r="A385" s="22" t="str">
        <x:v>500104064</x:v>
      </x:c>
      <x:c r="B385" s="17" t="str">
        <x:v>士林區</x:v>
      </x:c>
      <x:c r="C385" s="17" t="str">
        <x:v>重慶北路四段117號</x:v>
      </x:c>
      <x:c r="D385" s="18" t="n">
        <x:v>26</x:v>
      </x:c>
      <x:c r="E385" s="18" t="n">
        <x:v>26</x:v>
      </x:c>
      <x:c r="F385" s="24" t="n">
        <x:f>IFERROR('各站彙總來源'!F385/'各站彙總來源'!G385,"")</x:f>
        <x:v>12.807692307692308</x:v>
      </x:c>
      <x:c r="G385" s="19" t="n">
        <x:f>'各站彙總來源'!G385</x:f>
        <x:v>26</x:v>
      </x:c>
      <x:c r="H385" s="24" t="n">
        <x:f>IFERROR('各站彙總來源'!H385/'各站彙總來源'!I385,"")</x:f>
        <x:v>3.5</x:v>
      </x:c>
      <x:c r="I385" s="19" t="n">
        <x:f>'各站彙總來源'!I385</x:f>
        <x:v>26</x:v>
      </x:c>
      <x:c r="J385" s="24" t="n">
        <x:f>IFERROR('各站彙總來源'!J385/'各站彙總來源'!K385,"")</x:f>
        <x:v>8.115384615384615</x:v>
      </x:c>
      <x:c r="K385" s="19" t="n">
        <x:f>'各站彙總來源'!K385</x:f>
        <x:v>26</x:v>
      </x:c>
      <x:c r="L385" s="24" t="n">
        <x:f>IFERROR('各站彙總來源'!L385/'各站彙總來源'!M385,"")</x:f>
        <x:v>2</x:v>
      </x:c>
      <x:c r="M385" s="19" t="n">
        <x:f>'各站彙總來源'!M385</x:f>
        <x:v>26</x:v>
      </x:c>
      <x:c r="N385" s="24" t="n">
        <x:f>F385+H385</x:f>
        <x:v>16.307692307692307</x:v>
      </x:c>
      <x:c r="O385" s="24" t="n">
        <x:f>J385+L385</x:f>
        <x:v>10.115384615384615</x:v>
      </x:c>
    </x:row>
    <x:row r="386">
      <x:c r="A386" s="22" t="str">
        <x:v>500104065</x:v>
      </x:c>
      <x:c r="B386" s="17" t="str">
        <x:v>士林區</x:v>
      </x:c>
      <x:c r="C386" s="17" t="str">
        <x:v>社子島島頭公園</x:v>
      </x:c>
      <x:c r="D386" s="18" t="n">
        <x:v>26</x:v>
      </x:c>
      <x:c r="E386" s="18" t="n">
        <x:v>26</x:v>
      </x:c>
      <x:c r="F386" s="24" t="n">
        <x:f>IFERROR('各站彙總來源'!F386/'各站彙總來源'!G386,"")</x:f>
        <x:v>9.884615384615385</x:v>
      </x:c>
      <x:c r="G386" s="19" t="n">
        <x:f>'各站彙總來源'!G386</x:f>
        <x:v>26</x:v>
      </x:c>
      <x:c r="H386" s="24" t="n">
        <x:f>IFERROR('各站彙總來源'!H386/'各站彙總來源'!I386,"")</x:f>
        <x:v>2.6923076923076925</x:v>
      </x:c>
      <x:c r="I386" s="19" t="n">
        <x:f>'各站彙總來源'!I386</x:f>
        <x:v>26</x:v>
      </x:c>
      <x:c r="J386" s="24" t="n">
        <x:f>IFERROR('各站彙總來源'!J386/'各站彙總來源'!K386,"")</x:f>
        <x:v>10.576923076923077</x:v>
      </x:c>
      <x:c r="K386" s="19" t="n">
        <x:f>'各站彙總來源'!K386</x:f>
        <x:v>26</x:v>
      </x:c>
      <x:c r="L386" s="24" t="n">
        <x:f>IFERROR('各站彙總來源'!L386/'各站彙總來源'!M386,"")</x:f>
        <x:v>2.423076923076923</x:v>
      </x:c>
      <x:c r="M386" s="19" t="n">
        <x:f>'各站彙總來源'!M386</x:f>
        <x:v>26</x:v>
      </x:c>
      <x:c r="N386" s="24" t="n">
        <x:f>F386+H386</x:f>
        <x:v>12.576923076923077</x:v>
      </x:c>
      <x:c r="O386" s="24" t="n">
        <x:f>J386+L386</x:f>
        <x:v>13</x:v>
      </x:c>
    </x:row>
    <x:row r="387">
      <x:c r="A387" s="22" t="str">
        <x:v>500104066</x:v>
      </x:c>
      <x:c r="B387" s="17" t="str">
        <x:v>士林區</x:v>
      </x:c>
      <x:c r="C387" s="17" t="str">
        <x:v>延平北路八段133巷口</x:v>
      </x:c>
      <x:c r="D387" s="18" t="n">
        <x:v>26</x:v>
      </x:c>
      <x:c r="E387" s="18" t="n">
        <x:v>26</x:v>
      </x:c>
      <x:c r="F387" s="24" t="n">
        <x:f>IFERROR('各站彙總來源'!F387/'各站彙總來源'!G387,"")</x:f>
        <x:v>7.038461538461538</x:v>
      </x:c>
      <x:c r="G387" s="19" t="n">
        <x:f>'各站彙總來源'!G387</x:f>
        <x:v>26</x:v>
      </x:c>
      <x:c r="H387" s="24" t="n">
        <x:f>IFERROR('各站彙總來源'!H387/'各站彙總來源'!I387,"")</x:f>
        <x:v>1.9615384615384615</x:v>
      </x:c>
      <x:c r="I387" s="19" t="n">
        <x:f>'各站彙總來源'!I387</x:f>
        <x:v>26</x:v>
      </x:c>
      <x:c r="J387" s="24" t="n">
        <x:f>IFERROR('各站彙總來源'!J387/'各站彙總來源'!K387,"")</x:f>
        <x:v>8.73076923076923</x:v>
      </x:c>
      <x:c r="K387" s="19" t="n">
        <x:f>'各站彙總來源'!K387</x:f>
        <x:v>26</x:v>
      </x:c>
      <x:c r="L387" s="24" t="n">
        <x:f>IFERROR('各站彙總來源'!L387/'各站彙總來源'!M387,"")</x:f>
        <x:v>2.576923076923077</x:v>
      </x:c>
      <x:c r="M387" s="19" t="n">
        <x:f>'各站彙總來源'!M387</x:f>
        <x:v>26</x:v>
      </x:c>
      <x:c r="N387" s="24" t="n">
        <x:f>F387+H387</x:f>
        <x:v>9</x:v>
      </x:c>
      <x:c r="O387" s="24" t="n">
        <x:f>J387+L387</x:f>
        <x:v>11.307692307692307</x:v>
      </x:c>
    </x:row>
    <x:row r="388">
      <x:c r="A388" s="22" t="str">
        <x:v>500104067</x:v>
      </x:c>
      <x:c r="B388" s="17" t="str">
        <x:v>士林區</x:v>
      </x:c>
      <x:c r="C388" s="17" t="str">
        <x:v>坤天亭</x:v>
      </x:c>
      <x:c r="D388" s="18" t="n">
        <x:v>26</x:v>
      </x:c>
      <x:c r="E388" s="18" t="n">
        <x:v>26</x:v>
      </x:c>
      <x:c r="F388" s="24" t="n">
        <x:f>IFERROR('各站彙總來源'!F388/'各站彙總來源'!G388,"")</x:f>
        <x:v>4.846153846153846</x:v>
      </x:c>
      <x:c r="G388" s="19" t="n">
        <x:f>'各站彙總來源'!G388</x:f>
        <x:v>26</x:v>
      </x:c>
      <x:c r="H388" s="24" t="n">
        <x:f>IFERROR('各站彙總來源'!H388/'各站彙總來源'!I388,"")</x:f>
        <x:v>3.3076923076923075</x:v>
      </x:c>
      <x:c r="I388" s="19" t="n">
        <x:f>'各站彙總來源'!I388</x:f>
        <x:v>26</x:v>
      </x:c>
      <x:c r="J388" s="24" t="n">
        <x:f>IFERROR('各站彙總來源'!J388/'各站彙總來源'!K388,"")</x:f>
        <x:v>4.423076923076923</x:v>
      </x:c>
      <x:c r="K388" s="19" t="n">
        <x:f>'各站彙總來源'!K388</x:f>
        <x:v>26</x:v>
      </x:c>
      <x:c r="L388" s="24" t="n">
        <x:f>IFERROR('各站彙總來源'!L388/'各站彙總來源'!M388,"")</x:f>
        <x:v>2.6538461538461537</x:v>
      </x:c>
      <x:c r="M388" s="19" t="n">
        <x:f>'各站彙總來源'!M388</x:f>
        <x:v>26</x:v>
      </x:c>
      <x:c r="N388" s="24" t="n">
        <x:f>F388+H388</x:f>
        <x:v>8.153846153846153</x:v>
      </x:c>
      <x:c r="O388" s="24" t="n">
        <x:f>J388+L388</x:f>
        <x:v>7.076923076923077</x:v>
      </x:c>
    </x:row>
    <x:row r="389">
      <x:c r="A389" s="22" t="str">
        <x:v>500104068</x:v>
      </x:c>
      <x:c r="B389" s="17" t="str">
        <x:v>士林區</x:v>
      </x:c>
      <x:c r="C389" s="17" t="str">
        <x:v>社子島濕地解說小築</x:v>
      </x:c>
      <x:c r="D389" s="18" t="n">
        <x:v>26</x:v>
      </x:c>
      <x:c r="E389" s="18" t="n">
        <x:v>26</x:v>
      </x:c>
      <x:c r="F389" s="24" t="n">
        <x:f>IFERROR('各站彙總來源'!F389/'各站彙總來源'!G389,"")</x:f>
        <x:v>4.384615384615385</x:v>
      </x:c>
      <x:c r="G389" s="19" t="n">
        <x:f>'各站彙總來源'!G389</x:f>
        <x:v>26</x:v>
      </x:c>
      <x:c r="H389" s="24" t="n">
        <x:f>IFERROR('各站彙總來源'!H389/'各站彙總來源'!I389,"")</x:f>
        <x:v>3.1923076923076925</x:v>
      </x:c>
      <x:c r="I389" s="19" t="n">
        <x:f>'各站彙總來源'!I389</x:f>
        <x:v>26</x:v>
      </x:c>
      <x:c r="J389" s="24" t="n">
        <x:f>IFERROR('各站彙總來源'!J389/'各站彙總來源'!K389,"")</x:f>
        <x:v>5.269230769230769</x:v>
      </x:c>
      <x:c r="K389" s="19" t="n">
        <x:f>'各站彙總來源'!K389</x:f>
        <x:v>26</x:v>
      </x:c>
      <x:c r="L389" s="24" t="n">
        <x:f>IFERROR('各站彙總來源'!L389/'各站彙總來源'!M389,"")</x:f>
        <x:v>2.1538461538461537</x:v>
      </x:c>
      <x:c r="M389" s="19" t="n">
        <x:f>'各站彙總來源'!M389</x:f>
        <x:v>26</x:v>
      </x:c>
      <x:c r="N389" s="24" t="n">
        <x:f>F389+H389</x:f>
        <x:v>7.5769230769230775</x:v>
      </x:c>
      <x:c r="O389" s="24" t="n">
        <x:f>J389+L389</x:f>
        <x:v>7.423076923076923</x:v>
      </x:c>
    </x:row>
    <x:row r="390">
      <x:c r="A390" s="22" t="str">
        <x:v>500104069</x:v>
      </x:c>
      <x:c r="B390" s="17" t="str">
        <x:v>士林區</x:v>
      </x:c>
      <x:c r="C390" s="17" t="str">
        <x:v>福安國中</x:v>
      </x:c>
      <x:c r="D390" s="18" t="n">
        <x:v>26</x:v>
      </x:c>
      <x:c r="E390" s="18" t="n">
        <x:v>26</x:v>
      </x:c>
      <x:c r="F390" s="24" t="n">
        <x:f>IFERROR('各站彙總來源'!F390/'各站彙總來源'!G390,"")</x:f>
        <x:v>0</x:v>
      </x:c>
      <x:c r="G390" s="19" t="n">
        <x:f>'各站彙總來源'!G390</x:f>
        <x:v>26</x:v>
      </x:c>
      <x:c r="H390" s="24" t="n">
        <x:f>IFERROR('各站彙總來源'!H390/'各站彙總來源'!I390,"")</x:f>
        <x:v>0</x:v>
      </x:c>
      <x:c r="I390" s="19" t="n">
        <x:f>'各站彙總來源'!I390</x:f>
        <x:v>26</x:v>
      </x:c>
      <x:c r="J390" s="24" t="n">
        <x:f>IFERROR('各站彙總來源'!J390/'各站彙總來源'!K390,"")</x:f>
        <x:v>0</x:v>
      </x:c>
      <x:c r="K390" s="19" t="n">
        <x:f>'各站彙總來源'!K390</x:f>
        <x:v>26</x:v>
      </x:c>
      <x:c r="L390" s="24" t="n">
        <x:f>IFERROR('各站彙總來源'!L390/'各站彙總來源'!M390,"")</x:f>
        <x:v>0</x:v>
      </x:c>
      <x:c r="M390" s="19" t="n">
        <x:f>'各站彙總來源'!M390</x:f>
        <x:v>26</x:v>
      </x:c>
      <x:c r="N390" s="24" t="n">
        <x:f>F390+H390</x:f>
        <x:v>0</x:v>
      </x:c>
      <x:c r="O390" s="24" t="n">
        <x:f>J390+L390</x:f>
        <x:v>0</x:v>
      </x:c>
    </x:row>
    <x:row r="391">
      <x:c r="A391" s="22" t="str">
        <x:v>500104070</x:v>
      </x:c>
      <x:c r="B391" s="17" t="str">
        <x:v>士林區</x:v>
      </x:c>
      <x:c r="C391" s="17" t="str">
        <x:v>福安消防分隊</x:v>
      </x:c>
      <x:c r="D391" s="18" t="n">
        <x:v>26</x:v>
      </x:c>
      <x:c r="E391" s="18" t="n">
        <x:v>26</x:v>
      </x:c>
      <x:c r="F391" s="24" t="n">
        <x:f>IFERROR('各站彙總來源'!F391/'各站彙總來源'!G391,"")</x:f>
        <x:v>4.961538461538462</x:v>
      </x:c>
      <x:c r="G391" s="19" t="n">
        <x:f>'各站彙總來源'!G391</x:f>
        <x:v>26</x:v>
      </x:c>
      <x:c r="H391" s="24" t="n">
        <x:f>IFERROR('各站彙總來源'!H391/'各站彙總來源'!I391,"")</x:f>
        <x:v>1.2307692307692308</x:v>
      </x:c>
      <x:c r="I391" s="19" t="n">
        <x:f>'各站彙總來源'!I391</x:f>
        <x:v>26</x:v>
      </x:c>
      <x:c r="J391" s="24" t="n">
        <x:f>IFERROR('各站彙總來源'!J391/'各站彙總來源'!K391,"")</x:f>
        <x:v>7.769230769230769</x:v>
      </x:c>
      <x:c r="K391" s="19" t="n">
        <x:f>'各站彙總來源'!K391</x:f>
        <x:v>26</x:v>
      </x:c>
      <x:c r="L391" s="24" t="n">
        <x:f>IFERROR('各站彙總來源'!L391/'各站彙總來源'!M391,"")</x:f>
        <x:v>1.6923076923076923</x:v>
      </x:c>
      <x:c r="M391" s="19" t="n">
        <x:f>'各站彙總來源'!M391</x:f>
        <x:v>26</x:v>
      </x:c>
      <x:c r="N391" s="24" t="n">
        <x:f>F391+H391</x:f>
        <x:v>6.1923076923076925</x:v>
      </x:c>
      <x:c r="O391" s="24" t="n">
        <x:f>J391+L391</x:f>
        <x:v>9.461538461538462</x:v>
      </x:c>
    </x:row>
    <x:row r="392">
      <x:c r="A392" s="22" t="str">
        <x:v>500104071</x:v>
      </x:c>
      <x:c r="B392" s="17" t="str">
        <x:v>士林區</x:v>
      </x:c>
      <x:c r="C392" s="17" t="str">
        <x:v>聖山綠地</x:v>
      </x:c>
      <x:c r="D392" s="18" t="n">
        <x:v>26</x:v>
      </x:c>
      <x:c r="E392" s="18" t="n">
        <x:v>26</x:v>
      </x:c>
      <x:c r="F392" s="24" t="n">
        <x:f>IFERROR('各站彙總來源'!F392/'各站彙總來源'!G392,"")</x:f>
        <x:v>15.615384615384615</x:v>
      </x:c>
      <x:c r="G392" s="19" t="n">
        <x:f>'各站彙總來源'!G392</x:f>
        <x:v>26</x:v>
      </x:c>
      <x:c r="H392" s="24" t="n">
        <x:f>IFERROR('各站彙總來源'!H392/'各站彙總來源'!I392,"")</x:f>
        <x:v>2.269230769230769</x:v>
      </x:c>
      <x:c r="I392" s="19" t="n">
        <x:f>'各站彙總來源'!I392</x:f>
        <x:v>26</x:v>
      </x:c>
      <x:c r="J392" s="24" t="n">
        <x:f>IFERROR('各站彙總來源'!J392/'各站彙總來源'!K392,"")</x:f>
        <x:v>5.115384615384615</x:v>
      </x:c>
      <x:c r="K392" s="19" t="n">
        <x:f>'各站彙總來源'!K392</x:f>
        <x:v>26</x:v>
      </x:c>
      <x:c r="L392" s="24" t="n">
        <x:f>IFERROR('各站彙總來源'!L392/'各站彙總來源'!M392,"")</x:f>
        <x:v>1.3846153846153846</x:v>
      </x:c>
      <x:c r="M392" s="19" t="n">
        <x:f>'各站彙總來源'!M392</x:f>
        <x:v>26</x:v>
      </x:c>
      <x:c r="N392" s="24" t="n">
        <x:f>F392+H392</x:f>
        <x:v>17.884615384615383</x:v>
      </x:c>
      <x:c r="O392" s="24" t="n">
        <x:f>J392+L392</x:f>
        <x:v>6.5</x:v>
      </x:c>
    </x:row>
    <x:row r="393">
      <x:c r="A393" s="22" t="str">
        <x:v>500104072</x:v>
      </x:c>
      <x:c r="B393" s="17" t="str">
        <x:v>士林區</x:v>
      </x:c>
      <x:c r="C393" s="17" t="str">
        <x:v>芝山國小</x:v>
      </x:c>
      <x:c r="D393" s="18" t="n">
        <x:v>26</x:v>
      </x:c>
      <x:c r="E393" s="18" t="n">
        <x:v>26</x:v>
      </x:c>
      <x:c r="F393" s="24" t="n">
        <x:f>IFERROR('各站彙總來源'!F393/'各站彙總來源'!G393,"")</x:f>
        <x:v>51.80769230769231</x:v>
      </x:c>
      <x:c r="G393" s="19" t="n">
        <x:f>'各站彙總來源'!G393</x:f>
        <x:v>26</x:v>
      </x:c>
      <x:c r="H393" s="24" t="n">
        <x:f>IFERROR('各站彙總來源'!H393/'各站彙總來源'!I393,"")</x:f>
        <x:v>4.3076923076923075</x:v>
      </x:c>
      <x:c r="I393" s="19" t="n">
        <x:f>'各站彙總來源'!I393</x:f>
        <x:v>26</x:v>
      </x:c>
      <x:c r="J393" s="24" t="n">
        <x:f>IFERROR('各站彙總來源'!J393/'各站彙總來源'!K393,"")</x:f>
        <x:v>12.23076923076923</x:v>
      </x:c>
      <x:c r="K393" s="19" t="n">
        <x:f>'各站彙總來源'!K393</x:f>
        <x:v>26</x:v>
      </x:c>
      <x:c r="L393" s="24" t="n">
        <x:f>IFERROR('各站彙總來源'!L393/'各站彙總來源'!M393,"")</x:f>
        <x:v>1.8846153846153846</x:v>
      </x:c>
      <x:c r="M393" s="19" t="n">
        <x:f>'各站彙總來源'!M393</x:f>
        <x:v>26</x:v>
      </x:c>
      <x:c r="N393" s="24" t="n">
        <x:f>F393+H393</x:f>
        <x:v>56.11538461538461</x:v>
      </x:c>
      <x:c r="O393" s="24" t="n">
        <x:f>J393+L393</x:f>
        <x:v>14.115384615384615</x:v>
      </x:c>
    </x:row>
    <x:row r="394">
      <x:c r="A394" s="22" t="str">
        <x:v>500104073</x:v>
      </x:c>
      <x:c r="B394" s="17" t="str">
        <x:v>士林區</x:v>
      </x:c>
      <x:c r="C394" s="17" t="str">
        <x:v>士林新天地</x:v>
      </x:c>
      <x:c r="D394" s="18" t="n">
        <x:v>26</x:v>
      </x:c>
      <x:c r="E394" s="18" t="n">
        <x:v>26</x:v>
      </x:c>
      <x:c r="F394" s="24" t="n">
        <x:f>IFERROR('各站彙總來源'!F394/'各站彙總來源'!G394,"")</x:f>
        <x:v>18.53846153846154</x:v>
      </x:c>
      <x:c r="G394" s="19" t="n">
        <x:f>'各站彙總來源'!G394</x:f>
        <x:v>26</x:v>
      </x:c>
      <x:c r="H394" s="24" t="n">
        <x:f>IFERROR('各站彙總來源'!H394/'各站彙總來源'!I394,"")</x:f>
        <x:v>4.615384615384615</x:v>
      </x:c>
      <x:c r="I394" s="19" t="n">
        <x:f>'各站彙總來源'!I394</x:f>
        <x:v>26</x:v>
      </x:c>
      <x:c r="J394" s="24" t="n">
        <x:f>IFERROR('各站彙總來源'!J394/'各站彙總來源'!K394,"")</x:f>
        <x:v>7.038461538461538</x:v>
      </x:c>
      <x:c r="K394" s="19" t="n">
        <x:f>'各站彙總來源'!K394</x:f>
        <x:v>26</x:v>
      </x:c>
      <x:c r="L394" s="24" t="n">
        <x:f>IFERROR('各站彙總來源'!L394/'各站彙總來源'!M394,"")</x:f>
        <x:v>2.0384615384615383</x:v>
      </x:c>
      <x:c r="M394" s="19" t="n">
        <x:f>'各站彙總來源'!M394</x:f>
        <x:v>26</x:v>
      </x:c>
      <x:c r="N394" s="24" t="n">
        <x:f>F394+H394</x:f>
        <x:v>23.153846153846153</x:v>
      </x:c>
      <x:c r="O394" s="24" t="n">
        <x:f>J394+L394</x:f>
        <x:v>9.076923076923077</x:v>
      </x:c>
    </x:row>
    <x:row r="395">
      <x:c r="A395" s="22" t="str">
        <x:v>500104074</x:v>
      </x:c>
      <x:c r="B395" s="17" t="str">
        <x:v>士林區</x:v>
      </x:c>
      <x:c r="C395" s="17" t="str">
        <x:v>蘭雅國小</x:v>
      </x:c>
      <x:c r="D395" s="18" t="n">
        <x:v>26</x:v>
      </x:c>
      <x:c r="E395" s="18" t="n">
        <x:v>26</x:v>
      </x:c>
      <x:c r="F395" s="24" t="n">
        <x:f>IFERROR('各站彙總來源'!F395/'各站彙總來源'!G395,"")</x:f>
        <x:v>25.423076923076923</x:v>
      </x:c>
      <x:c r="G395" s="19" t="n">
        <x:f>'各站彙總來源'!G395</x:f>
        <x:v>26</x:v>
      </x:c>
      <x:c r="H395" s="24" t="n">
        <x:f>IFERROR('各站彙總來源'!H395/'各站彙總來源'!I395,"")</x:f>
        <x:v>1.9230769230769231</x:v>
      </x:c>
      <x:c r="I395" s="19" t="n">
        <x:f>'各站彙總來源'!I395</x:f>
        <x:v>26</x:v>
      </x:c>
      <x:c r="J395" s="24" t="n">
        <x:f>IFERROR('各站彙總來源'!J395/'各站彙總來源'!K395,"")</x:f>
        <x:v>7.576923076923077</x:v>
      </x:c>
      <x:c r="K395" s="19" t="n">
        <x:f>'各站彙總來源'!K395</x:f>
        <x:v>26</x:v>
      </x:c>
      <x:c r="L395" s="24" t="n">
        <x:f>IFERROR('各站彙總來源'!L395/'各站彙總來源'!M395,"")</x:f>
        <x:v>1.3461538461538463</x:v>
      </x:c>
      <x:c r="M395" s="19" t="n">
        <x:f>'各站彙總來源'!M395</x:f>
        <x:v>26</x:v>
      </x:c>
      <x:c r="N395" s="24" t="n">
        <x:f>F395+H395</x:f>
        <x:v>27.346153846153847</x:v>
      </x:c>
      <x:c r="O395" s="24" t="n">
        <x:f>J395+L395</x:f>
        <x:v>8.923076923076923</x:v>
      </x:c>
    </x:row>
    <x:row r="396">
      <x:c r="A396" s="22" t="str">
        <x:v>500104075</x:v>
      </x:c>
      <x:c r="B396" s="17" t="str">
        <x:v>士林區</x:v>
      </x:c>
      <x:c r="C396" s="17" t="str">
        <x:v>中正基河路口</x:v>
      </x:c>
      <x:c r="D396" s="18" t="n">
        <x:v>26</x:v>
      </x:c>
      <x:c r="E396" s="18" t="n">
        <x:v>26</x:v>
      </x:c>
      <x:c r="F396" s="24" t="n">
        <x:f>IFERROR('各站彙總來源'!F396/'各站彙總來源'!G396,"")</x:f>
        <x:v>12.26923076923077</x:v>
      </x:c>
      <x:c r="G396" s="19" t="n">
        <x:f>'各站彙總來源'!G396</x:f>
        <x:v>26</x:v>
      </x:c>
      <x:c r="H396" s="24" t="n">
        <x:f>IFERROR('各站彙總來源'!H396/'各站彙總來源'!I396,"")</x:f>
        <x:v>2.1153846153846154</x:v>
      </x:c>
      <x:c r="I396" s="19" t="n">
        <x:f>'各站彙總來源'!I396</x:f>
        <x:v>26</x:v>
      </x:c>
      <x:c r="J396" s="24" t="n">
        <x:f>IFERROR('各站彙總來源'!J396/'各站彙總來源'!K396,"")</x:f>
        <x:v>19.96153846153846</x:v>
      </x:c>
      <x:c r="K396" s="19" t="n">
        <x:f>'各站彙總來源'!K396</x:f>
        <x:v>26</x:v>
      </x:c>
      <x:c r="L396" s="24" t="n">
        <x:f>IFERROR('各站彙總來源'!L396/'各站彙總來源'!M396,"")</x:f>
        <x:v>3.6538461538461537</x:v>
      </x:c>
      <x:c r="M396" s="19" t="n">
        <x:f>'各站彙總來源'!M396</x:f>
        <x:v>26</x:v>
      </x:c>
      <x:c r="N396" s="24" t="n">
        <x:f>F396+H396</x:f>
        <x:v>14.384615384615385</x:v>
      </x:c>
      <x:c r="O396" s="24" t="n">
        <x:f>J396+L396</x:f>
        <x:v>23.615384615384613</x:v>
      </x:c>
    </x:row>
    <x:row r="397">
      <x:c r="A397" s="22" t="str">
        <x:v>500104076</x:v>
      </x:c>
      <x:c r="B397" s="17" t="str">
        <x:v>士林區</x:v>
      </x:c>
      <x:c r="C397" s="17" t="str">
        <x:v>福林公園(福林路)</x:v>
      </x:c>
      <x:c r="D397" s="18" t="n">
        <x:v>26</x:v>
      </x:c>
      <x:c r="E397" s="18" t="n">
        <x:v>26</x:v>
      </x:c>
      <x:c r="F397" s="24" t="n">
        <x:f>IFERROR('各站彙總來源'!F397/'各站彙總來源'!G397,"")</x:f>
        <x:v>7.230769230769231</x:v>
      </x:c>
      <x:c r="G397" s="19" t="n">
        <x:f>'各站彙總來源'!G397</x:f>
        <x:v>26</x:v>
      </x:c>
      <x:c r="H397" s="24" t="n">
        <x:f>IFERROR('各站彙總來源'!H397/'各站彙總來源'!I397,"")</x:f>
        <x:v>1.9230769230769231</x:v>
      </x:c>
      <x:c r="I397" s="19" t="n">
        <x:f>'各站彙總來源'!I397</x:f>
        <x:v>26</x:v>
      </x:c>
      <x:c r="J397" s="24" t="n">
        <x:f>IFERROR('各站彙總來源'!J397/'各站彙總來源'!K397,"")</x:f>
        <x:v>10.692307692307692</x:v>
      </x:c>
      <x:c r="K397" s="19" t="n">
        <x:f>'各站彙總來源'!K397</x:f>
        <x:v>26</x:v>
      </x:c>
      <x:c r="L397" s="24" t="n">
        <x:f>IFERROR('各站彙總來源'!L397/'各站彙總來源'!M397,"")</x:f>
        <x:v>2.0384615384615383</x:v>
      </x:c>
      <x:c r="M397" s="19" t="n">
        <x:f>'各站彙總來源'!M397</x:f>
        <x:v>26</x:v>
      </x:c>
      <x:c r="N397" s="24" t="n">
        <x:f>F397+H397</x:f>
        <x:v>9.153846153846153</x:v>
      </x:c>
      <x:c r="O397" s="24" t="n">
        <x:f>J397+L397</x:f>
        <x:v>12.73076923076923</x:v>
      </x:c>
    </x:row>
    <x:row r="398">
      <x:c r="A398" s="22" t="str">
        <x:v>500104077</x:v>
      </x:c>
      <x:c r="B398" s="17" t="str">
        <x:v>士林區</x:v>
      </x:c>
      <x:c r="C398" s="17" t="str">
        <x:v>至善臨溪路口</x:v>
      </x:c>
      <x:c r="D398" s="18" t="n">
        <x:v>26</x:v>
      </x:c>
      <x:c r="E398" s="18" t="n">
        <x:v>26</x:v>
      </x:c>
      <x:c r="F398" s="24" t="n">
        <x:f>IFERROR('各站彙總來源'!F398/'各站彙總來源'!G398,"")</x:f>
        <x:v>7.230769230769231</x:v>
      </x:c>
      <x:c r="G398" s="19" t="n">
        <x:f>'各站彙總來源'!G398</x:f>
        <x:v>26</x:v>
      </x:c>
      <x:c r="H398" s="24" t="n">
        <x:f>IFERROR('各站彙總來源'!H398/'各站彙總來源'!I398,"")</x:f>
        <x:v>1.7692307692307692</x:v>
      </x:c>
      <x:c r="I398" s="19" t="n">
        <x:f>'各站彙總來源'!I398</x:f>
        <x:v>26</x:v>
      </x:c>
      <x:c r="J398" s="24" t="n">
        <x:f>IFERROR('各站彙總來源'!J398/'各站彙總來源'!K398,"")</x:f>
        <x:v>16.46153846153846</x:v>
      </x:c>
      <x:c r="K398" s="19" t="n">
        <x:f>'各站彙總來源'!K398</x:f>
        <x:v>26</x:v>
      </x:c>
      <x:c r="L398" s="24" t="n">
        <x:f>IFERROR('各站彙總來源'!L398/'各站彙總來源'!M398,"")</x:f>
        <x:v>4.269230769230769</x:v>
      </x:c>
      <x:c r="M398" s="19" t="n">
        <x:f>'各站彙總來源'!M398</x:f>
        <x:v>26</x:v>
      </x:c>
      <x:c r="N398" s="24" t="n">
        <x:f>F398+H398</x:f>
        <x:v>9</x:v>
      </x:c>
      <x:c r="O398" s="24" t="n">
        <x:f>J398+L398</x:f>
        <x:v>20.73076923076923</x:v>
      </x:c>
    </x:row>
    <x:row r="399">
      <x:c r="A399" s="22" t="str">
        <x:v>500104078</x:v>
      </x:c>
      <x:c r="B399" s="17" t="str">
        <x:v>士林區</x:v>
      </x:c>
      <x:c r="C399" s="17" t="str">
        <x:v>市立圖書館葫蘆堵分館</x:v>
      </x:c>
      <x:c r="D399" s="18" t="n">
        <x:v>26</x:v>
      </x:c>
      <x:c r="E399" s="18" t="n">
        <x:v>26</x:v>
      </x:c>
      <x:c r="F399" s="24" t="n">
        <x:f>IFERROR('各站彙總來源'!F399/'各站彙總來源'!G399,"")</x:f>
        <x:v>13.73076923076923</x:v>
      </x:c>
      <x:c r="G399" s="19" t="n">
        <x:f>'各站彙總來源'!G399</x:f>
        <x:v>26</x:v>
      </x:c>
      <x:c r="H399" s="24" t="n">
        <x:f>IFERROR('各站彙總來源'!H399/'各站彙總來源'!I399,"")</x:f>
        <x:v>2.923076923076923</x:v>
      </x:c>
      <x:c r="I399" s="19" t="n">
        <x:f>'各站彙總來源'!I399</x:f>
        <x:v>26</x:v>
      </x:c>
      <x:c r="J399" s="24" t="n">
        <x:f>IFERROR('各站彙總來源'!J399/'各站彙總來源'!K399,"")</x:f>
        <x:v>8.961538461538462</x:v>
      </x:c>
      <x:c r="K399" s="19" t="n">
        <x:f>'各站彙總來源'!K399</x:f>
        <x:v>26</x:v>
      </x:c>
      <x:c r="L399" s="24" t="n">
        <x:f>IFERROR('各站彙總來源'!L399/'各站彙總來源'!M399,"")</x:f>
        <x:v>1.5</x:v>
      </x:c>
      <x:c r="M399" s="19" t="n">
        <x:f>'各站彙總來源'!M399</x:f>
        <x:v>26</x:v>
      </x:c>
      <x:c r="N399" s="24" t="n">
        <x:f>F399+H399</x:f>
        <x:v>16.653846153846153</x:v>
      </x:c>
      <x:c r="O399" s="24" t="n">
        <x:f>J399+L399</x:f>
        <x:v>10.461538461538462</x:v>
      </x:c>
    </x:row>
    <x:row r="400">
      <x:c r="A400" s="22" t="str">
        <x:v>500104079</x:v>
      </x:c>
      <x:c r="B400" s="17" t="str">
        <x:v>士林區</x:v>
      </x:c>
      <x:c r="C400" s="17" t="str">
        <x:v>東山路110巷口</x:v>
      </x:c>
      <x:c r="D400" s="18" t="n">
        <x:v>26</x:v>
      </x:c>
      <x:c r="E400" s="18" t="n">
        <x:v>26</x:v>
      </x:c>
      <x:c r="F400" s="24" t="n">
        <x:f>IFERROR('各站彙總來源'!F400/'各站彙總來源'!G400,"")</x:f>
        <x:v>17.53846153846154</x:v>
      </x:c>
      <x:c r="G400" s="19" t="n">
        <x:f>'各站彙總來源'!G400</x:f>
        <x:v>26</x:v>
      </x:c>
      <x:c r="H400" s="24" t="n">
        <x:f>IFERROR('各站彙總來源'!H400/'各站彙總來源'!I400,"")</x:f>
        <x:v>1.9230769230769231</x:v>
      </x:c>
      <x:c r="I400" s="19" t="n">
        <x:f>'各站彙總來源'!I400</x:f>
        <x:v>26</x:v>
      </x:c>
      <x:c r="J400" s="24" t="n">
        <x:f>IFERROR('各站彙總來源'!J400/'各站彙總來源'!K400,"")</x:f>
        <x:v>5.846153846153846</x:v>
      </x:c>
      <x:c r="K400" s="19" t="n">
        <x:f>'各站彙總來源'!K400</x:f>
        <x:v>26</x:v>
      </x:c>
      <x:c r="L400" s="24" t="n">
        <x:f>IFERROR('各站彙總來源'!L400/'各站彙總來源'!M400,"")</x:f>
        <x:v>1.8461538461538463</x:v>
      </x:c>
      <x:c r="M400" s="19" t="n">
        <x:f>'各站彙總來源'!M400</x:f>
        <x:v>26</x:v>
      </x:c>
      <x:c r="N400" s="24" t="n">
        <x:f>F400+H400</x:f>
        <x:v>19.461538461538463</x:v>
      </x:c>
      <x:c r="O400" s="24" t="n">
        <x:f>J400+L400</x:f>
        <x:v>7.692307692307692</x:v>
      </x:c>
    </x:row>
    <x:row r="401">
      <x:c r="A401" s="22" t="str">
        <x:v>500104080</x:v>
      </x:c>
      <x:c r="B401" s="17" t="str">
        <x:v>士林區</x:v>
      </x:c>
      <x:c r="C401" s="17" t="str">
        <x:v>永平社會住宅</x:v>
      </x:c>
      <x:c r="D401" s="18" t="n">
        <x:v>26</x:v>
      </x:c>
      <x:c r="E401" s="18" t="n">
        <x:v>26</x:v>
      </x:c>
      <x:c r="F401" s="24" t="n">
        <x:f>IFERROR('各站彙總來源'!F401/'各站彙總來源'!G401,"")</x:f>
        <x:v>5.961538461538462</x:v>
      </x:c>
      <x:c r="G401" s="19" t="n">
        <x:f>'各站彙總來源'!G401</x:f>
        <x:v>26</x:v>
      </x:c>
      <x:c r="H401" s="24" t="n">
        <x:f>IFERROR('各站彙總來源'!H401/'各站彙總來源'!I401,"")</x:f>
        <x:v>2.3461538461538463</x:v>
      </x:c>
      <x:c r="I401" s="19" t="n">
        <x:f>'各站彙總來源'!I401</x:f>
        <x:v>26</x:v>
      </x:c>
      <x:c r="J401" s="24" t="n">
        <x:f>IFERROR('各站彙總來源'!J401/'各站彙總來源'!K401,"")</x:f>
        <x:v>4.230769230769231</x:v>
      </x:c>
      <x:c r="K401" s="19" t="n">
        <x:f>'各站彙總來源'!K401</x:f>
        <x:v>26</x:v>
      </x:c>
      <x:c r="L401" s="24" t="n">
        <x:f>IFERROR('各站彙總來源'!L401/'各站彙總來源'!M401,"")</x:f>
        <x:v>2</x:v>
      </x:c>
      <x:c r="M401" s="19" t="n">
        <x:f>'各站彙總來源'!M401</x:f>
        <x:v>26</x:v>
      </x:c>
      <x:c r="N401" s="24" t="n">
        <x:f>F401+H401</x:f>
        <x:v>8.307692307692308</x:v>
      </x:c>
      <x:c r="O401" s="24" t="n">
        <x:f>J401+L401</x:f>
        <x:v>6.230769230769231</x:v>
      </x:c>
    </x:row>
    <x:row r="402">
      <x:c r="A402" s="22" t="str">
        <x:v>500104081</x:v>
      </x:c>
      <x:c r="B402" s="17" t="str">
        <x:v>士林區</x:v>
      </x:c>
      <x:c r="C402" s="17" t="str">
        <x:v>雨農橋</x:v>
      </x:c>
      <x:c r="D402" s="18" t="n">
        <x:v>26</x:v>
      </x:c>
      <x:c r="E402" s="18" t="n">
        <x:v>26</x:v>
      </x:c>
      <x:c r="F402" s="24" t="n">
        <x:f>IFERROR('各站彙總來源'!F402/'各站彙總來源'!G402,"")</x:f>
        <x:v>24</x:v>
      </x:c>
      <x:c r="G402" s="19" t="n">
        <x:f>'各站彙總來源'!G402</x:f>
        <x:v>26</x:v>
      </x:c>
      <x:c r="H402" s="24" t="n">
        <x:f>IFERROR('各站彙總來源'!H402/'各站彙總來源'!I402,"")</x:f>
        <x:v>2.6538461538461537</x:v>
      </x:c>
      <x:c r="I402" s="19" t="n">
        <x:f>'各站彙總來源'!I402</x:f>
        <x:v>26</x:v>
      </x:c>
      <x:c r="J402" s="24" t="n">
        <x:f>IFERROR('各站彙總來源'!J402/'各站彙總來源'!K402,"")</x:f>
        <x:v>4.153846153846154</x:v>
      </x:c>
      <x:c r="K402" s="19" t="n">
        <x:f>'各站彙總來源'!K402</x:f>
        <x:v>26</x:v>
      </x:c>
      <x:c r="L402" s="24" t="n">
        <x:f>IFERROR('各站彙總來源'!L402/'各站彙總來源'!M402,"")</x:f>
        <x:v>1.1538461538461537</x:v>
      </x:c>
      <x:c r="M402" s="19" t="n">
        <x:f>'各站彙總來源'!M402</x:f>
        <x:v>26</x:v>
      </x:c>
      <x:c r="N402" s="24" t="n">
        <x:f>F402+H402</x:f>
        <x:v>26.653846153846153</x:v>
      </x:c>
      <x:c r="O402" s="24" t="n">
        <x:f>J402+L402</x:f>
        <x:v>5.307692307692308</x:v>
      </x:c>
    </x:row>
    <x:row r="403">
      <x:c r="A403" s="22" t="str">
        <x:v>500104082</x:v>
      </x:c>
      <x:c r="B403" s="17" t="str">
        <x:v>士林區</x:v>
      </x:c>
      <x:c r="C403" s="17" t="str">
        <x:v>通河街76巷/承德路四段10巷口</x:v>
      </x:c>
      <x:c r="D403" s="18" t="n">
        <x:v>26</x:v>
      </x:c>
      <x:c r="E403" s="18" t="n">
        <x:v>26</x:v>
      </x:c>
      <x:c r="F403" s="24" t="n">
        <x:f>IFERROR('各站彙總來源'!F403/'各站彙總來源'!G403,"")</x:f>
        <x:v>14.576923076923077</x:v>
      </x:c>
      <x:c r="G403" s="19" t="n">
        <x:f>'各站彙總來源'!G403</x:f>
        <x:v>26</x:v>
      </x:c>
      <x:c r="H403" s="24" t="n">
        <x:f>IFERROR('各站彙總來源'!H403/'各站彙總來源'!I403,"")</x:f>
        <x:v>1.8461538461538463</x:v>
      </x:c>
      <x:c r="I403" s="19" t="n">
        <x:f>'各站彙總來源'!I403</x:f>
        <x:v>26</x:v>
      </x:c>
      <x:c r="J403" s="24" t="n">
        <x:f>IFERROR('各站彙總來源'!J403/'各站彙總來源'!K403,"")</x:f>
        <x:v>3.230769230769231</x:v>
      </x:c>
      <x:c r="K403" s="19" t="n">
        <x:f>'各站彙總來源'!K403</x:f>
        <x:v>26</x:v>
      </x:c>
      <x:c r="L403" s="24" t="n">
        <x:f>IFERROR('各站彙總來源'!L403/'各站彙總來源'!M403,"")</x:f>
        <x:v>0.5769230769230769</x:v>
      </x:c>
      <x:c r="M403" s="19" t="n">
        <x:f>'各站彙總來源'!M403</x:f>
        <x:v>26</x:v>
      </x:c>
      <x:c r="N403" s="24" t="n">
        <x:f>F403+H403</x:f>
        <x:v>16.423076923076923</x:v>
      </x:c>
      <x:c r="O403" s="24" t="n">
        <x:f>J403+L403</x:f>
        <x:v>3.8076923076923075</x:v>
      </x:c>
    </x:row>
    <x:row r="404">
      <x:c r="A404" s="22" t="str">
        <x:v>500104083</x:v>
      </x:c>
      <x:c r="B404" s="17" t="str">
        <x:v>士林區</x:v>
      </x:c>
      <x:c r="C404" s="17" t="str">
        <x:v>芝山聖佑宮</x:v>
      </x:c>
      <x:c r="D404" s="18" t="n">
        <x:v>26</x:v>
      </x:c>
      <x:c r="E404" s="18" t="n">
        <x:v>26</x:v>
      </x:c>
      <x:c r="F404" s="24" t="n">
        <x:f>IFERROR('各站彙總來源'!F404/'各站彙總來源'!G404,"")</x:f>
        <x:v>9.5</x:v>
      </x:c>
      <x:c r="G404" s="19" t="n">
        <x:f>'各站彙總來源'!G404</x:f>
        <x:v>26</x:v>
      </x:c>
      <x:c r="H404" s="24" t="n">
        <x:f>IFERROR('各站彙總來源'!H404/'各站彙總來源'!I404,"")</x:f>
        <x:v>1.1153846153846154</x:v>
      </x:c>
      <x:c r="I404" s="19" t="n">
        <x:f>'各站彙總來源'!I404</x:f>
        <x:v>26</x:v>
      </x:c>
      <x:c r="J404" s="24" t="n">
        <x:f>IFERROR('各站彙總來源'!J404/'各站彙總來源'!K404,"")</x:f>
        <x:v>10.807692307692308</x:v>
      </x:c>
      <x:c r="K404" s="19" t="n">
        <x:f>'各站彙總來源'!K404</x:f>
        <x:v>26</x:v>
      </x:c>
      <x:c r="L404" s="24" t="n">
        <x:f>IFERROR('各站彙總來源'!L404/'各站彙總來源'!M404,"")</x:f>
        <x:v>0.9615384615384616</x:v>
      </x:c>
      <x:c r="M404" s="19" t="n">
        <x:f>'各站彙總來源'!M404</x:f>
        <x:v>26</x:v>
      </x:c>
      <x:c r="N404" s="24" t="n">
        <x:f>F404+H404</x:f>
        <x:v>10.615384615384615</x:v>
      </x:c>
      <x:c r="O404" s="24" t="n">
        <x:f>J404+L404</x:f>
        <x:v>11.76923076923077</x:v>
      </x:c>
    </x:row>
    <x:row r="405">
      <x:c r="A405" s="22" t="str">
        <x:v>500104084</x:v>
      </x:c>
      <x:c r="B405" s="17" t="str">
        <x:v>士林區</x:v>
      </x:c>
      <x:c r="C405" s="17" t="str">
        <x:v>至誠雨聲街口</x:v>
      </x:c>
      <x:c r="D405" s="18" t="n">
        <x:v>26</x:v>
      </x:c>
      <x:c r="E405" s="18" t="n">
        <x:v>26</x:v>
      </x:c>
      <x:c r="F405" s="24" t="n">
        <x:f>IFERROR('各站彙總來源'!F405/'各站彙總來源'!G405,"")</x:f>
        <x:v>13.423076923076923</x:v>
      </x:c>
      <x:c r="G405" s="19" t="n">
        <x:f>'各站彙總來源'!G405</x:f>
        <x:v>26</x:v>
      </x:c>
      <x:c r="H405" s="24" t="n">
        <x:f>IFERROR('各站彙總來源'!H405/'各站彙總來源'!I405,"")</x:f>
        <x:v>1.3076923076923077</x:v>
      </x:c>
      <x:c r="I405" s="19" t="n">
        <x:f>'各站彙總來源'!I405</x:f>
        <x:v>26</x:v>
      </x:c>
      <x:c r="J405" s="24" t="n">
        <x:f>IFERROR('各站彙總來源'!J405/'各站彙總來源'!K405,"")</x:f>
        <x:v>2.423076923076923</x:v>
      </x:c>
      <x:c r="K405" s="19" t="n">
        <x:f>'各站彙總來源'!K405</x:f>
        <x:v>26</x:v>
      </x:c>
      <x:c r="L405" s="24" t="n">
        <x:f>IFERROR('各站彙總來源'!L405/'各站彙總來源'!M405,"")</x:f>
        <x:v>1.1923076923076923</x:v>
      </x:c>
      <x:c r="M405" s="19" t="n">
        <x:f>'各站彙總來源'!M405</x:f>
        <x:v>26</x:v>
      </x:c>
      <x:c r="N405" s="24" t="n">
        <x:f>F405+H405</x:f>
        <x:v>14.730769230769232</x:v>
      </x:c>
      <x:c r="O405" s="24" t="n">
        <x:f>J405+L405</x:f>
        <x:v>3.615384615384615</x:v>
      </x:c>
    </x:row>
    <x:row r="406">
      <x:c r="A406" s="22" t="str">
        <x:v>500104085</x:v>
      </x:c>
      <x:c r="B406" s="17" t="str">
        <x:v>士林區</x:v>
      </x:c>
      <x:c r="C406" s="17" t="str">
        <x:v>捷運線型公園(後街)</x:v>
      </x:c>
      <x:c r="D406" s="18" t="n">
        <x:v>26</x:v>
      </x:c>
      <x:c r="E406" s="18" t="n">
        <x:v>26</x:v>
      </x:c>
      <x:c r="F406" s="24" t="n">
        <x:f>IFERROR('各站彙總來源'!F406/'各站彙總來源'!G406,"")</x:f>
        <x:v>22.46153846153846</x:v>
      </x:c>
      <x:c r="G406" s="19" t="n">
        <x:f>'各站彙總來源'!G406</x:f>
        <x:v>26</x:v>
      </x:c>
      <x:c r="H406" s="24" t="n">
        <x:f>IFERROR('各站彙總來源'!H406/'各站彙總來源'!I406,"")</x:f>
        <x:v>2.5384615384615383</x:v>
      </x:c>
      <x:c r="I406" s="19" t="n">
        <x:f>'各站彙總來源'!I406</x:f>
        <x:v>26</x:v>
      </x:c>
      <x:c r="J406" s="24" t="n">
        <x:f>IFERROR('各站彙總來源'!J406/'各站彙總來源'!K406,"")</x:f>
        <x:v>4.538461538461538</x:v>
      </x:c>
      <x:c r="K406" s="19" t="n">
        <x:f>'各站彙總來源'!K406</x:f>
        <x:v>26</x:v>
      </x:c>
      <x:c r="L406" s="24" t="n">
        <x:f>IFERROR('各站彙總來源'!L406/'各站彙總來源'!M406,"")</x:f>
        <x:v>1.1923076923076923</x:v>
      </x:c>
      <x:c r="M406" s="19" t="n">
        <x:f>'各站彙總來源'!M406</x:f>
        <x:v>26</x:v>
      </x:c>
      <x:c r="N406" s="24" t="n">
        <x:f>F406+H406</x:f>
        <x:v>25</x:v>
      </x:c>
      <x:c r="O406" s="24" t="n">
        <x:f>J406+L406</x:f>
        <x:v>5.730769230769231</x:v>
      </x:c>
    </x:row>
    <x:row r="407">
      <x:c r="A407" s="22" t="str">
        <x:v>500104086</x:v>
      </x:c>
      <x:c r="B407" s="17" t="str">
        <x:v>士林區</x:v>
      </x:c>
      <x:c r="C407" s="17" t="str">
        <x:v>天母公園</x:v>
      </x:c>
      <x:c r="D407" s="18" t="n">
        <x:v>26</x:v>
      </x:c>
      <x:c r="E407" s="18" t="n">
        <x:v>26</x:v>
      </x:c>
      <x:c r="F407" s="24" t="n">
        <x:f>IFERROR('各站彙總來源'!F407/'各站彙總來源'!G407,"")</x:f>
        <x:v>2.8846153846153846</x:v>
      </x:c>
      <x:c r="G407" s="19" t="n">
        <x:f>'各站彙總來源'!G407</x:f>
        <x:v>26</x:v>
      </x:c>
      <x:c r="H407" s="24" t="n">
        <x:f>IFERROR('各站彙總來源'!H407/'各站彙總來源'!I407,"")</x:f>
        <x:v>3.6923076923076925</x:v>
      </x:c>
      <x:c r="I407" s="19" t="n">
        <x:f>'各站彙總來源'!I407</x:f>
        <x:v>26</x:v>
      </x:c>
      <x:c r="J407" s="24" t="n">
        <x:f>IFERROR('各站彙總來源'!J407/'各站彙總來源'!K407,"")</x:f>
        <x:v>3.3461538461538463</x:v>
      </x:c>
      <x:c r="K407" s="19" t="n">
        <x:f>'各站彙總來源'!K407</x:f>
        <x:v>26</x:v>
      </x:c>
      <x:c r="L407" s="24" t="n">
        <x:f>IFERROR('各站彙總來源'!L407/'各站彙總來源'!M407,"")</x:f>
        <x:v>1.8076923076923077</x:v>
      </x:c>
      <x:c r="M407" s="19" t="n">
        <x:f>'各站彙總來源'!M407</x:f>
        <x:v>26</x:v>
      </x:c>
      <x:c r="N407" s="24" t="n">
        <x:f>F407+H407</x:f>
        <x:v>6.576923076923077</x:v>
      </x:c>
      <x:c r="O407" s="24" t="n">
        <x:f>J407+L407</x:f>
        <x:v>5.153846153846154</x:v>
      </x:c>
    </x:row>
    <x:row r="408">
      <x:c r="A408" s="22" t="str">
        <x:v>500104087</x:v>
      </x:c>
      <x:c r="B408" s="17" t="str">
        <x:v>士林區</x:v>
      </x:c>
      <x:c r="C408" s="17" t="str">
        <x:v>基河文林路口</x:v>
      </x:c>
      <x:c r="D408" s="18" t="n">
        <x:v>26</x:v>
      </x:c>
      <x:c r="E408" s="18" t="n">
        <x:v>26</x:v>
      </x:c>
      <x:c r="F408" s="24" t="n">
        <x:f>IFERROR('各站彙總來源'!F408/'各站彙總來源'!G408,"")</x:f>
        <x:v>5.423076923076923</x:v>
      </x:c>
      <x:c r="G408" s="19" t="n">
        <x:f>'各站彙總來源'!G408</x:f>
        <x:v>26</x:v>
      </x:c>
      <x:c r="H408" s="24" t="n">
        <x:f>IFERROR('各站彙總來源'!H408/'各站彙總來源'!I408,"")</x:f>
        <x:v>1.3846153846153846</x:v>
      </x:c>
      <x:c r="I408" s="19" t="n">
        <x:f>'各站彙總來源'!I408</x:f>
        <x:v>26</x:v>
      </x:c>
      <x:c r="J408" s="24" t="n">
        <x:f>IFERROR('各站彙總來源'!J408/'各站彙總來源'!K408,"")</x:f>
        <x:v>19.96153846153846</x:v>
      </x:c>
      <x:c r="K408" s="19" t="n">
        <x:f>'各站彙總來源'!K408</x:f>
        <x:v>26</x:v>
      </x:c>
      <x:c r="L408" s="24" t="n">
        <x:f>IFERROR('各站彙總來源'!L408/'各站彙總來源'!M408,"")</x:f>
        <x:v>3.576923076923077</x:v>
      </x:c>
      <x:c r="M408" s="19" t="n">
        <x:f>'各站彙總來源'!M408</x:f>
        <x:v>26</x:v>
      </x:c>
      <x:c r="N408" s="24" t="n">
        <x:f>F408+H408</x:f>
        <x:v>6.807692307692308</x:v>
      </x:c>
      <x:c r="O408" s="24" t="n">
        <x:f>J408+L408</x:f>
        <x:v>23.538461538461537</x:v>
      </x:c>
    </x:row>
    <x:row r="409">
      <x:c r="A409" s="22" t="str">
        <x:v>500104088</x:v>
      </x:c>
      <x:c r="B409" s="17" t="str">
        <x:v>士林區</x:v>
      </x:c>
      <x:c r="C409" s="17" t="str">
        <x:v>文林福華路口</x:v>
      </x:c>
      <x:c r="D409" s="18" t="n">
        <x:v>26</x:v>
      </x:c>
      <x:c r="E409" s="18" t="n">
        <x:v>26</x:v>
      </x:c>
      <x:c r="F409" s="24" t="n">
        <x:f>IFERROR('各站彙總來源'!F409/'各站彙總來源'!G409,"")</x:f>
        <x:v>14.461538461538462</x:v>
      </x:c>
      <x:c r="G409" s="19" t="n">
        <x:f>'各站彙總來源'!G409</x:f>
        <x:v>26</x:v>
      </x:c>
      <x:c r="H409" s="24" t="n">
        <x:f>IFERROR('各站彙總來源'!H409/'各站彙總來源'!I409,"")</x:f>
        <x:v>1.7692307692307692</x:v>
      </x:c>
      <x:c r="I409" s="19" t="n">
        <x:f>'各站彙總來源'!I409</x:f>
        <x:v>26</x:v>
      </x:c>
      <x:c r="J409" s="24" t="n">
        <x:f>IFERROR('各站彙總來源'!J409/'各站彙總來源'!K409,"")</x:f>
        <x:v>7.961538461538462</x:v>
      </x:c>
      <x:c r="K409" s="19" t="n">
        <x:f>'各站彙總來源'!K409</x:f>
        <x:v>26</x:v>
      </x:c>
      <x:c r="L409" s="24" t="n">
        <x:f>IFERROR('各站彙總來源'!L409/'各站彙總來源'!M409,"")</x:f>
        <x:v>1.2307692307692308</x:v>
      </x:c>
      <x:c r="M409" s="19" t="n">
        <x:f>'各站彙總來源'!M409</x:f>
        <x:v>26</x:v>
      </x:c>
      <x:c r="N409" s="24" t="n">
        <x:f>F409+H409</x:f>
        <x:v>16.23076923076923</x:v>
      </x:c>
      <x:c r="O409" s="24" t="n">
        <x:f>J409+L409</x:f>
        <x:v>9.192307692307693</x:v>
      </x:c>
    </x:row>
    <x:row r="410">
      <x:c r="A410" s="22" t="str">
        <x:v>500104089</x:v>
      </x:c>
      <x:c r="B410" s="17" t="str">
        <x:v>士林區</x:v>
      </x:c>
      <x:c r="C410" s="17" t="str">
        <x:v>劍潭海外青年活動中心_1</x:v>
      </x:c>
      <x:c r="D410" s="18" t="n">
        <x:v>26</x:v>
      </x:c>
      <x:c r="E410" s="18" t="n">
        <x:v>26</x:v>
      </x:c>
      <x:c r="F410" s="24" t="n">
        <x:f>IFERROR('各站彙總來源'!F410/'各站彙總來源'!G410,"")</x:f>
        <x:v>10.076923076923077</x:v>
      </x:c>
      <x:c r="G410" s="19" t="n">
        <x:f>'各站彙總來源'!G410</x:f>
        <x:v>26</x:v>
      </x:c>
      <x:c r="H410" s="24" t="n">
        <x:f>IFERROR('各站彙總來源'!H410/'各站彙總來源'!I410,"")</x:f>
        <x:v>1.0769230769230769</x:v>
      </x:c>
      <x:c r="I410" s="19" t="n">
        <x:f>'各站彙總來源'!I410</x:f>
        <x:v>26</x:v>
      </x:c>
      <x:c r="J410" s="24" t="n">
        <x:f>IFERROR('各站彙總來源'!J410/'各站彙總來源'!K410,"")</x:f>
        <x:v>5.769230769230769</x:v>
      </x:c>
      <x:c r="K410" s="19" t="n">
        <x:f>'各站彙總來源'!K410</x:f>
        <x:v>26</x:v>
      </x:c>
      <x:c r="L410" s="24" t="n">
        <x:f>IFERROR('各站彙總來源'!L410/'各站彙總來源'!M410,"")</x:f>
        <x:v>0.9615384615384616</x:v>
      </x:c>
      <x:c r="M410" s="19" t="n">
        <x:f>'各站彙總來源'!M410</x:f>
        <x:v>26</x:v>
      </x:c>
      <x:c r="N410" s="24" t="n">
        <x:f>F410+H410</x:f>
        <x:v>11.153846153846153</x:v>
      </x:c>
      <x:c r="O410" s="24" t="n">
        <x:f>J410+L410</x:f>
        <x:v>6.730769230769231</x:v>
      </x:c>
    </x:row>
    <x:row r="411">
      <x:c r="A411" s="22" t="str">
        <x:v>500104090</x:v>
      </x:c>
      <x:c r="B411" s="17" t="str">
        <x:v>士林區</x:v>
      </x:c>
      <x:c r="C411" s="17" t="str">
        <x:v>社子國小_1</x:v>
      </x:c>
      <x:c r="D411" s="18" t="n">
        <x:v>26</x:v>
      </x:c>
      <x:c r="E411" s="18" t="n">
        <x:v>26</x:v>
      </x:c>
      <x:c r="F411" s="24" t="n">
        <x:f>IFERROR('各站彙總來源'!F411/'各站彙總來源'!G411,"")</x:f>
        <x:v>15.423076923076923</x:v>
      </x:c>
      <x:c r="G411" s="19" t="n">
        <x:f>'各站彙總來源'!G411</x:f>
        <x:v>26</x:v>
      </x:c>
      <x:c r="H411" s="24" t="n">
        <x:f>IFERROR('各站彙總來源'!H411/'各站彙總來源'!I411,"")</x:f>
        <x:v>5.538461538461538</x:v>
      </x:c>
      <x:c r="I411" s="19" t="n">
        <x:f>'各站彙總來源'!I411</x:f>
        <x:v>26</x:v>
      </x:c>
      <x:c r="J411" s="24" t="n">
        <x:f>IFERROR('各站彙總來源'!J411/'各站彙總來源'!K411,"")</x:f>
        <x:v>19.307692307692307</x:v>
      </x:c>
      <x:c r="K411" s="19" t="n">
        <x:f>'各站彙總來源'!K411</x:f>
        <x:v>26</x:v>
      </x:c>
      <x:c r="L411" s="24" t="n">
        <x:f>IFERROR('各站彙總來源'!L411/'各站彙總來源'!M411,"")</x:f>
        <x:v>4.5</x:v>
      </x:c>
      <x:c r="M411" s="19" t="n">
        <x:f>'各站彙總來源'!M411</x:f>
        <x:v>26</x:v>
      </x:c>
      <x:c r="N411" s="24" t="n">
        <x:f>F411+H411</x:f>
        <x:v>20.96153846153846</x:v>
      </x:c>
      <x:c r="O411" s="24" t="n">
        <x:f>J411+L411</x:f>
        <x:v>23.807692307692307</x:v>
      </x:c>
    </x:row>
    <x:row r="412">
      <x:c r="A412" s="22" t="str">
        <x:v>500104091</x:v>
      </x:c>
      <x:c r="B412" s="17" t="str">
        <x:v>士林區</x:v>
      </x:c>
      <x:c r="C412" s="17" t="str">
        <x:v>捷運劍潭站(1號出口)</x:v>
      </x:c>
      <x:c r="D412" s="18" t="n">
        <x:v>26</x:v>
      </x:c>
      <x:c r="E412" s="18" t="n">
        <x:v>26</x:v>
      </x:c>
      <x:c r="F412" s="24" t="n">
        <x:f>IFERROR('各站彙總來源'!F412/'各站彙總來源'!G412,"")</x:f>
        <x:v>21.96153846153846</x:v>
      </x:c>
      <x:c r="G412" s="19" t="n">
        <x:f>'各站彙總來源'!G412</x:f>
        <x:v>26</x:v>
      </x:c>
      <x:c r="H412" s="24" t="n">
        <x:f>IFERROR('各站彙總來源'!H412/'各站彙總來源'!I412,"")</x:f>
        <x:v>3.8461538461538463</x:v>
      </x:c>
      <x:c r="I412" s="19" t="n">
        <x:f>'各站彙總來源'!I412</x:f>
        <x:v>26</x:v>
      </x:c>
      <x:c r="J412" s="24" t="n">
        <x:f>IFERROR('各站彙總來源'!J412/'各站彙總來源'!K412,"")</x:f>
        <x:v>16.653846153846153</x:v>
      </x:c>
      <x:c r="K412" s="19" t="n">
        <x:f>'各站彙總來源'!K412</x:f>
        <x:v>26</x:v>
      </x:c>
      <x:c r="L412" s="24" t="n">
        <x:f>IFERROR('各站彙總來源'!L412/'各站彙總來源'!M412,"")</x:f>
        <x:v>3.730769230769231</x:v>
      </x:c>
      <x:c r="M412" s="19" t="n">
        <x:f>'各站彙總來源'!M412</x:f>
        <x:v>26</x:v>
      </x:c>
      <x:c r="N412" s="24" t="n">
        <x:f>F412+H412</x:f>
        <x:v>25.807692307692307</x:v>
      </x:c>
      <x:c r="O412" s="24" t="n">
        <x:f>J412+L412</x:f>
        <x:v>20.384615384615383</x:v>
      </x:c>
    </x:row>
    <x:row r="413">
      <x:c r="A413" s="22" t="str">
        <x:v>500104092</x:v>
      </x:c>
      <x:c r="B413" s="17" t="str">
        <x:v>士林區</x:v>
      </x:c>
      <x:c r="C413" s="17" t="str">
        <x:v>德行東山路口</x:v>
      </x:c>
      <x:c r="D413" s="18" t="n">
        <x:v>26</x:v>
      </x:c>
      <x:c r="E413" s="18" t="n">
        <x:v>26</x:v>
      </x:c>
      <x:c r="F413" s="24" t="n">
        <x:f>IFERROR('各站彙總來源'!F413/'各站彙總來源'!G413,"")</x:f>
        <x:v>10.153846153846153</x:v>
      </x:c>
      <x:c r="G413" s="19" t="n">
        <x:f>'各站彙總來源'!G413</x:f>
        <x:v>26</x:v>
      </x:c>
      <x:c r="H413" s="24" t="n">
        <x:f>IFERROR('各站彙總來源'!H413/'各站彙總來源'!I413,"")</x:f>
        <x:v>2</x:v>
      </x:c>
      <x:c r="I413" s="19" t="n">
        <x:f>'各站彙總來源'!I413</x:f>
        <x:v>26</x:v>
      </x:c>
      <x:c r="J413" s="24" t="n">
        <x:f>IFERROR('各站彙總來源'!J413/'各站彙總來源'!K413,"")</x:f>
        <x:v>4.230769230769231</x:v>
      </x:c>
      <x:c r="K413" s="19" t="n">
        <x:f>'各站彙總來源'!K413</x:f>
        <x:v>26</x:v>
      </x:c>
      <x:c r="L413" s="24" t="n">
        <x:f>IFERROR('各站彙總來源'!L413/'各站彙總來源'!M413,"")</x:f>
        <x:v>1.4615384615384615</x:v>
      </x:c>
      <x:c r="M413" s="19" t="n">
        <x:f>'各站彙總來源'!M413</x:f>
        <x:v>26</x:v>
      </x:c>
      <x:c r="N413" s="24" t="n">
        <x:f>F413+H413</x:f>
        <x:v>12.153846153846153</x:v>
      </x:c>
      <x:c r="O413" s="24" t="n">
        <x:f>J413+L413</x:f>
        <x:v>5.6923076923076925</x:v>
      </x:c>
    </x:row>
    <x:row r="414">
      <x:c r="A414" s="22" t="str">
        <x:v>500104093</x:v>
      </x:c>
      <x:c r="B414" s="17" t="str">
        <x:v>士林區</x:v>
      </x:c>
      <x:c r="C414" s="17" t="str">
        <x:v>社中街193號</x:v>
      </x:c>
      <x:c r="D414" s="18" t="n">
        <x:v>26</x:v>
      </x:c>
      <x:c r="E414" s="18" t="n">
        <x:v>26</x:v>
      </x:c>
      <x:c r="F414" s="24" t="n">
        <x:f>IFERROR('各站彙總來源'!F414/'各站彙總來源'!G414,"")</x:f>
        <x:v>0</x:v>
      </x:c>
      <x:c r="G414" s="19" t="n">
        <x:f>'各站彙總來源'!G414</x:f>
        <x:v>26</x:v>
      </x:c>
      <x:c r="H414" s="24" t="n">
        <x:f>IFERROR('各站彙總來源'!H414/'各站彙總來源'!I414,"")</x:f>
        <x:v>0</x:v>
      </x:c>
      <x:c r="I414" s="19" t="n">
        <x:f>'各站彙總來源'!I414</x:f>
        <x:v>26</x:v>
      </x:c>
      <x:c r="J414" s="24" t="n">
        <x:f>IFERROR('各站彙總來源'!J414/'各站彙總來源'!K414,"")</x:f>
        <x:v>0</x:v>
      </x:c>
      <x:c r="K414" s="19" t="n">
        <x:f>'各站彙總來源'!K414</x:f>
        <x:v>26</x:v>
      </x:c>
      <x:c r="L414" s="24" t="n">
        <x:f>IFERROR('各站彙總來源'!L414/'各站彙總來源'!M414,"")</x:f>
        <x:v>0</x:v>
      </x:c>
      <x:c r="M414" s="19" t="n">
        <x:f>'各站彙總來源'!M414</x:f>
        <x:v>26</x:v>
      </x:c>
      <x:c r="N414" s="24" t="n">
        <x:f>F414+H414</x:f>
        <x:v>0</x:v>
      </x:c>
      <x:c r="O414" s="24" t="n">
        <x:f>J414+L414</x:f>
        <x:v>0</x:v>
      </x:c>
    </x:row>
    <x:row r="415">
      <x:c r="A415" s="22" t="str">
        <x:v>500104094</x:v>
      </x:c>
      <x:c r="B415" s="17" t="str">
        <x:v>士林區</x:v>
      </x:c>
      <x:c r="C415" s="17" t="str">
        <x:v>重慶北通河西街口</x:v>
      </x:c>
      <x:c r="D415" s="18" t="n">
        <x:v>26</x:v>
      </x:c>
      <x:c r="E415" s="18" t="n">
        <x:v>26</x:v>
      </x:c>
      <x:c r="F415" s="24" t="n">
        <x:f>IFERROR('各站彙總來源'!F415/'各站彙總來源'!G415,"")</x:f>
        <x:v>6.230769230769231</x:v>
      </x:c>
      <x:c r="G415" s="19" t="n">
        <x:f>'各站彙總來源'!G415</x:f>
        <x:v>26</x:v>
      </x:c>
      <x:c r="H415" s="24" t="n">
        <x:f>IFERROR('各站彙總來源'!H415/'各站彙總來源'!I415,"")</x:f>
        <x:v>2.6923076923076925</x:v>
      </x:c>
      <x:c r="I415" s="19" t="n">
        <x:f>'各站彙總來源'!I415</x:f>
        <x:v>26</x:v>
      </x:c>
      <x:c r="J415" s="24" t="n">
        <x:f>IFERROR('各站彙總來源'!J415/'各站彙總來源'!K415,"")</x:f>
        <x:v>4</x:v>
      </x:c>
      <x:c r="K415" s="19" t="n">
        <x:f>'各站彙總來源'!K415</x:f>
        <x:v>26</x:v>
      </x:c>
      <x:c r="L415" s="24" t="n">
        <x:f>IFERROR('各站彙總來源'!L415/'各站彙總來源'!M415,"")</x:f>
        <x:v>1.2692307692307692</x:v>
      </x:c>
      <x:c r="M415" s="19" t="n">
        <x:f>'各站彙總來源'!M415</x:f>
        <x:v>26</x:v>
      </x:c>
      <x:c r="N415" s="24" t="n">
        <x:f>F415+H415</x:f>
        <x:v>8.923076923076923</x:v>
      </x:c>
      <x:c r="O415" s="24" t="n">
        <x:f>J415+L415</x:f>
        <x:v>5.269230769230769</x:v>
      </x:c>
    </x:row>
    <x:row r="416">
      <x:c r="A416" s="22" t="str">
        <x:v>500104095</x:v>
      </x:c>
      <x:c r="B416" s="17" t="str">
        <x:v>士林區</x:v>
      </x:c>
      <x:c r="C416" s="17" t="str">
        <x:v>葫蘆國小(延平北路五段285巷)</x:v>
      </x:c>
      <x:c r="D416" s="18" t="n">
        <x:v>26</x:v>
      </x:c>
      <x:c r="E416" s="18" t="n">
        <x:v>26</x:v>
      </x:c>
      <x:c r="F416" s="24" t="n">
        <x:f>IFERROR('各站彙總來源'!F416/'各站彙總來源'!G416,"")</x:f>
        <x:v>18.76923076923077</x:v>
      </x:c>
      <x:c r="G416" s="19" t="n">
        <x:f>'各站彙總來源'!G416</x:f>
        <x:v>26</x:v>
      </x:c>
      <x:c r="H416" s="24" t="n">
        <x:f>IFERROR('各站彙總來源'!H416/'各站彙總來源'!I416,"")</x:f>
        <x:v>2.4615384615384617</x:v>
      </x:c>
      <x:c r="I416" s="19" t="n">
        <x:f>'各站彙總來源'!I416</x:f>
        <x:v>26</x:v>
      </x:c>
      <x:c r="J416" s="24" t="n">
        <x:f>IFERROR('各站彙總來源'!J416/'各站彙總來源'!K416,"")</x:f>
        <x:v>10.576923076923077</x:v>
      </x:c>
      <x:c r="K416" s="19" t="n">
        <x:f>'各站彙總來源'!K416</x:f>
        <x:v>26</x:v>
      </x:c>
      <x:c r="L416" s="24" t="n">
        <x:f>IFERROR('各站彙總來源'!L416/'各站彙總來源'!M416,"")</x:f>
        <x:v>1.8461538461538463</x:v>
      </x:c>
      <x:c r="M416" s="19" t="n">
        <x:f>'各站彙總來源'!M416</x:f>
        <x:v>26</x:v>
      </x:c>
      <x:c r="N416" s="24" t="n">
        <x:f>F416+H416</x:f>
        <x:v>21.230769230769234</x:v>
      </x:c>
      <x:c r="O416" s="24" t="n">
        <x:f>J416+L416</x:f>
        <x:v>12.423076923076923</x:v>
      </x:c>
    </x:row>
    <x:row r="417">
      <x:c r="A417" s="22" t="str">
        <x:v>500104096</x:v>
      </x:c>
      <x:c r="B417" s="17" t="str">
        <x:v>士林區</x:v>
      </x:c>
      <x:c r="C417" s="17" t="str">
        <x:v>社子市場</x:v>
      </x:c>
      <x:c r="D417" s="18" t="n">
        <x:v>26</x:v>
      </x:c>
      <x:c r="E417" s="18" t="n">
        <x:v>26</x:v>
      </x:c>
      <x:c r="F417" s="24" t="n">
        <x:f>IFERROR('各站彙總來源'!F417/'各站彙總來源'!G417,"")</x:f>
        <x:v>7.884615384615385</x:v>
      </x:c>
      <x:c r="G417" s="19" t="n">
        <x:f>'各站彙總來源'!G417</x:f>
        <x:v>26</x:v>
      </x:c>
      <x:c r="H417" s="24" t="n">
        <x:f>IFERROR('各站彙總來源'!H417/'各站彙總來源'!I417,"")</x:f>
        <x:v>1.3076923076923077</x:v>
      </x:c>
      <x:c r="I417" s="19" t="n">
        <x:f>'各站彙總來源'!I417</x:f>
        <x:v>26</x:v>
      </x:c>
      <x:c r="J417" s="24" t="n">
        <x:f>IFERROR('各站彙總來源'!J417/'各站彙總來源'!K417,"")</x:f>
        <x:v>5.153846153846154</x:v>
      </x:c>
      <x:c r="K417" s="19" t="n">
        <x:f>'各站彙總來源'!K417</x:f>
        <x:v>26</x:v>
      </x:c>
      <x:c r="L417" s="24" t="n">
        <x:f>IFERROR('各站彙總來源'!L417/'各站彙總來源'!M417,"")</x:f>
        <x:v>1.6538461538461537</x:v>
      </x:c>
      <x:c r="M417" s="19" t="n">
        <x:f>'各站彙總來源'!M417</x:f>
        <x:v>26</x:v>
      </x:c>
      <x:c r="N417" s="24" t="n">
        <x:f>F417+H417</x:f>
        <x:v>9.192307692307693</x:v>
      </x:c>
      <x:c r="O417" s="24" t="n">
        <x:f>J417+L417</x:f>
        <x:v>6.807692307692308</x:v>
      </x:c>
    </x:row>
    <x:row r="418">
      <x:c r="A418" s="22" t="str">
        <x:v>500104097</x:v>
      </x:c>
      <x:c r="B418" s="17" t="str">
        <x:v>士林區</x:v>
      </x:c>
      <x:c r="C418" s="17" t="str">
        <x:v>士林區農會社子分部</x:v>
      </x:c>
      <x:c r="D418" s="18" t="n">
        <x:v>26</x:v>
      </x:c>
      <x:c r="E418" s="18" t="n">
        <x:v>26</x:v>
      </x:c>
      <x:c r="F418" s="24" t="n">
        <x:f>IFERROR('各站彙總來源'!F418/'各站彙總來源'!G418,"")</x:f>
        <x:v>5.653846153846154</x:v>
      </x:c>
      <x:c r="G418" s="19" t="n">
        <x:f>'各站彙總來源'!G418</x:f>
        <x:v>26</x:v>
      </x:c>
      <x:c r="H418" s="24" t="n">
        <x:f>IFERROR('各站彙總來源'!H418/'各站彙總來源'!I418,"")</x:f>
        <x:v>0.7307692307692307</x:v>
      </x:c>
      <x:c r="I418" s="19" t="n">
        <x:f>'各站彙總來源'!I418</x:f>
        <x:v>26</x:v>
      </x:c>
      <x:c r="J418" s="24" t="n">
        <x:f>IFERROR('各站彙總來源'!J418/'各站彙總來源'!K418,"")</x:f>
        <x:v>2.9615384615384617</x:v>
      </x:c>
      <x:c r="K418" s="19" t="n">
        <x:f>'各站彙總來源'!K418</x:f>
        <x:v>26</x:v>
      </x:c>
      <x:c r="L418" s="24" t="n">
        <x:f>IFERROR('各站彙總來源'!L418/'各站彙總來源'!M418,"")</x:f>
        <x:v>0.8846153846153846</x:v>
      </x:c>
      <x:c r="M418" s="19" t="n">
        <x:f>'各站彙總來源'!M418</x:f>
        <x:v>26</x:v>
      </x:c>
      <x:c r="N418" s="24" t="n">
        <x:f>F418+H418</x:f>
        <x:v>6.384615384615385</x:v>
      </x:c>
      <x:c r="O418" s="24" t="n">
        <x:f>J418+L418</x:f>
        <x:v>3.8461538461538463</x:v>
      </x:c>
    </x:row>
    <x:row r="419">
      <x:c r="A419" s="22" t="str">
        <x:v>500104098</x:v>
      </x:c>
      <x:c r="B419" s="17" t="str">
        <x:v>士林區</x:v>
      </x:c>
      <x:c r="C419" s="17" t="str">
        <x:v>承德劍潭路口</x:v>
      </x:c>
      <x:c r="D419" s="18" t="n">
        <x:v>26</x:v>
      </x:c>
      <x:c r="E419" s="18" t="n">
        <x:v>26</x:v>
      </x:c>
      <x:c r="F419" s="24" t="n">
        <x:f>IFERROR('各站彙總來源'!F419/'各站彙總來源'!G419,"")</x:f>
        <x:v>7.461538461538462</x:v>
      </x:c>
      <x:c r="G419" s="19" t="n">
        <x:f>'各站彙總來源'!G419</x:f>
        <x:v>26</x:v>
      </x:c>
      <x:c r="H419" s="24" t="n">
        <x:f>IFERROR('各站彙總來源'!H419/'各站彙總來源'!I419,"")</x:f>
        <x:v>0.7307692307692307</x:v>
      </x:c>
      <x:c r="I419" s="19" t="n">
        <x:f>'各站彙總來源'!I419</x:f>
        <x:v>26</x:v>
      </x:c>
      <x:c r="J419" s="24" t="n">
        <x:f>IFERROR('各站彙總來源'!J419/'各站彙總來源'!K419,"")</x:f>
        <x:v>9.76923076923077</x:v>
      </x:c>
      <x:c r="K419" s="19" t="n">
        <x:f>'各站彙總來源'!K419</x:f>
        <x:v>26</x:v>
      </x:c>
      <x:c r="L419" s="24" t="n">
        <x:f>IFERROR('各站彙總來源'!L419/'各站彙總來源'!M419,"")</x:f>
        <x:v>1.1538461538461537</x:v>
      </x:c>
      <x:c r="M419" s="19" t="n">
        <x:f>'各站彙總來源'!M419</x:f>
        <x:v>26</x:v>
      </x:c>
      <x:c r="N419" s="24" t="n">
        <x:f>F419+H419</x:f>
        <x:v>8.192307692307692</x:v>
      </x:c>
      <x:c r="O419" s="24" t="n">
        <x:f>J419+L419</x:f>
        <x:v>10.923076923076923</x:v>
      </x:c>
    </x:row>
    <x:row r="420">
      <x:c r="A420" s="22" t="str">
        <x:v>500104099</x:v>
      </x:c>
      <x:c r="B420" s="17" t="str">
        <x:v>士林區</x:v>
      </x:c>
      <x:c r="C420" s="17" t="str">
        <x:v>文林路101巷口</x:v>
      </x:c>
      <x:c r="D420" s="18" t="n">
        <x:v>26</x:v>
      </x:c>
      <x:c r="E420" s="18" t="n">
        <x:v>26</x:v>
      </x:c>
      <x:c r="F420" s="24" t="n">
        <x:f>IFERROR('各站彙總來源'!F420/'各站彙總來源'!G420,"")</x:f>
        <x:v>4.730769230769231</x:v>
      </x:c>
      <x:c r="G420" s="19" t="n">
        <x:f>'各站彙總來源'!G420</x:f>
        <x:v>26</x:v>
      </x:c>
      <x:c r="H420" s="24" t="n">
        <x:f>IFERROR('各站彙總來源'!H420/'各站彙總來源'!I420,"")</x:f>
        <x:v>1</x:v>
      </x:c>
      <x:c r="I420" s="19" t="n">
        <x:f>'各站彙總來源'!I420</x:f>
        <x:v>26</x:v>
      </x:c>
      <x:c r="J420" s="24" t="n">
        <x:f>IFERROR('各站彙總來源'!J420/'各站彙總來源'!K420,"")</x:f>
        <x:v>6.615384615384615</x:v>
      </x:c>
      <x:c r="K420" s="19" t="n">
        <x:f>'各站彙總來源'!K420</x:f>
        <x:v>26</x:v>
      </x:c>
      <x:c r="L420" s="24" t="n">
        <x:f>IFERROR('各站彙總來源'!L420/'各站彙總來源'!M420,"")</x:f>
        <x:v>1.3461538461538463</x:v>
      </x:c>
      <x:c r="M420" s="19" t="n">
        <x:f>'各站彙總來源'!M420</x:f>
        <x:v>26</x:v>
      </x:c>
      <x:c r="N420" s="24" t="n">
        <x:f>F420+H420</x:f>
        <x:v>5.730769230769231</x:v>
      </x:c>
      <x:c r="O420" s="24" t="n">
        <x:f>J420+L420</x:f>
        <x:v>7.961538461538462</x:v>
      </x:c>
    </x:row>
    <x:row r="421">
      <x:c r="A421" s="22" t="str">
        <x:v>500104100</x:v>
      </x:c>
      <x:c r="B421" s="17" t="str">
        <x:v>士林區</x:v>
      </x:c>
      <x:c r="C421" s="17" t="str">
        <x:v>延平北路五段257巷15弄口</x:v>
      </x:c>
      <x:c r="D421" s="18" t="n">
        <x:v>26</x:v>
      </x:c>
      <x:c r="E421" s="18" t="n">
        <x:v>26</x:v>
      </x:c>
      <x:c r="F421" s="24" t="n">
        <x:f>IFERROR('各站彙總來源'!F421/'各站彙總來源'!G421,"")</x:f>
        <x:v>4.461538461538462</x:v>
      </x:c>
      <x:c r="G421" s="19" t="n">
        <x:f>'各站彙總來源'!G421</x:f>
        <x:v>26</x:v>
      </x:c>
      <x:c r="H421" s="24" t="n">
        <x:f>IFERROR('各站彙總來源'!H421/'各站彙總來源'!I421,"")</x:f>
        <x:v>2.5384615384615383</x:v>
      </x:c>
      <x:c r="I421" s="19" t="n">
        <x:f>'各站彙總來源'!I421</x:f>
        <x:v>26</x:v>
      </x:c>
      <x:c r="J421" s="24" t="n">
        <x:f>IFERROR('各站彙總來源'!J421/'各站彙總來源'!K421,"")</x:f>
        <x:v>3.8846153846153846</x:v>
      </x:c>
      <x:c r="K421" s="19" t="n">
        <x:f>'各站彙總來源'!K421</x:f>
        <x:v>26</x:v>
      </x:c>
      <x:c r="L421" s="24" t="n">
        <x:f>IFERROR('各站彙總來源'!L421/'各站彙總來源'!M421,"")</x:f>
        <x:v>1.0384615384615385</x:v>
      </x:c>
      <x:c r="M421" s="19" t="n">
        <x:f>'各站彙總來源'!M421</x:f>
        <x:v>26</x:v>
      </x:c>
      <x:c r="N421" s="24" t="n">
        <x:f>F421+H421</x:f>
        <x:v>7</x:v>
      </x:c>
      <x:c r="O421" s="24" t="n">
        <x:f>J421+L421</x:f>
        <x:v>4.923076923076923</x:v>
      </x:c>
    </x:row>
    <x:row r="422">
      <x:c r="A422" s="22" t="str">
        <x:v>500104101</x:v>
      </x:c>
      <x:c r="B422" s="17" t="str">
        <x:v>士林區</x:v>
      </x:c>
      <x:c r="C422" s="17" t="str">
        <x:v>延平北路五段257巷4弄口</x:v>
      </x:c>
      <x:c r="D422" s="18" t="n">
        <x:v>26</x:v>
      </x:c>
      <x:c r="E422" s="18" t="n">
        <x:v>26</x:v>
      </x:c>
      <x:c r="F422" s="24" t="n">
        <x:f>IFERROR('各站彙總來源'!F422/'各站彙總來源'!G422,"")</x:f>
        <x:v>10.384615384615385</x:v>
      </x:c>
      <x:c r="G422" s="19" t="n">
        <x:f>'各站彙總來源'!G422</x:f>
        <x:v>26</x:v>
      </x:c>
      <x:c r="H422" s="24" t="n">
        <x:f>IFERROR('各站彙總來源'!H422/'各站彙總來源'!I422,"")</x:f>
        <x:v>2</x:v>
      </x:c>
      <x:c r="I422" s="19" t="n">
        <x:f>'各站彙總來源'!I422</x:f>
        <x:v>26</x:v>
      </x:c>
      <x:c r="J422" s="24" t="n">
        <x:f>IFERROR('各站彙總來源'!J422/'各站彙總來源'!K422,"")</x:f>
        <x:v>5.269230769230769</x:v>
      </x:c>
      <x:c r="K422" s="19" t="n">
        <x:f>'各站彙總來源'!K422</x:f>
        <x:v>26</x:v>
      </x:c>
      <x:c r="L422" s="24" t="n">
        <x:f>IFERROR('各站彙總來源'!L422/'各站彙總來源'!M422,"")</x:f>
        <x:v>0.9615384615384616</x:v>
      </x:c>
      <x:c r="M422" s="19" t="n">
        <x:f>'各站彙總來源'!M422</x:f>
        <x:v>26</x:v>
      </x:c>
      <x:c r="N422" s="24" t="n">
        <x:f>F422+H422</x:f>
        <x:v>12.384615384615385</x:v>
      </x:c>
      <x:c r="O422" s="24" t="n">
        <x:f>J422+L422</x:f>
        <x:v>6.230769230769231</x:v>
      </x:c>
    </x:row>
    <x:row r="423">
      <x:c r="A423" s="22" t="str">
        <x:v>500104102</x:v>
      </x:c>
      <x:c r="B423" s="17" t="str">
        <x:v>士林區</x:v>
      </x:c>
      <x:c r="C423" s="17" t="str">
        <x:v>啟明學校</x:v>
      </x:c>
      <x:c r="D423" s="18" t="n">
        <x:v>26</x:v>
      </x:c>
      <x:c r="E423" s="18" t="n">
        <x:v>26</x:v>
      </x:c>
      <x:c r="F423" s="24" t="n">
        <x:f>IFERROR('各站彙總來源'!F423/'各站彙總來源'!G423,"")</x:f>
        <x:v>8.615384615384615</x:v>
      </x:c>
      <x:c r="G423" s="19" t="n">
        <x:f>'各站彙總來源'!G423</x:f>
        <x:v>26</x:v>
      </x:c>
      <x:c r="H423" s="24" t="n">
        <x:f>IFERROR('各站彙總來源'!H423/'各站彙總來源'!I423,"")</x:f>
        <x:v>1.0384615384615385</x:v>
      </x:c>
      <x:c r="I423" s="19" t="n">
        <x:f>'各站彙總來源'!I423</x:f>
        <x:v>26</x:v>
      </x:c>
      <x:c r="J423" s="24" t="n">
        <x:f>IFERROR('各站彙總來源'!J423/'各站彙總來源'!K423,"")</x:f>
        <x:v>7.8076923076923075</x:v>
      </x:c>
      <x:c r="K423" s="19" t="n">
        <x:f>'各站彙總來源'!K423</x:f>
        <x:v>26</x:v>
      </x:c>
      <x:c r="L423" s="24" t="n">
        <x:f>IFERROR('各站彙總來源'!L423/'各站彙總來源'!M423,"")</x:f>
        <x:v>1.0769230769230769</x:v>
      </x:c>
      <x:c r="M423" s="19" t="n">
        <x:f>'各站彙總來源'!M423</x:f>
        <x:v>26</x:v>
      </x:c>
      <x:c r="N423" s="24" t="n">
        <x:f>F423+H423</x:f>
        <x:v>9.653846153846153</x:v>
      </x:c>
      <x:c r="O423" s="24" t="n">
        <x:f>J423+L423</x:f>
        <x:v>8.884615384615385</x:v>
      </x:c>
    </x:row>
    <x:row r="424">
      <x:c r="A424" s="22" t="str">
        <x:v>500104103</x:v>
      </x:c>
      <x:c r="B424" s="17" t="str">
        <x:v>士林區</x:v>
      </x:c>
      <x:c r="C424" s="17" t="str">
        <x:v>中山福國路口</x:v>
      </x:c>
      <x:c r="D424" s="18" t="n">
        <x:v>26</x:v>
      </x:c>
      <x:c r="E424" s="18" t="n">
        <x:v>26</x:v>
      </x:c>
      <x:c r="F424" s="24" t="n">
        <x:f>IFERROR('各站彙總來源'!F424/'各站彙總來源'!G424,"")</x:f>
        <x:v>13.461538461538462</x:v>
      </x:c>
      <x:c r="G424" s="19" t="n">
        <x:f>'各站彙總來源'!G424</x:f>
        <x:v>26</x:v>
      </x:c>
      <x:c r="H424" s="24" t="n">
        <x:f>IFERROR('各站彙總來源'!H424/'各站彙總來源'!I424,"")</x:f>
        <x:v>0.8461538461538461</x:v>
      </x:c>
      <x:c r="I424" s="19" t="n">
        <x:f>'各站彙總來源'!I424</x:f>
        <x:v>26</x:v>
      </x:c>
      <x:c r="J424" s="24" t="n">
        <x:f>IFERROR('各站彙總來源'!J424/'各站彙總來源'!K424,"")</x:f>
        <x:v>5.615384615384615</x:v>
      </x:c>
      <x:c r="K424" s="19" t="n">
        <x:f>'各站彙總來源'!K424</x:f>
        <x:v>26</x:v>
      </x:c>
      <x:c r="L424" s="24" t="n">
        <x:f>IFERROR('各站彙總來源'!L424/'各站彙總來源'!M424,"")</x:f>
        <x:v>1.7692307692307692</x:v>
      </x:c>
      <x:c r="M424" s="19" t="n">
        <x:f>'各站彙總來源'!M424</x:f>
        <x:v>26</x:v>
      </x:c>
      <x:c r="N424" s="24" t="n">
        <x:f>F424+H424</x:f>
        <x:v>14.307692307692308</x:v>
      </x:c>
      <x:c r="O424" s="24" t="n">
        <x:f>J424+L424</x:f>
        <x:v>7.384615384615384</x:v>
      </x:c>
    </x:row>
    <x:row r="425">
      <x:c r="A425" s="22" t="str">
        <x:v>500104104</x:v>
      </x:c>
      <x:c r="B425" s="17" t="str">
        <x:v>士林區</x:v>
      </x:c>
      <x:c r="C425" s="17" t="str">
        <x:v>德行公園</x:v>
      </x:c>
      <x:c r="D425" s="18" t="n">
        <x:v>26</x:v>
      </x:c>
      <x:c r="E425" s="18" t="n">
        <x:v>26</x:v>
      </x:c>
      <x:c r="F425" s="24" t="n">
        <x:f>IFERROR('各站彙總來源'!F425/'各站彙總來源'!G425,"")</x:f>
        <x:v>6.153846153846154</x:v>
      </x:c>
      <x:c r="G425" s="19" t="n">
        <x:f>'各站彙總來源'!G425</x:f>
        <x:v>26</x:v>
      </x:c>
      <x:c r="H425" s="24" t="n">
        <x:f>IFERROR('各站彙總來源'!H425/'各站彙總來源'!I425,"")</x:f>
        <x:v>0.3076923076923077</x:v>
      </x:c>
      <x:c r="I425" s="19" t="n">
        <x:f>'各站彙總來源'!I425</x:f>
        <x:v>26</x:v>
      </x:c>
      <x:c r="J425" s="24" t="n">
        <x:f>IFERROR('各站彙總來源'!J425/'各站彙總來源'!K425,"")</x:f>
        <x:v>35.19230769230769</x:v>
      </x:c>
      <x:c r="K425" s="19" t="n">
        <x:f>'各站彙總來源'!K425</x:f>
        <x:v>26</x:v>
      </x:c>
      <x:c r="L425" s="24" t="n">
        <x:f>IFERROR('各站彙總來源'!L425/'各站彙總來源'!M425,"")</x:f>
        <x:v>2.8461538461538463</x:v>
      </x:c>
      <x:c r="M425" s="19" t="n">
        <x:f>'各站彙總來源'!M425</x:f>
        <x:v>26</x:v>
      </x:c>
      <x:c r="N425" s="24" t="n">
        <x:f>F425+H425</x:f>
        <x:v>6.461538461538462</x:v>
      </x:c>
      <x:c r="O425" s="24" t="n">
        <x:f>J425+L425</x:f>
        <x:v>38.03846153846154</x:v>
      </x:c>
    </x:row>
    <x:row r="426">
      <x:c r="A426" s="22" t="str">
        <x:v>500104105</x:v>
      </x:c>
      <x:c r="B426" s="17" t="str">
        <x:v>士林區</x:v>
      </x:c>
      <x:c r="C426" s="17" t="str">
        <x:v>承德後港街口</x:v>
      </x:c>
      <x:c r="D426" s="18" t="n">
        <x:v>26</x:v>
      </x:c>
      <x:c r="E426" s="18" t="n">
        <x:v>26</x:v>
      </x:c>
      <x:c r="F426" s="24" t="n">
        <x:f>IFERROR('各站彙總來源'!F426/'各站彙總來源'!G426,"")</x:f>
        <x:v>9.807692307692308</x:v>
      </x:c>
      <x:c r="G426" s="19" t="n">
        <x:f>'各站彙總來源'!G426</x:f>
        <x:v>26</x:v>
      </x:c>
      <x:c r="H426" s="24" t="n">
        <x:f>IFERROR('各站彙總來源'!H426/'各站彙總來源'!I426,"")</x:f>
        <x:v>0.19230769230769232</x:v>
      </x:c>
      <x:c r="I426" s="19" t="n">
        <x:f>'各站彙總來源'!I426</x:f>
        <x:v>26</x:v>
      </x:c>
      <x:c r="J426" s="24" t="n">
        <x:f>IFERROR('各站彙總來源'!J426/'各站彙總來源'!K426,"")</x:f>
        <x:v>7.769230769230769</x:v>
      </x:c>
      <x:c r="K426" s="19" t="n">
        <x:f>'各站彙總來源'!K426</x:f>
        <x:v>26</x:v>
      </x:c>
      <x:c r="L426" s="24" t="n">
        <x:f>IFERROR('各站彙總來源'!L426/'各站彙總來源'!M426,"")</x:f>
        <x:v>0.8846153846153846</x:v>
      </x:c>
      <x:c r="M426" s="19" t="n">
        <x:f>'各站彙總來源'!M426</x:f>
        <x:v>26</x:v>
      </x:c>
      <x:c r="N426" s="24" t="n">
        <x:f>F426+H426</x:f>
        <x:v>10</x:v>
      </x:c>
      <x:c r="O426" s="24" t="n">
        <x:f>J426+L426</x:f>
        <x:v>8.653846153846153</x:v>
      </x:c>
    </x:row>
    <x:row r="427">
      <x:c r="A427" s="22" t="str">
        <x:v>500104106</x:v>
      </x:c>
      <x:c r="B427" s="17" t="str">
        <x:v>士林區</x:v>
      </x:c>
      <x:c r="C427" s="17" t="str">
        <x:v>中山北路五段698巷口</x:v>
      </x:c>
      <x:c r="D427" s="18" t="n">
        <x:v>26</x:v>
      </x:c>
      <x:c r="E427" s="18" t="n">
        <x:v>26</x:v>
      </x:c>
      <x:c r="F427" s="24" t="n">
        <x:f>IFERROR('各站彙總來源'!F427/'各站彙總來源'!G427,"")</x:f>
        <x:v>6.038461538461538</x:v>
      </x:c>
      <x:c r="G427" s="19" t="n">
        <x:f>'各站彙總來源'!G427</x:f>
        <x:v>26</x:v>
      </x:c>
      <x:c r="H427" s="24" t="n">
        <x:f>IFERROR('各站彙總來源'!H427/'各站彙總來源'!I427,"")</x:f>
        <x:v>1.0769230769230769</x:v>
      </x:c>
      <x:c r="I427" s="19" t="n">
        <x:f>'各站彙總來源'!I427</x:f>
        <x:v>26</x:v>
      </x:c>
      <x:c r="J427" s="24" t="n">
        <x:f>IFERROR('各站彙總來源'!J427/'各站彙總來源'!K427,"")</x:f>
        <x:v>5</x:v>
      </x:c>
      <x:c r="K427" s="19" t="n">
        <x:f>'各站彙總來源'!K427</x:f>
        <x:v>26</x:v>
      </x:c>
      <x:c r="L427" s="24" t="n">
        <x:f>IFERROR('各站彙總來源'!L427/'各站彙總來源'!M427,"")</x:f>
        <x:v>0.8076923076923077</x:v>
      </x:c>
      <x:c r="M427" s="19" t="n">
        <x:f>'各站彙總來源'!M427</x:f>
        <x:v>26</x:v>
      </x:c>
      <x:c r="N427" s="24" t="n">
        <x:f>F427+H427</x:f>
        <x:v>7.115384615384615</x:v>
      </x:c>
      <x:c r="O427" s="24" t="n">
        <x:f>J427+L427</x:f>
        <x:v>5.8076923076923075</x:v>
      </x:c>
    </x:row>
    <x:row r="428">
      <x:c r="A428" s="22" t="str">
        <x:v>500104107</x:v>
      </x:c>
      <x:c r="B428" s="17" t="str">
        <x:v>士林區</x:v>
      </x:c>
      <x:c r="C428" s="17" t="str">
        <x:v>捷運士林站(1號出口)</x:v>
      </x:c>
      <x:c r="D428" s="18" t="n">
        <x:v>26</x:v>
      </x:c>
      <x:c r="E428" s="18" t="n">
        <x:v>26</x:v>
      </x:c>
      <x:c r="F428" s="24" t="n">
        <x:f>IFERROR('各站彙總來源'!F428/'各站彙總來源'!G428,"")</x:f>
        <x:v>8.461538461538462</x:v>
      </x:c>
      <x:c r="G428" s="19" t="n">
        <x:f>'各站彙總來源'!G428</x:f>
        <x:v>26</x:v>
      </x:c>
      <x:c r="H428" s="24" t="n">
        <x:f>IFERROR('各站彙總來源'!H428/'各站彙總來源'!I428,"")</x:f>
        <x:v>3</x:v>
      </x:c>
      <x:c r="I428" s="19" t="n">
        <x:f>'各站彙總來源'!I428</x:f>
        <x:v>26</x:v>
      </x:c>
      <x:c r="J428" s="24" t="n">
        <x:f>IFERROR('各站彙總來源'!J428/'各站彙總來源'!K428,"")</x:f>
        <x:v>16.53846153846154</x:v>
      </x:c>
      <x:c r="K428" s="19" t="n">
        <x:f>'各站彙總來源'!K428</x:f>
        <x:v>26</x:v>
      </x:c>
      <x:c r="L428" s="24" t="n">
        <x:f>IFERROR('各站彙總來源'!L428/'各站彙總來源'!M428,"")</x:f>
        <x:v>1.7307692307692308</x:v>
      </x:c>
      <x:c r="M428" s="19" t="n">
        <x:f>'各站彙總來源'!M428</x:f>
        <x:v>26</x:v>
      </x:c>
      <x:c r="N428" s="24" t="n">
        <x:f>F428+H428</x:f>
        <x:v>11.461538461538462</x:v>
      </x:c>
      <x:c r="O428" s="24" t="n">
        <x:f>J428+L428</x:f>
        <x:v>18.26923076923077</x:v>
      </x:c>
    </x:row>
    <x:row r="429">
      <x:c r="A429" s="22" t="str">
        <x:v>500104108</x:v>
      </x:c>
      <x:c r="B429" s="17" t="str">
        <x:v>士林區</x:v>
      </x:c>
      <x:c r="C429" s="17" t="str">
        <x:v>捷運芝山站(2號出口)_1</x:v>
      </x:c>
      <x:c r="D429" s="18" t="n">
        <x:v>26</x:v>
      </x:c>
      <x:c r="E429" s="18" t="n">
        <x:v>26</x:v>
      </x:c>
      <x:c r="F429" s="24" t="n">
        <x:f>IFERROR('各站彙總來源'!F429/'各站彙總來源'!G429,"")</x:f>
        <x:v>26.23076923076923</x:v>
      </x:c>
      <x:c r="G429" s="19" t="n">
        <x:f>'各站彙總來源'!G429</x:f>
        <x:v>26</x:v>
      </x:c>
      <x:c r="H429" s="24" t="n">
        <x:f>IFERROR('各站彙總來源'!H429/'各站彙總來源'!I429,"")</x:f>
        <x:v>4.346153846153846</x:v>
      </x:c>
      <x:c r="I429" s="19" t="n">
        <x:f>'各站彙總來源'!I429</x:f>
        <x:v>26</x:v>
      </x:c>
      <x:c r="J429" s="24" t="n">
        <x:f>IFERROR('各站彙總來源'!J429/'各站彙總來源'!K429,"")</x:f>
        <x:v>38.53846153846154</x:v>
      </x:c>
      <x:c r="K429" s="19" t="n">
        <x:f>'各站彙總來源'!K429</x:f>
        <x:v>26</x:v>
      </x:c>
      <x:c r="L429" s="24" t="n">
        <x:f>IFERROR('各站彙總來源'!L429/'各站彙總來源'!M429,"")</x:f>
        <x:v>2</x:v>
      </x:c>
      <x:c r="M429" s="19" t="n">
        <x:f>'各站彙總來源'!M429</x:f>
        <x:v>26</x:v>
      </x:c>
      <x:c r="N429" s="24" t="n">
        <x:f>F429+H429</x:f>
        <x:v>30.576923076923077</x:v>
      </x:c>
      <x:c r="O429" s="24" t="n">
        <x:f>J429+L429</x:f>
        <x:v>40.53846153846154</x:v>
      </x:c>
    </x:row>
    <x:row r="430">
      <x:c r="A430" s="22" t="str">
        <x:v>500104109</x:v>
      </x:c>
      <x:c r="B430" s="17" t="str">
        <x:v>士林區</x:v>
      </x:c>
      <x:c r="C430" s="17" t="str">
        <x:v>銘傳大學(中山北路五段280巷口)</x:v>
      </x:c>
      <x:c r="D430" s="18" t="n">
        <x:v>26</x:v>
      </x:c>
      <x:c r="E430" s="18" t="n">
        <x:v>26</x:v>
      </x:c>
      <x:c r="F430" s="24" t="n">
        <x:f>IFERROR('各站彙總來源'!F430/'各站彙總來源'!G430,"")</x:f>
        <x:v>5.884615384615385</x:v>
      </x:c>
      <x:c r="G430" s="19" t="n">
        <x:f>'各站彙總來源'!G430</x:f>
        <x:v>26</x:v>
      </x:c>
      <x:c r="H430" s="24" t="n">
        <x:f>IFERROR('各站彙總來源'!H430/'各站彙總來源'!I430,"")</x:f>
        <x:v>1.4615384615384615</x:v>
      </x:c>
      <x:c r="I430" s="19" t="n">
        <x:f>'各站彙總來源'!I430</x:f>
        <x:v>26</x:v>
      </x:c>
      <x:c r="J430" s="24" t="n">
        <x:f>IFERROR('各站彙總來源'!J430/'各站彙總來源'!K430,"")</x:f>
        <x:v>15.923076923076923</x:v>
      </x:c>
      <x:c r="K430" s="19" t="n">
        <x:f>'各站彙總來源'!K430</x:f>
        <x:v>26</x:v>
      </x:c>
      <x:c r="L430" s="24" t="n">
        <x:f>IFERROR('各站彙總來源'!L430/'各站彙總來源'!M430,"")</x:f>
        <x:v>1.5769230769230769</x:v>
      </x:c>
      <x:c r="M430" s="19" t="n">
        <x:f>'各站彙總來源'!M430</x:f>
        <x:v>26</x:v>
      </x:c>
      <x:c r="N430" s="24" t="n">
        <x:f>F430+H430</x:f>
        <x:v>7.346153846153847</x:v>
      </x:c>
      <x:c r="O430" s="24" t="n">
        <x:f>J430+L430</x:f>
        <x:v>17.5</x:v>
      </x:c>
    </x:row>
    <x:row r="431">
      <x:c r="A431" s="22" t="str">
        <x:v>500104110</x:v>
      </x:c>
      <x:c r="B431" s="17" t="str">
        <x:v>士林區</x:v>
      </x:c>
      <x:c r="C431" s="17" t="str">
        <x:v>海光公園南側</x:v>
      </x:c>
      <x:c r="D431" s="18" t="n">
        <x:v>26</x:v>
      </x:c>
      <x:c r="E431" s="18" t="n">
        <x:v>26</x:v>
      </x:c>
      <x:c r="F431" s="24" t="n">
        <x:f>IFERROR('各站彙總來源'!F431/'各站彙總來源'!G431,"")</x:f>
        <x:v>7.076923076923077</x:v>
      </x:c>
      <x:c r="G431" s="19" t="n">
        <x:f>'各站彙總來源'!G431</x:f>
        <x:v>26</x:v>
      </x:c>
      <x:c r="H431" s="24" t="n">
        <x:f>IFERROR('各站彙總來源'!H431/'各站彙總來源'!I431,"")</x:f>
        <x:v>1.6153846153846154</x:v>
      </x:c>
      <x:c r="I431" s="19" t="n">
        <x:f>'各站彙總來源'!I431</x:f>
        <x:v>26</x:v>
      </x:c>
      <x:c r="J431" s="24" t="n">
        <x:f>IFERROR('各站彙總來源'!J431/'各站彙總來源'!K431,"")</x:f>
        <x:v>2.3461538461538463</x:v>
      </x:c>
      <x:c r="K431" s="19" t="n">
        <x:f>'各站彙總來源'!K431</x:f>
        <x:v>26</x:v>
      </x:c>
      <x:c r="L431" s="24" t="n">
        <x:f>IFERROR('各站彙總來源'!L431/'各站彙總來源'!M431,"")</x:f>
        <x:v>1.2307692307692308</x:v>
      </x:c>
      <x:c r="M431" s="19" t="n">
        <x:f>'各站彙總來源'!M431</x:f>
        <x:v>26</x:v>
      </x:c>
      <x:c r="N431" s="24" t="n">
        <x:f>F431+H431</x:f>
        <x:v>8.692307692307692</x:v>
      </x:c>
      <x:c r="O431" s="24" t="n">
        <x:f>J431+L431</x:f>
        <x:v>3.576923076923077</x:v>
      </x:c>
    </x:row>
    <x:row r="432">
      <x:c r="A432" s="22" t="str">
        <x:v>500104111</x:v>
      </x:c>
      <x:c r="B432" s="17" t="str">
        <x:v>士林區</x:v>
      </x:c>
      <x:c r="C432" s="17" t="str">
        <x:v>士商路40巷口</x:v>
      </x:c>
      <x:c r="D432" s="18" t="n">
        <x:v>26</x:v>
      </x:c>
      <x:c r="E432" s="18" t="n">
        <x:v>26</x:v>
      </x:c>
      <x:c r="F432" s="24" t="n">
        <x:f>IFERROR('各站彙總來源'!F432/'各站彙總來源'!G432,"")</x:f>
        <x:v>3.3461538461538463</x:v>
      </x:c>
      <x:c r="G432" s="19" t="n">
        <x:f>'各站彙總來源'!G432</x:f>
        <x:v>26</x:v>
      </x:c>
      <x:c r="H432" s="24" t="n">
        <x:f>IFERROR('各站彙總來源'!H432/'各站彙總來源'!I432,"")</x:f>
        <x:v>0.2692307692307692</x:v>
      </x:c>
      <x:c r="I432" s="19" t="n">
        <x:f>'各站彙總來源'!I432</x:f>
        <x:v>26</x:v>
      </x:c>
      <x:c r="J432" s="24" t="n">
        <x:f>IFERROR('各站彙總來源'!J432/'各站彙總來源'!K432,"")</x:f>
        <x:v>1</x:v>
      </x:c>
      <x:c r="K432" s="19" t="n">
        <x:f>'各站彙總來源'!K432</x:f>
        <x:v>26</x:v>
      </x:c>
      <x:c r="L432" s="24" t="n">
        <x:f>IFERROR('各站彙總來源'!L432/'各站彙總來源'!M432,"")</x:f>
        <x:v>0.11538461538461539</x:v>
      </x:c>
      <x:c r="M432" s="19" t="n">
        <x:f>'各站彙總來源'!M432</x:f>
        <x:v>26</x:v>
      </x:c>
      <x:c r="N432" s="24" t="n">
        <x:f>F432+H432</x:f>
        <x:v>3.6153846153846154</x:v>
      </x:c>
      <x:c r="O432" s="24" t="n">
        <x:f>J432+L432</x:f>
        <x:v>1.1153846153846154</x:v>
      </x:c>
    </x:row>
    <x:row r="433">
      <x:c r="A433" s="22" t="str">
        <x:v>500104112</x:v>
      </x:c>
      <x:c r="B433" s="17" t="str">
        <x:v>士林區</x:v>
      </x:c>
      <x:c r="C433" s="17" t="str">
        <x:v>劍潭郵局</x:v>
      </x:c>
      <x:c r="D433" s="18" t="n">
        <x:v>26</x:v>
      </x:c>
      <x:c r="E433" s="18" t="n">
        <x:v>26</x:v>
      </x:c>
      <x:c r="F433" s="24" t="n">
        <x:f>IFERROR('各站彙總來源'!F433/'各站彙總來源'!G433,"")</x:f>
        <x:v>6.384615384615385</x:v>
      </x:c>
      <x:c r="G433" s="19" t="n">
        <x:f>'各站彙總來源'!G433</x:f>
        <x:v>26</x:v>
      </x:c>
      <x:c r="H433" s="24" t="n">
        <x:f>IFERROR('各站彙總來源'!H433/'各站彙總來源'!I433,"")</x:f>
        <x:v>1.1538461538461537</x:v>
      </x:c>
      <x:c r="I433" s="19" t="n">
        <x:f>'各站彙總來源'!I433</x:f>
        <x:v>26</x:v>
      </x:c>
      <x:c r="J433" s="24" t="n">
        <x:f>IFERROR('各站彙總來源'!J433/'各站彙總來源'!K433,"")</x:f>
        <x:v>48.65384615384615</x:v>
      </x:c>
      <x:c r="K433" s="19" t="n">
        <x:f>'各站彙總來源'!K433</x:f>
        <x:v>26</x:v>
      </x:c>
      <x:c r="L433" s="24" t="n">
        <x:f>IFERROR('各站彙總來源'!L433/'各站彙總來源'!M433,"")</x:f>
        <x:v>3.923076923076923</x:v>
      </x:c>
      <x:c r="M433" s="19" t="n">
        <x:f>'各站彙總來源'!M433</x:f>
        <x:v>26</x:v>
      </x:c>
      <x:c r="N433" s="24" t="n">
        <x:f>F433+H433</x:f>
        <x:v>7.538461538461538</x:v>
      </x:c>
      <x:c r="O433" s="24" t="n">
        <x:f>J433+L433</x:f>
        <x:v>52.57692307692307</x:v>
      </x:c>
    </x:row>
    <x:row r="434">
      <x:c r="A434" s="22" t="str">
        <x:v>500104113</x:v>
      </x:c>
      <x:c r="B434" s="17" t="str">
        <x:v>士林區</x:v>
      </x:c>
      <x:c r="C434" s="17" t="str">
        <x:v>士東路91巷口</x:v>
      </x:c>
      <x:c r="D434" s="18" t="n">
        <x:v>26</x:v>
      </x:c>
      <x:c r="E434" s="18" t="n">
        <x:v>26</x:v>
      </x:c>
      <x:c r="F434" s="24" t="n">
        <x:f>IFERROR('各站彙總來源'!F434/'各站彙總來源'!G434,"")</x:f>
        <x:v>16.53846153846154</x:v>
      </x:c>
      <x:c r="G434" s="19" t="n">
        <x:f>'各站彙總來源'!G434</x:f>
        <x:v>26</x:v>
      </x:c>
      <x:c r="H434" s="24" t="n">
        <x:f>IFERROR('各站彙總來源'!H434/'各站彙總來源'!I434,"")</x:f>
        <x:v>2.269230769230769</x:v>
      </x:c>
      <x:c r="I434" s="19" t="n">
        <x:f>'各站彙總來源'!I434</x:f>
        <x:v>26</x:v>
      </x:c>
      <x:c r="J434" s="24" t="n">
        <x:f>IFERROR('各站彙總來源'!J434/'各站彙總來源'!K434,"")</x:f>
        <x:v>7.423076923076923</x:v>
      </x:c>
      <x:c r="K434" s="19" t="n">
        <x:f>'各站彙總來源'!K434</x:f>
        <x:v>26</x:v>
      </x:c>
      <x:c r="L434" s="24" t="n">
        <x:f>IFERROR('各站彙總來源'!L434/'各站彙總來源'!M434,"")</x:f>
        <x:v>1.4230769230769231</x:v>
      </x:c>
      <x:c r="M434" s="19" t="n">
        <x:f>'各站彙總來源'!M434</x:f>
        <x:v>26</x:v>
      </x:c>
      <x:c r="N434" s="24" t="n">
        <x:f>F434+H434</x:f>
        <x:v>18.80769230769231</x:v>
      </x:c>
      <x:c r="O434" s="24" t="n">
        <x:f>J434+L434</x:f>
        <x:v>8.846153846153847</x:v>
      </x:c>
    </x:row>
    <x:row r="435">
      <x:c r="A435" s="22" t="str">
        <x:v>500104114</x:v>
      </x:c>
      <x:c r="B435" s="17" t="str">
        <x:v>士林區</x:v>
      </x:c>
      <x:c r="C435" s="17" t="str">
        <x:v>美崙公園</x:v>
      </x:c>
      <x:c r="D435" s="18" t="n">
        <x:v>26</x:v>
      </x:c>
      <x:c r="E435" s="18" t="n">
        <x:v>26</x:v>
      </x:c>
      <x:c r="F435" s="24" t="n">
        <x:f>IFERROR('各站彙總來源'!F435/'各站彙總來源'!G435,"")</x:f>
        <x:v>5.269230769230769</x:v>
      </x:c>
      <x:c r="G435" s="19" t="n">
        <x:f>'各站彙總來源'!G435</x:f>
        <x:v>26</x:v>
      </x:c>
      <x:c r="H435" s="24" t="n">
        <x:f>IFERROR('各站彙總來源'!H435/'各站彙總來源'!I435,"")</x:f>
        <x:v>2.269230769230769</x:v>
      </x:c>
      <x:c r="I435" s="19" t="n">
        <x:f>'各站彙總來源'!I435</x:f>
        <x:v>26</x:v>
      </x:c>
      <x:c r="J435" s="24" t="n">
        <x:f>IFERROR('各站彙總來源'!J435/'各站彙總來源'!K435,"")</x:f>
        <x:v>17.884615384615383</x:v>
      </x:c>
      <x:c r="K435" s="19" t="n">
        <x:f>'各站彙總來源'!K435</x:f>
        <x:v>26</x:v>
      </x:c>
      <x:c r="L435" s="24" t="n">
        <x:f>IFERROR('各站彙總來源'!L435/'各站彙總來源'!M435,"")</x:f>
        <x:v>3.8461538461538463</x:v>
      </x:c>
      <x:c r="M435" s="19" t="n">
        <x:f>'各站彙總來源'!M435</x:f>
        <x:v>26</x:v>
      </x:c>
      <x:c r="N435" s="24" t="n">
        <x:f>F435+H435</x:f>
        <x:v>7.538461538461538</x:v>
      </x:c>
      <x:c r="O435" s="24" t="n">
        <x:f>J435+L435</x:f>
        <x:v>21.73076923076923</x:v>
      </x:c>
    </x:row>
    <x:row r="436">
      <x:c r="A436" s="22" t="str">
        <x:v>500104115</x:v>
      </x:c>
      <x:c r="B436" s="17" t="str">
        <x:v>士林區</x:v>
      </x:c>
      <x:c r="C436" s="17" t="str">
        <x:v>臺北市立大學(忠誠路二段207巷)</x:v>
      </x:c>
      <x:c r="D436" s="18" t="n">
        <x:v>26</x:v>
      </x:c>
      <x:c r="E436" s="18" t="n">
        <x:v>26</x:v>
      </x:c>
      <x:c r="F436" s="24" t="n">
        <x:f>IFERROR('各站彙總來源'!F436/'各站彙總來源'!G436,"")</x:f>
        <x:v>6.884615384615385</x:v>
      </x:c>
      <x:c r="G436" s="19" t="n">
        <x:f>'各站彙總來源'!G436</x:f>
        <x:v>26</x:v>
      </x:c>
      <x:c r="H436" s="24" t="n">
        <x:f>IFERROR('各站彙總來源'!H436/'各站彙總來源'!I436,"")</x:f>
        <x:v>2.6538461538461537</x:v>
      </x:c>
      <x:c r="I436" s="19" t="n">
        <x:f>'各站彙總來源'!I436</x:f>
        <x:v>26</x:v>
      </x:c>
      <x:c r="J436" s="24" t="n">
        <x:f>IFERROR('各站彙總來源'!J436/'各站彙總來源'!K436,"")</x:f>
        <x:v>31.884615384615383</x:v>
      </x:c>
      <x:c r="K436" s="19" t="n">
        <x:f>'各站彙總來源'!K436</x:f>
        <x:v>26</x:v>
      </x:c>
      <x:c r="L436" s="24" t="n">
        <x:f>IFERROR('各站彙總來源'!L436/'各站彙總來源'!M436,"")</x:f>
        <x:v>2.1923076923076925</x:v>
      </x:c>
      <x:c r="M436" s="19" t="n">
        <x:f>'各站彙總來源'!M436</x:f>
        <x:v>26</x:v>
      </x:c>
      <x:c r="N436" s="24" t="n">
        <x:f>F436+H436</x:f>
        <x:v>9.538461538461538</x:v>
      </x:c>
      <x:c r="O436" s="24" t="n">
        <x:f>J436+L436</x:f>
        <x:v>34.07692307692307</x:v>
      </x:c>
    </x:row>
    <x:row r="437">
      <x:c r="A437" s="22" t="str">
        <x:v>500104116</x:v>
      </x:c>
      <x:c r="B437" s="17" t="str">
        <x:v>士林區</x:v>
      </x:c>
      <x:c r="C437" s="17" t="str">
        <x:v>天母東路8巷/忠誠路二段154巷口</x:v>
      </x:c>
      <x:c r="D437" s="18" t="n">
        <x:v>26</x:v>
      </x:c>
      <x:c r="E437" s="18" t="n">
        <x:v>26</x:v>
      </x:c>
      <x:c r="F437" s="24" t="n">
        <x:f>IFERROR('各站彙總來源'!F437/'各站彙總來源'!G437,"")</x:f>
        <x:v>16.076923076923077</x:v>
      </x:c>
      <x:c r="G437" s="19" t="n">
        <x:f>'各站彙總來源'!G437</x:f>
        <x:v>26</x:v>
      </x:c>
      <x:c r="H437" s="24" t="n">
        <x:f>IFERROR('各站彙總來源'!H437/'各站彙總來源'!I437,"")</x:f>
        <x:v>5.1923076923076925</x:v>
      </x:c>
      <x:c r="I437" s="19" t="n">
        <x:f>'各站彙總來源'!I437</x:f>
        <x:v>26</x:v>
      </x:c>
      <x:c r="J437" s="24" t="n">
        <x:f>IFERROR('各站彙總來源'!J437/'各站彙總來源'!K437,"")</x:f>
        <x:v>12.76923076923077</x:v>
      </x:c>
      <x:c r="K437" s="19" t="n">
        <x:f>'各站彙總來源'!K437</x:f>
        <x:v>26</x:v>
      </x:c>
      <x:c r="L437" s="24" t="n">
        <x:f>IFERROR('各站彙總來源'!L437/'各站彙總來源'!M437,"")</x:f>
        <x:v>3.730769230769231</x:v>
      </x:c>
      <x:c r="M437" s="19" t="n">
        <x:f>'各站彙總來源'!M437</x:f>
        <x:v>26</x:v>
      </x:c>
      <x:c r="N437" s="24" t="n">
        <x:f>F437+H437</x:f>
        <x:v>21.26923076923077</x:v>
      </x:c>
      <x:c r="O437" s="24" t="n">
        <x:f>J437+L437</x:f>
        <x:v>16.5</x:v>
      </x:c>
    </x:row>
    <x:row r="438">
      <x:c r="A438" s="22" t="str">
        <x:v>500104117</x:v>
      </x:c>
      <x:c r="B438" s="17" t="str">
        <x:v>士林區</x:v>
      </x:c>
      <x:c r="C438" s="17" t="str">
        <x:v>美崙公園(東北側)</x:v>
      </x:c>
      <x:c r="D438" s="18" t="n">
        <x:v>26</x:v>
      </x:c>
      <x:c r="E438" s="18" t="n">
        <x:v>26</x:v>
      </x:c>
      <x:c r="F438" s="24" t="n">
        <x:f>IFERROR('各站彙總來源'!F438/'各站彙總來源'!G438,"")</x:f>
        <x:v>13.615384615384615</x:v>
      </x:c>
      <x:c r="G438" s="19" t="n">
        <x:f>'各站彙總來源'!G438</x:f>
        <x:v>26</x:v>
      </x:c>
      <x:c r="H438" s="24" t="n">
        <x:f>IFERROR('各站彙總來源'!H438/'各站彙總來源'!I438,"")</x:f>
        <x:v>1.5384615384615385</x:v>
      </x:c>
      <x:c r="I438" s="19" t="n">
        <x:f>'各站彙總來源'!I438</x:f>
        <x:v>26</x:v>
      </x:c>
      <x:c r="J438" s="24" t="n">
        <x:f>IFERROR('各站彙總來源'!J438/'各站彙總來源'!K438,"")</x:f>
        <x:v>6.1923076923076925</x:v>
      </x:c>
      <x:c r="K438" s="19" t="n">
        <x:f>'各站彙總來源'!K438</x:f>
        <x:v>26</x:v>
      </x:c>
      <x:c r="L438" s="24" t="n">
        <x:f>IFERROR('各站彙總來源'!L438/'各站彙總來源'!M438,"")</x:f>
        <x:v>1.3846153846153846</x:v>
      </x:c>
      <x:c r="M438" s="19" t="n">
        <x:f>'各站彙總來源'!M438</x:f>
        <x:v>26</x:v>
      </x:c>
      <x:c r="N438" s="24" t="n">
        <x:f>F438+H438</x:f>
        <x:v>15.153846153846153</x:v>
      </x:c>
      <x:c r="O438" s="24" t="n">
        <x:f>J438+L438</x:f>
        <x:v>7.576923076923077</x:v>
      </x:c>
    </x:row>
    <x:row r="439">
      <x:c r="A439" s="22" t="str">
        <x:v>500104118</x:v>
      </x:c>
      <x:c r="B439" s="17" t="str">
        <x:v>士林區</x:v>
      </x:c>
      <x:c r="C439" s="17" t="str">
        <x:v>福安河濱公園</x:v>
      </x:c>
      <x:c r="D439" s="18" t="n">
        <x:v>26</x:v>
      </x:c>
      <x:c r="E439" s="18" t="n">
        <x:v>26</x:v>
      </x:c>
      <x:c r="F439" s="24" t="n">
        <x:f>IFERROR('各站彙總來源'!F439/'各站彙總來源'!G439,"")</x:f>
        <x:v>5</x:v>
      </x:c>
      <x:c r="G439" s="19" t="n">
        <x:f>'各站彙總來源'!G439</x:f>
        <x:v>26</x:v>
      </x:c>
      <x:c r="H439" s="24" t="n">
        <x:f>IFERROR('各站彙總來源'!H439/'各站彙總來源'!I439,"")</x:f>
        <x:v>1.8846153846153846</x:v>
      </x:c>
      <x:c r="I439" s="19" t="n">
        <x:f>'各站彙總來源'!I439</x:f>
        <x:v>26</x:v>
      </x:c>
      <x:c r="J439" s="24" t="n">
        <x:f>IFERROR('各站彙總來源'!J439/'各站彙總來源'!K439,"")</x:f>
        <x:v>4.384615384615385</x:v>
      </x:c>
      <x:c r="K439" s="19" t="n">
        <x:f>'各站彙總來源'!K439</x:f>
        <x:v>26</x:v>
      </x:c>
      <x:c r="L439" s="24" t="n">
        <x:f>IFERROR('各站彙總來源'!L439/'各站彙總來源'!M439,"")</x:f>
        <x:v>1.9230769230769231</x:v>
      </x:c>
      <x:c r="M439" s="19" t="n">
        <x:f>'各站彙總來源'!M439</x:f>
        <x:v>26</x:v>
      </x:c>
      <x:c r="N439" s="24" t="n">
        <x:f>F439+H439</x:f>
        <x:v>6.884615384615385</x:v>
      </x:c>
      <x:c r="O439" s="24" t="n">
        <x:f>J439+L439</x:f>
        <x:v>6.307692307692308</x:v>
      </x:c>
    </x:row>
    <x:row r="440">
      <x:c r="A440" s="22" t="str">
        <x:v>500104119</x:v>
      </x:c>
      <x:c r="B440" s="17" t="str">
        <x:v>士林區</x:v>
      </x:c>
      <x:c r="C440" s="17" t="str">
        <x:v>忠誠忠義街口(北側)</x:v>
      </x:c>
      <x:c r="D440" s="18" t="n">
        <x:v>26</x:v>
      </x:c>
      <x:c r="E440" s="18" t="n">
        <x:v>26</x:v>
      </x:c>
      <x:c r="F440" s="24" t="n">
        <x:f>IFERROR('各站彙總來源'!F440/'各站彙總來源'!G440,"")</x:f>
        <x:v>7.076923076923077</x:v>
      </x:c>
      <x:c r="G440" s="19" t="n">
        <x:f>'各站彙總來源'!G440</x:f>
        <x:v>26</x:v>
      </x:c>
      <x:c r="H440" s="24" t="n">
        <x:f>IFERROR('各站彙總來源'!H440/'各站彙總來源'!I440,"")</x:f>
        <x:v>1.2692307692307692</x:v>
      </x:c>
      <x:c r="I440" s="19" t="n">
        <x:f>'各站彙總來源'!I440</x:f>
        <x:v>26</x:v>
      </x:c>
      <x:c r="J440" s="24" t="n">
        <x:f>IFERROR('各站彙總來源'!J440/'各站彙總來源'!K440,"")</x:f>
        <x:v>4.269230769230769</x:v>
      </x:c>
      <x:c r="K440" s="19" t="n">
        <x:f>'各站彙總來源'!K440</x:f>
        <x:v>26</x:v>
      </x:c>
      <x:c r="L440" s="24" t="n">
        <x:f>IFERROR('各站彙總來源'!L440/'各站彙總來源'!M440,"")</x:f>
        <x:v>0.8076923076923077</x:v>
      </x:c>
      <x:c r="M440" s="19" t="n">
        <x:f>'各站彙總來源'!M440</x:f>
        <x:v>26</x:v>
      </x:c>
      <x:c r="N440" s="24" t="n">
        <x:f>F440+H440</x:f>
        <x:v>8.346153846153847</x:v>
      </x:c>
      <x:c r="O440" s="24" t="n">
        <x:f>J440+L440</x:f>
        <x:v>5.076923076923077</x:v>
      </x:c>
    </x:row>
    <x:row r="441">
      <x:c r="A441" s="22" t="str">
        <x:v>500104120</x:v>
      </x:c>
      <x:c r="B441" s="17" t="str">
        <x:v>士林區</x:v>
      </x:c>
      <x:c r="C441" s="17" t="str">
        <x:v>忠誠忠義街口(南側)</x:v>
      </x:c>
      <x:c r="D441" s="18" t="n">
        <x:v>26</x:v>
      </x:c>
      <x:c r="E441" s="18" t="n">
        <x:v>26</x:v>
      </x:c>
      <x:c r="F441" s="24" t="n">
        <x:f>IFERROR('各站彙總來源'!F441/'各站彙總來源'!G441,"")</x:f>
        <x:v>5.730769230769231</x:v>
      </x:c>
      <x:c r="G441" s="19" t="n">
        <x:f>'各站彙總來源'!G441</x:f>
        <x:v>26</x:v>
      </x:c>
      <x:c r="H441" s="24" t="n">
        <x:f>IFERROR('各站彙總來源'!H441/'各站彙總來源'!I441,"")</x:f>
        <x:v>1.7692307692307692</x:v>
      </x:c>
      <x:c r="I441" s="19" t="n">
        <x:f>'各站彙總來源'!I441</x:f>
        <x:v>26</x:v>
      </x:c>
      <x:c r="J441" s="24" t="n">
        <x:f>IFERROR('各站彙總來源'!J441/'各站彙總來源'!K441,"")</x:f>
        <x:v>3.3076923076923075</x:v>
      </x:c>
      <x:c r="K441" s="19" t="n">
        <x:f>'各站彙總來源'!K441</x:f>
        <x:v>26</x:v>
      </x:c>
      <x:c r="L441" s="24" t="n">
        <x:f>IFERROR('各站彙總來源'!L441/'各站彙總來源'!M441,"")</x:f>
        <x:v>0.8076923076923077</x:v>
      </x:c>
      <x:c r="M441" s="19" t="n">
        <x:f>'各站彙總來源'!M441</x:f>
        <x:v>26</x:v>
      </x:c>
      <x:c r="N441" s="24" t="n">
        <x:f>F441+H441</x:f>
        <x:v>7.5</x:v>
      </x:c>
      <x:c r="O441" s="24" t="n">
        <x:f>J441+L441</x:f>
        <x:v>4.115384615384615</x:v>
      </x:c>
    </x:row>
    <x:row r="442">
      <x:c r="A442" s="22" t="str">
        <x:v>500104121</x:v>
      </x:c>
      <x:c r="B442" s="17" t="str">
        <x:v>士林區</x:v>
      </x:c>
      <x:c r="C442" s="17" t="str">
        <x:v>士林國小</x:v>
      </x:c>
      <x:c r="D442" s="18" t="n">
        <x:v>26</x:v>
      </x:c>
      <x:c r="E442" s="18" t="n">
        <x:v>26</x:v>
      </x:c>
      <x:c r="F442" s="24" t="n">
        <x:f>IFERROR('各站彙總來源'!F442/'各站彙總來源'!G442,"")</x:f>
        <x:v>9.961538461538462</x:v>
      </x:c>
      <x:c r="G442" s="19" t="n">
        <x:f>'各站彙總來源'!G442</x:f>
        <x:v>26</x:v>
      </x:c>
      <x:c r="H442" s="24" t="n">
        <x:f>IFERROR('各站彙總來源'!H442/'各站彙總來源'!I442,"")</x:f>
        <x:v>0.6538461538461539</x:v>
      </x:c>
      <x:c r="I442" s="19" t="n">
        <x:f>'各站彙總來源'!I442</x:f>
        <x:v>26</x:v>
      </x:c>
      <x:c r="J442" s="24" t="n">
        <x:f>IFERROR('各站彙總來源'!J442/'各站彙總來源'!K442,"")</x:f>
        <x:v>6.384615384615385</x:v>
      </x:c>
      <x:c r="K442" s="19" t="n">
        <x:f>'各站彙總來源'!K442</x:f>
        <x:v>26</x:v>
      </x:c>
      <x:c r="L442" s="24" t="n">
        <x:f>IFERROR('各站彙總來源'!L442/'各站彙總來源'!M442,"")</x:f>
        <x:v>1.3461538461538463</x:v>
      </x:c>
      <x:c r="M442" s="19" t="n">
        <x:f>'各站彙總來源'!M442</x:f>
        <x:v>26</x:v>
      </x:c>
      <x:c r="N442" s="24" t="n">
        <x:f>F442+H442</x:f>
        <x:v>10.615384615384615</x:v>
      </x:c>
      <x:c r="O442" s="24" t="n">
        <x:f>J442+L442</x:f>
        <x:v>7.730769230769232</x:v>
      </x:c>
    </x:row>
    <x:row r="443">
      <x:c r="A443" s="22" t="str">
        <x:v>500104122</x:v>
      </x:c>
      <x:c r="B443" s="17" t="str">
        <x:v>士林區</x:v>
      </x:c>
      <x:c r="C443" s="17" t="str">
        <x:v>雙溪濕地公園</x:v>
      </x:c>
      <x:c r="D443" s="18" t="n">
        <x:v>26</x:v>
      </x:c>
      <x:c r="E443" s="18" t="n">
        <x:v>26</x:v>
      </x:c>
      <x:c r="F443" s="24" t="n">
        <x:f>IFERROR('各站彙總來源'!F443/'各站彙總來源'!G443,"")</x:f>
        <x:v>3.6923076923076925</x:v>
      </x:c>
      <x:c r="G443" s="19" t="n">
        <x:f>'各站彙總來源'!G443</x:f>
        <x:v>26</x:v>
      </x:c>
      <x:c r="H443" s="24" t="n">
        <x:f>IFERROR('各站彙總來源'!H443/'各站彙總來源'!I443,"")</x:f>
        <x:v>1.2692307692307692</x:v>
      </x:c>
      <x:c r="I443" s="19" t="n">
        <x:f>'各站彙總來源'!I443</x:f>
        <x:v>26</x:v>
      </x:c>
      <x:c r="J443" s="24" t="n">
        <x:f>IFERROR('各站彙總來源'!J443/'各站彙總來源'!K443,"")</x:f>
        <x:v>6.730769230769231</x:v>
      </x:c>
      <x:c r="K443" s="19" t="n">
        <x:f>'各站彙總來源'!K443</x:f>
        <x:v>26</x:v>
      </x:c>
      <x:c r="L443" s="24" t="n">
        <x:f>IFERROR('各站彙總來源'!L443/'各站彙總來源'!M443,"")</x:f>
        <x:v>1.6153846153846154</x:v>
      </x:c>
      <x:c r="M443" s="19" t="n">
        <x:f>'各站彙總來源'!M443</x:f>
        <x:v>26</x:v>
      </x:c>
      <x:c r="N443" s="24" t="n">
        <x:f>F443+H443</x:f>
        <x:v>4.961538461538462</x:v>
      </x:c>
      <x:c r="O443" s="24" t="n">
        <x:f>J443+L443</x:f>
        <x:v>8.346153846153847</x:v>
      </x:c>
    </x:row>
    <x:row r="444">
      <x:c r="A444" s="22" t="str">
        <x:v>500104123</x:v>
      </x:c>
      <x:c r="B444" s="17" t="str">
        <x:v>士林區</x:v>
      </x:c>
      <x:c r="C444" s="17" t="str">
        <x:v>劍潭海外青年活動中心(志清大樓)</x:v>
      </x:c>
      <x:c r="D444" s="18" t="n">
        <x:v>26</x:v>
      </x:c>
      <x:c r="E444" s="18" t="n">
        <x:v>26</x:v>
      </x:c>
      <x:c r="F444" s="24" t="n">
        <x:f>IFERROR('各站彙總來源'!F444/'各站彙總來源'!G444,"")</x:f>
        <x:v>14.846153846153847</x:v>
      </x:c>
      <x:c r="G444" s="19" t="n">
        <x:f>'各站彙總來源'!G444</x:f>
        <x:v>26</x:v>
      </x:c>
      <x:c r="H444" s="24" t="n">
        <x:f>IFERROR('各站彙總來源'!H444/'各站彙總來源'!I444,"")</x:f>
        <x:v>2.3846153846153846</x:v>
      </x:c>
      <x:c r="I444" s="19" t="n">
        <x:f>'各站彙總來源'!I444</x:f>
        <x:v>26</x:v>
      </x:c>
      <x:c r="J444" s="24" t="n">
        <x:f>IFERROR('各站彙總來源'!J444/'各站彙總來源'!K444,"")</x:f>
        <x:v>4.961538461538462</x:v>
      </x:c>
      <x:c r="K444" s="19" t="n">
        <x:f>'各站彙總來源'!K444</x:f>
        <x:v>26</x:v>
      </x:c>
      <x:c r="L444" s="24" t="n">
        <x:f>IFERROR('各站彙總來源'!L444/'各站彙總來源'!M444,"")</x:f>
        <x:v>1.4615384615384615</x:v>
      </x:c>
      <x:c r="M444" s="19" t="n">
        <x:f>'各站彙總來源'!M444</x:f>
        <x:v>26</x:v>
      </x:c>
      <x:c r="N444" s="24" t="n">
        <x:f>F444+H444</x:f>
        <x:v>17.23076923076923</x:v>
      </x:c>
      <x:c r="O444" s="24" t="n">
        <x:f>J444+L444</x:f>
        <x:v>6.423076923076923</x:v>
      </x:c>
    </x:row>
    <x:row r="445">
      <x:c r="A445" s="22" t="str">
        <x:v>500104124</x:v>
      </x:c>
      <x:c r="B445" s="17" t="str">
        <x:v>士林區</x:v>
      </x:c>
      <x:c r="C445" s="17" t="str">
        <x:v>天和一號公園</x:v>
      </x:c>
      <x:c r="D445" s="18" t="n">
        <x:v>26</x:v>
      </x:c>
      <x:c r="E445" s="18" t="n">
        <x:v>26</x:v>
      </x:c>
      <x:c r="F445" s="24" t="n">
        <x:f>IFERROR('各站彙總來源'!F445/'各站彙總來源'!G445,"")</x:f>
        <x:v>9.538461538461538</x:v>
      </x:c>
      <x:c r="G445" s="19" t="n">
        <x:f>'各站彙總來源'!G445</x:f>
        <x:v>26</x:v>
      </x:c>
      <x:c r="H445" s="24" t="n">
        <x:f>IFERROR('各站彙總來源'!H445/'各站彙總來源'!I445,"")</x:f>
        <x:v>3.1923076923076925</x:v>
      </x:c>
      <x:c r="I445" s="19" t="n">
        <x:f>'各站彙總來源'!I445</x:f>
        <x:v>26</x:v>
      </x:c>
      <x:c r="J445" s="24" t="n">
        <x:f>IFERROR('各站彙總來源'!J445/'各站彙總來源'!K445,"")</x:f>
        <x:v>4.923076923076923</x:v>
      </x:c>
      <x:c r="K445" s="19" t="n">
        <x:f>'各站彙總來源'!K445</x:f>
        <x:v>26</x:v>
      </x:c>
      <x:c r="L445" s="24" t="n">
        <x:f>IFERROR('各站彙總來源'!L445/'各站彙總來源'!M445,"")</x:f>
        <x:v>1.8846153846153846</x:v>
      </x:c>
      <x:c r="M445" s="19" t="n">
        <x:f>'各站彙總來源'!M445</x:f>
        <x:v>26</x:v>
      </x:c>
      <x:c r="N445" s="24" t="n">
        <x:f>F445+H445</x:f>
        <x:v>12.73076923076923</x:v>
      </x:c>
      <x:c r="O445" s="24" t="n">
        <x:f>J445+L445</x:f>
        <x:v>6.807692307692308</x:v>
      </x:c>
    </x:row>
    <x:row r="446">
      <x:c r="A446" s="22" t="str">
        <x:v>500104125</x:v>
      </x:c>
      <x:c r="B446" s="17" t="str">
        <x:v>士林區</x:v>
      </x:c>
      <x:c r="C446" s="17" t="str">
        <x:v>忠誠路二段178巷口</x:v>
      </x:c>
      <x:c r="D446" s="18" t="n">
        <x:v>26</x:v>
      </x:c>
      <x:c r="E446" s="18" t="n">
        <x:v>26</x:v>
      </x:c>
      <x:c r="F446" s="24" t="n">
        <x:f>IFERROR('各站彙總來源'!F446/'各站彙總來源'!G446,"")</x:f>
        <x:v>9.923076923076923</x:v>
      </x:c>
      <x:c r="G446" s="19" t="n">
        <x:f>'各站彙總來源'!G446</x:f>
        <x:v>26</x:v>
      </x:c>
      <x:c r="H446" s="24" t="n">
        <x:f>IFERROR('各站彙總來源'!H446/'各站彙總來源'!I446,"")</x:f>
        <x:v>3.230769230769231</x:v>
      </x:c>
      <x:c r="I446" s="19" t="n">
        <x:f>'各站彙總來源'!I446</x:f>
        <x:v>26</x:v>
      </x:c>
      <x:c r="J446" s="24" t="n">
        <x:f>IFERROR('各站彙總來源'!J446/'各站彙總來源'!K446,"")</x:f>
        <x:v>7.769230769230769</x:v>
      </x:c>
      <x:c r="K446" s="19" t="n">
        <x:f>'各站彙總來源'!K446</x:f>
        <x:v>26</x:v>
      </x:c>
      <x:c r="L446" s="24" t="n">
        <x:f>IFERROR('各站彙總來源'!L446/'各站彙總來源'!M446,"")</x:f>
        <x:v>2.230769230769231</x:v>
      </x:c>
      <x:c r="M446" s="19" t="n">
        <x:f>'各站彙總來源'!M446</x:f>
        <x:v>26</x:v>
      </x:c>
      <x:c r="N446" s="24" t="n">
        <x:f>F446+H446</x:f>
        <x:v>13.153846153846153</x:v>
      </x:c>
      <x:c r="O446" s="24" t="n">
        <x:f>J446+L446</x:f>
        <x:v>10</x:v>
      </x:c>
    </x:row>
    <x:row r="447">
      <x:c r="A447" s="22" t="str">
        <x:v>500104126</x:v>
      </x:c>
      <x:c r="B447" s="17" t="str">
        <x:v>士林區</x:v>
      </x:c>
      <x:c r="C447" s="17" t="str">
        <x:v>克強磺溪街口</x:v>
      </x:c>
      <x:c r="D447" s="18" t="n">
        <x:v>26</x:v>
      </x:c>
      <x:c r="E447" s="18" t="n">
        <x:v>26</x:v>
      </x:c>
      <x:c r="F447" s="24" t="n">
        <x:f>IFERROR('各站彙總來源'!F447/'各站彙總來源'!G447,"")</x:f>
        <x:v>19.76923076923077</x:v>
      </x:c>
      <x:c r="G447" s="19" t="n">
        <x:f>'各站彙總來源'!G447</x:f>
        <x:v>26</x:v>
      </x:c>
      <x:c r="H447" s="24" t="n">
        <x:f>IFERROR('各站彙總來源'!H447/'各站彙總來源'!I447,"")</x:f>
        <x:v>1.7307692307692308</x:v>
      </x:c>
      <x:c r="I447" s="19" t="n">
        <x:f>'各站彙總來源'!I447</x:f>
        <x:v>26</x:v>
      </x:c>
      <x:c r="J447" s="24" t="n">
        <x:f>IFERROR('各站彙總來源'!J447/'各站彙總來源'!K447,"")</x:f>
        <x:v>4.5</x:v>
      </x:c>
      <x:c r="K447" s="19" t="n">
        <x:f>'各站彙總來源'!K447</x:f>
        <x:v>26</x:v>
      </x:c>
      <x:c r="L447" s="24" t="n">
        <x:f>IFERROR('各站彙總來源'!L447/'各站彙總來源'!M447,"")</x:f>
        <x:v>0.8076923076923077</x:v>
      </x:c>
      <x:c r="M447" s="19" t="n">
        <x:f>'各站彙總來源'!M447</x:f>
        <x:v>26</x:v>
      </x:c>
      <x:c r="N447" s="24" t="n">
        <x:f>F447+H447</x:f>
        <x:v>21.5</x:v>
      </x:c>
      <x:c r="O447" s="24" t="n">
        <x:f>J447+L447</x:f>
        <x:v>5.3076923076923075</x:v>
      </x:c>
    </x:row>
    <x:row r="448">
      <x:c r="A448" s="22" t="str">
        <x:v>500104127</x:v>
      </x:c>
      <x:c r="B448" s="17" t="str">
        <x:v>士林區</x:v>
      </x:c>
      <x:c r="C448" s="17" t="str">
        <x:v>臺灣銀行劍潭分行</x:v>
      </x:c>
      <x:c r="D448" s="18" t="n">
        <x:v>26</x:v>
      </x:c>
      <x:c r="E448" s="18" t="n">
        <x:v>26</x:v>
      </x:c>
      <x:c r="F448" s="24" t="n">
        <x:f>IFERROR('各站彙總來源'!F448/'各站彙總來源'!G448,"")</x:f>
        <x:v>0</x:v>
      </x:c>
      <x:c r="G448" s="19" t="n">
        <x:f>'各站彙總來源'!G448</x:f>
        <x:v>26</x:v>
      </x:c>
      <x:c r="H448" s="24" t="n">
        <x:f>IFERROR('各站彙總來源'!H448/'各站彙總來源'!I448,"")</x:f>
        <x:v>0</x:v>
      </x:c>
      <x:c r="I448" s="19" t="n">
        <x:f>'各站彙總來源'!I448</x:f>
        <x:v>26</x:v>
      </x:c>
      <x:c r="J448" s="24" t="n">
        <x:f>IFERROR('各站彙總來源'!J448/'各站彙總來源'!K448,"")</x:f>
        <x:v>0</x:v>
      </x:c>
      <x:c r="K448" s="19" t="n">
        <x:f>'各站彙總來源'!K448</x:f>
        <x:v>26</x:v>
      </x:c>
      <x:c r="L448" s="24" t="n">
        <x:f>IFERROR('各站彙總來源'!L448/'各站彙總來源'!M448,"")</x:f>
        <x:v>0</x:v>
      </x:c>
      <x:c r="M448" s="19" t="n">
        <x:f>'各站彙總來源'!M448</x:f>
        <x:v>26</x:v>
      </x:c>
      <x:c r="N448" s="24" t="n">
        <x:f>F448+H448</x:f>
        <x:v>0</x:v>
      </x:c>
      <x:c r="O448" s="24" t="n">
        <x:f>J448+L448</x:f>
        <x:v>0</x:v>
      </x:c>
    </x:row>
    <x:row r="449">
      <x:c r="A449" s="22" t="str">
        <x:v>500104128</x:v>
      </x:c>
      <x:c r="B449" s="17" t="str">
        <x:v>士林區</x:v>
      </x:c>
      <x:c r="C449" s="17" t="str">
        <x:v>蘭雅公園(西側)</x:v>
      </x:c>
      <x:c r="D449" s="18" t="n">
        <x:v>26</x:v>
      </x:c>
      <x:c r="E449" s="18" t="n">
        <x:v>26</x:v>
      </x:c>
      <x:c r="F449" s="24" t="n">
        <x:f>IFERROR('各站彙總來源'!F449/'各站彙總來源'!G449,"")</x:f>
        <x:v>16.73076923076923</x:v>
      </x:c>
      <x:c r="G449" s="19" t="n">
        <x:f>'各站彙總來源'!G449</x:f>
        <x:v>26</x:v>
      </x:c>
      <x:c r="H449" s="24" t="n">
        <x:f>IFERROR('各站彙總來源'!H449/'各站彙總來源'!I449,"")</x:f>
        <x:v>1.9230769230769231</x:v>
      </x:c>
      <x:c r="I449" s="19" t="n">
        <x:f>'各站彙總來源'!I449</x:f>
        <x:v>26</x:v>
      </x:c>
      <x:c r="J449" s="24" t="n">
        <x:f>IFERROR('各站彙總來源'!J449/'各站彙總來源'!K449,"")</x:f>
        <x:v>8.73076923076923</x:v>
      </x:c>
      <x:c r="K449" s="19" t="n">
        <x:f>'各站彙總來源'!K449</x:f>
        <x:v>26</x:v>
      </x:c>
      <x:c r="L449" s="24" t="n">
        <x:f>IFERROR('各站彙總來源'!L449/'各站彙總來源'!M449,"")</x:f>
        <x:v>2.5</x:v>
      </x:c>
      <x:c r="M449" s="19" t="n">
        <x:f>'各站彙總來源'!M449</x:f>
        <x:v>26</x:v>
      </x:c>
      <x:c r="N449" s="24" t="n">
        <x:f>F449+H449</x:f>
        <x:v>18.653846153846153</x:v>
      </x:c>
      <x:c r="O449" s="24" t="n">
        <x:f>J449+L449</x:f>
        <x:v>11.23076923076923</x:v>
      </x:c>
    </x:row>
    <x:row r="450">
      <x:c r="A450" s="22" t="str">
        <x:v>500104129</x:v>
      </x:c>
      <x:c r="B450" s="17" t="str">
        <x:v>士林區</x:v>
      </x:c>
      <x:c r="C450" s="17" t="str">
        <x:v>福林路100巷77弄口</x:v>
      </x:c>
      <x:c r="D450" s="18" t="n">
        <x:v>26</x:v>
      </x:c>
      <x:c r="E450" s="18" t="n">
        <x:v>26</x:v>
      </x:c>
      <x:c r="F450" s="24" t="n">
        <x:f>IFERROR('各站彙總來源'!F450/'各站彙總來源'!G450,"")</x:f>
        <x:v>8.26923076923077</x:v>
      </x:c>
      <x:c r="G450" s="19" t="n">
        <x:f>'各站彙總來源'!G450</x:f>
        <x:v>26</x:v>
      </x:c>
      <x:c r="H450" s="24" t="n">
        <x:f>IFERROR('各站彙總來源'!H450/'各站彙總來源'!I450,"")</x:f>
        <x:v>2.0384615384615383</x:v>
      </x:c>
      <x:c r="I450" s="19" t="n">
        <x:f>'各站彙總來源'!I450</x:f>
        <x:v>26</x:v>
      </x:c>
      <x:c r="J450" s="24" t="n">
        <x:f>IFERROR('各站彙總來源'!J450/'各站彙總來源'!K450,"")</x:f>
        <x:v>5.346153846153846</x:v>
      </x:c>
      <x:c r="K450" s="19" t="n">
        <x:f>'各站彙總來源'!K450</x:f>
        <x:v>26</x:v>
      </x:c>
      <x:c r="L450" s="24" t="n">
        <x:f>IFERROR('各站彙總來源'!L450/'各站彙總來源'!M450,"")</x:f>
        <x:v>1.2307692307692308</x:v>
      </x:c>
      <x:c r="M450" s="19" t="n">
        <x:f>'各站彙總來源'!M450</x:f>
        <x:v>26</x:v>
      </x:c>
      <x:c r="N450" s="24" t="n">
        <x:f>F450+H450</x:f>
        <x:v>10.307692307692308</x:v>
      </x:c>
      <x:c r="O450" s="24" t="n">
        <x:f>J450+L450</x:f>
        <x:v>6.576923076923077</x:v>
      </x:c>
    </x:row>
    <x:row r="451">
      <x:c r="A451" s="22" t="str">
        <x:v>500104130</x:v>
      </x:c>
      <x:c r="B451" s="17" t="str">
        <x:v>士林區</x:v>
      </x:c>
      <x:c r="C451" s="17" t="str">
        <x:v>福林路100巷11弄口</x:v>
      </x:c>
      <x:c r="D451" s="18" t="n">
        <x:v>26</x:v>
      </x:c>
      <x:c r="E451" s="18" t="n">
        <x:v>26</x:v>
      </x:c>
      <x:c r="F451" s="24" t="n">
        <x:f>IFERROR('各站彙總來源'!F451/'各站彙總來源'!G451,"")</x:f>
        <x:v>8</x:v>
      </x:c>
      <x:c r="G451" s="19" t="n">
        <x:f>'各站彙總來源'!G451</x:f>
        <x:v>26</x:v>
      </x:c>
      <x:c r="H451" s="24" t="n">
        <x:f>IFERROR('各站彙總來源'!H451/'各站彙總來源'!I451,"")</x:f>
        <x:v>0.9615384615384616</x:v>
      </x:c>
      <x:c r="I451" s="19" t="n">
        <x:f>'各站彙總來源'!I451</x:f>
        <x:v>26</x:v>
      </x:c>
      <x:c r="J451" s="24" t="n">
        <x:f>IFERROR('各站彙總來源'!J451/'各站彙總來源'!K451,"")</x:f>
        <x:v>7.3076923076923075</x:v>
      </x:c>
      <x:c r="K451" s="19" t="n">
        <x:f>'各站彙總來源'!K451</x:f>
        <x:v>26</x:v>
      </x:c>
      <x:c r="L451" s="24" t="n">
        <x:f>IFERROR('各站彙總來源'!L451/'各站彙總來源'!M451,"")</x:f>
        <x:v>0.5384615384615384</x:v>
      </x:c>
      <x:c r="M451" s="19" t="n">
        <x:f>'各站彙總來源'!M451</x:f>
        <x:v>26</x:v>
      </x:c>
      <x:c r="N451" s="24" t="n">
        <x:f>F451+H451</x:f>
        <x:v>8.961538461538462</x:v>
      </x:c>
      <x:c r="O451" s="24" t="n">
        <x:f>J451+L451</x:f>
        <x:v>7.846153846153846</x:v>
      </x:c>
    </x:row>
    <x:row r="452">
      <x:c r="A452" s="22" t="str">
        <x:v>500104131</x:v>
      </x:c>
      <x:c r="B452" s="17" t="str">
        <x:v>士林區</x:v>
      </x:c>
      <x:c r="C452" s="17" t="str">
        <x:v>重慶北路四段190巷口(通河西街側)</x:v>
      </x:c>
      <x:c r="D452" s="18" t="n">
        <x:v>26</x:v>
      </x:c>
      <x:c r="E452" s="18" t="n">
        <x:v>26</x:v>
      </x:c>
      <x:c r="F452" s="24" t="n">
        <x:f>IFERROR('各站彙總來源'!F452/'各站彙總來源'!G452,"")</x:f>
        <x:v>7.076923076923077</x:v>
      </x:c>
      <x:c r="G452" s="19" t="n">
        <x:f>'各站彙總來源'!G452</x:f>
        <x:v>26</x:v>
      </x:c>
      <x:c r="H452" s="24" t="n">
        <x:f>IFERROR('各站彙總來源'!H452/'各站彙總來源'!I452,"")</x:f>
        <x:v>1.6538461538461537</x:v>
      </x:c>
      <x:c r="I452" s="19" t="n">
        <x:f>'各站彙總來源'!I452</x:f>
        <x:v>26</x:v>
      </x:c>
      <x:c r="J452" s="24" t="n">
        <x:f>IFERROR('各站彙總來源'!J452/'各站彙總來源'!K452,"")</x:f>
        <x:v>5.230769230769231</x:v>
      </x:c>
      <x:c r="K452" s="19" t="n">
        <x:f>'各站彙總來源'!K452</x:f>
        <x:v>26</x:v>
      </x:c>
      <x:c r="L452" s="24" t="n">
        <x:f>IFERROR('各站彙總來源'!L452/'各站彙總來源'!M452,"")</x:f>
        <x:v>0.8461538461538461</x:v>
      </x:c>
      <x:c r="M452" s="19" t="n">
        <x:f>'各站彙總來源'!M452</x:f>
        <x:v>26</x:v>
      </x:c>
      <x:c r="N452" s="24" t="n">
        <x:f>F452+H452</x:f>
        <x:v>8.73076923076923</x:v>
      </x:c>
      <x:c r="O452" s="24" t="n">
        <x:f>J452+L452</x:f>
        <x:v>6.076923076923077</x:v>
      </x:c>
    </x:row>
    <x:row r="453">
      <x:c r="A453" s="22" t="str">
        <x:v>500104132</x:v>
      </x:c>
      <x:c r="B453" s="17" t="str">
        <x:v>士林區</x:v>
      </x:c>
      <x:c r="C453" s="17" t="str">
        <x:v>承德區民活動中心</x:v>
      </x:c>
      <x:c r="D453" s="18" t="n">
        <x:v>26</x:v>
      </x:c>
      <x:c r="E453" s="18" t="n">
        <x:v>26</x:v>
      </x:c>
      <x:c r="F453" s="24" t="n">
        <x:f>IFERROR('各站彙總來源'!F453/'各站彙總來源'!G453,"")</x:f>
        <x:v>22.692307692307693</x:v>
      </x:c>
      <x:c r="G453" s="19" t="n">
        <x:f>'各站彙總來源'!G453</x:f>
        <x:v>26</x:v>
      </x:c>
      <x:c r="H453" s="24" t="n">
        <x:f>IFERROR('各站彙總來源'!H453/'各站彙總來源'!I453,"")</x:f>
        <x:v>1.9615384615384615</x:v>
      </x:c>
      <x:c r="I453" s="19" t="n">
        <x:f>'各站彙總來源'!I453</x:f>
        <x:v>26</x:v>
      </x:c>
      <x:c r="J453" s="24" t="n">
        <x:f>IFERROR('各站彙總來源'!J453/'各站彙總來源'!K453,"")</x:f>
        <x:v>4.769230769230769</x:v>
      </x:c>
      <x:c r="K453" s="19" t="n">
        <x:f>'各站彙總來源'!K453</x:f>
        <x:v>26</x:v>
      </x:c>
      <x:c r="L453" s="24" t="n">
        <x:f>IFERROR('各站彙總來源'!L453/'各站彙總來源'!M453,"")</x:f>
        <x:v>0.6538461538461539</x:v>
      </x:c>
      <x:c r="M453" s="19" t="n">
        <x:f>'各站彙總來源'!M453</x:f>
        <x:v>26</x:v>
      </x:c>
      <x:c r="N453" s="24" t="n">
        <x:f>F453+H453</x:f>
        <x:v>24.653846153846153</x:v>
      </x:c>
      <x:c r="O453" s="24" t="n">
        <x:f>J453+L453</x:f>
        <x:v>5.423076923076923</x:v>
      </x:c>
    </x:row>
    <x:row r="454">
      <x:c r="A454" s="22" t="str">
        <x:v>500104133</x:v>
      </x:c>
      <x:c r="B454" s="17" t="str">
        <x:v>士林區</x:v>
      </x:c>
      <x:c r="C454" s="17" t="str">
        <x:v>福林路255巷口</x:v>
      </x:c>
      <x:c r="D454" s="18" t="n">
        <x:v>26</x:v>
      </x:c>
      <x:c r="E454" s="18" t="n">
        <x:v>26</x:v>
      </x:c>
      <x:c r="F454" s="24" t="n">
        <x:f>IFERROR('各站彙總來源'!F454/'各站彙總來源'!G454,"")</x:f>
        <x:v>9.23076923076923</x:v>
      </x:c>
      <x:c r="G454" s="19" t="n">
        <x:f>'各站彙總來源'!G454</x:f>
        <x:v>26</x:v>
      </x:c>
      <x:c r="H454" s="24" t="n">
        <x:f>IFERROR('各站彙總來源'!H454/'各站彙總來源'!I454,"")</x:f>
        <x:v>1.7307692307692308</x:v>
      </x:c>
      <x:c r="I454" s="19" t="n">
        <x:f>'各站彙總來源'!I454</x:f>
        <x:v>26</x:v>
      </x:c>
      <x:c r="J454" s="24" t="n">
        <x:f>IFERROR('各站彙總來源'!J454/'各站彙總來源'!K454,"")</x:f>
        <x:v>5.346153846153846</x:v>
      </x:c>
      <x:c r="K454" s="19" t="n">
        <x:f>'各站彙總來源'!K454</x:f>
        <x:v>26</x:v>
      </x:c>
      <x:c r="L454" s="24" t="n">
        <x:f>IFERROR('各站彙總來源'!L454/'各站彙總來源'!M454,"")</x:f>
        <x:v>1.0769230769230769</x:v>
      </x:c>
      <x:c r="M454" s="19" t="n">
        <x:f>'各站彙總來源'!M454</x:f>
        <x:v>26</x:v>
      </x:c>
      <x:c r="N454" s="24" t="n">
        <x:f>F454+H454</x:f>
        <x:v>10.96153846153846</x:v>
      </x:c>
      <x:c r="O454" s="24" t="n">
        <x:f>J454+L454</x:f>
        <x:v>6.4230769230769225</x:v>
      </x:c>
    </x:row>
    <x:row r="455">
      <x:c r="A455" s="22" t="str">
        <x:v>500104134</x:v>
      </x:c>
      <x:c r="B455" s="17" t="str">
        <x:v>士林區</x:v>
      </x:c>
      <x:c r="C455" s="17" t="str">
        <x:v>中山北路五段378巷口</x:v>
      </x:c>
      <x:c r="D455" s="18" t="n">
        <x:v>26</x:v>
      </x:c>
      <x:c r="E455" s="18" t="n">
        <x:v>26</x:v>
      </x:c>
      <x:c r="F455" s="24" t="n">
        <x:f>IFERROR('各站彙總來源'!F455/'各站彙總來源'!G455,"")</x:f>
        <x:v>10.76923076923077</x:v>
      </x:c>
      <x:c r="G455" s="19" t="n">
        <x:f>'各站彙總來源'!G455</x:f>
        <x:v>26</x:v>
      </x:c>
      <x:c r="H455" s="24" t="n">
        <x:f>IFERROR('各站彙總來源'!H455/'各站彙總來源'!I455,"")</x:f>
        <x:v>1.4230769230769231</x:v>
      </x:c>
      <x:c r="I455" s="19" t="n">
        <x:f>'各站彙總來源'!I455</x:f>
        <x:v>26</x:v>
      </x:c>
      <x:c r="J455" s="24" t="n">
        <x:f>IFERROR('各站彙總來源'!J455/'各站彙總來源'!K455,"")</x:f>
        <x:v>8.961538461538462</x:v>
      </x:c>
      <x:c r="K455" s="19" t="n">
        <x:f>'各站彙總來源'!K455</x:f>
        <x:v>26</x:v>
      </x:c>
      <x:c r="L455" s="24" t="n">
        <x:f>IFERROR('各站彙總來源'!L455/'各站彙總來源'!M455,"")</x:f>
        <x:v>1</x:v>
      </x:c>
      <x:c r="M455" s="19" t="n">
        <x:f>'各站彙總來源'!M455</x:f>
        <x:v>26</x:v>
      </x:c>
      <x:c r="N455" s="24" t="n">
        <x:f>F455+H455</x:f>
        <x:v>12.192307692307693</x:v>
      </x:c>
      <x:c r="O455" s="24" t="n">
        <x:f>J455+L455</x:f>
        <x:v>9.961538461538462</x:v>
      </x:c>
    </x:row>
    <x:row r="456">
      <x:c r="A456" s="22" t="str">
        <x:v>500104135</x:v>
      </x:c>
      <x:c r="B456" s="17" t="str">
        <x:v>士林區</x:v>
      </x:c>
      <x:c r="C456" s="17" t="str">
        <x:v>中山北路六段405巷</x:v>
      </x:c>
      <x:c r="D456" s="18" t="n">
        <x:v>26</x:v>
      </x:c>
      <x:c r="E456" s="18" t="n">
        <x:v>26</x:v>
      </x:c>
      <x:c r="F456" s="24" t="n">
        <x:f>IFERROR('各站彙總來源'!F456/'各站彙總來源'!G456,"")</x:f>
        <x:v>13.5</x:v>
      </x:c>
      <x:c r="G456" s="19" t="n">
        <x:f>'各站彙總來源'!G456</x:f>
        <x:v>26</x:v>
      </x:c>
      <x:c r="H456" s="24" t="n">
        <x:f>IFERROR('各站彙總來源'!H456/'各站彙總來源'!I456,"")</x:f>
        <x:v>3.8461538461538463</x:v>
      </x:c>
      <x:c r="I456" s="19" t="n">
        <x:f>'各站彙總來源'!I456</x:f>
        <x:v>26</x:v>
      </x:c>
      <x:c r="J456" s="24" t="n">
        <x:f>IFERROR('各站彙總來源'!J456/'各站彙總來源'!K456,"")</x:f>
        <x:v>7.576923076923077</x:v>
      </x:c>
      <x:c r="K456" s="19" t="n">
        <x:f>'各站彙總來源'!K456</x:f>
        <x:v>26</x:v>
      </x:c>
      <x:c r="L456" s="24" t="n">
        <x:f>IFERROR('各站彙總來源'!L456/'各站彙總來源'!M456,"")</x:f>
        <x:v>2.5384615384615383</x:v>
      </x:c>
      <x:c r="M456" s="19" t="n">
        <x:f>'各站彙總來源'!M456</x:f>
        <x:v>26</x:v>
      </x:c>
      <x:c r="N456" s="24" t="n">
        <x:f>F456+H456</x:f>
        <x:v>17.346153846153847</x:v>
      </x:c>
      <x:c r="O456" s="24" t="n">
        <x:f>J456+L456</x:f>
        <x:v>10.115384615384615</x:v>
      </x:c>
    </x:row>
    <x:row r="457">
      <x:c r="A457" s="22" t="str">
        <x:v>500104136</x:v>
      </x:c>
      <x:c r="B457" s="17" t="str">
        <x:v>士林區</x:v>
      </x:c>
      <x:c r="C457" s="17" t="str">
        <x:v>圓山育樂中心</x:v>
      </x:c>
      <x:c r="D457" s="18" t="n">
        <x:v>26</x:v>
      </x:c>
      <x:c r="E457" s="18" t="n">
        <x:v>26</x:v>
      </x:c>
      <x:c r="F457" s="24" t="n">
        <x:f>IFERROR('各站彙總來源'!F457/'各站彙總來源'!G457,"")</x:f>
        <x:v>9.653846153846153</x:v>
      </x:c>
      <x:c r="G457" s="19" t="n">
        <x:f>'各站彙總來源'!G457</x:f>
        <x:v>26</x:v>
      </x:c>
      <x:c r="H457" s="24" t="n">
        <x:f>IFERROR('各站彙總來源'!H457/'各站彙總來源'!I457,"")</x:f>
        <x:v>0.6923076923076923</x:v>
      </x:c>
      <x:c r="I457" s="19" t="n">
        <x:f>'各站彙總來源'!I457</x:f>
        <x:v>26</x:v>
      </x:c>
      <x:c r="J457" s="24" t="n">
        <x:f>IFERROR('各站彙總來源'!J457/'各站彙總來源'!K457,"")</x:f>
        <x:v>5.5</x:v>
      </x:c>
      <x:c r="K457" s="19" t="n">
        <x:f>'各站彙總來源'!K457</x:f>
        <x:v>26</x:v>
      </x:c>
      <x:c r="L457" s="24" t="n">
        <x:f>IFERROR('各站彙總來源'!L457/'各站彙總來源'!M457,"")</x:f>
        <x:v>1.2307692307692308</x:v>
      </x:c>
      <x:c r="M457" s="19" t="n">
        <x:f>'各站彙總來源'!M457</x:f>
        <x:v>26</x:v>
      </x:c>
      <x:c r="N457" s="24" t="n">
        <x:f>F457+H457</x:f>
        <x:v>10.346153846153845</x:v>
      </x:c>
      <x:c r="O457" s="24" t="n">
        <x:f>J457+L457</x:f>
        <x:v>6.730769230769231</x:v>
      </x:c>
    </x:row>
    <x:row r="458">
      <x:c r="A458" s="22" t="str">
        <x:v>500104137</x:v>
      </x:c>
      <x:c r="B458" s="17" t="str">
        <x:v>士林區</x:v>
      </x:c>
      <x:c r="C458" s="17" t="str">
        <x:v>至善公園</x:v>
      </x:c>
      <x:c r="D458" s="18" t="n">
        <x:v>26</x:v>
      </x:c>
      <x:c r="E458" s="18" t="n">
        <x:v>26</x:v>
      </x:c>
      <x:c r="F458" s="24" t="n">
        <x:f>IFERROR('各站彙總來源'!F458/'各站彙總來源'!G458,"")</x:f>
        <x:v>8.884615384615385</x:v>
      </x:c>
      <x:c r="G458" s="19" t="n">
        <x:f>'各站彙總來源'!G458</x:f>
        <x:v>26</x:v>
      </x:c>
      <x:c r="H458" s="24" t="n">
        <x:f>IFERROR('各站彙總來源'!H458/'各站彙總來源'!I458,"")</x:f>
        <x:v>0.8846153846153846</x:v>
      </x:c>
      <x:c r="I458" s="19" t="n">
        <x:f>'各站彙總來源'!I458</x:f>
        <x:v>26</x:v>
      </x:c>
      <x:c r="J458" s="24" t="n">
        <x:f>IFERROR('各站彙總來源'!J458/'各站彙總來源'!K458,"")</x:f>
        <x:v>9.461538461538462</x:v>
      </x:c>
      <x:c r="K458" s="19" t="n">
        <x:f>'各站彙總來源'!K458</x:f>
        <x:v>26</x:v>
      </x:c>
      <x:c r="L458" s="24" t="n">
        <x:f>IFERROR('各站彙總來源'!L458/'各站彙總來源'!M458,"")</x:f>
        <x:v>1.8461538461538463</x:v>
      </x:c>
      <x:c r="M458" s="19" t="n">
        <x:f>'各站彙總來源'!M458</x:f>
        <x:v>26</x:v>
      </x:c>
      <x:c r="N458" s="24" t="n">
        <x:f>F458+H458</x:f>
        <x:v>9.76923076923077</x:v>
      </x:c>
      <x:c r="O458" s="24" t="n">
        <x:f>J458+L458</x:f>
        <x:v>11.307692307692308</x:v>
      </x:c>
    </x:row>
    <x:row r="459">
      <x:c r="A459" s="22" t="str">
        <x:v>500104138</x:v>
      </x:c>
      <x:c r="B459" s="17" t="str">
        <x:v>士林區</x:v>
      </x:c>
      <x:c r="C459" s="17" t="str">
        <x:v>社子島抽水站</x:v>
      </x:c>
      <x:c r="D459" s="18" t="n">
        <x:v>26</x:v>
      </x:c>
      <x:c r="E459" s="18" t="n">
        <x:v>26</x:v>
      </x:c>
      <x:c r="F459" s="24" t="n">
        <x:f>IFERROR('各站彙總來源'!F459/'各站彙總來源'!G459,"")</x:f>
        <x:v>4.076923076923077</x:v>
      </x:c>
      <x:c r="G459" s="19" t="n">
        <x:f>'各站彙總來源'!G459</x:f>
        <x:v>26</x:v>
      </x:c>
      <x:c r="H459" s="24" t="n">
        <x:f>IFERROR('各站彙總來源'!H459/'各站彙總來源'!I459,"")</x:f>
        <x:v>2.3461538461538463</x:v>
      </x:c>
      <x:c r="I459" s="19" t="n">
        <x:f>'各站彙總來源'!I459</x:f>
        <x:v>26</x:v>
      </x:c>
      <x:c r="J459" s="24" t="n">
        <x:f>IFERROR('各站彙總來源'!J459/'各站彙總來源'!K459,"")</x:f>
        <x:v>3.0384615384615383</x:v>
      </x:c>
      <x:c r="K459" s="19" t="n">
        <x:f>'各站彙總來源'!K459</x:f>
        <x:v>26</x:v>
      </x:c>
      <x:c r="L459" s="24" t="n">
        <x:f>IFERROR('各站彙總來源'!L459/'各站彙總來源'!M459,"")</x:f>
        <x:v>2.1923076923076925</x:v>
      </x:c>
      <x:c r="M459" s="19" t="n">
        <x:f>'各站彙總來源'!M459</x:f>
        <x:v>26</x:v>
      </x:c>
      <x:c r="N459" s="24" t="n">
        <x:f>F459+H459</x:f>
        <x:v>6.423076923076923</x:v>
      </x:c>
      <x:c r="O459" s="24" t="n">
        <x:f>J459+L459</x:f>
        <x:v>5.230769230769231</x:v>
      </x:c>
    </x:row>
    <x:row r="460">
      <x:c r="A460" s="22" t="str">
        <x:v>500104139</x:v>
      </x:c>
      <x:c r="B460" s="17" t="str">
        <x:v>士林區</x:v>
      </x:c>
      <x:c r="C460" s="17" t="str">
        <x:v>中山北路六段427巷口</x:v>
      </x:c>
      <x:c r="D460" s="18" t="n">
        <x:v>26</x:v>
      </x:c>
      <x:c r="E460" s="18" t="n">
        <x:v>26</x:v>
      </x:c>
      <x:c r="F460" s="24" t="n">
        <x:f>IFERROR('各站彙總來源'!F460/'各站彙總來源'!G460,"")</x:f>
        <x:v>8.73076923076923</x:v>
      </x:c>
      <x:c r="G460" s="19" t="n">
        <x:f>'各站彙總來源'!G460</x:f>
        <x:v>26</x:v>
      </x:c>
      <x:c r="H460" s="24" t="n">
        <x:f>IFERROR('各站彙總來源'!H460/'各站彙總來源'!I460,"")</x:f>
        <x:v>1.3076923076923077</x:v>
      </x:c>
      <x:c r="I460" s="19" t="n">
        <x:f>'各站彙總來源'!I460</x:f>
        <x:v>26</x:v>
      </x:c>
      <x:c r="J460" s="24" t="n">
        <x:f>IFERROR('各站彙總來源'!J460/'各站彙總來源'!K460,"")</x:f>
        <x:v>5.846153846153846</x:v>
      </x:c>
      <x:c r="K460" s="19" t="n">
        <x:f>'各站彙總來源'!K460</x:f>
        <x:v>26</x:v>
      </x:c>
      <x:c r="L460" s="24" t="n">
        <x:f>IFERROR('各站彙總來源'!L460/'各站彙總來源'!M460,"")</x:f>
        <x:v>1.8846153846153846</x:v>
      </x:c>
      <x:c r="M460" s="19" t="n">
        <x:f>'各站彙總來源'!M460</x:f>
        <x:v>26</x:v>
      </x:c>
      <x:c r="N460" s="24" t="n">
        <x:f>F460+H460</x:f>
        <x:v>10.038461538461538</x:v>
      </x:c>
      <x:c r="O460" s="24" t="n">
        <x:f>J460+L460</x:f>
        <x:v>7.73076923076923</x:v>
      </x:c>
    </x:row>
    <x:row r="461">
      <x:c r="A461" s="22" t="str">
        <x:v>500104140</x:v>
      </x:c>
      <x:c r="B461" s="17" t="str">
        <x:v>士林區</x:v>
      </x:c>
      <x:c r="C461" s="17" t="str">
        <x:v>士林分局</x:v>
      </x:c>
      <x:c r="D461" s="18" t="n">
        <x:v>26</x:v>
      </x:c>
      <x:c r="E461" s="18" t="n">
        <x:v>26</x:v>
      </x:c>
      <x:c r="F461" s="24" t="n">
        <x:f>IFERROR('各站彙總來源'!F461/'各站彙總來源'!G461,"")</x:f>
        <x:v>9.5</x:v>
      </x:c>
      <x:c r="G461" s="19" t="n">
        <x:f>'各站彙總來源'!G461</x:f>
        <x:v>26</x:v>
      </x:c>
      <x:c r="H461" s="24" t="n">
        <x:f>IFERROR('各站彙總來源'!H461/'各站彙總來源'!I461,"")</x:f>
        <x:v>1.6923076923076923</x:v>
      </x:c>
      <x:c r="I461" s="19" t="n">
        <x:f>'各站彙總來源'!I461</x:f>
        <x:v>26</x:v>
      </x:c>
      <x:c r="J461" s="24" t="n">
        <x:f>IFERROR('各站彙總來源'!J461/'各站彙總來源'!K461,"")</x:f>
        <x:v>7.653846153846154</x:v>
      </x:c>
      <x:c r="K461" s="19" t="n">
        <x:f>'各站彙總來源'!K461</x:f>
        <x:v>26</x:v>
      </x:c>
      <x:c r="L461" s="24" t="n">
        <x:f>IFERROR('各站彙總來源'!L461/'各站彙總來源'!M461,"")</x:f>
        <x:v>1.3076923076923077</x:v>
      </x:c>
      <x:c r="M461" s="19" t="n">
        <x:f>'各站彙總來源'!M461</x:f>
        <x:v>26</x:v>
      </x:c>
      <x:c r="N461" s="24" t="n">
        <x:f>F461+H461</x:f>
        <x:v>11.192307692307692</x:v>
      </x:c>
      <x:c r="O461" s="24" t="n">
        <x:f>J461+L461</x:f>
        <x:v>8.961538461538462</x:v>
      </x:c>
    </x:row>
    <x:row r="462">
      <x:c r="A462" s="22" t="str">
        <x:v>500104141</x:v>
      </x:c>
      <x:c r="B462" s="17" t="str">
        <x:v>士林區</x:v>
      </x:c>
      <x:c r="C462" s="17" t="str">
        <x:v>忠誠路二段98巷口</x:v>
      </x:c>
      <x:c r="D462" s="18" t="n">
        <x:v>26</x:v>
      </x:c>
      <x:c r="E462" s="18" t="n">
        <x:v>26</x:v>
      </x:c>
      <x:c r="F462" s="24" t="n">
        <x:f>IFERROR('各站彙總來源'!F462/'各站彙總來源'!G462,"")</x:f>
        <x:v>10.115384615384615</x:v>
      </x:c>
      <x:c r="G462" s="19" t="n">
        <x:f>'各站彙總來源'!G462</x:f>
        <x:v>26</x:v>
      </x:c>
      <x:c r="H462" s="24" t="n">
        <x:f>IFERROR('各站彙總來源'!H462/'各站彙總來源'!I462,"")</x:f>
        <x:v>1.3461538461538463</x:v>
      </x:c>
      <x:c r="I462" s="19" t="n">
        <x:f>'各站彙總來源'!I462</x:f>
        <x:v>26</x:v>
      </x:c>
      <x:c r="J462" s="24" t="n">
        <x:f>IFERROR('各站彙總來源'!J462/'各站彙總來源'!K462,"")</x:f>
        <x:v>7.653846153846154</x:v>
      </x:c>
      <x:c r="K462" s="19" t="n">
        <x:f>'各站彙總來源'!K462</x:f>
        <x:v>26</x:v>
      </x:c>
      <x:c r="L462" s="24" t="n">
        <x:f>IFERROR('各站彙總來源'!L462/'各站彙總來源'!M462,"")</x:f>
        <x:v>1.9230769230769231</x:v>
      </x:c>
      <x:c r="M462" s="19" t="n">
        <x:f>'各站彙總來源'!M462</x:f>
        <x:v>26</x:v>
      </x:c>
      <x:c r="N462" s="24" t="n">
        <x:f>F462+H462</x:f>
        <x:v>11.461538461538462</x:v>
      </x:c>
      <x:c r="O462" s="24" t="n">
        <x:f>J462+L462</x:f>
        <x:v>9.576923076923077</x:v>
      </x:c>
    </x:row>
    <x:row r="463">
      <x:c r="A463" s="22" t="str">
        <x:v>500104142</x:v>
      </x:c>
      <x:c r="B463" s="17" t="str">
        <x:v>士林區</x:v>
      </x:c>
      <x:c r="C463" s="17" t="str">
        <x:v>東吳大學</x:v>
      </x:c>
      <x:c r="D463" s="18" t="n">
        <x:v>26</x:v>
      </x:c>
      <x:c r="E463" s="18" t="n">
        <x:v>26</x:v>
      </x:c>
      <x:c r="F463" s="24" t="n">
        <x:f>IFERROR('各站彙總來源'!F463/'各站彙總來源'!G463,"")</x:f>
        <x:v>7.115384615384615</x:v>
      </x:c>
      <x:c r="G463" s="19" t="n">
        <x:f>'各站彙總來源'!G463</x:f>
        <x:v>26</x:v>
      </x:c>
      <x:c r="H463" s="24" t="n">
        <x:f>IFERROR('各站彙總來源'!H463/'各站彙總來源'!I463,"")</x:f>
        <x:v>1.8846153846153846</x:v>
      </x:c>
      <x:c r="I463" s="19" t="n">
        <x:f>'各站彙總來源'!I463</x:f>
        <x:v>26</x:v>
      </x:c>
      <x:c r="J463" s="24" t="n">
        <x:f>IFERROR('各站彙總來源'!J463/'各站彙總來源'!K463,"")</x:f>
        <x:v>39.53846153846154</x:v>
      </x:c>
      <x:c r="K463" s="19" t="n">
        <x:f>'各站彙總來源'!K463</x:f>
        <x:v>26</x:v>
      </x:c>
      <x:c r="L463" s="24" t="n">
        <x:f>IFERROR('各站彙總來源'!L463/'各站彙總來源'!M463,"")</x:f>
        <x:v>2.423076923076923</x:v>
      </x:c>
      <x:c r="M463" s="19" t="n">
        <x:f>'各站彙總來源'!M463</x:f>
        <x:v>26</x:v>
      </x:c>
      <x:c r="N463" s="24" t="n">
        <x:f>F463+H463</x:f>
        <x:v>9</x:v>
      </x:c>
      <x:c r="O463" s="24" t="n">
        <x:f>J463+L463</x:f>
        <x:v>41.96153846153846</x:v>
      </x:c>
    </x:row>
    <x:row r="464">
      <x:c r="A464" s="22" t="str">
        <x:v>500104143</x:v>
      </x:c>
      <x:c r="B464" s="17" t="str">
        <x:v>士林區</x:v>
      </x:c>
      <x:c r="C464" s="17" t="str">
        <x:v>福志公園</x:v>
      </x:c>
      <x:c r="D464" s="18" t="n">
        <x:v>26</x:v>
      </x:c>
      <x:c r="E464" s="18" t="n">
        <x:v>26</x:v>
      </x:c>
      <x:c r="F464" s="24" t="n">
        <x:f>IFERROR('各站彙總來源'!F464/'各站彙總來源'!G464,"")</x:f>
        <x:v>13.692307692307692</x:v>
      </x:c>
      <x:c r="G464" s="19" t="n">
        <x:f>'各站彙總來源'!G464</x:f>
        <x:v>26</x:v>
      </x:c>
      <x:c r="H464" s="24" t="n">
        <x:f>IFERROR('各站彙總來源'!H464/'各站彙總來源'!I464,"")</x:f>
        <x:v>2</x:v>
      </x:c>
      <x:c r="I464" s="19" t="n">
        <x:f>'各站彙總來源'!I464</x:f>
        <x:v>26</x:v>
      </x:c>
      <x:c r="J464" s="24" t="n">
        <x:f>IFERROR('各站彙總來源'!J464/'各站彙總來源'!K464,"")</x:f>
        <x:v>4.346153846153846</x:v>
      </x:c>
      <x:c r="K464" s="19" t="n">
        <x:f>'各站彙總來源'!K464</x:f>
        <x:v>26</x:v>
      </x:c>
      <x:c r="L464" s="24" t="n">
        <x:f>IFERROR('各站彙總來源'!L464/'各站彙總來源'!M464,"")</x:f>
        <x:v>0.5384615384615384</x:v>
      </x:c>
      <x:c r="M464" s="19" t="n">
        <x:f>'各站彙總來源'!M464</x:f>
        <x:v>26</x:v>
      </x:c>
      <x:c r="N464" s="24" t="n">
        <x:f>F464+H464</x:f>
        <x:v>15.692307692307692</x:v>
      </x:c>
      <x:c r="O464" s="24" t="n">
        <x:f>J464+L464</x:f>
        <x:v>4.884615384615384</x:v>
      </x:c>
    </x:row>
    <x:row r="465">
      <x:c r="A465" s="22" t="str">
        <x:v>500104144</x:v>
      </x:c>
      <x:c r="B465" s="17" t="str">
        <x:v>士林區</x:v>
      </x:c>
      <x:c r="C465" s="17" t="str">
        <x:v>德行東路331巷口</x:v>
      </x:c>
      <x:c r="D465" s="18" t="n">
        <x:v>26</x:v>
      </x:c>
      <x:c r="E465" s="18" t="n">
        <x:v>26</x:v>
      </x:c>
      <x:c r="F465" s="24" t="n">
        <x:f>IFERROR('各站彙總來源'!F465/'各站彙總來源'!G465,"")</x:f>
        <x:v>25.03846153846154</x:v>
      </x:c>
      <x:c r="G465" s="19" t="n">
        <x:f>'各站彙總來源'!G465</x:f>
        <x:v>26</x:v>
      </x:c>
      <x:c r="H465" s="24" t="n">
        <x:f>IFERROR('各站彙總來源'!H465/'各站彙總來源'!I465,"")</x:f>
        <x:v>2.269230769230769</x:v>
      </x:c>
      <x:c r="I465" s="19" t="n">
        <x:f>'各站彙總來源'!I465</x:f>
        <x:v>26</x:v>
      </x:c>
      <x:c r="J465" s="24" t="n">
        <x:f>IFERROR('各站彙總來源'!J465/'各站彙總來源'!K465,"")</x:f>
        <x:v>7.884615384615385</x:v>
      </x:c>
      <x:c r="K465" s="19" t="n">
        <x:f>'各站彙總來源'!K465</x:f>
        <x:v>26</x:v>
      </x:c>
      <x:c r="L465" s="24" t="n">
        <x:f>IFERROR('各站彙總來源'!L465/'各站彙總來源'!M465,"")</x:f>
        <x:v>0.8461538461538461</x:v>
      </x:c>
      <x:c r="M465" s="19" t="n">
        <x:f>'各站彙總來源'!M465</x:f>
        <x:v>26</x:v>
      </x:c>
      <x:c r="N465" s="24" t="n">
        <x:f>F465+H465</x:f>
        <x:v>27.30769230769231</x:v>
      </x:c>
      <x:c r="O465" s="24" t="n">
        <x:f>J465+L465</x:f>
        <x:v>8.730769230769232</x:v>
      </x:c>
    </x:row>
    <x:row r="466">
      <x:c r="A466" s="22" t="str">
        <x:v>500104145</x:v>
      </x:c>
      <x:c r="B466" s="17" t="str">
        <x:v>士林區</x:v>
      </x:c>
      <x:c r="C466" s="17" t="str">
        <x:v>天母北路87巷9弄</x:v>
      </x:c>
      <x:c r="D466" s="18" t="n">
        <x:v>26</x:v>
      </x:c>
      <x:c r="E466" s="18" t="n">
        <x:v>26</x:v>
      </x:c>
      <x:c r="F466" s="24" t="n">
        <x:f>IFERROR('各站彙總來源'!F466/'各站彙總來源'!G466,"")</x:f>
        <x:v>4.3076923076923075</x:v>
      </x:c>
      <x:c r="G466" s="19" t="n">
        <x:f>'各站彙總來源'!G466</x:f>
        <x:v>26</x:v>
      </x:c>
      <x:c r="H466" s="24" t="n">
        <x:f>IFERROR('各站彙總來源'!H466/'各站彙總來源'!I466,"")</x:f>
        <x:v>2.269230769230769</x:v>
      </x:c>
      <x:c r="I466" s="19" t="n">
        <x:f>'各站彙總來源'!I466</x:f>
        <x:v>26</x:v>
      </x:c>
      <x:c r="J466" s="24" t="n">
        <x:f>IFERROR('各站彙總來源'!J466/'各站彙總來源'!K466,"")</x:f>
        <x:v>4.769230769230769</x:v>
      </x:c>
      <x:c r="K466" s="19" t="n">
        <x:f>'各站彙總來源'!K466</x:f>
        <x:v>26</x:v>
      </x:c>
      <x:c r="L466" s="24" t="n">
        <x:f>IFERROR('各站彙總來源'!L466/'各站彙總來源'!M466,"")</x:f>
        <x:v>1.0384615384615385</x:v>
      </x:c>
      <x:c r="M466" s="19" t="n">
        <x:f>'各站彙總來源'!M466</x:f>
        <x:v>26</x:v>
      </x:c>
      <x:c r="N466" s="24" t="n">
        <x:f>F466+H466</x:f>
        <x:v>6.576923076923077</x:v>
      </x:c>
      <x:c r="O466" s="24" t="n">
        <x:f>J466+L466</x:f>
        <x:v>5.8076923076923075</x:v>
      </x:c>
    </x:row>
    <x:row r="467">
      <x:c r="A467" s="22" t="str">
        <x:v>500104146</x:v>
      </x:c>
      <x:c r="B467" s="17" t="str">
        <x:v>士林區</x:v>
      </x:c>
      <x:c r="C467" s="17" t="str">
        <x:v>重慶北路四段108號(通河西街側)</x:v>
      </x:c>
      <x:c r="D467" s="18" t="n">
        <x:v>26</x:v>
      </x:c>
      <x:c r="E467" s="18" t="n">
        <x:v>26</x:v>
      </x:c>
      <x:c r="F467" s="24" t="n">
        <x:f>IFERROR('各站彙總來源'!F467/'各站彙總來源'!G467,"")</x:f>
        <x:v>7.038461538461538</x:v>
      </x:c>
      <x:c r="G467" s="19" t="n">
        <x:f>'各站彙總來源'!G467</x:f>
        <x:v>26</x:v>
      </x:c>
      <x:c r="H467" s="24" t="n">
        <x:f>IFERROR('各站彙總來源'!H467/'各站彙總來源'!I467,"")</x:f>
        <x:v>1</x:v>
      </x:c>
      <x:c r="I467" s="19" t="n">
        <x:f>'各站彙總來源'!I467</x:f>
        <x:v>26</x:v>
      </x:c>
      <x:c r="J467" s="24" t="n">
        <x:f>IFERROR('各站彙總來源'!J467/'各站彙總來源'!K467,"")</x:f>
        <x:v>6.230769230769231</x:v>
      </x:c>
      <x:c r="K467" s="19" t="n">
        <x:f>'各站彙總來源'!K467</x:f>
        <x:v>26</x:v>
      </x:c>
      <x:c r="L467" s="24" t="n">
        <x:f>IFERROR('各站彙總來源'!L467/'各站彙總來源'!M467,"")</x:f>
        <x:v>0.8461538461538461</x:v>
      </x:c>
      <x:c r="M467" s="19" t="n">
        <x:f>'各站彙總來源'!M467</x:f>
        <x:v>26</x:v>
      </x:c>
      <x:c r="N467" s="24" t="n">
        <x:f>F467+H467</x:f>
        <x:v>8.038461538461538</x:v>
      </x:c>
      <x:c r="O467" s="24" t="n">
        <x:f>J467+L467</x:f>
        <x:v>7.076923076923077</x:v>
      </x:c>
    </x:row>
    <x:row r="468">
      <x:c r="A468" s="22" t="str">
        <x:v>500104147</x:v>
      </x:c>
      <x:c r="B468" s="17" t="str">
        <x:v>士林區</x:v>
      </x:c>
      <x:c r="C468" s="17" t="str">
        <x:v>臺灣戲曲中心(文林德行西路口)</x:v>
      </x:c>
      <x:c r="D468" s="18" t="n">
        <x:v>26</x:v>
      </x:c>
      <x:c r="E468" s="18" t="n">
        <x:v>26</x:v>
      </x:c>
      <x:c r="F468" s="24" t="n">
        <x:f>IFERROR('各站彙總來源'!F468/'各站彙總來源'!G468,"")</x:f>
        <x:v>9.807692307692308</x:v>
      </x:c>
      <x:c r="G468" s="19" t="n">
        <x:f>'各站彙總來源'!G468</x:f>
        <x:v>26</x:v>
      </x:c>
      <x:c r="H468" s="24" t="n">
        <x:f>IFERROR('各站彙總來源'!H468/'各站彙總來源'!I468,"")</x:f>
        <x:v>1.2692307692307692</x:v>
      </x:c>
      <x:c r="I468" s="19" t="n">
        <x:f>'各站彙總來源'!I468</x:f>
        <x:v>26</x:v>
      </x:c>
      <x:c r="J468" s="24" t="n">
        <x:f>IFERROR('各站彙總來源'!J468/'各站彙總來源'!K468,"")</x:f>
        <x:v>8.346153846153847</x:v>
      </x:c>
      <x:c r="K468" s="19" t="n">
        <x:f>'各站彙總來源'!K468</x:f>
        <x:v>26</x:v>
      </x:c>
      <x:c r="L468" s="24" t="n">
        <x:f>IFERROR('各站彙總來源'!L468/'各站彙總來源'!M468,"")</x:f>
        <x:v>1.5769230769230769</x:v>
      </x:c>
      <x:c r="M468" s="19" t="n">
        <x:f>'各站彙總來源'!M468</x:f>
        <x:v>26</x:v>
      </x:c>
      <x:c r="N468" s="24" t="n">
        <x:f>F468+H468</x:f>
        <x:v>11.076923076923077</x:v>
      </x:c>
      <x:c r="O468" s="24" t="n">
        <x:f>J468+L468</x:f>
        <x:v>9.923076923076923</x:v>
      </x:c>
    </x:row>
    <x:row r="469">
      <x:c r="A469" s="22" t="str">
        <x:v>500104148</x:v>
      </x:c>
      <x:c r="B469" s="17" t="str">
        <x:v>士林區</x:v>
      </x:c>
      <x:c r="C469" s="17" t="str">
        <x:v>中山北路六段252巷口</x:v>
      </x:c>
      <x:c r="D469" s="18" t="n">
        <x:v>26</x:v>
      </x:c>
      <x:c r="E469" s="18" t="n">
        <x:v>26</x:v>
      </x:c>
      <x:c r="F469" s="24" t="n">
        <x:f>IFERROR('各站彙總來源'!F469/'各站彙總來源'!G469,"")</x:f>
        <x:v>1.5</x:v>
      </x:c>
      <x:c r="G469" s="19" t="n">
        <x:f>'各站彙總來源'!G469</x:f>
        <x:v>26</x:v>
      </x:c>
      <x:c r="H469" s="24" t="n">
        <x:f>IFERROR('各站彙總來源'!H469/'各站彙總來源'!I469,"")</x:f>
        <x:v>0.34615384615384615</x:v>
      </x:c>
      <x:c r="I469" s="19" t="n">
        <x:f>'各站彙總來源'!I469</x:f>
        <x:v>26</x:v>
      </x:c>
      <x:c r="J469" s="24" t="n">
        <x:f>IFERROR('各站彙總來源'!J469/'各站彙總來源'!K469,"")</x:f>
        <x:v>5.346153846153846</x:v>
      </x:c>
      <x:c r="K469" s="19" t="n">
        <x:f>'各站彙總來源'!K469</x:f>
        <x:v>26</x:v>
      </x:c>
      <x:c r="L469" s="24" t="n">
        <x:f>IFERROR('各站彙總來源'!L469/'各站彙總來源'!M469,"")</x:f>
        <x:v>1.8076923076923077</x:v>
      </x:c>
      <x:c r="M469" s="19" t="n">
        <x:f>'各站彙總來源'!M469</x:f>
        <x:v>26</x:v>
      </x:c>
      <x:c r="N469" s="24" t="n">
        <x:f>F469+H469</x:f>
        <x:v>1.8461538461538463</x:v>
      </x:c>
      <x:c r="O469" s="24" t="n">
        <x:f>J469+L469</x:f>
        <x:v>7.153846153846153</x:v>
      </x:c>
    </x:row>
    <x:row r="470">
      <x:c r="A470" s="22" t="str">
        <x:v>500104149</x:v>
      </x:c>
      <x:c r="B470" s="17" t="str">
        <x:v>士林區</x:v>
      </x:c>
      <x:c r="C470" s="17" t="str">
        <x:v>志成中正路口</x:v>
      </x:c>
      <x:c r="D470" s="18" t="n">
        <x:v>26</x:v>
      </x:c>
      <x:c r="E470" s="18" t="n">
        <x:v>26</x:v>
      </x:c>
      <x:c r="F470" s="24" t="n">
        <x:f>IFERROR('各站彙總來源'!F470/'各站彙總來源'!G470,"")</x:f>
        <x:v>7.423076923076923</x:v>
      </x:c>
      <x:c r="G470" s="19" t="n">
        <x:f>'各站彙總來源'!G470</x:f>
        <x:v>26</x:v>
      </x:c>
      <x:c r="H470" s="24" t="n">
        <x:f>IFERROR('各站彙總來源'!H470/'各站彙總來源'!I470,"")</x:f>
        <x:v>1</x:v>
      </x:c>
      <x:c r="I470" s="19" t="n">
        <x:f>'各站彙總來源'!I470</x:f>
        <x:v>26</x:v>
      </x:c>
      <x:c r="J470" s="24" t="n">
        <x:f>IFERROR('各站彙總來源'!J470/'各站彙總來源'!K470,"")</x:f>
        <x:v>4.384615384615385</x:v>
      </x:c>
      <x:c r="K470" s="19" t="n">
        <x:f>'各站彙總來源'!K470</x:f>
        <x:v>26</x:v>
      </x:c>
      <x:c r="L470" s="24" t="n">
        <x:f>IFERROR('各站彙總來源'!L470/'各站彙總來源'!M470,"")</x:f>
        <x:v>0.6923076923076923</x:v>
      </x:c>
      <x:c r="M470" s="19" t="n">
        <x:f>'各站彙總來源'!M470</x:f>
        <x:v>26</x:v>
      </x:c>
      <x:c r="N470" s="24" t="n">
        <x:f>F470+H470</x:f>
        <x:v>8.423076923076923</x:v>
      </x:c>
      <x:c r="O470" s="24" t="n">
        <x:f>J470+L470</x:f>
        <x:v>5.0769230769230775</x:v>
      </x:c>
    </x:row>
    <x:row r="471">
      <x:c r="A471" s="22" t="str">
        <x:v>500104150</x:v>
      </x:c>
      <x:c r="B471" s="17" t="str">
        <x:v>士林區</x:v>
      </x:c>
      <x:c r="C471" s="17" t="str">
        <x:v>承德中正路口</x:v>
      </x:c>
      <x:c r="D471" s="18" t="n">
        <x:v>26</x:v>
      </x:c>
      <x:c r="E471" s="18" t="n">
        <x:v>26</x:v>
      </x:c>
      <x:c r="F471" s="24" t="n">
        <x:f>IFERROR('各站彙總來源'!F471/'各站彙總來源'!G471,"")</x:f>
        <x:v>9.923076923076923</x:v>
      </x:c>
      <x:c r="G471" s="19" t="n">
        <x:f>'各站彙總來源'!G471</x:f>
        <x:v>26</x:v>
      </x:c>
      <x:c r="H471" s="24" t="n">
        <x:f>IFERROR('各站彙總來源'!H471/'各站彙總來源'!I471,"")</x:f>
        <x:v>1.4230769230769231</x:v>
      </x:c>
      <x:c r="I471" s="19" t="n">
        <x:f>'各站彙總來源'!I471</x:f>
        <x:v>26</x:v>
      </x:c>
      <x:c r="J471" s="24" t="n">
        <x:f>IFERROR('各站彙總來源'!J471/'各站彙總來源'!K471,"")</x:f>
        <x:v>6.269230769230769</x:v>
      </x:c>
      <x:c r="K471" s="19" t="n">
        <x:f>'各站彙總來源'!K471</x:f>
        <x:v>26</x:v>
      </x:c>
      <x:c r="L471" s="24" t="n">
        <x:f>IFERROR('各站彙總來源'!L471/'各站彙總來源'!M471,"")</x:f>
        <x:v>1.2307692307692308</x:v>
      </x:c>
      <x:c r="M471" s="19" t="n">
        <x:f>'各站彙總來源'!M471</x:f>
        <x:v>26</x:v>
      </x:c>
      <x:c r="N471" s="24" t="n">
        <x:f>F471+H471</x:f>
        <x:v>11.346153846153847</x:v>
      </x:c>
      <x:c r="O471" s="24" t="n">
        <x:f>J471+L471</x:f>
        <x:v>7.5</x:v>
      </x:c>
    </x:row>
    <x:row r="472">
      <x:c r="A472" s="22" t="str">
        <x:v>500104151</x:v>
      </x:c>
      <x:c r="B472" s="17" t="str">
        <x:v>士林區</x:v>
      </x:c>
      <x:c r="C472" s="17" t="str">
        <x:v>士商中正路口(西南側)</x:v>
      </x:c>
      <x:c r="D472" s="18" t="n">
        <x:v>26</x:v>
      </x:c>
      <x:c r="E472" s="18" t="n">
        <x:v>26</x:v>
      </x:c>
      <x:c r="F472" s="24" t="n">
        <x:f>IFERROR('各站彙總來源'!F472/'各站彙總來源'!G472,"")</x:f>
        <x:v>15.807692307692308</x:v>
      </x:c>
      <x:c r="G472" s="19" t="n">
        <x:f>'各站彙總來源'!G472</x:f>
        <x:v>26</x:v>
      </x:c>
      <x:c r="H472" s="24" t="n">
        <x:f>IFERROR('各站彙總來源'!H472/'各站彙總來源'!I472,"")</x:f>
        <x:v>2.3846153846153846</x:v>
      </x:c>
      <x:c r="I472" s="19" t="n">
        <x:f>'各站彙總來源'!I472</x:f>
        <x:v>26</x:v>
      </x:c>
      <x:c r="J472" s="24" t="n">
        <x:f>IFERROR('各站彙總來源'!J472/'各站彙總來源'!K472,"")</x:f>
        <x:v>14.076923076923077</x:v>
      </x:c>
      <x:c r="K472" s="19" t="n">
        <x:f>'各站彙總來源'!K472</x:f>
        <x:v>26</x:v>
      </x:c>
      <x:c r="L472" s="24" t="n">
        <x:f>IFERROR('各站彙總來源'!L472/'各站彙總來源'!M472,"")</x:f>
        <x:v>1.2307692307692308</x:v>
      </x:c>
      <x:c r="M472" s="19" t="n">
        <x:f>'各站彙總來源'!M472</x:f>
        <x:v>26</x:v>
      </x:c>
      <x:c r="N472" s="24" t="n">
        <x:f>F472+H472</x:f>
        <x:v>18.192307692307693</x:v>
      </x:c>
      <x:c r="O472" s="24" t="n">
        <x:f>J472+L472</x:f>
        <x:v>15.307692307692307</x:v>
      </x:c>
    </x:row>
    <x:row r="473">
      <x:c r="A473" s="22" t="str">
        <x:v>500104152</x:v>
      </x:c>
      <x:c r="B473" s="17" t="str">
        <x:v>士林區</x:v>
      </x:c>
      <x:c r="C473" s="17" t="str">
        <x:v>天母公園平面停車場</x:v>
      </x:c>
      <x:c r="D473" s="18" t="n">
        <x:v>26</x:v>
      </x:c>
      <x:c r="E473" s="18" t="n">
        <x:v>26</x:v>
      </x:c>
      <x:c r="F473" s="24" t="n">
        <x:f>IFERROR('各站彙總來源'!F473/'各站彙總來源'!G473,"")</x:f>
        <x:v>3.8076923076923075</x:v>
      </x:c>
      <x:c r="G473" s="19" t="n">
        <x:f>'各站彙總來源'!G473</x:f>
        <x:v>26</x:v>
      </x:c>
      <x:c r="H473" s="24" t="n">
        <x:f>IFERROR('各站彙總來源'!H473/'各站彙總來源'!I473,"")</x:f>
        <x:v>6.846153846153846</x:v>
      </x:c>
      <x:c r="I473" s="19" t="n">
        <x:f>'各站彙總來源'!I473</x:f>
        <x:v>26</x:v>
      </x:c>
      <x:c r="J473" s="24" t="n">
        <x:f>IFERROR('各站彙總來源'!J473/'各站彙總來源'!K473,"")</x:f>
        <x:v>3.4615384615384617</x:v>
      </x:c>
      <x:c r="K473" s="19" t="n">
        <x:f>'各站彙總來源'!K473</x:f>
        <x:v>26</x:v>
      </x:c>
      <x:c r="L473" s="24" t="n">
        <x:f>IFERROR('各站彙總來源'!L473/'各站彙總來源'!M473,"")</x:f>
        <x:v>2.576923076923077</x:v>
      </x:c>
      <x:c r="M473" s="19" t="n">
        <x:f>'各站彙總來源'!M473</x:f>
        <x:v>26</x:v>
      </x:c>
      <x:c r="N473" s="24" t="n">
        <x:f>F473+H473</x:f>
        <x:v>10.653846153846153</x:v>
      </x:c>
      <x:c r="O473" s="24" t="n">
        <x:f>J473+L473</x:f>
        <x:v>6.038461538461538</x:v>
      </x:c>
    </x:row>
    <x:row r="474">
      <x:c r="A474" s="22" t="str">
        <x:v>500104153</x:v>
      </x:c>
      <x:c r="B474" s="17" t="str">
        <x:v>士林區</x:v>
      </x:c>
      <x:c r="C474" s="17" t="str">
        <x:v>通河東街福港街262巷口</x:v>
      </x:c>
      <x:c r="D474" s="18" t="n">
        <x:v>26</x:v>
      </x:c>
      <x:c r="E474" s="18" t="n">
        <x:v>26</x:v>
      </x:c>
      <x:c r="F474" s="24" t="n">
        <x:f>IFERROR('各站彙總來源'!F474/'各站彙總來源'!G474,"")</x:f>
        <x:v>9.76923076923077</x:v>
      </x:c>
      <x:c r="G474" s="19" t="n">
        <x:f>'各站彙總來源'!G474</x:f>
        <x:v>26</x:v>
      </x:c>
      <x:c r="H474" s="24" t="n">
        <x:f>IFERROR('各站彙總來源'!H474/'各站彙總來源'!I474,"")</x:f>
        <x:v>0.8076923076923077</x:v>
      </x:c>
      <x:c r="I474" s="19" t="n">
        <x:f>'各站彙總來源'!I474</x:f>
        <x:v>26</x:v>
      </x:c>
      <x:c r="J474" s="24" t="n">
        <x:f>IFERROR('各站彙總來源'!J474/'各站彙總來源'!K474,"")</x:f>
        <x:v>1.2692307692307692</x:v>
      </x:c>
      <x:c r="K474" s="19" t="n">
        <x:f>'各站彙總來源'!K474</x:f>
        <x:v>26</x:v>
      </x:c>
      <x:c r="L474" s="24" t="n">
        <x:f>IFERROR('各站彙總來源'!L474/'各站彙總來源'!M474,"")</x:f>
        <x:v>0.2692307692307692</x:v>
      </x:c>
      <x:c r="M474" s="19" t="n">
        <x:f>'各站彙總來源'!M474</x:f>
        <x:v>26</x:v>
      </x:c>
      <x:c r="N474" s="24" t="n">
        <x:f>F474+H474</x:f>
        <x:v>10.576923076923078</x:v>
      </x:c>
      <x:c r="O474" s="24" t="n">
        <x:f>J474+L474</x:f>
        <x:v>1.5384615384615383</x:v>
      </x:c>
    </x:row>
    <x:row r="475">
      <x:c r="A475" s="22" t="str">
        <x:v>500104154</x:v>
      </x:c>
      <x:c r="B475" s="17" t="str">
        <x:v>士林區</x:v>
      </x:c>
      <x:c r="C475" s="17" t="str">
        <x:v>明安宮</x:v>
      </x:c>
      <x:c r="D475" s="18" t="n">
        <x:v>26</x:v>
      </x:c>
      <x:c r="E475" s="18" t="n">
        <x:v>26</x:v>
      </x:c>
      <x:c r="F475" s="24" t="n">
        <x:f>IFERROR('各站彙總來源'!F475/'各站彙總來源'!G475,"")</x:f>
        <x:v>4.230769230769231</x:v>
      </x:c>
      <x:c r="G475" s="19" t="n">
        <x:f>'各站彙總來源'!G475</x:f>
        <x:v>26</x:v>
      </x:c>
      <x:c r="H475" s="24" t="n">
        <x:f>IFERROR('各站彙總來源'!H475/'各站彙總來源'!I475,"")</x:f>
        <x:v>1.8461538461538463</x:v>
      </x:c>
      <x:c r="I475" s="19" t="n">
        <x:f>'各站彙總來源'!I475</x:f>
        <x:v>26</x:v>
      </x:c>
      <x:c r="J475" s="24" t="n">
        <x:f>IFERROR('各站彙總來源'!J475/'各站彙總來源'!K475,"")</x:f>
        <x:v>4.3076923076923075</x:v>
      </x:c>
      <x:c r="K475" s="19" t="n">
        <x:f>'各站彙總來源'!K475</x:f>
        <x:v>26</x:v>
      </x:c>
      <x:c r="L475" s="24" t="n">
        <x:f>IFERROR('各站彙總來源'!L475/'各站彙總來源'!M475,"")</x:f>
        <x:v>2</x:v>
      </x:c>
      <x:c r="M475" s="19" t="n">
        <x:f>'各站彙總來源'!M475</x:f>
        <x:v>26</x:v>
      </x:c>
      <x:c r="N475" s="24" t="n">
        <x:f>F475+H475</x:f>
        <x:v>6.076923076923077</x:v>
      </x:c>
      <x:c r="O475" s="24" t="n">
        <x:f>J475+L475</x:f>
        <x:v>6.3076923076923075</x:v>
      </x:c>
    </x:row>
    <x:row r="476">
      <x:c r="A476" s="22" t="str">
        <x:v>500104155</x:v>
      </x:c>
      <x:c r="B476" s="17" t="str">
        <x:v>士林區</x:v>
      </x:c>
      <x:c r="C476" s="17" t="str">
        <x:v>中山北路五段756巷口</x:v>
      </x:c>
      <x:c r="D476" s="18" t="n">
        <x:v>26</x:v>
      </x:c>
      <x:c r="E476" s="18" t="n">
        <x:v>26</x:v>
      </x:c>
      <x:c r="F476" s="24" t="n">
        <x:f>IFERROR('各站彙總來源'!F476/'各站彙總來源'!G476,"")</x:f>
        <x:v>15.692307692307692</x:v>
      </x:c>
      <x:c r="G476" s="19" t="n">
        <x:f>'各站彙總來源'!G476</x:f>
        <x:v>26</x:v>
      </x:c>
      <x:c r="H476" s="24" t="n">
        <x:f>IFERROR('各站彙總來源'!H476/'各站彙總來源'!I476,"")</x:f>
        <x:v>2.1153846153846154</x:v>
      </x:c>
      <x:c r="I476" s="19" t="n">
        <x:f>'各站彙總來源'!I476</x:f>
        <x:v>26</x:v>
      </x:c>
      <x:c r="J476" s="24" t="n">
        <x:f>IFERROR('各站彙總來源'!J476/'各站彙總來源'!K476,"")</x:f>
        <x:v>5.115384615384615</x:v>
      </x:c>
      <x:c r="K476" s="19" t="n">
        <x:f>'各站彙總來源'!K476</x:f>
        <x:v>26</x:v>
      </x:c>
      <x:c r="L476" s="24" t="n">
        <x:f>IFERROR('各站彙總來源'!L476/'各站彙總來源'!M476,"")</x:f>
        <x:v>2.3076923076923075</x:v>
      </x:c>
      <x:c r="M476" s="19" t="n">
        <x:f>'各站彙總來源'!M476</x:f>
        <x:v>26</x:v>
      </x:c>
      <x:c r="N476" s="24" t="n">
        <x:f>F476+H476</x:f>
        <x:v>17.807692307692307</x:v>
      </x:c>
      <x:c r="O476" s="24" t="n">
        <x:f>J476+L476</x:f>
        <x:v>7.4230769230769225</x:v>
      </x:c>
    </x:row>
    <x:row r="477">
      <x:c r="A477" s="22" t="str">
        <x:v>500104156</x:v>
      </x:c>
      <x:c r="B477" s="17" t="str">
        <x:v>士林區</x:v>
      </x:c>
      <x:c r="C477" s="17" t="str">
        <x:v>社子派出所</x:v>
      </x:c>
      <x:c r="D477" s="18" t="n">
        <x:v>26</x:v>
      </x:c>
      <x:c r="E477" s="18" t="n">
        <x:v>26</x:v>
      </x:c>
      <x:c r="F477" s="24" t="n">
        <x:f>IFERROR('各站彙總來源'!F477/'各站彙總來源'!G477,"")</x:f>
        <x:v>7</x:v>
      </x:c>
      <x:c r="G477" s="19" t="n">
        <x:f>'各站彙總來源'!G477</x:f>
        <x:v>26</x:v>
      </x:c>
      <x:c r="H477" s="24" t="n">
        <x:f>IFERROR('各站彙總來源'!H477/'各站彙總來源'!I477,"")</x:f>
        <x:v>2.6153846153846154</x:v>
      </x:c>
      <x:c r="I477" s="19" t="n">
        <x:f>'各站彙總來源'!I477</x:f>
        <x:v>26</x:v>
      </x:c>
      <x:c r="J477" s="24" t="n">
        <x:f>IFERROR('各站彙總來源'!J477/'各站彙總來源'!K477,"")</x:f>
        <x:v>3.3461538461538463</x:v>
      </x:c>
      <x:c r="K477" s="19" t="n">
        <x:f>'各站彙總來源'!K477</x:f>
        <x:v>26</x:v>
      </x:c>
      <x:c r="L477" s="24" t="n">
        <x:f>IFERROR('各站彙總來源'!L477/'各站彙總來源'!M477,"")</x:f>
        <x:v>1.5384615384615385</x:v>
      </x:c>
      <x:c r="M477" s="19" t="n">
        <x:f>'各站彙總來源'!M477</x:f>
        <x:v>26</x:v>
      </x:c>
      <x:c r="N477" s="24" t="n">
        <x:f>F477+H477</x:f>
        <x:v>9.615384615384615</x:v>
      </x:c>
      <x:c r="O477" s="24" t="n">
        <x:f>J477+L477</x:f>
        <x:v>4.884615384615385</x:v>
      </x:c>
    </x:row>
    <x:row r="478">
      <x:c r="A478" s="22" t="str">
        <x:v>500104157</x:v>
      </x:c>
      <x:c r="B478" s="17" t="str">
        <x:v>士林區</x:v>
      </x:c>
      <x:c r="C478" s="17" t="str">
        <x:v>通河西街二段102巷口</x:v>
      </x:c>
      <x:c r="D478" s="18" t="n">
        <x:v>26</x:v>
      </x:c>
      <x:c r="E478" s="18" t="n">
        <x:v>26</x:v>
      </x:c>
      <x:c r="F478" s="24" t="n">
        <x:f>IFERROR('各站彙總來源'!F478/'各站彙總來源'!G478,"")</x:f>
        <x:v>8.5</x:v>
      </x:c>
      <x:c r="G478" s="19" t="n">
        <x:f>'各站彙總來源'!G478</x:f>
        <x:v>26</x:v>
      </x:c>
      <x:c r="H478" s="24" t="n">
        <x:f>IFERROR('各站彙總來源'!H478/'各站彙總來源'!I478,"")</x:f>
        <x:v>2.6153846153846154</x:v>
      </x:c>
      <x:c r="I478" s="19" t="n">
        <x:f>'各站彙總來源'!I478</x:f>
        <x:v>26</x:v>
      </x:c>
      <x:c r="J478" s="24" t="n">
        <x:f>IFERROR('各站彙總來源'!J478/'各站彙總來源'!K478,"")</x:f>
        <x:v>6.8076923076923075</x:v>
      </x:c>
      <x:c r="K478" s="19" t="n">
        <x:f>'各站彙總來源'!K478</x:f>
        <x:v>26</x:v>
      </x:c>
      <x:c r="L478" s="24" t="n">
        <x:f>IFERROR('各站彙總來源'!L478/'各站彙總來源'!M478,"")</x:f>
        <x:v>2.423076923076923</x:v>
      </x:c>
      <x:c r="M478" s="19" t="n">
        <x:f>'各站彙總來源'!M478</x:f>
        <x:v>26</x:v>
      </x:c>
      <x:c r="N478" s="24" t="n">
        <x:f>F478+H478</x:f>
        <x:v>11.115384615384615</x:v>
      </x:c>
      <x:c r="O478" s="24" t="n">
        <x:f>J478+L478</x:f>
        <x:v>9.23076923076923</x:v>
      </x:c>
    </x:row>
    <x:row r="479">
      <x:c r="A479" s="22" t="str">
        <x:v>500104158</x:v>
      </x:c>
      <x:c r="B479" s="17" t="str">
        <x:v>士林區</x:v>
      </x:c>
      <x:c r="C479" s="17" t="str">
        <x:v>社子公園(永平街80巷)</x:v>
      </x:c>
      <x:c r="D479" s="18" t="n">
        <x:v>26</x:v>
      </x:c>
      <x:c r="E479" s="18" t="n">
        <x:v>26</x:v>
      </x:c>
      <x:c r="F479" s="24" t="n">
        <x:f>IFERROR('各站彙總來源'!F479/'各站彙總來源'!G479,"")</x:f>
        <x:v>7.884615384615385</x:v>
      </x:c>
      <x:c r="G479" s="19" t="n">
        <x:f>'各站彙總來源'!G479</x:f>
        <x:v>26</x:v>
      </x:c>
      <x:c r="H479" s="24" t="n">
        <x:f>IFERROR('各站彙總來源'!H479/'各站彙總來源'!I479,"")</x:f>
        <x:v>3.9615384615384617</x:v>
      </x:c>
      <x:c r="I479" s="19" t="n">
        <x:f>'各站彙總來源'!I479</x:f>
        <x:v>26</x:v>
      </x:c>
      <x:c r="J479" s="24" t="n">
        <x:f>IFERROR('各站彙總來源'!J479/'各站彙總來源'!K479,"")</x:f>
        <x:v>4.615384615384615</x:v>
      </x:c>
      <x:c r="K479" s="19" t="n">
        <x:f>'各站彙總來源'!K479</x:f>
        <x:v>26</x:v>
      </x:c>
      <x:c r="L479" s="24" t="n">
        <x:f>IFERROR('各站彙總來源'!L479/'各站彙總來源'!M479,"")</x:f>
        <x:v>3.1923076923076925</x:v>
      </x:c>
      <x:c r="M479" s="19" t="n">
        <x:f>'各站彙總來源'!M479</x:f>
        <x:v>26</x:v>
      </x:c>
      <x:c r="N479" s="24" t="n">
        <x:f>F479+H479</x:f>
        <x:v>11.846153846153847</x:v>
      </x:c>
      <x:c r="O479" s="24" t="n">
        <x:f>J479+L479</x:f>
        <x:v>7.8076923076923075</x:v>
      </x:c>
    </x:row>
    <x:row r="480">
      <x:c r="A480" s="22" t="str">
        <x:v>500104159</x:v>
      </x:c>
      <x:c r="B480" s="17" t="str">
        <x:v>士林區</x:v>
      </x:c>
      <x:c r="C480" s="17" t="str">
        <x:v>忠義街71巷口</x:v>
      </x:c>
      <x:c r="D480" s="18" t="n">
        <x:v>26</x:v>
      </x:c>
      <x:c r="E480" s="18" t="n">
        <x:v>19</x:v>
      </x:c>
      <x:c r="F480" s="24" t="n">
        <x:f>IFERROR('各站彙總來源'!F480/'各站彙總來源'!G480,"")</x:f>
        <x:v>9.166666666666666</x:v>
      </x:c>
      <x:c r="G480" s="19" t="n">
        <x:f>'各站彙總來源'!G480</x:f>
        <x:v>18</x:v>
      </x:c>
      <x:c r="H480" s="24" t="n">
        <x:f>IFERROR('各站彙總來源'!H480/'各站彙總來源'!I480,"")</x:f>
        <x:v>2.2777777777777777</x:v>
      </x:c>
      <x:c r="I480" s="19" t="n">
        <x:f>'各站彙總來源'!I480</x:f>
        <x:v>18</x:v>
      </x:c>
      <x:c r="J480" s="24" t="n">
        <x:f>IFERROR('各站彙總來源'!J480/'各站彙總來源'!K480,"")</x:f>
        <x:v>3.736842105263158</x:v>
      </x:c>
      <x:c r="K480" s="19" t="n">
        <x:f>'各站彙總來源'!K480</x:f>
        <x:v>19</x:v>
      </x:c>
      <x:c r="L480" s="24" t="n">
        <x:f>IFERROR('各站彙總來源'!L480/'各站彙總來源'!M480,"")</x:f>
        <x:v>0.7894736842105263</x:v>
      </x:c>
      <x:c r="M480" s="19" t="n">
        <x:f>'各站彙總來源'!M480</x:f>
        <x:v>19</x:v>
      </x:c>
      <x:c r="N480" s="24" t="n">
        <x:f>F480+H480</x:f>
        <x:v>11.444444444444443</x:v>
      </x:c>
      <x:c r="O480" s="24" t="n">
        <x:f>J480+L480</x:f>
        <x:v>4.526315789473684</x:v>
      </x:c>
    </x:row>
    <x:row r="481">
      <x:c r="A481" s="22" t="str">
        <x:v>500104160</x:v>
      </x:c>
      <x:c r="B481" s="17" t="str">
        <x:v>士林區</x:v>
      </x:c>
      <x:c r="C481" s="17" t="str">
        <x:v>承德路四段292巷口</x:v>
      </x:c>
      <x:c r="D481" s="18" t="n">
        <x:v>26</x:v>
      </x:c>
      <x:c r="E481" s="18" t="n">
        <x:v>13</x:v>
      </x:c>
      <x:c r="F481" s="24" t="n">
        <x:f>IFERROR('各站彙總來源'!F481/'各站彙總來源'!G481,"")</x:f>
        <x:v>9.5</x:v>
      </x:c>
      <x:c r="G481" s="19" t="n">
        <x:f>'各站彙總來源'!G481</x:f>
        <x:v>12</x:v>
      </x:c>
      <x:c r="H481" s="24" t="n">
        <x:f>IFERROR('各站彙總來源'!H481/'各站彙總來源'!I481,"")</x:f>
        <x:v>0.75</x:v>
      </x:c>
      <x:c r="I481" s="19" t="n">
        <x:f>'各站彙總來源'!I481</x:f>
        <x:v>12</x:v>
      </x:c>
      <x:c r="J481" s="24" t="n">
        <x:f>IFERROR('各站彙總來源'!J481/'各站彙總來源'!K481,"")</x:f>
        <x:v>3.5384615384615383</x:v>
      </x:c>
      <x:c r="K481" s="19" t="n">
        <x:f>'各站彙總來源'!K481</x:f>
        <x:v>13</x:v>
      </x:c>
      <x:c r="L481" s="24" t="n">
        <x:f>IFERROR('各站彙總來源'!L481/'各站彙總來源'!M481,"")</x:f>
        <x:v>0.23076923076923078</x:v>
      </x:c>
      <x:c r="M481" s="19" t="n">
        <x:f>'各站彙總來源'!M481</x:f>
        <x:v>13</x:v>
      </x:c>
      <x:c r="N481" s="24" t="n">
        <x:f>F481+H481</x:f>
        <x:v>10.25</x:v>
      </x:c>
      <x:c r="O481" s="24" t="n">
        <x:f>J481+L481</x:f>
        <x:v>3.769230769230769</x:v>
      </x:c>
    </x:row>
    <x:row r="482">
      <x:c r="A482" s="22" t="str">
        <x:v>500104161</x:v>
      </x:c>
      <x:c r="B482" s="17" t="str">
        <x:v>士林區</x:v>
      </x:c>
      <x:c r="C482" s="17" t="str">
        <x:v>中山北路五段505巷口</x:v>
      </x:c>
      <x:c r="D482" s="18" t="n">
        <x:v>26</x:v>
      </x:c>
      <x:c r="E482" s="18" t="n">
        <x:v>4</x:v>
      </x:c>
      <x:c r="F482" s="24" t="n">
        <x:f>IFERROR('各站彙總來源'!F482/'各站彙總來源'!G482,"")</x:f>
        <x:v>2.6666666666666665</x:v>
      </x:c>
      <x:c r="G482" s="19" t="n">
        <x:f>'各站彙總來源'!G482</x:f>
        <x:v>3</x:v>
      </x:c>
      <x:c r="H482" s="24" t="n">
        <x:f>IFERROR('各站彙總來源'!H482/'各站彙總來源'!I482,"")</x:f>
        <x:v>1.6666666666666667</x:v>
      </x:c>
      <x:c r="I482" s="19" t="n">
        <x:f>'各站彙總來源'!I482</x:f>
        <x:v>3</x:v>
      </x:c>
      <x:c r="J482" s="24" t="n">
        <x:f>IFERROR('各站彙總來源'!J482/'各站彙總來源'!K482,"")</x:f>
        <x:v>3.5</x:v>
      </x:c>
      <x:c r="K482" s="19" t="n">
        <x:f>'各站彙總來源'!K482</x:f>
        <x:v>4</x:v>
      </x:c>
      <x:c r="L482" s="24" t="n">
        <x:f>IFERROR('各站彙總來源'!L482/'各站彙總來源'!M482,"")</x:f>
        <x:v>1.25</x:v>
      </x:c>
      <x:c r="M482" s="19" t="n">
        <x:f>'各站彙總來源'!M482</x:f>
        <x:v>4</x:v>
      </x:c>
      <x:c r="N482" s="24" t="n">
        <x:f>F482+H482</x:f>
        <x:v>4.333333333333333</x:v>
      </x:c>
      <x:c r="O482" s="24" t="n">
        <x:f>J482+L482</x:f>
        <x:v>4.75</x:v>
      </x:c>
    </x:row>
    <x:row r="483">
      <x:c r="A483" s="22" t="str">
        <x:v>500105001</x:v>
      </x:c>
      <x:c r="B483" s="17" t="str">
        <x:v>文山區</x:v>
      </x:c>
      <x:c r="C483" s="17" t="str">
        <x:v>台北花木批發市場</x:v>
      </x:c>
      <x:c r="D483" s="18" t="n">
        <x:v>26</x:v>
      </x:c>
      <x:c r="E483" s="18" t="n">
        <x:v>26</x:v>
      </x:c>
      <x:c r="F483" s="24" t="n">
        <x:f>IFERROR('各站彙總來源'!F483/'各站彙總來源'!G483,"")</x:f>
        <x:v>48.46153846153846</x:v>
      </x:c>
      <x:c r="G483" s="19" t="n">
        <x:f>'各站彙總來源'!G483</x:f>
        <x:v>26</x:v>
      </x:c>
      <x:c r="H483" s="24" t="n">
        <x:f>IFERROR('各站彙總來源'!H483/'各站彙總來源'!I483,"")</x:f>
        <x:v>3.269230769230769</x:v>
      </x:c>
      <x:c r="I483" s="19" t="n">
        <x:f>'各站彙總來源'!I483</x:f>
        <x:v>26</x:v>
      </x:c>
      <x:c r="J483" s="24" t="n">
        <x:f>IFERROR('各站彙總來源'!J483/'各站彙總來源'!K483,"")</x:f>
        <x:v>14.115384615384615</x:v>
      </x:c>
      <x:c r="K483" s="19" t="n">
        <x:f>'各站彙總來源'!K483</x:f>
        <x:v>26</x:v>
      </x:c>
      <x:c r="L483" s="24" t="n">
        <x:f>IFERROR('各站彙總來源'!L483/'各站彙總來源'!M483,"")</x:f>
        <x:v>1.3076923076923077</x:v>
      </x:c>
      <x:c r="M483" s="19" t="n">
        <x:f>'各站彙總來源'!M483</x:f>
        <x:v>26</x:v>
      </x:c>
      <x:c r="N483" s="24" t="n">
        <x:f>F483+H483</x:f>
        <x:v>51.730769230769226</x:v>
      </x:c>
      <x:c r="O483" s="24" t="n">
        <x:f>J483+L483</x:f>
        <x:v>15.423076923076923</x:v>
      </x:c>
    </x:row>
    <x:row r="484">
      <x:c r="A484" s="22" t="str">
        <x:v>500105002</x:v>
      </x:c>
      <x:c r="B484" s="17" t="str">
        <x:v>文山區</x:v>
      </x:c>
      <x:c r="C484" s="17" t="str">
        <x:v>捷運萬隆站(4號出口)</x:v>
      </x:c>
      <x:c r="D484" s="18" t="n">
        <x:v>26</x:v>
      </x:c>
      <x:c r="E484" s="18" t="n">
        <x:v>26</x:v>
      </x:c>
      <x:c r="F484" s="24" t="n">
        <x:f>IFERROR('各站彙總來源'!F484/'各站彙總來源'!G484,"")</x:f>
        <x:v>9.23076923076923</x:v>
      </x:c>
      <x:c r="G484" s="19" t="n">
        <x:f>'各站彙總來源'!G484</x:f>
        <x:v>26</x:v>
      </x:c>
      <x:c r="H484" s="24" t="n">
        <x:f>IFERROR('各站彙總來源'!H484/'各站彙總來源'!I484,"")</x:f>
        <x:v>1.8846153846153846</x:v>
      </x:c>
      <x:c r="I484" s="19" t="n">
        <x:f>'各站彙總來源'!I484</x:f>
        <x:v>26</x:v>
      </x:c>
      <x:c r="J484" s="24" t="n">
        <x:f>IFERROR('各站彙總來源'!J484/'各站彙總來源'!K484,"")</x:f>
        <x:v>9.23076923076923</x:v>
      </x:c>
      <x:c r="K484" s="19" t="n">
        <x:f>'各站彙總來源'!K484</x:f>
        <x:v>26</x:v>
      </x:c>
      <x:c r="L484" s="24" t="n">
        <x:f>IFERROR('各站彙總來源'!L484/'各站彙總來源'!M484,"")</x:f>
        <x:v>1.1153846153846154</x:v>
      </x:c>
      <x:c r="M484" s="19" t="n">
        <x:f>'各站彙總來源'!M484</x:f>
        <x:v>26</x:v>
      </x:c>
      <x:c r="N484" s="24" t="n">
        <x:f>F484+H484</x:f>
        <x:v>11.115384615384615</x:v>
      </x:c>
      <x:c r="O484" s="24" t="n">
        <x:f>J484+L484</x:f>
        <x:v>10.346153846153845</x:v>
      </x:c>
    </x:row>
    <x:row r="485">
      <x:c r="A485" s="22" t="str">
        <x:v>500105003</x:v>
      </x:c>
      <x:c r="B485" s="17" t="str">
        <x:v>文山區</x:v>
      </x:c>
      <x:c r="C485" s="17" t="str">
        <x:v>捷運萬隆站(1號出口)</x:v>
      </x:c>
      <x:c r="D485" s="18" t="n">
        <x:v>26</x:v>
      </x:c>
      <x:c r="E485" s="18" t="n">
        <x:v>26</x:v>
      </x:c>
      <x:c r="F485" s="24" t="n">
        <x:f>IFERROR('各站彙總來源'!F485/'各站彙總來源'!G485,"")</x:f>
        <x:v>31.46153846153846</x:v>
      </x:c>
      <x:c r="G485" s="19" t="n">
        <x:f>'各站彙總來源'!G485</x:f>
        <x:v>26</x:v>
      </x:c>
      <x:c r="H485" s="24" t="n">
        <x:f>IFERROR('各站彙總來源'!H485/'各站彙總來源'!I485,"")</x:f>
        <x:v>1.2692307692307692</x:v>
      </x:c>
      <x:c r="I485" s="19" t="n">
        <x:f>'各站彙總來源'!I485</x:f>
        <x:v>26</x:v>
      </x:c>
      <x:c r="J485" s="24" t="n">
        <x:f>IFERROR('各站彙總來源'!J485/'各站彙總來源'!K485,"")</x:f>
        <x:v>14.846153846153847</x:v>
      </x:c>
      <x:c r="K485" s="19" t="n">
        <x:f>'各站彙總來源'!K485</x:f>
        <x:v>26</x:v>
      </x:c>
      <x:c r="L485" s="24" t="n">
        <x:f>IFERROR('各站彙總來源'!L485/'各站彙總來源'!M485,"")</x:f>
        <x:v>1.3076923076923077</x:v>
      </x:c>
      <x:c r="M485" s="19" t="n">
        <x:f>'各站彙總來源'!M485</x:f>
        <x:v>26</x:v>
      </x:c>
      <x:c r="N485" s="24" t="n">
        <x:f>F485+H485</x:f>
        <x:v>32.730769230769226</x:v>
      </x:c>
      <x:c r="O485" s="24" t="n">
        <x:f>J485+L485</x:f>
        <x:v>16.153846153846153</x:v>
      </x:c>
    </x:row>
    <x:row r="486">
      <x:c r="A486" s="22" t="str">
        <x:v>500105004</x:v>
      </x:c>
      <x:c r="B486" s="17" t="str">
        <x:v>文山區</x:v>
      </x:c>
      <x:c r="C486" s="17" t="str">
        <x:v>萬和二號公園</x:v>
      </x:c>
      <x:c r="D486" s="18" t="n">
        <x:v>26</x:v>
      </x:c>
      <x:c r="E486" s="18" t="n">
        <x:v>26</x:v>
      </x:c>
      <x:c r="F486" s="24" t="n">
        <x:f>IFERROR('各站彙總來源'!F486/'各站彙總來源'!G486,"")</x:f>
        <x:v>25.076923076923077</x:v>
      </x:c>
      <x:c r="G486" s="19" t="n">
        <x:f>'各站彙總來源'!G486</x:f>
        <x:v>26</x:v>
      </x:c>
      <x:c r="H486" s="24" t="n">
        <x:f>IFERROR('各站彙總來源'!H486/'各站彙總來源'!I486,"")</x:f>
        <x:v>1.8846153846153846</x:v>
      </x:c>
      <x:c r="I486" s="19" t="n">
        <x:f>'各站彙總來源'!I486</x:f>
        <x:v>26</x:v>
      </x:c>
      <x:c r="J486" s="24" t="n">
        <x:f>IFERROR('各站彙總來源'!J486/'各站彙總來源'!K486,"")</x:f>
        <x:v>11.884615384615385</x:v>
      </x:c>
      <x:c r="K486" s="19" t="n">
        <x:f>'各站彙總來源'!K486</x:f>
        <x:v>26</x:v>
      </x:c>
      <x:c r="L486" s="24" t="n">
        <x:f>IFERROR('各站彙總來源'!L486/'各站彙總來源'!M486,"")</x:f>
        <x:v>1.5</x:v>
      </x:c>
      <x:c r="M486" s="19" t="n">
        <x:f>'各站彙總來源'!M486</x:f>
        <x:v>26</x:v>
      </x:c>
      <x:c r="N486" s="24" t="n">
        <x:f>F486+H486</x:f>
        <x:v>26.96153846153846</x:v>
      </x:c>
      <x:c r="O486" s="24" t="n">
        <x:f>J486+L486</x:f>
        <x:v>13.384615384615385</x:v>
      </x:c>
    </x:row>
    <x:row r="487">
      <x:c r="A487" s="22" t="str">
        <x:v>500105005</x:v>
      </x:c>
      <x:c r="B487" s="17" t="str">
        <x:v>文山區</x:v>
      </x:c>
      <x:c r="C487" s="17" t="str">
        <x:v>捷運萬隆站(2號出口)</x:v>
      </x:c>
      <x:c r="D487" s="18" t="n">
        <x:v>26</x:v>
      </x:c>
      <x:c r="E487" s="18" t="n">
        <x:v>26</x:v>
      </x:c>
      <x:c r="F487" s="24" t="n">
        <x:f>IFERROR('各站彙總來源'!F487/'各站彙總來源'!G487,"")</x:f>
        <x:v>9.76923076923077</x:v>
      </x:c>
      <x:c r="G487" s="19" t="n">
        <x:f>'各站彙總來源'!G487</x:f>
        <x:v>26</x:v>
      </x:c>
      <x:c r="H487" s="24" t="n">
        <x:f>IFERROR('各站彙總來源'!H487/'各站彙總來源'!I487,"")</x:f>
        <x:v>0.6538461538461539</x:v>
      </x:c>
      <x:c r="I487" s="19" t="n">
        <x:f>'各站彙總來源'!I487</x:f>
        <x:v>26</x:v>
      </x:c>
      <x:c r="J487" s="24" t="n">
        <x:f>IFERROR('各站彙總來源'!J487/'各站彙總來源'!K487,"")</x:f>
        <x:v>22.884615384615383</x:v>
      </x:c>
      <x:c r="K487" s="19" t="n">
        <x:f>'各站彙總來源'!K487</x:f>
        <x:v>26</x:v>
      </x:c>
      <x:c r="L487" s="24" t="n">
        <x:f>IFERROR('各站彙總來源'!L487/'各站彙總來源'!M487,"")</x:f>
        <x:v>2.230769230769231</x:v>
      </x:c>
      <x:c r="M487" s="19" t="n">
        <x:f>'各站彙總來源'!M487</x:f>
        <x:v>26</x:v>
      </x:c>
      <x:c r="N487" s="24" t="n">
        <x:f>F487+H487</x:f>
        <x:v>10.423076923076923</x:v>
      </x:c>
      <x:c r="O487" s="24" t="n">
        <x:f>J487+L487</x:f>
        <x:v>25.115384615384613</x:v>
      </x:c>
    </x:row>
    <x:row r="488">
      <x:c r="A488" s="22" t="str">
        <x:v>500105006</x:v>
      </x:c>
      <x:c r="B488" s="17" t="str">
        <x:v>文山區</x:v>
      </x:c>
      <x:c r="C488" s="17" t="str">
        <x:v>景仁公園</x:v>
      </x:c>
      <x:c r="D488" s="18" t="n">
        <x:v>26</x:v>
      </x:c>
      <x:c r="E488" s="18" t="n">
        <x:v>26</x:v>
      </x:c>
      <x:c r="F488" s="24" t="n">
        <x:f>IFERROR('各站彙總來源'!F488/'各站彙總來源'!G488,"")</x:f>
        <x:v>9.538461538461538</x:v>
      </x:c>
      <x:c r="G488" s="19" t="n">
        <x:f>'各站彙總來源'!G488</x:f>
        <x:v>26</x:v>
      </x:c>
      <x:c r="H488" s="24" t="n">
        <x:f>IFERROR('各站彙總來源'!H488/'各站彙總來源'!I488,"")</x:f>
        <x:v>2.576923076923077</x:v>
      </x:c>
      <x:c r="I488" s="19" t="n">
        <x:f>'各站彙總來源'!I488</x:f>
        <x:v>26</x:v>
      </x:c>
      <x:c r="J488" s="24" t="n">
        <x:f>IFERROR('各站彙總來源'!J488/'各站彙總來源'!K488,"")</x:f>
        <x:v>6.961538461538462</x:v>
      </x:c>
      <x:c r="K488" s="19" t="n">
        <x:f>'各站彙總來源'!K488</x:f>
        <x:v>26</x:v>
      </x:c>
      <x:c r="L488" s="24" t="n">
        <x:f>IFERROR('各站彙總來源'!L488/'各站彙總來源'!M488,"")</x:f>
        <x:v>0.8846153846153846</x:v>
      </x:c>
      <x:c r="M488" s="19" t="n">
        <x:f>'各站彙總來源'!M488</x:f>
        <x:v>26</x:v>
      </x:c>
      <x:c r="N488" s="24" t="n">
        <x:f>F488+H488</x:f>
        <x:v>12.115384615384615</x:v>
      </x:c>
      <x:c r="O488" s="24" t="n">
        <x:f>J488+L488</x:f>
        <x:v>7.846153846153847</x:v>
      </x:c>
    </x:row>
    <x:row r="489">
      <x:c r="A489" s="22" t="str">
        <x:v>500105007</x:v>
      </x:c>
      <x:c r="B489" s="17" t="str">
        <x:v>文山區</x:v>
      </x:c>
      <x:c r="C489" s="17" t="str">
        <x:v>捷運景美站(2號出口)</x:v>
      </x:c>
      <x:c r="D489" s="18" t="n">
        <x:v>26</x:v>
      </x:c>
      <x:c r="E489" s="18" t="n">
        <x:v>26</x:v>
      </x:c>
      <x:c r="F489" s="24" t="n">
        <x:f>IFERROR('各站彙總來源'!F489/'各站彙總來源'!G489,"")</x:f>
        <x:v>11.26923076923077</x:v>
      </x:c>
      <x:c r="G489" s="19" t="n">
        <x:f>'各站彙總來源'!G489</x:f>
        <x:v>26</x:v>
      </x:c>
      <x:c r="H489" s="24" t="n">
        <x:f>IFERROR('各站彙總來源'!H489/'各站彙總來源'!I489,"")</x:f>
        <x:v>0.6538461538461539</x:v>
      </x:c>
      <x:c r="I489" s="19" t="n">
        <x:f>'各站彙總來源'!I489</x:f>
        <x:v>26</x:v>
      </x:c>
      <x:c r="J489" s="24" t="n">
        <x:f>IFERROR('各站彙總來源'!J489/'各站彙總來源'!K489,"")</x:f>
        <x:v>34.26923076923077</x:v>
      </x:c>
      <x:c r="K489" s="19" t="n">
        <x:f>'各站彙總來源'!K489</x:f>
        <x:v>26</x:v>
      </x:c>
      <x:c r="L489" s="24" t="n">
        <x:f>IFERROR('各站彙總來源'!L489/'各站彙總來源'!M489,"")</x:f>
        <x:v>2.3461538461538463</x:v>
      </x:c>
      <x:c r="M489" s="19" t="n">
        <x:f>'各站彙總來源'!M489</x:f>
        <x:v>26</x:v>
      </x:c>
      <x:c r="N489" s="24" t="n">
        <x:f>F489+H489</x:f>
        <x:v>11.923076923076923</x:v>
      </x:c>
      <x:c r="O489" s="24" t="n">
        <x:f>J489+L489</x:f>
        <x:v>36.61538461538461</x:v>
      </x:c>
    </x:row>
    <x:row r="490">
      <x:c r="A490" s="22" t="str">
        <x:v>500105008</x:v>
      </x:c>
      <x:c r="B490" s="17" t="str">
        <x:v>文山區</x:v>
      </x:c>
      <x:c r="C490" s="17" t="str">
        <x:v>羅斯福景隆街口</x:v>
      </x:c>
      <x:c r="D490" s="18" t="n">
        <x:v>26</x:v>
      </x:c>
      <x:c r="E490" s="18" t="n">
        <x:v>26</x:v>
      </x:c>
      <x:c r="F490" s="24" t="n">
        <x:f>IFERROR('各站彙總來源'!F490/'各站彙總來源'!G490,"")</x:f>
        <x:v>14.115384615384615</x:v>
      </x:c>
      <x:c r="G490" s="19" t="n">
        <x:f>'各站彙總來源'!G490</x:f>
        <x:v>26</x:v>
      </x:c>
      <x:c r="H490" s="24" t="n">
        <x:f>IFERROR('各站彙總來源'!H490/'各站彙總來源'!I490,"")</x:f>
        <x:v>1.5769230769230769</x:v>
      </x:c>
      <x:c r="I490" s="19" t="n">
        <x:f>'各站彙總來源'!I490</x:f>
        <x:v>26</x:v>
      </x:c>
      <x:c r="J490" s="24" t="n">
        <x:f>IFERROR('各站彙總來源'!J490/'各站彙總來源'!K490,"")</x:f>
        <x:v>10.576923076923077</x:v>
      </x:c>
      <x:c r="K490" s="19" t="n">
        <x:f>'各站彙總來源'!K490</x:f>
        <x:v>26</x:v>
      </x:c>
      <x:c r="L490" s="24" t="n">
        <x:f>IFERROR('各站彙總來源'!L490/'各站彙總來源'!M490,"")</x:f>
        <x:v>1.5</x:v>
      </x:c>
      <x:c r="M490" s="19" t="n">
        <x:f>'各站彙總來源'!M490</x:f>
        <x:v>26</x:v>
      </x:c>
      <x:c r="N490" s="24" t="n">
        <x:f>F490+H490</x:f>
        <x:v>15.692307692307692</x:v>
      </x:c>
      <x:c r="O490" s="24" t="n">
        <x:f>J490+L490</x:f>
        <x:v>12.076923076923077</x:v>
      </x:c>
    </x:row>
    <x:row r="491">
      <x:c r="A491" s="22" t="str">
        <x:v>500105009</x:v>
      </x:c>
      <x:c r="B491" s="17" t="str">
        <x:v>文山區</x:v>
      </x:c>
      <x:c r="C491" s="17" t="str">
        <x:v>景福街/羅斯福路6段142巷口</x:v>
      </x:c>
      <x:c r="D491" s="18" t="n">
        <x:v>26</x:v>
      </x:c>
      <x:c r="E491" s="18" t="n">
        <x:v>26</x:v>
      </x:c>
      <x:c r="F491" s="24" t="n">
        <x:f>IFERROR('各站彙總來源'!F491/'各站彙總來源'!G491,"")</x:f>
        <x:v>28.53846153846154</x:v>
      </x:c>
      <x:c r="G491" s="19" t="n">
        <x:f>'各站彙總來源'!G491</x:f>
        <x:v>26</x:v>
      </x:c>
      <x:c r="H491" s="24" t="n">
        <x:f>IFERROR('各站彙總來源'!H491/'各站彙總來源'!I491,"")</x:f>
        <x:v>3.6923076923076925</x:v>
      </x:c>
      <x:c r="I491" s="19" t="n">
        <x:f>'各站彙總來源'!I491</x:f>
        <x:v>26</x:v>
      </x:c>
      <x:c r="J491" s="24" t="n">
        <x:f>IFERROR('各站彙總來源'!J491/'各站彙總來源'!K491,"")</x:f>
        <x:v>12.76923076923077</x:v>
      </x:c>
      <x:c r="K491" s="19" t="n">
        <x:f>'各站彙總來源'!K491</x:f>
        <x:v>26</x:v>
      </x:c>
      <x:c r="L491" s="24" t="n">
        <x:f>IFERROR('各站彙總來源'!L491/'各站彙總來源'!M491,"")</x:f>
        <x:v>1.7692307692307692</x:v>
      </x:c>
      <x:c r="M491" s="19" t="n">
        <x:f>'各站彙總來源'!M491</x:f>
        <x:v>26</x:v>
      </x:c>
      <x:c r="N491" s="24" t="n">
        <x:f>F491+H491</x:f>
        <x:v>32.23076923076923</x:v>
      </x:c>
      <x:c r="O491" s="24" t="n">
        <x:f>J491+L491</x:f>
        <x:v>14.53846153846154</x:v>
      </x:c>
    </x:row>
    <x:row r="492">
      <x:c r="A492" s="22" t="str">
        <x:v>500105010</x:v>
      </x:c>
      <x:c r="B492" s="17" t="str">
        <x:v>文山區</x:v>
      </x:c>
      <x:c r="C492" s="17" t="str">
        <x:v>興旺公園</x:v>
      </x:c>
      <x:c r="D492" s="18" t="n">
        <x:v>26</x:v>
      </x:c>
      <x:c r="E492" s="18" t="n">
        <x:v>26</x:v>
      </x:c>
      <x:c r="F492" s="24" t="n">
        <x:f>IFERROR('各站彙總來源'!F492/'各站彙總來源'!G492,"")</x:f>
        <x:v>38.23076923076923</x:v>
      </x:c>
      <x:c r="G492" s="19" t="n">
        <x:f>'各站彙總來源'!G492</x:f>
        <x:v>26</x:v>
      </x:c>
      <x:c r="H492" s="24" t="n">
        <x:f>IFERROR('各站彙總來源'!H492/'各站彙總來源'!I492,"")</x:f>
        <x:v>7.615384615384615</x:v>
      </x:c>
      <x:c r="I492" s="19" t="n">
        <x:f>'各站彙總來源'!I492</x:f>
        <x:v>26</x:v>
      </x:c>
      <x:c r="J492" s="24" t="n">
        <x:f>IFERROR('各站彙總來源'!J492/'各站彙總來源'!K492,"")</x:f>
        <x:v>8.23076923076923</x:v>
      </x:c>
      <x:c r="K492" s="19" t="n">
        <x:f>'各站彙總來源'!K492</x:f>
        <x:v>26</x:v>
      </x:c>
      <x:c r="L492" s="24" t="n">
        <x:f>IFERROR('各站彙總來源'!L492/'各站彙總來源'!M492,"")</x:f>
        <x:v>1.3076923076923077</x:v>
      </x:c>
      <x:c r="M492" s="19" t="n">
        <x:f>'各站彙總來源'!M492</x:f>
        <x:v>26</x:v>
      </x:c>
      <x:c r="N492" s="24" t="n">
        <x:f>F492+H492</x:f>
        <x:v>45.84615384615385</x:v>
      </x:c>
      <x:c r="O492" s="24" t="n">
        <x:f>J492+L492</x:f>
        <x:v>9.538461538461538</x:v>
      </x:c>
    </x:row>
    <x:row r="493">
      <x:c r="A493" s="22" t="str">
        <x:v>500105011</x:v>
      </x:c>
      <x:c r="B493" s="17" t="str">
        <x:v>文山區</x:v>
      </x:c>
      <x:c r="C493" s="17" t="str">
        <x:v>興福國中</x:v>
      </x:c>
      <x:c r="D493" s="18" t="n">
        <x:v>26</x:v>
      </x:c>
      <x:c r="E493" s="18" t="n">
        <x:v>26</x:v>
      </x:c>
      <x:c r="F493" s="24" t="n">
        <x:f>IFERROR('各站彙總來源'!F493/'各站彙總來源'!G493,"")</x:f>
        <x:v>34.80769230769231</x:v>
      </x:c>
      <x:c r="G493" s="19" t="n">
        <x:f>'各站彙總來源'!G493</x:f>
        <x:v>26</x:v>
      </x:c>
      <x:c r="H493" s="24" t="n">
        <x:f>IFERROR('各站彙總來源'!H493/'各站彙總來源'!I493,"")</x:f>
        <x:v>4.115384615384615</x:v>
      </x:c>
      <x:c r="I493" s="19" t="n">
        <x:f>'各站彙總來源'!I493</x:f>
        <x:v>26</x:v>
      </x:c>
      <x:c r="J493" s="24" t="n">
        <x:f>IFERROR('各站彙總來源'!J493/'各站彙總來源'!K493,"")</x:f>
        <x:v>10.884615384615385</x:v>
      </x:c>
      <x:c r="K493" s="19" t="n">
        <x:f>'各站彙總來源'!K493</x:f>
        <x:v>26</x:v>
      </x:c>
      <x:c r="L493" s="24" t="n">
        <x:f>IFERROR('各站彙總來源'!L493/'各站彙總來源'!M493,"")</x:f>
        <x:v>1.0384615384615385</x:v>
      </x:c>
      <x:c r="M493" s="19" t="n">
        <x:f>'各站彙總來源'!M493</x:f>
        <x:v>26</x:v>
      </x:c>
      <x:c r="N493" s="24" t="n">
        <x:f>F493+H493</x:f>
        <x:v>38.92307692307692</x:v>
      </x:c>
      <x:c r="O493" s="24" t="n">
        <x:f>J493+L493</x:f>
        <x:v>11.923076923076923</x:v>
      </x:c>
    </x:row>
    <x:row r="494">
      <x:c r="A494" s="22" t="str">
        <x:v>500105012</x:v>
      </x:c>
      <x:c r="B494" s="17" t="str">
        <x:v>文山區</x:v>
      </x:c>
      <x:c r="C494" s="17" t="str">
        <x:v>興隆路2段203巷</x:v>
      </x:c>
      <x:c r="D494" s="18" t="n">
        <x:v>26</x:v>
      </x:c>
      <x:c r="E494" s="18" t="n">
        <x:v>26</x:v>
      </x:c>
      <x:c r="F494" s="24" t="n">
        <x:f>IFERROR('各站彙總來源'!F494/'各站彙總來源'!G494,"")</x:f>
        <x:v>38.38461538461539</x:v>
      </x:c>
      <x:c r="G494" s="19" t="n">
        <x:f>'各站彙總來源'!G494</x:f>
        <x:v>26</x:v>
      </x:c>
      <x:c r="H494" s="24" t="n">
        <x:f>IFERROR('各站彙總來源'!H494/'各站彙總來源'!I494,"")</x:f>
        <x:v>3.9615384615384617</x:v>
      </x:c>
      <x:c r="I494" s="19" t="n">
        <x:f>'各站彙總來源'!I494</x:f>
        <x:v>26</x:v>
      </x:c>
      <x:c r="J494" s="24" t="n">
        <x:f>IFERROR('各站彙總來源'!J494/'各站彙總來源'!K494,"")</x:f>
        <x:v>12.961538461538462</x:v>
      </x:c>
      <x:c r="K494" s="19" t="n">
        <x:f>'各站彙總來源'!K494</x:f>
        <x:v>26</x:v>
      </x:c>
      <x:c r="L494" s="24" t="n">
        <x:f>IFERROR('各站彙總來源'!L494/'各站彙總來源'!M494,"")</x:f>
        <x:v>1.6153846153846154</x:v>
      </x:c>
      <x:c r="M494" s="19" t="n">
        <x:f>'各站彙總來源'!M494</x:f>
        <x:v>26</x:v>
      </x:c>
      <x:c r="N494" s="24" t="n">
        <x:f>F494+H494</x:f>
        <x:v>42.34615384615385</x:v>
      </x:c>
      <x:c r="O494" s="24" t="n">
        <x:f>J494+L494</x:f>
        <x:v>14.576923076923077</x:v>
      </x:c>
    </x:row>
    <x:row r="495">
      <x:c r="A495" s="22" t="str">
        <x:v>500105013</x:v>
      </x:c>
      <x:c r="B495" s="17" t="str">
        <x:v>文山區</x:v>
      </x:c>
      <x:c r="C495" s="17" t="str">
        <x:v>景美運動公園</x:v>
      </x:c>
      <x:c r="D495" s="18" t="n">
        <x:v>26</x:v>
      </x:c>
      <x:c r="E495" s="18" t="n">
        <x:v>26</x:v>
      </x:c>
      <x:c r="F495" s="24" t="n">
        <x:f>IFERROR('各站彙總來源'!F495/'各站彙總來源'!G495,"")</x:f>
        <x:v>37.11538461538461</x:v>
      </x:c>
      <x:c r="G495" s="19" t="n">
        <x:f>'各站彙總來源'!G495</x:f>
        <x:v>26</x:v>
      </x:c>
      <x:c r="H495" s="24" t="n">
        <x:f>IFERROR('各站彙總來源'!H495/'各站彙總來源'!I495,"")</x:f>
        <x:v>1.5384615384615385</x:v>
      </x:c>
      <x:c r="I495" s="19" t="n">
        <x:f>'各站彙總來源'!I495</x:f>
        <x:v>26</x:v>
      </x:c>
      <x:c r="J495" s="24" t="n">
        <x:f>IFERROR('各站彙總來源'!J495/'各站彙總來源'!K495,"")</x:f>
        <x:v>8.423076923076923</x:v>
      </x:c>
      <x:c r="K495" s="19" t="n">
        <x:f>'各站彙總來源'!K495</x:f>
        <x:v>26</x:v>
      </x:c>
      <x:c r="L495" s="24" t="n">
        <x:f>IFERROR('各站彙總來源'!L495/'各站彙總來源'!M495,"")</x:f>
        <x:v>0.9615384615384616</x:v>
      </x:c>
      <x:c r="M495" s="19" t="n">
        <x:f>'各站彙總來源'!M495</x:f>
        <x:v>26</x:v>
      </x:c>
      <x:c r="N495" s="24" t="n">
        <x:f>F495+H495</x:f>
        <x:v>38.65384615384615</x:v>
      </x:c>
      <x:c r="O495" s="24" t="n">
        <x:f>J495+L495</x:f>
        <x:v>9.384615384615385</x:v>
      </x:c>
    </x:row>
    <x:row r="496">
      <x:c r="A496" s="22" t="str">
        <x:v>500105014</x:v>
      </x:c>
      <x:c r="B496" s="17" t="str">
        <x:v>文山區</x:v>
      </x:c>
      <x:c r="C496" s="17" t="str">
        <x:v>景美醫院</x:v>
      </x:c>
      <x:c r="D496" s="18" t="n">
        <x:v>26</x:v>
      </x:c>
      <x:c r="E496" s="18" t="n">
        <x:v>26</x:v>
      </x:c>
      <x:c r="F496" s="24" t="n">
        <x:f>IFERROR('各站彙總來源'!F496/'各站彙總來源'!G496,"")</x:f>
        <x:v>3.769230769230769</x:v>
      </x:c>
      <x:c r="G496" s="19" t="n">
        <x:f>'各站彙總來源'!G496</x:f>
        <x:v>26</x:v>
      </x:c>
      <x:c r="H496" s="24" t="n">
        <x:f>IFERROR('各站彙總來源'!H496/'各站彙總來源'!I496,"")</x:f>
        <x:v>0.8461538461538461</x:v>
      </x:c>
      <x:c r="I496" s="19" t="n">
        <x:f>'各站彙總來源'!I496</x:f>
        <x:v>26</x:v>
      </x:c>
      <x:c r="J496" s="24" t="n">
        <x:f>IFERROR('各站彙總來源'!J496/'各站彙總來源'!K496,"")</x:f>
        <x:v>6.730769230769231</x:v>
      </x:c>
      <x:c r="K496" s="19" t="n">
        <x:f>'各站彙總來源'!K496</x:f>
        <x:v>26</x:v>
      </x:c>
      <x:c r="L496" s="24" t="n">
        <x:f>IFERROR('各站彙總來源'!L496/'各站彙總來源'!M496,"")</x:f>
        <x:v>0.9615384615384616</x:v>
      </x:c>
      <x:c r="M496" s="19" t="n">
        <x:f>'各站彙總來源'!M496</x:f>
        <x:v>26</x:v>
      </x:c>
      <x:c r="N496" s="24" t="n">
        <x:f>F496+H496</x:f>
        <x:v>4.615384615384615</x:v>
      </x:c>
      <x:c r="O496" s="24" t="n">
        <x:f>J496+L496</x:f>
        <x:v>7.6923076923076925</x:v>
      </x:c>
    </x:row>
    <x:row r="497">
      <x:c r="A497" s="22" t="str">
        <x:v>500105015</x:v>
      </x:c>
      <x:c r="B497" s="17" t="str">
        <x:v>文山區</x:v>
      </x:c>
      <x:c r="C497" s="17" t="str">
        <x:v>師範大學公館校區</x:v>
      </x:c>
      <x:c r="D497" s="18" t="n">
        <x:v>26</x:v>
      </x:c>
      <x:c r="E497" s="18" t="n">
        <x:v>26</x:v>
      </x:c>
      <x:c r="F497" s="24" t="n">
        <x:f>IFERROR('各站彙總來源'!F497/'各站彙總來源'!G497,"")</x:f>
        <x:v>6.884615384615385</x:v>
      </x:c>
      <x:c r="G497" s="19" t="n">
        <x:f>'各站彙總來源'!G497</x:f>
        <x:v>26</x:v>
      </x:c>
      <x:c r="H497" s="24" t="n">
        <x:f>IFERROR('各站彙總來源'!H497/'各站彙總來源'!I497,"")</x:f>
        <x:v>1.3076923076923077</x:v>
      </x:c>
      <x:c r="I497" s="19" t="n">
        <x:f>'各站彙總來源'!I497</x:f>
        <x:v>26</x:v>
      </x:c>
      <x:c r="J497" s="24" t="n">
        <x:f>IFERROR('各站彙總來源'!J497/'各站彙總來源'!K497,"")</x:f>
        <x:v>8.346153846153847</x:v>
      </x:c>
      <x:c r="K497" s="19" t="n">
        <x:f>'各站彙總來源'!K497</x:f>
        <x:v>26</x:v>
      </x:c>
      <x:c r="L497" s="24" t="n">
        <x:f>IFERROR('各站彙總來源'!L497/'各站彙總來源'!M497,"")</x:f>
        <x:v>1.9615384615384615</x:v>
      </x:c>
      <x:c r="M497" s="19" t="n">
        <x:f>'各站彙總來源'!M497</x:f>
        <x:v>26</x:v>
      </x:c>
      <x:c r="N497" s="24" t="n">
        <x:f>F497+H497</x:f>
        <x:v>8.192307692307693</x:v>
      </x:c>
      <x:c r="O497" s="24" t="n">
        <x:f>J497+L497</x:f>
        <x:v>10.307692307692308</x:v>
      </x:c>
    </x:row>
    <x:row r="498">
      <x:c r="A498" s="22" t="str">
        <x:v>500105016</x:v>
      </x:c>
      <x:c r="B498" s="17" t="str">
        <x:v>文山區</x:v>
      </x:c>
      <x:c r="C498" s="17" t="str">
        <x:v>景華街128巷口</x:v>
      </x:c>
      <x:c r="D498" s="18" t="n">
        <x:v>26</x:v>
      </x:c>
      <x:c r="E498" s="18" t="n">
        <x:v>26</x:v>
      </x:c>
      <x:c r="F498" s="24" t="n">
        <x:f>IFERROR('各站彙總來源'!F498/'各站彙總來源'!G498,"")</x:f>
        <x:v>36.61538461538461</x:v>
      </x:c>
      <x:c r="G498" s="19" t="n">
        <x:f>'各站彙總來源'!G498</x:f>
        <x:v>26</x:v>
      </x:c>
      <x:c r="H498" s="24" t="n">
        <x:f>IFERROR('各站彙總來源'!H498/'各站彙總來源'!I498,"")</x:f>
        <x:v>3.5</x:v>
      </x:c>
      <x:c r="I498" s="19" t="n">
        <x:f>'各站彙總來源'!I498</x:f>
        <x:v>26</x:v>
      </x:c>
      <x:c r="J498" s="24" t="n">
        <x:f>IFERROR('各站彙總來源'!J498/'各站彙總來源'!K498,"")</x:f>
        <x:v>6.615384615384615</x:v>
      </x:c>
      <x:c r="K498" s="19" t="n">
        <x:f>'各站彙總來源'!K498</x:f>
        <x:v>26</x:v>
      </x:c>
      <x:c r="L498" s="24" t="n">
        <x:f>IFERROR('各站彙總來源'!L498/'各站彙總來源'!M498,"")</x:f>
        <x:v>1.1923076923076923</x:v>
      </x:c>
      <x:c r="M498" s="19" t="n">
        <x:f>'各站彙總來源'!M498</x:f>
        <x:v>26</x:v>
      </x:c>
      <x:c r="N498" s="24" t="n">
        <x:f>F498+H498</x:f>
        <x:v>40.11538461538461</x:v>
      </x:c>
      <x:c r="O498" s="24" t="n">
        <x:f>J498+L498</x:f>
        <x:v>7.8076923076923075</x:v>
      </x:c>
    </x:row>
    <x:row r="499">
      <x:c r="A499" s="22" t="str">
        <x:v>500105017</x:v>
      </x:c>
      <x:c r="B499" s="17" t="str">
        <x:v>文山區</x:v>
      </x:c>
      <x:c r="C499" s="17" t="str">
        <x:v>仙跡岩登山口(景興路)</x:v>
      </x:c>
      <x:c r="D499" s="18" t="n">
        <x:v>26</x:v>
      </x:c>
      <x:c r="E499" s="18" t="n">
        <x:v>26</x:v>
      </x:c>
      <x:c r="F499" s="24" t="n">
        <x:f>IFERROR('各站彙總來源'!F499/'各站彙總來源'!G499,"")</x:f>
        <x:v>7.730769230769231</x:v>
      </x:c>
      <x:c r="G499" s="19" t="n">
        <x:f>'各站彙總來源'!G499</x:f>
        <x:v>26</x:v>
      </x:c>
      <x:c r="H499" s="24" t="n">
        <x:f>IFERROR('各站彙總來源'!H499/'各站彙總來源'!I499,"")</x:f>
        <x:v>1.1153846153846154</x:v>
      </x:c>
      <x:c r="I499" s="19" t="n">
        <x:f>'各站彙總來源'!I499</x:f>
        <x:v>26</x:v>
      </x:c>
      <x:c r="J499" s="24" t="n">
        <x:f>IFERROR('各站彙總來源'!J499/'各站彙總來源'!K499,"")</x:f>
        <x:v>7.076923076923077</x:v>
      </x:c>
      <x:c r="K499" s="19" t="n">
        <x:f>'各站彙總來源'!K499</x:f>
        <x:v>26</x:v>
      </x:c>
      <x:c r="L499" s="24" t="n">
        <x:f>IFERROR('各站彙總來源'!L499/'各站彙總來源'!M499,"")</x:f>
        <x:v>1.2692307692307692</x:v>
      </x:c>
      <x:c r="M499" s="19" t="n">
        <x:f>'各站彙總來源'!M499</x:f>
        <x:v>26</x:v>
      </x:c>
      <x:c r="N499" s="24" t="n">
        <x:f>F499+H499</x:f>
        <x:v>8.846153846153847</x:v>
      </x:c>
      <x:c r="O499" s="24" t="n">
        <x:f>J499+L499</x:f>
        <x:v>8.346153846153847</x:v>
      </x:c>
    </x:row>
    <x:row r="500">
      <x:c r="A500" s="22" t="str">
        <x:v>500105018</x:v>
      </x:c>
      <x:c r="B500" s="17" t="str">
        <x:v>文山區</x:v>
      </x:c>
      <x:c r="C500" s="17" t="str">
        <x:v>國立政治大學</x:v>
      </x:c>
      <x:c r="D500" s="18" t="n">
        <x:v>26</x:v>
      </x:c>
      <x:c r="E500" s="18" t="n">
        <x:v>26</x:v>
      </x:c>
      <x:c r="F500" s="24" t="n">
        <x:f>IFERROR('各站彙總來源'!F500/'各站彙總來源'!G500,"")</x:f>
        <x:v>14.307692307692308</x:v>
      </x:c>
      <x:c r="G500" s="19" t="n">
        <x:f>'各站彙總來源'!G500</x:f>
        <x:v>26</x:v>
      </x:c>
      <x:c r="H500" s="24" t="n">
        <x:f>IFERROR('各站彙總來源'!H500/'各站彙總來源'!I500,"")</x:f>
        <x:v>3.6923076923076925</x:v>
      </x:c>
      <x:c r="I500" s="19" t="n">
        <x:f>'各站彙總來源'!I500</x:f>
        <x:v>26</x:v>
      </x:c>
      <x:c r="J500" s="24" t="n">
        <x:f>IFERROR('各站彙總來源'!J500/'各站彙總來源'!K500,"")</x:f>
        <x:v>37.23076923076923</x:v>
      </x:c>
      <x:c r="K500" s="19" t="n">
        <x:f>'各站彙總來源'!K500</x:f>
        <x:v>26</x:v>
      </x:c>
      <x:c r="L500" s="24" t="n">
        <x:f>IFERROR('各站彙總來源'!L500/'各站彙總來源'!M500,"")</x:f>
        <x:v>6.653846153846154</x:v>
      </x:c>
      <x:c r="M500" s="19" t="n">
        <x:f>'各站彙總來源'!M500</x:f>
        <x:v>26</x:v>
      </x:c>
      <x:c r="N500" s="24" t="n">
        <x:f>F500+H500</x:f>
        <x:v>18</x:v>
      </x:c>
      <x:c r="O500" s="24" t="n">
        <x:f>J500+L500</x:f>
        <x:v>43.88461538461539</x:v>
      </x:c>
    </x:row>
    <x:row r="501">
      <x:c r="A501" s="22" t="str">
        <x:v>500105019</x:v>
      </x:c>
      <x:c r="B501" s="17" t="str">
        <x:v>文山區</x:v>
      </x:c>
      <x:c r="C501" s="17" t="str">
        <x:v>捷運動物園站</x:v>
      </x:c>
      <x:c r="D501" s="18" t="n">
        <x:v>26</x:v>
      </x:c>
      <x:c r="E501" s="18" t="n">
        <x:v>26</x:v>
      </x:c>
      <x:c r="F501" s="24" t="n">
        <x:f>IFERROR('各站彙總來源'!F501/'各站彙總來源'!G501,"")</x:f>
        <x:v>11.038461538461538</x:v>
      </x:c>
      <x:c r="G501" s="19" t="n">
        <x:f>'各站彙總來源'!G501</x:f>
        <x:v>26</x:v>
      </x:c>
      <x:c r="H501" s="24" t="n">
        <x:f>IFERROR('各站彙總來源'!H501/'各站彙總來源'!I501,"")</x:f>
        <x:v>1.3461538461538463</x:v>
      </x:c>
      <x:c r="I501" s="19" t="n">
        <x:f>'各站彙總來源'!I501</x:f>
        <x:v>26</x:v>
      </x:c>
      <x:c r="J501" s="24" t="n">
        <x:f>IFERROR('各站彙總來源'!J501/'各站彙總來源'!K501,"")</x:f>
        <x:v>7.6923076923076925</x:v>
      </x:c>
      <x:c r="K501" s="19" t="n">
        <x:f>'各站彙總來源'!K501</x:f>
        <x:v>26</x:v>
      </x:c>
      <x:c r="L501" s="24" t="n">
        <x:f>IFERROR('各站彙總來源'!L501/'各站彙總來源'!M501,"")</x:f>
        <x:v>2.769230769230769</x:v>
      </x:c>
      <x:c r="M501" s="19" t="n">
        <x:f>'各站彙總來源'!M501</x:f>
        <x:v>26</x:v>
      </x:c>
      <x:c r="N501" s="24" t="n">
        <x:f>F501+H501</x:f>
        <x:v>12.384615384615385</x:v>
      </x:c>
      <x:c r="O501" s="24" t="n">
        <x:f>J501+L501</x:f>
        <x:v>10.461538461538462</x:v>
      </x:c>
    </x:row>
    <x:row r="502">
      <x:c r="A502" s="22" t="str">
        <x:v>500105020</x:v>
      </x:c>
      <x:c r="B502" s="17" t="str">
        <x:v>文山區</x:v>
      </x:c>
      <x:c r="C502" s="17" t="str">
        <x:v>捷運木柵站</x:v>
      </x:c>
      <x:c r="D502" s="18" t="n">
        <x:v>26</x:v>
      </x:c>
      <x:c r="E502" s="18" t="n">
        <x:v>26</x:v>
      </x:c>
      <x:c r="F502" s="24" t="n">
        <x:f>IFERROR('各站彙總來源'!F502/'各站彙總來源'!G502,"")</x:f>
        <x:v>6</x:v>
      </x:c>
      <x:c r="G502" s="19" t="n">
        <x:f>'各站彙總來源'!G502</x:f>
        <x:v>26</x:v>
      </x:c>
      <x:c r="H502" s="24" t="n">
        <x:f>IFERROR('各站彙總來源'!H502/'各站彙總來源'!I502,"")</x:f>
        <x:v>2.1153846153846154</x:v>
      </x:c>
      <x:c r="I502" s="19" t="n">
        <x:f>'各站彙總來源'!I502</x:f>
        <x:v>26</x:v>
      </x:c>
      <x:c r="J502" s="24" t="n">
        <x:f>IFERROR('各站彙總來源'!J502/'各站彙總來源'!K502,"")</x:f>
        <x:v>10.653846153846153</x:v>
      </x:c>
      <x:c r="K502" s="19" t="n">
        <x:f>'各站彙總來源'!K502</x:f>
        <x:v>26</x:v>
      </x:c>
      <x:c r="L502" s="24" t="n">
        <x:f>IFERROR('各站彙總來源'!L502/'各站彙總來源'!M502,"")</x:f>
        <x:v>4.730769230769231</x:v>
      </x:c>
      <x:c r="M502" s="19" t="n">
        <x:f>'各站彙總來源'!M502</x:f>
        <x:v>26</x:v>
      </x:c>
      <x:c r="N502" s="24" t="n">
        <x:f>F502+H502</x:f>
        <x:v>8.115384615384615</x:v>
      </x:c>
      <x:c r="O502" s="24" t="n">
        <x:f>J502+L502</x:f>
        <x:v>15.384615384615383</x:v>
      </x:c>
    </x:row>
    <x:row r="503">
      <x:c r="A503" s="22" t="str">
        <x:v>500105021</x:v>
      </x:c>
      <x:c r="B503" s="17" t="str">
        <x:v>文山區</x:v>
      </x:c>
      <x:c r="C503" s="17" t="str">
        <x:v>捷運萬芳社區站</x:v>
      </x:c>
      <x:c r="D503" s="18" t="n">
        <x:v>26</x:v>
      </x:c>
      <x:c r="E503" s="18" t="n">
        <x:v>26</x:v>
      </x:c>
      <x:c r="F503" s="24" t="n">
        <x:f>IFERROR('各站彙總來源'!F503/'各站彙總來源'!G503,"")</x:f>
        <x:v>6.576923076923077</x:v>
      </x:c>
      <x:c r="G503" s="19" t="n">
        <x:f>'各站彙總來源'!G503</x:f>
        <x:v>26</x:v>
      </x:c>
      <x:c r="H503" s="24" t="n">
        <x:f>IFERROR('各站彙總來源'!H503/'各站彙總來源'!I503,"")</x:f>
        <x:v>1.3461538461538463</x:v>
      </x:c>
      <x:c r="I503" s="19" t="n">
        <x:f>'各站彙總來源'!I503</x:f>
        <x:v>26</x:v>
      </x:c>
      <x:c r="J503" s="24" t="n">
        <x:f>IFERROR('各站彙總來源'!J503/'各站彙總來源'!K503,"")</x:f>
        <x:v>6.769230769230769</x:v>
      </x:c>
      <x:c r="K503" s="19" t="n">
        <x:f>'各站彙總來源'!K503</x:f>
        <x:v>26</x:v>
      </x:c>
      <x:c r="L503" s="24" t="n">
        <x:f>IFERROR('各站彙總來源'!L503/'各站彙總來源'!M503,"")</x:f>
        <x:v>1.0769230769230769</x:v>
      </x:c>
      <x:c r="M503" s="19" t="n">
        <x:f>'各站彙總來源'!M503</x:f>
        <x:v>26</x:v>
      </x:c>
      <x:c r="N503" s="24" t="n">
        <x:f>F503+H503</x:f>
        <x:v>7.923076923076923</x:v>
      </x:c>
      <x:c r="O503" s="24" t="n">
        <x:f>J503+L503</x:f>
        <x:v>7.846153846153846</x:v>
      </x:c>
    </x:row>
    <x:row r="504">
      <x:c r="A504" s="22" t="str">
        <x:v>500105022</x:v>
      </x:c>
      <x:c r="B504" s="17" t="str">
        <x:v>文山區</x:v>
      </x:c>
      <x:c r="C504" s="17" t="str">
        <x:v>文山運動中心</x:v>
      </x:c>
      <x:c r="D504" s="18" t="n">
        <x:v>26</x:v>
      </x:c>
      <x:c r="E504" s="18" t="n">
        <x:v>26</x:v>
      </x:c>
      <x:c r="F504" s="24" t="n">
        <x:f>IFERROR('各站彙總來源'!F504/'各站彙總來源'!G504,"")</x:f>
        <x:v>10.73076923076923</x:v>
      </x:c>
      <x:c r="G504" s="19" t="n">
        <x:f>'各站彙總來源'!G504</x:f>
        <x:v>26</x:v>
      </x:c>
      <x:c r="H504" s="24" t="n">
        <x:f>IFERROR('各站彙總來源'!H504/'各站彙總來源'!I504,"")</x:f>
        <x:v>2.3461538461538463</x:v>
      </x:c>
      <x:c r="I504" s="19" t="n">
        <x:f>'各站彙總來源'!I504</x:f>
        <x:v>26</x:v>
      </x:c>
      <x:c r="J504" s="24" t="n">
        <x:f>IFERROR('各站彙總來源'!J504/'各站彙總來源'!K504,"")</x:f>
        <x:v>17.26923076923077</x:v>
      </x:c>
      <x:c r="K504" s="19" t="n">
        <x:f>'各站彙總來源'!K504</x:f>
        <x:v>26</x:v>
      </x:c>
      <x:c r="L504" s="24" t="n">
        <x:f>IFERROR('各站彙總來源'!L504/'各站彙總來源'!M504,"")</x:f>
        <x:v>3.5</x:v>
      </x:c>
      <x:c r="M504" s="19" t="n">
        <x:f>'各站彙總來源'!M504</x:f>
        <x:v>26</x:v>
      </x:c>
      <x:c r="N504" s="24" t="n">
        <x:f>F504+H504</x:f>
        <x:v>13.076923076923077</x:v>
      </x:c>
      <x:c r="O504" s="24" t="n">
        <x:f>J504+L504</x:f>
        <x:v>20.76923076923077</x:v>
      </x:c>
    </x:row>
    <x:row r="505">
      <x:c r="A505" s="22" t="str">
        <x:v>500105023</x:v>
      </x:c>
      <x:c r="B505" s="17" t="str">
        <x:v>文山區</x:v>
      </x:c>
      <x:c r="C505" s="17" t="str">
        <x:v>捷運辛亥站</x:v>
      </x:c>
      <x:c r="D505" s="18" t="n">
        <x:v>26</x:v>
      </x:c>
      <x:c r="E505" s="18" t="n">
        <x:v>26</x:v>
      </x:c>
      <x:c r="F505" s="24" t="n">
        <x:f>IFERROR('各站彙總來源'!F505/'各站彙總來源'!G505,"")</x:f>
        <x:v>10.346153846153847</x:v>
      </x:c>
      <x:c r="G505" s="19" t="n">
        <x:f>'各站彙總來源'!G505</x:f>
        <x:v>26</x:v>
      </x:c>
      <x:c r="H505" s="24" t="n">
        <x:f>IFERROR('各站彙總來源'!H505/'各站彙總來源'!I505,"")</x:f>
        <x:v>0.8846153846153846</x:v>
      </x:c>
      <x:c r="I505" s="19" t="n">
        <x:f>'各站彙總來源'!I505</x:f>
        <x:v>26</x:v>
      </x:c>
      <x:c r="J505" s="24" t="n">
        <x:f>IFERROR('各站彙總來源'!J505/'各站彙總來源'!K505,"")</x:f>
        <x:v>29.192307692307693</x:v>
      </x:c>
      <x:c r="K505" s="19" t="n">
        <x:f>'各站彙總來源'!K505</x:f>
        <x:v>26</x:v>
      </x:c>
      <x:c r="L505" s="24" t="n">
        <x:f>IFERROR('各站彙總來源'!L505/'各站彙總來源'!M505,"")</x:f>
        <x:v>3.6538461538461537</x:v>
      </x:c>
      <x:c r="M505" s="19" t="n">
        <x:f>'各站彙總來源'!M505</x:f>
        <x:v>26</x:v>
      </x:c>
      <x:c r="N505" s="24" t="n">
        <x:f>F505+H505</x:f>
        <x:v>11.230769230769232</x:v>
      </x:c>
      <x:c r="O505" s="24" t="n">
        <x:f>J505+L505</x:f>
        <x:v>32.84615384615385</x:v>
      </x:c>
    </x:row>
    <x:row r="506">
      <x:c r="A506" s="22" t="str">
        <x:v>500105024</x:v>
      </x:c>
      <x:c r="B506" s="17" t="str">
        <x:v>文山區</x:v>
      </x:c>
      <x:c r="C506" s="17" t="str">
        <x:v>興豐公園</x:v>
      </x:c>
      <x:c r="D506" s="18" t="n">
        <x:v>26</x:v>
      </x:c>
      <x:c r="E506" s="18" t="n">
        <x:v>26</x:v>
      </x:c>
      <x:c r="F506" s="24" t="n">
        <x:f>IFERROR('各站彙總來源'!F506/'各站彙總來源'!G506,"")</x:f>
        <x:v>15.615384615384615</x:v>
      </x:c>
      <x:c r="G506" s="19" t="n">
        <x:f>'各站彙總來源'!G506</x:f>
        <x:v>26</x:v>
      </x:c>
      <x:c r="H506" s="24" t="n">
        <x:f>IFERROR('各站彙總來源'!H506/'各站彙總來源'!I506,"")</x:f>
        <x:v>1.4615384615384615</x:v>
      </x:c>
      <x:c r="I506" s="19" t="n">
        <x:f>'各站彙總來源'!I506</x:f>
        <x:v>26</x:v>
      </x:c>
      <x:c r="J506" s="24" t="n">
        <x:f>IFERROR('各站彙總來源'!J506/'各站彙總來源'!K506,"")</x:f>
        <x:v>10.884615384615385</x:v>
      </x:c>
      <x:c r="K506" s="19" t="n">
        <x:f>'各站彙總來源'!K506</x:f>
        <x:v>26</x:v>
      </x:c>
      <x:c r="L506" s="24" t="n">
        <x:f>IFERROR('各站彙總來源'!L506/'各站彙總來源'!M506,"")</x:f>
        <x:v>1.4230769230769231</x:v>
      </x:c>
      <x:c r="M506" s="19" t="n">
        <x:f>'各站彙總來源'!M506</x:f>
        <x:v>26</x:v>
      </x:c>
      <x:c r="N506" s="24" t="n">
        <x:f>F506+H506</x:f>
        <x:v>17.076923076923077</x:v>
      </x:c>
      <x:c r="O506" s="24" t="n">
        <x:f>J506+L506</x:f>
        <x:v>12.307692307692308</x:v>
      </x:c>
    </x:row>
    <x:row r="507">
      <x:c r="A507" s="22" t="str">
        <x:v>500105025</x:v>
      </x:c>
      <x:c r="B507" s="17" t="str">
        <x:v>文山區</x:v>
      </x:c>
      <x:c r="C507" s="17" t="str">
        <x:v>木柵光輝路口</x:v>
      </x:c>
      <x:c r="D507" s="18" t="n">
        <x:v>26</x:v>
      </x:c>
      <x:c r="E507" s="18" t="n">
        <x:v>26</x:v>
      </x:c>
      <x:c r="F507" s="24" t="n">
        <x:f>IFERROR('各站彙總來源'!F507/'各站彙總來源'!G507,"")</x:f>
        <x:v>17.03846153846154</x:v>
      </x:c>
      <x:c r="G507" s="19" t="n">
        <x:f>'各站彙總來源'!G507</x:f>
        <x:v>26</x:v>
      </x:c>
      <x:c r="H507" s="24" t="n">
        <x:f>IFERROR('各站彙總來源'!H507/'各站彙總來源'!I507,"")</x:f>
        <x:v>2.3846153846153846</x:v>
      </x:c>
      <x:c r="I507" s="19" t="n">
        <x:f>'各站彙總來源'!I507</x:f>
        <x:v>26</x:v>
      </x:c>
      <x:c r="J507" s="24" t="n">
        <x:f>IFERROR('各站彙總來源'!J507/'各站彙總來源'!K507,"")</x:f>
        <x:v>15.615384615384615</x:v>
      </x:c>
      <x:c r="K507" s="19" t="n">
        <x:f>'各站彙總來源'!K507</x:f>
        <x:v>26</x:v>
      </x:c>
      <x:c r="L507" s="24" t="n">
        <x:f>IFERROR('各站彙總來源'!L507/'各站彙總來源'!M507,"")</x:f>
        <x:v>1.7692307692307692</x:v>
      </x:c>
      <x:c r="M507" s="19" t="n">
        <x:f>'各站彙總來源'!M507</x:f>
        <x:v>26</x:v>
      </x:c>
      <x:c r="N507" s="24" t="n">
        <x:f>F507+H507</x:f>
        <x:v>19.423076923076923</x:v>
      </x:c>
      <x:c r="O507" s="24" t="n">
        <x:f>J507+L507</x:f>
        <x:v>17.384615384615383</x:v>
      </x:c>
    </x:row>
    <x:row r="508">
      <x:c r="A508" s="22" t="str">
        <x:v>500105026</x:v>
      </x:c>
      <x:c r="B508" s="17" t="str">
        <x:v>文山區</x:v>
      </x:c>
      <x:c r="C508" s="17" t="str">
        <x:v>考試院</x:v>
      </x:c>
      <x:c r="D508" s="18" t="n">
        <x:v>26</x:v>
      </x:c>
      <x:c r="E508" s="18" t="n">
        <x:v>26</x:v>
      </x:c>
      <x:c r="F508" s="24" t="n">
        <x:f>IFERROR('各站彙總來源'!F508/'各站彙總來源'!G508,"")</x:f>
        <x:v>11.038461538461538</x:v>
      </x:c>
      <x:c r="G508" s="19" t="n">
        <x:f>'各站彙總來源'!G508</x:f>
        <x:v>26</x:v>
      </x:c>
      <x:c r="H508" s="24" t="n">
        <x:f>IFERROR('各站彙總來源'!H508/'各站彙總來源'!I508,"")</x:f>
        <x:v>1.8076923076923077</x:v>
      </x:c>
      <x:c r="I508" s="19" t="n">
        <x:f>'各站彙總來源'!I508</x:f>
        <x:v>26</x:v>
      </x:c>
      <x:c r="J508" s="24" t="n">
        <x:f>IFERROR('各站彙總來源'!J508/'各站彙總來源'!K508,"")</x:f>
        <x:v>12.346153846153847</x:v>
      </x:c>
      <x:c r="K508" s="19" t="n">
        <x:f>'各站彙總來源'!K508</x:f>
        <x:v>26</x:v>
      </x:c>
      <x:c r="L508" s="24" t="n">
        <x:f>IFERROR('各站彙總來源'!L508/'各站彙總來源'!M508,"")</x:f>
        <x:v>2.6153846153846154</x:v>
      </x:c>
      <x:c r="M508" s="19" t="n">
        <x:f>'各站彙總來源'!M508</x:f>
        <x:v>26</x:v>
      </x:c>
      <x:c r="N508" s="24" t="n">
        <x:f>F508+H508</x:f>
        <x:v>12.846153846153847</x:v>
      </x:c>
      <x:c r="O508" s="24" t="n">
        <x:f>J508+L508</x:f>
        <x:v>14.961538461538462</x:v>
      </x:c>
    </x:row>
    <x:row r="509">
      <x:c r="A509" s="22" t="str">
        <x:v>500105027</x:v>
      </x:c>
      <x:c r="B509" s="17" t="str">
        <x:v>文山區</x:v>
      </x:c>
      <x:c r="C509" s="17" t="str">
        <x:v>和興路26巷口</x:v>
      </x:c>
      <x:c r="D509" s="18" t="n">
        <x:v>26</x:v>
      </x:c>
      <x:c r="E509" s="18" t="n">
        <x:v>26</x:v>
      </x:c>
      <x:c r="F509" s="24" t="n">
        <x:f>IFERROR('各站彙總來源'!F509/'各站彙總來源'!G509,"")</x:f>
        <x:v>19.76923076923077</x:v>
      </x:c>
      <x:c r="G509" s="19" t="n">
        <x:f>'各站彙總來源'!G509</x:f>
        <x:v>26</x:v>
      </x:c>
      <x:c r="H509" s="24" t="n">
        <x:f>IFERROR('各站彙總來源'!H509/'各站彙總來源'!I509,"")</x:f>
        <x:v>4.230769230769231</x:v>
      </x:c>
      <x:c r="I509" s="19" t="n">
        <x:f>'各站彙總來源'!I509</x:f>
        <x:v>26</x:v>
      </x:c>
      <x:c r="J509" s="24" t="n">
        <x:f>IFERROR('各站彙總來源'!J509/'各站彙總來源'!K509,"")</x:f>
        <x:v>4.346153846153846</x:v>
      </x:c>
      <x:c r="K509" s="19" t="n">
        <x:f>'各站彙總來源'!K509</x:f>
        <x:v>26</x:v>
      </x:c>
      <x:c r="L509" s="24" t="n">
        <x:f>IFERROR('各站彙總來源'!L509/'各站彙總來源'!M509,"")</x:f>
        <x:v>0.6923076923076923</x:v>
      </x:c>
      <x:c r="M509" s="19" t="n">
        <x:f>'各站彙總來源'!M509</x:f>
        <x:v>26</x:v>
      </x:c>
      <x:c r="N509" s="24" t="n">
        <x:f>F509+H509</x:f>
        <x:v>24</x:v>
      </x:c>
      <x:c r="O509" s="24" t="n">
        <x:f>J509+L509</x:f>
        <x:v>5.038461538461538</x:v>
      </x:c>
    </x:row>
    <x:row r="510">
      <x:c r="A510" s="22" t="str">
        <x:v>500105028</x:v>
      </x:c>
      <x:c r="B510" s="17" t="str">
        <x:v>文山區</x:v>
      </x:c>
      <x:c r="C510" s="17" t="str">
        <x:v>世新大學</x:v>
      </x:c>
      <x:c r="D510" s="18" t="n">
        <x:v>26</x:v>
      </x:c>
      <x:c r="E510" s="18" t="n">
        <x:v>26</x:v>
      </x:c>
      <x:c r="F510" s="24" t="n">
        <x:f>IFERROR('各站彙總來源'!F510/'各站彙總來源'!G510,"")</x:f>
        <x:v>7.269230769230769</x:v>
      </x:c>
      <x:c r="G510" s="19" t="n">
        <x:f>'各站彙總來源'!G510</x:f>
        <x:v>26</x:v>
      </x:c>
      <x:c r="H510" s="24" t="n">
        <x:f>IFERROR('各站彙總來源'!H510/'各站彙總來源'!I510,"")</x:f>
        <x:v>1.1923076923076923</x:v>
      </x:c>
      <x:c r="I510" s="19" t="n">
        <x:f>'各站彙總來源'!I510</x:f>
        <x:v>26</x:v>
      </x:c>
      <x:c r="J510" s="24" t="n">
        <x:f>IFERROR('各站彙總來源'!J510/'各站彙總來源'!K510,"")</x:f>
        <x:v>19.384615384615383</x:v>
      </x:c>
      <x:c r="K510" s="19" t="n">
        <x:f>'各站彙總來源'!K510</x:f>
        <x:v>26</x:v>
      </x:c>
      <x:c r="L510" s="24" t="n">
        <x:f>IFERROR('各站彙總來源'!L510/'各站彙總來源'!M510,"")</x:f>
        <x:v>3.1153846153846154</x:v>
      </x:c>
      <x:c r="M510" s="19" t="n">
        <x:f>'各站彙總來源'!M510</x:f>
        <x:v>26</x:v>
      </x:c>
      <x:c r="N510" s="24" t="n">
        <x:f>F510+H510</x:f>
        <x:v>8.461538461538462</x:v>
      </x:c>
      <x:c r="O510" s="24" t="n">
        <x:f>J510+L510</x:f>
        <x:v>22.5</x:v>
      </x:c>
    </x:row>
    <x:row r="511">
      <x:c r="A511" s="22" t="str">
        <x:v>500105029</x:v>
      </x:c>
      <x:c r="B511" s="17" t="str">
        <x:v>文山區</x:v>
      </x:c>
      <x:c r="C511" s="17" t="str">
        <x:v>一壽橋</x:v>
      </x:c>
      <x:c r="D511" s="18" t="n">
        <x:v>26</x:v>
      </x:c>
      <x:c r="E511" s="18" t="n">
        <x:v>26</x:v>
      </x:c>
      <x:c r="F511" s="24" t="n">
        <x:f>IFERROR('各站彙總來源'!F511/'各站彙總來源'!G511,"")</x:f>
        <x:v>15.423076923076923</x:v>
      </x:c>
      <x:c r="G511" s="19" t="n">
        <x:f>'各站彙總來源'!G511</x:f>
        <x:v>26</x:v>
      </x:c>
      <x:c r="H511" s="24" t="n">
        <x:f>IFERROR('各站彙總來源'!H511/'各站彙總來源'!I511,"")</x:f>
        <x:v>2.3461538461538463</x:v>
      </x:c>
      <x:c r="I511" s="19" t="n">
        <x:f>'各站彙總來源'!I511</x:f>
        <x:v>26</x:v>
      </x:c>
      <x:c r="J511" s="24" t="n">
        <x:f>IFERROR('各站彙總來源'!J511/'各站彙總來源'!K511,"")</x:f>
        <x:v>9.884615384615385</x:v>
      </x:c>
      <x:c r="K511" s="19" t="n">
        <x:f>'各站彙總來源'!K511</x:f>
        <x:v>26</x:v>
      </x:c>
      <x:c r="L511" s="24" t="n">
        <x:f>IFERROR('各站彙總來源'!L511/'各站彙總來源'!M511,"")</x:f>
        <x:v>1.5</x:v>
      </x:c>
      <x:c r="M511" s="19" t="n">
        <x:f>'各站彙總來源'!M511</x:f>
        <x:v>26</x:v>
      </x:c>
      <x:c r="N511" s="24" t="n">
        <x:f>F511+H511</x:f>
        <x:v>17.76923076923077</x:v>
      </x:c>
      <x:c r="O511" s="24" t="n">
        <x:f>J511+L511</x:f>
        <x:v>11.384615384615385</x:v>
      </x:c>
    </x:row>
    <x:row r="512">
      <x:c r="A512" s="22" t="str">
        <x:v>500105030</x:v>
      </x:c>
      <x:c r="B512" s="17" t="str">
        <x:v>文山區</x:v>
      </x:c>
      <x:c r="C512" s="17" t="str">
        <x:v>臺北市立景美女中</x:v>
      </x:c>
      <x:c r="D512" s="18" t="n">
        <x:v>26</x:v>
      </x:c>
      <x:c r="E512" s="18" t="n">
        <x:v>26</x:v>
      </x:c>
      <x:c r="F512" s="24" t="n">
        <x:f>IFERROR('各站彙總來源'!F512/'各站彙總來源'!G512,"")</x:f>
        <x:v>6.269230769230769</x:v>
      </x:c>
      <x:c r="G512" s="19" t="n">
        <x:f>'各站彙總來源'!G512</x:f>
        <x:v>26</x:v>
      </x:c>
      <x:c r="H512" s="24" t="n">
        <x:f>IFERROR('各站彙總來源'!H512/'各站彙總來源'!I512,"")</x:f>
        <x:v>1.3076923076923077</x:v>
      </x:c>
      <x:c r="I512" s="19" t="n">
        <x:f>'各站彙總來源'!I512</x:f>
        <x:v>26</x:v>
      </x:c>
      <x:c r="J512" s="24" t="n">
        <x:f>IFERROR('各站彙總來源'!J512/'各站彙總來源'!K512,"")</x:f>
        <x:v>17.615384615384617</x:v>
      </x:c>
      <x:c r="K512" s="19" t="n">
        <x:f>'各站彙總來源'!K512</x:f>
        <x:v>26</x:v>
      </x:c>
      <x:c r="L512" s="24" t="n">
        <x:f>IFERROR('各站彙總來源'!L512/'各站彙總來源'!M512,"")</x:f>
        <x:v>1.5</x:v>
      </x:c>
      <x:c r="M512" s="19" t="n">
        <x:f>'各站彙總來源'!M512</x:f>
        <x:v>26</x:v>
      </x:c>
      <x:c r="N512" s="24" t="n">
        <x:f>F512+H512</x:f>
        <x:v>7.576923076923077</x:v>
      </x:c>
      <x:c r="O512" s="24" t="n">
        <x:f>J512+L512</x:f>
        <x:v>19.115384615384617</x:v>
      </x:c>
    </x:row>
    <x:row r="513">
      <x:c r="A513" s="22" t="str">
        <x:v>500105031</x:v>
      </x:c>
      <x:c r="B513" s="17" t="str">
        <x:v>文山區</x:v>
      </x:c>
      <x:c r="C513" s="17" t="str">
        <x:v>永安藝文館_表演36房</x:v>
      </x:c>
      <x:c r="D513" s="18" t="n">
        <x:v>26</x:v>
      </x:c>
      <x:c r="E513" s="18" t="n">
        <x:v>26</x:v>
      </x:c>
      <x:c r="F513" s="24" t="n">
        <x:f>IFERROR('各站彙總來源'!F513/'各站彙總來源'!G513,"")</x:f>
        <x:v>12.846153846153847</x:v>
      </x:c>
      <x:c r="G513" s="19" t="n">
        <x:f>'各站彙總來源'!G513</x:f>
        <x:v>26</x:v>
      </x:c>
      <x:c r="H513" s="24" t="n">
        <x:f>IFERROR('各站彙總來源'!H513/'各站彙總來源'!I513,"")</x:f>
        <x:v>1.3846153846153846</x:v>
      </x:c>
      <x:c r="I513" s="19" t="n">
        <x:f>'各站彙總來源'!I513</x:f>
        <x:v>26</x:v>
      </x:c>
      <x:c r="J513" s="24" t="n">
        <x:f>IFERROR('各站彙總來源'!J513/'各站彙總來源'!K513,"")</x:f>
        <x:v>7.6923076923076925</x:v>
      </x:c>
      <x:c r="K513" s="19" t="n">
        <x:f>'各站彙總來源'!K513</x:f>
        <x:v>26</x:v>
      </x:c>
      <x:c r="L513" s="24" t="n">
        <x:f>IFERROR('各站彙總來源'!L513/'各站彙總來源'!M513,"")</x:f>
        <x:v>1.4230769230769231</x:v>
      </x:c>
      <x:c r="M513" s="19" t="n">
        <x:f>'各站彙總來源'!M513</x:f>
        <x:v>26</x:v>
      </x:c>
      <x:c r="N513" s="24" t="n">
        <x:f>F513+H513</x:f>
        <x:v>14.230769230769232</x:v>
      </x:c>
      <x:c r="O513" s="24" t="n">
        <x:f>J513+L513</x:f>
        <x:v>9.115384615384615</x:v>
      </x:c>
    </x:row>
    <x:row r="514">
      <x:c r="A514" s="22" t="str">
        <x:v>500105032</x:v>
      </x:c>
      <x:c r="B514" s="17" t="str">
        <x:v>文山區</x:v>
      </x:c>
      <x:c r="C514" s="17" t="str">
        <x:v>忠順區民活動中心</x:v>
      </x:c>
      <x:c r="D514" s="18" t="n">
        <x:v>26</x:v>
      </x:c>
      <x:c r="E514" s="18" t="n">
        <x:v>26</x:v>
      </x:c>
      <x:c r="F514" s="24" t="n">
        <x:f>IFERROR('各站彙總來源'!F514/'各站彙總來源'!G514,"")</x:f>
        <x:v>23.884615384615383</x:v>
      </x:c>
      <x:c r="G514" s="19" t="n">
        <x:f>'各站彙總來源'!G514</x:f>
        <x:v>26</x:v>
      </x:c>
      <x:c r="H514" s="24" t="n">
        <x:f>IFERROR('各站彙總來源'!H514/'各站彙總來源'!I514,"")</x:f>
        <x:v>1.8846153846153846</x:v>
      </x:c>
      <x:c r="I514" s="19" t="n">
        <x:f>'各站彙總來源'!I514</x:f>
        <x:v>26</x:v>
      </x:c>
      <x:c r="J514" s="24" t="n">
        <x:f>IFERROR('各站彙總來源'!J514/'各站彙總來源'!K514,"")</x:f>
        <x:v>15.115384615384615</x:v>
      </x:c>
      <x:c r="K514" s="19" t="n">
        <x:f>'各站彙總來源'!K514</x:f>
        <x:v>26</x:v>
      </x:c>
      <x:c r="L514" s="24" t="n">
        <x:f>IFERROR('各站彙總來源'!L514/'各站彙總來源'!M514,"")</x:f>
        <x:v>1.6538461538461537</x:v>
      </x:c>
      <x:c r="M514" s="19" t="n">
        <x:f>'各站彙總來源'!M514</x:f>
        <x:v>26</x:v>
      </x:c>
      <x:c r="N514" s="24" t="n">
        <x:f>F514+H514</x:f>
        <x:v>25.769230769230766</x:v>
      </x:c>
      <x:c r="O514" s="24" t="n">
        <x:f>J514+L514</x:f>
        <x:v>16.76923076923077</x:v>
      </x:c>
    </x:row>
    <x:row r="515">
      <x:c r="A515" s="22" t="str">
        <x:v>500105033</x:v>
      </x:c>
      <x:c r="B515" s="17" t="str">
        <x:v>文山區</x:v>
      </x:c>
      <x:c r="C515" s="17" t="str">
        <x:v>景文中學</x:v>
      </x:c>
      <x:c r="D515" s="18" t="n">
        <x:v>26</x:v>
      </x:c>
      <x:c r="E515" s="18" t="n">
        <x:v>26</x:v>
      </x:c>
      <x:c r="F515" s="24" t="n">
        <x:f>IFERROR('各站彙總來源'!F515/'各站彙總來源'!G515,"")</x:f>
        <x:v>4.5</x:v>
      </x:c>
      <x:c r="G515" s="19" t="n">
        <x:f>'各站彙總來源'!G515</x:f>
        <x:v>26</x:v>
      </x:c>
      <x:c r="H515" s="24" t="n">
        <x:f>IFERROR('各站彙總來源'!H515/'各站彙總來源'!I515,"")</x:f>
        <x:v>2.1923076923076925</x:v>
      </x:c>
      <x:c r="I515" s="19" t="n">
        <x:f>'各站彙總來源'!I515</x:f>
        <x:v>26</x:v>
      </x:c>
      <x:c r="J515" s="24" t="n">
        <x:f>IFERROR('各站彙總來源'!J515/'各站彙總來源'!K515,"")</x:f>
        <x:v>22.576923076923077</x:v>
      </x:c>
      <x:c r="K515" s="19" t="n">
        <x:f>'各站彙總來源'!K515</x:f>
        <x:v>26</x:v>
      </x:c>
      <x:c r="L515" s="24" t="n">
        <x:f>IFERROR('各站彙總來源'!L515/'各站彙總來源'!M515,"")</x:f>
        <x:v>3.3846153846153846</x:v>
      </x:c>
      <x:c r="M515" s="19" t="n">
        <x:f>'各站彙總來源'!M515</x:f>
        <x:v>26</x:v>
      </x:c>
      <x:c r="N515" s="24" t="n">
        <x:f>F515+H515</x:f>
        <x:v>6.6923076923076925</x:v>
      </x:c>
      <x:c r="O515" s="24" t="n">
        <x:f>J515+L515</x:f>
        <x:v>25.96153846153846</x:v>
      </x:c>
    </x:row>
    <x:row r="516">
      <x:c r="A516" s="22" t="str">
        <x:v>500105034</x:v>
      </x:c>
      <x:c r="B516" s="17" t="str">
        <x:v>文山區</x:v>
      </x:c>
      <x:c r="C516" s="17" t="str">
        <x:v>老泉街籃球場</x:v>
      </x:c>
      <x:c r="D516" s="18" t="n">
        <x:v>26</x:v>
      </x:c>
      <x:c r="E516" s="18" t="n">
        <x:v>26</x:v>
      </x:c>
      <x:c r="F516" s="24" t="n">
        <x:f>IFERROR('各站彙總來源'!F516/'各站彙總來源'!G516,"")</x:f>
        <x:v>5.5</x:v>
      </x:c>
      <x:c r="G516" s="19" t="n">
        <x:f>'各站彙總來源'!G516</x:f>
        <x:v>26</x:v>
      </x:c>
      <x:c r="H516" s="24" t="n">
        <x:f>IFERROR('各站彙總來源'!H516/'各站彙總來源'!I516,"")</x:f>
        <x:v>0.6538461538461539</x:v>
      </x:c>
      <x:c r="I516" s="19" t="n">
        <x:f>'各站彙總來源'!I516</x:f>
        <x:v>26</x:v>
      </x:c>
      <x:c r="J516" s="24" t="n">
        <x:f>IFERROR('各站彙總來源'!J516/'各站彙總來源'!K516,"")</x:f>
        <x:v>12.076923076923077</x:v>
      </x:c>
      <x:c r="K516" s="19" t="n">
        <x:f>'各站彙總來源'!K516</x:f>
        <x:v>26</x:v>
      </x:c>
      <x:c r="L516" s="24" t="n">
        <x:f>IFERROR('各站彙總來源'!L516/'各站彙總來源'!M516,"")</x:f>
        <x:v>1.5769230769230769</x:v>
      </x:c>
      <x:c r="M516" s="19" t="n">
        <x:f>'各站彙總來源'!M516</x:f>
        <x:v>26</x:v>
      </x:c>
      <x:c r="N516" s="24" t="n">
        <x:f>F516+H516</x:f>
        <x:v>6.153846153846154</x:v>
      </x:c>
      <x:c r="O516" s="24" t="n">
        <x:f>J516+L516</x:f>
        <x:v>13.653846153846153</x:v>
      </x:c>
    </x:row>
    <x:row r="517">
      <x:c r="A517" s="22" t="str">
        <x:v>500105035</x:v>
      </x:c>
      <x:c r="B517" s="17" t="str">
        <x:v>文山區</x:v>
      </x:c>
      <x:c r="C517" s="17" t="str">
        <x:v>文山行政中心</x:v>
      </x:c>
      <x:c r="D517" s="18" t="n">
        <x:v>26</x:v>
      </x:c>
      <x:c r="E517" s="18" t="n">
        <x:v>26</x:v>
      </x:c>
      <x:c r="F517" s="24" t="n">
        <x:f>IFERROR('各站彙總來源'!F517/'各站彙總來源'!G517,"")</x:f>
        <x:v>8.423076923076923</x:v>
      </x:c>
      <x:c r="G517" s="19" t="n">
        <x:f>'各站彙總來源'!G517</x:f>
        <x:v>26</x:v>
      </x:c>
      <x:c r="H517" s="24" t="n">
        <x:f>IFERROR('各站彙總來源'!H517/'各站彙總來源'!I517,"")</x:f>
        <x:v>1.9615384615384615</x:v>
      </x:c>
      <x:c r="I517" s="19" t="n">
        <x:f>'各站彙總來源'!I517</x:f>
        <x:v>26</x:v>
      </x:c>
      <x:c r="J517" s="24" t="n">
        <x:f>IFERROR('各站彙總來源'!J517/'各站彙總來源'!K517,"")</x:f>
        <x:v>14.076923076923077</x:v>
      </x:c>
      <x:c r="K517" s="19" t="n">
        <x:f>'各站彙總來源'!K517</x:f>
        <x:v>26</x:v>
      </x:c>
      <x:c r="L517" s="24" t="n">
        <x:f>IFERROR('各站彙總來源'!L517/'各站彙總來源'!M517,"")</x:f>
        <x:v>3.6923076923076925</x:v>
      </x:c>
      <x:c r="M517" s="19" t="n">
        <x:f>'各站彙總來源'!M517</x:f>
        <x:v>26</x:v>
      </x:c>
      <x:c r="N517" s="24" t="n">
        <x:f>F517+H517</x:f>
        <x:v>10.384615384615385</x:v>
      </x:c>
      <x:c r="O517" s="24" t="n">
        <x:f>J517+L517</x:f>
        <x:v>17.76923076923077</x:v>
      </x:c>
    </x:row>
    <x:row r="518">
      <x:c r="A518" s="22" t="str">
        <x:v>500105036</x:v>
      </x:c>
      <x:c r="B518" s="17" t="str">
        <x:v>文山區</x:v>
      </x:c>
      <x:c r="C518" s="17" t="str">
        <x:v>木柵公園</x:v>
      </x:c>
      <x:c r="D518" s="18" t="n">
        <x:v>26</x:v>
      </x:c>
      <x:c r="E518" s="18" t="n">
        <x:v>26</x:v>
      </x:c>
      <x:c r="F518" s="24" t="n">
        <x:f>IFERROR('各站彙總來源'!F518/'各站彙總來源'!G518,"")</x:f>
        <x:v>21.615384615384617</x:v>
      </x:c>
      <x:c r="G518" s="19" t="n">
        <x:f>'各站彙總來源'!G518</x:f>
        <x:v>26</x:v>
      </x:c>
      <x:c r="H518" s="24" t="n">
        <x:f>IFERROR('各站彙總來源'!H518/'各站彙總來源'!I518,"")</x:f>
        <x:v>1.2692307692307692</x:v>
      </x:c>
      <x:c r="I518" s="19" t="n">
        <x:f>'各站彙總來源'!I518</x:f>
        <x:v>26</x:v>
      </x:c>
      <x:c r="J518" s="24" t="n">
        <x:f>IFERROR('各站彙總來源'!J518/'各站彙總來源'!K518,"")</x:f>
        <x:v>6</x:v>
      </x:c>
      <x:c r="K518" s="19" t="n">
        <x:f>'各站彙總來源'!K518</x:f>
        <x:v>26</x:v>
      </x:c>
      <x:c r="L518" s="24" t="n">
        <x:f>IFERROR('各站彙總來源'!L518/'各站彙總來源'!M518,"")</x:f>
        <x:v>0.34615384615384615</x:v>
      </x:c>
      <x:c r="M518" s="19" t="n">
        <x:f>'各站彙總來源'!M518</x:f>
        <x:v>26</x:v>
      </x:c>
      <x:c r="N518" s="24" t="n">
        <x:f>F518+H518</x:f>
        <x:v>22.884615384615387</x:v>
      </x:c>
      <x:c r="O518" s="24" t="n">
        <x:f>J518+L518</x:f>
        <x:v>6.346153846153846</x:v>
      </x:c>
    </x:row>
    <x:row r="519">
      <x:c r="A519" s="22" t="str">
        <x:v>500105037</x:v>
      </x:c>
      <x:c r="B519" s="17" t="str">
        <x:v>文山區</x:v>
      </x:c>
      <x:c r="C519" s="17" t="str">
        <x:v>興隆公共住宅D2區</x:v>
      </x:c>
      <x:c r="D519" s="18" t="n">
        <x:v>26</x:v>
      </x:c>
      <x:c r="E519" s="18" t="n">
        <x:v>26</x:v>
      </x:c>
      <x:c r="F519" s="24" t="n">
        <x:f>IFERROR('各站彙總來源'!F519/'各站彙總來源'!G519,"")</x:f>
        <x:v>7.884615384615385</x:v>
      </x:c>
      <x:c r="G519" s="19" t="n">
        <x:f>'各站彙總來源'!G519</x:f>
        <x:v>26</x:v>
      </x:c>
      <x:c r="H519" s="24" t="n">
        <x:f>IFERROR('各站彙總來源'!H519/'各站彙總來源'!I519,"")</x:f>
        <x:v>2.4615384615384617</x:v>
      </x:c>
      <x:c r="I519" s="19" t="n">
        <x:f>'各站彙總來源'!I519</x:f>
        <x:v>26</x:v>
      </x:c>
      <x:c r="J519" s="24" t="n">
        <x:f>IFERROR('各站彙總來源'!J519/'各站彙總來源'!K519,"")</x:f>
        <x:v>4.3076923076923075</x:v>
      </x:c>
      <x:c r="K519" s="19" t="n">
        <x:f>'各站彙總來源'!K519</x:f>
        <x:v>26</x:v>
      </x:c>
      <x:c r="L519" s="24" t="n">
        <x:f>IFERROR('各站彙總來源'!L519/'各站彙總來源'!M519,"")</x:f>
        <x:v>1.4615384615384615</x:v>
      </x:c>
      <x:c r="M519" s="19" t="n">
        <x:f>'各站彙總來源'!M519</x:f>
        <x:v>26</x:v>
      </x:c>
      <x:c r="N519" s="24" t="n">
        <x:f>F519+H519</x:f>
        <x:v>10.346153846153847</x:v>
      </x:c>
      <x:c r="O519" s="24" t="n">
        <x:f>J519+L519</x:f>
        <x:v>5.769230769230769</x:v>
      </x:c>
    </x:row>
    <x:row r="520">
      <x:c r="A520" s="22" t="str">
        <x:v>500105038</x:v>
      </x:c>
      <x:c r="B520" s="17" t="str">
        <x:v>文山區</x:v>
      </x:c>
      <x:c r="C520" s="17" t="str">
        <x:v>木新路3段95巷口</x:v>
      </x:c>
      <x:c r="D520" s="18" t="n">
        <x:v>26</x:v>
      </x:c>
      <x:c r="E520" s="18" t="n">
        <x:v>26</x:v>
      </x:c>
      <x:c r="F520" s="24" t="n">
        <x:f>IFERROR('各站彙總來源'!F520/'各站彙總來源'!G520,"")</x:f>
        <x:v>18.192307692307693</x:v>
      </x:c>
      <x:c r="G520" s="19" t="n">
        <x:f>'各站彙總來源'!G520</x:f>
        <x:v>26</x:v>
      </x:c>
      <x:c r="H520" s="24" t="n">
        <x:f>IFERROR('各站彙總來源'!H520/'各站彙總來源'!I520,"")</x:f>
        <x:v>2.9615384615384617</x:v>
      </x:c>
      <x:c r="I520" s="19" t="n">
        <x:f>'各站彙總來源'!I520</x:f>
        <x:v>26</x:v>
      </x:c>
      <x:c r="J520" s="24" t="n">
        <x:f>IFERROR('各站彙總來源'!J520/'各站彙總來源'!K520,"")</x:f>
        <x:v>13.538461538461538</x:v>
      </x:c>
      <x:c r="K520" s="19" t="n">
        <x:f>'各站彙總來源'!K520</x:f>
        <x:v>26</x:v>
      </x:c>
      <x:c r="L520" s="24" t="n">
        <x:f>IFERROR('各站彙總來源'!L520/'各站彙總來源'!M520,"")</x:f>
        <x:v>1.9615384615384615</x:v>
      </x:c>
      <x:c r="M520" s="19" t="n">
        <x:f>'各站彙總來源'!M520</x:f>
        <x:v>26</x:v>
      </x:c>
      <x:c r="N520" s="24" t="n">
        <x:f>F520+H520</x:f>
        <x:v>21.153846153846153</x:v>
      </x:c>
      <x:c r="O520" s="24" t="n">
        <x:f>J520+L520</x:f>
        <x:v>15.5</x:v>
      </x:c>
    </x:row>
    <x:row r="521">
      <x:c r="A521" s="22" t="str">
        <x:v>500105039</x:v>
      </x:c>
      <x:c r="B521" s="17" t="str">
        <x:v>文山區</x:v>
      </x:c>
      <x:c r="C521" s="17" t="str">
        <x:v>樟腳里公園</x:v>
      </x:c>
      <x:c r="D521" s="18" t="n">
        <x:v>26</x:v>
      </x:c>
      <x:c r="E521" s="18" t="n">
        <x:v>26</x:v>
      </x:c>
      <x:c r="F521" s="24" t="n">
        <x:f>IFERROR('各站彙總來源'!F521/'各站彙總來源'!G521,"")</x:f>
        <x:v>9.115384615384615</x:v>
      </x:c>
      <x:c r="G521" s="19" t="n">
        <x:f>'各站彙總來源'!G521</x:f>
        <x:v>26</x:v>
      </x:c>
      <x:c r="H521" s="24" t="n">
        <x:f>IFERROR('各站彙總來源'!H521/'各站彙總來源'!I521,"")</x:f>
        <x:v>2.269230769230769</x:v>
      </x:c>
      <x:c r="I521" s="19" t="n">
        <x:f>'各站彙總來源'!I521</x:f>
        <x:v>26</x:v>
      </x:c>
      <x:c r="J521" s="24" t="n">
        <x:f>IFERROR('各站彙總來源'!J521/'各站彙總來源'!K521,"")</x:f>
        <x:v>5.8076923076923075</x:v>
      </x:c>
      <x:c r="K521" s="19" t="n">
        <x:f>'各站彙總來源'!K521</x:f>
        <x:v>26</x:v>
      </x:c>
      <x:c r="L521" s="24" t="n">
        <x:f>IFERROR('各站彙總來源'!L521/'各站彙總來源'!M521,"")</x:f>
        <x:v>1.8846153846153846</x:v>
      </x:c>
      <x:c r="M521" s="19" t="n">
        <x:f>'各站彙總來源'!M521</x:f>
        <x:v>26</x:v>
      </x:c>
      <x:c r="N521" s="24" t="n">
        <x:f>F521+H521</x:f>
        <x:v>11.384615384615383</x:v>
      </x:c>
      <x:c r="O521" s="24" t="n">
        <x:f>J521+L521</x:f>
        <x:v>7.692307692307692</x:v>
      </x:c>
    </x:row>
    <x:row r="522">
      <x:c r="A522" s="22" t="str">
        <x:v>500105040</x:v>
      </x:c>
      <x:c r="B522" s="17" t="str">
        <x:v>文山區</x:v>
      </x:c>
      <x:c r="C522" s="17" t="str">
        <x:v>實踐國中</x:v>
      </x:c>
      <x:c r="D522" s="18" t="n">
        <x:v>26</x:v>
      </x:c>
      <x:c r="E522" s="18" t="n">
        <x:v>26</x:v>
      </x:c>
      <x:c r="F522" s="24" t="n">
        <x:f>IFERROR('各站彙總來源'!F522/'各站彙總來源'!G522,"")</x:f>
        <x:v>10.26923076923077</x:v>
      </x:c>
      <x:c r="G522" s="19" t="n">
        <x:f>'各站彙總來源'!G522</x:f>
        <x:v>26</x:v>
      </x:c>
      <x:c r="H522" s="24" t="n">
        <x:f>IFERROR('各站彙總來源'!H522/'各站彙總來源'!I522,"")</x:f>
        <x:v>1.9230769230769231</x:v>
      </x:c>
      <x:c r="I522" s="19" t="n">
        <x:f>'各站彙總來源'!I522</x:f>
        <x:v>26</x:v>
      </x:c>
      <x:c r="J522" s="24" t="n">
        <x:f>IFERROR('各站彙總來源'!J522/'各站彙總來源'!K522,"")</x:f>
        <x:v>8.576923076923077</x:v>
      </x:c>
      <x:c r="K522" s="19" t="n">
        <x:f>'各站彙總來源'!K522</x:f>
        <x:v>26</x:v>
      </x:c>
      <x:c r="L522" s="24" t="n">
        <x:f>IFERROR('各站彙總來源'!L522/'各站彙總來源'!M522,"")</x:f>
        <x:v>1.5769230769230769</x:v>
      </x:c>
      <x:c r="M522" s="19" t="n">
        <x:f>'各站彙總來源'!M522</x:f>
        <x:v>26</x:v>
      </x:c>
      <x:c r="N522" s="24" t="n">
        <x:f>F522+H522</x:f>
        <x:v>12.192307692307693</x:v>
      </x:c>
      <x:c r="O522" s="24" t="n">
        <x:f>J522+L522</x:f>
        <x:v>10.153846153846153</x:v>
      </x:c>
    </x:row>
    <x:row r="523">
      <x:c r="A523" s="22" t="str">
        <x:v>500105041</x:v>
      </x:c>
      <x:c r="B523" s="17" t="str">
        <x:v>文山區</x:v>
      </x:c>
      <x:c r="C523" s="17" t="str">
        <x:v>指南路3段2巷</x:v>
      </x:c>
      <x:c r="D523" s="18" t="n">
        <x:v>26</x:v>
      </x:c>
      <x:c r="E523" s="18" t="n">
        <x:v>26</x:v>
      </x:c>
      <x:c r="F523" s="24" t="n">
        <x:f>IFERROR('各站彙總來源'!F523/'各站彙總來源'!G523,"")</x:f>
        <x:v>8.038461538461538</x:v>
      </x:c>
      <x:c r="G523" s="19" t="n">
        <x:f>'各站彙總來源'!G523</x:f>
        <x:v>26</x:v>
      </x:c>
      <x:c r="H523" s="24" t="n">
        <x:f>IFERROR('各站彙總來源'!H523/'各站彙總來源'!I523,"")</x:f>
        <x:v>2.1153846153846154</x:v>
      </x:c>
      <x:c r="I523" s="19" t="n">
        <x:f>'各站彙總來源'!I523</x:f>
        <x:v>26</x:v>
      </x:c>
      <x:c r="J523" s="24" t="n">
        <x:f>IFERROR('各站彙總來源'!J523/'各站彙總來源'!K523,"")</x:f>
        <x:v>4.461538461538462</x:v>
      </x:c>
      <x:c r="K523" s="19" t="n">
        <x:f>'各站彙總來源'!K523</x:f>
        <x:v>26</x:v>
      </x:c>
      <x:c r="L523" s="24" t="n">
        <x:f>IFERROR('各站彙總來源'!L523/'各站彙總來源'!M523,"")</x:f>
        <x:v>1.2692307692307692</x:v>
      </x:c>
      <x:c r="M523" s="19" t="n">
        <x:f>'各站彙總來源'!M523</x:f>
        <x:v>26</x:v>
      </x:c>
      <x:c r="N523" s="24" t="n">
        <x:f>F523+H523</x:f>
        <x:v>10.153846153846153</x:v>
      </x:c>
      <x:c r="O523" s="24" t="n">
        <x:f>J523+L523</x:f>
        <x:v>5.730769230769231</x:v>
      </x:c>
    </x:row>
    <x:row r="524">
      <x:c r="A524" s="22" t="str">
        <x:v>500105042</x:v>
      </x:c>
      <x:c r="B524" s="17" t="str">
        <x:v>文山區</x:v>
      </x:c>
      <x:c r="C524" s="17" t="str">
        <x:v>萊茵公園</x:v>
      </x:c>
      <x:c r="D524" s="18" t="n">
        <x:v>26</x:v>
      </x:c>
      <x:c r="E524" s="18" t="n">
        <x:v>26</x:v>
      </x:c>
      <x:c r="F524" s="24" t="n">
        <x:f>IFERROR('各站彙總來源'!F524/'各站彙總來源'!G524,"")</x:f>
        <x:v>9.23076923076923</x:v>
      </x:c>
      <x:c r="G524" s="19" t="n">
        <x:f>'各站彙總來源'!G524</x:f>
        <x:v>26</x:v>
      </x:c>
      <x:c r="H524" s="24" t="n">
        <x:f>IFERROR('各站彙總來源'!H524/'各站彙總來源'!I524,"")</x:f>
        <x:v>2.269230769230769</x:v>
      </x:c>
      <x:c r="I524" s="19" t="n">
        <x:f>'各站彙總來源'!I524</x:f>
        <x:v>26</x:v>
      </x:c>
      <x:c r="J524" s="24" t="n">
        <x:f>IFERROR('各站彙總來源'!J524/'各站彙總來源'!K524,"")</x:f>
        <x:v>7.3076923076923075</x:v>
      </x:c>
      <x:c r="K524" s="19" t="n">
        <x:f>'各站彙總來源'!K524</x:f>
        <x:v>26</x:v>
      </x:c>
      <x:c r="L524" s="24" t="n">
        <x:f>IFERROR('各站彙總來源'!L524/'各站彙總來源'!M524,"")</x:f>
        <x:v>2</x:v>
      </x:c>
      <x:c r="M524" s="19" t="n">
        <x:f>'各站彙總來源'!M524</x:f>
        <x:v>26</x:v>
      </x:c>
      <x:c r="N524" s="24" t="n">
        <x:f>F524+H524</x:f>
        <x:v>11.5</x:v>
      </x:c>
      <x:c r="O524" s="24" t="n">
        <x:f>J524+L524</x:f>
        <x:v>9.307692307692307</x:v>
      </x:c>
    </x:row>
    <x:row r="525">
      <x:c r="A525" s="22" t="str">
        <x:v>500105043</x:v>
      </x:c>
      <x:c r="B525" s="17" t="str">
        <x:v>文山區</x:v>
      </x:c>
      <x:c r="C525" s="17" t="str">
        <x:v>木柵社會住宅</x:v>
      </x:c>
      <x:c r="D525" s="18" t="n">
        <x:v>26</x:v>
      </x:c>
      <x:c r="E525" s="18" t="n">
        <x:v>26</x:v>
      </x:c>
      <x:c r="F525" s="24" t="n">
        <x:f>IFERROR('各站彙總來源'!F525/'各站彙總來源'!G525,"")</x:f>
        <x:v>7.3076923076923075</x:v>
      </x:c>
      <x:c r="G525" s="19" t="n">
        <x:f>'各站彙總來源'!G525</x:f>
        <x:v>26</x:v>
      </x:c>
      <x:c r="H525" s="24" t="n">
        <x:f>IFERROR('各站彙總來源'!H525/'各站彙總來源'!I525,"")</x:f>
        <x:v>1.1153846153846154</x:v>
      </x:c>
      <x:c r="I525" s="19" t="n">
        <x:f>'各站彙總來源'!I525</x:f>
        <x:v>26</x:v>
      </x:c>
      <x:c r="J525" s="24" t="n">
        <x:f>IFERROR('各站彙總來源'!J525/'各站彙總來源'!K525,"")</x:f>
        <x:v>4.653846153846154</x:v>
      </x:c>
      <x:c r="K525" s="19" t="n">
        <x:f>'各站彙總來源'!K525</x:f>
        <x:v>26</x:v>
      </x:c>
      <x:c r="L525" s="24" t="n">
        <x:f>IFERROR('各站彙總來源'!L525/'各站彙總來源'!M525,"")</x:f>
        <x:v>1.4615384615384615</x:v>
      </x:c>
      <x:c r="M525" s="19" t="n">
        <x:f>'各站彙總來源'!M525</x:f>
        <x:v>26</x:v>
      </x:c>
      <x:c r="N525" s="24" t="n">
        <x:f>F525+H525</x:f>
        <x:v>8.423076923076923</x:v>
      </x:c>
      <x:c r="O525" s="24" t="n">
        <x:f>J525+L525</x:f>
        <x:v>6.115384615384616</x:v>
      </x:c>
    </x:row>
    <x:row r="526">
      <x:c r="A526" s="22" t="str">
        <x:v>500105044</x:v>
      </x:c>
      <x:c r="B526" s="17" t="str">
        <x:v>文山區</x:v>
      </x:c>
      <x:c r="C526" s="17" t="str">
        <x:v>秀明路一段185巷口</x:v>
      </x:c>
      <x:c r="D526" s="18" t="n">
        <x:v>26</x:v>
      </x:c>
      <x:c r="E526" s="18" t="n">
        <x:v>26</x:v>
      </x:c>
      <x:c r="F526" s="24" t="n">
        <x:f>IFERROR('各站彙總來源'!F526/'各站彙總來源'!G526,"")</x:f>
        <x:v>4.730769230769231</x:v>
      </x:c>
      <x:c r="G526" s="19" t="n">
        <x:f>'各站彙總來源'!G526</x:f>
        <x:v>26</x:v>
      </x:c>
      <x:c r="H526" s="24" t="n">
        <x:f>IFERROR('各站彙總來源'!H526/'各站彙總來源'!I526,"")</x:f>
        <x:v>1.2307692307692308</x:v>
      </x:c>
      <x:c r="I526" s="19" t="n">
        <x:f>'各站彙總來源'!I526</x:f>
        <x:v>26</x:v>
      </x:c>
      <x:c r="J526" s="24" t="n">
        <x:f>IFERROR('各站彙總來源'!J526/'各站彙總來源'!K526,"")</x:f>
        <x:v>3.6538461538461537</x:v>
      </x:c>
      <x:c r="K526" s="19" t="n">
        <x:f>'各站彙總來源'!K526</x:f>
        <x:v>26</x:v>
      </x:c>
      <x:c r="L526" s="24" t="n">
        <x:f>IFERROR('各站彙總來源'!L526/'各站彙總來源'!M526,"")</x:f>
        <x:v>1.1153846153846154</x:v>
      </x:c>
      <x:c r="M526" s="19" t="n">
        <x:f>'各站彙總來源'!M526</x:f>
        <x:v>26</x:v>
      </x:c>
      <x:c r="N526" s="24" t="n">
        <x:f>F526+H526</x:f>
        <x:v>5.961538461538462</x:v>
      </x:c>
      <x:c r="O526" s="24" t="n">
        <x:f>J526+L526</x:f>
        <x:v>4.769230769230769</x:v>
      </x:c>
    </x:row>
    <x:row r="527">
      <x:c r="A527" s="22" t="str">
        <x:v>500105045</x:v>
      </x:c>
      <x:c r="B527" s="17" t="str">
        <x:v>文山區</x:v>
      </x:c>
      <x:c r="C527" s="17" t="str">
        <x:v>秀明路一段129巷口</x:v>
      </x:c>
      <x:c r="D527" s="18" t="n">
        <x:v>26</x:v>
      </x:c>
      <x:c r="E527" s="18" t="n">
        <x:v>26</x:v>
      </x:c>
      <x:c r="F527" s="24" t="n">
        <x:f>IFERROR('各站彙總來源'!F527/'各站彙總來源'!G527,"")</x:f>
        <x:v>4.461538461538462</x:v>
      </x:c>
      <x:c r="G527" s="19" t="n">
        <x:f>'各站彙總來源'!G527</x:f>
        <x:v>26</x:v>
      </x:c>
      <x:c r="H527" s="24" t="n">
        <x:f>IFERROR('各站彙總來源'!H527/'各站彙總來源'!I527,"")</x:f>
        <x:v>0.9615384615384616</x:v>
      </x:c>
      <x:c r="I527" s="19" t="n">
        <x:f>'各站彙總來源'!I527</x:f>
        <x:v>26</x:v>
      </x:c>
      <x:c r="J527" s="24" t="n">
        <x:f>IFERROR('各站彙總來源'!J527/'各站彙總來源'!K527,"")</x:f>
        <x:v>1.9615384615384615</x:v>
      </x:c>
      <x:c r="K527" s="19" t="n">
        <x:f>'各站彙總來源'!K527</x:f>
        <x:v>26</x:v>
      </x:c>
      <x:c r="L527" s="24" t="n">
        <x:f>IFERROR('各站彙總來源'!L527/'各站彙總來源'!M527,"")</x:f>
        <x:v>0.34615384615384615</x:v>
      </x:c>
      <x:c r="M527" s="19" t="n">
        <x:f>'各站彙總來源'!M527</x:f>
        <x:v>26</x:v>
      </x:c>
      <x:c r="N527" s="24" t="n">
        <x:f>F527+H527</x:f>
        <x:v>5.423076923076923</x:v>
      </x:c>
      <x:c r="O527" s="24" t="n">
        <x:f>J527+L527</x:f>
        <x:v>2.3076923076923075</x:v>
      </x:c>
    </x:row>
    <x:row r="528">
      <x:c r="A528" s="22" t="str">
        <x:v>500105046</x:v>
      </x:c>
      <x:c r="B528" s="17" t="str">
        <x:v>文山區</x:v>
      </x:c>
      <x:c r="C528" s="17" t="str">
        <x:v>恆光橋(老泉街)</x:v>
      </x:c>
      <x:c r="D528" s="18" t="n">
        <x:v>26</x:v>
      </x:c>
      <x:c r="E528" s="18" t="n">
        <x:v>26</x:v>
      </x:c>
      <x:c r="F528" s="24" t="n">
        <x:f>IFERROR('各站彙總來源'!F528/'各站彙總來源'!G528,"")</x:f>
        <x:v>5.230769230769231</x:v>
      </x:c>
      <x:c r="G528" s="19" t="n">
        <x:f>'各站彙總來源'!G528</x:f>
        <x:v>26</x:v>
      </x:c>
      <x:c r="H528" s="24" t="n">
        <x:f>IFERROR('各站彙總來源'!H528/'各站彙總來源'!I528,"")</x:f>
        <x:v>3.230769230769231</x:v>
      </x:c>
      <x:c r="I528" s="19" t="n">
        <x:f>'各站彙總來源'!I528</x:f>
        <x:v>26</x:v>
      </x:c>
      <x:c r="J528" s="24" t="n">
        <x:f>IFERROR('各站彙總來源'!J528/'各站彙總來源'!K528,"")</x:f>
        <x:v>4.038461538461538</x:v>
      </x:c>
      <x:c r="K528" s="19" t="n">
        <x:f>'各站彙總來源'!K528</x:f>
        <x:v>26</x:v>
      </x:c>
      <x:c r="L528" s="24" t="n">
        <x:f>IFERROR('各站彙總來源'!L528/'各站彙總來源'!M528,"")</x:f>
        <x:v>0.5769230769230769</x:v>
      </x:c>
      <x:c r="M528" s="19" t="n">
        <x:f>'各站彙總來源'!M528</x:f>
        <x:v>26</x:v>
      </x:c>
      <x:c r="N528" s="24" t="n">
        <x:f>F528+H528</x:f>
        <x:v>8.461538461538462</x:v>
      </x:c>
      <x:c r="O528" s="24" t="n">
        <x:f>J528+L528</x:f>
        <x:v>4.615384615384615</x:v>
      </x:c>
    </x:row>
    <x:row r="529">
      <x:c r="A529" s="22" t="str">
        <x:v>500105047</x:v>
      </x:c>
      <x:c r="B529" s="17" t="str">
        <x:v>文山區</x:v>
      </x:c>
      <x:c r="C529" s="17" t="str">
        <x:v>萬有3號公園</x:v>
      </x:c>
      <x:c r="D529" s="18" t="n">
        <x:v>26</x:v>
      </x:c>
      <x:c r="E529" s="18" t="n">
        <x:v>26</x:v>
      </x:c>
      <x:c r="F529" s="24" t="n">
        <x:f>IFERROR('各站彙總來源'!F529/'各站彙總來源'!G529,"")</x:f>
        <x:v>24.46153846153846</x:v>
      </x:c>
      <x:c r="G529" s="19" t="n">
        <x:f>'各站彙總來源'!G529</x:f>
        <x:v>26</x:v>
      </x:c>
      <x:c r="H529" s="24" t="n">
        <x:f>IFERROR('各站彙總來源'!H529/'各站彙總來源'!I529,"")</x:f>
        <x:v>1.6538461538461537</x:v>
      </x:c>
      <x:c r="I529" s="19" t="n">
        <x:f>'各站彙總來源'!I529</x:f>
        <x:v>26</x:v>
      </x:c>
      <x:c r="J529" s="24" t="n">
        <x:f>IFERROR('各站彙總來源'!J529/'各站彙總來源'!K529,"")</x:f>
        <x:v>5.8076923076923075</x:v>
      </x:c>
      <x:c r="K529" s="19" t="n">
        <x:f>'各站彙總來源'!K529</x:f>
        <x:v>26</x:v>
      </x:c>
      <x:c r="L529" s="24" t="n">
        <x:f>IFERROR('各站彙總來源'!L529/'各站彙總來源'!M529,"")</x:f>
        <x:v>0.7692307692307693</x:v>
      </x:c>
      <x:c r="M529" s="19" t="n">
        <x:f>'各站彙總來源'!M529</x:f>
        <x:v>26</x:v>
      </x:c>
      <x:c r="N529" s="24" t="n">
        <x:f>F529+H529</x:f>
        <x:v>26.115384615384613</x:v>
      </x:c>
      <x:c r="O529" s="24" t="n">
        <x:f>J529+L529</x:f>
        <x:v>6.576923076923077</x:v>
      </x:c>
    </x:row>
    <x:row r="530">
      <x:c r="A530" s="22" t="str">
        <x:v>500105048</x:v>
      </x:c>
      <x:c r="B530" s="17" t="str">
        <x:v>文山區</x:v>
      </x:c>
      <x:c r="C530" s="17" t="str">
        <x:v>捷運萬芳醫院站(興隆路三段115巷)</x:v>
      </x:c>
      <x:c r="D530" s="18" t="n">
        <x:v>26</x:v>
      </x:c>
      <x:c r="E530" s="18" t="n">
        <x:v>26</x:v>
      </x:c>
      <x:c r="F530" s="24" t="n">
        <x:f>IFERROR('各站彙總來源'!F530/'各站彙總來源'!G530,"")</x:f>
        <x:v>7.5</x:v>
      </x:c>
      <x:c r="G530" s="19" t="n">
        <x:f>'各站彙總來源'!G530</x:f>
        <x:v>26</x:v>
      </x:c>
      <x:c r="H530" s="24" t="n">
        <x:f>IFERROR('各站彙總來源'!H530/'各站彙總來源'!I530,"")</x:f>
        <x:v>2.6153846153846154</x:v>
      </x:c>
      <x:c r="I530" s="19" t="n">
        <x:f>'各站彙總來源'!I530</x:f>
        <x:v>26</x:v>
      </x:c>
      <x:c r="J530" s="24" t="n">
        <x:f>IFERROR('各站彙總來源'!J530/'各站彙總來源'!K530,"")</x:f>
        <x:v>21.423076923076923</x:v>
      </x:c>
      <x:c r="K530" s="19" t="n">
        <x:f>'各站彙總來源'!K530</x:f>
        <x:v>26</x:v>
      </x:c>
      <x:c r="L530" s="24" t="n">
        <x:f>IFERROR('各站彙總來源'!L530/'各站彙總來源'!M530,"")</x:f>
        <x:v>2.423076923076923</x:v>
      </x:c>
      <x:c r="M530" s="19" t="n">
        <x:f>'各站彙總來源'!M530</x:f>
        <x:v>26</x:v>
      </x:c>
      <x:c r="N530" s="24" t="n">
        <x:f>F530+H530</x:f>
        <x:v>10.115384615384615</x:v>
      </x:c>
      <x:c r="O530" s="24" t="n">
        <x:f>J530+L530</x:f>
        <x:v>23.846153846153847</x:v>
      </x:c>
    </x:row>
    <x:row r="531">
      <x:c r="A531" s="22" t="str">
        <x:v>500105049</x:v>
      </x:c>
      <x:c r="B531" s="17" t="str">
        <x:v>文山區</x:v>
      </x:c>
      <x:c r="C531" s="17" t="str">
        <x:v>興得閱覽室</x:v>
      </x:c>
      <x:c r="D531" s="18" t="n">
        <x:v>26</x:v>
      </x:c>
      <x:c r="E531" s="18" t="n">
        <x:v>26</x:v>
      </x:c>
      <x:c r="F531" s="24" t="n">
        <x:f>IFERROR('各站彙總來源'!F531/'各站彙總來源'!G531,"")</x:f>
        <x:v>16.692307692307693</x:v>
      </x:c>
      <x:c r="G531" s="19" t="n">
        <x:f>'各站彙總來源'!G531</x:f>
        <x:v>26</x:v>
      </x:c>
      <x:c r="H531" s="24" t="n">
        <x:f>IFERROR('各站彙總來源'!H531/'各站彙總來源'!I531,"")</x:f>
        <x:v>2.3461538461538463</x:v>
      </x:c>
      <x:c r="I531" s="19" t="n">
        <x:f>'各站彙總來源'!I531</x:f>
        <x:v>26</x:v>
      </x:c>
      <x:c r="J531" s="24" t="n">
        <x:f>IFERROR('各站彙總來源'!J531/'各站彙總來源'!K531,"")</x:f>
        <x:v>6</x:v>
      </x:c>
      <x:c r="K531" s="19" t="n">
        <x:f>'各站彙總來源'!K531</x:f>
        <x:v>26</x:v>
      </x:c>
      <x:c r="L531" s="24" t="n">
        <x:f>IFERROR('各站彙總來源'!L531/'各站彙總來源'!M531,"")</x:f>
        <x:v>1.3461538461538463</x:v>
      </x:c>
      <x:c r="M531" s="19" t="n">
        <x:f>'各站彙總來源'!M531</x:f>
        <x:v>26</x:v>
      </x:c>
      <x:c r="N531" s="24" t="n">
        <x:f>F531+H531</x:f>
        <x:v>19.03846153846154</x:v>
      </x:c>
      <x:c r="O531" s="24" t="n">
        <x:f>J531+L531</x:f>
        <x:v>7.346153846153847</x:v>
      </x:c>
    </x:row>
    <x:row r="532">
      <x:c r="A532" s="22" t="str">
        <x:v>500105050</x:v>
      </x:c>
      <x:c r="B532" s="17" t="str">
        <x:v>文山區</x:v>
      </x:c>
      <x:c r="C532" s="17" t="str">
        <x:v>辛亥生態公園</x:v>
      </x:c>
      <x:c r="D532" s="18" t="n">
        <x:v>26</x:v>
      </x:c>
      <x:c r="E532" s="18" t="n">
        <x:v>26</x:v>
      </x:c>
      <x:c r="F532" s="24" t="n">
        <x:f>IFERROR('各站彙總來源'!F532/'各站彙總來源'!G532,"")</x:f>
        <x:v>4.5</x:v>
      </x:c>
      <x:c r="G532" s="19" t="n">
        <x:f>'各站彙總來源'!G532</x:f>
        <x:v>26</x:v>
      </x:c>
      <x:c r="H532" s="24" t="n">
        <x:f>IFERROR('各站彙總來源'!H532/'各站彙總來源'!I532,"")</x:f>
        <x:v>1.1153846153846154</x:v>
      </x:c>
      <x:c r="I532" s="19" t="n">
        <x:f>'各站彙總來源'!I532</x:f>
        <x:v>26</x:v>
      </x:c>
      <x:c r="J532" s="24" t="n">
        <x:f>IFERROR('各站彙總來源'!J532/'各站彙總來源'!K532,"")</x:f>
        <x:v>17.923076923076923</x:v>
      </x:c>
      <x:c r="K532" s="19" t="n">
        <x:f>'各站彙總來源'!K532</x:f>
        <x:v>26</x:v>
      </x:c>
      <x:c r="L532" s="24" t="n">
        <x:f>IFERROR('各站彙總來源'!L532/'各站彙總來源'!M532,"")</x:f>
        <x:v>2.5384615384615383</x:v>
      </x:c>
      <x:c r="M532" s="19" t="n">
        <x:f>'各站彙總來源'!M532</x:f>
        <x:v>26</x:v>
      </x:c>
      <x:c r="N532" s="24" t="n">
        <x:f>F532+H532</x:f>
        <x:v>5.615384615384615</x:v>
      </x:c>
      <x:c r="O532" s="24" t="n">
        <x:f>J532+L532</x:f>
        <x:v>20.46153846153846</x:v>
      </x:c>
    </x:row>
    <x:row r="533">
      <x:c r="A533" s="22" t="str">
        <x:v>500105051</x:v>
      </x:c>
      <x:c r="B533" s="17" t="str">
        <x:v>文山區</x:v>
      </x:c>
      <x:c r="C533" s="17" t="str">
        <x:v>博嘉運動公園</x:v>
      </x:c>
      <x:c r="D533" s="18" t="n">
        <x:v>26</x:v>
      </x:c>
      <x:c r="E533" s="18" t="n">
        <x:v>26</x:v>
      </x:c>
      <x:c r="F533" s="24" t="n">
        <x:f>IFERROR('各站彙總來源'!F533/'各站彙總來源'!G533,"")</x:f>
        <x:v>3.576923076923077</x:v>
      </x:c>
      <x:c r="G533" s="19" t="n">
        <x:f>'各站彙總來源'!G533</x:f>
        <x:v>26</x:v>
      </x:c>
      <x:c r="H533" s="24" t="n">
        <x:f>IFERROR('各站彙總來源'!H533/'各站彙總來源'!I533,"")</x:f>
        <x:v>1.1538461538461537</x:v>
      </x:c>
      <x:c r="I533" s="19" t="n">
        <x:f>'各站彙總來源'!I533</x:f>
        <x:v>26</x:v>
      </x:c>
      <x:c r="J533" s="24" t="n">
        <x:f>IFERROR('各站彙總來源'!J533/'各站彙總來源'!K533,"")</x:f>
        <x:v>2.923076923076923</x:v>
      </x:c>
      <x:c r="K533" s="19" t="n">
        <x:f>'各站彙總來源'!K533</x:f>
        <x:v>26</x:v>
      </x:c>
      <x:c r="L533" s="24" t="n">
        <x:f>IFERROR('各站彙總來源'!L533/'各站彙總來源'!M533,"")</x:f>
        <x:v>1.5</x:v>
      </x:c>
      <x:c r="M533" s="19" t="n">
        <x:f>'各站彙總來源'!M533</x:f>
        <x:v>26</x:v>
      </x:c>
      <x:c r="N533" s="24" t="n">
        <x:f>F533+H533</x:f>
        <x:v>4.730769230769231</x:v>
      </x:c>
      <x:c r="O533" s="24" t="n">
        <x:f>J533+L533</x:f>
        <x:v>4.423076923076923</x:v>
      </x:c>
    </x:row>
    <x:row r="534">
      <x:c r="A534" s="22" t="str">
        <x:v>500105052</x:v>
      </x:c>
      <x:c r="B534" s="17" t="str">
        <x:v>文山區</x:v>
      </x:c>
      <x:c r="C534" s="17" t="str">
        <x:v>國立政治大學(萬壽路)</x:v>
      </x:c>
      <x:c r="D534" s="18" t="n">
        <x:v>26</x:v>
      </x:c>
      <x:c r="E534" s="18" t="n">
        <x:v>26</x:v>
      </x:c>
      <x:c r="F534" s="24" t="n">
        <x:f>IFERROR('各站彙總來源'!F534/'各站彙總來源'!G534,"")</x:f>
        <x:v>0</x:v>
      </x:c>
      <x:c r="G534" s="19" t="n">
        <x:f>'各站彙總來源'!G534</x:f>
        <x:v>26</x:v>
      </x:c>
      <x:c r="H534" s="24" t="n">
        <x:f>IFERROR('各站彙總來源'!H534/'各站彙總來源'!I534,"")</x:f>
        <x:v>0</x:v>
      </x:c>
      <x:c r="I534" s="19" t="n">
        <x:f>'各站彙總來源'!I534</x:f>
        <x:v>26</x:v>
      </x:c>
      <x:c r="J534" s="24" t="n">
        <x:f>IFERROR('各站彙總來源'!J534/'各站彙總來源'!K534,"")</x:f>
        <x:v>0</x:v>
      </x:c>
      <x:c r="K534" s="19" t="n">
        <x:f>'各站彙總來源'!K534</x:f>
        <x:v>26</x:v>
      </x:c>
      <x:c r="L534" s="24" t="n">
        <x:f>IFERROR('各站彙總來源'!L534/'各站彙總來源'!M534,"")</x:f>
        <x:v>0</x:v>
      </x:c>
      <x:c r="M534" s="19" t="n">
        <x:f>'各站彙總來源'!M534</x:f>
        <x:v>26</x:v>
      </x:c>
      <x:c r="N534" s="24" t="n">
        <x:f>F534+H534</x:f>
        <x:v>0</x:v>
      </x:c>
      <x:c r="O534" s="24" t="n">
        <x:f>J534+L534</x:f>
        <x:v>0</x:v>
      </x:c>
    </x:row>
    <x:row r="535">
      <x:c r="A535" s="22" t="str">
        <x:v>500105053</x:v>
      </x:c>
      <x:c r="B535" s="17" t="str">
        <x:v>文山區</x:v>
      </x:c>
      <x:c r="C535" s="17" t="str">
        <x:v>仙岩公園</x:v>
      </x:c>
      <x:c r="D535" s="18" t="n">
        <x:v>26</x:v>
      </x:c>
      <x:c r="E535" s="18" t="n">
        <x:v>26</x:v>
      </x:c>
      <x:c r="F535" s="24" t="n">
        <x:f>IFERROR('各站彙總來源'!F535/'各站彙總來源'!G535,"")</x:f>
        <x:v>20.807692307692307</x:v>
      </x:c>
      <x:c r="G535" s="19" t="n">
        <x:f>'各站彙總來源'!G535</x:f>
        <x:v>26</x:v>
      </x:c>
      <x:c r="H535" s="24" t="n">
        <x:f>IFERROR('各站彙總來源'!H535/'各站彙總來源'!I535,"")</x:f>
        <x:v>2.4615384615384617</x:v>
      </x:c>
      <x:c r="I535" s="19" t="n">
        <x:f>'各站彙總來源'!I535</x:f>
        <x:v>26</x:v>
      </x:c>
      <x:c r="J535" s="24" t="n">
        <x:f>IFERROR('各站彙總來源'!J535/'各站彙總來源'!K535,"")</x:f>
        <x:v>4.269230769230769</x:v>
      </x:c>
      <x:c r="K535" s="19" t="n">
        <x:f>'各站彙總來源'!K535</x:f>
        <x:v>26</x:v>
      </x:c>
      <x:c r="L535" s="24" t="n">
        <x:f>IFERROR('各站彙總來源'!L535/'各站彙總來源'!M535,"")</x:f>
        <x:v>1</x:v>
      </x:c>
      <x:c r="M535" s="19" t="n">
        <x:f>'各站彙總來源'!M535</x:f>
        <x:v>26</x:v>
      </x:c>
      <x:c r="N535" s="24" t="n">
        <x:f>F535+H535</x:f>
        <x:v>23.269230769230766</x:v>
      </x:c>
      <x:c r="O535" s="24" t="n">
        <x:f>J535+L535</x:f>
        <x:v>5.269230769230769</x:v>
      </x:c>
    </x:row>
    <x:row r="536">
      <x:c r="A536" s="22" t="str">
        <x:v>500105054</x:v>
      </x:c>
      <x:c r="B536" s="17" t="str">
        <x:v>文山區</x:v>
      </x:c>
      <x:c r="C536" s="17" t="str">
        <x:v>政大一街口</x:v>
      </x:c>
      <x:c r="D536" s="18" t="n">
        <x:v>26</x:v>
      </x:c>
      <x:c r="E536" s="18" t="n">
        <x:v>26</x:v>
      </x:c>
      <x:c r="F536" s="24" t="n">
        <x:f>IFERROR('各站彙總來源'!F536/'各站彙總來源'!G536,"")</x:f>
        <x:v>5</x:v>
      </x:c>
      <x:c r="G536" s="19" t="n">
        <x:f>'各站彙總來源'!G536</x:f>
        <x:v>26</x:v>
      </x:c>
      <x:c r="H536" s="24" t="n">
        <x:f>IFERROR('各站彙總來源'!H536/'各站彙總來源'!I536,"")</x:f>
        <x:v>1.2307692307692308</x:v>
      </x:c>
      <x:c r="I536" s="19" t="n">
        <x:f>'各站彙總來源'!I536</x:f>
        <x:v>26</x:v>
      </x:c>
      <x:c r="J536" s="24" t="n">
        <x:f>IFERROR('各站彙總來源'!J536/'各站彙總來源'!K536,"")</x:f>
        <x:v>4.538461538461538</x:v>
      </x:c>
      <x:c r="K536" s="19" t="n">
        <x:f>'各站彙總來源'!K536</x:f>
        <x:v>26</x:v>
      </x:c>
      <x:c r="L536" s="24" t="n">
        <x:f>IFERROR('各站彙總來源'!L536/'各站彙總來源'!M536,"")</x:f>
        <x:v>1</x:v>
      </x:c>
      <x:c r="M536" s="19" t="n">
        <x:f>'各站彙總來源'!M536</x:f>
        <x:v>26</x:v>
      </x:c>
      <x:c r="N536" s="24" t="n">
        <x:f>F536+H536</x:f>
        <x:v>6.230769230769231</x:v>
      </x:c>
      <x:c r="O536" s="24" t="n">
        <x:f>J536+L536</x:f>
        <x:v>5.538461538461538</x:v>
      </x:c>
    </x:row>
    <x:row r="537">
      <x:c r="A537" s="22" t="str">
        <x:v>500105055</x:v>
      </x:c>
      <x:c r="B537" s="17" t="str">
        <x:v>文山區</x:v>
      </x:c>
      <x:c r="C537" s="17" t="str">
        <x:v>文山第二行政中心</x:v>
      </x:c>
      <x:c r="D537" s="18" t="n">
        <x:v>26</x:v>
      </x:c>
      <x:c r="E537" s="18" t="n">
        <x:v>26</x:v>
      </x:c>
      <x:c r="F537" s="24" t="n">
        <x:f>IFERROR('各站彙總來源'!F537/'各站彙總來源'!G537,"")</x:f>
        <x:v>18.846153846153847</x:v>
      </x:c>
      <x:c r="G537" s="19" t="n">
        <x:f>'各站彙總來源'!G537</x:f>
        <x:v>26</x:v>
      </x:c>
      <x:c r="H537" s="24" t="n">
        <x:f>IFERROR('各站彙總來源'!H537/'各站彙總來源'!I537,"")</x:f>
        <x:v>3.0384615384615383</x:v>
      </x:c>
      <x:c r="I537" s="19" t="n">
        <x:f>'各站彙總來源'!I537</x:f>
        <x:v>26</x:v>
      </x:c>
      <x:c r="J537" s="24" t="n">
        <x:f>IFERROR('各站彙總來源'!J537/'各站彙總來源'!K537,"")</x:f>
        <x:v>11.576923076923077</x:v>
      </x:c>
      <x:c r="K537" s="19" t="n">
        <x:f>'各站彙總來源'!K537</x:f>
        <x:v>26</x:v>
      </x:c>
      <x:c r="L537" s="24" t="n">
        <x:f>IFERROR('各站彙總來源'!L537/'各站彙總來源'!M537,"")</x:f>
        <x:v>2.8461538461538463</x:v>
      </x:c>
      <x:c r="M537" s="19" t="n">
        <x:f>'各站彙總來源'!M537</x:f>
        <x:v>26</x:v>
      </x:c>
      <x:c r="N537" s="24" t="n">
        <x:f>F537+H537</x:f>
        <x:v>21.884615384615387</x:v>
      </x:c>
      <x:c r="O537" s="24" t="n">
        <x:f>J537+L537</x:f>
        <x:v>14.423076923076923</x:v>
      </x:c>
    </x:row>
    <x:row r="538">
      <x:c r="A538" s="22" t="str">
        <x:v>500105056</x:v>
      </x:c>
      <x:c r="B538" s="17" t="str">
        <x:v>文山區</x:v>
      </x:c>
      <x:c r="C538" s="17" t="str">
        <x:v>移民署訓練中心</x:v>
      </x:c>
      <x:c r="D538" s="18" t="n">
        <x:v>26</x:v>
      </x:c>
      <x:c r="E538" s="18" t="n">
        <x:v>26</x:v>
      </x:c>
      <x:c r="F538" s="24" t="n">
        <x:f>IFERROR('各站彙總來源'!F538/'各站彙總來源'!G538,"")</x:f>
        <x:v>4.230769230769231</x:v>
      </x:c>
      <x:c r="G538" s="19" t="n">
        <x:f>'各站彙總來源'!G538</x:f>
        <x:v>26</x:v>
      </x:c>
      <x:c r="H538" s="24" t="n">
        <x:f>IFERROR('各站彙總來源'!H538/'各站彙總來源'!I538,"")</x:f>
        <x:v>1.3846153846153846</x:v>
      </x:c>
      <x:c r="I538" s="19" t="n">
        <x:f>'各站彙總來源'!I538</x:f>
        <x:v>26</x:v>
      </x:c>
      <x:c r="J538" s="24" t="n">
        <x:f>IFERROR('各站彙總來源'!J538/'各站彙總來源'!K538,"")</x:f>
        <x:v>7.884615384615385</x:v>
      </x:c>
      <x:c r="K538" s="19" t="n">
        <x:f>'各站彙總來源'!K538</x:f>
        <x:v>26</x:v>
      </x:c>
      <x:c r="L538" s="24" t="n">
        <x:f>IFERROR('各站彙總來源'!L538/'各站彙總來源'!M538,"")</x:f>
        <x:v>1.5769230769230769</x:v>
      </x:c>
      <x:c r="M538" s="19" t="n">
        <x:f>'各站彙總來源'!M538</x:f>
        <x:v>26</x:v>
      </x:c>
      <x:c r="N538" s="24" t="n">
        <x:f>F538+H538</x:f>
        <x:v>5.615384615384615</x:v>
      </x:c>
      <x:c r="O538" s="24" t="n">
        <x:f>J538+L538</x:f>
        <x:v>9.461538461538462</x:v>
      </x:c>
    </x:row>
    <x:row r="539">
      <x:c r="A539" s="22" t="str">
        <x:v>500105057</x:v>
      </x:c>
      <x:c r="B539" s="17" t="str">
        <x:v>文山區</x:v>
      </x:c>
      <x:c r="C539" s="17" t="str">
        <x:v>海巡署(南側)</x:v>
      </x:c>
      <x:c r="D539" s="18" t="n">
        <x:v>26</x:v>
      </x:c>
      <x:c r="E539" s="18" t="n">
        <x:v>26</x:v>
      </x:c>
      <x:c r="F539" s="24" t="n">
        <x:f>IFERROR('各站彙總來源'!F539/'各站彙總來源'!G539,"")</x:f>
        <x:v>4.153846153846154</x:v>
      </x:c>
      <x:c r="G539" s="19" t="n">
        <x:f>'各站彙總來源'!G539</x:f>
        <x:v>26</x:v>
      </x:c>
      <x:c r="H539" s="24" t="n">
        <x:f>IFERROR('各站彙總來源'!H539/'各站彙總來源'!I539,"")</x:f>
        <x:v>1.1153846153846154</x:v>
      </x:c>
      <x:c r="I539" s="19" t="n">
        <x:f>'各站彙總來源'!I539</x:f>
        <x:v>26</x:v>
      </x:c>
      <x:c r="J539" s="24" t="n">
        <x:f>IFERROR('各站彙總來源'!J539/'各站彙總來源'!K539,"")</x:f>
        <x:v>5.461538461538462</x:v>
      </x:c>
      <x:c r="K539" s="19" t="n">
        <x:f>'各站彙總來源'!K539</x:f>
        <x:v>26</x:v>
      </x:c>
      <x:c r="L539" s="24" t="n">
        <x:f>IFERROR('各站彙總來源'!L539/'各站彙總來源'!M539,"")</x:f>
        <x:v>1.0769230769230769</x:v>
      </x:c>
      <x:c r="M539" s="19" t="n">
        <x:f>'各站彙總來源'!M539</x:f>
        <x:v>26</x:v>
      </x:c>
      <x:c r="N539" s="24" t="n">
        <x:f>F539+H539</x:f>
        <x:v>5.26923076923077</x:v>
      </x:c>
      <x:c r="O539" s="24" t="n">
        <x:f>J539+L539</x:f>
        <x:v>6.538461538461538</x:v>
      </x:c>
    </x:row>
    <x:row r="540">
      <x:c r="A540" s="22" t="str">
        <x:v>500105058</x:v>
      </x:c>
      <x:c r="B540" s="17" t="str">
        <x:v>文山區</x:v>
      </x:c>
      <x:c r="C540" s="17" t="str">
        <x:v>明道國小東南側</x:v>
      </x:c>
      <x:c r="D540" s="18" t="n">
        <x:v>26</x:v>
      </x:c>
      <x:c r="E540" s="18" t="n">
        <x:v>26</x:v>
      </x:c>
      <x:c r="F540" s="24" t="n">
        <x:f>IFERROR('各站彙總來源'!F540/'各站彙總來源'!G540,"")</x:f>
        <x:v>3.5</x:v>
      </x:c>
      <x:c r="G540" s="19" t="n">
        <x:f>'各站彙總來源'!G540</x:f>
        <x:v>26</x:v>
      </x:c>
      <x:c r="H540" s="24" t="n">
        <x:f>IFERROR('各站彙總來源'!H540/'各站彙總來源'!I540,"")</x:f>
        <x:v>0.6923076923076923</x:v>
      </x:c>
      <x:c r="I540" s="19" t="n">
        <x:f>'各站彙總來源'!I540</x:f>
        <x:v>26</x:v>
      </x:c>
      <x:c r="J540" s="24" t="n">
        <x:f>IFERROR('各站彙總來源'!J540/'各站彙總來源'!K540,"")</x:f>
        <x:v>3.230769230769231</x:v>
      </x:c>
      <x:c r="K540" s="19" t="n">
        <x:f>'各站彙總來源'!K540</x:f>
        <x:v>26</x:v>
      </x:c>
      <x:c r="L540" s="24" t="n">
        <x:f>IFERROR('各站彙總來源'!L540/'各站彙總來源'!M540,"")</x:f>
        <x:v>0.6153846153846154</x:v>
      </x:c>
      <x:c r="M540" s="19" t="n">
        <x:f>'各站彙總來源'!M540</x:f>
        <x:v>26</x:v>
      </x:c>
      <x:c r="N540" s="24" t="n">
        <x:f>F540+H540</x:f>
        <x:v>4.1923076923076925</x:v>
      </x:c>
      <x:c r="O540" s="24" t="n">
        <x:f>J540+L540</x:f>
        <x:v>3.8461538461538463</x:v>
      </x:c>
    </x:row>
    <x:row r="541">
      <x:c r="A541" s="22" t="str">
        <x:v>500105059</x:v>
      </x:c>
      <x:c r="B541" s="17" t="str">
        <x:v>文山區</x:v>
      </x:c>
      <x:c r="C541" s="17" t="str">
        <x:v>木南公園</x:v>
      </x:c>
      <x:c r="D541" s="18" t="n">
        <x:v>26</x:v>
      </x:c>
      <x:c r="E541" s="18" t="n">
        <x:v>26</x:v>
      </x:c>
      <x:c r="F541" s="24" t="n">
        <x:f>IFERROR('各站彙總來源'!F541/'各站彙總來源'!G541,"")</x:f>
        <x:v>5.230769230769231</x:v>
      </x:c>
      <x:c r="G541" s="19" t="n">
        <x:f>'各站彙總來源'!G541</x:f>
        <x:v>26</x:v>
      </x:c>
      <x:c r="H541" s="24" t="n">
        <x:f>IFERROR('各站彙總來源'!H541/'各站彙總來源'!I541,"")</x:f>
        <x:v>1.8461538461538463</x:v>
      </x:c>
      <x:c r="I541" s="19" t="n">
        <x:f>'各站彙總來源'!I541</x:f>
        <x:v>26</x:v>
      </x:c>
      <x:c r="J541" s="24" t="n">
        <x:f>IFERROR('各站彙總來源'!J541/'各站彙總來源'!K541,"")</x:f>
        <x:v>3.8846153846153846</x:v>
      </x:c>
      <x:c r="K541" s="19" t="n">
        <x:f>'各站彙總來源'!K541</x:f>
        <x:v>26</x:v>
      </x:c>
      <x:c r="L541" s="24" t="n">
        <x:f>IFERROR('各站彙總來源'!L541/'各站彙總來源'!M541,"")</x:f>
        <x:v>0.6923076923076923</x:v>
      </x:c>
      <x:c r="M541" s="19" t="n">
        <x:f>'各站彙總來源'!M541</x:f>
        <x:v>26</x:v>
      </x:c>
      <x:c r="N541" s="24" t="n">
        <x:f>F541+H541</x:f>
        <x:v>7.076923076923077</x:v>
      </x:c>
      <x:c r="O541" s="24" t="n">
        <x:f>J541+L541</x:f>
        <x:v>4.576923076923077</x:v>
      </x:c>
    </x:row>
    <x:row r="542">
      <x:c r="A542" s="22" t="str">
        <x:v>500105060</x:v>
      </x:c>
      <x:c r="B542" s="17" t="str">
        <x:v>文山區</x:v>
      </x:c>
      <x:c r="C542" s="17" t="str">
        <x:v>實踐國中(木新路三段310巷口)</x:v>
      </x:c>
      <x:c r="D542" s="18" t="n">
        <x:v>26</x:v>
      </x:c>
      <x:c r="E542" s="18" t="n">
        <x:v>26</x:v>
      </x:c>
      <x:c r="F542" s="24" t="n">
        <x:f>IFERROR('各站彙總來源'!F542/'各站彙總來源'!G542,"")</x:f>
        <x:v>9.192307692307692</x:v>
      </x:c>
      <x:c r="G542" s="19" t="n">
        <x:f>'各站彙總來源'!G542</x:f>
        <x:v>26</x:v>
      </x:c>
      <x:c r="H542" s="24" t="n">
        <x:f>IFERROR('各站彙總來源'!H542/'各站彙總來源'!I542,"")</x:f>
        <x:v>2.9615384615384617</x:v>
      </x:c>
      <x:c r="I542" s="19" t="n">
        <x:f>'各站彙總來源'!I542</x:f>
        <x:v>26</x:v>
      </x:c>
      <x:c r="J542" s="24" t="n">
        <x:f>IFERROR('各站彙總來源'!J542/'各站彙總來源'!K542,"")</x:f>
        <x:v>7.8076923076923075</x:v>
      </x:c>
      <x:c r="K542" s="19" t="n">
        <x:f>'各站彙總來源'!K542</x:f>
        <x:v>26</x:v>
      </x:c>
      <x:c r="L542" s="24" t="n">
        <x:f>IFERROR('各站彙總來源'!L542/'各站彙總來源'!M542,"")</x:f>
        <x:v>1.7692307692307692</x:v>
      </x:c>
      <x:c r="M542" s="19" t="n">
        <x:f>'各站彙總來源'!M542</x:f>
        <x:v>26</x:v>
      </x:c>
      <x:c r="N542" s="24" t="n">
        <x:f>F542+H542</x:f>
        <x:v>12.153846153846153</x:v>
      </x:c>
      <x:c r="O542" s="24" t="n">
        <x:f>J542+L542</x:f>
        <x:v>9.576923076923077</x:v>
      </x:c>
    </x:row>
    <x:row r="543">
      <x:c r="A543" s="22" t="str">
        <x:v>500105061</x:v>
      </x:c>
      <x:c r="B543" s="17" t="str">
        <x:v>文山區</x:v>
      </x:c>
      <x:c r="C543" s="17" t="str">
        <x:v>師範大學公館校區_1</x:v>
      </x:c>
      <x:c r="D543" s="18" t="n">
        <x:v>26</x:v>
      </x:c>
      <x:c r="E543" s="18" t="n">
        <x:v>26</x:v>
      </x:c>
      <x:c r="F543" s="24" t="n">
        <x:f>IFERROR('各站彙總來源'!F543/'各站彙總來源'!G543,"")</x:f>
        <x:v>13.076923076923077</x:v>
      </x:c>
      <x:c r="G543" s="19" t="n">
        <x:f>'各站彙總來源'!G543</x:f>
        <x:v>26</x:v>
      </x:c>
      <x:c r="H543" s="24" t="n">
        <x:f>IFERROR('各站彙總來源'!H543/'各站彙總來源'!I543,"")</x:f>
        <x:v>2.5</x:v>
      </x:c>
      <x:c r="I543" s="19" t="n">
        <x:f>'各站彙總來源'!I543</x:f>
        <x:v>26</x:v>
      </x:c>
      <x:c r="J543" s="24" t="n">
        <x:f>IFERROR('各站彙總來源'!J543/'各站彙總來源'!K543,"")</x:f>
        <x:v>13.615384615384615</x:v>
      </x:c>
      <x:c r="K543" s="19" t="n">
        <x:f>'各站彙總來源'!K543</x:f>
        <x:v>26</x:v>
      </x:c>
      <x:c r="L543" s="24" t="n">
        <x:f>IFERROR('各站彙總來源'!L543/'各站彙總來源'!M543,"")</x:f>
        <x:v>1.6923076923076923</x:v>
      </x:c>
      <x:c r="M543" s="19" t="n">
        <x:f>'各站彙總來源'!M543</x:f>
        <x:v>26</x:v>
      </x:c>
      <x:c r="N543" s="24" t="n">
        <x:f>F543+H543</x:f>
        <x:v>15.576923076923077</x:v>
      </x:c>
      <x:c r="O543" s="24" t="n">
        <x:f>J543+L543</x:f>
        <x:v>15.307692307692307</x:v>
      </x:c>
    </x:row>
    <x:row r="544">
      <x:c r="A544" s="22" t="str">
        <x:v>500105062</x:v>
      </x:c>
      <x:c r="B544" s="17" t="str">
        <x:v>文山區</x:v>
      </x:c>
      <x:c r="C544" s="17" t="str">
        <x:v>捷運動物園站(2號出口)</x:v>
      </x:c>
      <x:c r="D544" s="18" t="n">
        <x:v>26</x:v>
      </x:c>
      <x:c r="E544" s="18" t="n">
        <x:v>26</x:v>
      </x:c>
      <x:c r="F544" s="24" t="n">
        <x:f>IFERROR('各站彙總來源'!F544/'各站彙總來源'!G544,"")</x:f>
        <x:v>0</x:v>
      </x:c>
      <x:c r="G544" s="19" t="n">
        <x:f>'各站彙總來源'!G544</x:f>
        <x:v>26</x:v>
      </x:c>
      <x:c r="H544" s="24" t="n">
        <x:f>IFERROR('各站彙總來源'!H544/'各站彙總來源'!I544,"")</x:f>
        <x:v>0</x:v>
      </x:c>
      <x:c r="I544" s="19" t="n">
        <x:f>'各站彙總來源'!I544</x:f>
        <x:v>26</x:v>
      </x:c>
      <x:c r="J544" s="24" t="n">
        <x:f>IFERROR('各站彙總來源'!J544/'各站彙總來源'!K544,"")</x:f>
        <x:v>0</x:v>
      </x:c>
      <x:c r="K544" s="19" t="n">
        <x:f>'各站彙總來源'!K544</x:f>
        <x:v>26</x:v>
      </x:c>
      <x:c r="L544" s="24" t="n">
        <x:f>IFERROR('各站彙總來源'!L544/'各站彙總來源'!M544,"")</x:f>
        <x:v>0</x:v>
      </x:c>
      <x:c r="M544" s="19" t="n">
        <x:f>'各站彙總來源'!M544</x:f>
        <x:v>26</x:v>
      </x:c>
      <x:c r="N544" s="24" t="n">
        <x:f>F544+H544</x:f>
        <x:v>0</x:v>
      </x:c>
      <x:c r="O544" s="24" t="n">
        <x:f>J544+L544</x:f>
        <x:v>0</x:v>
      </x:c>
    </x:row>
    <x:row r="545">
      <x:c r="A545" s="22" t="str">
        <x:v>500105063</x:v>
      </x:c>
      <x:c r="B545" s="17" t="str">
        <x:v>文山區</x:v>
      </x:c>
      <x:c r="C545" s="17" t="str">
        <x:v>政大水岸電梯</x:v>
      </x:c>
      <x:c r="D545" s="18" t="n">
        <x:v>26</x:v>
      </x:c>
      <x:c r="E545" s="18" t="n">
        <x:v>26</x:v>
      </x:c>
      <x:c r="F545" s="24" t="n">
        <x:f>IFERROR('各站彙總來源'!F545/'各站彙總來源'!G545,"")</x:f>
        <x:v>3.5384615384615383</x:v>
      </x:c>
      <x:c r="G545" s="19" t="n">
        <x:f>'各站彙總來源'!G545</x:f>
        <x:v>26</x:v>
      </x:c>
      <x:c r="H545" s="24" t="n">
        <x:f>IFERROR('各站彙總來源'!H545/'各站彙總來源'!I545,"")</x:f>
        <x:v>1.0384615384615385</x:v>
      </x:c>
      <x:c r="I545" s="19" t="n">
        <x:f>'各站彙總來源'!I545</x:f>
        <x:v>26</x:v>
      </x:c>
      <x:c r="J545" s="24" t="n">
        <x:f>IFERROR('各站彙總來源'!J545/'各站彙總來源'!K545,"")</x:f>
        <x:v>4.1923076923076925</x:v>
      </x:c>
      <x:c r="K545" s="19" t="n">
        <x:f>'各站彙總來源'!K545</x:f>
        <x:v>26</x:v>
      </x:c>
      <x:c r="L545" s="24" t="n">
        <x:f>IFERROR('各站彙總來源'!L545/'各站彙總來源'!M545,"")</x:f>
        <x:v>1.5769230769230769</x:v>
      </x:c>
      <x:c r="M545" s="19" t="n">
        <x:f>'各站彙總來源'!M545</x:f>
        <x:v>26</x:v>
      </x:c>
      <x:c r="N545" s="24" t="n">
        <x:f>F545+H545</x:f>
        <x:v>4.576923076923077</x:v>
      </x:c>
      <x:c r="O545" s="24" t="n">
        <x:f>J545+L545</x:f>
        <x:v>5.769230769230769</x:v>
      </x:c>
    </x:row>
    <x:row r="546">
      <x:c r="A546" s="22" t="str">
        <x:v>500105064</x:v>
      </x:c>
      <x:c r="B546" s="17" t="str">
        <x:v>文山區</x:v>
      </x:c>
      <x:c r="C546" s="17" t="str">
        <x:v>敦南山林</x:v>
      </x:c>
      <x:c r="D546" s="18" t="n">
        <x:v>26</x:v>
      </x:c>
      <x:c r="E546" s="18" t="n">
        <x:v>26</x:v>
      </x:c>
      <x:c r="F546" s="24" t="n">
        <x:f>IFERROR('各站彙總來源'!F546/'各站彙總來源'!G546,"")</x:f>
        <x:v>5.846153846153846</x:v>
      </x:c>
      <x:c r="G546" s="19" t="n">
        <x:f>'各站彙總來源'!G546</x:f>
        <x:v>26</x:v>
      </x:c>
      <x:c r="H546" s="24" t="n">
        <x:f>IFERROR('各站彙總來源'!H546/'各站彙總來源'!I546,"")</x:f>
        <x:v>1.9615384615384615</x:v>
      </x:c>
      <x:c r="I546" s="19" t="n">
        <x:f>'各站彙總來源'!I546</x:f>
        <x:v>26</x:v>
      </x:c>
      <x:c r="J546" s="24" t="n">
        <x:f>IFERROR('各站彙總來源'!J546/'各站彙總來源'!K546,"")</x:f>
        <x:v>2.230769230769231</x:v>
      </x:c>
      <x:c r="K546" s="19" t="n">
        <x:f>'各站彙總來源'!K546</x:f>
        <x:v>26</x:v>
      </x:c>
      <x:c r="L546" s="24" t="n">
        <x:f>IFERROR('各站彙總來源'!L546/'各站彙總來源'!M546,"")</x:f>
        <x:v>1.4615384615384615</x:v>
      </x:c>
      <x:c r="M546" s="19" t="n">
        <x:f>'各站彙總來源'!M546</x:f>
        <x:v>26</x:v>
      </x:c>
      <x:c r="N546" s="24" t="n">
        <x:f>F546+H546</x:f>
        <x:v>7.8076923076923075</x:v>
      </x:c>
      <x:c r="O546" s="24" t="n">
        <x:f>J546+L546</x:f>
        <x:v>3.6923076923076925</x:v>
      </x:c>
    </x:row>
    <x:row r="547">
      <x:c r="A547" s="22" t="str">
        <x:v>500105065</x:v>
      </x:c>
      <x:c r="B547" s="17" t="str">
        <x:v>文山區</x:v>
      </x:c>
      <x:c r="C547" s="17" t="str">
        <x:v>辛亥路五段73巷口</x:v>
      </x:c>
      <x:c r="D547" s="18" t="n">
        <x:v>26</x:v>
      </x:c>
      <x:c r="E547" s="18" t="n">
        <x:v>26</x:v>
      </x:c>
      <x:c r="F547" s="24" t="n">
        <x:f>IFERROR('各站彙總來源'!F547/'各站彙總來源'!G547,"")</x:f>
        <x:v>0</x:v>
      </x:c>
      <x:c r="G547" s="19" t="n">
        <x:f>'各站彙總來源'!G547</x:f>
        <x:v>26</x:v>
      </x:c>
      <x:c r="H547" s="24" t="n">
        <x:f>IFERROR('各站彙總來源'!H547/'各站彙總來源'!I547,"")</x:f>
        <x:v>0</x:v>
      </x:c>
      <x:c r="I547" s="19" t="n">
        <x:f>'各站彙總來源'!I547</x:f>
        <x:v>26</x:v>
      </x:c>
      <x:c r="J547" s="24" t="n">
        <x:f>IFERROR('各站彙總來源'!J547/'各站彙總來源'!K547,"")</x:f>
        <x:v>0</x:v>
      </x:c>
      <x:c r="K547" s="19" t="n">
        <x:f>'各站彙總來源'!K547</x:f>
        <x:v>26</x:v>
      </x:c>
      <x:c r="L547" s="24" t="n">
        <x:f>IFERROR('各站彙總來源'!L547/'各站彙總來源'!M547,"")</x:f>
        <x:v>0</x:v>
      </x:c>
      <x:c r="M547" s="19" t="n">
        <x:f>'各站彙總來源'!M547</x:f>
        <x:v>26</x:v>
      </x:c>
      <x:c r="N547" s="24" t="n">
        <x:f>F547+H547</x:f>
        <x:v>0</x:v>
      </x:c>
      <x:c r="O547" s="24" t="n">
        <x:f>J547+L547</x:f>
        <x:v>0</x:v>
      </x:c>
    </x:row>
    <x:row r="548">
      <x:c r="A548" s="22" t="str">
        <x:v>500105066</x:v>
      </x:c>
      <x:c r="B548" s="17" t="str">
        <x:v>文山區</x:v>
      </x:c>
      <x:c r="C548" s="17" t="str">
        <x:v>景美污水抽水站</x:v>
      </x:c>
      <x:c r="D548" s="18" t="n">
        <x:v>26</x:v>
      </x:c>
      <x:c r="E548" s="18" t="n">
        <x:v>26</x:v>
      </x:c>
      <x:c r="F548" s="24" t="n">
        <x:f>IFERROR('各站彙總來源'!F548/'各站彙總來源'!G548,"")</x:f>
        <x:v>3.3846153846153846</x:v>
      </x:c>
      <x:c r="G548" s="19" t="n">
        <x:f>'各站彙總來源'!G548</x:f>
        <x:v>26</x:v>
      </x:c>
      <x:c r="H548" s="24" t="n">
        <x:f>IFERROR('各站彙總來源'!H548/'各站彙總來源'!I548,"")</x:f>
        <x:v>0.2692307692307692</x:v>
      </x:c>
      <x:c r="I548" s="19" t="n">
        <x:f>'各站彙總來源'!I548</x:f>
        <x:v>26</x:v>
      </x:c>
      <x:c r="J548" s="24" t="n">
        <x:f>IFERROR('各站彙總來源'!J548/'各站彙總來源'!K548,"")</x:f>
        <x:v>4.3076923076923075</x:v>
      </x:c>
      <x:c r="K548" s="19" t="n">
        <x:f>'各站彙總來源'!K548</x:f>
        <x:v>26</x:v>
      </x:c>
      <x:c r="L548" s="24" t="n">
        <x:f>IFERROR('各站彙總來源'!L548/'各站彙總來源'!M548,"")</x:f>
        <x:v>0.8461538461538461</x:v>
      </x:c>
      <x:c r="M548" s="19" t="n">
        <x:f>'各站彙總來源'!M548</x:f>
        <x:v>26</x:v>
      </x:c>
      <x:c r="N548" s="24" t="n">
        <x:f>F548+H548</x:f>
        <x:v>3.6538461538461537</x:v>
      </x:c>
      <x:c r="O548" s="24" t="n">
        <x:f>J548+L548</x:f>
        <x:v>5.153846153846153</x:v>
      </x:c>
    </x:row>
    <x:row r="549">
      <x:c r="A549" s="22" t="str">
        <x:v>500105067</x:v>
      </x:c>
      <x:c r="B549" s="17" t="str">
        <x:v>文山區</x:v>
      </x:c>
      <x:c r="C549" s="17" t="str">
        <x:v>萬和三號公園(北側)</x:v>
      </x:c>
      <x:c r="D549" s="18" t="n">
        <x:v>26</x:v>
      </x:c>
      <x:c r="E549" s="18" t="n">
        <x:v>26</x:v>
      </x:c>
      <x:c r="F549" s="24" t="n">
        <x:f>IFERROR('各站彙總來源'!F549/'各站彙總來源'!G549,"")</x:f>
        <x:v>26.73076923076923</x:v>
      </x:c>
      <x:c r="G549" s="19" t="n">
        <x:f>'各站彙總來源'!G549</x:f>
        <x:v>26</x:v>
      </x:c>
      <x:c r="H549" s="24" t="n">
        <x:f>IFERROR('各站彙總來源'!H549/'各站彙總來源'!I549,"")</x:f>
        <x:v>1.6153846153846154</x:v>
      </x:c>
      <x:c r="I549" s="19" t="n">
        <x:f>'各站彙總來源'!I549</x:f>
        <x:v>26</x:v>
      </x:c>
      <x:c r="J549" s="24" t="n">
        <x:f>IFERROR('各站彙總來源'!J549/'各站彙總來源'!K549,"")</x:f>
        <x:v>8.461538461538462</x:v>
      </x:c>
      <x:c r="K549" s="19" t="n">
        <x:f>'各站彙總來源'!K549</x:f>
        <x:v>26</x:v>
      </x:c>
      <x:c r="L549" s="24" t="n">
        <x:f>IFERROR('各站彙總來源'!L549/'各站彙總來源'!M549,"")</x:f>
        <x:v>1.2307692307692308</x:v>
      </x:c>
      <x:c r="M549" s="19" t="n">
        <x:f>'各站彙總來源'!M549</x:f>
        <x:v>26</x:v>
      </x:c>
      <x:c r="N549" s="24" t="n">
        <x:f>F549+H549</x:f>
        <x:v>28.346153846153847</x:v>
      </x:c>
      <x:c r="O549" s="24" t="n">
        <x:f>J549+L549</x:f>
        <x:v>9.692307692307693</x:v>
      </x:c>
    </x:row>
    <x:row r="550">
      <x:c r="A550" s="22" t="str">
        <x:v>500105068</x:v>
      </x:c>
      <x:c r="B550" s="17" t="str">
        <x:v>文山區</x:v>
      </x:c>
      <x:c r="C550" s="17" t="str">
        <x:v>景興國中</x:v>
      </x:c>
      <x:c r="D550" s="18" t="n">
        <x:v>26</x:v>
      </x:c>
      <x:c r="E550" s="18" t="n">
        <x:v>26</x:v>
      </x:c>
      <x:c r="F550" s="24" t="n">
        <x:f>IFERROR('各站彙總來源'!F550/'各站彙總來源'!G550,"")</x:f>
        <x:v>5.846153846153846</x:v>
      </x:c>
      <x:c r="G550" s="19" t="n">
        <x:f>'各站彙總來源'!G550</x:f>
        <x:v>26</x:v>
      </x:c>
      <x:c r="H550" s="24" t="n">
        <x:f>IFERROR('各站彙總來源'!H550/'各站彙總來源'!I550,"")</x:f>
        <x:v>0.8461538461538461</x:v>
      </x:c>
      <x:c r="I550" s="19" t="n">
        <x:f>'各站彙總來源'!I550</x:f>
        <x:v>26</x:v>
      </x:c>
      <x:c r="J550" s="24" t="n">
        <x:f>IFERROR('各站彙總來源'!J550/'各站彙總來源'!K550,"")</x:f>
        <x:v>11.192307692307692</x:v>
      </x:c>
      <x:c r="K550" s="19" t="n">
        <x:f>'各站彙總來源'!K550</x:f>
        <x:v>26</x:v>
      </x:c>
      <x:c r="L550" s="24" t="n">
        <x:f>IFERROR('各站彙總來源'!L550/'各站彙總來源'!M550,"")</x:f>
        <x:v>1</x:v>
      </x:c>
      <x:c r="M550" s="19" t="n">
        <x:f>'各站彙總來源'!M550</x:f>
        <x:v>26</x:v>
      </x:c>
      <x:c r="N550" s="24" t="n">
        <x:f>F550+H550</x:f>
        <x:v>6.692307692307692</x:v>
      </x:c>
      <x:c r="O550" s="24" t="n">
        <x:f>J550+L550</x:f>
        <x:v>12.192307692307692</x:v>
      </x:c>
    </x:row>
    <x:row r="551">
      <x:c r="A551" s="22" t="str">
        <x:v>500105069</x:v>
      </x:c>
      <x:c r="B551" s="17" t="str">
        <x:v>文山區</x:v>
      </x:c>
      <x:c r="C551" s="17" t="str">
        <x:v>景仁公園_1</x:v>
      </x:c>
      <x:c r="D551" s="18" t="n">
        <x:v>26</x:v>
      </x:c>
      <x:c r="E551" s="18" t="n">
        <x:v>26</x:v>
      </x:c>
      <x:c r="F551" s="24" t="n">
        <x:f>IFERROR('各站彙總來源'!F551/'各站彙總來源'!G551,"")</x:f>
        <x:v>16.53846153846154</x:v>
      </x:c>
      <x:c r="G551" s="19" t="n">
        <x:f>'各站彙總來源'!G551</x:f>
        <x:v>26</x:v>
      </x:c>
      <x:c r="H551" s="24" t="n">
        <x:f>IFERROR('各站彙總來源'!H551/'各站彙總來源'!I551,"")</x:f>
        <x:v>2.230769230769231</x:v>
      </x:c>
      <x:c r="I551" s="19" t="n">
        <x:f>'各站彙總來源'!I551</x:f>
        <x:v>26</x:v>
      </x:c>
      <x:c r="J551" s="24" t="n">
        <x:f>IFERROR('各站彙總來源'!J551/'各站彙總來源'!K551,"")</x:f>
        <x:v>7.461538461538462</x:v>
      </x:c>
      <x:c r="K551" s="19" t="n">
        <x:f>'各站彙總來源'!K551</x:f>
        <x:v>26</x:v>
      </x:c>
      <x:c r="L551" s="24" t="n">
        <x:f>IFERROR('各站彙總來源'!L551/'各站彙總來源'!M551,"")</x:f>
        <x:v>1.2307692307692308</x:v>
      </x:c>
      <x:c r="M551" s="19" t="n">
        <x:f>'各站彙總來源'!M551</x:f>
        <x:v>26</x:v>
      </x:c>
      <x:c r="N551" s="24" t="n">
        <x:f>F551+H551</x:f>
        <x:v>18.76923076923077</x:v>
      </x:c>
      <x:c r="O551" s="24" t="n">
        <x:f>J551+L551</x:f>
        <x:v>8.692307692307693</x:v>
      </x:c>
    </x:row>
    <x:row r="552">
      <x:c r="A552" s="22" t="str">
        <x:v>500105070</x:v>
      </x:c>
      <x:c r="B552" s="17" t="str">
        <x:v>文山區</x:v>
      </x:c>
      <x:c r="C552" s="17" t="str">
        <x:v>師大公館校區學二舍</x:v>
      </x:c>
      <x:c r="D552" s="18" t="n">
        <x:v>26</x:v>
      </x:c>
      <x:c r="E552" s="18" t="n">
        <x:v>26</x:v>
      </x:c>
      <x:c r="F552" s="24" t="n">
        <x:f>IFERROR('各站彙總來源'!F552/'各站彙總來源'!G552,"")</x:f>
        <x:v>53.19230769230769</x:v>
      </x:c>
      <x:c r="G552" s="19" t="n">
        <x:f>'各站彙總來源'!G552</x:f>
        <x:v>26</x:v>
      </x:c>
      <x:c r="H552" s="24" t="n">
        <x:f>IFERROR('各站彙總來源'!H552/'各站彙總來源'!I552,"")</x:f>
        <x:v>4.846153846153846</x:v>
      </x:c>
      <x:c r="I552" s="19" t="n">
        <x:f>'各站彙總來源'!I552</x:f>
        <x:v>26</x:v>
      </x:c>
      <x:c r="J552" s="24" t="n">
        <x:f>IFERROR('各站彙總來源'!J552/'各站彙總來源'!K552,"")</x:f>
        <x:v>20.96153846153846</x:v>
      </x:c>
      <x:c r="K552" s="19" t="n">
        <x:f>'各站彙總來源'!K552</x:f>
        <x:v>26</x:v>
      </x:c>
      <x:c r="L552" s="24" t="n">
        <x:f>IFERROR('各站彙總來源'!L552/'各站彙總來源'!M552,"")</x:f>
        <x:v>2.769230769230769</x:v>
      </x:c>
      <x:c r="M552" s="19" t="n">
        <x:f>'各站彙總來源'!M552</x:f>
        <x:v>26</x:v>
      </x:c>
      <x:c r="N552" s="24" t="n">
        <x:f>F552+H552</x:f>
        <x:v>58.03846153846154</x:v>
      </x:c>
      <x:c r="O552" s="24" t="n">
        <x:f>J552+L552</x:f>
        <x:v>23.73076923076923</x:v>
      </x:c>
    </x:row>
    <x:row r="553">
      <x:c r="A553" s="22" t="str">
        <x:v>500105071</x:v>
      </x:c>
      <x:c r="B553" s="17" t="str">
        <x:v>文山區</x:v>
      </x:c>
      <x:c r="C553" s="17" t="str">
        <x:v>景行公園</x:v>
      </x:c>
      <x:c r="D553" s="18" t="n">
        <x:v>26</x:v>
      </x:c>
      <x:c r="E553" s="18" t="n">
        <x:v>26</x:v>
      </x:c>
      <x:c r="F553" s="24" t="n">
        <x:f>IFERROR('各站彙總來源'!F553/'各站彙總來源'!G553,"")</x:f>
        <x:v>6.3076923076923075</x:v>
      </x:c>
      <x:c r="G553" s="19" t="n">
        <x:f>'各站彙總來源'!G553</x:f>
        <x:v>26</x:v>
      </x:c>
      <x:c r="H553" s="24" t="n">
        <x:f>IFERROR('各站彙總來源'!H553/'各站彙總來源'!I553,"")</x:f>
        <x:v>1.1153846153846154</x:v>
      </x:c>
      <x:c r="I553" s="19" t="n">
        <x:f>'各站彙總來源'!I553</x:f>
        <x:v>26</x:v>
      </x:c>
      <x:c r="J553" s="24" t="n">
        <x:f>IFERROR('各站彙總來源'!J553/'各站彙總來源'!K553,"")</x:f>
        <x:v>6.923076923076923</x:v>
      </x:c>
      <x:c r="K553" s="19" t="n">
        <x:f>'各站彙總來源'!K553</x:f>
        <x:v>26</x:v>
      </x:c>
      <x:c r="L553" s="24" t="n">
        <x:f>IFERROR('各站彙總來源'!L553/'各站彙總來源'!M553,"")</x:f>
        <x:v>1</x:v>
      </x:c>
      <x:c r="M553" s="19" t="n">
        <x:f>'各站彙總來源'!M553</x:f>
        <x:v>26</x:v>
      </x:c>
      <x:c r="N553" s="24" t="n">
        <x:f>F553+H553</x:f>
        <x:v>7.423076923076923</x:v>
      </x:c>
      <x:c r="O553" s="24" t="n">
        <x:f>J553+L553</x:f>
        <x:v>7.923076923076923</x:v>
      </x:c>
    </x:row>
    <x:row r="554">
      <x:c r="A554" s="22" t="str">
        <x:v>500105072</x:v>
      </x:c>
      <x:c r="B554" s="17" t="str">
        <x:v>文山區</x:v>
      </x:c>
      <x:c r="C554" s="17" t="str">
        <x:v>萬興國小</x:v>
      </x:c>
      <x:c r="D554" s="18" t="n">
        <x:v>26</x:v>
      </x:c>
      <x:c r="E554" s="18" t="n">
        <x:v>26</x:v>
      </x:c>
      <x:c r="F554" s="24" t="n">
        <x:f>IFERROR('各站彙總來源'!F554/'各站彙總來源'!G554,"")</x:f>
        <x:v>5.038461538461538</x:v>
      </x:c>
      <x:c r="G554" s="19" t="n">
        <x:f>'各站彙總來源'!G554</x:f>
        <x:v>26</x:v>
      </x:c>
      <x:c r="H554" s="24" t="n">
        <x:f>IFERROR('各站彙總來源'!H554/'各站彙總來源'!I554,"")</x:f>
        <x:v>1.4615384615384615</x:v>
      </x:c>
      <x:c r="I554" s="19" t="n">
        <x:f>'各站彙總來源'!I554</x:f>
        <x:v>26</x:v>
      </x:c>
      <x:c r="J554" s="24" t="n">
        <x:f>IFERROR('各站彙總來源'!J554/'各站彙總來源'!K554,"")</x:f>
        <x:v>7.653846153846154</x:v>
      </x:c>
      <x:c r="K554" s="19" t="n">
        <x:f>'各站彙總來源'!K554</x:f>
        <x:v>26</x:v>
      </x:c>
      <x:c r="L554" s="24" t="n">
        <x:f>IFERROR('各站彙總來源'!L554/'各站彙總來源'!M554,"")</x:f>
        <x:v>2.1153846153846154</x:v>
      </x:c>
      <x:c r="M554" s="19" t="n">
        <x:f>'各站彙總來源'!M554</x:f>
        <x:v>26</x:v>
      </x:c>
      <x:c r="N554" s="24" t="n">
        <x:f>F554+H554</x:f>
        <x:v>6.5</x:v>
      </x:c>
      <x:c r="O554" s="24" t="n">
        <x:f>J554+L554</x:f>
        <x:v>9.76923076923077</x:v>
      </x:c>
    </x:row>
    <x:row r="555">
      <x:c r="A555" s="22" t="str">
        <x:v>500105073</x:v>
      </x:c>
      <x:c r="B555" s="17" t="str">
        <x:v>文山區</x:v>
      </x:c>
      <x:c r="C555" s="17" t="str">
        <x:v>辛亥路四段77巷口</x:v>
      </x:c>
      <x:c r="D555" s="18" t="n">
        <x:v>26</x:v>
      </x:c>
      <x:c r="E555" s="18" t="n">
        <x:v>26</x:v>
      </x:c>
      <x:c r="F555" s="24" t="n">
        <x:f>IFERROR('各站彙總來源'!F555/'各站彙總來源'!G555,"")</x:f>
        <x:v>14.384615384615385</x:v>
      </x:c>
      <x:c r="G555" s="19" t="n">
        <x:f>'各站彙總來源'!G555</x:f>
        <x:v>26</x:v>
      </x:c>
      <x:c r="H555" s="24" t="n">
        <x:f>IFERROR('各站彙總來源'!H555/'各站彙總來源'!I555,"")</x:f>
        <x:v>4.3076923076923075</x:v>
      </x:c>
      <x:c r="I555" s="19" t="n">
        <x:f>'各站彙總來源'!I555</x:f>
        <x:v>26</x:v>
      </x:c>
      <x:c r="J555" s="24" t="n">
        <x:f>IFERROR('各站彙總來源'!J555/'各站彙總來源'!K555,"")</x:f>
        <x:v>4.923076923076923</x:v>
      </x:c>
      <x:c r="K555" s="19" t="n">
        <x:f>'各站彙總來源'!K555</x:f>
        <x:v>26</x:v>
      </x:c>
      <x:c r="L555" s="24" t="n">
        <x:f>IFERROR('各站彙總來源'!L555/'各站彙總來源'!M555,"")</x:f>
        <x:v>1.7307692307692308</x:v>
      </x:c>
      <x:c r="M555" s="19" t="n">
        <x:f>'各站彙總來源'!M555</x:f>
        <x:v>26</x:v>
      </x:c>
      <x:c r="N555" s="24" t="n">
        <x:f>F555+H555</x:f>
        <x:v>18.692307692307693</x:v>
      </x:c>
      <x:c r="O555" s="24" t="n">
        <x:f>J555+L555</x:f>
        <x:v>6.653846153846154</x:v>
      </x:c>
    </x:row>
    <x:row r="556">
      <x:c r="A556" s="22" t="str">
        <x:v>500105074</x:v>
      </x:c>
      <x:c r="B556" s="17" t="str">
        <x:v>文山區</x:v>
      </x:c>
      <x:c r="C556" s="17" t="str">
        <x:v>景興路42巷口</x:v>
      </x:c>
      <x:c r="D556" s="18" t="n">
        <x:v>26</x:v>
      </x:c>
      <x:c r="E556" s="18" t="n">
        <x:v>26</x:v>
      </x:c>
      <x:c r="F556" s="24" t="n">
        <x:f>IFERROR('各站彙總來源'!F556/'各站彙總來源'!G556,"")</x:f>
        <x:v>3</x:v>
      </x:c>
      <x:c r="G556" s="19" t="n">
        <x:f>'各站彙總來源'!G556</x:f>
        <x:v>26</x:v>
      </x:c>
      <x:c r="H556" s="24" t="n">
        <x:f>IFERROR('各站彙總來源'!H556/'各站彙總來源'!I556,"")</x:f>
        <x:v>1.3461538461538463</x:v>
      </x:c>
      <x:c r="I556" s="19" t="n">
        <x:f>'各站彙總來源'!I556</x:f>
        <x:v>26</x:v>
      </x:c>
      <x:c r="J556" s="24" t="n">
        <x:f>IFERROR('各站彙總來源'!J556/'各站彙總來源'!K556,"")</x:f>
        <x:v>2.5384615384615383</x:v>
      </x:c>
      <x:c r="K556" s="19" t="n">
        <x:f>'各站彙總來源'!K556</x:f>
        <x:v>26</x:v>
      </x:c>
      <x:c r="L556" s="24" t="n">
        <x:f>IFERROR('各站彙總來源'!L556/'各站彙總來源'!M556,"")</x:f>
        <x:v>0.2692307692307692</x:v>
      </x:c>
      <x:c r="M556" s="19" t="n">
        <x:f>'各站彙總來源'!M556</x:f>
        <x:v>26</x:v>
      </x:c>
      <x:c r="N556" s="24" t="n">
        <x:f>F556+H556</x:f>
        <x:v>4.346153846153847</x:v>
      </x:c>
      <x:c r="O556" s="24" t="n">
        <x:f>J556+L556</x:f>
        <x:v>2.8076923076923075</x:v>
      </x:c>
    </x:row>
    <x:row r="557">
      <x:c r="A557" s="22" t="str">
        <x:v>500105075</x:v>
      </x:c>
      <x:c r="B557" s="17" t="str">
        <x:v>文山區</x:v>
      </x:c>
      <x:c r="C557" s="17" t="str">
        <x:v>木柵路三段48巷</x:v>
      </x:c>
      <x:c r="D557" s="18" t="n">
        <x:v>26</x:v>
      </x:c>
      <x:c r="E557" s="18" t="n">
        <x:v>26</x:v>
      </x:c>
      <x:c r="F557" s="24" t="n">
        <x:f>IFERROR('各站彙總來源'!F557/'各站彙總來源'!G557,"")</x:f>
        <x:v>2.5384615384615383</x:v>
      </x:c>
      <x:c r="G557" s="19" t="n">
        <x:f>'各站彙總來源'!G557</x:f>
        <x:v>26</x:v>
      </x:c>
      <x:c r="H557" s="24" t="n">
        <x:f>IFERROR('各站彙總來源'!H557/'各站彙總來源'!I557,"")</x:f>
        <x:v>0.4230769230769231</x:v>
      </x:c>
      <x:c r="I557" s="19" t="n">
        <x:f>'各站彙總來源'!I557</x:f>
        <x:v>26</x:v>
      </x:c>
      <x:c r="J557" s="24" t="n">
        <x:f>IFERROR('各站彙總來源'!J557/'各站彙總來源'!K557,"")</x:f>
        <x:v>7.769230769230769</x:v>
      </x:c>
      <x:c r="K557" s="19" t="n">
        <x:f>'各站彙總來源'!K557</x:f>
        <x:v>26</x:v>
      </x:c>
      <x:c r="L557" s="24" t="n">
        <x:f>IFERROR('各站彙總來源'!L557/'各站彙總來源'!M557,"")</x:f>
        <x:v>2.076923076923077</x:v>
      </x:c>
      <x:c r="M557" s="19" t="n">
        <x:f>'各站彙總來源'!M557</x:f>
        <x:v>26</x:v>
      </x:c>
      <x:c r="N557" s="24" t="n">
        <x:f>F557+H557</x:f>
        <x:v>2.9615384615384612</x:v>
      </x:c>
      <x:c r="O557" s="24" t="n">
        <x:f>J557+L557</x:f>
        <x:v>9.846153846153847</x:v>
      </x:c>
    </x:row>
    <x:row r="558">
      <x:c r="A558" s="22" t="str">
        <x:v>500105076</x:v>
      </x:c>
      <x:c r="B558" s="17" t="str">
        <x:v>文山區</x:v>
      </x:c>
      <x:c r="C558" s="17" t="str">
        <x:v>木柵路二段109巷</x:v>
      </x:c>
      <x:c r="D558" s="18" t="n">
        <x:v>26</x:v>
      </x:c>
      <x:c r="E558" s="18" t="n">
        <x:v>26</x:v>
      </x:c>
      <x:c r="F558" s="24" t="n">
        <x:f>IFERROR('各站彙總來源'!F558/'各站彙總來源'!G558,"")</x:f>
        <x:v>10.23076923076923</x:v>
      </x:c>
      <x:c r="G558" s="19" t="n">
        <x:f>'各站彙總來源'!G558</x:f>
        <x:v>26</x:v>
      </x:c>
      <x:c r="H558" s="24" t="n">
        <x:f>IFERROR('各站彙總來源'!H558/'各站彙總來源'!I558,"")</x:f>
        <x:v>2.9615384615384617</x:v>
      </x:c>
      <x:c r="I558" s="19" t="n">
        <x:f>'各站彙總來源'!I558</x:f>
        <x:v>26</x:v>
      </x:c>
      <x:c r="J558" s="24" t="n">
        <x:f>IFERROR('各站彙總來源'!J558/'各站彙總來源'!K558,"")</x:f>
        <x:v>6.961538461538462</x:v>
      </x:c>
      <x:c r="K558" s="19" t="n">
        <x:f>'各站彙總來源'!K558</x:f>
        <x:v>26</x:v>
      </x:c>
      <x:c r="L558" s="24" t="n">
        <x:f>IFERROR('各站彙總來源'!L558/'各站彙總來源'!M558,"")</x:f>
        <x:v>1.3461538461538463</x:v>
      </x:c>
      <x:c r="M558" s="19" t="n">
        <x:f>'各站彙總來源'!M558</x:f>
        <x:v>26</x:v>
      </x:c>
      <x:c r="N558" s="24" t="n">
        <x:f>F558+H558</x:f>
        <x:v>13.192307692307692</x:v>
      </x:c>
      <x:c r="O558" s="24" t="n">
        <x:f>J558+L558</x:f>
        <x:v>8.307692307692308</x:v>
      </x:c>
    </x:row>
    <x:row r="559">
      <x:c r="A559" s="22" t="str">
        <x:v>500105077</x:v>
      </x:c>
      <x:c r="B559" s="17" t="str">
        <x:v>文山區</x:v>
      </x:c>
      <x:c r="C559" s="17" t="str">
        <x:v>試院公園</x:v>
      </x:c>
      <x:c r="D559" s="18" t="n">
        <x:v>26</x:v>
      </x:c>
      <x:c r="E559" s="18" t="n">
        <x:v>26</x:v>
      </x:c>
      <x:c r="F559" s="24" t="n">
        <x:f>IFERROR('各站彙總來源'!F559/'各站彙總來源'!G559,"")</x:f>
        <x:v>7.923076923076923</x:v>
      </x:c>
      <x:c r="G559" s="19" t="n">
        <x:f>'各站彙總來源'!G559</x:f>
        <x:v>26</x:v>
      </x:c>
      <x:c r="H559" s="24" t="n">
        <x:f>IFERROR('各站彙總來源'!H559/'各站彙總來源'!I559,"")</x:f>
        <x:v>1.8461538461538463</x:v>
      </x:c>
      <x:c r="I559" s="19" t="n">
        <x:f>'各站彙總來源'!I559</x:f>
        <x:v>26</x:v>
      </x:c>
      <x:c r="J559" s="24" t="n">
        <x:f>IFERROR('各站彙總來源'!J559/'各站彙總來源'!K559,"")</x:f>
        <x:v>3.923076923076923</x:v>
      </x:c>
      <x:c r="K559" s="19" t="n">
        <x:f>'各站彙總來源'!K559</x:f>
        <x:v>26</x:v>
      </x:c>
      <x:c r="L559" s="24" t="n">
        <x:f>IFERROR('各站彙總來源'!L559/'各站彙總來源'!M559,"")</x:f>
        <x:v>0.9230769230769231</x:v>
      </x:c>
      <x:c r="M559" s="19" t="n">
        <x:f>'各站彙總來源'!M559</x:f>
        <x:v>26</x:v>
      </x:c>
      <x:c r="N559" s="24" t="n">
        <x:f>F559+H559</x:f>
        <x:v>9.76923076923077</x:v>
      </x:c>
      <x:c r="O559" s="24" t="n">
        <x:f>J559+L559</x:f>
        <x:v>4.846153846153846</x:v>
      </x:c>
    </x:row>
    <x:row r="560">
      <x:c r="A560" s="22" t="str">
        <x:v>500105078</x:v>
      </x:c>
      <x:c r="B560" s="17" t="str">
        <x:v>文山區</x:v>
      </x:c>
      <x:c r="C560" s="17" t="str">
        <x:v>溪口街107巷口</x:v>
      </x:c>
      <x:c r="D560" s="18" t="n">
        <x:v>26</x:v>
      </x:c>
      <x:c r="E560" s="18" t="n">
        <x:v>26</x:v>
      </x:c>
      <x:c r="F560" s="24" t="n">
        <x:f>IFERROR('各站彙總來源'!F560/'各站彙總來源'!G560,"")</x:f>
        <x:v>0</x:v>
      </x:c>
      <x:c r="G560" s="19" t="n">
        <x:f>'各站彙總來源'!G560</x:f>
        <x:v>26</x:v>
      </x:c>
      <x:c r="H560" s="24" t="n">
        <x:f>IFERROR('各站彙總來源'!H560/'各站彙總來源'!I560,"")</x:f>
        <x:v>0</x:v>
      </x:c>
      <x:c r="I560" s="19" t="n">
        <x:f>'各站彙總來源'!I560</x:f>
        <x:v>26</x:v>
      </x:c>
      <x:c r="J560" s="24" t="n">
        <x:f>IFERROR('各站彙總來源'!J560/'各站彙總來源'!K560,"")</x:f>
        <x:v>0</x:v>
      </x:c>
      <x:c r="K560" s="19" t="n">
        <x:f>'各站彙總來源'!K560</x:f>
        <x:v>26</x:v>
      </x:c>
      <x:c r="L560" s="24" t="n">
        <x:f>IFERROR('各站彙總來源'!L560/'各站彙總來源'!M560,"")</x:f>
        <x:v>0</x:v>
      </x:c>
      <x:c r="M560" s="19" t="n">
        <x:f>'各站彙總來源'!M560</x:f>
        <x:v>26</x:v>
      </x:c>
      <x:c r="N560" s="24" t="n">
        <x:f>F560+H560</x:f>
        <x:v>0</x:v>
      </x:c>
      <x:c r="O560" s="24" t="n">
        <x:f>J560+L560</x:f>
        <x:v>0</x:v>
      </x:c>
    </x:row>
    <x:row r="561">
      <x:c r="A561" s="22" t="str">
        <x:v>500105079</x:v>
      </x:c>
      <x:c r="B561" s="17" t="str">
        <x:v>文山區</x:v>
      </x:c>
      <x:c r="C561" s="17" t="str">
        <x:v>樟樹公園</x:v>
      </x:c>
      <x:c r="D561" s="18" t="n">
        <x:v>26</x:v>
      </x:c>
      <x:c r="E561" s="18" t="n">
        <x:v>26</x:v>
      </x:c>
      <x:c r="F561" s="24" t="n">
        <x:f>IFERROR('各站彙總來源'!F561/'各站彙總來源'!G561,"")</x:f>
        <x:v>20.76923076923077</x:v>
      </x:c>
      <x:c r="G561" s="19" t="n">
        <x:f>'各站彙總來源'!G561</x:f>
        <x:v>26</x:v>
      </x:c>
      <x:c r="H561" s="24" t="n">
        <x:f>IFERROR('各站彙總來源'!H561/'各站彙總來源'!I561,"")</x:f>
        <x:v>3.269230769230769</x:v>
      </x:c>
      <x:c r="I561" s="19" t="n">
        <x:f>'各站彙總來源'!I561</x:f>
        <x:v>26</x:v>
      </x:c>
      <x:c r="J561" s="24" t="n">
        <x:f>IFERROR('各站彙總來源'!J561/'各站彙總來源'!K561,"")</x:f>
        <x:v>10.23076923076923</x:v>
      </x:c>
      <x:c r="K561" s="19" t="n">
        <x:f>'各站彙總來源'!K561</x:f>
        <x:v>26</x:v>
      </x:c>
      <x:c r="L561" s="24" t="n">
        <x:f>IFERROR('各站彙總來源'!L561/'各站彙總來源'!M561,"")</x:f>
        <x:v>1.5</x:v>
      </x:c>
      <x:c r="M561" s="19" t="n">
        <x:f>'各站彙總來源'!M561</x:f>
        <x:v>26</x:v>
      </x:c>
      <x:c r="N561" s="24" t="n">
        <x:f>F561+H561</x:f>
        <x:v>24.03846153846154</x:v>
      </x:c>
      <x:c r="O561" s="24" t="n">
        <x:f>J561+L561</x:f>
        <x:v>11.73076923076923</x:v>
      </x:c>
    </x:row>
    <x:row r="562">
      <x:c r="A562" s="22" t="str">
        <x:v>500105080</x:v>
      </x:c>
      <x:c r="B562" s="17" t="str">
        <x:v>文山區</x:v>
      </x:c>
      <x:c r="C562" s="17" t="str">
        <x:v>萬美萬安街口</x:v>
      </x:c>
      <x:c r="D562" s="18" t="n">
        <x:v>26</x:v>
      </x:c>
      <x:c r="E562" s="18" t="n">
        <x:v>26</x:v>
      </x:c>
      <x:c r="F562" s="24" t="n">
        <x:f>IFERROR('各站彙總來源'!F562/'各站彙總來源'!G562,"")</x:f>
        <x:v>12.423076923076923</x:v>
      </x:c>
      <x:c r="G562" s="19" t="n">
        <x:f>'各站彙總來源'!G562</x:f>
        <x:v>26</x:v>
      </x:c>
      <x:c r="H562" s="24" t="n">
        <x:f>IFERROR('各站彙總來源'!H562/'各站彙總來源'!I562,"")</x:f>
        <x:v>2.3076923076923075</x:v>
      </x:c>
      <x:c r="I562" s="19" t="n">
        <x:f>'各站彙總來源'!I562</x:f>
        <x:v>26</x:v>
      </x:c>
      <x:c r="J562" s="24" t="n">
        <x:f>IFERROR('各站彙總來源'!J562/'各站彙總來源'!K562,"")</x:f>
        <x:v>4.923076923076923</x:v>
      </x:c>
      <x:c r="K562" s="19" t="n">
        <x:f>'各站彙總來源'!K562</x:f>
        <x:v>26</x:v>
      </x:c>
      <x:c r="L562" s="24" t="n">
        <x:f>IFERROR('各站彙總來源'!L562/'各站彙總來源'!M562,"")</x:f>
        <x:v>1.5384615384615385</x:v>
      </x:c>
      <x:c r="M562" s="19" t="n">
        <x:f>'各站彙總來源'!M562</x:f>
        <x:v>26</x:v>
      </x:c>
      <x:c r="N562" s="24" t="n">
        <x:f>F562+H562</x:f>
        <x:v>14.73076923076923</x:v>
      </x:c>
      <x:c r="O562" s="24" t="n">
        <x:f>J562+L562</x:f>
        <x:v>6.461538461538462</x:v>
      </x:c>
    </x:row>
    <x:row r="563">
      <x:c r="A563" s="22" t="str">
        <x:v>500105081</x:v>
      </x:c>
      <x:c r="B563" s="17" t="str">
        <x:v>文山區</x:v>
      </x:c>
      <x:c r="C563" s="17" t="str">
        <x:v>興隆路二段203巷(敦南)</x:v>
      </x:c>
      <x:c r="D563" s="18" t="n">
        <x:v>26</x:v>
      </x:c>
      <x:c r="E563" s="18" t="n">
        <x:v>26</x:v>
      </x:c>
      <x:c r="F563" s="24" t="n">
        <x:f>IFERROR('各站彙總來源'!F563/'各站彙總來源'!G563,"")</x:f>
        <x:v>36.5</x:v>
      </x:c>
      <x:c r="G563" s="19" t="n">
        <x:f>'各站彙總來源'!G563</x:f>
        <x:v>26</x:v>
      </x:c>
      <x:c r="H563" s="24" t="n">
        <x:f>IFERROR('各站彙總來源'!H563/'各站彙總來源'!I563,"")</x:f>
        <x:v>1.6538461538461537</x:v>
      </x:c>
      <x:c r="I563" s="19" t="n">
        <x:f>'各站彙總來源'!I563</x:f>
        <x:v>26</x:v>
      </x:c>
      <x:c r="J563" s="24" t="n">
        <x:f>IFERROR('各站彙總來源'!J563/'各站彙總來源'!K563,"")</x:f>
        <x:v>16.576923076923077</x:v>
      </x:c>
      <x:c r="K563" s="19" t="n">
        <x:f>'各站彙總來源'!K563</x:f>
        <x:v>26</x:v>
      </x:c>
      <x:c r="L563" s="24" t="n">
        <x:f>IFERROR('各站彙總來源'!L563/'各站彙總來源'!M563,"")</x:f>
        <x:v>1.1923076923076923</x:v>
      </x:c>
      <x:c r="M563" s="19" t="n">
        <x:f>'各站彙總來源'!M563</x:f>
        <x:v>26</x:v>
      </x:c>
      <x:c r="N563" s="24" t="n">
        <x:f>F563+H563</x:f>
        <x:v>38.15384615384615</x:v>
      </x:c>
      <x:c r="O563" s="24" t="n">
        <x:f>J563+L563</x:f>
        <x:v>17.76923076923077</x:v>
      </x:c>
    </x:row>
    <x:row r="564">
      <x:c r="A564" s="22" t="str">
        <x:v>500105082</x:v>
      </x:c>
      <x:c r="B564" s="17" t="str">
        <x:v>文山區</x:v>
      </x:c>
      <x:c r="C564" s="17" t="str">
        <x:v>新光秀明路口</x:v>
      </x:c>
      <x:c r="D564" s="18" t="n">
        <x:v>26</x:v>
      </x:c>
      <x:c r="E564" s="18" t="n">
        <x:v>26</x:v>
      </x:c>
      <x:c r="F564" s="24" t="n">
        <x:f>IFERROR('各站彙總來源'!F564/'各站彙總來源'!G564,"")</x:f>
        <x:v>9.538461538461538</x:v>
      </x:c>
      <x:c r="G564" s="19" t="n">
        <x:f>'各站彙總來源'!G564</x:f>
        <x:v>26</x:v>
      </x:c>
      <x:c r="H564" s="24" t="n">
        <x:f>IFERROR('各站彙總來源'!H564/'各站彙總來源'!I564,"")</x:f>
        <x:v>2.076923076923077</x:v>
      </x:c>
      <x:c r="I564" s="19" t="n">
        <x:f>'各站彙總來源'!I564</x:f>
        <x:v>26</x:v>
      </x:c>
      <x:c r="J564" s="24" t="n">
        <x:f>IFERROR('各站彙總來源'!J564/'各站彙總來源'!K564,"")</x:f>
        <x:v>4.884615384615385</x:v>
      </x:c>
      <x:c r="K564" s="19" t="n">
        <x:f>'各站彙總來源'!K564</x:f>
        <x:v>26</x:v>
      </x:c>
      <x:c r="L564" s="24" t="n">
        <x:f>IFERROR('各站彙總來源'!L564/'各站彙總來源'!M564,"")</x:f>
        <x:v>1</x:v>
      </x:c>
      <x:c r="M564" s="19" t="n">
        <x:f>'各站彙總來源'!M564</x:f>
        <x:v>26</x:v>
      </x:c>
      <x:c r="N564" s="24" t="n">
        <x:f>F564+H564</x:f>
        <x:v>11.615384615384615</x:v>
      </x:c>
      <x:c r="O564" s="24" t="n">
        <x:f>J564+L564</x:f>
        <x:v>5.884615384615385</x:v>
      </x:c>
    </x:row>
    <x:row r="565">
      <x:c r="A565" s="22" t="str">
        <x:v>500105083</x:v>
      </x:c>
      <x:c r="B565" s="17" t="str">
        <x:v>文山區</x:v>
      </x:c>
      <x:c r="C565" s="17" t="str">
        <x:v>光輝路134巷口</x:v>
      </x:c>
      <x:c r="D565" s="18" t="n">
        <x:v>26</x:v>
      </x:c>
      <x:c r="E565" s="18" t="n">
        <x:v>26</x:v>
      </x:c>
      <x:c r="F565" s="24" t="n">
        <x:f>IFERROR('各站彙總來源'!F565/'各站彙總來源'!G565,"")</x:f>
        <x:v>20.692307692307693</x:v>
      </x:c>
      <x:c r="G565" s="19" t="n">
        <x:f>'各站彙總來源'!G565</x:f>
        <x:v>26</x:v>
      </x:c>
      <x:c r="H565" s="24" t="n">
        <x:f>IFERROR('各站彙總來源'!H565/'各站彙總來源'!I565,"")</x:f>
        <x:v>1.9230769230769231</x:v>
      </x:c>
      <x:c r="I565" s="19" t="n">
        <x:f>'各站彙總來源'!I565</x:f>
        <x:v>26</x:v>
      </x:c>
      <x:c r="J565" s="24" t="n">
        <x:f>IFERROR('各站彙總來源'!J565/'各站彙總來源'!K565,"")</x:f>
        <x:v>13.884615384615385</x:v>
      </x:c>
      <x:c r="K565" s="19" t="n">
        <x:f>'各站彙總來源'!K565</x:f>
        <x:v>26</x:v>
      </x:c>
      <x:c r="L565" s="24" t="n">
        <x:f>IFERROR('各站彙總來源'!L565/'各站彙總來源'!M565,"")</x:f>
        <x:v>1.2307692307692308</x:v>
      </x:c>
      <x:c r="M565" s="19" t="n">
        <x:f>'各站彙總來源'!M565</x:f>
        <x:v>26</x:v>
      </x:c>
      <x:c r="N565" s="24" t="n">
        <x:f>F565+H565</x:f>
        <x:v>22.615384615384617</x:v>
      </x:c>
      <x:c r="O565" s="24" t="n">
        <x:f>J565+L565</x:f>
        <x:v>15.115384615384617</x:v>
      </x:c>
    </x:row>
    <x:row r="566">
      <x:c r="A566" s="22" t="str">
        <x:v>500105084</x:v>
      </x:c>
      <x:c r="B566" s="17" t="str">
        <x:v>文山區</x:v>
      </x:c>
      <x:c r="C566" s="17" t="str">
        <x:v>光輝公園</x:v>
      </x:c>
      <x:c r="D566" s="18" t="n">
        <x:v>26</x:v>
      </x:c>
      <x:c r="E566" s="18" t="n">
        <x:v>26</x:v>
      </x:c>
      <x:c r="F566" s="24" t="n">
        <x:f>IFERROR('各站彙總來源'!F566/'各站彙總來源'!G566,"")</x:f>
        <x:v>20.653846153846153</x:v>
      </x:c>
      <x:c r="G566" s="19" t="n">
        <x:f>'各站彙總來源'!G566</x:f>
        <x:v>26</x:v>
      </x:c>
      <x:c r="H566" s="24" t="n">
        <x:f>IFERROR('各站彙總來源'!H566/'各站彙總來源'!I566,"")</x:f>
        <x:v>2.576923076923077</x:v>
      </x:c>
      <x:c r="I566" s="19" t="n">
        <x:f>'各站彙總來源'!I566</x:f>
        <x:v>26</x:v>
      </x:c>
      <x:c r="J566" s="24" t="n">
        <x:f>IFERROR('各站彙總來源'!J566/'各站彙總來源'!K566,"")</x:f>
        <x:v>13.807692307692308</x:v>
      </x:c>
      <x:c r="K566" s="19" t="n">
        <x:f>'各站彙總來源'!K566</x:f>
        <x:v>26</x:v>
      </x:c>
      <x:c r="L566" s="24" t="n">
        <x:f>IFERROR('各站彙總來源'!L566/'各站彙總來源'!M566,"")</x:f>
        <x:v>1.4615384615384615</x:v>
      </x:c>
      <x:c r="M566" s="19" t="n">
        <x:f>'各站彙總來源'!M566</x:f>
        <x:v>26</x:v>
      </x:c>
      <x:c r="N566" s="24" t="n">
        <x:f>F566+H566</x:f>
        <x:v>23.23076923076923</x:v>
      </x:c>
      <x:c r="O566" s="24" t="n">
        <x:f>J566+L566</x:f>
        <x:v>15.26923076923077</x:v>
      </x:c>
    </x:row>
    <x:row r="567">
      <x:c r="A567" s="22" t="str">
        <x:v>500105085</x:v>
      </x:c>
      <x:c r="B567" s="17" t="str">
        <x:v>文山區</x:v>
      </x:c>
      <x:c r="C567" s="17" t="str">
        <x:v>木新公園</x:v>
      </x:c>
      <x:c r="D567" s="18" t="n">
        <x:v>26</x:v>
      </x:c>
      <x:c r="E567" s="18" t="n">
        <x:v>26</x:v>
      </x:c>
      <x:c r="F567" s="24" t="n">
        <x:f>IFERROR('各站彙總來源'!F567/'各站彙總來源'!G567,"")</x:f>
        <x:v>12.115384615384615</x:v>
      </x:c>
      <x:c r="G567" s="19" t="n">
        <x:f>'各站彙總來源'!G567</x:f>
        <x:v>26</x:v>
      </x:c>
      <x:c r="H567" s="24" t="n">
        <x:f>IFERROR('各站彙總來源'!H567/'各站彙總來源'!I567,"")</x:f>
        <x:v>2.5</x:v>
      </x:c>
      <x:c r="I567" s="19" t="n">
        <x:f>'各站彙總來源'!I567</x:f>
        <x:v>26</x:v>
      </x:c>
      <x:c r="J567" s="24" t="n">
        <x:f>IFERROR('各站彙總來源'!J567/'各站彙總來源'!K567,"")</x:f>
        <x:v>7.538461538461538</x:v>
      </x:c>
      <x:c r="K567" s="19" t="n">
        <x:f>'各站彙總來源'!K567</x:f>
        <x:v>26</x:v>
      </x:c>
      <x:c r="L567" s="24" t="n">
        <x:f>IFERROR('各站彙總來源'!L567/'各站彙總來源'!M567,"")</x:f>
        <x:v>1.6153846153846154</x:v>
      </x:c>
      <x:c r="M567" s="19" t="n">
        <x:f>'各站彙總來源'!M567</x:f>
        <x:v>26</x:v>
      </x:c>
      <x:c r="N567" s="24" t="n">
        <x:f>F567+H567</x:f>
        <x:v>14.615384615384615</x:v>
      </x:c>
      <x:c r="O567" s="24" t="n">
        <x:f>J567+L567</x:f>
        <x:v>9.153846153846153</x:v>
      </x:c>
    </x:row>
    <x:row r="568">
      <x:c r="A568" s="22" t="str">
        <x:v>500105086</x:v>
      </x:c>
      <x:c r="B568" s="17" t="str">
        <x:v>文山區</x:v>
      </x:c>
      <x:c r="C568" s="17" t="str">
        <x:v>興隆路二段275巷1弄口</x:v>
      </x:c>
      <x:c r="D568" s="18" t="n">
        <x:v>26</x:v>
      </x:c>
      <x:c r="E568" s="18" t="n">
        <x:v>26</x:v>
      </x:c>
      <x:c r="F568" s="24" t="n">
        <x:f>IFERROR('各站彙總來源'!F568/'各站彙總來源'!G568,"")</x:f>
        <x:v>14.384615384615385</x:v>
      </x:c>
      <x:c r="G568" s="19" t="n">
        <x:f>'各站彙總來源'!G568</x:f>
        <x:v>26</x:v>
      </x:c>
      <x:c r="H568" s="24" t="n">
        <x:f>IFERROR('各站彙總來源'!H568/'各站彙總來源'!I568,"")</x:f>
        <x:v>1.1153846153846154</x:v>
      </x:c>
      <x:c r="I568" s="19" t="n">
        <x:f>'各站彙總來源'!I568</x:f>
        <x:v>26</x:v>
      </x:c>
      <x:c r="J568" s="24" t="n">
        <x:f>IFERROR('各站彙總來源'!J568/'各站彙總來源'!K568,"")</x:f>
        <x:v>4.653846153846154</x:v>
      </x:c>
      <x:c r="K568" s="19" t="n">
        <x:f>'各站彙總來源'!K568</x:f>
        <x:v>26</x:v>
      </x:c>
      <x:c r="L568" s="24" t="n">
        <x:f>IFERROR('各站彙總來源'!L568/'各站彙總來源'!M568,"")</x:f>
        <x:v>1</x:v>
      </x:c>
      <x:c r="M568" s="19" t="n">
        <x:f>'各站彙總來源'!M568</x:f>
        <x:v>26</x:v>
      </x:c>
      <x:c r="N568" s="24" t="n">
        <x:f>F568+H568</x:f>
        <x:v>15.5</x:v>
      </x:c>
      <x:c r="O568" s="24" t="n">
        <x:f>J568+L568</x:f>
        <x:v>5.653846153846154</x:v>
      </x:c>
    </x:row>
    <x:row r="569">
      <x:c r="A569" s="22" t="str">
        <x:v>500105087</x:v>
      </x:c>
      <x:c r="B569" s="17" t="str">
        <x:v>文山區</x:v>
      </x:c>
      <x:c r="C569" s="17" t="str">
        <x:v>中國科技大學</x:v>
      </x:c>
      <x:c r="D569" s="18" t="n">
        <x:v>26</x:v>
      </x:c>
      <x:c r="E569" s="18" t="n">
        <x:v>26</x:v>
      </x:c>
      <x:c r="F569" s="24" t="n">
        <x:f>IFERROR('各站彙總來源'!F569/'各站彙總來源'!G569,"")</x:f>
        <x:v>4.576923076923077</x:v>
      </x:c>
      <x:c r="G569" s="19" t="n">
        <x:f>'各站彙總來源'!G569</x:f>
        <x:v>26</x:v>
      </x:c>
      <x:c r="H569" s="24" t="n">
        <x:f>IFERROR('各站彙總來源'!H569/'各站彙總來源'!I569,"")</x:f>
        <x:v>1.9615384615384615</x:v>
      </x:c>
      <x:c r="I569" s="19" t="n">
        <x:f>'各站彙總來源'!I569</x:f>
        <x:v>26</x:v>
      </x:c>
      <x:c r="J569" s="24" t="n">
        <x:f>IFERROR('各站彙總來源'!J569/'各站彙總來源'!K569,"")</x:f>
        <x:v>15.5</x:v>
      </x:c>
      <x:c r="K569" s="19" t="n">
        <x:f>'各站彙總來源'!K569</x:f>
        <x:v>26</x:v>
      </x:c>
      <x:c r="L569" s="24" t="n">
        <x:f>IFERROR('各站彙總來源'!L569/'各站彙總來源'!M569,"")</x:f>
        <x:v>1.7307692307692308</x:v>
      </x:c>
      <x:c r="M569" s="19" t="n">
        <x:f>'各站彙總來源'!M569</x:f>
        <x:v>26</x:v>
      </x:c>
      <x:c r="N569" s="24" t="n">
        <x:f>F569+H569</x:f>
        <x:v>6.538461538461538</x:v>
      </x:c>
      <x:c r="O569" s="24" t="n">
        <x:f>J569+L569</x:f>
        <x:v>17.23076923076923</x:v>
      </x:c>
    </x:row>
    <x:row r="570">
      <x:c r="A570" s="22" t="str">
        <x:v>500105088</x:v>
      </x:c>
      <x:c r="B570" s="17" t="str">
        <x:v>文山區</x:v>
      </x:c>
      <x:c r="C570" s="17" t="str">
        <x:v>樟新街8巷</x:v>
      </x:c>
      <x:c r="D570" s="18" t="n">
        <x:v>26</x:v>
      </x:c>
      <x:c r="E570" s="18" t="n">
        <x:v>26</x:v>
      </x:c>
      <x:c r="F570" s="24" t="n">
        <x:f>IFERROR('各站彙總來源'!F570/'各站彙總來源'!G570,"")</x:f>
        <x:v>6.461538461538462</x:v>
      </x:c>
      <x:c r="G570" s="19" t="n">
        <x:f>'各站彙總來源'!G570</x:f>
        <x:v>26</x:v>
      </x:c>
      <x:c r="H570" s="24" t="n">
        <x:f>IFERROR('各站彙總來源'!H570/'各站彙總來源'!I570,"")</x:f>
        <x:v>1.5</x:v>
      </x:c>
      <x:c r="I570" s="19" t="n">
        <x:f>'各站彙總來源'!I570</x:f>
        <x:v>26</x:v>
      </x:c>
      <x:c r="J570" s="24" t="n">
        <x:f>IFERROR('各站彙總來源'!J570/'各站彙總來源'!K570,"")</x:f>
        <x:v>4.230769230769231</x:v>
      </x:c>
      <x:c r="K570" s="19" t="n">
        <x:f>'各站彙總來源'!K570</x:f>
        <x:v>26</x:v>
      </x:c>
      <x:c r="L570" s="24" t="n">
        <x:f>IFERROR('各站彙總來源'!L570/'各站彙總來源'!M570,"")</x:f>
        <x:v>1.0769230769230769</x:v>
      </x:c>
      <x:c r="M570" s="19" t="n">
        <x:f>'各站彙總來源'!M570</x:f>
        <x:v>26</x:v>
      </x:c>
      <x:c r="N570" s="24" t="n">
        <x:f>F570+H570</x:f>
        <x:v>7.961538461538462</x:v>
      </x:c>
      <x:c r="O570" s="24" t="n">
        <x:f>J570+L570</x:f>
        <x:v>5.3076923076923075</x:v>
      </x:c>
    </x:row>
    <x:row r="571">
      <x:c r="A571" s="22" t="str">
        <x:v>500105089</x:v>
      </x:c>
      <x:c r="B571" s="17" t="str">
        <x:v>文山區</x:v>
      </x:c>
      <x:c r="C571" s="17" t="str">
        <x:v>仙岩路22巷口</x:v>
      </x:c>
      <x:c r="D571" s="18" t="n">
        <x:v>26</x:v>
      </x:c>
      <x:c r="E571" s="18" t="n">
        <x:v>26</x:v>
      </x:c>
      <x:c r="F571" s="24" t="n">
        <x:f>IFERROR('各站彙總來源'!F571/'各站彙總來源'!G571,"")</x:f>
        <x:v>22.192307692307693</x:v>
      </x:c>
      <x:c r="G571" s="19" t="n">
        <x:f>'各站彙總來源'!G571</x:f>
        <x:v>26</x:v>
      </x:c>
      <x:c r="H571" s="24" t="n">
        <x:f>IFERROR('各站彙總來源'!H571/'各站彙總來源'!I571,"")</x:f>
        <x:v>2.9615384615384617</x:v>
      </x:c>
      <x:c r="I571" s="19" t="n">
        <x:f>'各站彙總來源'!I571</x:f>
        <x:v>26</x:v>
      </x:c>
      <x:c r="J571" s="24" t="n">
        <x:f>IFERROR('各站彙總來源'!J571/'各站彙總來源'!K571,"")</x:f>
        <x:v>6.653846153846154</x:v>
      </x:c>
      <x:c r="K571" s="19" t="n">
        <x:f>'各站彙總來源'!K571</x:f>
        <x:v>26</x:v>
      </x:c>
      <x:c r="L571" s="24" t="n">
        <x:f>IFERROR('各站彙總來源'!L571/'各站彙總來源'!M571,"")</x:f>
        <x:v>0.6923076923076923</x:v>
      </x:c>
      <x:c r="M571" s="19" t="n">
        <x:f>'各站彙總來源'!M571</x:f>
        <x:v>26</x:v>
      </x:c>
      <x:c r="N571" s="24" t="n">
        <x:f>F571+H571</x:f>
        <x:v>25.153846153846153</x:v>
      </x:c>
      <x:c r="O571" s="24" t="n">
        <x:f>J571+L571</x:f>
        <x:v>7.346153846153847</x:v>
      </x:c>
    </x:row>
    <x:row r="572">
      <x:c r="A572" s="22" t="str">
        <x:v>500105090</x:v>
      </x:c>
      <x:c r="B572" s="17" t="str">
        <x:v>文山區</x:v>
      </x:c>
      <x:c r="C572" s="17" t="str">
        <x:v>木柵萬芳路口</x:v>
      </x:c>
      <x:c r="D572" s="18" t="n">
        <x:v>26</x:v>
      </x:c>
      <x:c r="E572" s="18" t="n">
        <x:v>26</x:v>
      </x:c>
      <x:c r="F572" s="24" t="n">
        <x:f>IFERROR('各站彙總來源'!F572/'各站彙總來源'!G572,"")</x:f>
        <x:v>5.038461538461538</x:v>
      </x:c>
      <x:c r="G572" s="19" t="n">
        <x:f>'各站彙總來源'!G572</x:f>
        <x:v>26</x:v>
      </x:c>
      <x:c r="H572" s="24" t="n">
        <x:f>IFERROR('各站彙總來源'!H572/'各站彙總來源'!I572,"")</x:f>
        <x:v>2</x:v>
      </x:c>
      <x:c r="I572" s="19" t="n">
        <x:f>'各站彙總來源'!I572</x:f>
        <x:v>26</x:v>
      </x:c>
      <x:c r="J572" s="24" t="n">
        <x:f>IFERROR('各站彙總來源'!J572/'各站彙總來源'!K572,"")</x:f>
        <x:v>15.76923076923077</x:v>
      </x:c>
      <x:c r="K572" s="19" t="n">
        <x:f>'各站彙總來源'!K572</x:f>
        <x:v>26</x:v>
      </x:c>
      <x:c r="L572" s="24" t="n">
        <x:f>IFERROR('各站彙總來源'!L572/'各站彙總來源'!M572,"")</x:f>
        <x:v>3.5</x:v>
      </x:c>
      <x:c r="M572" s="19" t="n">
        <x:f>'各站彙總來源'!M572</x:f>
        <x:v>26</x:v>
      </x:c>
      <x:c r="N572" s="24" t="n">
        <x:f>F572+H572</x:f>
        <x:v>7.038461538461538</x:v>
      </x:c>
      <x:c r="O572" s="24" t="n">
        <x:f>J572+L572</x:f>
        <x:v>19.26923076923077</x:v>
      </x:c>
    </x:row>
    <x:row r="573">
      <x:c r="A573" s="22" t="str">
        <x:v>500105091</x:v>
      </x:c>
      <x:c r="B573" s="17" t="str">
        <x:v>文山區</x:v>
      </x:c>
      <x:c r="C573" s="17" t="str">
        <x:v>福興路78巷</x:v>
      </x:c>
      <x:c r="D573" s="18" t="n">
        <x:v>26</x:v>
      </x:c>
      <x:c r="E573" s="18" t="n">
        <x:v>26</x:v>
      </x:c>
      <x:c r="F573" s="24" t="n">
        <x:f>IFERROR('各站彙總來源'!F573/'各站彙總來源'!G573,"")</x:f>
        <x:v>20.576923076923077</x:v>
      </x:c>
      <x:c r="G573" s="19" t="n">
        <x:f>'各站彙總來源'!G573</x:f>
        <x:v>26</x:v>
      </x:c>
      <x:c r="H573" s="24" t="n">
        <x:f>IFERROR('各站彙總來源'!H573/'各站彙總來源'!I573,"")</x:f>
        <x:v>3.076923076923077</x:v>
      </x:c>
      <x:c r="I573" s="19" t="n">
        <x:f>'各站彙總來源'!I573</x:f>
        <x:v>26</x:v>
      </x:c>
      <x:c r="J573" s="24" t="n">
        <x:f>IFERROR('各站彙總來源'!J573/'各站彙總來源'!K573,"")</x:f>
        <x:v>8.153846153846153</x:v>
      </x:c>
      <x:c r="K573" s="19" t="n">
        <x:f>'各站彙總來源'!K573</x:f>
        <x:v>26</x:v>
      </x:c>
      <x:c r="L573" s="24" t="n">
        <x:f>IFERROR('各站彙總來源'!L573/'各站彙總來源'!M573,"")</x:f>
        <x:v>1.1923076923076923</x:v>
      </x:c>
      <x:c r="M573" s="19" t="n">
        <x:f>'各站彙總來源'!M573</x:f>
        <x:v>26</x:v>
      </x:c>
      <x:c r="N573" s="24" t="n">
        <x:f>F573+H573</x:f>
        <x:v>23.653846153846153</x:v>
      </x:c>
      <x:c r="O573" s="24" t="n">
        <x:f>J573+L573</x:f>
        <x:v>9.346153846153845</x:v>
      </x:c>
    </x:row>
    <x:row r="574">
      <x:c r="A574" s="22" t="str">
        <x:v>500105092</x:v>
      </x:c>
      <x:c r="B574" s="17" t="str">
        <x:v>文山區</x:v>
      </x:c>
      <x:c r="C574" s="17" t="str">
        <x:v>辛亥木柵路口</x:v>
      </x:c>
      <x:c r="D574" s="18" t="n">
        <x:v>26</x:v>
      </x:c>
      <x:c r="E574" s="18" t="n">
        <x:v>26</x:v>
      </x:c>
      <x:c r="F574" s="24" t="n">
        <x:f>IFERROR('各站彙總來源'!F574/'各站彙總來源'!G574,"")</x:f>
        <x:v>9.153846153846153</x:v>
      </x:c>
      <x:c r="G574" s="19" t="n">
        <x:f>'各站彙總來源'!G574</x:f>
        <x:v>26</x:v>
      </x:c>
      <x:c r="H574" s="24" t="n">
        <x:f>IFERROR('各站彙總來源'!H574/'各站彙總來源'!I574,"")</x:f>
        <x:v>3.1923076923076925</x:v>
      </x:c>
      <x:c r="I574" s="19" t="n">
        <x:f>'各站彙總來源'!I574</x:f>
        <x:v>26</x:v>
      </x:c>
      <x:c r="J574" s="24" t="n">
        <x:f>IFERROR('各站彙總來源'!J574/'各站彙總來源'!K574,"")</x:f>
        <x:v>8</x:v>
      </x:c>
      <x:c r="K574" s="19" t="n">
        <x:f>'各站彙總來源'!K574</x:f>
        <x:v>26</x:v>
      </x:c>
      <x:c r="L574" s="24" t="n">
        <x:f>IFERROR('各站彙總來源'!L574/'各站彙總來源'!M574,"")</x:f>
        <x:v>1.9615384615384615</x:v>
      </x:c>
      <x:c r="M574" s="19" t="n">
        <x:f>'各站彙總來源'!M574</x:f>
        <x:v>26</x:v>
      </x:c>
      <x:c r="N574" s="24" t="n">
        <x:f>F574+H574</x:f>
        <x:v>12.346153846153847</x:v>
      </x:c>
      <x:c r="O574" s="24" t="n">
        <x:f>J574+L574</x:f>
        <x:v>9.961538461538462</x:v>
      </x:c>
    </x:row>
    <x:row r="575">
      <x:c r="A575" s="22" t="str">
        <x:v>500105093</x:v>
      </x:c>
      <x:c r="B575" s="17" t="str">
        <x:v>文山區</x:v>
      </x:c>
      <x:c r="C575" s="17" t="str">
        <x:v>興泰公園</x:v>
      </x:c>
      <x:c r="D575" s="18" t="n">
        <x:v>26</x:v>
      </x:c>
      <x:c r="E575" s="18" t="n">
        <x:v>26</x:v>
      </x:c>
      <x:c r="F575" s="24" t="n">
        <x:f>IFERROR('各站彙總來源'!F575/'各站彙總來源'!G575,"")</x:f>
        <x:v>2.423076923076923</x:v>
      </x:c>
      <x:c r="G575" s="19" t="n">
        <x:f>'各站彙總來源'!G575</x:f>
        <x:v>26</x:v>
      </x:c>
      <x:c r="H575" s="24" t="n">
        <x:f>IFERROR('各站彙總來源'!H575/'各站彙總來源'!I575,"")</x:f>
        <x:v>0.7692307692307693</x:v>
      </x:c>
      <x:c r="I575" s="19" t="n">
        <x:f>'各站彙總來源'!I575</x:f>
        <x:v>26</x:v>
      </x:c>
      <x:c r="J575" s="24" t="n">
        <x:f>IFERROR('各站彙總來源'!J575/'各站彙總來源'!K575,"")</x:f>
        <x:v>4.884615384615385</x:v>
      </x:c>
      <x:c r="K575" s="19" t="n">
        <x:f>'各站彙總來源'!K575</x:f>
        <x:v>26</x:v>
      </x:c>
      <x:c r="L575" s="24" t="n">
        <x:f>IFERROR('各站彙總來源'!L575/'各站彙總來源'!M575,"")</x:f>
        <x:v>1.9615384615384615</x:v>
      </x:c>
      <x:c r="M575" s="19" t="n">
        <x:f>'各站彙總來源'!M575</x:f>
        <x:v>26</x:v>
      </x:c>
      <x:c r="N575" s="24" t="n">
        <x:f>F575+H575</x:f>
        <x:v>3.192307692307692</x:v>
      </x:c>
      <x:c r="O575" s="24" t="n">
        <x:f>J575+L575</x:f>
        <x:v>6.846153846153847</x:v>
      </x:c>
    </x:row>
    <x:row r="576">
      <x:c r="A576" s="22" t="str">
        <x:v>500105094</x:v>
      </x:c>
      <x:c r="B576" s="17" t="str">
        <x:v>文山區</x:v>
      </x:c>
      <x:c r="C576" s="17" t="str">
        <x:v>興岩社會福利綜合大樓</x:v>
      </x:c>
      <x:c r="D576" s="18" t="n">
        <x:v>26</x:v>
      </x:c>
      <x:c r="E576" s="18" t="n">
        <x:v>26</x:v>
      </x:c>
      <x:c r="F576" s="24" t="n">
        <x:f>IFERROR('各站彙總來源'!F576/'各站彙總來源'!G576,"")</x:f>
        <x:v>11.807692307692308</x:v>
      </x:c>
      <x:c r="G576" s="19" t="n">
        <x:f>'各站彙總來源'!G576</x:f>
        <x:v>26</x:v>
      </x:c>
      <x:c r="H576" s="24" t="n">
        <x:f>IFERROR('各站彙總來源'!H576/'各站彙總來源'!I576,"")</x:f>
        <x:v>1.1923076923076923</x:v>
      </x:c>
      <x:c r="I576" s="19" t="n">
        <x:f>'各站彙總來源'!I576</x:f>
        <x:v>26</x:v>
      </x:c>
      <x:c r="J576" s="24" t="n">
        <x:f>IFERROR('各站彙總來源'!J576/'各站彙總來源'!K576,"")</x:f>
        <x:v>7.269230769230769</x:v>
      </x:c>
      <x:c r="K576" s="19" t="n">
        <x:f>'各站彙總來源'!K576</x:f>
        <x:v>26</x:v>
      </x:c>
      <x:c r="L576" s="24" t="n">
        <x:f>IFERROR('各站彙總來源'!L576/'各站彙總來源'!M576,"")</x:f>
        <x:v>0.9230769230769231</x:v>
      </x:c>
      <x:c r="M576" s="19" t="n">
        <x:f>'各站彙總來源'!M576</x:f>
        <x:v>26</x:v>
      </x:c>
      <x:c r="N576" s="24" t="n">
        <x:f>F576+H576</x:f>
        <x:v>13</x:v>
      </x:c>
      <x:c r="O576" s="24" t="n">
        <x:f>J576+L576</x:f>
        <x:v>8.192307692307692</x:v>
      </x:c>
    </x:row>
    <x:row r="577">
      <x:c r="A577" s="22" t="str">
        <x:v>500105095</x:v>
      </x:c>
      <x:c r="B577" s="17" t="str">
        <x:v>文山區</x:v>
      </x:c>
      <x:c r="C577" s="17" t="str">
        <x:v>興隆路二段22巷9弄口</x:v>
      </x:c>
      <x:c r="D577" s="18" t="n">
        <x:v>26</x:v>
      </x:c>
      <x:c r="E577" s="18" t="n">
        <x:v>26</x:v>
      </x:c>
      <x:c r="F577" s="24" t="n">
        <x:f>IFERROR('各站彙總來源'!F577/'各站彙總來源'!G577,"")</x:f>
        <x:v>15.538461538461538</x:v>
      </x:c>
      <x:c r="G577" s="19" t="n">
        <x:f>'各站彙總來源'!G577</x:f>
        <x:v>26</x:v>
      </x:c>
      <x:c r="H577" s="24" t="n">
        <x:f>IFERROR('各站彙總來源'!H577/'各站彙總來源'!I577,"")</x:f>
        <x:v>1.1923076923076923</x:v>
      </x:c>
      <x:c r="I577" s="19" t="n">
        <x:f>'各站彙總來源'!I577</x:f>
        <x:v>26</x:v>
      </x:c>
      <x:c r="J577" s="24" t="n">
        <x:f>IFERROR('各站彙總來源'!J577/'各站彙總來源'!K577,"")</x:f>
        <x:v>2.5</x:v>
      </x:c>
      <x:c r="K577" s="19" t="n">
        <x:f>'各站彙總來源'!K577</x:f>
        <x:v>26</x:v>
      </x:c>
      <x:c r="L577" s="24" t="n">
        <x:f>IFERROR('各站彙總來源'!L577/'各站彙總來源'!M577,"")</x:f>
        <x:v>0.38461538461538464</x:v>
      </x:c>
      <x:c r="M577" s="19" t="n">
        <x:f>'各站彙總來源'!M577</x:f>
        <x:v>26</x:v>
      </x:c>
      <x:c r="N577" s="24" t="n">
        <x:f>F577+H577</x:f>
        <x:v>16.73076923076923</x:v>
      </x:c>
      <x:c r="O577" s="24" t="n">
        <x:f>J577+L577</x:f>
        <x:v>2.8846153846153846</x:v>
      </x:c>
    </x:row>
    <x:row r="578">
      <x:c r="A578" s="22" t="str">
        <x:v>500105096</x:v>
      </x:c>
      <x:c r="B578" s="17" t="str">
        <x:v>文山區</x:v>
      </x:c>
      <x:c r="C578" s="17" t="str">
        <x:v>木新路三段155巷口</x:v>
      </x:c>
      <x:c r="D578" s="18" t="n">
        <x:v>26</x:v>
      </x:c>
      <x:c r="E578" s="18" t="n">
        <x:v>26</x:v>
      </x:c>
      <x:c r="F578" s="24" t="n">
        <x:f>IFERROR('各站彙總來源'!F578/'各站彙總來源'!G578,"")</x:f>
        <x:v>8.538461538461538</x:v>
      </x:c>
      <x:c r="G578" s="19" t="n">
        <x:f>'各站彙總來源'!G578</x:f>
        <x:v>26</x:v>
      </x:c>
      <x:c r="H578" s="24" t="n">
        <x:f>IFERROR('各站彙總來源'!H578/'各站彙總來源'!I578,"")</x:f>
        <x:v>2.9615384615384617</x:v>
      </x:c>
      <x:c r="I578" s="19" t="n">
        <x:f>'各站彙總來源'!I578</x:f>
        <x:v>26</x:v>
      </x:c>
      <x:c r="J578" s="24" t="n">
        <x:f>IFERROR('各站彙總來源'!J578/'各站彙總來源'!K578,"")</x:f>
        <x:v>6.846153846153846</x:v>
      </x:c>
      <x:c r="K578" s="19" t="n">
        <x:f>'各站彙總來源'!K578</x:f>
        <x:v>26</x:v>
      </x:c>
      <x:c r="L578" s="24" t="n">
        <x:f>IFERROR('各站彙總來源'!L578/'各站彙總來源'!M578,"")</x:f>
        <x:v>1.6923076923076923</x:v>
      </x:c>
      <x:c r="M578" s="19" t="n">
        <x:f>'各站彙總來源'!M578</x:f>
        <x:v>26</x:v>
      </x:c>
      <x:c r="N578" s="24" t="n">
        <x:f>F578+H578</x:f>
        <x:v>11.5</x:v>
      </x:c>
      <x:c r="O578" s="24" t="n">
        <x:f>J578+L578</x:f>
        <x:v>8.538461538461538</x:v>
      </x:c>
    </x:row>
    <x:row r="579">
      <x:c r="A579" s="22" t="str">
        <x:v>500105097</x:v>
      </x:c>
      <x:c r="B579" s="17" t="str">
        <x:v>文山區</x:v>
      </x:c>
      <x:c r="C579" s="17" t="str">
        <x:v>景興路102巷口</x:v>
      </x:c>
      <x:c r="D579" s="18" t="n">
        <x:v>26</x:v>
      </x:c>
      <x:c r="E579" s="18" t="n">
        <x:v>26</x:v>
      </x:c>
      <x:c r="F579" s="24" t="n">
        <x:f>IFERROR('各站彙總來源'!F579/'各站彙總來源'!G579,"")</x:f>
        <x:v>6.269230769230769</x:v>
      </x:c>
      <x:c r="G579" s="19" t="n">
        <x:f>'各站彙總來源'!G579</x:f>
        <x:v>26</x:v>
      </x:c>
      <x:c r="H579" s="24" t="n">
        <x:f>IFERROR('各站彙總來源'!H579/'各站彙總來源'!I579,"")</x:f>
        <x:v>1.0384615384615385</x:v>
      </x:c>
      <x:c r="I579" s="19" t="n">
        <x:f>'各站彙總來源'!I579</x:f>
        <x:v>26</x:v>
      </x:c>
      <x:c r="J579" s="24" t="n">
        <x:f>IFERROR('各站彙總來源'!J579/'各站彙總來源'!K579,"")</x:f>
        <x:v>5.5</x:v>
      </x:c>
      <x:c r="K579" s="19" t="n">
        <x:f>'各站彙總來源'!K579</x:f>
        <x:v>26</x:v>
      </x:c>
      <x:c r="L579" s="24" t="n">
        <x:f>IFERROR('各站彙總來源'!L579/'各站彙總來源'!M579,"")</x:f>
        <x:v>1</x:v>
      </x:c>
      <x:c r="M579" s="19" t="n">
        <x:f>'各站彙總來源'!M579</x:f>
        <x:v>26</x:v>
      </x:c>
      <x:c r="N579" s="24" t="n">
        <x:f>F579+H579</x:f>
        <x:v>7.3076923076923075</x:v>
      </x:c>
      <x:c r="O579" s="24" t="n">
        <x:f>J579+L579</x:f>
        <x:v>6.5</x:v>
      </x:c>
    </x:row>
    <x:row r="580">
      <x:c r="A580" s="22" t="str">
        <x:v>500105098</x:v>
      </x:c>
      <x:c r="B580" s="17" t="str">
        <x:v>文山區</x:v>
      </x:c>
      <x:c r="C580" s="17" t="str">
        <x:v>景福街223巷</x:v>
      </x:c>
      <x:c r="D580" s="18" t="n">
        <x:v>26</x:v>
      </x:c>
      <x:c r="E580" s="18" t="n">
        <x:v>26</x:v>
      </x:c>
      <x:c r="F580" s="24" t="n">
        <x:f>IFERROR('各站彙總來源'!F580/'各站彙總來源'!G580,"")</x:f>
        <x:v>15.26923076923077</x:v>
      </x:c>
      <x:c r="G580" s="19" t="n">
        <x:f>'各站彙總來源'!G580</x:f>
        <x:v>26</x:v>
      </x:c>
      <x:c r="H580" s="24" t="n">
        <x:f>IFERROR('各站彙總來源'!H580/'各站彙總來源'!I580,"")</x:f>
        <x:v>3.1153846153846154</x:v>
      </x:c>
      <x:c r="I580" s="19" t="n">
        <x:f>'各站彙總來源'!I580</x:f>
        <x:v>26</x:v>
      </x:c>
      <x:c r="J580" s="24" t="n">
        <x:f>IFERROR('各站彙總來源'!J580/'各站彙總來源'!K580,"")</x:f>
        <x:v>6.3076923076923075</x:v>
      </x:c>
      <x:c r="K580" s="19" t="n">
        <x:f>'各站彙總來源'!K580</x:f>
        <x:v>26</x:v>
      </x:c>
      <x:c r="L580" s="24" t="n">
        <x:f>IFERROR('各站彙總來源'!L580/'各站彙總來源'!M580,"")</x:f>
        <x:v>0.8846153846153846</x:v>
      </x:c>
      <x:c r="M580" s="19" t="n">
        <x:f>'各站彙總來源'!M580</x:f>
        <x:v>26</x:v>
      </x:c>
      <x:c r="N580" s="24" t="n">
        <x:f>F580+H580</x:f>
        <x:v>18.384615384615387</x:v>
      </x:c>
      <x:c r="O580" s="24" t="n">
        <x:f>J580+L580</x:f>
        <x:v>7.192307692307692</x:v>
      </x:c>
    </x:row>
    <x:row r="581">
      <x:c r="A581" s="22" t="str">
        <x:v>500105099</x:v>
      </x:c>
      <x:c r="B581" s="17" t="str">
        <x:v>文山區</x:v>
      </x:c>
      <x:c r="C581" s="17" t="str">
        <x:v>原野運動公園</x:v>
      </x:c>
      <x:c r="D581" s="18" t="n">
        <x:v>26</x:v>
      </x:c>
      <x:c r="E581" s="18" t="n">
        <x:v>26</x:v>
      </x:c>
      <x:c r="F581" s="24" t="n">
        <x:f>IFERROR('各站彙總來源'!F581/'各站彙總來源'!G581,"")</x:f>
        <x:v>0</x:v>
      </x:c>
      <x:c r="G581" s="19" t="n">
        <x:f>'各站彙總來源'!G581</x:f>
        <x:v>26</x:v>
      </x:c>
      <x:c r="H581" s="24" t="n">
        <x:f>IFERROR('各站彙總來源'!H581/'各站彙總來源'!I581,"")</x:f>
        <x:v>0</x:v>
      </x:c>
      <x:c r="I581" s="19" t="n">
        <x:f>'各站彙總來源'!I581</x:f>
        <x:v>26</x:v>
      </x:c>
      <x:c r="J581" s="24" t="n">
        <x:f>IFERROR('各站彙總來源'!J581/'各站彙總來源'!K581,"")</x:f>
        <x:v>0</x:v>
      </x:c>
      <x:c r="K581" s="19" t="n">
        <x:f>'各站彙總來源'!K581</x:f>
        <x:v>26</x:v>
      </x:c>
      <x:c r="L581" s="24" t="n">
        <x:f>IFERROR('各站彙總來源'!L581/'各站彙總來源'!M581,"")</x:f>
        <x:v>0</x:v>
      </x:c>
      <x:c r="M581" s="19" t="n">
        <x:f>'各站彙總來源'!M581</x:f>
        <x:v>26</x:v>
      </x:c>
      <x:c r="N581" s="24" t="n">
        <x:f>F581+H581</x:f>
        <x:v>0</x:v>
      </x:c>
      <x:c r="O581" s="24" t="n">
        <x:f>J581+L581</x:f>
        <x:v>0</x:v>
      </x:c>
    </x:row>
    <x:row r="582">
      <x:c r="A582" s="22" t="str">
        <x:v>500105100</x:v>
      </x:c>
      <x:c r="B582" s="17" t="str">
        <x:v>文山區</x:v>
      </x:c>
      <x:c r="C582" s="17" t="str">
        <x:v>達賢圖書館</x:v>
      </x:c>
      <x:c r="D582" s="18" t="n">
        <x:v>26</x:v>
      </x:c>
      <x:c r="E582" s="18" t="n">
        <x:v>26</x:v>
      </x:c>
      <x:c r="F582" s="24" t="n">
        <x:f>IFERROR('各站彙總來源'!F582/'各站彙總來源'!G582,"")</x:f>
        <x:v>2.6923076923076925</x:v>
      </x:c>
      <x:c r="G582" s="19" t="n">
        <x:f>'各站彙總來源'!G582</x:f>
        <x:v>26</x:v>
      </x:c>
      <x:c r="H582" s="24" t="n">
        <x:f>IFERROR('各站彙總來源'!H582/'各站彙總來源'!I582,"")</x:f>
        <x:v>1.0384615384615385</x:v>
      </x:c>
      <x:c r="I582" s="19" t="n">
        <x:f>'各站彙總來源'!I582</x:f>
        <x:v>26</x:v>
      </x:c>
      <x:c r="J582" s="24" t="n">
        <x:f>IFERROR('各站彙總來源'!J582/'各站彙總來源'!K582,"")</x:f>
        <x:v>9.76923076923077</x:v>
      </x:c>
      <x:c r="K582" s="19" t="n">
        <x:f>'各站彙總來源'!K582</x:f>
        <x:v>26</x:v>
      </x:c>
      <x:c r="L582" s="24" t="n">
        <x:f>IFERROR('各站彙總來源'!L582/'各站彙總來源'!M582,"")</x:f>
        <x:v>2.5</x:v>
      </x:c>
      <x:c r="M582" s="19" t="n">
        <x:f>'各站彙總來源'!M582</x:f>
        <x:v>26</x:v>
      </x:c>
      <x:c r="N582" s="24" t="n">
        <x:f>F582+H582</x:f>
        <x:v>3.730769230769231</x:v>
      </x:c>
      <x:c r="O582" s="24" t="n">
        <x:f>J582+L582</x:f>
        <x:v>12.26923076923077</x:v>
      </x:c>
    </x:row>
    <x:row r="583">
      <x:c r="A583" s="22" t="str">
        <x:v>500105101</x:v>
      </x:c>
      <x:c r="B583" s="17" t="str">
        <x:v>文山區</x:v>
      </x:c>
      <x:c r="C583" s="17" t="str">
        <x:v>捷運木柵站(西側)</x:v>
      </x:c>
      <x:c r="D583" s="18" t="n">
        <x:v>26</x:v>
      </x:c>
      <x:c r="E583" s="18" t="n">
        <x:v>26</x:v>
      </x:c>
      <x:c r="F583" s="24" t="n">
        <x:f>IFERROR('各站彙總來源'!F583/'各站彙總來源'!G583,"")</x:f>
        <x:v>4.538461538461538</x:v>
      </x:c>
      <x:c r="G583" s="19" t="n">
        <x:f>'各站彙總來源'!G583</x:f>
        <x:v>26</x:v>
      </x:c>
      <x:c r="H583" s="24" t="n">
        <x:f>IFERROR('各站彙總來源'!H583/'各站彙總來源'!I583,"")</x:f>
        <x:v>0.34615384615384615</x:v>
      </x:c>
      <x:c r="I583" s="19" t="n">
        <x:f>'各站彙總來源'!I583</x:f>
        <x:v>26</x:v>
      </x:c>
      <x:c r="J583" s="24" t="n">
        <x:f>IFERROR('各站彙總來源'!J583/'各站彙總來源'!K583,"")</x:f>
        <x:v>11.423076923076923</x:v>
      </x:c>
      <x:c r="K583" s="19" t="n">
        <x:f>'各站彙總來源'!K583</x:f>
        <x:v>26</x:v>
      </x:c>
      <x:c r="L583" s="24" t="n">
        <x:f>IFERROR('各站彙總來源'!L583/'各站彙總來源'!M583,"")</x:f>
        <x:v>2.730769230769231</x:v>
      </x:c>
      <x:c r="M583" s="19" t="n">
        <x:f>'各站彙總來源'!M583</x:f>
        <x:v>26</x:v>
      </x:c>
      <x:c r="N583" s="24" t="n">
        <x:f>F583+H583</x:f>
        <x:v>4.884615384615384</x:v>
      </x:c>
      <x:c r="O583" s="24" t="n">
        <x:f>J583+L583</x:f>
        <x:v>14.153846153846153</x:v>
      </x:c>
    </x:row>
    <x:row r="584">
      <x:c r="A584" s="22" t="str">
        <x:v>500105102</x:v>
      </x:c>
      <x:c r="B584" s="17" t="str">
        <x:v>文山區</x:v>
      </x:c>
      <x:c r="C584" s="17" t="str">
        <x:v>世新大學(試院路)</x:v>
      </x:c>
      <x:c r="D584" s="18" t="n">
        <x:v>26</x:v>
      </x:c>
      <x:c r="E584" s="18" t="n">
        <x:v>26</x:v>
      </x:c>
      <x:c r="F584" s="24" t="n">
        <x:f>IFERROR('各站彙總來源'!F584/'各站彙總來源'!G584,"")</x:f>
        <x:v>5.923076923076923</x:v>
      </x:c>
      <x:c r="G584" s="19" t="n">
        <x:f>'各站彙總來源'!G584</x:f>
        <x:v>26</x:v>
      </x:c>
      <x:c r="H584" s="24" t="n">
        <x:f>IFERROR('各站彙總來源'!H584/'各站彙總來源'!I584,"")</x:f>
        <x:v>2.3461538461538463</x:v>
      </x:c>
      <x:c r="I584" s="19" t="n">
        <x:f>'各站彙總來源'!I584</x:f>
        <x:v>26</x:v>
      </x:c>
      <x:c r="J584" s="24" t="n">
        <x:f>IFERROR('各站彙總來源'!J584/'各站彙總來源'!K584,"")</x:f>
        <x:v>5.5</x:v>
      </x:c>
      <x:c r="K584" s="19" t="n">
        <x:f>'各站彙總來源'!K584</x:f>
        <x:v>26</x:v>
      </x:c>
      <x:c r="L584" s="24" t="n">
        <x:f>IFERROR('各站彙總來源'!L584/'各站彙總來源'!M584,"")</x:f>
        <x:v>1.1153846153846154</x:v>
      </x:c>
      <x:c r="M584" s="19" t="n">
        <x:f>'各站彙總來源'!M584</x:f>
        <x:v>26</x:v>
      </x:c>
      <x:c r="N584" s="24" t="n">
        <x:f>F584+H584</x:f>
        <x:v>8.26923076923077</x:v>
      </x:c>
      <x:c r="O584" s="24" t="n">
        <x:f>J584+L584</x:f>
        <x:v>6.615384615384615</x:v>
      </x:c>
    </x:row>
    <x:row r="585">
      <x:c r="A585" s="22" t="str">
        <x:v>500105103</x:v>
      </x:c>
      <x:c r="B585" s="17" t="str">
        <x:v>文山區</x:v>
      </x:c>
      <x:c r="C585" s="17" t="str">
        <x:v>興隆社會住宅D1區</x:v>
      </x:c>
      <x:c r="D585" s="18" t="n">
        <x:v>26</x:v>
      </x:c>
      <x:c r="E585" s="18" t="n">
        <x:v>26</x:v>
      </x:c>
      <x:c r="F585" s="24" t="n">
        <x:f>IFERROR('各站彙總來源'!F585/'各站彙總來源'!G585,"")</x:f>
        <x:v>10.961538461538462</x:v>
      </x:c>
      <x:c r="G585" s="19" t="n">
        <x:f>'各站彙總來源'!G585</x:f>
        <x:v>26</x:v>
      </x:c>
      <x:c r="H585" s="24" t="n">
        <x:f>IFERROR('各站彙總來源'!H585/'各站彙總來源'!I585,"")</x:f>
        <x:v>2.0384615384615383</x:v>
      </x:c>
      <x:c r="I585" s="19" t="n">
        <x:f>'各站彙總來源'!I585</x:f>
        <x:v>26</x:v>
      </x:c>
      <x:c r="J585" s="24" t="n">
        <x:f>IFERROR('各站彙總來源'!J585/'各站彙總來源'!K585,"")</x:f>
        <x:v>4.538461538461538</x:v>
      </x:c>
      <x:c r="K585" s="19" t="n">
        <x:f>'各站彙總來源'!K585</x:f>
        <x:v>26</x:v>
      </x:c>
      <x:c r="L585" s="24" t="n">
        <x:f>IFERROR('各站彙總來源'!L585/'各站彙總來源'!M585,"")</x:f>
        <x:v>1.3076923076923077</x:v>
      </x:c>
      <x:c r="M585" s="19" t="n">
        <x:f>'各站彙總來源'!M585</x:f>
        <x:v>26</x:v>
      </x:c>
      <x:c r="N585" s="24" t="n">
        <x:f>F585+H585</x:f>
        <x:v>13</x:v>
      </x:c>
      <x:c r="O585" s="24" t="n">
        <x:f>J585+L585</x:f>
        <x:v>5.846153846153846</x:v>
      </x:c>
    </x:row>
    <x:row r="586">
      <x:c r="A586" s="22" t="str">
        <x:v>500105104</x:v>
      </x:c>
      <x:c r="B586" s="17" t="str">
        <x:v>文山區</x:v>
      </x:c>
      <x:c r="C586" s="17" t="str">
        <x:v>名門社區</x:v>
      </x:c>
      <x:c r="D586" s="18" t="n">
        <x:v>26</x:v>
      </x:c>
      <x:c r="E586" s="18" t="n">
        <x:v>26</x:v>
      </x:c>
      <x:c r="F586" s="24" t="n">
        <x:f>IFERROR('各站彙總來源'!F586/'各站彙總來源'!G586,"")</x:f>
        <x:v>3.3846153846153846</x:v>
      </x:c>
      <x:c r="G586" s="19" t="n">
        <x:f>'各站彙總來源'!G586</x:f>
        <x:v>26</x:v>
      </x:c>
      <x:c r="H586" s="24" t="n">
        <x:f>IFERROR('各站彙總來源'!H586/'各站彙總來源'!I586,"")</x:f>
        <x:v>2.076923076923077</x:v>
      </x:c>
      <x:c r="I586" s="19" t="n">
        <x:f>'各站彙總來源'!I586</x:f>
        <x:v>26</x:v>
      </x:c>
      <x:c r="J586" s="24" t="n">
        <x:f>IFERROR('各站彙總來源'!J586/'各站彙總來源'!K586,"")</x:f>
        <x:v>4.8076923076923075</x:v>
      </x:c>
      <x:c r="K586" s="19" t="n">
        <x:f>'各站彙總來源'!K586</x:f>
        <x:v>26</x:v>
      </x:c>
      <x:c r="L586" s="24" t="n">
        <x:f>IFERROR('各站彙總來源'!L586/'各站彙總來源'!M586,"")</x:f>
        <x:v>1</x:v>
      </x:c>
      <x:c r="M586" s="19" t="n">
        <x:f>'各站彙總來源'!M586</x:f>
        <x:v>26</x:v>
      </x:c>
      <x:c r="N586" s="24" t="n">
        <x:f>F586+H586</x:f>
        <x:v>5.461538461538462</x:v>
      </x:c>
      <x:c r="O586" s="24" t="n">
        <x:f>J586+L586</x:f>
        <x:v>5.8076923076923075</x:v>
      </x:c>
    </x:row>
    <x:row r="587">
      <x:c r="A587" s="22" t="str">
        <x:v>500105105</x:v>
      </x:c>
      <x:c r="B587" s="17" t="str">
        <x:v>文山區</x:v>
      </x:c>
      <x:c r="C587" s="17" t="str">
        <x:v>萬芳社區(萬芳路)</x:v>
      </x:c>
      <x:c r="D587" s="18" t="n">
        <x:v>26</x:v>
      </x:c>
      <x:c r="E587" s="18" t="n">
        <x:v>26</x:v>
      </x:c>
      <x:c r="F587" s="24" t="n">
        <x:f>IFERROR('各站彙總來源'!F587/'各站彙總來源'!G587,"")</x:f>
        <x:v>0</x:v>
      </x:c>
      <x:c r="G587" s="19" t="n">
        <x:f>'各站彙總來源'!G587</x:f>
        <x:v>26</x:v>
      </x:c>
      <x:c r="H587" s="24" t="n">
        <x:f>IFERROR('各站彙總來源'!H587/'各站彙總來源'!I587,"")</x:f>
        <x:v>0</x:v>
      </x:c>
      <x:c r="I587" s="19" t="n">
        <x:f>'各站彙總來源'!I587</x:f>
        <x:v>26</x:v>
      </x:c>
      <x:c r="J587" s="24" t="n">
        <x:f>IFERROR('各站彙總來源'!J587/'各站彙總來源'!K587,"")</x:f>
        <x:v>0</x:v>
      </x:c>
      <x:c r="K587" s="19" t="n">
        <x:f>'各站彙總來源'!K587</x:f>
        <x:v>26</x:v>
      </x:c>
      <x:c r="L587" s="24" t="n">
        <x:f>IFERROR('各站彙總來源'!L587/'各站彙總來源'!M587,"")</x:f>
        <x:v>0</x:v>
      </x:c>
      <x:c r="M587" s="19" t="n">
        <x:f>'各站彙總來源'!M587</x:f>
        <x:v>26</x:v>
      </x:c>
      <x:c r="N587" s="24" t="n">
        <x:f>F587+H587</x:f>
        <x:v>0</x:v>
      </x:c>
      <x:c r="O587" s="24" t="n">
        <x:f>J587+L587</x:f>
        <x:v>0</x:v>
      </x:c>
    </x:row>
    <x:row r="588">
      <x:c r="A588" s="22" t="str">
        <x:v>500105106</x:v>
      </x:c>
      <x:c r="B588" s="17" t="str">
        <x:v>文山區</x:v>
      </x:c>
      <x:c r="C588" s="17" t="str">
        <x:v>政大國際會館</x:v>
      </x:c>
      <x:c r="D588" s="18" t="n">
        <x:v>26</x:v>
      </x:c>
      <x:c r="E588" s="18" t="n">
        <x:v>26</x:v>
      </x:c>
      <x:c r="F588" s="24" t="n">
        <x:f>IFERROR('各站彙總來源'!F588/'各站彙總來源'!G588,"")</x:f>
        <x:v>10.692307692307692</x:v>
      </x:c>
      <x:c r="G588" s="19" t="n">
        <x:f>'各站彙總來源'!G588</x:f>
        <x:v>26</x:v>
      </x:c>
      <x:c r="H588" s="24" t="n">
        <x:f>IFERROR('各站彙總來源'!H588/'各站彙總來源'!I588,"")</x:f>
        <x:v>3.923076923076923</x:v>
      </x:c>
      <x:c r="I588" s="19" t="n">
        <x:f>'各站彙總來源'!I588</x:f>
        <x:v>26</x:v>
      </x:c>
      <x:c r="J588" s="24" t="n">
        <x:f>IFERROR('各站彙總來源'!J588/'各站彙總來源'!K588,"")</x:f>
        <x:v>6.230769230769231</x:v>
      </x:c>
      <x:c r="K588" s="19" t="n">
        <x:f>'各站彙總來源'!K588</x:f>
        <x:v>26</x:v>
      </x:c>
      <x:c r="L588" s="24" t="n">
        <x:f>IFERROR('各站彙總來源'!L588/'各站彙總來源'!M588,"")</x:f>
        <x:v>2.423076923076923</x:v>
      </x:c>
      <x:c r="M588" s="19" t="n">
        <x:f>'各站彙總來源'!M588</x:f>
        <x:v>26</x:v>
      </x:c>
      <x:c r="N588" s="24" t="n">
        <x:f>F588+H588</x:f>
        <x:v>14.615384615384615</x:v>
      </x:c>
      <x:c r="O588" s="24" t="n">
        <x:f>J588+L588</x:f>
        <x:v>8.653846153846153</x:v>
      </x:c>
    </x:row>
    <x:row r="589">
      <x:c r="A589" s="22" t="str">
        <x:v>500105107</x:v>
      </x:c>
      <x:c r="B589" s="17" t="str">
        <x:v>文山區</x:v>
      </x:c>
      <x:c r="C589" s="17" t="str">
        <x:v>萬芳出租國宅</x:v>
      </x:c>
      <x:c r="D589" s="18" t="n">
        <x:v>26</x:v>
      </x:c>
      <x:c r="E589" s="18" t="n">
        <x:v>26</x:v>
      </x:c>
      <x:c r="F589" s="24" t="n">
        <x:f>IFERROR('各站彙總來源'!F589/'各站彙總來源'!G589,"")</x:f>
        <x:v>19.76923076923077</x:v>
      </x:c>
      <x:c r="G589" s="19" t="n">
        <x:f>'各站彙總來源'!G589</x:f>
        <x:v>26</x:v>
      </x:c>
      <x:c r="H589" s="24" t="n">
        <x:f>IFERROR('各站彙總來源'!H589/'各站彙總來源'!I589,"")</x:f>
        <x:v>2.1538461538461537</x:v>
      </x:c>
      <x:c r="I589" s="19" t="n">
        <x:f>'各站彙總來源'!I589</x:f>
        <x:v>26</x:v>
      </x:c>
      <x:c r="J589" s="24" t="n">
        <x:f>IFERROR('各站彙總來源'!J589/'各站彙總來源'!K589,"")</x:f>
        <x:v>7.730769230769231</x:v>
      </x:c>
      <x:c r="K589" s="19" t="n">
        <x:f>'各站彙總來源'!K589</x:f>
        <x:v>26</x:v>
      </x:c>
      <x:c r="L589" s="24" t="n">
        <x:f>IFERROR('各站彙總來源'!L589/'各站彙總來源'!M589,"")</x:f>
        <x:v>1.1538461538461537</x:v>
      </x:c>
      <x:c r="M589" s="19" t="n">
        <x:f>'各站彙總來源'!M589</x:f>
        <x:v>26</x:v>
      </x:c>
      <x:c r="N589" s="24" t="n">
        <x:f>F589+H589</x:f>
        <x:v>21.923076923076923</x:v>
      </x:c>
      <x:c r="O589" s="24" t="n">
        <x:f>J589+L589</x:f>
        <x:v>8.884615384615385</x:v>
      </x:c>
    </x:row>
    <x:row r="590">
      <x:c r="A590" s="22" t="str">
        <x:v>500105108</x:v>
      </x:c>
      <x:c r="B590" s="17" t="str">
        <x:v>文山區</x:v>
      </x:c>
      <x:c r="C590" s="17" t="str">
        <x:v>景美國小</x:v>
      </x:c>
      <x:c r="D590" s="18" t="n">
        <x:v>26</x:v>
      </x:c>
      <x:c r="E590" s="18" t="n">
        <x:v>26</x:v>
      </x:c>
      <x:c r="F590" s="24" t="n">
        <x:f>IFERROR('各站彙總來源'!F590/'各站彙總來源'!G590,"")</x:f>
        <x:v>5.884615384615385</x:v>
      </x:c>
      <x:c r="G590" s="19" t="n">
        <x:f>'各站彙總來源'!G590</x:f>
        <x:v>26</x:v>
      </x:c>
      <x:c r="H590" s="24" t="n">
        <x:f>IFERROR('各站彙總來源'!H590/'各站彙總來源'!I590,"")</x:f>
        <x:v>0.9615384615384616</x:v>
      </x:c>
      <x:c r="I590" s="19" t="n">
        <x:f>'各站彙總來源'!I590</x:f>
        <x:v>26</x:v>
      </x:c>
      <x:c r="J590" s="24" t="n">
        <x:f>IFERROR('各站彙總來源'!J590/'各站彙總來源'!K590,"")</x:f>
        <x:v>5.961538461538462</x:v>
      </x:c>
      <x:c r="K590" s="19" t="n">
        <x:f>'各站彙總來源'!K590</x:f>
        <x:v>26</x:v>
      </x:c>
      <x:c r="L590" s="24" t="n">
        <x:f>IFERROR('各站彙總來源'!L590/'各站彙總來源'!M590,"")</x:f>
        <x:v>1.1538461538461537</x:v>
      </x:c>
      <x:c r="M590" s="19" t="n">
        <x:f>'各站彙總來源'!M590</x:f>
        <x:v>26</x:v>
      </x:c>
      <x:c r="N590" s="24" t="n">
        <x:f>F590+H590</x:f>
        <x:v>6.846153846153847</x:v>
      </x:c>
      <x:c r="O590" s="24" t="n">
        <x:f>J590+L590</x:f>
        <x:v>7.115384615384615</x:v>
      </x:c>
    </x:row>
    <x:row r="591">
      <x:c r="A591" s="22" t="str">
        <x:v>500105109</x:v>
      </x:c>
      <x:c r="B591" s="17" t="str">
        <x:v>文山區</x:v>
      </x:c>
      <x:c r="C591" s="17" t="str">
        <x:v>景文街142巷口</x:v>
      </x:c>
      <x:c r="D591" s="18" t="n">
        <x:v>26</x:v>
      </x:c>
      <x:c r="E591" s="18" t="n">
        <x:v>26</x:v>
      </x:c>
      <x:c r="F591" s="24" t="n">
        <x:f>IFERROR('各站彙總來源'!F591/'各站彙總來源'!G591,"")</x:f>
        <x:v>5.961538461538462</x:v>
      </x:c>
      <x:c r="G591" s="19" t="n">
        <x:f>'各站彙總來源'!G591</x:f>
        <x:v>26</x:v>
      </x:c>
      <x:c r="H591" s="24" t="n">
        <x:f>IFERROR('各站彙總來源'!H591/'各站彙總來源'!I591,"")</x:f>
        <x:v>2.076923076923077</x:v>
      </x:c>
      <x:c r="I591" s="19" t="n">
        <x:f>'各站彙總來源'!I591</x:f>
        <x:v>26</x:v>
      </x:c>
      <x:c r="J591" s="24" t="n">
        <x:f>IFERROR('各站彙總來源'!J591/'各站彙總來源'!K591,"")</x:f>
        <x:v>6.1923076923076925</x:v>
      </x:c>
      <x:c r="K591" s="19" t="n">
        <x:f>'各站彙總來源'!K591</x:f>
        <x:v>26</x:v>
      </x:c>
      <x:c r="L591" s="24" t="n">
        <x:f>IFERROR('各站彙總來源'!L591/'各站彙總來源'!M591,"")</x:f>
        <x:v>2.6538461538461537</x:v>
      </x:c>
      <x:c r="M591" s="19" t="n">
        <x:f>'各站彙總來源'!M591</x:f>
        <x:v>26</x:v>
      </x:c>
      <x:c r="N591" s="24" t="n">
        <x:f>F591+H591</x:f>
        <x:v>8.038461538461538</x:v>
      </x:c>
      <x:c r="O591" s="24" t="n">
        <x:f>J591+L591</x:f>
        <x:v>8.846153846153847</x:v>
      </x:c>
    </x:row>
    <x:row r="592">
      <x:c r="A592" s="22" t="str">
        <x:v>500105110</x:v>
      </x:c>
      <x:c r="B592" s="17" t="str">
        <x:v>文山區</x:v>
      </x:c>
      <x:c r="C592" s="17" t="str">
        <x:v>保儀路142巷</x:v>
      </x:c>
      <x:c r="D592" s="18" t="n">
        <x:v>26</x:v>
      </x:c>
      <x:c r="E592" s="18" t="n">
        <x:v>26</x:v>
      </x:c>
      <x:c r="F592" s="24" t="n">
        <x:f>IFERROR('各站彙總來源'!F592/'各站彙總來源'!G592,"")</x:f>
        <x:v>6.923076923076923</x:v>
      </x:c>
      <x:c r="G592" s="19" t="n">
        <x:f>'各站彙總來源'!G592</x:f>
        <x:v>26</x:v>
      </x:c>
      <x:c r="H592" s="24" t="n">
        <x:f>IFERROR('各站彙總來源'!H592/'各站彙總來源'!I592,"")</x:f>
        <x:v>2.6153846153846154</x:v>
      </x:c>
      <x:c r="I592" s="19" t="n">
        <x:f>'各站彙總來源'!I592</x:f>
        <x:v>26</x:v>
      </x:c>
      <x:c r="J592" s="24" t="n">
        <x:f>IFERROR('各站彙總來源'!J592/'各站彙總來源'!K592,"")</x:f>
        <x:v>6.6923076923076925</x:v>
      </x:c>
      <x:c r="K592" s="19" t="n">
        <x:f>'各站彙總來源'!K592</x:f>
        <x:v>26</x:v>
      </x:c>
      <x:c r="L592" s="24" t="n">
        <x:f>IFERROR('各站彙總來源'!L592/'各站彙總來源'!M592,"")</x:f>
        <x:v>2.923076923076923</x:v>
      </x:c>
      <x:c r="M592" s="19" t="n">
        <x:f>'各站彙總來源'!M592</x:f>
        <x:v>26</x:v>
      </x:c>
      <x:c r="N592" s="24" t="n">
        <x:f>F592+H592</x:f>
        <x:v>9.538461538461538</x:v>
      </x:c>
      <x:c r="O592" s="24" t="n">
        <x:f>J592+L592</x:f>
        <x:v>9.615384615384615</x:v>
      </x:c>
    </x:row>
    <x:row r="593">
      <x:c r="A593" s="22" t="str">
        <x:v>500105111</x:v>
      </x:c>
      <x:c r="B593" s="17" t="str">
        <x:v>文山區</x:v>
      </x:c>
      <x:c r="C593" s="17" t="str">
        <x:v>和興水岸社會住宅</x:v>
      </x:c>
      <x:c r="D593" s="18" t="n">
        <x:v>26</x:v>
      </x:c>
      <x:c r="E593" s="18" t="n">
        <x:v>26</x:v>
      </x:c>
      <x:c r="F593" s="24" t="n">
        <x:f>IFERROR('各站彙總來源'!F593/'各站彙總來源'!G593,"")</x:f>
        <x:v>15.76923076923077</x:v>
      </x:c>
      <x:c r="G593" s="19" t="n">
        <x:f>'各站彙總來源'!G593</x:f>
        <x:v>26</x:v>
      </x:c>
      <x:c r="H593" s="24" t="n">
        <x:f>IFERROR('各站彙總來源'!H593/'各站彙總來源'!I593,"")</x:f>
        <x:v>2.576923076923077</x:v>
      </x:c>
      <x:c r="I593" s="19" t="n">
        <x:f>'各站彙總來源'!I593</x:f>
        <x:v>26</x:v>
      </x:c>
      <x:c r="J593" s="24" t="n">
        <x:f>IFERROR('各站彙總來源'!J593/'各站彙總來源'!K593,"")</x:f>
        <x:v>5.5</x:v>
      </x:c>
      <x:c r="K593" s="19" t="n">
        <x:f>'各站彙總來源'!K593</x:f>
        <x:v>26</x:v>
      </x:c>
      <x:c r="L593" s="24" t="n">
        <x:f>IFERROR('各站彙總來源'!L593/'各站彙總來源'!M593,"")</x:f>
        <x:v>1.3461538461538463</x:v>
      </x:c>
      <x:c r="M593" s="19" t="n">
        <x:f>'各站彙總來源'!M593</x:f>
        <x:v>26</x:v>
      </x:c>
      <x:c r="N593" s="24" t="n">
        <x:f>F593+H593</x:f>
        <x:v>18.346153846153847</x:v>
      </x:c>
      <x:c r="O593" s="24" t="n">
        <x:f>J593+L593</x:f>
        <x:v>6.846153846153847</x:v>
      </x:c>
    </x:row>
    <x:row r="594">
      <x:c r="A594" s="22" t="str">
        <x:v>500105112</x:v>
      </x:c>
      <x:c r="B594" s="17" t="str">
        <x:v>文山區</x:v>
      </x:c>
      <x:c r="C594" s="17" t="str">
        <x:v>萬芳路107巷口</x:v>
      </x:c>
      <x:c r="D594" s="18" t="n">
        <x:v>26</x:v>
      </x:c>
      <x:c r="E594" s="18" t="n">
        <x:v>26</x:v>
      </x:c>
      <x:c r="F594" s="24" t="n">
        <x:f>IFERROR('各站彙總來源'!F594/'各站彙總來源'!G594,"")</x:f>
        <x:v>6.846153846153846</x:v>
      </x:c>
      <x:c r="G594" s="19" t="n">
        <x:f>'各站彙總來源'!G594</x:f>
        <x:v>26</x:v>
      </x:c>
      <x:c r="H594" s="24" t="n">
        <x:f>IFERROR('各站彙總來源'!H594/'各站彙總來源'!I594,"")</x:f>
        <x:v>1.0769230769230769</x:v>
      </x:c>
      <x:c r="I594" s="19" t="n">
        <x:f>'各站彙總來源'!I594</x:f>
        <x:v>26</x:v>
      </x:c>
      <x:c r="J594" s="24" t="n">
        <x:f>IFERROR('各站彙總來源'!J594/'各站彙總來源'!K594,"")</x:f>
        <x:v>3.6153846153846154</x:v>
      </x:c>
      <x:c r="K594" s="19" t="n">
        <x:f>'各站彙總來源'!K594</x:f>
        <x:v>26</x:v>
      </x:c>
      <x:c r="L594" s="24" t="n">
        <x:f>IFERROR('各站彙總來源'!L594/'各站彙總來源'!M594,"")</x:f>
        <x:v>0.9230769230769231</x:v>
      </x:c>
      <x:c r="M594" s="19" t="n">
        <x:f>'各站彙總來源'!M594</x:f>
        <x:v>26</x:v>
      </x:c>
      <x:c r="N594" s="24" t="n">
        <x:f>F594+H594</x:f>
        <x:v>7.9230769230769225</x:v>
      </x:c>
      <x:c r="O594" s="24" t="n">
        <x:f>J594+L594</x:f>
        <x:v>4.538461538461538</x:v>
      </x:c>
    </x:row>
    <x:row r="595">
      <x:c r="A595" s="22" t="str">
        <x:v>500105113</x:v>
      </x:c>
      <x:c r="B595" s="17" t="str">
        <x:v>文山區</x:v>
      </x:c>
      <x:c r="C595" s="17" t="str">
        <x:v>考選部國家考場</x:v>
      </x:c>
      <x:c r="D595" s="18" t="n">
        <x:v>26</x:v>
      </x:c>
      <x:c r="E595" s="18" t="n">
        <x:v>26</x:v>
      </x:c>
      <x:c r="F595" s="24" t="n">
        <x:f>IFERROR('各站彙總來源'!F595/'各站彙總來源'!G595,"")</x:f>
        <x:v>10.384615384615385</x:v>
      </x:c>
      <x:c r="G595" s="19" t="n">
        <x:f>'各站彙總來源'!G595</x:f>
        <x:v>26</x:v>
      </x:c>
      <x:c r="H595" s="24" t="n">
        <x:f>IFERROR('各站彙總來源'!H595/'各站彙總來源'!I595,"")</x:f>
        <x:v>1.6153846153846154</x:v>
      </x:c>
      <x:c r="I595" s="19" t="n">
        <x:f>'各站彙總來源'!I595</x:f>
        <x:v>26</x:v>
      </x:c>
      <x:c r="J595" s="24" t="n">
        <x:f>IFERROR('各站彙總來源'!J595/'各站彙總來源'!K595,"")</x:f>
        <x:v>10.961538461538462</x:v>
      </x:c>
      <x:c r="K595" s="19" t="n">
        <x:f>'各站彙總來源'!K595</x:f>
        <x:v>26</x:v>
      </x:c>
      <x:c r="L595" s="24" t="n">
        <x:f>IFERROR('各站彙總來源'!L595/'各站彙總來源'!M595,"")</x:f>
        <x:v>2</x:v>
      </x:c>
      <x:c r="M595" s="19" t="n">
        <x:f>'各站彙總來源'!M595</x:f>
        <x:v>26</x:v>
      </x:c>
      <x:c r="N595" s="24" t="n">
        <x:f>F595+H595</x:f>
        <x:v>12</x:v>
      </x:c>
      <x:c r="O595" s="24" t="n">
        <x:f>J595+L595</x:f>
        <x:v>12.961538461538462</x:v>
      </x:c>
    </x:row>
    <x:row r="596">
      <x:c r="A596" s="22" t="str">
        <x:v>500105114</x:v>
      </x:c>
      <x:c r="B596" s="17" t="str">
        <x:v>文山區</x:v>
      </x:c>
      <x:c r="C596" s="17" t="str">
        <x:v>明道國小(明道國宅)</x:v>
      </x:c>
      <x:c r="D596" s="18" t="n">
        <x:v>26</x:v>
      </x:c>
      <x:c r="E596" s="18" t="n">
        <x:v>26</x:v>
      </x:c>
      <x:c r="F596" s="24" t="n">
        <x:f>IFERROR('各站彙總來源'!F596/'各站彙總來源'!G596,"")</x:f>
        <x:v>3.3846153846153846</x:v>
      </x:c>
      <x:c r="G596" s="19" t="n">
        <x:f>'各站彙總來源'!G596</x:f>
        <x:v>26</x:v>
      </x:c>
      <x:c r="H596" s="24" t="n">
        <x:f>IFERROR('各站彙總來源'!H596/'各站彙總來源'!I596,"")</x:f>
        <x:v>0.6923076923076923</x:v>
      </x:c>
      <x:c r="I596" s="19" t="n">
        <x:f>'各站彙總來源'!I596</x:f>
        <x:v>26</x:v>
      </x:c>
      <x:c r="J596" s="24" t="n">
        <x:f>IFERROR('各站彙總來源'!J596/'各站彙總來源'!K596,"")</x:f>
        <x:v>3.269230769230769</x:v>
      </x:c>
      <x:c r="K596" s="19" t="n">
        <x:f>'各站彙總來源'!K596</x:f>
        <x:v>26</x:v>
      </x:c>
      <x:c r="L596" s="24" t="n">
        <x:f>IFERROR('各站彙總來源'!L596/'各站彙總來源'!M596,"")</x:f>
        <x:v>0.8461538461538461</x:v>
      </x:c>
      <x:c r="M596" s="19" t="n">
        <x:f>'各站彙總來源'!M596</x:f>
        <x:v>26</x:v>
      </x:c>
      <x:c r="N596" s="24" t="n">
        <x:f>F596+H596</x:f>
        <x:v>4.076923076923077</x:v>
      </x:c>
      <x:c r="O596" s="24" t="n">
        <x:f>J596+L596</x:f>
        <x:v>4.115384615384615</x:v>
      </x:c>
    </x:row>
    <x:row r="597">
      <x:c r="A597" s="22" t="str">
        <x:v>500105115</x:v>
      </x:c>
      <x:c r="B597" s="17" t="str">
        <x:v>文山區</x:v>
      </x:c>
      <x:c r="C597" s="17" t="str">
        <x:v>興隆社會住宅A區</x:v>
      </x:c>
      <x:c r="D597" s="18" t="n">
        <x:v>26</x:v>
      </x:c>
      <x:c r="E597" s="18" t="n">
        <x:v>26</x:v>
      </x:c>
      <x:c r="F597" s="24" t="n">
        <x:f>IFERROR('各站彙總來源'!F597/'各站彙總來源'!G597,"")</x:f>
        <x:v>8.576923076923077</x:v>
      </x:c>
      <x:c r="G597" s="19" t="n">
        <x:f>'各站彙總來源'!G597</x:f>
        <x:v>26</x:v>
      </x:c>
      <x:c r="H597" s="24" t="n">
        <x:f>IFERROR('各站彙總來源'!H597/'各站彙總來源'!I597,"")</x:f>
        <x:v>1.6923076923076923</x:v>
      </x:c>
      <x:c r="I597" s="19" t="n">
        <x:f>'各站彙總來源'!I597</x:f>
        <x:v>26</x:v>
      </x:c>
      <x:c r="J597" s="24" t="n">
        <x:f>IFERROR('各站彙總來源'!J597/'各站彙總來源'!K597,"")</x:f>
        <x:v>6.6923076923076925</x:v>
      </x:c>
      <x:c r="K597" s="19" t="n">
        <x:f>'各站彙總來源'!K597</x:f>
        <x:v>26</x:v>
      </x:c>
      <x:c r="L597" s="24" t="n">
        <x:f>IFERROR('各站彙總來源'!L597/'各站彙總來源'!M597,"")</x:f>
        <x:v>2.076923076923077</x:v>
      </x:c>
      <x:c r="M597" s="19" t="n">
        <x:f>'各站彙總來源'!M597</x:f>
        <x:v>26</x:v>
      </x:c>
      <x:c r="N597" s="24" t="n">
        <x:f>F597+H597</x:f>
        <x:v>10.269230769230768</x:v>
      </x:c>
      <x:c r="O597" s="24" t="n">
        <x:f>J597+L597</x:f>
        <x:v>8.76923076923077</x:v>
      </x:c>
    </x:row>
    <x:row r="598">
      <x:c r="A598" s="22" t="str">
        <x:v>500105116</x:v>
      </x:c>
      <x:c r="B598" s="17" t="str">
        <x:v>文山區</x:v>
      </x:c>
      <x:c r="C598" s="17" t="str">
        <x:v>景興路177巷</x:v>
      </x:c>
      <x:c r="D598" s="18" t="n">
        <x:v>26</x:v>
      </x:c>
      <x:c r="E598" s="18" t="n">
        <x:v>26</x:v>
      </x:c>
      <x:c r="F598" s="24" t="n">
        <x:f>IFERROR('各站彙總來源'!F598/'各站彙總來源'!G598,"")</x:f>
        <x:v>4.576923076923077</x:v>
      </x:c>
      <x:c r="G598" s="19" t="n">
        <x:f>'各站彙總來源'!G598</x:f>
        <x:v>26</x:v>
      </x:c>
      <x:c r="H598" s="24" t="n">
        <x:f>IFERROR('各站彙總來源'!H598/'各站彙總來源'!I598,"")</x:f>
        <x:v>0.6923076923076923</x:v>
      </x:c>
      <x:c r="I598" s="19" t="n">
        <x:f>'各站彙總來源'!I598</x:f>
        <x:v>26</x:v>
      </x:c>
      <x:c r="J598" s="24" t="n">
        <x:f>IFERROR('各站彙總來源'!J598/'各站彙總來源'!K598,"")</x:f>
        <x:v>3.4615384615384617</x:v>
      </x:c>
      <x:c r="K598" s="19" t="n">
        <x:f>'各站彙總來源'!K598</x:f>
        <x:v>26</x:v>
      </x:c>
      <x:c r="L598" s="24" t="n">
        <x:f>IFERROR('各站彙總來源'!L598/'各站彙總來源'!M598,"")</x:f>
        <x:v>0.46153846153846156</x:v>
      </x:c>
      <x:c r="M598" s="19" t="n">
        <x:f>'各站彙總來源'!M598</x:f>
        <x:v>26</x:v>
      </x:c>
      <x:c r="N598" s="24" t="n">
        <x:f>F598+H598</x:f>
        <x:v>5.269230769230769</x:v>
      </x:c>
      <x:c r="O598" s="24" t="n">
        <x:f>J598+L598</x:f>
        <x:v>3.9230769230769234</x:v>
      </x:c>
    </x:row>
    <x:row r="599">
      <x:c r="A599" s="22" t="str">
        <x:v>500105117</x:v>
      </x:c>
      <x:c r="B599" s="17" t="str">
        <x:v>文山區</x:v>
      </x:c>
      <x:c r="C599" s="17" t="str">
        <x:v>捷運景美站(1號出口)</x:v>
      </x:c>
      <x:c r="D599" s="18" t="n">
        <x:v>26</x:v>
      </x:c>
      <x:c r="E599" s="18" t="n">
        <x:v>26</x:v>
      </x:c>
      <x:c r="F599" s="24" t="n">
        <x:f>IFERROR('各站彙總來源'!F599/'各站彙總來源'!G599,"")</x:f>
        <x:v>6.3076923076923075</x:v>
      </x:c>
      <x:c r="G599" s="19" t="n">
        <x:f>'各站彙總來源'!G599</x:f>
        <x:v>26</x:v>
      </x:c>
      <x:c r="H599" s="24" t="n">
        <x:f>IFERROR('各站彙總來源'!H599/'各站彙總來源'!I599,"")</x:f>
        <x:v>0.7307692307692307</x:v>
      </x:c>
      <x:c r="I599" s="19" t="n">
        <x:f>'各站彙總來源'!I599</x:f>
        <x:v>26</x:v>
      </x:c>
      <x:c r="J599" s="24" t="n">
        <x:f>IFERROR('各站彙總來源'!J599/'各站彙總來源'!K599,"")</x:f>
        <x:v>5.846153846153846</x:v>
      </x:c>
      <x:c r="K599" s="19" t="n">
        <x:f>'各站彙總來源'!K599</x:f>
        <x:v>26</x:v>
      </x:c>
      <x:c r="L599" s="24" t="n">
        <x:f>IFERROR('各站彙總來源'!L599/'各站彙總來源'!M599,"")</x:f>
        <x:v>1.7692307692307692</x:v>
      </x:c>
      <x:c r="M599" s="19" t="n">
        <x:f>'各站彙總來源'!M599</x:f>
        <x:v>26</x:v>
      </x:c>
      <x:c r="N599" s="24" t="n">
        <x:f>F599+H599</x:f>
        <x:v>7.038461538461538</x:v>
      </x:c>
      <x:c r="O599" s="24" t="n">
        <x:f>J599+L599</x:f>
        <x:v>7.615384615384615</x:v>
      </x:c>
    </x:row>
    <x:row r="600">
      <x:c r="A600" s="22" t="str">
        <x:v>500105118</x:v>
      </x:c>
      <x:c r="B600" s="17" t="str">
        <x:v>文山區</x:v>
      </x:c>
      <x:c r="C600" s="17" t="str">
        <x:v>秀明路二段92巷口</x:v>
      </x:c>
      <x:c r="D600" s="18" t="n">
        <x:v>26</x:v>
      </x:c>
      <x:c r="E600" s="18" t="n">
        <x:v>26</x:v>
      </x:c>
      <x:c r="F600" s="24" t="n">
        <x:f>IFERROR('各站彙總來源'!F600/'各站彙總來源'!G600,"")</x:f>
        <x:v>9</x:v>
      </x:c>
      <x:c r="G600" s="19" t="n">
        <x:f>'各站彙總來源'!G600</x:f>
        <x:v>26</x:v>
      </x:c>
      <x:c r="H600" s="24" t="n">
        <x:f>IFERROR('各站彙總來源'!H600/'各站彙總來源'!I600,"")</x:f>
        <x:v>3.076923076923077</x:v>
      </x:c>
      <x:c r="I600" s="19" t="n">
        <x:f>'各站彙總來源'!I600</x:f>
        <x:v>26</x:v>
      </x:c>
      <x:c r="J600" s="24" t="n">
        <x:f>IFERROR('各站彙總來源'!J600/'各站彙總來源'!K600,"")</x:f>
        <x:v>4.730769230769231</x:v>
      </x:c>
      <x:c r="K600" s="19" t="n">
        <x:f>'各站彙總來源'!K600</x:f>
        <x:v>26</x:v>
      </x:c>
      <x:c r="L600" s="24" t="n">
        <x:f>IFERROR('各站彙總來源'!L600/'各站彙總來源'!M600,"")</x:f>
        <x:v>2.3846153846153846</x:v>
      </x:c>
      <x:c r="M600" s="19" t="n">
        <x:f>'各站彙總來源'!M600</x:f>
        <x:v>26</x:v>
      </x:c>
      <x:c r="N600" s="24" t="n">
        <x:f>F600+H600</x:f>
        <x:v>12.076923076923077</x:v>
      </x:c>
      <x:c r="O600" s="24" t="n">
        <x:f>J600+L600</x:f>
        <x:v>7.115384615384615</x:v>
      </x:c>
    </x:row>
    <x:row r="601">
      <x:c r="A601" s="22" t="str">
        <x:v>500105119</x:v>
      </x:c>
      <x:c r="B601" s="17" t="str">
        <x:v>文山區</x:v>
      </x:c>
      <x:c r="C601" s="17" t="str">
        <x:v>樟新社會住宅</x:v>
      </x:c>
      <x:c r="D601" s="18" t="n">
        <x:v>26</x:v>
      </x:c>
      <x:c r="E601" s="18" t="n">
        <x:v>26</x:v>
      </x:c>
      <x:c r="F601" s="24" t="n">
        <x:f>IFERROR('各站彙總來源'!F601/'各站彙總來源'!G601,"")</x:f>
        <x:v>9.923076923076923</x:v>
      </x:c>
      <x:c r="G601" s="19" t="n">
        <x:f>'各站彙總來源'!G601</x:f>
        <x:v>26</x:v>
      </x:c>
      <x:c r="H601" s="24" t="n">
        <x:f>IFERROR('各站彙總來源'!H601/'各站彙總來源'!I601,"")</x:f>
        <x:v>2.1538461538461537</x:v>
      </x:c>
      <x:c r="I601" s="19" t="n">
        <x:f>'各站彙總來源'!I601</x:f>
        <x:v>26</x:v>
      </x:c>
      <x:c r="J601" s="24" t="n">
        <x:f>IFERROR('各站彙總來源'!J601/'各站彙總來源'!K601,"")</x:f>
        <x:v>5.384615384615385</x:v>
      </x:c>
      <x:c r="K601" s="19" t="n">
        <x:f>'各站彙總來源'!K601</x:f>
        <x:v>26</x:v>
      </x:c>
      <x:c r="L601" s="24" t="n">
        <x:f>IFERROR('各站彙總來源'!L601/'各站彙總來源'!M601,"")</x:f>
        <x:v>2.3461538461538463</x:v>
      </x:c>
      <x:c r="M601" s="19" t="n">
        <x:f>'各站彙總來源'!M601</x:f>
        <x:v>26</x:v>
      </x:c>
      <x:c r="N601" s="24" t="n">
        <x:f>F601+H601</x:f>
        <x:v>12.076923076923077</x:v>
      </x:c>
      <x:c r="O601" s="24" t="n">
        <x:f>J601+L601</x:f>
        <x:v>7.730769230769232</x:v>
      </x:c>
    </x:row>
    <x:row r="602">
      <x:c r="A602" s="22" t="str">
        <x:v>500105120</x:v>
      </x:c>
      <x:c r="B602" s="17" t="str">
        <x:v>文山區</x:v>
      </x:c>
      <x:c r="C602" s="17" t="str">
        <x:v>忠順路二段57巷口</x:v>
      </x:c>
      <x:c r="D602" s="18" t="n">
        <x:v>26</x:v>
      </x:c>
      <x:c r="E602" s="18" t="n">
        <x:v>26</x:v>
      </x:c>
      <x:c r="F602" s="24" t="n">
        <x:f>IFERROR('各站彙總來源'!F602/'各站彙總來源'!G602,"")</x:f>
        <x:v>6.153846153846154</x:v>
      </x:c>
      <x:c r="G602" s="19" t="n">
        <x:f>'各站彙總來源'!G602</x:f>
        <x:v>26</x:v>
      </x:c>
      <x:c r="H602" s="24" t="n">
        <x:f>IFERROR('各站彙總來源'!H602/'各站彙總來源'!I602,"")</x:f>
        <x:v>1.3076923076923077</x:v>
      </x:c>
      <x:c r="I602" s="19" t="n">
        <x:f>'各站彙總來源'!I602</x:f>
        <x:v>26</x:v>
      </x:c>
      <x:c r="J602" s="24" t="n">
        <x:f>IFERROR('各站彙總來源'!J602/'各站彙總來源'!K602,"")</x:f>
        <x:v>2.5384615384615383</x:v>
      </x:c>
      <x:c r="K602" s="19" t="n">
        <x:f>'各站彙總來源'!K602</x:f>
        <x:v>26</x:v>
      </x:c>
      <x:c r="L602" s="24" t="n">
        <x:f>IFERROR('各站彙總來源'!L602/'各站彙總來源'!M602,"")</x:f>
        <x:v>0.46153846153846156</x:v>
      </x:c>
      <x:c r="M602" s="19" t="n">
        <x:f>'各站彙總來源'!M602</x:f>
        <x:v>26</x:v>
      </x:c>
      <x:c r="N602" s="24" t="n">
        <x:f>F602+H602</x:f>
        <x:v>7.461538461538462</x:v>
      </x:c>
      <x:c r="O602" s="24" t="n">
        <x:f>J602+L602</x:f>
        <x:v>3</x:v>
      </x:c>
    </x:row>
    <x:row r="603">
      <x:c r="A603" s="22" t="str">
        <x:v>500105121</x:v>
      </x:c>
      <x:c r="B603" s="17" t="str">
        <x:v>文山區</x:v>
      </x:c>
      <x:c r="C603" s="17" t="str">
        <x:v>景豐公園</x:v>
      </x:c>
      <x:c r="D603" s="18" t="n">
        <x:v>26</x:v>
      </x:c>
      <x:c r="E603" s="18" t="n">
        <x:v>26</x:v>
      </x:c>
      <x:c r="F603" s="24" t="n">
        <x:f>IFERROR('各站彙總來源'!F603/'各站彙總來源'!G603,"")</x:f>
        <x:v>20.153846153846153</x:v>
      </x:c>
      <x:c r="G603" s="19" t="n">
        <x:f>'各站彙總來源'!G603</x:f>
        <x:v>26</x:v>
      </x:c>
      <x:c r="H603" s="24" t="n">
        <x:f>IFERROR('各站彙總來源'!H603/'各站彙總來源'!I603,"")</x:f>
        <x:v>0.9615384615384616</x:v>
      </x:c>
      <x:c r="I603" s="19" t="n">
        <x:f>'各站彙總來源'!I603</x:f>
        <x:v>26</x:v>
      </x:c>
      <x:c r="J603" s="24" t="n">
        <x:f>IFERROR('各站彙總來源'!J603/'各站彙總來源'!K603,"")</x:f>
        <x:v>9</x:v>
      </x:c>
      <x:c r="K603" s="19" t="n">
        <x:f>'各站彙總來源'!K603</x:f>
        <x:v>26</x:v>
      </x:c>
      <x:c r="L603" s="24" t="n">
        <x:f>IFERROR('各站彙總來源'!L603/'各站彙總來源'!M603,"")</x:f>
        <x:v>0.9230769230769231</x:v>
      </x:c>
      <x:c r="M603" s="19" t="n">
        <x:f>'各站彙總來源'!M603</x:f>
        <x:v>26</x:v>
      </x:c>
      <x:c r="N603" s="24" t="n">
        <x:f>F603+H603</x:f>
        <x:v>21.115384615384613</x:v>
      </x:c>
      <x:c r="O603" s="24" t="n">
        <x:f>J603+L603</x:f>
        <x:v>9.923076923076923</x:v>
      </x:c>
    </x:row>
    <x:row r="604">
      <x:c r="A604" s="22" t="str">
        <x:v>500105122</x:v>
      </x:c>
      <x:c r="B604" s="17" t="str">
        <x:v>文山區</x:v>
      </x:c>
      <x:c r="C604" s="17" t="str">
        <x:v>樟新區民活動中心</x:v>
      </x:c>
      <x:c r="D604" s="18" t="n">
        <x:v>26</x:v>
      </x:c>
      <x:c r="E604" s="18" t="n">
        <x:v>26</x:v>
      </x:c>
      <x:c r="F604" s="24" t="n">
        <x:f>IFERROR('各站彙總來源'!F604/'各站彙總來源'!G604,"")</x:f>
        <x:v>8.807692307692308</x:v>
      </x:c>
      <x:c r="G604" s="19" t="n">
        <x:f>'各站彙總來源'!G604</x:f>
        <x:v>26</x:v>
      </x:c>
      <x:c r="H604" s="24" t="n">
        <x:f>IFERROR('各站彙總來源'!H604/'各站彙總來源'!I604,"")</x:f>
        <x:v>0.6923076923076923</x:v>
      </x:c>
      <x:c r="I604" s="19" t="n">
        <x:f>'各站彙總來源'!I604</x:f>
        <x:v>26</x:v>
      </x:c>
      <x:c r="J604" s="24" t="n">
        <x:f>IFERROR('各站彙總來源'!J604/'各站彙總來源'!K604,"")</x:f>
        <x:v>6.653846153846154</x:v>
      </x:c>
      <x:c r="K604" s="19" t="n">
        <x:f>'各站彙總來源'!K604</x:f>
        <x:v>26</x:v>
      </x:c>
      <x:c r="L604" s="24" t="n">
        <x:f>IFERROR('各站彙總來源'!L604/'各站彙總來源'!M604,"")</x:f>
        <x:v>0.8846153846153846</x:v>
      </x:c>
      <x:c r="M604" s="19" t="n">
        <x:f>'各站彙總來源'!M604</x:f>
        <x:v>26</x:v>
      </x:c>
      <x:c r="N604" s="24" t="n">
        <x:f>F604+H604</x:f>
        <x:v>9.5</x:v>
      </x:c>
      <x:c r="O604" s="24" t="n">
        <x:f>J604+L604</x:f>
        <x:v>7.538461538461538</x:v>
      </x:c>
    </x:row>
    <x:row r="605">
      <x:c r="A605" s="22" t="str">
        <x:v>500105123</x:v>
      </x:c>
      <x:c r="B605" s="17" t="str">
        <x:v>文山區</x:v>
      </x:c>
      <x:c r="C605" s="17" t="str">
        <x:v>貓空纜車動物園站</x:v>
      </x:c>
      <x:c r="D605" s="18" t="n">
        <x:v>26</x:v>
      </x:c>
      <x:c r="E605" s="18" t="n">
        <x:v>26</x:v>
      </x:c>
      <x:c r="F605" s="24" t="n">
        <x:f>IFERROR('各站彙總來源'!F605/'各站彙總來源'!G605,"")</x:f>
        <x:v>5.769230769230769</x:v>
      </x:c>
      <x:c r="G605" s="19" t="n">
        <x:f>'各站彙總來源'!G605</x:f>
        <x:v>26</x:v>
      </x:c>
      <x:c r="H605" s="24" t="n">
        <x:f>IFERROR('各站彙總來源'!H605/'各站彙總來源'!I605,"")</x:f>
        <x:v>2.1153846153846154</x:v>
      </x:c>
      <x:c r="I605" s="19" t="n">
        <x:f>'各站彙總來源'!I605</x:f>
        <x:v>26</x:v>
      </x:c>
      <x:c r="J605" s="24" t="n">
        <x:f>IFERROR('各站彙總來源'!J605/'各站彙總來源'!K605,"")</x:f>
        <x:v>7.576923076923077</x:v>
      </x:c>
      <x:c r="K605" s="19" t="n">
        <x:f>'各站彙總來源'!K605</x:f>
        <x:v>26</x:v>
      </x:c>
      <x:c r="L605" s="24" t="n">
        <x:f>IFERROR('各站彙總來源'!L605/'各站彙總來源'!M605,"")</x:f>
        <x:v>1.7692307692307692</x:v>
      </x:c>
      <x:c r="M605" s="19" t="n">
        <x:f>'各站彙總來源'!M605</x:f>
        <x:v>26</x:v>
      </x:c>
      <x:c r="N605" s="24" t="n">
        <x:f>F605+H605</x:f>
        <x:v>7.884615384615385</x:v>
      </x:c>
      <x:c r="O605" s="24" t="n">
        <x:f>J605+L605</x:f>
        <x:v>9.346153846153847</x:v>
      </x:c>
    </x:row>
    <x:row r="606">
      <x:c r="A606" s="22" t="str">
        <x:v>500105124</x:v>
      </x:c>
      <x:c r="B606" s="17" t="str">
        <x:v>文山區</x:v>
      </x:c>
      <x:c r="C606" s="17" t="str">
        <x:v>保儀公園(興隆路四段195巷)</x:v>
      </x:c>
      <x:c r="D606" s="18" t="n">
        <x:v>26</x:v>
      </x:c>
      <x:c r="E606" s="18" t="n">
        <x:v>26</x:v>
      </x:c>
      <x:c r="F606" s="24" t="n">
        <x:f>IFERROR('各站彙總來源'!F606/'各站彙總來源'!G606,"")</x:f>
        <x:v>10.538461538461538</x:v>
      </x:c>
      <x:c r="G606" s="19" t="n">
        <x:f>'各站彙總來源'!G606</x:f>
        <x:v>26</x:v>
      </x:c>
      <x:c r="H606" s="24" t="n">
        <x:f>IFERROR('各站彙總來源'!H606/'各站彙總來源'!I606,"")</x:f>
        <x:v>2.769230769230769</x:v>
      </x:c>
      <x:c r="I606" s="19" t="n">
        <x:f>'各站彙總來源'!I606</x:f>
        <x:v>26</x:v>
      </x:c>
      <x:c r="J606" s="24" t="n">
        <x:f>IFERROR('各站彙總來源'!J606/'各站彙總來源'!K606,"")</x:f>
        <x:v>7.6923076923076925</x:v>
      </x:c>
      <x:c r="K606" s="19" t="n">
        <x:f>'各站彙總來源'!K606</x:f>
        <x:v>26</x:v>
      </x:c>
      <x:c r="L606" s="24" t="n">
        <x:f>IFERROR('各站彙總來源'!L606/'各站彙總來源'!M606,"")</x:f>
        <x:v>2.1538461538461537</x:v>
      </x:c>
      <x:c r="M606" s="19" t="n">
        <x:f>'各站彙總來源'!M606</x:f>
        <x:v>26</x:v>
      </x:c>
      <x:c r="N606" s="24" t="n">
        <x:f>F606+H606</x:f>
        <x:v>13.307692307692307</x:v>
      </x:c>
      <x:c r="O606" s="24" t="n">
        <x:f>J606+L606</x:f>
        <x:v>9.846153846153847</x:v>
      </x:c>
    </x:row>
    <x:row r="607">
      <x:c r="A607" s="22" t="str">
        <x:v>500105125</x:v>
      </x:c>
      <x:c r="B607" s="17" t="str">
        <x:v>文山區</x:v>
      </x:c>
      <x:c r="C607" s="17" t="str">
        <x:v>景新大樓</x:v>
      </x:c>
      <x:c r="D607" s="18" t="n">
        <x:v>26</x:v>
      </x:c>
      <x:c r="E607" s="18" t="n">
        <x:v>26</x:v>
      </x:c>
      <x:c r="F607" s="24" t="n">
        <x:f>IFERROR('各站彙總來源'!F607/'各站彙總來源'!G607,"")</x:f>
        <x:v>4.346153846153846</x:v>
      </x:c>
      <x:c r="G607" s="19" t="n">
        <x:f>'各站彙總來源'!G607</x:f>
        <x:v>26</x:v>
      </x:c>
      <x:c r="H607" s="24" t="n">
        <x:f>IFERROR('各站彙總來源'!H607/'各站彙總來源'!I607,"")</x:f>
        <x:v>0.8076923076923077</x:v>
      </x:c>
      <x:c r="I607" s="19" t="n">
        <x:f>'各站彙總來源'!I607</x:f>
        <x:v>26</x:v>
      </x:c>
      <x:c r="J607" s="24" t="n">
        <x:f>IFERROR('各站彙總來源'!J607/'各站彙總來源'!K607,"")</x:f>
        <x:v>4.3076923076923075</x:v>
      </x:c>
      <x:c r="K607" s="19" t="n">
        <x:f>'各站彙總來源'!K607</x:f>
        <x:v>26</x:v>
      </x:c>
      <x:c r="L607" s="24" t="n">
        <x:f>IFERROR('各站彙總來源'!L607/'各站彙總來源'!M607,"")</x:f>
        <x:v>1.0384615384615385</x:v>
      </x:c>
      <x:c r="M607" s="19" t="n">
        <x:f>'各站彙總來源'!M607</x:f>
        <x:v>26</x:v>
      </x:c>
      <x:c r="N607" s="24" t="n">
        <x:f>F607+H607</x:f>
        <x:v>5.153846153846153</x:v>
      </x:c>
      <x:c r="O607" s="24" t="n">
        <x:f>J607+L607</x:f>
        <x:v>5.346153846153846</x:v>
      </x:c>
    </x:row>
    <x:row r="608">
      <x:c r="A608" s="22" t="str">
        <x:v>500105126</x:v>
      </x:c>
      <x:c r="B608" s="17" t="str">
        <x:v>文山區</x:v>
      </x:c>
      <x:c r="C608" s="17" t="str">
        <x:v>文山溪洲福德宮</x:v>
      </x:c>
      <x:c r="D608" s="18" t="n">
        <x:v>26</x:v>
      </x:c>
      <x:c r="E608" s="18" t="n">
        <x:v>26</x:v>
      </x:c>
      <x:c r="F608" s="24" t="n">
        <x:f>IFERROR('各站彙總來源'!F608/'各站彙總來源'!G608,"")</x:f>
        <x:v>16.576923076923077</x:v>
      </x:c>
      <x:c r="G608" s="19" t="n">
        <x:f>'各站彙總來源'!G608</x:f>
        <x:v>26</x:v>
      </x:c>
      <x:c r="H608" s="24" t="n">
        <x:f>IFERROR('各站彙總來源'!H608/'各站彙總來源'!I608,"")</x:f>
        <x:v>1.4230769230769231</x:v>
      </x:c>
      <x:c r="I608" s="19" t="n">
        <x:f>'各站彙總來源'!I608</x:f>
        <x:v>26</x:v>
      </x:c>
      <x:c r="J608" s="24" t="n">
        <x:f>IFERROR('各站彙總來源'!J608/'各站彙總來源'!K608,"")</x:f>
        <x:v>5.576923076923077</x:v>
      </x:c>
      <x:c r="K608" s="19" t="n">
        <x:f>'各站彙總來源'!K608</x:f>
        <x:v>26</x:v>
      </x:c>
      <x:c r="L608" s="24" t="n">
        <x:f>IFERROR('各站彙總來源'!L608/'各站彙總來源'!M608,"")</x:f>
        <x:v>0.5769230769230769</x:v>
      </x:c>
      <x:c r="M608" s="19" t="n">
        <x:f>'各站彙總來源'!M608</x:f>
        <x:v>26</x:v>
      </x:c>
      <x:c r="N608" s="24" t="n">
        <x:f>F608+H608</x:f>
        <x:v>18</x:v>
      </x:c>
      <x:c r="O608" s="24" t="n">
        <x:f>J608+L608</x:f>
        <x:v>6.153846153846153</x:v>
      </x:c>
    </x:row>
    <x:row r="609">
      <x:c r="A609" s="22" t="str">
        <x:v>500105128</x:v>
      </x:c>
      <x:c r="B609" s="17" t="str">
        <x:v>文山區</x:v>
      </x:c>
      <x:c r="C609" s="17" t="str">
        <x:v>萬有二號公園(景明街29巷)</x:v>
      </x:c>
      <x:c r="D609" s="18" t="n">
        <x:v>26</x:v>
      </x:c>
      <x:c r="E609" s="18" t="n">
        <x:v>26</x:v>
      </x:c>
      <x:c r="F609" s="24" t="n">
        <x:f>IFERROR('各站彙總來源'!F609/'各站彙總來源'!G609,"")</x:f>
        <x:v>11.346153846153847</x:v>
      </x:c>
      <x:c r="G609" s="19" t="n">
        <x:f>'各站彙總來源'!G609</x:f>
        <x:v>26</x:v>
      </x:c>
      <x:c r="H609" s="24" t="n">
        <x:f>IFERROR('各站彙總來源'!H609/'各站彙總來源'!I609,"")</x:f>
        <x:v>1.1153846153846154</x:v>
      </x:c>
      <x:c r="I609" s="19" t="n">
        <x:f>'各站彙總來源'!I609</x:f>
        <x:v>26</x:v>
      </x:c>
      <x:c r="J609" s="24" t="n">
        <x:f>IFERROR('各站彙總來源'!J609/'各站彙總來源'!K609,"")</x:f>
        <x:v>4.8076923076923075</x:v>
      </x:c>
      <x:c r="K609" s="19" t="n">
        <x:f>'各站彙總來源'!K609</x:f>
        <x:v>26</x:v>
      </x:c>
      <x:c r="L609" s="24" t="n">
        <x:f>IFERROR('各站彙總來源'!L609/'各站彙總來源'!M609,"")</x:f>
        <x:v>1.1923076923076923</x:v>
      </x:c>
      <x:c r="M609" s="19" t="n">
        <x:f>'各站彙總來源'!M609</x:f>
        <x:v>26</x:v>
      </x:c>
      <x:c r="N609" s="24" t="n">
        <x:f>F609+H609</x:f>
        <x:v>12.461538461538462</x:v>
      </x:c>
      <x:c r="O609" s="24" t="n">
        <x:f>J609+L609</x:f>
        <x:v>6</x:v>
      </x:c>
    </x:row>
    <x:row r="610">
      <x:c r="A610" s="22" t="str">
        <x:v>500105129</x:v>
      </x:c>
      <x:c r="B610" s="17" t="str">
        <x:v>文山區</x:v>
      </x:c>
      <x:c r="C610" s="17" t="str">
        <x:v>指南綠地</x:v>
      </x:c>
      <x:c r="D610" s="18" t="n">
        <x:v>26</x:v>
      </x:c>
      <x:c r="E610" s="18" t="n">
        <x:v>26</x:v>
      </x:c>
      <x:c r="F610" s="24" t="n">
        <x:f>IFERROR('各站彙總來源'!F610/'各站彙總來源'!G610,"")</x:f>
        <x:v>7.6923076923076925</x:v>
      </x:c>
      <x:c r="G610" s="19" t="n">
        <x:f>'各站彙總來源'!G610</x:f>
        <x:v>26</x:v>
      </x:c>
      <x:c r="H610" s="24" t="n">
        <x:f>IFERROR('各站彙總來源'!H610/'各站彙總來源'!I610,"")</x:f>
        <x:v>1.6538461538461537</x:v>
      </x:c>
      <x:c r="I610" s="19" t="n">
        <x:f>'各站彙總來源'!I610</x:f>
        <x:v>26</x:v>
      </x:c>
      <x:c r="J610" s="24" t="n">
        <x:f>IFERROR('各站彙總來源'!J610/'各站彙總來源'!K610,"")</x:f>
        <x:v>4.038461538461538</x:v>
      </x:c>
      <x:c r="K610" s="19" t="n">
        <x:f>'各站彙總來源'!K610</x:f>
        <x:v>26</x:v>
      </x:c>
      <x:c r="L610" s="24" t="n">
        <x:f>IFERROR('各站彙總來源'!L610/'各站彙總來源'!M610,"")</x:f>
        <x:v>0.8461538461538461</x:v>
      </x:c>
      <x:c r="M610" s="19" t="n">
        <x:f>'各站彙總來源'!M610</x:f>
        <x:v>26</x:v>
      </x:c>
      <x:c r="N610" s="24" t="n">
        <x:f>F610+H610</x:f>
        <x:v>9.346153846153847</x:v>
      </x:c>
      <x:c r="O610" s="24" t="n">
        <x:f>J610+L610</x:f>
        <x:v>4.884615384615384</x:v>
      </x:c>
    </x:row>
    <x:row r="611">
      <x:c r="A611" s="22" t="str">
        <x:v>500105130</x:v>
      </x:c>
      <x:c r="B611" s="17" t="str">
        <x:v>文山區</x:v>
      </x:c>
      <x:c r="C611" s="17" t="str">
        <x:v>木新派出所</x:v>
      </x:c>
      <x:c r="D611" s="18" t="n">
        <x:v>26</x:v>
      </x:c>
      <x:c r="E611" s="18" t="n">
        <x:v>18</x:v>
      </x:c>
      <x:c r="F611" s="24" t="n">
        <x:f>IFERROR('各站彙總來源'!F611/'各站彙總來源'!G611,"")</x:f>
        <x:v>7.882352941176471</x:v>
      </x:c>
      <x:c r="G611" s="19" t="n">
        <x:f>'各站彙總來源'!G611</x:f>
        <x:v>17</x:v>
      </x:c>
      <x:c r="H611" s="24" t="n">
        <x:f>IFERROR('各站彙總來源'!H611/'各站彙總來源'!I611,"")</x:f>
        <x:v>1.5294117647058822</x:v>
      </x:c>
      <x:c r="I611" s="19" t="n">
        <x:f>'各站彙總來源'!I611</x:f>
        <x:v>17</x:v>
      </x:c>
      <x:c r="J611" s="24" t="n">
        <x:f>IFERROR('各站彙總來源'!J611/'各站彙總來源'!K611,"")</x:f>
        <x:v>5.166666666666667</x:v>
      </x:c>
      <x:c r="K611" s="19" t="n">
        <x:f>'各站彙總來源'!K611</x:f>
        <x:v>18</x:v>
      </x:c>
      <x:c r="L611" s="24" t="n">
        <x:f>IFERROR('各站彙總來源'!L611/'各站彙總來源'!M611,"")</x:f>
        <x:v>1</x:v>
      </x:c>
      <x:c r="M611" s="19" t="n">
        <x:f>'各站彙總來源'!M611</x:f>
        <x:v>18</x:v>
      </x:c>
      <x:c r="N611" s="24" t="n">
        <x:f>F611+H611</x:f>
        <x:v>9.411764705882353</x:v>
      </x:c>
      <x:c r="O611" s="24" t="n">
        <x:f>J611+L611</x:f>
        <x:v>6.166666666666667</x:v>
      </x:c>
    </x:row>
    <x:row r="612">
      <x:c r="A612" s="22" t="str">
        <x:v>500105131</x:v>
      </x:c>
      <x:c r="B612" s="17" t="str">
        <x:v>文山區</x:v>
      </x:c>
      <x:c r="C612" s="17" t="str">
        <x:v>新榮公園</x:v>
      </x:c>
      <x:c r="D612" s="18" t="n">
        <x:v>26</x:v>
      </x:c>
      <x:c r="E612" s="18" t="n">
        <x:v>3</x:v>
      </x:c>
      <x:c r="F612" s="24" t="n">
        <x:f>IFERROR('各站彙總來源'!F612/'各站彙總來源'!G612,"")</x:f>
        <x:v>0</x:v>
      </x:c>
      <x:c r="G612" s="19" t="n">
        <x:f>'各站彙總來源'!G612</x:f>
        <x:v>2</x:v>
      </x:c>
      <x:c r="H612" s="24" t="n">
        <x:f>IFERROR('各站彙總來源'!H612/'各站彙總來源'!I612,"")</x:f>
        <x:v>0</x:v>
      </x:c>
      <x:c r="I612" s="19" t="n">
        <x:f>'各站彙總來源'!I612</x:f>
        <x:v>2</x:v>
      </x:c>
      <x:c r="J612" s="24" t="n">
        <x:f>IFERROR('各站彙總來源'!J612/'各站彙總來源'!K612,"")</x:f>
        <x:v>0</x:v>
      </x:c>
      <x:c r="K612" s="19" t="n">
        <x:f>'各站彙總來源'!K612</x:f>
        <x:v>3</x:v>
      </x:c>
      <x:c r="L612" s="24" t="n">
        <x:f>IFERROR('各站彙總來源'!L612/'各站彙總來源'!M612,"")</x:f>
        <x:v>0</x:v>
      </x:c>
      <x:c r="M612" s="19" t="n">
        <x:f>'各站彙總來源'!M612</x:f>
        <x:v>3</x:v>
      </x:c>
      <x:c r="N612" s="24" t="n">
        <x:f>F612+H612</x:f>
        <x:v>0</x:v>
      </x:c>
      <x:c r="O612" s="24" t="n">
        <x:f>J612+L612</x:f>
        <x:v>0</x:v>
      </x:c>
    </x:row>
    <x:row r="613">
      <x:c r="A613" s="22" t="str">
        <x:v>500105132</x:v>
      </x:c>
      <x:c r="B613" s="17" t="str">
        <x:v>文山區</x:v>
      </x:c>
      <x:c r="C613" s="17" t="str">
        <x:v>福興路106巷底</x:v>
      </x:c>
      <x:c r="D613" s="18" t="n">
        <x:v>26</x:v>
      </x:c>
      <x:c r="E613" s="18" t="n">
        <x:v>3</x:v>
      </x:c>
      <x:c r="F613" s="24" t="n">
        <x:f>IFERROR('各站彙總來源'!F613/'各站彙總來源'!G613,"")</x:f>
        <x:v>0</x:v>
      </x:c>
      <x:c r="G613" s="19" t="n">
        <x:f>'各站彙總來源'!G613</x:f>
        <x:v>2</x:v>
      </x:c>
      <x:c r="H613" s="24" t="n">
        <x:f>IFERROR('各站彙總來源'!H613/'各站彙總來源'!I613,"")</x:f>
        <x:v>0</x:v>
      </x:c>
      <x:c r="I613" s="19" t="n">
        <x:f>'各站彙總來源'!I613</x:f>
        <x:v>2</x:v>
      </x:c>
      <x:c r="J613" s="24" t="n">
        <x:f>IFERROR('各站彙總來源'!J613/'各站彙總來源'!K613,"")</x:f>
        <x:v>0</x:v>
      </x:c>
      <x:c r="K613" s="19" t="n">
        <x:f>'各站彙總來源'!K613</x:f>
        <x:v>3</x:v>
      </x:c>
      <x:c r="L613" s="24" t="n">
        <x:f>IFERROR('各站彙總來源'!L613/'各站彙總來源'!M613,"")</x:f>
        <x:v>0</x:v>
      </x:c>
      <x:c r="M613" s="19" t="n">
        <x:f>'各站彙總來源'!M613</x:f>
        <x:v>3</x:v>
      </x:c>
      <x:c r="N613" s="24" t="n">
        <x:f>F613+H613</x:f>
        <x:v>0</x:v>
      </x:c>
      <x:c r="O613" s="24" t="n">
        <x:f>J613+L613</x:f>
        <x:v>0</x:v>
      </x:c>
    </x:row>
    <x:row r="614">
      <x:c r="A614" s="22" t="str">
        <x:v>500105133</x:v>
      </x:c>
      <x:c r="B614" s="17" t="str">
        <x:v>文山區</x:v>
      </x:c>
      <x:c r="C614" s="17" t="str">
        <x:v>景美公園(萬慶街)</x:v>
      </x:c>
      <x:c r="D614" s="18" t="n">
        <x:v>26</x:v>
      </x:c>
      <x:c r="E614" s="18" t="n">
        <x:v>3</x:v>
      </x:c>
      <x:c r="F614" s="24" t="n">
        <x:f>IFERROR('各站彙總來源'!F614/'各站彙總來源'!G614,"")</x:f>
        <x:v>0</x:v>
      </x:c>
      <x:c r="G614" s="19" t="n">
        <x:f>'各站彙總來源'!G614</x:f>
        <x:v>2</x:v>
      </x:c>
      <x:c r="H614" s="24" t="n">
        <x:f>IFERROR('各站彙總來源'!H614/'各站彙總來源'!I614,"")</x:f>
        <x:v>0</x:v>
      </x:c>
      <x:c r="I614" s="19" t="n">
        <x:f>'各站彙總來源'!I614</x:f>
        <x:v>2</x:v>
      </x:c>
      <x:c r="J614" s="24" t="n">
        <x:f>IFERROR('各站彙總來源'!J614/'各站彙總來源'!K614,"")</x:f>
        <x:v>0</x:v>
      </x:c>
      <x:c r="K614" s="19" t="n">
        <x:f>'各站彙總來源'!K614</x:f>
        <x:v>3</x:v>
      </x:c>
      <x:c r="L614" s="24" t="n">
        <x:f>IFERROR('各站彙總來源'!L614/'各站彙總來源'!M614,"")</x:f>
        <x:v>0</x:v>
      </x:c>
      <x:c r="M614" s="19" t="n">
        <x:f>'各站彙總來源'!M614</x:f>
        <x:v>3</x:v>
      </x:c>
      <x:c r="N614" s="24" t="n">
        <x:f>F614+H614</x:f>
        <x:v>0</x:v>
      </x:c>
      <x:c r="O614" s="24" t="n">
        <x:f>J614+L614</x:f>
        <x:v>0</x:v>
      </x:c>
    </x:row>
    <x:row r="615">
      <x:c r="A615" s="22" t="str">
        <x:v>500106001</x:v>
      </x:c>
      <x:c r="B615" s="17" t="str">
        <x:v>中正區</x:v>
      </x:c>
      <x:c r="C615" s="17" t="str">
        <x:v>臺北自來水事業處</x:v>
      </x:c>
      <x:c r="D615" s="18" t="n">
        <x:v>26</x:v>
      </x:c>
      <x:c r="E615" s="18" t="n">
        <x:v>26</x:v>
      </x:c>
      <x:c r="F615" s="24" t="n">
        <x:f>IFERROR('各站彙總來源'!F615/'各站彙總來源'!G615,"")</x:f>
        <x:v>6.538461538461538</x:v>
      </x:c>
      <x:c r="G615" s="19" t="n">
        <x:f>'各站彙總來源'!G615</x:f>
        <x:v>26</x:v>
      </x:c>
      <x:c r="H615" s="24" t="n">
        <x:f>IFERROR('各站彙總來源'!H615/'各站彙總來源'!I615,"")</x:f>
        <x:v>0.7692307692307693</x:v>
      </x:c>
      <x:c r="I615" s="19" t="n">
        <x:f>'各站彙總來源'!I615</x:f>
        <x:v>26</x:v>
      </x:c>
      <x:c r="J615" s="24" t="n">
        <x:f>IFERROR('各站彙總來源'!J615/'各站彙總來源'!K615,"")</x:f>
        <x:v>3.9615384615384617</x:v>
      </x:c>
      <x:c r="K615" s="19" t="n">
        <x:f>'各站彙總來源'!K615</x:f>
        <x:v>26</x:v>
      </x:c>
      <x:c r="L615" s="24" t="n">
        <x:f>IFERROR('各站彙總來源'!L615/'各站彙總來源'!M615,"")</x:f>
        <x:v>0.34615384615384615</x:v>
      </x:c>
      <x:c r="M615" s="19" t="n">
        <x:f>'各站彙總來源'!M615</x:f>
        <x:v>26</x:v>
      </x:c>
      <x:c r="N615" s="24" t="n">
        <x:f>F615+H615</x:f>
        <x:v>7.3076923076923075</x:v>
      </x:c>
      <x:c r="O615" s="24" t="n">
        <x:f>J615+L615</x:f>
        <x:v>4.3076923076923075</x:v>
      </x:c>
    </x:row>
    <x:row r="616">
      <x:c r="A616" s="22" t="str">
        <x:v>500106002</x:v>
      </x:c>
      <x:c r="B616" s="17" t="str">
        <x:v>中正區</x:v>
      </x:c>
      <x:c r="C616" s="17" t="str">
        <x:v>汀州思源街口東南側</x:v>
      </x:c>
      <x:c r="D616" s="18" t="n">
        <x:v>26</x:v>
      </x:c>
      <x:c r="E616" s="18" t="n">
        <x:v>26</x:v>
      </x:c>
      <x:c r="F616" s="24" t="n">
        <x:f>IFERROR('各站彙總來源'!F616/'各站彙總來源'!G616,"")</x:f>
        <x:v>6.653846153846154</x:v>
      </x:c>
      <x:c r="G616" s="19" t="n">
        <x:f>'各站彙總來源'!G616</x:f>
        <x:v>26</x:v>
      </x:c>
      <x:c r="H616" s="24" t="n">
        <x:f>IFERROR('各站彙總來源'!H616/'各站彙總來源'!I616,"")</x:f>
        <x:v>0.6923076923076923</x:v>
      </x:c>
      <x:c r="I616" s="19" t="n">
        <x:f>'各站彙總來源'!I616</x:f>
        <x:v>26</x:v>
      </x:c>
      <x:c r="J616" s="24" t="n">
        <x:f>IFERROR('各站彙總來源'!J616/'各站彙總來源'!K616,"")</x:f>
        <x:v>4.884615384615385</x:v>
      </x:c>
      <x:c r="K616" s="19" t="n">
        <x:f>'各站彙總來源'!K616</x:f>
        <x:v>26</x:v>
      </x:c>
      <x:c r="L616" s="24" t="n">
        <x:f>IFERROR('各站彙總來源'!L616/'各站彙總來源'!M616,"")</x:f>
        <x:v>1</x:v>
      </x:c>
      <x:c r="M616" s="19" t="n">
        <x:f>'各站彙總來源'!M616</x:f>
        <x:v>26</x:v>
      </x:c>
      <x:c r="N616" s="24" t="n">
        <x:f>F616+H616</x:f>
        <x:v>7.346153846153847</x:v>
      </x:c>
      <x:c r="O616" s="24" t="n">
        <x:f>J616+L616</x:f>
        <x:v>5.884615384615385</x:v>
      </x:c>
    </x:row>
    <x:row r="617">
      <x:c r="A617" s="22" t="str">
        <x:v>500106003</x:v>
      </x:c>
      <x:c r="B617" s="17" t="str">
        <x:v>中正區</x:v>
      </x:c>
      <x:c r="C617" s="17" t="str">
        <x:v>捷運公館站(1號出口)</x:v>
      </x:c>
      <x:c r="D617" s="18" t="n">
        <x:v>26</x:v>
      </x:c>
      <x:c r="E617" s="18" t="n">
        <x:v>26</x:v>
      </x:c>
      <x:c r="F617" s="24" t="n">
        <x:f>IFERROR('各站彙總來源'!F617/'各站彙總來源'!G617,"")</x:f>
        <x:v>5.6923076923076925</x:v>
      </x:c>
      <x:c r="G617" s="19" t="n">
        <x:f>'各站彙總來源'!G617</x:f>
        <x:v>26</x:v>
      </x:c>
      <x:c r="H617" s="24" t="n">
        <x:f>IFERROR('各站彙總來源'!H617/'各站彙總來源'!I617,"")</x:f>
        <x:v>1.6538461538461537</x:v>
      </x:c>
      <x:c r="I617" s="19" t="n">
        <x:f>'各站彙總來源'!I617</x:f>
        <x:v>26</x:v>
      </x:c>
      <x:c r="J617" s="24" t="n">
        <x:f>IFERROR('各站彙總來源'!J617/'各站彙總來源'!K617,"")</x:f>
        <x:v>3.4615384615384617</x:v>
      </x:c>
      <x:c r="K617" s="19" t="n">
        <x:f>'各站彙總來源'!K617</x:f>
        <x:v>26</x:v>
      </x:c>
      <x:c r="L617" s="24" t="n">
        <x:f>IFERROR('各站彙總來源'!L617/'各站彙總來源'!M617,"")</x:f>
        <x:v>0.6538461538461539</x:v>
      </x:c>
      <x:c r="M617" s="19" t="n">
        <x:f>'各站彙總來源'!M617</x:f>
        <x:v>26</x:v>
      </x:c>
      <x:c r="N617" s="24" t="n">
        <x:f>F617+H617</x:f>
        <x:v>7.346153846153847</x:v>
      </x:c>
      <x:c r="O617" s="24" t="n">
        <x:f>J617+L617</x:f>
        <x:v>4.115384615384616</x:v>
      </x:c>
    </x:row>
    <x:row r="618">
      <x:c r="A618" s="22" t="str">
        <x:v>500106004</x:v>
      </x:c>
      <x:c r="B618" s="17" t="str">
        <x:v>中正區</x:v>
      </x:c>
      <x:c r="C618" s="17" t="str">
        <x:v>捷運公館站(4號出口)</x:v>
      </x:c>
      <x:c r="D618" s="18" t="n">
        <x:v>26</x:v>
      </x:c>
      <x:c r="E618" s="18" t="n">
        <x:v>26</x:v>
      </x:c>
      <x:c r="F618" s="24" t="n">
        <x:f>IFERROR('各站彙總來源'!F618/'各站彙總來源'!G618,"")</x:f>
        <x:v>4.115384615384615</x:v>
      </x:c>
      <x:c r="G618" s="19" t="n">
        <x:f>'各站彙總來源'!G618</x:f>
        <x:v>26</x:v>
      </x:c>
      <x:c r="H618" s="24" t="n">
        <x:f>IFERROR('各站彙總來源'!H618/'各站彙總來源'!I618,"")</x:f>
        <x:v>0.9230769230769231</x:v>
      </x:c>
      <x:c r="I618" s="19" t="n">
        <x:f>'各站彙總來源'!I618</x:f>
        <x:v>26</x:v>
      </x:c>
      <x:c r="J618" s="24" t="n">
        <x:f>IFERROR('各站彙總來源'!J618/'各站彙總來源'!K618,"")</x:f>
        <x:v>3.8076923076923075</x:v>
      </x:c>
      <x:c r="K618" s="19" t="n">
        <x:f>'各站彙總來源'!K618</x:f>
        <x:v>26</x:v>
      </x:c>
      <x:c r="L618" s="24" t="n">
        <x:f>IFERROR('各站彙總來源'!L618/'各站彙總來源'!M618,"")</x:f>
        <x:v>0.8461538461538461</x:v>
      </x:c>
      <x:c r="M618" s="19" t="n">
        <x:f>'各站彙總來源'!M618</x:f>
        <x:v>26</x:v>
      </x:c>
      <x:c r="N618" s="24" t="n">
        <x:f>F618+H618</x:f>
        <x:v>5.038461538461538</x:v>
      </x:c>
      <x:c r="O618" s="24" t="n">
        <x:f>J618+L618</x:f>
        <x:v>4.653846153846153</x:v>
      </x:c>
    </x:row>
    <x:row r="619">
      <x:c r="A619" s="22" t="str">
        <x:v>500106005</x:v>
      </x:c>
      <x:c r="B619" s="17" t="str">
        <x:v>中正區</x:v>
      </x:c>
      <x:c r="C619" s="17" t="str">
        <x:v>捷運古亭站(9號出口)</x:v>
      </x:c>
      <x:c r="D619" s="18" t="n">
        <x:v>26</x:v>
      </x:c>
      <x:c r="E619" s="18" t="n">
        <x:v>26</x:v>
      </x:c>
      <x:c r="F619" s="24" t="n">
        <x:f>IFERROR('各站彙總來源'!F619/'各站彙總來源'!G619,"")</x:f>
        <x:v>8.26923076923077</x:v>
      </x:c>
      <x:c r="G619" s="19" t="n">
        <x:f>'各站彙總來源'!G619</x:f>
        <x:v>26</x:v>
      </x:c>
      <x:c r="H619" s="24" t="n">
        <x:f>IFERROR('各站彙總來源'!H619/'各站彙總來源'!I619,"")</x:f>
        <x:v>1.0769230769230769</x:v>
      </x:c>
      <x:c r="I619" s="19" t="n">
        <x:f>'各站彙總來源'!I619</x:f>
        <x:v>26</x:v>
      </x:c>
      <x:c r="J619" s="24" t="n">
        <x:f>IFERROR('各站彙總來源'!J619/'各站彙總來源'!K619,"")</x:f>
        <x:v>5.8076923076923075</x:v>
      </x:c>
      <x:c r="K619" s="19" t="n">
        <x:f>'各站彙總來源'!K619</x:f>
        <x:v>26</x:v>
      </x:c>
      <x:c r="L619" s="24" t="n">
        <x:f>IFERROR('各站彙總來源'!L619/'各站彙總來源'!M619,"")</x:f>
        <x:v>1.9615384615384615</x:v>
      </x:c>
      <x:c r="M619" s="19" t="n">
        <x:f>'各站彙總來源'!M619</x:f>
        <x:v>26</x:v>
      </x:c>
      <x:c r="N619" s="24" t="n">
        <x:f>F619+H619</x:f>
        <x:v>9.346153846153847</x:v>
      </x:c>
      <x:c r="O619" s="24" t="n">
        <x:f>J619+L619</x:f>
        <x:v>7.769230769230769</x:v>
      </x:c>
    </x:row>
    <x:row r="620">
      <x:c r="A620" s="22" t="str">
        <x:v>500106006</x:v>
      </x:c>
      <x:c r="B620" s="17" t="str">
        <x:v>中正區</x:v>
      </x:c>
      <x:c r="C620" s="17" t="str">
        <x:v>捷運古亭站(2號出口)</x:v>
      </x:c>
      <x:c r="D620" s="18" t="n">
        <x:v>26</x:v>
      </x:c>
      <x:c r="E620" s="18" t="n">
        <x:v>26</x:v>
      </x:c>
      <x:c r="F620" s="24" t="n">
        <x:f>IFERROR('各站彙總來源'!F620/'各站彙總來源'!G620,"")</x:f>
        <x:v>9.846153846153847</x:v>
      </x:c>
      <x:c r="G620" s="19" t="n">
        <x:f>'各站彙總來源'!G620</x:f>
        <x:v>26</x:v>
      </x:c>
      <x:c r="H620" s="24" t="n">
        <x:f>IFERROR('各站彙總來源'!H620/'各站彙總來源'!I620,"")</x:f>
        <x:v>0.4230769230769231</x:v>
      </x:c>
      <x:c r="I620" s="19" t="n">
        <x:f>'各站彙總來源'!I620</x:f>
        <x:v>26</x:v>
      </x:c>
      <x:c r="J620" s="24" t="n">
        <x:f>IFERROR('各站彙總來源'!J620/'各站彙總來源'!K620,"")</x:f>
        <x:v>8.923076923076923</x:v>
      </x:c>
      <x:c r="K620" s="19" t="n">
        <x:f>'各站彙總來源'!K620</x:f>
        <x:v>26</x:v>
      </x:c>
      <x:c r="L620" s="24" t="n">
        <x:f>IFERROR('各站彙總來源'!L620/'各站彙總來源'!M620,"")</x:f>
        <x:v>1.0384615384615385</x:v>
      </x:c>
      <x:c r="M620" s="19" t="n">
        <x:f>'各站彙總來源'!M620</x:f>
        <x:v>26</x:v>
      </x:c>
      <x:c r="N620" s="24" t="n">
        <x:f>F620+H620</x:f>
        <x:v>10.26923076923077</x:v>
      </x:c>
      <x:c r="O620" s="24" t="n">
        <x:f>J620+L620</x:f>
        <x:v>9.961538461538462</x:v>
      </x:c>
    </x:row>
    <x:row r="621">
      <x:c r="A621" s="22" t="str">
        <x:v>500106007</x:v>
      </x:c>
      <x:c r="B621" s="17" t="str">
        <x:v>中正區</x:v>
      </x:c>
      <x:c r="C621" s="17" t="str">
        <x:v>捷運臺電大樓站(1號出口)</x:v>
      </x:c>
      <x:c r="D621" s="18" t="n">
        <x:v>26</x:v>
      </x:c>
      <x:c r="E621" s="18" t="n">
        <x:v>26</x:v>
      </x:c>
      <x:c r="F621" s="24" t="n">
        <x:f>IFERROR('各站彙總來源'!F621/'各站彙總來源'!G621,"")</x:f>
        <x:v>13.461538461538462</x:v>
      </x:c>
      <x:c r="G621" s="19" t="n">
        <x:f>'各站彙總來源'!G621</x:f>
        <x:v>26</x:v>
      </x:c>
      <x:c r="H621" s="24" t="n">
        <x:f>IFERROR('各站彙總來源'!H621/'各站彙總來源'!I621,"")</x:f>
        <x:v>1.4230769230769231</x:v>
      </x:c>
      <x:c r="I621" s="19" t="n">
        <x:f>'各站彙總來源'!I621</x:f>
        <x:v>26</x:v>
      </x:c>
      <x:c r="J621" s="24" t="n">
        <x:f>IFERROR('各站彙總來源'!J621/'各站彙總來源'!K621,"")</x:f>
        <x:v>4.461538461538462</x:v>
      </x:c>
      <x:c r="K621" s="19" t="n">
        <x:f>'各站彙總來源'!K621</x:f>
        <x:v>26</x:v>
      </x:c>
      <x:c r="L621" s="24" t="n">
        <x:f>IFERROR('各站彙總來源'!L621/'各站彙總來源'!M621,"")</x:f>
        <x:v>0.8461538461538461</x:v>
      </x:c>
      <x:c r="M621" s="19" t="n">
        <x:f>'各站彙總來源'!M621</x:f>
        <x:v>26</x:v>
      </x:c>
      <x:c r="N621" s="24" t="n">
        <x:f>F621+H621</x:f>
        <x:v>14.884615384615385</x:v>
      </x:c>
      <x:c r="O621" s="24" t="n">
        <x:f>J621+L621</x:f>
        <x:v>5.3076923076923075</x:v>
      </x:c>
    </x:row>
    <x:row r="622">
      <x:c r="A622" s="22" t="str">
        <x:v>500106008</x:v>
      </x:c>
      <x:c r="B622" s="17" t="str">
        <x:v>中正區</x:v>
      </x:c>
      <x:c r="C622" s="17" t="str">
        <x:v>客家文化主題公園</x:v>
      </x:c>
      <x:c r="D622" s="18" t="n">
        <x:v>26</x:v>
      </x:c>
      <x:c r="E622" s="18" t="n">
        <x:v>26</x:v>
      </x:c>
      <x:c r="F622" s="24" t="n">
        <x:f>IFERROR('各站彙總來源'!F622/'各站彙總來源'!G622,"")</x:f>
        <x:v>11.153846153846153</x:v>
      </x:c>
      <x:c r="G622" s="19" t="n">
        <x:f>'各站彙總來源'!G622</x:f>
        <x:v>26</x:v>
      </x:c>
      <x:c r="H622" s="24" t="n">
        <x:f>IFERROR('各站彙總來源'!H622/'各站彙總來源'!I622,"")</x:f>
        <x:v>1.3846153846153846</x:v>
      </x:c>
      <x:c r="I622" s="19" t="n">
        <x:f>'各站彙總來源'!I622</x:f>
        <x:v>26</x:v>
      </x:c>
      <x:c r="J622" s="24" t="n">
        <x:f>IFERROR('各站彙總來源'!J622/'各站彙總來源'!K622,"")</x:f>
        <x:v>3.3461538461538463</x:v>
      </x:c>
      <x:c r="K622" s="19" t="n">
        <x:f>'各站彙總來源'!K622</x:f>
        <x:v>26</x:v>
      </x:c>
      <x:c r="L622" s="24" t="n">
        <x:f>IFERROR('各站彙總來源'!L622/'各站彙總來源'!M622,"")</x:f>
        <x:v>0.8846153846153846</x:v>
      </x:c>
      <x:c r="M622" s="19" t="n">
        <x:f>'各站彙總來源'!M622</x:f>
        <x:v>26</x:v>
      </x:c>
      <x:c r="N622" s="24" t="n">
        <x:f>F622+H622</x:f>
        <x:v>12.538461538461538</x:v>
      </x:c>
      <x:c r="O622" s="24" t="n">
        <x:f>J622+L622</x:f>
        <x:v>4.230769230769231</x:v>
      </x:c>
    </x:row>
    <x:row r="623">
      <x:c r="A623" s="22" t="str">
        <x:v>500106009</x:v>
      </x:c>
      <x:c r="B623" s="17" t="str">
        <x:v>中正區</x:v>
      </x:c>
      <x:c r="C623" s="17" t="str">
        <x:v>河堤國小</x:v>
      </x:c>
      <x:c r="D623" s="18" t="n">
        <x:v>26</x:v>
      </x:c>
      <x:c r="E623" s="18" t="n">
        <x:v>26</x:v>
      </x:c>
      <x:c r="F623" s="24" t="n">
        <x:f>IFERROR('各站彙總來源'!F623/'各站彙總來源'!G623,"")</x:f>
        <x:v>53.46153846153846</x:v>
      </x:c>
      <x:c r="G623" s="19" t="n">
        <x:f>'各站彙總來源'!G623</x:f>
        <x:v>26</x:v>
      </x:c>
      <x:c r="H623" s="24" t="n">
        <x:f>IFERROR('各站彙總來源'!H623/'各站彙總來源'!I623,"")</x:f>
        <x:v>4.576923076923077</x:v>
      </x:c>
      <x:c r="I623" s="19" t="n">
        <x:f>'各站彙總來源'!I623</x:f>
        <x:v>26</x:v>
      </x:c>
      <x:c r="J623" s="24" t="n">
        <x:f>IFERROR('各站彙總來源'!J623/'各站彙總來源'!K623,"")</x:f>
        <x:v>5.461538461538462</x:v>
      </x:c>
      <x:c r="K623" s="19" t="n">
        <x:f>'各站彙總來源'!K623</x:f>
        <x:v>26</x:v>
      </x:c>
      <x:c r="L623" s="24" t="n">
        <x:f>IFERROR('各站彙總來源'!L623/'各站彙總來源'!M623,"")</x:f>
        <x:v>0.5</x:v>
      </x:c>
      <x:c r="M623" s="19" t="n">
        <x:f>'各站彙總來源'!M623</x:f>
        <x:v>26</x:v>
      </x:c>
      <x:c r="N623" s="24" t="n">
        <x:f>F623+H623</x:f>
        <x:v>58.03846153846153</x:v>
      </x:c>
      <x:c r="O623" s="24" t="n">
        <x:f>J623+L623</x:f>
        <x:v>5.961538461538462</x:v>
      </x:c>
    </x:row>
    <x:row r="624">
      <x:c r="A624" s="22" t="str">
        <x:v>500106010</x:v>
      </x:c>
      <x:c r="B624" s="17" t="str">
        <x:v>中正區</x:v>
      </x:c>
      <x:c r="C624" s="17" t="str">
        <x:v>紀州庵</x:v>
      </x:c>
      <x:c r="D624" s="18" t="n">
        <x:v>26</x:v>
      </x:c>
      <x:c r="E624" s="18" t="n">
        <x:v>26</x:v>
      </x:c>
      <x:c r="F624" s="24" t="n">
        <x:f>IFERROR('各站彙總來源'!F624/'各站彙總來源'!G624,"")</x:f>
        <x:v>51.46153846153846</x:v>
      </x:c>
      <x:c r="G624" s="19" t="n">
        <x:f>'各站彙總來源'!G624</x:f>
        <x:v>26</x:v>
      </x:c>
      <x:c r="H624" s="24" t="n">
        <x:f>IFERROR('各站彙總來源'!H624/'各站彙總來源'!I624,"")</x:f>
        <x:v>5.038461538461538</x:v>
      </x:c>
      <x:c r="I624" s="19" t="n">
        <x:f>'各站彙總來源'!I624</x:f>
        <x:v>26</x:v>
      </x:c>
      <x:c r="J624" s="24" t="n">
        <x:f>IFERROR('各站彙總來源'!J624/'各站彙總來源'!K624,"")</x:f>
        <x:v>5.769230769230769</x:v>
      </x:c>
      <x:c r="K624" s="19" t="n">
        <x:f>'各站彙總來源'!K624</x:f>
        <x:v>26</x:v>
      </x:c>
      <x:c r="L624" s="24" t="n">
        <x:f>IFERROR('各站彙總來源'!L624/'各站彙總來源'!M624,"")</x:f>
        <x:v>1.1153846153846154</x:v>
      </x:c>
      <x:c r="M624" s="19" t="n">
        <x:f>'各站彙總來源'!M624</x:f>
        <x:v>26</x:v>
      </x:c>
      <x:c r="N624" s="24" t="n">
        <x:f>F624+H624</x:f>
        <x:v>56.5</x:v>
      </x:c>
      <x:c r="O624" s="24" t="n">
        <x:f>J624+L624</x:f>
        <x:v>6.884615384615385</x:v>
      </x:c>
    </x:row>
    <x:row r="625">
      <x:c r="A625" s="22" t="str">
        <x:v>500106011</x:v>
      </x:c>
      <x:c r="B625" s="17" t="str">
        <x:v>中正區</x:v>
      </x:c>
      <x:c r="C625" s="17" t="str">
        <x:v>捷運臺電大樓站(5號出口)</x:v>
      </x:c>
      <x:c r="D625" s="18" t="n">
        <x:v>26</x:v>
      </x:c>
      <x:c r="E625" s="18" t="n">
        <x:v>26</x:v>
      </x:c>
      <x:c r="F625" s="24" t="n">
        <x:f>IFERROR('各站彙總來源'!F625/'各站彙總來源'!G625,"")</x:f>
        <x:v>9.038461538461538</x:v>
      </x:c>
      <x:c r="G625" s="19" t="n">
        <x:f>'各站彙總來源'!G625</x:f>
        <x:v>26</x:v>
      </x:c>
      <x:c r="H625" s="24" t="n">
        <x:f>IFERROR('各站彙總來源'!H625/'各站彙總來源'!I625,"")</x:f>
        <x:v>0.7692307692307693</x:v>
      </x:c>
      <x:c r="I625" s="19" t="n">
        <x:f>'各站彙總來源'!I625</x:f>
        <x:v>26</x:v>
      </x:c>
      <x:c r="J625" s="24" t="n">
        <x:f>IFERROR('各站彙總來源'!J625/'各站彙總來源'!K625,"")</x:f>
        <x:v>2.6538461538461537</x:v>
      </x:c>
      <x:c r="K625" s="19" t="n">
        <x:f>'各站彙總來源'!K625</x:f>
        <x:v>26</x:v>
      </x:c>
      <x:c r="L625" s="24" t="n">
        <x:f>IFERROR('各站彙總來源'!L625/'各站彙總來源'!M625,"")</x:f>
        <x:v>0.5</x:v>
      </x:c>
      <x:c r="M625" s="19" t="n">
        <x:f>'各站彙總來源'!M625</x:f>
        <x:v>26</x:v>
      </x:c>
      <x:c r="N625" s="24" t="n">
        <x:f>F625+H625</x:f>
        <x:v>9.807692307692308</x:v>
      </x:c>
      <x:c r="O625" s="24" t="n">
        <x:f>J625+L625</x:f>
        <x:v>3.1538461538461537</x:v>
      </x:c>
    </x:row>
    <x:row r="626">
      <x:c r="A626" s="22" t="str">
        <x:v>500106012</x:v>
      </x:c>
      <x:c r="B626" s="17" t="str">
        <x:v>中正區</x:v>
      </x:c>
      <x:c r="C626" s="17" t="str">
        <x:v>捷運臺電大樓站(4號出口)</x:v>
      </x:c>
      <x:c r="D626" s="18" t="n">
        <x:v>26</x:v>
      </x:c>
      <x:c r="E626" s="18" t="n">
        <x:v>26</x:v>
      </x:c>
      <x:c r="F626" s="24" t="n">
        <x:f>IFERROR('各站彙總來源'!F626/'各站彙總來源'!G626,"")</x:f>
        <x:v>6.576923076923077</x:v>
      </x:c>
      <x:c r="G626" s="19" t="n">
        <x:f>'各站彙總來源'!G626</x:f>
        <x:v>26</x:v>
      </x:c>
      <x:c r="H626" s="24" t="n">
        <x:f>IFERROR('各站彙總來源'!H626/'各站彙總來源'!I626,"")</x:f>
        <x:v>1.6538461538461537</x:v>
      </x:c>
      <x:c r="I626" s="19" t="n">
        <x:f>'各站彙總來源'!I626</x:f>
        <x:v>26</x:v>
      </x:c>
      <x:c r="J626" s="24" t="n">
        <x:f>IFERROR('各站彙總來源'!J626/'各站彙總來源'!K626,"")</x:f>
        <x:v>2.8846153846153846</x:v>
      </x:c>
      <x:c r="K626" s="19" t="n">
        <x:f>'各站彙總來源'!K626</x:f>
        <x:v>26</x:v>
      </x:c>
      <x:c r="L626" s="24" t="n">
        <x:f>IFERROR('各站彙總來源'!L626/'各站彙總來源'!M626,"")</x:f>
        <x:v>0.8076923076923077</x:v>
      </x:c>
      <x:c r="M626" s="19" t="n">
        <x:f>'各站彙總來源'!M626</x:f>
        <x:v>26</x:v>
      </x:c>
      <x:c r="N626" s="24" t="n">
        <x:f>F626+H626</x:f>
        <x:v>8.23076923076923</x:v>
      </x:c>
      <x:c r="O626" s="24" t="n">
        <x:f>J626+L626</x:f>
        <x:v>3.6923076923076925</x:v>
      </x:c>
    </x:row>
    <x:row r="627">
      <x:c r="A627" s="22" t="str">
        <x:v>500106013</x:v>
      </x:c>
      <x:c r="B627" s="17" t="str">
        <x:v>中正區</x:v>
      </x:c>
      <x:c r="C627" s="17" t="str">
        <x:v>羅斯福三段金門街口</x:v>
      </x:c>
      <x:c r="D627" s="18" t="n">
        <x:v>26</x:v>
      </x:c>
      <x:c r="E627" s="18" t="n">
        <x:v>26</x:v>
      </x:c>
      <x:c r="F627" s="24" t="n">
        <x:f>IFERROR('各站彙總來源'!F627/'各站彙總來源'!G627,"")</x:f>
        <x:v>8.576923076923077</x:v>
      </x:c>
      <x:c r="G627" s="19" t="n">
        <x:f>'各站彙總來源'!G627</x:f>
        <x:v>26</x:v>
      </x:c>
      <x:c r="H627" s="24" t="n">
        <x:f>IFERROR('各站彙總來源'!H627/'各站彙總來源'!I627,"")</x:f>
        <x:v>1.4230769230769231</x:v>
      </x:c>
      <x:c r="I627" s="19" t="n">
        <x:f>'各站彙總來源'!I627</x:f>
        <x:v>26</x:v>
      </x:c>
      <x:c r="J627" s="24" t="n">
        <x:f>IFERROR('各站彙總來源'!J627/'各站彙總來源'!K627,"")</x:f>
        <x:v>3</x:v>
      </x:c>
      <x:c r="K627" s="19" t="n">
        <x:f>'各站彙總來源'!K627</x:f>
        <x:v>26</x:v>
      </x:c>
      <x:c r="L627" s="24" t="n">
        <x:f>IFERROR('各站彙總來源'!L627/'各站彙總來源'!M627,"")</x:f>
        <x:v>0.9615384615384616</x:v>
      </x:c>
      <x:c r="M627" s="19" t="n">
        <x:f>'各站彙總來源'!M627</x:f>
        <x:v>26</x:v>
      </x:c>
      <x:c r="N627" s="24" t="n">
        <x:f>F627+H627</x:f>
        <x:v>10</x:v>
      </x:c>
      <x:c r="O627" s="24" t="n">
        <x:f>J627+L627</x:f>
        <x:v>3.9615384615384617</x:v>
      </x:c>
    </x:row>
    <x:row r="628">
      <x:c r="A628" s="22" t="str">
        <x:v>500106014</x:v>
      </x:c>
      <x:c r="B628" s="17" t="str">
        <x:v>中正區</x:v>
      </x:c>
      <x:c r="C628" s="17" t="str">
        <x:v>牯嶺公園</x:v>
      </x:c>
      <x:c r="D628" s="18" t="n">
        <x:v>26</x:v>
      </x:c>
      <x:c r="E628" s="18" t="n">
        <x:v>26</x:v>
      </x:c>
      <x:c r="F628" s="24" t="n">
        <x:f>IFERROR('各站彙總來源'!F628/'各站彙總來源'!G628,"")</x:f>
        <x:v>88.84615384615384</x:v>
      </x:c>
      <x:c r="G628" s="19" t="n">
        <x:f>'各站彙總來源'!G628</x:f>
        <x:v>26</x:v>
      </x:c>
      <x:c r="H628" s="24" t="n">
        <x:f>IFERROR('各站彙總來源'!H628/'各站彙總來源'!I628,"")</x:f>
        <x:v>8.538461538461538</x:v>
      </x:c>
      <x:c r="I628" s="19" t="n">
        <x:f>'各站彙總來源'!I628</x:f>
        <x:v>26</x:v>
      </x:c>
      <x:c r="J628" s="24" t="n">
        <x:f>IFERROR('各站彙總來源'!J628/'各站彙總來源'!K628,"")</x:f>
        <x:v>8.923076923076923</x:v>
      </x:c>
      <x:c r="K628" s="19" t="n">
        <x:f>'各站彙總來源'!K628</x:f>
        <x:v>26</x:v>
      </x:c>
      <x:c r="L628" s="24" t="n">
        <x:f>IFERROR('各站彙總來源'!L628/'各站彙總來源'!M628,"")</x:f>
        <x:v>1.1153846153846154</x:v>
      </x:c>
      <x:c r="M628" s="19" t="n">
        <x:f>'各站彙總來源'!M628</x:f>
        <x:v>26</x:v>
      </x:c>
      <x:c r="N628" s="24" t="n">
        <x:f>F628+H628</x:f>
        <x:v>97.38461538461537</x:v>
      </x:c>
      <x:c r="O628" s="24" t="n">
        <x:f>J628+L628</x:f>
        <x:v>10.038461538461538</x:v>
      </x:c>
    </x:row>
    <x:row r="629">
      <x:c r="A629" s="22" t="str">
        <x:v>500106015</x:v>
      </x:c>
      <x:c r="B629" s="17" t="str">
        <x:v>中正區</x:v>
      </x:c>
      <x:c r="C629" s="17" t="str">
        <x:v>捷運古亭站(8號出口)</x:v>
      </x:c>
      <x:c r="D629" s="18" t="n">
        <x:v>26</x:v>
      </x:c>
      <x:c r="E629" s="18" t="n">
        <x:v>26</x:v>
      </x:c>
      <x:c r="F629" s="24" t="n">
        <x:f>IFERROR('各站彙總來源'!F629/'各站彙總來源'!G629,"")</x:f>
        <x:v>5.3076923076923075</x:v>
      </x:c>
      <x:c r="G629" s="19" t="n">
        <x:f>'各站彙總來源'!G629</x:f>
        <x:v>26</x:v>
      </x:c>
      <x:c r="H629" s="24" t="n">
        <x:f>IFERROR('各站彙總來源'!H629/'各站彙總來源'!I629,"")</x:f>
        <x:v>1.0769230769230769</x:v>
      </x:c>
      <x:c r="I629" s="19" t="n">
        <x:f>'各站彙總來源'!I629</x:f>
        <x:v>26</x:v>
      </x:c>
      <x:c r="J629" s="24" t="n">
        <x:f>IFERROR('各站彙總來源'!J629/'各站彙總來源'!K629,"")</x:f>
        <x:v>3.3846153846153846</x:v>
      </x:c>
      <x:c r="K629" s="19" t="n">
        <x:f>'各站彙總來源'!K629</x:f>
        <x:v>26</x:v>
      </x:c>
      <x:c r="L629" s="24" t="n">
        <x:f>IFERROR('各站彙總來源'!L629/'各站彙總來源'!M629,"")</x:f>
        <x:v>0.8076923076923077</x:v>
      </x:c>
      <x:c r="M629" s="19" t="n">
        <x:f>'各站彙總來源'!M629</x:f>
        <x:v>26</x:v>
      </x:c>
      <x:c r="N629" s="24" t="n">
        <x:f>F629+H629</x:f>
        <x:v>6.384615384615384</x:v>
      </x:c>
      <x:c r="O629" s="24" t="n">
        <x:f>J629+L629</x:f>
        <x:v>4.1923076923076925</x:v>
      </x:c>
    </x:row>
    <x:row r="630">
      <x:c r="A630" s="22" t="str">
        <x:v>500106016</x:v>
      </x:c>
      <x:c r="B630" s="17" t="str">
        <x:v>中正區</x:v>
      </x:c>
      <x:c r="C630" s="17" t="str">
        <x:v>捷運古亭站(7號出口)</x:v>
      </x:c>
      <x:c r="D630" s="18" t="n">
        <x:v>26</x:v>
      </x:c>
      <x:c r="E630" s="18" t="n">
        <x:v>26</x:v>
      </x:c>
      <x:c r="F630" s="24" t="n">
        <x:f>IFERROR('各站彙總來源'!F630/'各站彙總來源'!G630,"")</x:f>
        <x:v>4.8076923076923075</x:v>
      </x:c>
      <x:c r="G630" s="19" t="n">
        <x:f>'各站彙總來源'!G630</x:f>
        <x:v>26</x:v>
      </x:c>
      <x:c r="H630" s="24" t="n">
        <x:f>IFERROR('各站彙總來源'!H630/'各站彙總來源'!I630,"")</x:f>
        <x:v>0.5</x:v>
      </x:c>
      <x:c r="I630" s="19" t="n">
        <x:f>'各站彙總來源'!I630</x:f>
        <x:v>26</x:v>
      </x:c>
      <x:c r="J630" s="24" t="n">
        <x:f>IFERROR('各站彙總來源'!J630/'各站彙總來源'!K630,"")</x:f>
        <x:v>2.6538461538461537</x:v>
      </x:c>
      <x:c r="K630" s="19" t="n">
        <x:f>'各站彙總來源'!K630</x:f>
        <x:v>26</x:v>
      </x:c>
      <x:c r="L630" s="24" t="n">
        <x:f>IFERROR('各站彙總來源'!L630/'各站彙總來源'!M630,"")</x:f>
        <x:v>1.0769230769230769</x:v>
      </x:c>
      <x:c r="M630" s="19" t="n">
        <x:f>'各站彙總來源'!M630</x:f>
        <x:v>26</x:v>
      </x:c>
      <x:c r="N630" s="24" t="n">
        <x:f>F630+H630</x:f>
        <x:v>5.3076923076923075</x:v>
      </x:c>
      <x:c r="O630" s="24" t="n">
        <x:f>J630+L630</x:f>
        <x:v>3.730769230769231</x:v>
      </x:c>
    </x:row>
    <x:row r="631">
      <x:c r="A631" s="22" t="str">
        <x:v>500106017</x:v>
      </x:c>
      <x:c r="B631" s="17" t="str">
        <x:v>中正區</x:v>
      </x:c>
      <x:c r="C631" s="17" t="str">
        <x:v>南昌公園</x:v>
      </x:c>
      <x:c r="D631" s="18" t="n">
        <x:v>26</x:v>
      </x:c>
      <x:c r="E631" s="18" t="n">
        <x:v>26</x:v>
      </x:c>
      <x:c r="F631" s="24" t="n">
        <x:f>IFERROR('各站彙總來源'!F631/'各站彙總來源'!G631,"")</x:f>
        <x:v>11.076923076923077</x:v>
      </x:c>
      <x:c r="G631" s="19" t="n">
        <x:f>'各站彙總來源'!G631</x:f>
        <x:v>26</x:v>
      </x:c>
      <x:c r="H631" s="24" t="n">
        <x:f>IFERROR('各站彙總來源'!H631/'各站彙總來源'!I631,"")</x:f>
        <x:v>0.7692307692307693</x:v>
      </x:c>
      <x:c r="I631" s="19" t="n">
        <x:f>'各站彙總來源'!I631</x:f>
        <x:v>26</x:v>
      </x:c>
      <x:c r="J631" s="24" t="n">
        <x:f>IFERROR('各站彙總來源'!J631/'各站彙總來源'!K631,"")</x:f>
        <x:v>12.192307692307692</x:v>
      </x:c>
      <x:c r="K631" s="19" t="n">
        <x:f>'各站彙總來源'!K631</x:f>
        <x:v>26</x:v>
      </x:c>
      <x:c r="L631" s="24" t="n">
        <x:f>IFERROR('各站彙總來源'!L631/'各站彙總來源'!M631,"")</x:f>
        <x:v>0.8076923076923077</x:v>
      </x:c>
      <x:c r="M631" s="19" t="n">
        <x:f>'各站彙總來源'!M631</x:f>
        <x:v>26</x:v>
      </x:c>
      <x:c r="N631" s="24" t="n">
        <x:f>F631+H631</x:f>
        <x:v>11.846153846153847</x:v>
      </x:c>
      <x:c r="O631" s="24" t="n">
        <x:f>J631+L631</x:f>
        <x:v>13</x:v>
      </x:c>
    </x:row>
    <x:row r="632">
      <x:c r="A632" s="22" t="str">
        <x:v>500106018</x:v>
      </x:c>
      <x:c r="B632" s="17" t="str">
        <x:v>中正區</x:v>
      </x:c>
      <x:c r="C632" s="17" t="str">
        <x:v>和平重慶路口</x:v>
      </x:c>
      <x:c r="D632" s="18" t="n">
        <x:v>26</x:v>
      </x:c>
      <x:c r="E632" s="18" t="n">
        <x:v>26</x:v>
      </x:c>
      <x:c r="F632" s="24" t="n">
        <x:f>IFERROR('各站彙總來源'!F632/'各站彙總來源'!G632,"")</x:f>
        <x:v>43.73076923076923</x:v>
      </x:c>
      <x:c r="G632" s="19" t="n">
        <x:f>'各站彙總來源'!G632</x:f>
        <x:v>26</x:v>
      </x:c>
      <x:c r="H632" s="24" t="n">
        <x:f>IFERROR('各站彙總來源'!H632/'各站彙總來源'!I632,"")</x:f>
        <x:v>3.269230769230769</x:v>
      </x:c>
      <x:c r="I632" s="19" t="n">
        <x:f>'各站彙總來源'!I632</x:f>
        <x:v>26</x:v>
      </x:c>
      <x:c r="J632" s="24" t="n">
        <x:f>IFERROR('各站彙總來源'!J632/'各站彙總來源'!K632,"")</x:f>
        <x:v>8.576923076923077</x:v>
      </x:c>
      <x:c r="K632" s="19" t="n">
        <x:f>'各站彙總來源'!K632</x:f>
        <x:v>26</x:v>
      </x:c>
      <x:c r="L632" s="24" t="n">
        <x:f>IFERROR('各站彙總來源'!L632/'各站彙總來源'!M632,"")</x:f>
        <x:v>1.3076923076923077</x:v>
      </x:c>
      <x:c r="M632" s="19" t="n">
        <x:f>'各站彙總來源'!M632</x:f>
        <x:v>26</x:v>
      </x:c>
      <x:c r="N632" s="24" t="n">
        <x:f>F632+H632</x:f>
        <x:v>47</x:v>
      </x:c>
      <x:c r="O632" s="24" t="n">
        <x:f>J632+L632</x:f>
        <x:v>9.884615384615385</x:v>
      </x:c>
    </x:row>
    <x:row r="633">
      <x:c r="A633" s="22" t="str">
        <x:v>500106019</x:v>
      </x:c>
      <x:c r="B633" s="17" t="str">
        <x:v>中正區</x:v>
      </x:c>
      <x:c r="C633" s="17" t="str">
        <x:v>孫立人將軍官邸</x:v>
      </x:c>
      <x:c r="D633" s="18" t="n">
        <x:v>26</x:v>
      </x:c>
      <x:c r="E633" s="18" t="n">
        <x:v>26</x:v>
      </x:c>
      <x:c r="F633" s="24" t="n">
        <x:f>IFERROR('各站彙總來源'!F633/'各站彙總來源'!G633,"")</x:f>
        <x:v>7.423076923076923</x:v>
      </x:c>
      <x:c r="G633" s="19" t="n">
        <x:f>'各站彙總來源'!G633</x:f>
        <x:v>26</x:v>
      </x:c>
      <x:c r="H633" s="24" t="n">
        <x:f>IFERROR('各站彙總來源'!H633/'各站彙總來源'!I633,"")</x:f>
        <x:v>1.7692307692307692</x:v>
      </x:c>
      <x:c r="I633" s="19" t="n">
        <x:f>'各站彙總來源'!I633</x:f>
        <x:v>26</x:v>
      </x:c>
      <x:c r="J633" s="24" t="n">
        <x:f>IFERROR('各站彙總來源'!J633/'各站彙總來源'!K633,"")</x:f>
        <x:v>11.923076923076923</x:v>
      </x:c>
      <x:c r="K633" s="19" t="n">
        <x:f>'各站彙總來源'!K633</x:f>
        <x:v>26</x:v>
      </x:c>
      <x:c r="L633" s="24" t="n">
        <x:f>IFERROR('各站彙總來源'!L633/'各站彙總來源'!M633,"")</x:f>
        <x:v>1.8461538461538463</x:v>
      </x:c>
      <x:c r="M633" s="19" t="n">
        <x:f>'各站彙總來源'!M633</x:f>
        <x:v>26</x:v>
      </x:c>
      <x:c r="N633" s="24" t="n">
        <x:f>F633+H633</x:f>
        <x:v>9.192307692307693</x:v>
      </x:c>
      <x:c r="O633" s="24" t="n">
        <x:f>J633+L633</x:f>
        <x:v>13.76923076923077</x:v>
      </x:c>
    </x:row>
    <x:row r="634">
      <x:c r="A634" s="22" t="str">
        <x:v>500106020</x:v>
      </x:c>
      <x:c r="B634" s="17" t="str">
        <x:v>中正區</x:v>
      </x:c>
      <x:c r="C634" s="17" t="str">
        <x:v>羅斯福路二段6巷口</x:v>
      </x:c>
      <x:c r="D634" s="18" t="n">
        <x:v>26</x:v>
      </x:c>
      <x:c r="E634" s="18" t="n">
        <x:v>26</x:v>
      </x:c>
      <x:c r="F634" s="24" t="n">
        <x:f>IFERROR('各站彙總來源'!F634/'各站彙總來源'!G634,"")</x:f>
        <x:v>6.461538461538462</x:v>
      </x:c>
      <x:c r="G634" s="19" t="n">
        <x:f>'各站彙總來源'!G634</x:f>
        <x:v>26</x:v>
      </x:c>
      <x:c r="H634" s="24" t="n">
        <x:f>IFERROR('各站彙總來源'!H634/'各站彙總來源'!I634,"")</x:f>
        <x:v>0.6923076923076923</x:v>
      </x:c>
      <x:c r="I634" s="19" t="n">
        <x:f>'各站彙總來源'!I634</x:f>
        <x:v>26</x:v>
      </x:c>
      <x:c r="J634" s="24" t="n">
        <x:f>IFERROR('各站彙總來源'!J634/'各站彙總來源'!K634,"")</x:f>
        <x:v>5.115384615384615</x:v>
      </x:c>
      <x:c r="K634" s="19" t="n">
        <x:f>'各站彙總來源'!K634</x:f>
        <x:v>26</x:v>
      </x:c>
      <x:c r="L634" s="24" t="n">
        <x:f>IFERROR('各站彙總來源'!L634/'各站彙總來源'!M634,"")</x:f>
        <x:v>1</x:v>
      </x:c>
      <x:c r="M634" s="19" t="n">
        <x:f>'各站彙總來源'!M634</x:f>
        <x:v>26</x:v>
      </x:c>
      <x:c r="N634" s="24" t="n">
        <x:f>F634+H634</x:f>
        <x:v>7.153846153846154</x:v>
      </x:c>
      <x:c r="O634" s="24" t="n">
        <x:f>J634+L634</x:f>
        <x:v>6.115384615384615</x:v>
      </x:c>
    </x:row>
    <x:row r="635">
      <x:c r="A635" s="22" t="str">
        <x:v>500106021</x:v>
      </x:c>
      <x:c r="B635" s="17" t="str">
        <x:v>中正區</x:v>
      </x:c>
      <x:c r="C635" s="17" t="str">
        <x:v>金華杭州南路口</x:v>
      </x:c>
      <x:c r="D635" s="18" t="n">
        <x:v>26</x:v>
      </x:c>
      <x:c r="E635" s="18" t="n">
        <x:v>26</x:v>
      </x:c>
      <x:c r="F635" s="24" t="n">
        <x:f>IFERROR('各站彙總來源'!F635/'各站彙總來源'!G635,"")</x:f>
        <x:v>13.346153846153847</x:v>
      </x:c>
      <x:c r="G635" s="19" t="n">
        <x:f>'各站彙總來源'!G635</x:f>
        <x:v>26</x:v>
      </x:c>
      <x:c r="H635" s="24" t="n">
        <x:f>IFERROR('各站彙總來源'!H635/'各站彙總來源'!I635,"")</x:f>
        <x:v>2.1923076923076925</x:v>
      </x:c>
      <x:c r="I635" s="19" t="n">
        <x:f>'各站彙總來源'!I635</x:f>
        <x:v>26</x:v>
      </x:c>
      <x:c r="J635" s="24" t="n">
        <x:f>IFERROR('各站彙總來源'!J635/'各站彙總來源'!K635,"")</x:f>
        <x:v>8.576923076923077</x:v>
      </x:c>
      <x:c r="K635" s="19" t="n">
        <x:f>'各站彙總來源'!K635</x:f>
        <x:v>26</x:v>
      </x:c>
      <x:c r="L635" s="24" t="n">
        <x:f>IFERROR('各站彙總來源'!L635/'各站彙總來源'!M635,"")</x:f>
        <x:v>1.5769230769230769</x:v>
      </x:c>
      <x:c r="M635" s="19" t="n">
        <x:f>'各站彙總來源'!M635</x:f>
        <x:v>26</x:v>
      </x:c>
      <x:c r="N635" s="24" t="n">
        <x:f>F635+H635</x:f>
        <x:v>15.53846153846154</x:v>
      </x:c>
      <x:c r="O635" s="24" t="n">
        <x:f>J635+L635</x:f>
        <x:v>10.153846153846153</x:v>
      </x:c>
    </x:row>
    <x:row r="636">
      <x:c r="A636" s="22" t="str">
        <x:v>500106022</x:v>
      </x:c>
      <x:c r="B636" s="17" t="str">
        <x:v>中正區</x:v>
      </x:c>
      <x:c r="C636" s="17" t="str">
        <x:v>捷運中正紀念堂站(3號出口)</x:v>
      </x:c>
      <x:c r="D636" s="18" t="n">
        <x:v>26</x:v>
      </x:c>
      <x:c r="E636" s="18" t="n">
        <x:v>26</x:v>
      </x:c>
      <x:c r="F636" s="24" t="n">
        <x:f>IFERROR('各站彙總來源'!F636/'各站彙總來源'!G636,"")</x:f>
        <x:v>8.576923076923077</x:v>
      </x:c>
      <x:c r="G636" s="19" t="n">
        <x:f>'各站彙總來源'!G636</x:f>
        <x:v>26</x:v>
      </x:c>
      <x:c r="H636" s="24" t="n">
        <x:f>IFERROR('各站彙總來源'!H636/'各站彙總來源'!I636,"")</x:f>
        <x:v>0.6153846153846154</x:v>
      </x:c>
      <x:c r="I636" s="19" t="n">
        <x:f>'各站彙總來源'!I636</x:f>
        <x:v>26</x:v>
      </x:c>
      <x:c r="J636" s="24" t="n">
        <x:f>IFERROR('各站彙總來源'!J636/'各站彙總來源'!K636,"")</x:f>
        <x:v>6.730769230769231</x:v>
      </x:c>
      <x:c r="K636" s="19" t="n">
        <x:f>'各站彙總來源'!K636</x:f>
        <x:v>26</x:v>
      </x:c>
      <x:c r="L636" s="24" t="n">
        <x:f>IFERROR('各站彙總來源'!L636/'各站彙總來源'!M636,"")</x:f>
        <x:v>2.1923076923076925</x:v>
      </x:c>
      <x:c r="M636" s="19" t="n">
        <x:f>'各站彙總來源'!M636</x:f>
        <x:v>26</x:v>
      </x:c>
      <x:c r="N636" s="24" t="n">
        <x:f>F636+H636</x:f>
        <x:v>9.192307692307692</x:v>
      </x:c>
      <x:c r="O636" s="24" t="n">
        <x:f>J636+L636</x:f>
        <x:v>8.923076923076923</x:v>
      </x:c>
    </x:row>
    <x:row r="637">
      <x:c r="A637" s="22" t="str">
        <x:v>500106023</x:v>
      </x:c>
      <x:c r="B637" s="17" t="str">
        <x:v>中正區</x:v>
      </x:c>
      <x:c r="C637" s="17" t="str">
        <x:v>捷運中正紀念堂站(4號出口)</x:v>
      </x:c>
      <x:c r="D637" s="18" t="n">
        <x:v>26</x:v>
      </x:c>
      <x:c r="E637" s="18" t="n">
        <x:v>26</x:v>
      </x:c>
      <x:c r="F637" s="24" t="n">
        <x:f>IFERROR('各站彙總來源'!F637/'各站彙總來源'!G637,"")</x:f>
        <x:v>4.269230769230769</x:v>
      </x:c>
      <x:c r="G637" s="19" t="n">
        <x:f>'各站彙總來源'!G637</x:f>
        <x:v>26</x:v>
      </x:c>
      <x:c r="H637" s="24" t="n">
        <x:f>IFERROR('各站彙總來源'!H637/'各站彙總來源'!I637,"")</x:f>
        <x:v>0.5384615384615384</x:v>
      </x:c>
      <x:c r="I637" s="19" t="n">
        <x:f>'各站彙總來源'!I637</x:f>
        <x:v>26</x:v>
      </x:c>
      <x:c r="J637" s="24" t="n">
        <x:f>IFERROR('各站彙總來源'!J637/'各站彙總來源'!K637,"")</x:f>
        <x:v>8.73076923076923</x:v>
      </x:c>
      <x:c r="K637" s="19" t="n">
        <x:f>'各站彙總來源'!K637</x:f>
        <x:v>26</x:v>
      </x:c>
      <x:c r="L637" s="24" t="n">
        <x:f>IFERROR('各站彙總來源'!L637/'各站彙總來源'!M637,"")</x:f>
        <x:v>1.7307692307692308</x:v>
      </x:c>
      <x:c r="M637" s="19" t="n">
        <x:f>'各站彙總來源'!M637</x:f>
        <x:v>26</x:v>
      </x:c>
      <x:c r="N637" s="24" t="n">
        <x:f>F637+H637</x:f>
        <x:v>4.8076923076923075</x:v>
      </x:c>
      <x:c r="O637" s="24" t="n">
        <x:f>J637+L637</x:f>
        <x:v>10.46153846153846</x:v>
      </x:c>
    </x:row>
    <x:row r="638">
      <x:c r="A638" s="22" t="str">
        <x:v>500106024</x:v>
      </x:c>
      <x:c r="B638" s="17" t="str">
        <x:v>中正區</x:v>
      </x:c>
      <x:c r="C638" s="17" t="str">
        <x:v>重慶南海路口西南側</x:v>
      </x:c>
      <x:c r="D638" s="18" t="n">
        <x:v>26</x:v>
      </x:c>
      <x:c r="E638" s="18" t="n">
        <x:v>26</x:v>
      </x:c>
      <x:c r="F638" s="24" t="n">
        <x:f>IFERROR('各站彙總來源'!F638/'各站彙總來源'!G638,"")</x:f>
        <x:v>0</x:v>
      </x:c>
      <x:c r="G638" s="19" t="n">
        <x:f>'各站彙總來源'!G638</x:f>
        <x:v>26</x:v>
      </x:c>
      <x:c r="H638" s="24" t="n">
        <x:f>IFERROR('各站彙總來源'!H638/'各站彙總來源'!I638,"")</x:f>
        <x:v>0</x:v>
      </x:c>
      <x:c r="I638" s="19" t="n">
        <x:f>'各站彙總來源'!I638</x:f>
        <x:v>26</x:v>
      </x:c>
      <x:c r="J638" s="24" t="n">
        <x:f>IFERROR('各站彙總來源'!J638/'各站彙總來源'!K638,"")</x:f>
        <x:v>0</x:v>
      </x:c>
      <x:c r="K638" s="19" t="n">
        <x:f>'各站彙總來源'!K638</x:f>
        <x:v>26</x:v>
      </x:c>
      <x:c r="L638" s="24" t="n">
        <x:f>IFERROR('各站彙總來源'!L638/'各站彙總來源'!M638,"")</x:f>
        <x:v>0</x:v>
      </x:c>
      <x:c r="M638" s="19" t="n">
        <x:f>'各站彙總來源'!M638</x:f>
        <x:v>26</x:v>
      </x:c>
      <x:c r="N638" s="24" t="n">
        <x:f>F638+H638</x:f>
        <x:v>0</x:v>
      </x:c>
      <x:c r="O638" s="24" t="n">
        <x:f>J638+L638</x:f>
        <x:v>0</x:v>
      </x:c>
    </x:row>
    <x:row r="639">
      <x:c r="A639" s="22" t="str">
        <x:v>500106025</x:v>
      </x:c>
      <x:c r="B639" s="17" t="str">
        <x:v>中正區</x:v>
      </x:c>
      <x:c r="C639" s="17" t="str">
        <x:v>螢橋國小</x:v>
      </x:c>
      <x:c r="D639" s="18" t="n">
        <x:v>26</x:v>
      </x:c>
      <x:c r="E639" s="18" t="n">
        <x:v>26</x:v>
      </x:c>
      <x:c r="F639" s="24" t="n">
        <x:f>IFERROR('各站彙總來源'!F639/'各站彙總來源'!G639,"")</x:f>
        <x:v>38.26923076923077</x:v>
      </x:c>
      <x:c r="G639" s="19" t="n">
        <x:f>'各站彙總來源'!G639</x:f>
        <x:v>26</x:v>
      </x:c>
      <x:c r="H639" s="24" t="n">
        <x:f>IFERROR('各站彙總來源'!H639/'各站彙總來源'!I639,"")</x:f>
        <x:v>4.846153846153846</x:v>
      </x:c>
      <x:c r="I639" s="19" t="n">
        <x:f>'各站彙總來源'!I639</x:f>
        <x:v>26</x:v>
      </x:c>
      <x:c r="J639" s="24" t="n">
        <x:f>IFERROR('各站彙總來源'!J639/'各站彙總來源'!K639,"")</x:f>
        <x:v>8.653846153846153</x:v>
      </x:c>
      <x:c r="K639" s="19" t="n">
        <x:f>'各站彙總來源'!K639</x:f>
        <x:v>26</x:v>
      </x:c>
      <x:c r="L639" s="24" t="n">
        <x:f>IFERROR('各站彙總來源'!L639/'各站彙總來源'!M639,"")</x:f>
        <x:v>1.8461538461538463</x:v>
      </x:c>
      <x:c r="M639" s="19" t="n">
        <x:f>'各站彙總來源'!M639</x:f>
        <x:v>26</x:v>
      </x:c>
      <x:c r="N639" s="24" t="n">
        <x:f>F639+H639</x:f>
        <x:v>43.11538461538461</x:v>
      </x:c>
      <x:c r="O639" s="24" t="n">
        <x:f>J639+L639</x:f>
        <x:v>10.5</x:v>
      </x:c>
    </x:row>
    <x:row r="640">
      <x:c r="A640" s="22" t="str">
        <x:v>500106026</x:v>
      </x:c>
      <x:c r="B640" s="17" t="str">
        <x:v>中正區</x:v>
      </x:c>
      <x:c r="C640" s="17" t="str">
        <x:v>古亭智慧圖書館</x:v>
      </x:c>
      <x:c r="D640" s="18" t="n">
        <x:v>26</x:v>
      </x:c>
      <x:c r="E640" s="18" t="n">
        <x:v>26</x:v>
      </x:c>
      <x:c r="F640" s="24" t="n">
        <x:f>IFERROR('各站彙總來源'!F640/'各站彙總來源'!G640,"")</x:f>
        <x:v>14.307692307692308</x:v>
      </x:c>
      <x:c r="G640" s="19" t="n">
        <x:f>'各站彙總來源'!G640</x:f>
        <x:v>26</x:v>
      </x:c>
      <x:c r="H640" s="24" t="n">
        <x:f>IFERROR('各站彙總來源'!H640/'各站彙總來源'!I640,"")</x:f>
        <x:v>2.730769230769231</x:v>
      </x:c>
      <x:c r="I640" s="19" t="n">
        <x:f>'各站彙總來源'!I640</x:f>
        <x:v>26</x:v>
      </x:c>
      <x:c r="J640" s="24" t="n">
        <x:f>IFERROR('各站彙總來源'!J640/'各站彙總來源'!K640,"")</x:f>
        <x:v>2.6153846153846154</x:v>
      </x:c>
      <x:c r="K640" s="19" t="n">
        <x:f>'各站彙總來源'!K640</x:f>
        <x:v>26</x:v>
      </x:c>
      <x:c r="L640" s="24" t="n">
        <x:f>IFERROR('各站彙總來源'!L640/'各站彙總來源'!M640,"")</x:f>
        <x:v>1.0769230769230769</x:v>
      </x:c>
      <x:c r="M640" s="19" t="n">
        <x:f>'各站彙總來源'!M640</x:f>
        <x:v>26</x:v>
      </x:c>
      <x:c r="N640" s="24" t="n">
        <x:f>F640+H640</x:f>
        <x:v>17.03846153846154</x:v>
      </x:c>
      <x:c r="O640" s="24" t="n">
        <x:f>J640+L640</x:f>
        <x:v>3.6923076923076925</x:v>
      </x:c>
    </x:row>
    <x:row r="641">
      <x:c r="A641" s="22" t="str">
        <x:v>500106027</x:v>
      </x:c>
      <x:c r="B641" s="17" t="str">
        <x:v>中正區</x:v>
      </x:c>
      <x:c r="C641" s="17" t="str">
        <x:v>永昌公園</x:v>
      </x:c>
      <x:c r="D641" s="18" t="n">
        <x:v>26</x:v>
      </x:c>
      <x:c r="E641" s="18" t="n">
        <x:v>26</x:v>
      </x:c>
      <x:c r="F641" s="24" t="n">
        <x:f>IFERROR('各站彙總來源'!F641/'各站彙總來源'!G641,"")</x:f>
        <x:v>18.076923076923077</x:v>
      </x:c>
      <x:c r="G641" s="19" t="n">
        <x:f>'各站彙總來源'!G641</x:f>
        <x:v>26</x:v>
      </x:c>
      <x:c r="H641" s="24" t="n">
        <x:f>IFERROR('各站彙總來源'!H641/'各站彙總來源'!I641,"")</x:f>
        <x:v>1.4230769230769231</x:v>
      </x:c>
      <x:c r="I641" s="19" t="n">
        <x:f>'各站彙總來源'!I641</x:f>
        <x:v>26</x:v>
      </x:c>
      <x:c r="J641" s="24" t="n">
        <x:f>IFERROR('各站彙總來源'!J641/'各站彙總來源'!K641,"")</x:f>
        <x:v>3.0384615384615383</x:v>
      </x:c>
      <x:c r="K641" s="19" t="n">
        <x:f>'各站彙總來源'!K641</x:f>
        <x:v>26</x:v>
      </x:c>
      <x:c r="L641" s="24" t="n">
        <x:f>IFERROR('各站彙總來源'!L641/'各站彙總來源'!M641,"")</x:f>
        <x:v>0.6153846153846154</x:v>
      </x:c>
      <x:c r="M641" s="19" t="n">
        <x:f>'各站彙總來源'!M641</x:f>
        <x:v>26</x:v>
      </x:c>
      <x:c r="N641" s="24" t="n">
        <x:f>F641+H641</x:f>
        <x:v>19.5</x:v>
      </x:c>
      <x:c r="O641" s="24" t="n">
        <x:f>J641+L641</x:f>
        <x:v>3.6538461538461537</x:v>
      </x:c>
    </x:row>
    <x:row r="642">
      <x:c r="A642" s="22" t="str">
        <x:v>500106028</x:v>
      </x:c>
      <x:c r="B642" s="17" t="str">
        <x:v>中正區</x:v>
      </x:c>
      <x:c r="C642" s="17" t="str">
        <x:v>中華路二段409巷口</x:v>
      </x:c>
      <x:c r="D642" s="18" t="n">
        <x:v>26</x:v>
      </x:c>
      <x:c r="E642" s="18" t="n">
        <x:v>26</x:v>
      </x:c>
      <x:c r="F642" s="24" t="n">
        <x:f>IFERROR('各站彙總來源'!F642/'各站彙總來源'!G642,"")</x:f>
        <x:v>12.115384615384615</x:v>
      </x:c>
      <x:c r="G642" s="19" t="n">
        <x:f>'各站彙總來源'!G642</x:f>
        <x:v>26</x:v>
      </x:c>
      <x:c r="H642" s="24" t="n">
        <x:f>IFERROR('各站彙總來源'!H642/'各站彙總來源'!I642,"")</x:f>
        <x:v>2.0384615384615383</x:v>
      </x:c>
      <x:c r="I642" s="19" t="n">
        <x:f>'各站彙總來源'!I642</x:f>
        <x:v>26</x:v>
      </x:c>
      <x:c r="J642" s="24" t="n">
        <x:f>IFERROR('各站彙總來源'!J642/'各站彙總來源'!K642,"")</x:f>
        <x:v>3.730769230769231</x:v>
      </x:c>
      <x:c r="K642" s="19" t="n">
        <x:f>'各站彙總來源'!K642</x:f>
        <x:v>26</x:v>
      </x:c>
      <x:c r="L642" s="24" t="n">
        <x:f>IFERROR('各站彙總來源'!L642/'各站彙總來源'!M642,"")</x:f>
        <x:v>0.5769230769230769</x:v>
      </x:c>
      <x:c r="M642" s="19" t="n">
        <x:f>'各站彙總來源'!M642</x:f>
        <x:v>26</x:v>
      </x:c>
      <x:c r="N642" s="24" t="n">
        <x:f>F642+H642</x:f>
        <x:v>14.153846153846153</x:v>
      </x:c>
      <x:c r="O642" s="24" t="n">
        <x:f>J642+L642</x:f>
        <x:v>4.3076923076923075</x:v>
      </x:c>
    </x:row>
    <x:row r="643">
      <x:c r="A643" s="22" t="str">
        <x:v>500106029</x:v>
      </x:c>
      <x:c r="B643" s="17" t="str">
        <x:v>中正區</x:v>
      </x:c>
      <x:c r="C643" s="17" t="str">
        <x:v>南機場夜市(中華路二段)</x:v>
      </x:c>
      <x:c r="D643" s="18" t="n">
        <x:v>26</x:v>
      </x:c>
      <x:c r="E643" s="18" t="n">
        <x:v>26</x:v>
      </x:c>
      <x:c r="F643" s="24" t="n">
        <x:f>IFERROR('各站彙總來源'!F643/'各站彙總來源'!G643,"")</x:f>
        <x:v>10.961538461538462</x:v>
      </x:c>
      <x:c r="G643" s="19" t="n">
        <x:f>'各站彙總來源'!G643</x:f>
        <x:v>26</x:v>
      </x:c>
      <x:c r="H643" s="24" t="n">
        <x:f>IFERROR('各站彙總來源'!H643/'各站彙總來源'!I643,"")</x:f>
        <x:v>1.6923076923076923</x:v>
      </x:c>
      <x:c r="I643" s="19" t="n">
        <x:f>'各站彙總來源'!I643</x:f>
        <x:v>26</x:v>
      </x:c>
      <x:c r="J643" s="24" t="n">
        <x:f>IFERROR('各站彙總來源'!J643/'各站彙總來源'!K643,"")</x:f>
        <x:v>4.346153846153846</x:v>
      </x:c>
      <x:c r="K643" s="19" t="n">
        <x:f>'各站彙總來源'!K643</x:f>
        <x:v>26</x:v>
      </x:c>
      <x:c r="L643" s="24" t="n">
        <x:f>IFERROR('各站彙總來源'!L643/'各站彙總來源'!M643,"")</x:f>
        <x:v>0.6153846153846154</x:v>
      </x:c>
      <x:c r="M643" s="19" t="n">
        <x:f>'各站彙總來源'!M643</x:f>
        <x:v>26</x:v>
      </x:c>
      <x:c r="N643" s="24" t="n">
        <x:f>F643+H643</x:f>
        <x:v>12.653846153846153</x:v>
      </x:c>
      <x:c r="O643" s="24" t="n">
        <x:f>J643+L643</x:f>
        <x:v>4.961538461538462</x:v>
      </x:c>
    </x:row>
    <x:row r="644">
      <x:c r="A644" s="22" t="str">
        <x:v>500106030</x:v>
      </x:c>
      <x:c r="B644" s="17" t="str">
        <x:v>中正區</x:v>
      </x:c>
      <x:c r="C644" s="17" t="str">
        <x:v>南海和平路口西南側</x:v>
      </x:c>
      <x:c r="D644" s="18" t="n">
        <x:v>26</x:v>
      </x:c>
      <x:c r="E644" s="18" t="n">
        <x:v>26</x:v>
      </x:c>
      <x:c r="F644" s="24" t="n">
        <x:f>IFERROR('各站彙總來源'!F644/'各站彙總來源'!G644,"")</x:f>
        <x:v>5.615384615384615</x:v>
      </x:c>
      <x:c r="G644" s="19" t="n">
        <x:f>'各站彙總來源'!G644</x:f>
        <x:v>26</x:v>
      </x:c>
      <x:c r="H644" s="24" t="n">
        <x:f>IFERROR('各站彙總來源'!H644/'各站彙總來源'!I644,"")</x:f>
        <x:v>0.9230769230769231</x:v>
      </x:c>
      <x:c r="I644" s="19" t="n">
        <x:f>'各站彙總來源'!I644</x:f>
        <x:v>26</x:v>
      </x:c>
      <x:c r="J644" s="24" t="n">
        <x:f>IFERROR('各站彙總來源'!J644/'各站彙總來源'!K644,"")</x:f>
        <x:v>8.153846153846153</x:v>
      </x:c>
      <x:c r="K644" s="19" t="n">
        <x:f>'各站彙總來源'!K644</x:f>
        <x:v>26</x:v>
      </x:c>
      <x:c r="L644" s="24" t="n">
        <x:f>IFERROR('各站彙總來源'!L644/'各站彙總來源'!M644,"")</x:f>
        <x:v>1.0769230769230769</x:v>
      </x:c>
      <x:c r="M644" s="19" t="n">
        <x:f>'各站彙總來源'!M644</x:f>
        <x:v>26</x:v>
      </x:c>
      <x:c r="N644" s="24" t="n">
        <x:f>F644+H644</x:f>
        <x:v>6.538461538461538</x:v>
      </x:c>
      <x:c r="O644" s="24" t="n">
        <x:f>J644+L644</x:f>
        <x:v>9.23076923076923</x:v>
      </x:c>
    </x:row>
    <x:row r="645">
      <x:c r="A645" s="22" t="str">
        <x:v>500106031</x:v>
      </x:c>
      <x:c r="B645" s="17" t="str">
        <x:v>中正區</x:v>
      </x:c>
      <x:c r="C645" s="17" t="str">
        <x:v>莒光和平路口</x:v>
      </x:c>
      <x:c r="D645" s="18" t="n">
        <x:v>26</x:v>
      </x:c>
      <x:c r="E645" s="18" t="n">
        <x:v>26</x:v>
      </x:c>
      <x:c r="F645" s="24" t="n">
        <x:f>IFERROR('各站彙總來源'!F645/'各站彙總來源'!G645,"")</x:f>
        <x:v>8.538461538461538</x:v>
      </x:c>
      <x:c r="G645" s="19" t="n">
        <x:f>'各站彙總來源'!G645</x:f>
        <x:v>26</x:v>
      </x:c>
      <x:c r="H645" s="24" t="n">
        <x:f>IFERROR('各站彙總來源'!H645/'各站彙總來源'!I645,"")</x:f>
        <x:v>1.1153846153846154</x:v>
      </x:c>
      <x:c r="I645" s="19" t="n">
        <x:f>'各站彙總來源'!I645</x:f>
        <x:v>26</x:v>
      </x:c>
      <x:c r="J645" s="24" t="n">
        <x:f>IFERROR('各站彙總來源'!J645/'各站彙總來源'!K645,"")</x:f>
        <x:v>4.884615384615385</x:v>
      </x:c>
      <x:c r="K645" s="19" t="n">
        <x:f>'各站彙總來源'!K645</x:f>
        <x:v>26</x:v>
      </x:c>
      <x:c r="L645" s="24" t="n">
        <x:f>IFERROR('各站彙總來源'!L645/'各站彙總來源'!M645,"")</x:f>
        <x:v>0.9615384615384616</x:v>
      </x:c>
      <x:c r="M645" s="19" t="n">
        <x:f>'各站彙總來源'!M645</x:f>
        <x:v>26</x:v>
      </x:c>
      <x:c r="N645" s="24" t="n">
        <x:f>F645+H645</x:f>
        <x:v>9.653846153846153</x:v>
      </x:c>
      <x:c r="O645" s="24" t="n">
        <x:f>J645+L645</x:f>
        <x:v>5.846153846153847</x:v>
      </x:c>
    </x:row>
    <x:row r="646">
      <x:c r="A646" s="22" t="str">
        <x:v>500106037</x:v>
      </x:c>
      <x:c r="B646" s="17" t="str">
        <x:v>中正區</x:v>
      </x:c>
      <x:c r="C646" s="17" t="str">
        <x:v>水源路11_1號旁</x:v>
      </x:c>
      <x:c r="D646" s="18" t="n">
        <x:v>26</x:v>
      </x:c>
      <x:c r="E646" s="18" t="n">
        <x:v>26</x:v>
      </x:c>
      <x:c r="F646" s="24" t="n">
        <x:f>IFERROR('各站彙總來源'!F646/'各站彙總來源'!G646,"")</x:f>
        <x:v>20.346153846153847</x:v>
      </x:c>
      <x:c r="G646" s="19" t="n">
        <x:f>'各站彙總來源'!G646</x:f>
        <x:v>26</x:v>
      </x:c>
      <x:c r="H646" s="24" t="n">
        <x:f>IFERROR('各站彙總來源'!H646/'各站彙總來源'!I646,"")</x:f>
        <x:v>2.423076923076923</x:v>
      </x:c>
      <x:c r="I646" s="19" t="n">
        <x:f>'各站彙總來源'!I646</x:f>
        <x:v>26</x:v>
      </x:c>
      <x:c r="J646" s="24" t="n">
        <x:f>IFERROR('各站彙總來源'!J646/'各站彙總來源'!K646,"")</x:f>
        <x:v>3.923076923076923</x:v>
      </x:c>
      <x:c r="K646" s="19" t="n">
        <x:f>'各站彙總來源'!K646</x:f>
        <x:v>26</x:v>
      </x:c>
      <x:c r="L646" s="24" t="n">
        <x:f>IFERROR('各站彙總來源'!L646/'各站彙總來源'!M646,"")</x:f>
        <x:v>0.5384615384615384</x:v>
      </x:c>
      <x:c r="M646" s="19" t="n">
        <x:f>'各站彙總來源'!M646</x:f>
        <x:v>26</x:v>
      </x:c>
      <x:c r="N646" s="24" t="n">
        <x:f>F646+H646</x:f>
        <x:v>22.76923076923077</x:v>
      </x:c>
      <x:c r="O646" s="24" t="n">
        <x:f>J646+L646</x:f>
        <x:v>4.461538461538462</x:v>
      </x:c>
    </x:row>
    <x:row r="647">
      <x:c r="A647" s="22" t="str">
        <x:v>500106038</x:v>
      </x:c>
      <x:c r="B647" s="17" t="str">
        <x:v>中正區</x:v>
      </x:c>
      <x:c r="C647" s="17" t="str">
        <x:v>南門國中</x:v>
      </x:c>
      <x:c r="D647" s="18" t="n">
        <x:v>26</x:v>
      </x:c>
      <x:c r="E647" s="18" t="n">
        <x:v>26</x:v>
      </x:c>
      <x:c r="F647" s="24" t="n">
        <x:f>IFERROR('各站彙總來源'!F647/'各站彙總來源'!G647,"")</x:f>
        <x:v>7.615384615384615</x:v>
      </x:c>
      <x:c r="G647" s="19" t="n">
        <x:f>'各站彙總來源'!G647</x:f>
        <x:v>26</x:v>
      </x:c>
      <x:c r="H647" s="24" t="n">
        <x:f>IFERROR('各站彙總來源'!H647/'各站彙總來源'!I647,"")</x:f>
        <x:v>0.8076923076923077</x:v>
      </x:c>
      <x:c r="I647" s="19" t="n">
        <x:f>'各站彙總來源'!I647</x:f>
        <x:v>26</x:v>
      </x:c>
      <x:c r="J647" s="24" t="n">
        <x:f>IFERROR('各站彙總來源'!J647/'各站彙總來源'!K647,"")</x:f>
        <x:v>41.42307692307692</x:v>
      </x:c>
      <x:c r="K647" s="19" t="n">
        <x:f>'各站彙總來源'!K647</x:f>
        <x:v>26</x:v>
      </x:c>
      <x:c r="L647" s="24" t="n">
        <x:f>IFERROR('各站彙總來源'!L647/'各站彙總來源'!M647,"")</x:f>
        <x:v>2.4615384615384617</x:v>
      </x:c>
      <x:c r="M647" s="19" t="n">
        <x:f>'各站彙總來源'!M647</x:f>
        <x:v>26</x:v>
      </x:c>
      <x:c r="N647" s="24" t="n">
        <x:f>F647+H647</x:f>
        <x:v>8.423076923076923</x:v>
      </x:c>
      <x:c r="O647" s="24" t="n">
        <x:f>J647+L647</x:f>
        <x:v>43.88461538461538</x:v>
      </x:c>
    </x:row>
    <x:row r="648">
      <x:c r="A648" s="22" t="str">
        <x:v>500106039</x:v>
      </x:c>
      <x:c r="B648" s="17" t="str">
        <x:v>中正區</x:v>
      </x:c>
      <x:c r="C648" s="17" t="str">
        <x:v>捷運小南門站(2號出口)</x:v>
      </x:c>
      <x:c r="D648" s="18" t="n">
        <x:v>26</x:v>
      </x:c>
      <x:c r="E648" s="18" t="n">
        <x:v>26</x:v>
      </x:c>
      <x:c r="F648" s="24" t="n">
        <x:f>IFERROR('各站彙總來源'!F648/'各站彙總來源'!G648,"")</x:f>
        <x:v>6.653846153846154</x:v>
      </x:c>
      <x:c r="G648" s="19" t="n">
        <x:f>'各站彙總來源'!G648</x:f>
        <x:v>26</x:v>
      </x:c>
      <x:c r="H648" s="24" t="n">
        <x:f>IFERROR('各站彙總來源'!H648/'各站彙總來源'!I648,"")</x:f>
        <x:v>1.1153846153846154</x:v>
      </x:c>
      <x:c r="I648" s="19" t="n">
        <x:f>'各站彙總來源'!I648</x:f>
        <x:v>26</x:v>
      </x:c>
      <x:c r="J648" s="24" t="n">
        <x:f>IFERROR('各站彙總來源'!J648/'各站彙總來源'!K648,"")</x:f>
        <x:v>17.807692307692307</x:v>
      </x:c>
      <x:c r="K648" s="19" t="n">
        <x:f>'各站彙總來源'!K648</x:f>
        <x:v>26</x:v>
      </x:c>
      <x:c r="L648" s="24" t="n">
        <x:f>IFERROR('各站彙總來源'!L648/'各站彙總來源'!M648,"")</x:f>
        <x:v>2.6153846153846154</x:v>
      </x:c>
      <x:c r="M648" s="19" t="n">
        <x:f>'各站彙總來源'!M648</x:f>
        <x:v>26</x:v>
      </x:c>
      <x:c r="N648" s="24" t="n">
        <x:f>F648+H648</x:f>
        <x:v>7.76923076923077</x:v>
      </x:c>
      <x:c r="O648" s="24" t="n">
        <x:f>J648+L648</x:f>
        <x:v>20.423076923076923</x:v>
      </x:c>
    </x:row>
    <x:row r="649">
      <x:c r="A649" s="22" t="str">
        <x:v>500106040</x:v>
      </x:c>
      <x:c r="B649" s="17" t="str">
        <x:v>中正區</x:v>
      </x:c>
      <x:c r="C649" s="17" t="str">
        <x:v>介壽公園</x:v>
      </x:c>
      <x:c r="D649" s="18" t="n">
        <x:v>26</x:v>
      </x:c>
      <x:c r="E649" s="18" t="n">
        <x:v>26</x:v>
      </x:c>
      <x:c r="F649" s="24" t="n">
        <x:f>IFERROR('各站彙總來源'!F649/'各站彙總來源'!G649,"")</x:f>
        <x:v>6</x:v>
      </x:c>
      <x:c r="G649" s="19" t="n">
        <x:f>'各站彙總來源'!G649</x:f>
        <x:v>26</x:v>
      </x:c>
      <x:c r="H649" s="24" t="n">
        <x:f>IFERROR('各站彙總來源'!H649/'各站彙總來源'!I649,"")</x:f>
        <x:v>0.38461538461538464</x:v>
      </x:c>
      <x:c r="I649" s="19" t="n">
        <x:f>'各站彙總來源'!I649</x:f>
        <x:v>26</x:v>
      </x:c>
      <x:c r="J649" s="24" t="n">
        <x:f>IFERROR('各站彙總來源'!J649/'各站彙總來源'!K649,"")</x:f>
        <x:v>32.53846153846154</x:v>
      </x:c>
      <x:c r="K649" s="19" t="n">
        <x:f>'各站彙總來源'!K649</x:f>
        <x:v>26</x:v>
      </x:c>
      <x:c r="L649" s="24" t="n">
        <x:f>IFERROR('各站彙總來源'!L649/'各站彙總來源'!M649,"")</x:f>
        <x:v>1.6923076923076923</x:v>
      </x:c>
      <x:c r="M649" s="19" t="n">
        <x:f>'各站彙總來源'!M649</x:f>
        <x:v>26</x:v>
      </x:c>
      <x:c r="N649" s="24" t="n">
        <x:f>F649+H649</x:f>
        <x:v>6.384615384615385</x:v>
      </x:c>
      <x:c r="O649" s="24" t="n">
        <x:f>J649+L649</x:f>
        <x:v>34.23076923076923</x:v>
      </x:c>
    </x:row>
    <x:row r="650">
      <x:c r="A650" s="22" t="str">
        <x:v>500106041</x:v>
      </x:c>
      <x:c r="B650" s="17" t="str">
        <x:v>中正區</x:v>
      </x:c>
      <x:c r="C650" s="17" t="str">
        <x:v>中華貴陽街口</x:v>
      </x:c>
      <x:c r="D650" s="18" t="n">
        <x:v>26</x:v>
      </x:c>
      <x:c r="E650" s="18" t="n">
        <x:v>26</x:v>
      </x:c>
      <x:c r="F650" s="24" t="n">
        <x:f>IFERROR('各站彙總來源'!F650/'各站彙總來源'!G650,"")</x:f>
        <x:v>6.884615384615385</x:v>
      </x:c>
      <x:c r="G650" s="19" t="n">
        <x:f>'各站彙總來源'!G650</x:f>
        <x:v>26</x:v>
      </x:c>
      <x:c r="H650" s="24" t="n">
        <x:f>IFERROR('各站彙總來源'!H650/'各站彙總來源'!I650,"")</x:f>
        <x:v>0.38461538461538464</x:v>
      </x:c>
      <x:c r="I650" s="19" t="n">
        <x:f>'各站彙總來源'!I650</x:f>
        <x:v>26</x:v>
      </x:c>
      <x:c r="J650" s="24" t="n">
        <x:f>IFERROR('各站彙總來源'!J650/'各站彙總來源'!K650,"")</x:f>
        <x:v>8.846153846153847</x:v>
      </x:c>
      <x:c r="K650" s="19" t="n">
        <x:f>'各站彙總來源'!K650</x:f>
        <x:v>26</x:v>
      </x:c>
      <x:c r="L650" s="24" t="n">
        <x:f>IFERROR('各站彙總來源'!L650/'各站彙總來源'!M650,"")</x:f>
        <x:v>1.3461538461538463</x:v>
      </x:c>
      <x:c r="M650" s="19" t="n">
        <x:f>'各站彙總來源'!M650</x:f>
        <x:v>26</x:v>
      </x:c>
      <x:c r="N650" s="24" t="n">
        <x:f>F650+H650</x:f>
        <x:v>7.26923076923077</x:v>
      </x:c>
      <x:c r="O650" s="24" t="n">
        <x:f>J650+L650</x:f>
        <x:v>10.192307692307693</x:v>
      </x:c>
    </x:row>
    <x:row r="651">
      <x:c r="A651" s="22" t="str">
        <x:v>500106042</x:v>
      </x:c>
      <x:c r="B651" s="17" t="str">
        <x:v>中正區</x:v>
      </x:c>
      <x:c r="C651" s="17" t="str">
        <x:v>華山文創園區</x:v>
      </x:c>
      <x:c r="D651" s="18" t="n">
        <x:v>26</x:v>
      </x:c>
      <x:c r="E651" s="18" t="n">
        <x:v>26</x:v>
      </x:c>
      <x:c r="F651" s="24" t="n">
        <x:f>IFERROR('各站彙總來源'!F651/'各站彙總來源'!G651,"")</x:f>
        <x:v>6.076923076923077</x:v>
      </x:c>
      <x:c r="G651" s="19" t="n">
        <x:f>'各站彙總來源'!G651</x:f>
        <x:v>26</x:v>
      </x:c>
      <x:c r="H651" s="24" t="n">
        <x:f>IFERROR('各站彙總來源'!H651/'各站彙總來源'!I651,"")</x:f>
        <x:v>0.5384615384615384</x:v>
      </x:c>
      <x:c r="I651" s="19" t="n">
        <x:f>'各站彙總來源'!I651</x:f>
        <x:v>26</x:v>
      </x:c>
      <x:c r="J651" s="24" t="n">
        <x:f>IFERROR('各站彙總來源'!J651/'各站彙總來源'!K651,"")</x:f>
        <x:v>24.576923076923077</x:v>
      </x:c>
      <x:c r="K651" s="19" t="n">
        <x:f>'各站彙總來源'!K651</x:f>
        <x:v>26</x:v>
      </x:c>
      <x:c r="L651" s="24" t="n">
        <x:f>IFERROR('各站彙總來源'!L651/'各站彙總來源'!M651,"")</x:f>
        <x:v>3.8461538461538463</x:v>
      </x:c>
      <x:c r="M651" s="19" t="n">
        <x:f>'各站彙總來源'!M651</x:f>
        <x:v>26</x:v>
      </x:c>
      <x:c r="N651" s="24" t="n">
        <x:f>F651+H651</x:f>
        <x:v>6.615384615384615</x:v>
      </x:c>
      <x:c r="O651" s="24" t="n">
        <x:f>J651+L651</x:f>
        <x:v>28.423076923076923</x:v>
      </x:c>
    </x:row>
    <x:row r="652">
      <x:c r="A652" s="22" t="str">
        <x:v>500106043</x:v>
      </x:c>
      <x:c r="B652" s="17" t="str">
        <x:v>中正區</x:v>
      </x:c>
      <x:c r="C652" s="17" t="str">
        <x:v>捷運善導寺站(1號出口)</x:v>
      </x:c>
      <x:c r="D652" s="18" t="n">
        <x:v>26</x:v>
      </x:c>
      <x:c r="E652" s="18" t="n">
        <x:v>26</x:v>
      </x:c>
      <x:c r="F652" s="24" t="n">
        <x:f>IFERROR('各站彙總來源'!F652/'各站彙總來源'!G652,"")</x:f>
        <x:v>4.884615384615385</x:v>
      </x:c>
      <x:c r="G652" s="19" t="n">
        <x:f>'各站彙總來源'!G652</x:f>
        <x:v>26</x:v>
      </x:c>
      <x:c r="H652" s="24" t="n">
        <x:f>IFERROR('各站彙總來源'!H652/'各站彙總來源'!I652,"")</x:f>
        <x:v>0.9230769230769231</x:v>
      </x:c>
      <x:c r="I652" s="19" t="n">
        <x:f>'各站彙總來源'!I652</x:f>
        <x:v>26</x:v>
      </x:c>
      <x:c r="J652" s="24" t="n">
        <x:f>IFERROR('各站彙總來源'!J652/'各站彙總來源'!K652,"")</x:f>
        <x:v>14.384615384615385</x:v>
      </x:c>
      <x:c r="K652" s="19" t="n">
        <x:f>'各站彙總來源'!K652</x:f>
        <x:v>26</x:v>
      </x:c>
      <x:c r="L652" s="24" t="n">
        <x:f>IFERROR('各站彙總來源'!L652/'各站彙總來源'!M652,"")</x:f>
        <x:v>2.1153846153846154</x:v>
      </x:c>
      <x:c r="M652" s="19" t="n">
        <x:f>'各站彙總來源'!M652</x:f>
        <x:v>26</x:v>
      </x:c>
      <x:c r="N652" s="24" t="n">
        <x:f>F652+H652</x:f>
        <x:v>5.807692307692308</x:v>
      </x:c>
      <x:c r="O652" s="24" t="n">
        <x:f>J652+L652</x:f>
        <x:v>16.5</x:v>
      </x:c>
    </x:row>
    <x:row r="653">
      <x:c r="A653" s="22" t="str">
        <x:v>500106044</x:v>
      </x:c>
      <x:c r="B653" s="17" t="str">
        <x:v>中正區</x:v>
      </x:c>
      <x:c r="C653" s="17" t="str">
        <x:v>濟南紹興路口</x:v>
      </x:c>
      <x:c r="D653" s="18" t="n">
        <x:v>26</x:v>
      </x:c>
      <x:c r="E653" s="18" t="n">
        <x:v>26</x:v>
      </x:c>
      <x:c r="F653" s="24" t="n">
        <x:f>IFERROR('各站彙總來源'!F653/'各站彙總來源'!G653,"")</x:f>
        <x:v>3.6538461538461537</x:v>
      </x:c>
      <x:c r="G653" s="19" t="n">
        <x:f>'各站彙總來源'!G653</x:f>
        <x:v>26</x:v>
      </x:c>
      <x:c r="H653" s="24" t="n">
        <x:f>IFERROR('各站彙總來源'!H653/'各站彙總來源'!I653,"")</x:f>
        <x:v>1.6923076923076923</x:v>
      </x:c>
      <x:c r="I653" s="19" t="n">
        <x:f>'各站彙總來源'!I653</x:f>
        <x:v>26</x:v>
      </x:c>
      <x:c r="J653" s="24" t="n">
        <x:f>IFERROR('各站彙總來源'!J653/'各站彙總來源'!K653,"")</x:f>
        <x:v>10.461538461538462</x:v>
      </x:c>
      <x:c r="K653" s="19" t="n">
        <x:f>'各站彙總來源'!K653</x:f>
        <x:v>26</x:v>
      </x:c>
      <x:c r="L653" s="24" t="n">
        <x:f>IFERROR('各站彙總來源'!L653/'各站彙總來源'!M653,"")</x:f>
        <x:v>3.8846153846153846</x:v>
      </x:c>
      <x:c r="M653" s="19" t="n">
        <x:f>'各站彙總來源'!M653</x:f>
        <x:v>26</x:v>
      </x:c>
      <x:c r="N653" s="24" t="n">
        <x:f>F653+H653</x:f>
        <x:v>5.346153846153846</x:v>
      </x:c>
      <x:c r="O653" s="24" t="n">
        <x:f>J653+L653</x:f>
        <x:v>14.346153846153847</x:v>
      </x:c>
    </x:row>
    <x:row r="654">
      <x:c r="A654" s="22" t="str">
        <x:v>500106045</x:v>
      </x:c>
      <x:c r="B654" s="17" t="str">
        <x:v>中正區</x:v>
      </x:c>
      <x:c r="C654" s="17" t="str">
        <x:v>東門市場</x:v>
      </x:c>
      <x:c r="D654" s="18" t="n">
        <x:v>26</x:v>
      </x:c>
      <x:c r="E654" s="18" t="n">
        <x:v>26</x:v>
      </x:c>
      <x:c r="F654" s="24" t="n">
        <x:f>IFERROR('各站彙總來源'!F654/'各站彙總來源'!G654,"")</x:f>
        <x:v>0</x:v>
      </x:c>
      <x:c r="G654" s="19" t="n">
        <x:f>'各站彙總來源'!G654</x:f>
        <x:v>26</x:v>
      </x:c>
      <x:c r="H654" s="24" t="n">
        <x:f>IFERROR('各站彙總來源'!H654/'各站彙總來源'!I654,"")</x:f>
        <x:v>0</x:v>
      </x:c>
      <x:c r="I654" s="19" t="n">
        <x:f>'各站彙總來源'!I654</x:f>
        <x:v>26</x:v>
      </x:c>
      <x:c r="J654" s="24" t="n">
        <x:f>IFERROR('各站彙總來源'!J654/'各站彙總來源'!K654,"")</x:f>
        <x:v>0</x:v>
      </x:c>
      <x:c r="K654" s="19" t="n">
        <x:f>'各站彙總來源'!K654</x:f>
        <x:v>26</x:v>
      </x:c>
      <x:c r="L654" s="24" t="n">
        <x:f>IFERROR('各站彙總來源'!L654/'各站彙總來源'!M654,"")</x:f>
        <x:v>0</x:v>
      </x:c>
      <x:c r="M654" s="19" t="n">
        <x:f>'各站彙總來源'!M654</x:f>
        <x:v>26</x:v>
      </x:c>
      <x:c r="N654" s="24" t="n">
        <x:f>F654+H654</x:f>
        <x:v>0</x:v>
      </x:c>
      <x:c r="O654" s="24" t="n">
        <x:f>J654+L654</x:f>
        <x:v>0</x:v>
      </x:c>
    </x:row>
    <x:row r="655">
      <x:c r="A655" s="22" t="str">
        <x:v>500106046</x:v>
      </x:c>
      <x:c r="B655" s="17" t="str">
        <x:v>中正區</x:v>
      </x:c>
      <x:c r="C655" s="17" t="str">
        <x:v>林森仁愛路口</x:v>
      </x:c>
      <x:c r="D655" s="18" t="n">
        <x:v>26</x:v>
      </x:c>
      <x:c r="E655" s="18" t="n">
        <x:v>26</x:v>
      </x:c>
      <x:c r="F655" s="24" t="n">
        <x:f>IFERROR('各站彙總來源'!F655/'各站彙總來源'!G655,"")</x:f>
        <x:v>3.076923076923077</x:v>
      </x:c>
      <x:c r="G655" s="19" t="n">
        <x:f>'各站彙總來源'!G655</x:f>
        <x:v>26</x:v>
      </x:c>
      <x:c r="H655" s="24" t="n">
        <x:f>IFERROR('各站彙總來源'!H655/'各站彙總來源'!I655,"")</x:f>
        <x:v>0.2692307692307692</x:v>
      </x:c>
      <x:c r="I655" s="19" t="n">
        <x:f>'各站彙總來源'!I655</x:f>
        <x:v>26</x:v>
      </x:c>
      <x:c r="J655" s="24" t="n">
        <x:f>IFERROR('各站彙總來源'!J655/'各站彙總來源'!K655,"")</x:f>
        <x:v>19.884615384615383</x:v>
      </x:c>
      <x:c r="K655" s="19" t="n">
        <x:f>'各站彙總來源'!K655</x:f>
        <x:v>26</x:v>
      </x:c>
      <x:c r="L655" s="24" t="n">
        <x:f>IFERROR('各站彙總來源'!L655/'各站彙總來源'!M655,"")</x:f>
        <x:v>2.3076923076923075</x:v>
      </x:c>
      <x:c r="M655" s="19" t="n">
        <x:f>'各站彙總來源'!M655</x:f>
        <x:v>26</x:v>
      </x:c>
      <x:c r="N655" s="24" t="n">
        <x:f>F655+H655</x:f>
        <x:v>3.3461538461538463</x:v>
      </x:c>
      <x:c r="O655" s="24" t="n">
        <x:f>J655+L655</x:f>
        <x:v>22.19230769230769</x:v>
      </x:c>
    </x:row>
    <x:row r="656">
      <x:c r="A656" s="22" t="str">
        <x:v>500106047</x:v>
      </x:c>
      <x:c r="B656" s="17" t="str">
        <x:v>中正區</x:v>
      </x:c>
      <x:c r="C656" s="17" t="str">
        <x:v>中正運動中心</x:v>
      </x:c>
      <x:c r="D656" s="18" t="n">
        <x:v>26</x:v>
      </x:c>
      <x:c r="E656" s="18" t="n">
        <x:v>26</x:v>
      </x:c>
      <x:c r="F656" s="24" t="n">
        <x:f>IFERROR('各站彙總來源'!F656/'各站彙總來源'!G656,"")</x:f>
        <x:v>20.96153846153846</x:v>
      </x:c>
      <x:c r="G656" s="19" t="n">
        <x:f>'各站彙總來源'!G656</x:f>
        <x:v>26</x:v>
      </x:c>
      <x:c r="H656" s="24" t="n">
        <x:f>IFERROR('各站彙總來源'!H656/'各站彙總來源'!I656,"")</x:f>
        <x:v>2.730769230769231</x:v>
      </x:c>
      <x:c r="I656" s="19" t="n">
        <x:f>'各站彙總來源'!I656</x:f>
        <x:v>26</x:v>
      </x:c>
      <x:c r="J656" s="24" t="n">
        <x:f>IFERROR('各站彙總來源'!J656/'各站彙總來源'!K656,"")</x:f>
        <x:v>25.346153846153847</x:v>
      </x:c>
      <x:c r="K656" s="19" t="n">
        <x:f>'各站彙總來源'!K656</x:f>
        <x:v>26</x:v>
      </x:c>
      <x:c r="L656" s="24" t="n">
        <x:f>IFERROR('各站彙總來源'!L656/'各站彙總來源'!M656,"")</x:f>
        <x:v>8.115384615384615</x:v>
      </x:c>
      <x:c r="M656" s="19" t="n">
        <x:f>'各站彙總來源'!M656</x:f>
        <x:v>26</x:v>
      </x:c>
      <x:c r="N656" s="24" t="n">
        <x:f>F656+H656</x:f>
        <x:v>23.69230769230769</x:v>
      </x:c>
      <x:c r="O656" s="24" t="n">
        <x:f>J656+L656</x:f>
        <x:v>33.46153846153846</x:v>
      </x:c>
    </x:row>
    <x:row r="657">
      <x:c r="A657" s="22" t="str">
        <x:v>500106048</x:v>
      </x:c>
      <x:c r="B657" s="17" t="str">
        <x:v>中正區</x:v>
      </x:c>
      <x:c r="C657" s="17" t="str">
        <x:v>信義杭州路口</x:v>
      </x:c>
      <x:c r="D657" s="18" t="n">
        <x:v>26</x:v>
      </x:c>
      <x:c r="E657" s="18" t="n">
        <x:v>26</x:v>
      </x:c>
      <x:c r="F657" s="24" t="n">
        <x:f>IFERROR('各站彙總來源'!F657/'各站彙總來源'!G657,"")</x:f>
        <x:v>10.615384615384615</x:v>
      </x:c>
      <x:c r="G657" s="19" t="n">
        <x:f>'各站彙總來源'!G657</x:f>
        <x:v>26</x:v>
      </x:c>
      <x:c r="H657" s="24" t="n">
        <x:f>IFERROR('各站彙總來源'!H657/'各站彙總來源'!I657,"")</x:f>
        <x:v>2.0384615384615383</x:v>
      </x:c>
      <x:c r="I657" s="19" t="n">
        <x:f>'各站彙總來源'!I657</x:f>
        <x:v>26</x:v>
      </x:c>
      <x:c r="J657" s="24" t="n">
        <x:f>IFERROR('各站彙總來源'!J657/'各站彙總來源'!K657,"")</x:f>
        <x:v>24.115384615384617</x:v>
      </x:c>
      <x:c r="K657" s="19" t="n">
        <x:f>'各站彙總來源'!K657</x:f>
        <x:v>26</x:v>
      </x:c>
      <x:c r="L657" s="24" t="n">
        <x:f>IFERROR('各站彙總來源'!L657/'各站彙總來源'!M657,"")</x:f>
        <x:v>2.8846153846153846</x:v>
      </x:c>
      <x:c r="M657" s="19" t="n">
        <x:f>'各站彙總來源'!M657</x:f>
        <x:v>26</x:v>
      </x:c>
      <x:c r="N657" s="24" t="n">
        <x:f>F657+H657</x:f>
        <x:v>12.653846153846153</x:v>
      </x:c>
      <x:c r="O657" s="24" t="n">
        <x:f>J657+L657</x:f>
        <x:v>27</x:v>
      </x:c>
    </x:row>
    <x:row r="658">
      <x:c r="A658" s="22" t="str">
        <x:v>500106049</x:v>
      </x:c>
      <x:c r="B658" s="17" t="str">
        <x:v>中正區</x:v>
      </x:c>
      <x:c r="C658" s="17" t="str">
        <x:v>捷運善導寺站(3號出口)</x:v>
      </x:c>
      <x:c r="D658" s="18" t="n">
        <x:v>26</x:v>
      </x:c>
      <x:c r="E658" s="18" t="n">
        <x:v>26</x:v>
      </x:c>
      <x:c r="F658" s="24" t="n">
        <x:f>IFERROR('各站彙總來源'!F658/'各站彙總來源'!G658,"")</x:f>
        <x:v>3.230769230769231</x:v>
      </x:c>
      <x:c r="G658" s="19" t="n">
        <x:f>'各站彙總來源'!G658</x:f>
        <x:v>26</x:v>
      </x:c>
      <x:c r="H658" s="24" t="n">
        <x:f>IFERROR('各站彙總來源'!H658/'各站彙總來源'!I658,"")</x:f>
        <x:v>0.6153846153846154</x:v>
      </x:c>
      <x:c r="I658" s="19" t="n">
        <x:f>'各站彙總來源'!I658</x:f>
        <x:v>26</x:v>
      </x:c>
      <x:c r="J658" s="24" t="n">
        <x:f>IFERROR('各站彙總來源'!J658/'各站彙總來源'!K658,"")</x:f>
        <x:v>9.961538461538462</x:v>
      </x:c>
      <x:c r="K658" s="19" t="n">
        <x:f>'各站彙總來源'!K658</x:f>
        <x:v>26</x:v>
      </x:c>
      <x:c r="L658" s="24" t="n">
        <x:f>IFERROR('各站彙總來源'!L658/'各站彙總來源'!M658,"")</x:f>
        <x:v>1.2307692307692308</x:v>
      </x:c>
      <x:c r="M658" s="19" t="n">
        <x:f>'各站彙總來源'!M658</x:f>
        <x:v>26</x:v>
      </x:c>
      <x:c r="N658" s="24" t="n">
        <x:f>F658+H658</x:f>
        <x:v>3.8461538461538463</x:v>
      </x:c>
      <x:c r="O658" s="24" t="n">
        <x:f>J658+L658</x:f>
        <x:v>11.192307692307693</x:v>
      </x:c>
    </x:row>
    <x:row r="659">
      <x:c r="A659" s="22" t="str">
        <x:v>500106050</x:v>
      </x:c>
      <x:c r="B659" s="17" t="str">
        <x:v>中正區</x:v>
      </x:c>
      <x:c r="C659" s="17" t="str">
        <x:v>捷運小南門站(1號出口)</x:v>
      </x:c>
      <x:c r="D659" s="18" t="n">
        <x:v>26</x:v>
      </x:c>
      <x:c r="E659" s="18" t="n">
        <x:v>26</x:v>
      </x:c>
      <x:c r="F659" s="24" t="n">
        <x:f>IFERROR('各站彙總來源'!F659/'各站彙總來源'!G659,"")</x:f>
        <x:v>9.26923076923077</x:v>
      </x:c>
      <x:c r="G659" s="19" t="n">
        <x:f>'各站彙總來源'!G659</x:f>
        <x:v>26</x:v>
      </x:c>
      <x:c r="H659" s="24" t="n">
        <x:f>IFERROR('各站彙總來源'!H659/'各站彙總來源'!I659,"")</x:f>
        <x:v>0.6538461538461539</x:v>
      </x:c>
      <x:c r="I659" s="19" t="n">
        <x:f>'各站彙總來源'!I659</x:f>
        <x:v>26</x:v>
      </x:c>
      <x:c r="J659" s="24" t="n">
        <x:f>IFERROR('各站彙總來源'!J659/'各站彙總來源'!K659,"")</x:f>
        <x:v>23.76923076923077</x:v>
      </x:c>
      <x:c r="K659" s="19" t="n">
        <x:f>'各站彙總來源'!K659</x:f>
        <x:v>26</x:v>
      </x:c>
      <x:c r="L659" s="24" t="n">
        <x:f>IFERROR('各站彙總來源'!L659/'各站彙總來源'!M659,"")</x:f>
        <x:v>2.6538461538461537</x:v>
      </x:c>
      <x:c r="M659" s="19" t="n">
        <x:f>'各站彙總來源'!M659</x:f>
        <x:v>26</x:v>
      </x:c>
      <x:c r="N659" s="24" t="n">
        <x:f>F659+H659</x:f>
        <x:v>9.923076923076923</x:v>
      </x:c>
      <x:c r="O659" s="24" t="n">
        <x:f>J659+L659</x:f>
        <x:v>26.423076923076923</x:v>
      </x:c>
    </x:row>
    <x:row r="660">
      <x:c r="A660" s="22" t="str">
        <x:v>500106051</x:v>
      </x:c>
      <x:c r="B660" s="17" t="str">
        <x:v>中正區</x:v>
      </x:c>
      <x:c r="C660" s="17" t="str">
        <x:v>延平南路133巷口</x:v>
      </x:c>
      <x:c r="D660" s="18" t="n">
        <x:v>26</x:v>
      </x:c>
      <x:c r="E660" s="18" t="n">
        <x:v>26</x:v>
      </x:c>
      <x:c r="F660" s="24" t="n">
        <x:f>IFERROR('各站彙總來源'!F660/'各站彙總來源'!G660,"")</x:f>
        <x:v>3.9615384615384617</x:v>
      </x:c>
      <x:c r="G660" s="19" t="n">
        <x:f>'各站彙總來源'!G660</x:f>
        <x:v>26</x:v>
      </x:c>
      <x:c r="H660" s="24" t="n">
        <x:f>IFERROR('各站彙總來源'!H660/'各站彙總來源'!I660,"")</x:f>
        <x:v>0.9615384615384616</x:v>
      </x:c>
      <x:c r="I660" s="19" t="n">
        <x:f>'各站彙總來源'!I660</x:f>
        <x:v>26</x:v>
      </x:c>
      <x:c r="J660" s="24" t="n">
        <x:f>IFERROR('各站彙總來源'!J660/'各站彙總來源'!K660,"")</x:f>
        <x:v>21.692307692307693</x:v>
      </x:c>
      <x:c r="K660" s="19" t="n">
        <x:f>'各站彙總來源'!K660</x:f>
        <x:v>26</x:v>
      </x:c>
      <x:c r="L660" s="24" t="n">
        <x:f>IFERROR('各站彙總來源'!L660/'各站彙總來源'!M660,"")</x:f>
        <x:v>4.653846153846154</x:v>
      </x:c>
      <x:c r="M660" s="19" t="n">
        <x:f>'各站彙總來源'!M660</x:f>
        <x:v>26</x:v>
      </x:c>
      <x:c r="N660" s="24" t="n">
        <x:f>F660+H660</x:f>
        <x:v>4.923076923076923</x:v>
      </x:c>
      <x:c r="O660" s="24" t="n">
        <x:f>J660+L660</x:f>
        <x:v>26.346153846153847</x:v>
      </x:c>
    </x:row>
    <x:row r="661">
      <x:c r="A661" s="22" t="str">
        <x:v>500106052</x:v>
      </x:c>
      <x:c r="B661" s="17" t="str">
        <x:v>中正區</x:v>
      </x:c>
      <x:c r="C661" s="17" t="str">
        <x:v>捷運西門站(2號出口)</x:v>
      </x:c>
      <x:c r="D661" s="18" t="n">
        <x:v>26</x:v>
      </x:c>
      <x:c r="E661" s="18" t="n">
        <x:v>26</x:v>
      </x:c>
      <x:c r="F661" s="24" t="n">
        <x:f>IFERROR('各站彙總來源'!F661/'各站彙總來源'!G661,"")</x:f>
        <x:v>12.153846153846153</x:v>
      </x:c>
      <x:c r="G661" s="19" t="n">
        <x:f>'各站彙總來源'!G661</x:f>
        <x:v>26</x:v>
      </x:c>
      <x:c r="H661" s="24" t="n">
        <x:f>IFERROR('各站彙總來源'!H661/'各站彙總來源'!I661,"")</x:f>
        <x:v>1.3846153846153846</x:v>
      </x:c>
      <x:c r="I661" s="19" t="n">
        <x:f>'各站彙總來源'!I661</x:f>
        <x:v>26</x:v>
      </x:c>
      <x:c r="J661" s="24" t="n">
        <x:f>IFERROR('各站彙總來源'!J661/'各站彙總來源'!K661,"")</x:f>
        <x:v>10.807692307692308</x:v>
      </x:c>
      <x:c r="K661" s="19" t="n">
        <x:f>'各站彙總來源'!K661</x:f>
        <x:v>26</x:v>
      </x:c>
      <x:c r="L661" s="24" t="n">
        <x:f>IFERROR('各站彙總來源'!L661/'各站彙總來源'!M661,"")</x:f>
        <x:v>1.3461538461538463</x:v>
      </x:c>
      <x:c r="M661" s="19" t="n">
        <x:f>'各站彙總來源'!M661</x:f>
        <x:v>26</x:v>
      </x:c>
      <x:c r="N661" s="24" t="n">
        <x:f>F661+H661</x:f>
        <x:v>13.538461538461538</x:v>
      </x:c>
      <x:c r="O661" s="24" t="n">
        <x:f>J661+L661</x:f>
        <x:v>12.153846153846155</x:v>
      </x:c>
    </x:row>
    <x:row r="662">
      <x:c r="A662" s="22" t="str">
        <x:v>500106053</x:v>
      </x:c>
      <x:c r="B662" s="17" t="str">
        <x:v>中正區</x:v>
      </x:c>
      <x:c r="C662" s="17" t="str">
        <x:v>寶慶博愛路口</x:v>
      </x:c>
      <x:c r="D662" s="18" t="n">
        <x:v>26</x:v>
      </x:c>
      <x:c r="E662" s="18" t="n">
        <x:v>26</x:v>
      </x:c>
      <x:c r="F662" s="24" t="n">
        <x:f>IFERROR('各站彙總來源'!F662/'各站彙總來源'!G662,"")</x:f>
        <x:v>3.8846153846153846</x:v>
      </x:c>
      <x:c r="G662" s="19" t="n">
        <x:f>'各站彙總來源'!G662</x:f>
        <x:v>26</x:v>
      </x:c>
      <x:c r="H662" s="24" t="n">
        <x:f>IFERROR('各站彙總來源'!H662/'各站彙總來源'!I662,"")</x:f>
        <x:v>1.1153846153846154</x:v>
      </x:c>
      <x:c r="I662" s="19" t="n">
        <x:f>'各站彙總來源'!I662</x:f>
        <x:v>26</x:v>
      </x:c>
      <x:c r="J662" s="24" t="n">
        <x:f>IFERROR('各站彙總來源'!J662/'各站彙總來源'!K662,"")</x:f>
        <x:v>37.84615384615385</x:v>
      </x:c>
      <x:c r="K662" s="19" t="n">
        <x:f>'各站彙總來源'!K662</x:f>
        <x:v>26</x:v>
      </x:c>
      <x:c r="L662" s="24" t="n">
        <x:f>IFERROR('各站彙總來源'!L662/'各站彙總來源'!M662,"")</x:f>
        <x:v>2.3846153846153846</x:v>
      </x:c>
      <x:c r="M662" s="19" t="n">
        <x:f>'各站彙總來源'!M662</x:f>
        <x:v>26</x:v>
      </x:c>
      <x:c r="N662" s="24" t="n">
        <x:f>F662+H662</x:f>
        <x:v>5</x:v>
      </x:c>
      <x:c r="O662" s="24" t="n">
        <x:f>J662+L662</x:f>
        <x:v>40.23076923076923</x:v>
      </x:c>
    </x:row>
    <x:row r="663">
      <x:c r="A663" s="22" t="str">
        <x:v>500106054</x:v>
      </x:c>
      <x:c r="B663" s="17" t="str">
        <x:v>中正區</x:v>
      </x:c>
      <x:c r="C663" s="17" t="str">
        <x:v>法務部</x:v>
      </x:c>
      <x:c r="D663" s="18" t="n">
        <x:v>26</x:v>
      </x:c>
      <x:c r="E663" s="18" t="n">
        <x:v>26</x:v>
      </x:c>
      <x:c r="F663" s="24" t="n">
        <x:f>IFERROR('各站彙總來源'!F663/'各站彙總來源'!G663,"")</x:f>
        <x:v>4.346153846153846</x:v>
      </x:c>
      <x:c r="G663" s="19" t="n">
        <x:f>'各站彙總來源'!G663</x:f>
        <x:v>26</x:v>
      </x:c>
      <x:c r="H663" s="24" t="n">
        <x:f>IFERROR('各站彙總來源'!H663/'各站彙總來源'!I663,"")</x:f>
        <x:v>0.6153846153846154</x:v>
      </x:c>
      <x:c r="I663" s="19" t="n">
        <x:f>'各站彙總來源'!I663</x:f>
        <x:v>26</x:v>
      </x:c>
      <x:c r="J663" s="24" t="n">
        <x:f>IFERROR('各站彙總來源'!J663/'各站彙總來源'!K663,"")</x:f>
        <x:v>46.88461538461539</x:v>
      </x:c>
      <x:c r="K663" s="19" t="n">
        <x:f>'各站彙總來源'!K663</x:f>
        <x:v>26</x:v>
      </x:c>
      <x:c r="L663" s="24" t="n">
        <x:f>IFERROR('各站彙總來源'!L663/'各站彙總來源'!M663,"")</x:f>
        <x:v>2.730769230769231</x:v>
      </x:c>
      <x:c r="M663" s="19" t="n">
        <x:f>'各站彙總來源'!M663</x:f>
        <x:v>26</x:v>
      </x:c>
      <x:c r="N663" s="24" t="n">
        <x:f>F663+H663</x:f>
        <x:v>4.961538461538462</x:v>
      </x:c>
      <x:c r="O663" s="24" t="n">
        <x:f>J663+L663</x:f>
        <x:v>49.61538461538462</x:v>
      </x:c>
    </x:row>
    <x:row r="664">
      <x:c r="A664" s="22" t="str">
        <x:v>500106055</x:v>
      </x:c>
      <x:c r="B664" s="17" t="str">
        <x:v>中正區</x:v>
      </x:c>
      <x:c r="C664" s="17" t="str">
        <x:v>臺北市立大學(博愛校區)</x:v>
      </x:c>
      <x:c r="D664" s="18" t="n">
        <x:v>26</x:v>
      </x:c>
      <x:c r="E664" s="18" t="n">
        <x:v>26</x:v>
      </x:c>
      <x:c r="F664" s="24" t="n">
        <x:f>IFERROR('各站彙總來源'!F664/'各站彙總來源'!G664,"")</x:f>
        <x:v>10.076923076923077</x:v>
      </x:c>
      <x:c r="G664" s="19" t="n">
        <x:f>'各站彙總來源'!G664</x:f>
        <x:v>26</x:v>
      </x:c>
      <x:c r="H664" s="24" t="n">
        <x:f>IFERROR('各站彙總來源'!H664/'各站彙總來源'!I664,"")</x:f>
        <x:v>0.7692307692307693</x:v>
      </x:c>
      <x:c r="I664" s="19" t="n">
        <x:f>'各站彙總來源'!I664</x:f>
        <x:v>26</x:v>
      </x:c>
      <x:c r="J664" s="24" t="n">
        <x:f>IFERROR('各站彙總來源'!J664/'各站彙總來源'!K664,"")</x:f>
        <x:v>43.07692307692308</x:v>
      </x:c>
      <x:c r="K664" s="19" t="n">
        <x:f>'各站彙總來源'!K664</x:f>
        <x:v>26</x:v>
      </x:c>
      <x:c r="L664" s="24" t="n">
        <x:f>IFERROR('各站彙總來源'!L664/'各站彙總來源'!M664,"")</x:f>
        <x:v>4.076923076923077</x:v>
      </x:c>
      <x:c r="M664" s="19" t="n">
        <x:f>'各站彙總來源'!M664</x:f>
        <x:v>26</x:v>
      </x:c>
      <x:c r="N664" s="24" t="n">
        <x:f>F664+H664</x:f>
        <x:v>10.846153846153847</x:v>
      </x:c>
      <x:c r="O664" s="24" t="n">
        <x:f>J664+L664</x:f>
        <x:v>47.15384615384616</x:v>
      </x:c>
    </x:row>
    <x:row r="665">
      <x:c r="A665" s="22" t="str">
        <x:v>500106056</x:v>
      </x:c>
      <x:c r="B665" s="17" t="str">
        <x:v>中正區</x:v>
      </x:c>
      <x:c r="C665" s="17" t="str">
        <x:v>國家圖書館</x:v>
      </x:c>
      <x:c r="D665" s="18" t="n">
        <x:v>26</x:v>
      </x:c>
      <x:c r="E665" s="18" t="n">
        <x:v>26</x:v>
      </x:c>
      <x:c r="F665" s="24" t="n">
        <x:f>IFERROR('各站彙總來源'!F665/'各站彙總來源'!G665,"")</x:f>
        <x:v>4.230769230769231</x:v>
      </x:c>
      <x:c r="G665" s="19" t="n">
        <x:f>'各站彙總來源'!G665</x:f>
        <x:v>26</x:v>
      </x:c>
      <x:c r="H665" s="24" t="n">
        <x:f>IFERROR('各站彙總來源'!H665/'各站彙總來源'!I665,"")</x:f>
        <x:v>0.5</x:v>
      </x:c>
      <x:c r="I665" s="19" t="n">
        <x:f>'各站彙總來源'!I665</x:f>
        <x:v>26</x:v>
      </x:c>
      <x:c r="J665" s="24" t="n">
        <x:f>IFERROR('各站彙總來源'!J665/'各站彙總來源'!K665,"")</x:f>
        <x:v>46.53846153846154</x:v>
      </x:c>
      <x:c r="K665" s="19" t="n">
        <x:f>'各站彙總來源'!K665</x:f>
        <x:v>26</x:v>
      </x:c>
      <x:c r="L665" s="24" t="n">
        <x:f>IFERROR('各站彙總來源'!L665/'各站彙總來源'!M665,"")</x:f>
        <x:v>3.230769230769231</x:v>
      </x:c>
      <x:c r="M665" s="19" t="n">
        <x:f>'各站彙總來源'!M665</x:f>
        <x:v>26</x:v>
      </x:c>
      <x:c r="N665" s="24" t="n">
        <x:f>F665+H665</x:f>
        <x:v>4.730769230769231</x:v>
      </x:c>
      <x:c r="O665" s="24" t="n">
        <x:f>J665+L665</x:f>
        <x:v>49.769230769230774</x:v>
      </x:c>
    </x:row>
    <x:row r="666">
      <x:c r="A666" s="22" t="str">
        <x:v>500106057</x:v>
      </x:c>
      <x:c r="B666" s="17" t="str">
        <x:v>中正區</x:v>
      </x:c>
      <x:c r="C666" s="17" t="str">
        <x:v>市民金山路口</x:v>
      </x:c>
      <x:c r="D666" s="18" t="n">
        <x:v>26</x:v>
      </x:c>
      <x:c r="E666" s="18" t="n">
        <x:v>26</x:v>
      </x:c>
      <x:c r="F666" s="24" t="n">
        <x:f>IFERROR('各站彙總來源'!F666/'各站彙總來源'!G666,"")</x:f>
        <x:v>6.576923076923077</x:v>
      </x:c>
      <x:c r="G666" s="19" t="n">
        <x:f>'各站彙總來源'!G666</x:f>
        <x:v>26</x:v>
      </x:c>
      <x:c r="H666" s="24" t="n">
        <x:f>IFERROR('各站彙總來源'!H666/'各站彙總來源'!I666,"")</x:f>
        <x:v>1.7692307692307692</x:v>
      </x:c>
      <x:c r="I666" s="19" t="n">
        <x:f>'各站彙總來源'!I666</x:f>
        <x:v>26</x:v>
      </x:c>
      <x:c r="J666" s="24" t="n">
        <x:f>IFERROR('各站彙總來源'!J666/'各站彙總來源'!K666,"")</x:f>
        <x:v>18.153846153846153</x:v>
      </x:c>
      <x:c r="K666" s="19" t="n">
        <x:f>'各站彙總來源'!K666</x:f>
        <x:v>26</x:v>
      </x:c>
      <x:c r="L666" s="24" t="n">
        <x:f>IFERROR('各站彙總來源'!L666/'各站彙總來源'!M666,"")</x:f>
        <x:v>4.038461538461538</x:v>
      </x:c>
      <x:c r="M666" s="19" t="n">
        <x:f>'各站彙總來源'!M666</x:f>
        <x:v>26</x:v>
      </x:c>
      <x:c r="N666" s="24" t="n">
        <x:f>F666+H666</x:f>
        <x:v>8.346153846153847</x:v>
      </x:c>
      <x:c r="O666" s="24" t="n">
        <x:f>J666+L666</x:f>
        <x:v>22.192307692307693</x:v>
      </x:c>
    </x:row>
    <x:row r="667">
      <x:c r="A667" s="22" t="str">
        <x:v>500106058</x:v>
      </x:c>
      <x:c r="B667" s="17" t="str">
        <x:v>中正區</x:v>
      </x:c>
      <x:c r="C667" s="17" t="str">
        <x:v>聯合醫院和平院區</x:v>
      </x:c>
      <x:c r="D667" s="18" t="n">
        <x:v>26</x:v>
      </x:c>
      <x:c r="E667" s="18" t="n">
        <x:v>26</x:v>
      </x:c>
      <x:c r="F667" s="24" t="n">
        <x:f>IFERROR('各站彙總來源'!F667/'各站彙總來源'!G667,"")</x:f>
        <x:v>5.115384615384615</x:v>
      </x:c>
      <x:c r="G667" s="19" t="n">
        <x:f>'各站彙總來源'!G667</x:f>
        <x:v>26</x:v>
      </x:c>
      <x:c r="H667" s="24" t="n">
        <x:f>IFERROR('各站彙總來源'!H667/'各站彙總來源'!I667,"")</x:f>
        <x:v>1.1923076923076923</x:v>
      </x:c>
      <x:c r="I667" s="19" t="n">
        <x:f>'各站彙總來源'!I667</x:f>
        <x:v>26</x:v>
      </x:c>
      <x:c r="J667" s="24" t="n">
        <x:f>IFERROR('各站彙總來源'!J667/'各站彙總來源'!K667,"")</x:f>
        <x:v>12.884615384615385</x:v>
      </x:c>
      <x:c r="K667" s="19" t="n">
        <x:f>'各站彙總來源'!K667</x:f>
        <x:v>26</x:v>
      </x:c>
      <x:c r="L667" s="24" t="n">
        <x:f>IFERROR('各站彙總來源'!L667/'各站彙總來源'!M667,"")</x:f>
        <x:v>1.9230769230769231</x:v>
      </x:c>
      <x:c r="M667" s="19" t="n">
        <x:f>'各站彙總來源'!M667</x:f>
        <x:v>26</x:v>
      </x:c>
      <x:c r="N667" s="24" t="n">
        <x:f>F667+H667</x:f>
        <x:v>6.3076923076923075</x:v>
      </x:c>
      <x:c r="O667" s="24" t="n">
        <x:f>J667+L667</x:f>
        <x:v>14.807692307692308</x:v>
      </x:c>
    </x:row>
    <x:row r="668">
      <x:c r="A668" s="22" t="str">
        <x:v>500106059</x:v>
      </x:c>
      <x:c r="B668" s="17" t="str">
        <x:v>中正區</x:v>
      </x:c>
      <x:c r="C668" s="17" t="str">
        <x:v>中山堂</x:v>
      </x:c>
      <x:c r="D668" s="18" t="n">
        <x:v>26</x:v>
      </x:c>
      <x:c r="E668" s="18" t="n">
        <x:v>26</x:v>
      </x:c>
      <x:c r="F668" s="24" t="n">
        <x:f>IFERROR('各站彙總來源'!F668/'各站彙總來源'!G668,"")</x:f>
        <x:v>3.8846153846153846</x:v>
      </x:c>
      <x:c r="G668" s="19" t="n">
        <x:f>'各站彙總來源'!G668</x:f>
        <x:v>26</x:v>
      </x:c>
      <x:c r="H668" s="24" t="n">
        <x:f>IFERROR('各站彙總來源'!H668/'各站彙總來源'!I668,"")</x:f>
        <x:v>1.4230769230769231</x:v>
      </x:c>
      <x:c r="I668" s="19" t="n">
        <x:f>'各站彙總來源'!I668</x:f>
        <x:v>26</x:v>
      </x:c>
      <x:c r="J668" s="24" t="n">
        <x:f>IFERROR('各站彙總來源'!J668/'各站彙總來源'!K668,"")</x:f>
        <x:v>47.69230769230769</x:v>
      </x:c>
      <x:c r="K668" s="19" t="n">
        <x:f>'各站彙總來源'!K668</x:f>
        <x:v>26</x:v>
      </x:c>
      <x:c r="L668" s="24" t="n">
        <x:f>IFERROR('各站彙總來源'!L668/'各站彙總來源'!M668,"")</x:f>
        <x:v>3.5384615384615383</x:v>
      </x:c>
      <x:c r="M668" s="19" t="n">
        <x:f>'各站彙總來源'!M668</x:f>
        <x:v>26</x:v>
      </x:c>
      <x:c r="N668" s="24" t="n">
        <x:f>F668+H668</x:f>
        <x:v>5.3076923076923075</x:v>
      </x:c>
      <x:c r="O668" s="24" t="n">
        <x:f>J668+L668</x:f>
        <x:v>51.23076923076923</x:v>
      </x:c>
    </x:row>
    <x:row r="669">
      <x:c r="A669" s="22" t="str">
        <x:v>500106060</x:v>
      </x:c>
      <x:c r="B669" s="17" t="str">
        <x:v>中正區</x:v>
      </x:c>
      <x:c r="C669" s="17" t="str">
        <x:v>中華漢口街口</x:v>
      </x:c>
      <x:c r="D669" s="18" t="n">
        <x:v>26</x:v>
      </x:c>
      <x:c r="E669" s="18" t="n">
        <x:v>26</x:v>
      </x:c>
      <x:c r="F669" s="24" t="n">
        <x:f>IFERROR('各站彙總來源'!F669/'各站彙總來源'!G669,"")</x:f>
        <x:v>3.6153846153846154</x:v>
      </x:c>
      <x:c r="G669" s="19" t="n">
        <x:f>'各站彙總來源'!G669</x:f>
        <x:v>26</x:v>
      </x:c>
      <x:c r="H669" s="24" t="n">
        <x:f>IFERROR('各站彙總來源'!H669/'各站彙總來源'!I669,"")</x:f>
        <x:v>0.6923076923076923</x:v>
      </x:c>
      <x:c r="I669" s="19" t="n">
        <x:f>'各站彙總來源'!I669</x:f>
        <x:v>26</x:v>
      </x:c>
      <x:c r="J669" s="24" t="n">
        <x:f>IFERROR('各站彙總來源'!J669/'各站彙總來源'!K669,"")</x:f>
        <x:v>11.576923076923077</x:v>
      </x:c>
      <x:c r="K669" s="19" t="n">
        <x:f>'各站彙總來源'!K669</x:f>
        <x:v>26</x:v>
      </x:c>
      <x:c r="L669" s="24" t="n">
        <x:f>IFERROR('各站彙總來源'!L669/'各站彙總來源'!M669,"")</x:f>
        <x:v>2.423076923076923</x:v>
      </x:c>
      <x:c r="M669" s="19" t="n">
        <x:f>'各站彙總來源'!M669</x:f>
        <x:v>26</x:v>
      </x:c>
      <x:c r="N669" s="24" t="n">
        <x:f>F669+H669</x:f>
        <x:v>4.3076923076923075</x:v>
      </x:c>
      <x:c r="O669" s="24" t="n">
        <x:f>J669+L669</x:f>
        <x:v>14</x:v>
      </x:c>
    </x:row>
    <x:row r="670">
      <x:c r="A670" s="22" t="str">
        <x:v>500106061</x:v>
      </x:c>
      <x:c r="B670" s="17" t="str">
        <x:v>中正區</x:v>
      </x:c>
      <x:c r="C670" s="17" t="str">
        <x:v>中華路一段21巷口</x:v>
      </x:c>
      <x:c r="D670" s="18" t="n">
        <x:v>26</x:v>
      </x:c>
      <x:c r="E670" s="18" t="n">
        <x:v>26</x:v>
      </x:c>
      <x:c r="F670" s="24" t="n">
        <x:f>IFERROR('各站彙總來源'!F670/'各站彙總來源'!G670,"")</x:f>
        <x:v>3.4615384615384617</x:v>
      </x:c>
      <x:c r="G670" s="19" t="n">
        <x:f>'各站彙總來源'!G670</x:f>
        <x:v>26</x:v>
      </x:c>
      <x:c r="H670" s="24" t="n">
        <x:f>IFERROR('各站彙總來源'!H670/'各站彙總來源'!I670,"")</x:f>
        <x:v>1.0384615384615385</x:v>
      </x:c>
      <x:c r="I670" s="19" t="n">
        <x:f>'各站彙總來源'!I670</x:f>
        <x:v>26</x:v>
      </x:c>
      <x:c r="J670" s="24" t="n">
        <x:f>IFERROR('各站彙總來源'!J670/'各站彙總來源'!K670,"")</x:f>
        <x:v>8.115384615384615</x:v>
      </x:c>
      <x:c r="K670" s="19" t="n">
        <x:f>'各站彙總來源'!K670</x:f>
        <x:v>26</x:v>
      </x:c>
      <x:c r="L670" s="24" t="n">
        <x:f>IFERROR('各站彙總來源'!L670/'各站彙總來源'!M670,"")</x:f>
        <x:v>2.076923076923077</x:v>
      </x:c>
      <x:c r="M670" s="19" t="n">
        <x:f>'各站彙總來源'!M670</x:f>
        <x:v>26</x:v>
      </x:c>
      <x:c r="N670" s="24" t="n">
        <x:f>F670+H670</x:f>
        <x:v>4.5</x:v>
      </x:c>
      <x:c r="O670" s="24" t="n">
        <x:f>J670+L670</x:f>
        <x:v>10.192307692307692</x:v>
      </x:c>
    </x:row>
    <x:row r="671">
      <x:c r="A671" s="22" t="str">
        <x:v>500106062</x:v>
      </x:c>
      <x:c r="B671" s="17" t="str">
        <x:v>中正區</x:v>
      </x:c>
      <x:c r="C671" s="17" t="str">
        <x:v>捷運臺大醫院站(4號出口)</x:v>
      </x:c>
      <x:c r="D671" s="18" t="n">
        <x:v>26</x:v>
      </x:c>
      <x:c r="E671" s="18" t="n">
        <x:v>26</x:v>
      </x:c>
      <x:c r="F671" s="24" t="n">
        <x:f>IFERROR('各站彙總來源'!F671/'各站彙總來源'!G671,"")</x:f>
        <x:v>4.115384615384615</x:v>
      </x:c>
      <x:c r="G671" s="19" t="n">
        <x:f>'各站彙總來源'!G671</x:f>
        <x:v>26</x:v>
      </x:c>
      <x:c r="H671" s="24" t="n">
        <x:f>IFERROR('各站彙總來源'!H671/'各站彙總來源'!I671,"")</x:f>
        <x:v>2.3846153846153846</x:v>
      </x:c>
      <x:c r="I671" s="19" t="n">
        <x:f>'各站彙總來源'!I671</x:f>
        <x:v>26</x:v>
      </x:c>
      <x:c r="J671" s="24" t="n">
        <x:f>IFERROR('各站彙總來源'!J671/'各站彙總來源'!K671,"")</x:f>
        <x:v>29.23076923076923</x:v>
      </x:c>
      <x:c r="K671" s="19" t="n">
        <x:f>'各站彙總來源'!K671</x:f>
        <x:v>26</x:v>
      </x:c>
      <x:c r="L671" s="24" t="n">
        <x:f>IFERROR('各站彙總來源'!L671/'各站彙總來源'!M671,"")</x:f>
        <x:v>4.461538461538462</x:v>
      </x:c>
      <x:c r="M671" s="19" t="n">
        <x:f>'各站彙總來源'!M671</x:f>
        <x:v>26</x:v>
      </x:c>
      <x:c r="N671" s="24" t="n">
        <x:f>F671+H671</x:f>
        <x:v>6.5</x:v>
      </x:c>
      <x:c r="O671" s="24" t="n">
        <x:f>J671+L671</x:f>
        <x:v>33.69230769230769</x:v>
      </x:c>
    </x:row>
    <x:row r="672">
      <x:c r="A672" s="22" t="str">
        <x:v>500106063</x:v>
      </x:c>
      <x:c r="B672" s="17" t="str">
        <x:v>中正區</x:v>
      </x:c>
      <x:c r="C672" s="17" t="str">
        <x:v>寶藏巖觀音亭</x:v>
      </x:c>
      <x:c r="D672" s="18" t="n">
        <x:v>26</x:v>
      </x:c>
      <x:c r="E672" s="18" t="n">
        <x:v>26</x:v>
      </x:c>
      <x:c r="F672" s="24" t="n">
        <x:f>IFERROR('各站彙總來源'!F672/'各站彙總來源'!G672,"")</x:f>
        <x:v>6.230769230769231</x:v>
      </x:c>
      <x:c r="G672" s="19" t="n">
        <x:f>'各站彙總來源'!G672</x:f>
        <x:v>26</x:v>
      </x:c>
      <x:c r="H672" s="24" t="n">
        <x:f>IFERROR('各站彙總來源'!H672/'各站彙總來源'!I672,"")</x:f>
        <x:v>1.5769230769230769</x:v>
      </x:c>
      <x:c r="I672" s="19" t="n">
        <x:f>'各站彙總來源'!I672</x:f>
        <x:v>26</x:v>
      </x:c>
      <x:c r="J672" s="24" t="n">
        <x:f>IFERROR('各站彙總來源'!J672/'各站彙總來源'!K672,"")</x:f>
        <x:v>5.653846153846154</x:v>
      </x:c>
      <x:c r="K672" s="19" t="n">
        <x:f>'各站彙總來源'!K672</x:f>
        <x:v>26</x:v>
      </x:c>
      <x:c r="L672" s="24" t="n">
        <x:f>IFERROR('各站彙總來源'!L672/'各站彙總來源'!M672,"")</x:f>
        <x:v>1.5</x:v>
      </x:c>
      <x:c r="M672" s="19" t="n">
        <x:f>'各站彙總來源'!M672</x:f>
        <x:v>26</x:v>
      </x:c>
      <x:c r="N672" s="24" t="n">
        <x:f>F672+H672</x:f>
        <x:v>7.8076923076923075</x:v>
      </x:c>
      <x:c r="O672" s="24" t="n">
        <x:f>J672+L672</x:f>
        <x:v>7.153846153846154</x:v>
      </x:c>
    </x:row>
    <x:row r="673">
      <x:c r="A673" s="22" t="str">
        <x:v>500106064</x:v>
      </x:c>
      <x:c r="B673" s="17" t="str">
        <x:v>中正區</x:v>
      </x:c>
      <x:c r="C673" s="17" t="str">
        <x:v>師大水源路口</x:v>
      </x:c>
      <x:c r="D673" s="18" t="n">
        <x:v>26</x:v>
      </x:c>
      <x:c r="E673" s="18" t="n">
        <x:v>26</x:v>
      </x:c>
      <x:c r="F673" s="24" t="n">
        <x:f>IFERROR('各站彙總來源'!F673/'各站彙總來源'!G673,"")</x:f>
        <x:v>21.923076923076923</x:v>
      </x:c>
      <x:c r="G673" s="19" t="n">
        <x:f>'各站彙總來源'!G673</x:f>
        <x:v>26</x:v>
      </x:c>
      <x:c r="H673" s="24" t="n">
        <x:f>IFERROR('各站彙總來源'!H673/'各站彙總來源'!I673,"")</x:f>
        <x:v>2.423076923076923</x:v>
      </x:c>
      <x:c r="I673" s="19" t="n">
        <x:f>'各站彙總來源'!I673</x:f>
        <x:v>26</x:v>
      </x:c>
      <x:c r="J673" s="24" t="n">
        <x:f>IFERROR('各站彙總來源'!J673/'各站彙總來源'!K673,"")</x:f>
        <x:v>4</x:v>
      </x:c>
      <x:c r="K673" s="19" t="n">
        <x:f>'各站彙總來源'!K673</x:f>
        <x:v>26</x:v>
      </x:c>
      <x:c r="L673" s="24" t="n">
        <x:f>IFERROR('各站彙總來源'!L673/'各站彙總來源'!M673,"")</x:f>
        <x:v>0.8461538461538461</x:v>
      </x:c>
      <x:c r="M673" s="19" t="n">
        <x:f>'各站彙總來源'!M673</x:f>
        <x:v>26</x:v>
      </x:c>
      <x:c r="N673" s="24" t="n">
        <x:f>F673+H673</x:f>
        <x:v>24.346153846153847</x:v>
      </x:c>
      <x:c r="O673" s="24" t="n">
        <x:f>J673+L673</x:f>
        <x:v>4.846153846153846</x:v>
      </x:c>
    </x:row>
    <x:row r="674">
      <x:c r="A674" s="22" t="str">
        <x:v>500106065</x:v>
      </x:c>
      <x:c r="B674" s="17" t="str">
        <x:v>中正區</x:v>
      </x:c>
      <x:c r="C674" s="17" t="str">
        <x:v>中山徐州路口</x:v>
      </x:c>
      <x:c r="D674" s="18" t="n">
        <x:v>26</x:v>
      </x:c>
      <x:c r="E674" s="18" t="n">
        <x:v>26</x:v>
      </x:c>
      <x:c r="F674" s="24" t="n">
        <x:f>IFERROR('各站彙總來源'!F674/'各站彙總來源'!G674,"")</x:f>
        <x:v>7.1923076923076925</x:v>
      </x:c>
      <x:c r="G674" s="19" t="n">
        <x:f>'各站彙總來源'!G674</x:f>
        <x:v>26</x:v>
      </x:c>
      <x:c r="H674" s="24" t="n">
        <x:f>IFERROR('各站彙總來源'!H674/'各站彙總來源'!I674,"")</x:f>
        <x:v>0.7692307692307693</x:v>
      </x:c>
      <x:c r="I674" s="19" t="n">
        <x:f>'各站彙總來源'!I674</x:f>
        <x:v>26</x:v>
      </x:c>
      <x:c r="J674" s="24" t="n">
        <x:f>IFERROR('各站彙總來源'!J674/'各站彙總來源'!K674,"")</x:f>
        <x:v>106.26923076923077</x:v>
      </x:c>
      <x:c r="K674" s="19" t="n">
        <x:f>'各站彙總來源'!K674</x:f>
        <x:v>26</x:v>
      </x:c>
      <x:c r="L674" s="24" t="n">
        <x:f>IFERROR('各站彙總來源'!L674/'各站彙總來源'!M674,"")</x:f>
        <x:v>3.3076923076923075</x:v>
      </x:c>
      <x:c r="M674" s="19" t="n">
        <x:f>'各站彙總來源'!M674</x:f>
        <x:v>26</x:v>
      </x:c>
      <x:c r="N674" s="24" t="n">
        <x:f>F674+H674</x:f>
        <x:v>7.961538461538462</x:v>
      </x:c>
      <x:c r="O674" s="24" t="n">
        <x:f>J674+L674</x:f>
        <x:v>109.57692307692308</x:v>
      </x:c>
    </x:row>
    <x:row r="675">
      <x:c r="A675" s="22" t="str">
        <x:v>500106066</x:v>
      </x:c>
      <x:c r="B675" s="17" t="str">
        <x:v>中正區</x:v>
      </x:c>
      <x:c r="C675" s="17" t="str">
        <x:v>信義連雲街口</x:v>
      </x:c>
      <x:c r="D675" s="18" t="n">
        <x:v>26</x:v>
      </x:c>
      <x:c r="E675" s="18" t="n">
        <x:v>26</x:v>
      </x:c>
      <x:c r="F675" s="24" t="n">
        <x:f>IFERROR('各站彙總來源'!F675/'各站彙總來源'!G675,"")</x:f>
        <x:v>19.03846153846154</x:v>
      </x:c>
      <x:c r="G675" s="19" t="n">
        <x:f>'各站彙總來源'!G675</x:f>
        <x:v>26</x:v>
      </x:c>
      <x:c r="H675" s="24" t="n">
        <x:f>IFERROR('各站彙總來源'!H675/'各站彙總來源'!I675,"")</x:f>
        <x:v>2.3846153846153846</x:v>
      </x:c>
      <x:c r="I675" s="19" t="n">
        <x:f>'各站彙總來源'!I675</x:f>
        <x:v>26</x:v>
      </x:c>
      <x:c r="J675" s="24" t="n">
        <x:f>IFERROR('各站彙總來源'!J675/'各站彙總來源'!K675,"")</x:f>
        <x:v>9</x:v>
      </x:c>
      <x:c r="K675" s="19" t="n">
        <x:f>'各站彙總來源'!K675</x:f>
        <x:v>26</x:v>
      </x:c>
      <x:c r="L675" s="24" t="n">
        <x:f>IFERROR('各站彙總來源'!L675/'各站彙總來源'!M675,"")</x:f>
        <x:v>1.3846153846153846</x:v>
      </x:c>
      <x:c r="M675" s="19" t="n">
        <x:f>'各站彙總來源'!M675</x:f>
        <x:v>26</x:v>
      </x:c>
      <x:c r="N675" s="24" t="n">
        <x:f>F675+H675</x:f>
        <x:v>21.423076923076923</x:v>
      </x:c>
      <x:c r="O675" s="24" t="n">
        <x:f>J675+L675</x:f>
        <x:v>10.384615384615385</x:v>
      </x:c>
    </x:row>
    <x:row r="676">
      <x:c r="A676" s="22" t="str">
        <x:v>500106067</x:v>
      </x:c>
      <x:c r="B676" s="17" t="str">
        <x:v>中正區</x:v>
      </x:c>
      <x:c r="C676" s="17" t="str">
        <x:v>臺北轉運站</x:v>
      </x:c>
      <x:c r="D676" s="18" t="n">
        <x:v>26</x:v>
      </x:c>
      <x:c r="E676" s="18" t="n">
        <x:v>26</x:v>
      </x:c>
      <x:c r="F676" s="24" t="n">
        <x:f>IFERROR('各站彙總來源'!F676/'各站彙總來源'!G676,"")</x:f>
        <x:v>28.423076923076923</x:v>
      </x:c>
      <x:c r="G676" s="19" t="n">
        <x:f>'各站彙總來源'!G676</x:f>
        <x:v>26</x:v>
      </x:c>
      <x:c r="H676" s="24" t="n">
        <x:f>IFERROR('各站彙總來源'!H676/'各站彙總來源'!I676,"")</x:f>
        <x:v>3.3076923076923075</x:v>
      </x:c>
      <x:c r="I676" s="19" t="n">
        <x:f>'各站彙總來源'!I676</x:f>
        <x:v>26</x:v>
      </x:c>
      <x:c r="J676" s="24" t="n">
        <x:f>IFERROR('各站彙總來源'!J676/'各站彙總來源'!K676,"")</x:f>
        <x:v>24.807692307692307</x:v>
      </x:c>
      <x:c r="K676" s="19" t="n">
        <x:f>'各站彙總來源'!K676</x:f>
        <x:v>26</x:v>
      </x:c>
      <x:c r="L676" s="24" t="n">
        <x:f>IFERROR('各站彙總來源'!L676/'各站彙總來源'!M676,"")</x:f>
        <x:v>3.269230769230769</x:v>
      </x:c>
      <x:c r="M676" s="19" t="n">
        <x:f>'各站彙總來源'!M676</x:f>
        <x:v>26</x:v>
      </x:c>
      <x:c r="N676" s="24" t="n">
        <x:f>F676+H676</x:f>
        <x:v>31.73076923076923</x:v>
      </x:c>
      <x:c r="O676" s="24" t="n">
        <x:f>J676+L676</x:f>
        <x:v>28.076923076923077</x:v>
      </x:c>
    </x:row>
    <x:row r="677">
      <x:c r="A677" s="22" t="str">
        <x:v>500106068</x:v>
      </x:c>
      <x:c r="B677" s="17" t="str">
        <x:v>中正區</x:v>
      </x:c>
      <x:c r="C677" s="17" t="str">
        <x:v>莒光大埔街口</x:v>
      </x:c>
      <x:c r="D677" s="18" t="n">
        <x:v>26</x:v>
      </x:c>
      <x:c r="E677" s="18" t="n">
        <x:v>26</x:v>
      </x:c>
      <x:c r="F677" s="24" t="n">
        <x:f>IFERROR('各站彙總來源'!F677/'各站彙總來源'!G677,"")</x:f>
        <x:v>15.384615384615385</x:v>
      </x:c>
      <x:c r="G677" s="19" t="n">
        <x:f>'各站彙總來源'!G677</x:f>
        <x:v>26</x:v>
      </x:c>
      <x:c r="H677" s="24" t="n">
        <x:f>IFERROR('各站彙總來源'!H677/'各站彙總來源'!I677,"")</x:f>
        <x:v>2.076923076923077</x:v>
      </x:c>
      <x:c r="I677" s="19" t="n">
        <x:f>'各站彙總來源'!I677</x:f>
        <x:v>26</x:v>
      </x:c>
      <x:c r="J677" s="24" t="n">
        <x:f>IFERROR('各站彙總來源'!J677/'各站彙總來源'!K677,"")</x:f>
        <x:v>3</x:v>
      </x:c>
      <x:c r="K677" s="19" t="n">
        <x:f>'各站彙總來源'!K677</x:f>
        <x:v>26</x:v>
      </x:c>
      <x:c r="L677" s="24" t="n">
        <x:f>IFERROR('各站彙總來源'!L677/'各站彙總來源'!M677,"")</x:f>
        <x:v>0.9230769230769231</x:v>
      </x:c>
      <x:c r="M677" s="19" t="n">
        <x:f>'各站彙總來源'!M677</x:f>
        <x:v>26</x:v>
      </x:c>
      <x:c r="N677" s="24" t="n">
        <x:f>F677+H677</x:f>
        <x:v>17.461538461538463</x:v>
      </x:c>
      <x:c r="O677" s="24" t="n">
        <x:f>J677+L677</x:f>
        <x:v>3.9230769230769234</x:v>
      </x:c>
    </x:row>
    <x:row r="678">
      <x:c r="A678" s="22" t="str">
        <x:v>500106069</x:v>
      </x:c>
      <x:c r="B678" s="17" t="str">
        <x:v>中正區</x:v>
      </x:c>
      <x:c r="C678" s="17" t="str">
        <x:v>捷運忠孝新生站(2號出口)</x:v>
      </x:c>
      <x:c r="D678" s="18" t="n">
        <x:v>26</x:v>
      </x:c>
      <x:c r="E678" s="18" t="n">
        <x:v>26</x:v>
      </x:c>
      <x:c r="F678" s="24" t="n">
        <x:f>IFERROR('各站彙總來源'!F678/'各站彙總來源'!G678,"")</x:f>
        <x:v>14.23076923076923</x:v>
      </x:c>
      <x:c r="G678" s="19" t="n">
        <x:f>'各站彙總來源'!G678</x:f>
        <x:v>26</x:v>
      </x:c>
      <x:c r="H678" s="24" t="n">
        <x:f>IFERROR('各站彙總來源'!H678/'各站彙總來源'!I678,"")</x:f>
        <x:v>2.1923076923076925</x:v>
      </x:c>
      <x:c r="I678" s="19" t="n">
        <x:f>'各站彙總來源'!I678</x:f>
        <x:v>26</x:v>
      </x:c>
      <x:c r="J678" s="24" t="n">
        <x:f>IFERROR('各站彙總來源'!J678/'各站彙總來源'!K678,"")</x:f>
        <x:v>8.23076923076923</x:v>
      </x:c>
      <x:c r="K678" s="19" t="n">
        <x:f>'各站彙總來源'!K678</x:f>
        <x:v>26</x:v>
      </x:c>
      <x:c r="L678" s="24" t="n">
        <x:f>IFERROR('各站彙總來源'!L678/'各站彙總來源'!M678,"")</x:f>
        <x:v>1.5</x:v>
      </x:c>
      <x:c r="M678" s="19" t="n">
        <x:f>'各站彙總來源'!M678</x:f>
        <x:v>26</x:v>
      </x:c>
      <x:c r="N678" s="24" t="n">
        <x:f>F678+H678</x:f>
        <x:v>16.423076923076923</x:v>
      </x:c>
      <x:c r="O678" s="24" t="n">
        <x:f>J678+L678</x:f>
        <x:v>9.73076923076923</x:v>
      </x:c>
    </x:row>
    <x:row r="679">
      <x:c r="A679" s="22" t="str">
        <x:v>500106070</x:v>
      </x:c>
      <x:c r="B679" s="17" t="str">
        <x:v>中正區</x:v>
      </x:c>
      <x:c r="C679" s="17" t="str">
        <x:v>光華商場</x:v>
      </x:c>
      <x:c r="D679" s="18" t="n">
        <x:v>26</x:v>
      </x:c>
      <x:c r="E679" s="18" t="n">
        <x:v>26</x:v>
      </x:c>
      <x:c r="F679" s="24" t="n">
        <x:f>IFERROR('各站彙總來源'!F679/'各站彙總來源'!G679,"")</x:f>
        <x:v>2.8846153846153846</x:v>
      </x:c>
      <x:c r="G679" s="19" t="n">
        <x:f>'各站彙總來源'!G679</x:f>
        <x:v>26</x:v>
      </x:c>
      <x:c r="H679" s="24" t="n">
        <x:f>IFERROR('各站彙總來源'!H679/'各站彙總來源'!I679,"")</x:f>
        <x:v>0.5769230769230769</x:v>
      </x:c>
      <x:c r="I679" s="19" t="n">
        <x:f>'各站彙總來源'!I679</x:f>
        <x:v>26</x:v>
      </x:c>
      <x:c r="J679" s="24" t="n">
        <x:f>IFERROR('各站彙總來源'!J679/'各站彙總來源'!K679,"")</x:f>
        <x:v>36.53846153846154</x:v>
      </x:c>
      <x:c r="K679" s="19" t="n">
        <x:f>'各站彙總來源'!K679</x:f>
        <x:v>26</x:v>
      </x:c>
      <x:c r="L679" s="24" t="n">
        <x:f>IFERROR('各站彙總來源'!L679/'各站彙總來源'!M679,"")</x:f>
        <x:v>4.8076923076923075</x:v>
      </x:c>
      <x:c r="M679" s="19" t="n">
        <x:f>'各站彙總來源'!M679</x:f>
        <x:v>26</x:v>
      </x:c>
      <x:c r="N679" s="24" t="n">
        <x:f>F679+H679</x:f>
        <x:v>3.4615384615384617</x:v>
      </x:c>
      <x:c r="O679" s="24" t="n">
        <x:f>J679+L679</x:f>
        <x:v>41.34615384615385</x:v>
      </x:c>
    </x:row>
    <x:row r="680">
      <x:c r="A680" s="22" t="str">
        <x:v>500106071</x:v>
      </x:c>
      <x:c r="B680" s="17" t="str">
        <x:v>中正區</x:v>
      </x:c>
      <x:c r="C680" s="17" t="str">
        <x:v>中山青島路口</x:v>
      </x:c>
      <x:c r="D680" s="18" t="n">
        <x:v>26</x:v>
      </x:c>
      <x:c r="E680" s="18" t="n">
        <x:v>26</x:v>
      </x:c>
      <x:c r="F680" s="24" t="n">
        <x:f>IFERROR('各站彙總來源'!F680/'各站彙總來源'!G680,"")</x:f>
        <x:v>3.8076923076923075</x:v>
      </x:c>
      <x:c r="G680" s="19" t="n">
        <x:f>'各站彙總來源'!G680</x:f>
        <x:v>26</x:v>
      </x:c>
      <x:c r="H680" s="24" t="n">
        <x:f>IFERROR('各站彙總來源'!H680/'各站彙總來源'!I680,"")</x:f>
        <x:v>1.1923076923076923</x:v>
      </x:c>
      <x:c r="I680" s="19" t="n">
        <x:f>'各站彙總來源'!I680</x:f>
        <x:v>26</x:v>
      </x:c>
      <x:c r="J680" s="24" t="n">
        <x:f>IFERROR('各站彙總來源'!J680/'各站彙總來源'!K680,"")</x:f>
        <x:v>29.192307692307693</x:v>
      </x:c>
      <x:c r="K680" s="19" t="n">
        <x:f>'各站彙總來源'!K680</x:f>
        <x:v>26</x:v>
      </x:c>
      <x:c r="L680" s="24" t="n">
        <x:f>IFERROR('各站彙總來源'!L680/'各站彙總來源'!M680,"")</x:f>
        <x:v>2.9615384615384617</x:v>
      </x:c>
      <x:c r="M680" s="19" t="n">
        <x:f>'各站彙總來源'!M680</x:f>
        <x:v>26</x:v>
      </x:c>
      <x:c r="N680" s="24" t="n">
        <x:f>F680+H680</x:f>
        <x:v>5</x:v>
      </x:c>
      <x:c r="O680" s="24" t="n">
        <x:f>J680+L680</x:f>
        <x:v>32.15384615384615</x:v>
      </x:c>
    </x:row>
    <x:row r="681">
      <x:c r="A681" s="22" t="str">
        <x:v>500106072</x:v>
      </x:c>
      <x:c r="B681" s="17" t="str">
        <x:v>中正區</x:v>
      </x:c>
      <x:c r="C681" s="17" t="str">
        <x:v>捷運中正紀念堂站(5號出口)</x:v>
      </x:c>
      <x:c r="D681" s="18" t="n">
        <x:v>26</x:v>
      </x:c>
      <x:c r="E681" s="18" t="n">
        <x:v>26</x:v>
      </x:c>
      <x:c r="F681" s="24" t="n">
        <x:f>IFERROR('各站彙總來源'!F681/'各站彙總來源'!G681,"")</x:f>
        <x:v>4.346153846153846</x:v>
      </x:c>
      <x:c r="G681" s="19" t="n">
        <x:f>'各站彙總來源'!G681</x:f>
        <x:v>26</x:v>
      </x:c>
      <x:c r="H681" s="24" t="n">
        <x:f>IFERROR('各站彙總來源'!H681/'各站彙總來源'!I681,"")</x:f>
        <x:v>0.5384615384615384</x:v>
      </x:c>
      <x:c r="I681" s="19" t="n">
        <x:f>'各站彙總來源'!I681</x:f>
        <x:v>26</x:v>
      </x:c>
      <x:c r="J681" s="24" t="n">
        <x:f>IFERROR('各站彙總來源'!J681/'各站彙總來源'!K681,"")</x:f>
        <x:v>5.230769230769231</x:v>
      </x:c>
      <x:c r="K681" s="19" t="n">
        <x:f>'各站彙總來源'!K681</x:f>
        <x:v>26</x:v>
      </x:c>
      <x:c r="L681" s="24" t="n">
        <x:f>IFERROR('各站彙總來源'!L681/'各站彙總來源'!M681,"")</x:f>
        <x:v>1.5</x:v>
      </x:c>
      <x:c r="M681" s="19" t="n">
        <x:f>'各站彙總來源'!M681</x:f>
        <x:v>26</x:v>
      </x:c>
      <x:c r="N681" s="24" t="n">
        <x:f>F681+H681</x:f>
        <x:v>4.884615384615384</x:v>
      </x:c>
      <x:c r="O681" s="24" t="n">
        <x:f>J681+L681</x:f>
        <x:v>6.730769230769231</x:v>
      </x:c>
    </x:row>
    <x:row r="682">
      <x:c r="A682" s="22" t="str">
        <x:v>500106073</x:v>
      </x:c>
      <x:c r="B682" s="17" t="str">
        <x:v>中正區</x:v>
      </x:c>
      <x:c r="C682" s="17" t="str">
        <x:v>北平東杭州北路口</x:v>
      </x:c>
      <x:c r="D682" s="18" t="n">
        <x:v>26</x:v>
      </x:c>
      <x:c r="E682" s="18" t="n">
        <x:v>26</x:v>
      </x:c>
      <x:c r="F682" s="24" t="n">
        <x:f>IFERROR('各站彙總來源'!F682/'各站彙總來源'!G682,"")</x:f>
        <x:v>5.730769230769231</x:v>
      </x:c>
      <x:c r="G682" s="19" t="n">
        <x:f>'各站彙總來源'!G682</x:f>
        <x:v>26</x:v>
      </x:c>
      <x:c r="H682" s="24" t="n">
        <x:f>IFERROR('各站彙總來源'!H682/'各站彙總來源'!I682,"")</x:f>
        <x:v>2.0384615384615383</x:v>
      </x:c>
      <x:c r="I682" s="19" t="n">
        <x:f>'各站彙總來源'!I682</x:f>
        <x:v>26</x:v>
      </x:c>
      <x:c r="J682" s="24" t="n">
        <x:f>IFERROR('各站彙總來源'!J682/'各站彙總來源'!K682,"")</x:f>
        <x:v>17.653846153846153</x:v>
      </x:c>
      <x:c r="K682" s="19" t="n">
        <x:f>'各站彙總來源'!K682</x:f>
        <x:v>26</x:v>
      </x:c>
      <x:c r="L682" s="24" t="n">
        <x:f>IFERROR('各站彙總來源'!L682/'各站彙總來源'!M682,"")</x:f>
        <x:v>2.1538461538461537</x:v>
      </x:c>
      <x:c r="M682" s="19" t="n">
        <x:f>'各站彙總來源'!M682</x:f>
        <x:v>26</x:v>
      </x:c>
      <x:c r="N682" s="24" t="n">
        <x:f>F682+H682</x:f>
        <x:v>7.769230769230769</x:v>
      </x:c>
      <x:c r="O682" s="24" t="n">
        <x:f>J682+L682</x:f>
        <x:v>19.807692307692307</x:v>
      </x:c>
    </x:row>
    <x:row r="683">
      <x:c r="A683" s="22" t="str">
        <x:v>500106074</x:v>
      </x:c>
      <x:c r="B683" s="17" t="str">
        <x:v>中正區</x:v>
      </x:c>
      <x:c r="C683" s="17" t="str">
        <x:v>王貫英先生紀念圖書館</x:v>
      </x:c>
      <x:c r="D683" s="18" t="n">
        <x:v>26</x:v>
      </x:c>
      <x:c r="E683" s="18" t="n">
        <x:v>26</x:v>
      </x:c>
      <x:c r="F683" s="24" t="n">
        <x:f>IFERROR('各站彙總來源'!F683/'各站彙總來源'!G683,"")</x:f>
        <x:v>11.038461538461538</x:v>
      </x:c>
      <x:c r="G683" s="19" t="n">
        <x:f>'各站彙總來源'!G683</x:f>
        <x:v>26</x:v>
      </x:c>
      <x:c r="H683" s="24" t="n">
        <x:f>IFERROR('各站彙總來源'!H683/'各站彙總來源'!I683,"")</x:f>
        <x:v>0.9230769230769231</x:v>
      </x:c>
      <x:c r="I683" s="19" t="n">
        <x:f>'各站彙總來源'!I683</x:f>
        <x:v>26</x:v>
      </x:c>
      <x:c r="J683" s="24" t="n">
        <x:f>IFERROR('各站彙總來源'!J683/'各站彙總來源'!K683,"")</x:f>
        <x:v>3.1153846153846154</x:v>
      </x:c>
      <x:c r="K683" s="19" t="n">
        <x:f>'各站彙總來源'!K683</x:f>
        <x:v>26</x:v>
      </x:c>
      <x:c r="L683" s="24" t="n">
        <x:f>IFERROR('各站彙總來源'!L683/'各站彙總來源'!M683,"")</x:f>
        <x:v>0.7307692307692307</x:v>
      </x:c>
      <x:c r="M683" s="19" t="n">
        <x:f>'各站彙總來源'!M683</x:f>
        <x:v>26</x:v>
      </x:c>
      <x:c r="N683" s="24" t="n">
        <x:f>F683+H683</x:f>
        <x:v>11.961538461538462</x:v>
      </x:c>
      <x:c r="O683" s="24" t="n">
        <x:f>J683+L683</x:f>
        <x:v>3.8461538461538463</x:v>
      </x:c>
    </x:row>
    <x:row r="684">
      <x:c r="A684" s="22" t="str">
        <x:v>500106075</x:v>
      </x:c>
      <x:c r="B684" s="17" t="str">
        <x:v>中正區</x:v>
      </x:c>
      <x:c r="C684" s="17" t="str">
        <x:v>金山信義路口</x:v>
      </x:c>
      <x:c r="D684" s="18" t="n">
        <x:v>26</x:v>
      </x:c>
      <x:c r="E684" s="18" t="n">
        <x:v>26</x:v>
      </x:c>
      <x:c r="F684" s="24" t="n">
        <x:f>IFERROR('各站彙總來源'!F684/'各站彙總來源'!G684,"")</x:f>
        <x:v>5.576923076923077</x:v>
      </x:c>
      <x:c r="G684" s="19" t="n">
        <x:f>'各站彙總來源'!G684</x:f>
        <x:v>26</x:v>
      </x:c>
      <x:c r="H684" s="24" t="n">
        <x:f>IFERROR('各站彙總來源'!H684/'各站彙總來源'!I684,"")</x:f>
        <x:v>1.4615384615384615</x:v>
      </x:c>
      <x:c r="I684" s="19" t="n">
        <x:f>'各站彙總來源'!I684</x:f>
        <x:v>26</x:v>
      </x:c>
      <x:c r="J684" s="24" t="n">
        <x:f>IFERROR('各站彙總來源'!J684/'各站彙總來源'!K684,"")</x:f>
        <x:v>4.346153846153846</x:v>
      </x:c>
      <x:c r="K684" s="19" t="n">
        <x:f>'各站彙總來源'!K684</x:f>
        <x:v>26</x:v>
      </x:c>
      <x:c r="L684" s="24" t="n">
        <x:f>IFERROR('各站彙總來源'!L684/'各站彙總來源'!M684,"")</x:f>
        <x:v>1.2307692307692308</x:v>
      </x:c>
      <x:c r="M684" s="19" t="n">
        <x:f>'各站彙總來源'!M684</x:f>
        <x:v>26</x:v>
      </x:c>
      <x:c r="N684" s="24" t="n">
        <x:f>F684+H684</x:f>
        <x:v>7.038461538461538</x:v>
      </x:c>
      <x:c r="O684" s="24" t="n">
        <x:f>J684+L684</x:f>
        <x:v>5.576923076923077</x:v>
      </x:c>
    </x:row>
    <x:row r="685">
      <x:c r="A685" s="22" t="str">
        <x:v>500106076</x:v>
      </x:c>
      <x:c r="B685" s="17" t="str">
        <x:v>中正區</x:v>
      </x:c>
      <x:c r="C685" s="17" t="str">
        <x:v>捷運東門站(2號出口)</x:v>
      </x:c>
      <x:c r="D685" s="18" t="n">
        <x:v>26</x:v>
      </x:c>
      <x:c r="E685" s="18" t="n">
        <x:v>26</x:v>
      </x:c>
      <x:c r="F685" s="24" t="n">
        <x:f>IFERROR('各站彙總來源'!F685/'各站彙總來源'!G685,"")</x:f>
        <x:v>0</x:v>
      </x:c>
      <x:c r="G685" s="19" t="n">
        <x:f>'各站彙總來源'!G685</x:f>
        <x:v>26</x:v>
      </x:c>
      <x:c r="H685" s="24" t="n">
        <x:f>IFERROR('各站彙總來源'!H685/'各站彙總來源'!I685,"")</x:f>
        <x:v>0</x:v>
      </x:c>
      <x:c r="I685" s="19" t="n">
        <x:f>'各站彙總來源'!I685</x:f>
        <x:v>26</x:v>
      </x:c>
      <x:c r="J685" s="24" t="n">
        <x:f>IFERROR('各站彙總來源'!J685/'各站彙總來源'!K685,"")</x:f>
        <x:v>0</x:v>
      </x:c>
      <x:c r="K685" s="19" t="n">
        <x:f>'各站彙總來源'!K685</x:f>
        <x:v>26</x:v>
      </x:c>
      <x:c r="L685" s="24" t="n">
        <x:f>IFERROR('各站彙總來源'!L685/'各站彙總來源'!M685,"")</x:f>
        <x:v>0</x:v>
      </x:c>
      <x:c r="M685" s="19" t="n">
        <x:f>'各站彙總來源'!M685</x:f>
        <x:v>26</x:v>
      </x:c>
      <x:c r="N685" s="24" t="n">
        <x:f>F685+H685</x:f>
        <x:v>0</x:v>
      </x:c>
      <x:c r="O685" s="24" t="n">
        <x:f>J685+L685</x:f>
        <x:v>0</x:v>
      </x:c>
    </x:row>
    <x:row r="686">
      <x:c r="A686" s="22" t="str">
        <x:v>500106077</x:v>
      </x:c>
      <x:c r="B686" s="17" t="str">
        <x:v>中正區</x:v>
      </x:c>
      <x:c r="C686" s="17" t="str">
        <x:v>林森徐州路口</x:v>
      </x:c>
      <x:c r="D686" s="18" t="n">
        <x:v>26</x:v>
      </x:c>
      <x:c r="E686" s="18" t="n">
        <x:v>26</x:v>
      </x:c>
      <x:c r="F686" s="24" t="n">
        <x:f>IFERROR('各站彙總來源'!F686/'各站彙總來源'!G686,"")</x:f>
        <x:v>3.769230769230769</x:v>
      </x:c>
      <x:c r="G686" s="19" t="n">
        <x:f>'各站彙總來源'!G686</x:f>
        <x:v>26</x:v>
      </x:c>
      <x:c r="H686" s="24" t="n">
        <x:f>IFERROR('各站彙總來源'!H686/'各站彙總來源'!I686,"")</x:f>
        <x:v>0.3076923076923077</x:v>
      </x:c>
      <x:c r="I686" s="19" t="n">
        <x:f>'各站彙總來源'!I686</x:f>
        <x:v>26</x:v>
      </x:c>
      <x:c r="J686" s="24" t="n">
        <x:f>IFERROR('各站彙總來源'!J686/'各站彙總來源'!K686,"")</x:f>
        <x:v>42.07692307692308</x:v>
      </x:c>
      <x:c r="K686" s="19" t="n">
        <x:f>'各站彙總來源'!K686</x:f>
        <x:v>26</x:v>
      </x:c>
      <x:c r="L686" s="24" t="n">
        <x:f>IFERROR('各站彙總來源'!L686/'各站彙總來源'!M686,"")</x:f>
        <x:v>3.3461538461538463</x:v>
      </x:c>
      <x:c r="M686" s="19" t="n">
        <x:f>'各站彙總來源'!M686</x:f>
        <x:v>26</x:v>
      </x:c>
      <x:c r="N686" s="24" t="n">
        <x:f>F686+H686</x:f>
        <x:v>4.076923076923077</x:v>
      </x:c>
      <x:c r="O686" s="24" t="n">
        <x:f>J686+L686</x:f>
        <x:v>45.42307692307693</x:v>
      </x:c>
    </x:row>
    <x:row r="687">
      <x:c r="A687" s="22" t="str">
        <x:v>500106078</x:v>
      </x:c>
      <x:c r="B687" s="17" t="str">
        <x:v>中正區</x:v>
      </x:c>
      <x:c r="C687" s="17" t="str">
        <x:v>徐州杭州路口</x:v>
      </x:c>
      <x:c r="D687" s="18" t="n">
        <x:v>26</x:v>
      </x:c>
      <x:c r="E687" s="18" t="n">
        <x:v>26</x:v>
      </x:c>
      <x:c r="F687" s="24" t="n">
        <x:f>IFERROR('各站彙總來源'!F687/'各站彙總來源'!G687,"")</x:f>
        <x:v>7.884615384615385</x:v>
      </x:c>
      <x:c r="G687" s="19" t="n">
        <x:f>'各站彙總來源'!G687</x:f>
        <x:v>26</x:v>
      </x:c>
      <x:c r="H687" s="24" t="n">
        <x:f>IFERROR('各站彙總來源'!H687/'各站彙總來源'!I687,"")</x:f>
        <x:v>0.8076923076923077</x:v>
      </x:c>
      <x:c r="I687" s="19" t="n">
        <x:f>'各站彙總來源'!I687</x:f>
        <x:v>26</x:v>
      </x:c>
      <x:c r="J687" s="24" t="n">
        <x:f>IFERROR('各站彙總來源'!J687/'各站彙總來源'!K687,"")</x:f>
        <x:v>11</x:v>
      </x:c>
      <x:c r="K687" s="19" t="n">
        <x:f>'各站彙總來源'!K687</x:f>
        <x:v>26</x:v>
      </x:c>
      <x:c r="L687" s="24" t="n">
        <x:f>IFERROR('各站彙總來源'!L687/'各站彙總來源'!M687,"")</x:f>
        <x:v>2.3846153846153846</x:v>
      </x:c>
      <x:c r="M687" s="19" t="n">
        <x:f>'各站彙總來源'!M687</x:f>
        <x:v>26</x:v>
      </x:c>
      <x:c r="N687" s="24" t="n">
        <x:f>F687+H687</x:f>
        <x:v>8.692307692307693</x:v>
      </x:c>
      <x:c r="O687" s="24" t="n">
        <x:f>J687+L687</x:f>
        <x:v>13.384615384615385</x:v>
      </x:c>
    </x:row>
    <x:row r="688">
      <x:c r="A688" s="22" t="str">
        <x:v>500106079</x:v>
      </x:c>
      <x:c r="B688" s="17" t="str">
        <x:v>中正區</x:v>
      </x:c>
      <x:c r="C688" s="17" t="str">
        <x:v>捷運中正紀念堂站(6號出口)</x:v>
      </x:c>
      <x:c r="D688" s="18" t="n">
        <x:v>26</x:v>
      </x:c>
      <x:c r="E688" s="18" t="n">
        <x:v>26</x:v>
      </x:c>
      <x:c r="F688" s="24" t="n">
        <x:f>IFERROR('各站彙總來源'!F688/'各站彙總來源'!G688,"")</x:f>
        <x:v>3.269230769230769</x:v>
      </x:c>
      <x:c r="G688" s="19" t="n">
        <x:f>'各站彙總來源'!G688</x:f>
        <x:v>26</x:v>
      </x:c>
      <x:c r="H688" s="24" t="n">
        <x:f>IFERROR('各站彙總來源'!H688/'各站彙總來源'!I688,"")</x:f>
        <x:v>0.34615384615384615</x:v>
      </x:c>
      <x:c r="I688" s="19" t="n">
        <x:f>'各站彙總來源'!I688</x:f>
        <x:v>26</x:v>
      </x:c>
      <x:c r="J688" s="24" t="n">
        <x:f>IFERROR('各站彙總來源'!J688/'各站彙總來源'!K688,"")</x:f>
        <x:v>7.923076923076923</x:v>
      </x:c>
      <x:c r="K688" s="19" t="n">
        <x:f>'各站彙總來源'!K688</x:f>
        <x:v>26</x:v>
      </x:c>
      <x:c r="L688" s="24" t="n">
        <x:f>IFERROR('各站彙總來源'!L688/'各站彙總來源'!M688,"")</x:f>
        <x:v>1</x:v>
      </x:c>
      <x:c r="M688" s="19" t="n">
        <x:f>'各站彙總來源'!M688</x:f>
        <x:v>26</x:v>
      </x:c>
      <x:c r="N688" s="24" t="n">
        <x:f>F688+H688</x:f>
        <x:v>3.6153846153846154</x:v>
      </x:c>
      <x:c r="O688" s="24" t="n">
        <x:f>J688+L688</x:f>
        <x:v>8.923076923076923</x:v>
      </x:c>
    </x:row>
    <x:row r="689">
      <x:c r="A689" s="22" t="str">
        <x:v>500106080</x:v>
      </x:c>
      <x:c r="B689" s="17" t="str">
        <x:v>中正區</x:v>
      </x:c>
      <x:c r="C689" s="17" t="str">
        <x:v>捷運臺北車站(M2出口)</x:v>
      </x:c>
      <x:c r="D689" s="18" t="n">
        <x:v>26</x:v>
      </x:c>
      <x:c r="E689" s="18" t="n">
        <x:v>26</x:v>
      </x:c>
      <x:c r="F689" s="24" t="n">
        <x:f>IFERROR('各站彙總來源'!F689/'各站彙總來源'!G689,"")</x:f>
        <x:v>12.615384615384615</x:v>
      </x:c>
      <x:c r="G689" s="19" t="n">
        <x:f>'各站彙總來源'!G689</x:f>
        <x:v>26</x:v>
      </x:c>
      <x:c r="H689" s="24" t="n">
        <x:f>IFERROR('各站彙總來源'!H689/'各站彙總來源'!I689,"")</x:f>
        <x:v>2.3846153846153846</x:v>
      </x:c>
      <x:c r="I689" s="19" t="n">
        <x:f>'各站彙總來源'!I689</x:f>
        <x:v>26</x:v>
      </x:c>
      <x:c r="J689" s="24" t="n">
        <x:f>IFERROR('各站彙總來源'!J689/'各站彙總來源'!K689,"")</x:f>
        <x:v>5.730769230769231</x:v>
      </x:c>
      <x:c r="K689" s="19" t="n">
        <x:f>'各站彙總來源'!K689</x:f>
        <x:v>26</x:v>
      </x:c>
      <x:c r="L689" s="24" t="n">
        <x:f>IFERROR('各站彙總來源'!L689/'各站彙總來源'!M689,"")</x:f>
        <x:v>1.1538461538461537</x:v>
      </x:c>
      <x:c r="M689" s="19" t="n">
        <x:f>'各站彙總來源'!M689</x:f>
        <x:v>26</x:v>
      </x:c>
      <x:c r="N689" s="24" t="n">
        <x:f>F689+H689</x:f>
        <x:v>15</x:v>
      </x:c>
      <x:c r="O689" s="24" t="n">
        <x:f>J689+L689</x:f>
        <x:v>6.884615384615385</x:v>
      </x:c>
    </x:row>
    <x:row r="690">
      <x:c r="A690" s="22" t="str">
        <x:v>500106081</x:v>
      </x:c>
      <x:c r="B690" s="17" t="str">
        <x:v>中正區</x:v>
      </x:c>
      <x:c r="C690" s="17" t="str">
        <x:v>機場捷運台北車站(6號出口)</x:v>
      </x:c>
      <x:c r="D690" s="18" t="n">
        <x:v>26</x:v>
      </x:c>
      <x:c r="E690" s="18" t="n">
        <x:v>26</x:v>
      </x:c>
      <x:c r="F690" s="24" t="n">
        <x:f>IFERROR('各站彙總來源'!F690/'各站彙總來源'!G690,"")</x:f>
        <x:v>0</x:v>
      </x:c>
      <x:c r="G690" s="19" t="n">
        <x:f>'各站彙總來源'!G690</x:f>
        <x:v>26</x:v>
      </x:c>
      <x:c r="H690" s="24" t="n">
        <x:f>IFERROR('各站彙總來源'!H690/'各站彙總來源'!I690,"")</x:f>
        <x:v>0</x:v>
      </x:c>
      <x:c r="I690" s="19" t="n">
        <x:f>'各站彙總來源'!I690</x:f>
        <x:v>26</x:v>
      </x:c>
      <x:c r="J690" s="24" t="n">
        <x:f>IFERROR('各站彙總來源'!J690/'各站彙總來源'!K690,"")</x:f>
        <x:v>0</x:v>
      </x:c>
      <x:c r="K690" s="19" t="n">
        <x:f>'各站彙總來源'!K690</x:f>
        <x:v>26</x:v>
      </x:c>
      <x:c r="L690" s="24" t="n">
        <x:f>IFERROR('各站彙總來源'!L690/'各站彙總來源'!M690,"")</x:f>
        <x:v>0</x:v>
      </x:c>
      <x:c r="M690" s="19" t="n">
        <x:f>'各站彙總來源'!M690</x:f>
        <x:v>26</x:v>
      </x:c>
      <x:c r="N690" s="24" t="n">
        <x:f>F690+H690</x:f>
        <x:v>0</x:v>
      </x:c>
      <x:c r="O690" s="24" t="n">
        <x:f>J690+L690</x:f>
        <x:v>0</x:v>
      </x:c>
    </x:row>
    <x:row r="691">
      <x:c r="A691" s="22" t="str">
        <x:v>500106082</x:v>
      </x:c>
      <x:c r="B691" s="17" t="str">
        <x:v>中正區</x:v>
      </x:c>
      <x:c r="C691" s="17" t="str">
        <x:v>延平北平路口</x:v>
      </x:c>
      <x:c r="D691" s="18" t="n">
        <x:v>26</x:v>
      </x:c>
      <x:c r="E691" s="18" t="n">
        <x:v>26</x:v>
      </x:c>
      <x:c r="F691" s="24" t="n">
        <x:f>IFERROR('各站彙總來源'!F691/'各站彙總來源'!G691,"")</x:f>
        <x:v>0</x:v>
      </x:c>
      <x:c r="G691" s="19" t="n">
        <x:f>'各站彙總來源'!G691</x:f>
        <x:v>26</x:v>
      </x:c>
      <x:c r="H691" s="24" t="n">
        <x:f>IFERROR('各站彙總來源'!H691/'各站彙總來源'!I691,"")</x:f>
        <x:v>0</x:v>
      </x:c>
      <x:c r="I691" s="19" t="n">
        <x:f>'各站彙總來源'!I691</x:f>
        <x:v>26</x:v>
      </x:c>
      <x:c r="J691" s="24" t="n">
        <x:f>IFERROR('各站彙總來源'!J691/'各站彙總來源'!K691,"")</x:f>
        <x:v>0</x:v>
      </x:c>
      <x:c r="K691" s="19" t="n">
        <x:f>'各站彙總來源'!K691</x:f>
        <x:v>26</x:v>
      </x:c>
      <x:c r="L691" s="24" t="n">
        <x:f>IFERROR('各站彙總來源'!L691/'各站彙總來源'!M691,"")</x:f>
        <x:v>0</x:v>
      </x:c>
      <x:c r="M691" s="19" t="n">
        <x:f>'各站彙總來源'!M691</x:f>
        <x:v>26</x:v>
      </x:c>
      <x:c r="N691" s="24" t="n">
        <x:f>F691+H691</x:f>
        <x:v>0</x:v>
      </x:c>
      <x:c r="O691" s="24" t="n">
        <x:f>J691+L691</x:f>
        <x:v>0</x:v>
      </x:c>
    </x:row>
    <x:row r="692">
      <x:c r="A692" s="22" t="str">
        <x:v>500106083</x:v>
      </x:c>
      <x:c r="B692" s="17" t="str">
        <x:v>中正區</x:v>
      </x:c>
      <x:c r="C692" s="17" t="str">
        <x:v>臺北市國父史蹟館(逸仙公園)</x:v>
      </x:c>
      <x:c r="D692" s="18" t="n">
        <x:v>26</x:v>
      </x:c>
      <x:c r="E692" s="18" t="n">
        <x:v>26</x:v>
      </x:c>
      <x:c r="F692" s="24" t="n">
        <x:f>IFERROR('各站彙總來源'!F692/'各站彙總來源'!G692,"")</x:f>
        <x:v>12.153846153846153</x:v>
      </x:c>
      <x:c r="G692" s="19" t="n">
        <x:f>'各站彙總來源'!G692</x:f>
        <x:v>26</x:v>
      </x:c>
      <x:c r="H692" s="24" t="n">
        <x:f>IFERROR('各站彙總來源'!H692/'各站彙總來源'!I692,"")</x:f>
        <x:v>2.6923076923076925</x:v>
      </x:c>
      <x:c r="I692" s="19" t="n">
        <x:f>'各站彙總來源'!I692</x:f>
        <x:v>26</x:v>
      </x:c>
      <x:c r="J692" s="24" t="n">
        <x:f>IFERROR('各站彙總來源'!J692/'各站彙總來源'!K692,"")</x:f>
        <x:v>6.423076923076923</x:v>
      </x:c>
      <x:c r="K692" s="19" t="n">
        <x:f>'各站彙總來源'!K692</x:f>
        <x:v>26</x:v>
      </x:c>
      <x:c r="L692" s="24" t="n">
        <x:f>IFERROR('各站彙總來源'!L692/'各站彙總來源'!M692,"")</x:f>
        <x:v>1.5</x:v>
      </x:c>
      <x:c r="M692" s="19" t="n">
        <x:f>'各站彙總來源'!M692</x:f>
        <x:v>26</x:v>
      </x:c>
      <x:c r="N692" s="24" t="n">
        <x:f>F692+H692</x:f>
        <x:v>14.846153846153847</x:v>
      </x:c>
      <x:c r="O692" s="24" t="n">
        <x:f>J692+L692</x:f>
        <x:v>7.923076923076923</x:v>
      </x:c>
    </x:row>
    <x:row r="693">
      <x:c r="A693" s="22" t="str">
        <x:v>500106084</x:v>
      </x:c>
      <x:c r="B693" s="17" t="str">
        <x:v>中正區</x:v>
      </x:c>
      <x:c r="C693" s="17" t="str">
        <x:v>捷運西門站(5號出口)</x:v>
      </x:c>
      <x:c r="D693" s="18" t="n">
        <x:v>26</x:v>
      </x:c>
      <x:c r="E693" s="18" t="n">
        <x:v>26</x:v>
      </x:c>
      <x:c r="F693" s="24" t="n">
        <x:f>IFERROR('各站彙總來源'!F693/'各站彙總來源'!G693,"")</x:f>
        <x:v>4.538461538461538</x:v>
      </x:c>
      <x:c r="G693" s="19" t="n">
        <x:f>'各站彙總來源'!G693</x:f>
        <x:v>26</x:v>
      </x:c>
      <x:c r="H693" s="24" t="n">
        <x:f>IFERROR('各站彙總來源'!H693/'各站彙總來源'!I693,"")</x:f>
        <x:v>0.7307692307692307</x:v>
      </x:c>
      <x:c r="I693" s="19" t="n">
        <x:f>'各站彙總來源'!I693</x:f>
        <x:v>26</x:v>
      </x:c>
      <x:c r="J693" s="24" t="n">
        <x:f>IFERROR('各站彙總來源'!J693/'各站彙總來源'!K693,"")</x:f>
        <x:v>10.961538461538462</x:v>
      </x:c>
      <x:c r="K693" s="19" t="n">
        <x:f>'各站彙總來源'!K693</x:f>
        <x:v>26</x:v>
      </x:c>
      <x:c r="L693" s="24" t="n">
        <x:f>IFERROR('各站彙總來源'!L693/'各站彙總來源'!M693,"")</x:f>
        <x:v>1.4230769230769231</x:v>
      </x:c>
      <x:c r="M693" s="19" t="n">
        <x:f>'各站彙總來源'!M693</x:f>
        <x:v>26</x:v>
      </x:c>
      <x:c r="N693" s="24" t="n">
        <x:f>F693+H693</x:f>
        <x:v>5.269230769230769</x:v>
      </x:c>
      <x:c r="O693" s="24" t="n">
        <x:f>J693+L693</x:f>
        <x:v>12.384615384615385</x:v>
      </x:c>
    </x:row>
    <x:row r="694">
      <x:c r="A694" s="22" t="str">
        <x:v>500106085</x:v>
      </x:c>
      <x:c r="B694" s="17" t="str">
        <x:v>中正區</x:v>
      </x:c>
      <x:c r="C694" s="17" t="str">
        <x:v>弘道國中</x:v>
      </x:c>
      <x:c r="D694" s="18" t="n">
        <x:v>26</x:v>
      </x:c>
      <x:c r="E694" s="18" t="n">
        <x:v>26</x:v>
      </x:c>
      <x:c r="F694" s="24" t="n">
        <x:f>IFERROR('各站彙總來源'!F694/'各站彙總來源'!G694,"")</x:f>
        <x:v>4.961538461538462</x:v>
      </x:c>
      <x:c r="G694" s="19" t="n">
        <x:f>'各站彙總來源'!G694</x:f>
        <x:v>26</x:v>
      </x:c>
      <x:c r="H694" s="24" t="n">
        <x:f>IFERROR('各站彙總來源'!H694/'各站彙總來源'!I694,"")</x:f>
        <x:v>0.4230769230769231</x:v>
      </x:c>
      <x:c r="I694" s="19" t="n">
        <x:f>'各站彙總來源'!I694</x:f>
        <x:v>26</x:v>
      </x:c>
      <x:c r="J694" s="24" t="n">
        <x:f>IFERROR('各站彙總來源'!J694/'各站彙總來源'!K694,"")</x:f>
        <x:v>23.307692307692307</x:v>
      </x:c>
      <x:c r="K694" s="19" t="n">
        <x:f>'各站彙總來源'!K694</x:f>
        <x:v>26</x:v>
      </x:c>
      <x:c r="L694" s="24" t="n">
        <x:f>IFERROR('各站彙總來源'!L694/'各站彙總來源'!M694,"")</x:f>
        <x:v>2.8461538461538463</x:v>
      </x:c>
      <x:c r="M694" s="19" t="n">
        <x:f>'各站彙總來源'!M694</x:f>
        <x:v>26</x:v>
      </x:c>
      <x:c r="N694" s="24" t="n">
        <x:f>F694+H694</x:f>
        <x:v>5.384615384615385</x:v>
      </x:c>
      <x:c r="O694" s="24" t="n">
        <x:f>J694+L694</x:f>
        <x:v>26.153846153846153</x:v>
      </x:c>
    </x:row>
    <x:row r="695">
      <x:c r="A695" s="22" t="str">
        <x:v>500106086</x:v>
      </x:c>
      <x:c r="B695" s="17" t="str">
        <x:v>中正區</x:v>
      </x:c>
      <x:c r="C695" s="17" t="str">
        <x:v>臺北市第一女子高級中學</x:v>
      </x:c>
      <x:c r="D695" s="18" t="n">
        <x:v>26</x:v>
      </x:c>
      <x:c r="E695" s="18" t="n">
        <x:v>26</x:v>
      </x:c>
      <x:c r="F695" s="24" t="n">
        <x:f>IFERROR('各站彙總來源'!F695/'各站彙總來源'!G695,"")</x:f>
        <x:v>3.0384615384615383</x:v>
      </x:c>
      <x:c r="G695" s="19" t="n">
        <x:f>'各站彙總來源'!G695</x:f>
        <x:v>26</x:v>
      </x:c>
      <x:c r="H695" s="24" t="n">
        <x:f>IFERROR('各站彙總來源'!H695/'各站彙總來源'!I695,"")</x:f>
        <x:v>0.46153846153846156</x:v>
      </x:c>
      <x:c r="I695" s="19" t="n">
        <x:f>'各站彙總來源'!I695</x:f>
        <x:v>26</x:v>
      </x:c>
      <x:c r="J695" s="24" t="n">
        <x:f>IFERROR('各站彙總來源'!J695/'各站彙總來源'!K695,"")</x:f>
        <x:v>31.5</x:v>
      </x:c>
      <x:c r="K695" s="19" t="n">
        <x:f>'各站彙總來源'!K695</x:f>
        <x:v>26</x:v>
      </x:c>
      <x:c r="L695" s="24" t="n">
        <x:f>IFERROR('各站彙總來源'!L695/'各站彙總來源'!M695,"")</x:f>
        <x:v>2.4615384615384617</x:v>
      </x:c>
      <x:c r="M695" s="19" t="n">
        <x:f>'各站彙總來源'!M695</x:f>
        <x:v>26</x:v>
      </x:c>
      <x:c r="N695" s="24" t="n">
        <x:f>F695+H695</x:f>
        <x:v>3.5</x:v>
      </x:c>
      <x:c r="O695" s="24" t="n">
        <x:f>J695+L695</x:f>
        <x:v>33.96153846153846</x:v>
      </x:c>
    </x:row>
    <x:row r="696">
      <x:c r="A696" s="22" t="str">
        <x:v>500106087</x:v>
      </x:c>
      <x:c r="B696" s="17" t="str">
        <x:v>中正區</x:v>
      </x:c>
      <x:c r="C696" s="17" t="str">
        <x:v>台北市替代役中心</x:v>
      </x:c>
      <x:c r="D696" s="18" t="n">
        <x:v>26</x:v>
      </x:c>
      <x:c r="E696" s="18" t="n">
        <x:v>26</x:v>
      </x:c>
      <x:c r="F696" s="24" t="n">
        <x:f>IFERROR('各站彙總來源'!F696/'各站彙總來源'!G696,"")</x:f>
        <x:v>8.192307692307692</x:v>
      </x:c>
      <x:c r="G696" s="19" t="n">
        <x:f>'各站彙總來源'!G696</x:f>
        <x:v>26</x:v>
      </x:c>
      <x:c r="H696" s="24" t="n">
        <x:f>IFERROR('各站彙總來源'!H696/'各站彙總來源'!I696,"")</x:f>
        <x:v>1.1153846153846154</x:v>
      </x:c>
      <x:c r="I696" s="19" t="n">
        <x:f>'各站彙總來源'!I696</x:f>
        <x:v>26</x:v>
      </x:c>
      <x:c r="J696" s="24" t="n">
        <x:f>IFERROR('各站彙總來源'!J696/'各站彙總來源'!K696,"")</x:f>
        <x:v>3.076923076923077</x:v>
      </x:c>
      <x:c r="K696" s="19" t="n">
        <x:f>'各站彙總來源'!K696</x:f>
        <x:v>26</x:v>
      </x:c>
      <x:c r="L696" s="24" t="n">
        <x:f>IFERROR('各站彙總來源'!L696/'各站彙總來源'!M696,"")</x:f>
        <x:v>0.8461538461538461</x:v>
      </x:c>
      <x:c r="M696" s="19" t="n">
        <x:f>'各站彙總來源'!M696</x:f>
        <x:v>26</x:v>
      </x:c>
      <x:c r="N696" s="24" t="n">
        <x:f>F696+H696</x:f>
        <x:v>9.307692307692307</x:v>
      </x:c>
      <x:c r="O696" s="24" t="n">
        <x:f>J696+L696</x:f>
        <x:v>3.9230769230769234</x:v>
      </x:c>
    </x:row>
    <x:row r="697">
      <x:c r="A697" s="22" t="str">
        <x:v>500106088</x:v>
      </x:c>
      <x:c r="B697" s="17" t="str">
        <x:v>中正區</x:v>
      </x:c>
      <x:c r="C697" s="17" t="str">
        <x:v>紹興徐州路口</x:v>
      </x:c>
      <x:c r="D697" s="18" t="n">
        <x:v>26</x:v>
      </x:c>
      <x:c r="E697" s="18" t="n">
        <x:v>26</x:v>
      </x:c>
      <x:c r="F697" s="24" t="n">
        <x:f>IFERROR('各站彙總來源'!F697/'各站彙總來源'!G697,"")</x:f>
        <x:v>6.038461538461538</x:v>
      </x:c>
      <x:c r="G697" s="19" t="n">
        <x:f>'各站彙總來源'!G697</x:f>
        <x:v>26</x:v>
      </x:c>
      <x:c r="H697" s="24" t="n">
        <x:f>IFERROR('各站彙總來源'!H697/'各站彙總來源'!I697,"")</x:f>
        <x:v>2</x:v>
      </x:c>
      <x:c r="I697" s="19" t="n">
        <x:f>'各站彙總來源'!I697</x:f>
        <x:v>26</x:v>
      </x:c>
      <x:c r="J697" s="24" t="n">
        <x:f>IFERROR('各站彙總來源'!J697/'各站彙總來源'!K697,"")</x:f>
        <x:v>7.461538461538462</x:v>
      </x:c>
      <x:c r="K697" s="19" t="n">
        <x:f>'各站彙總來源'!K697</x:f>
        <x:v>26</x:v>
      </x:c>
      <x:c r="L697" s="24" t="n">
        <x:f>IFERROR('各站彙總來源'!L697/'各站彙總來源'!M697,"")</x:f>
        <x:v>1.8461538461538463</x:v>
      </x:c>
      <x:c r="M697" s="19" t="n">
        <x:f>'各站彙總來源'!M697</x:f>
        <x:v>26</x:v>
      </x:c>
      <x:c r="N697" s="24" t="n">
        <x:f>F697+H697</x:f>
        <x:v>8.038461538461538</x:v>
      </x:c>
      <x:c r="O697" s="24" t="n">
        <x:f>J697+L697</x:f>
        <x:v>9.307692307692308</x:v>
      </x:c>
    </x:row>
    <x:row r="698">
      <x:c r="A698" s="22" t="str">
        <x:v>500106089</x:v>
      </x:c>
      <x:c r="B698" s="17" t="str">
        <x:v>中正區</x:v>
      </x:c>
      <x:c r="C698" s="17" t="str">
        <x:v>羅斯福寧波東街口</x:v>
      </x:c>
      <x:c r="D698" s="18" t="n">
        <x:v>26</x:v>
      </x:c>
      <x:c r="E698" s="18" t="n">
        <x:v>26</x:v>
      </x:c>
      <x:c r="F698" s="24" t="n">
        <x:f>IFERROR('各站彙總來源'!F698/'各站彙總來源'!G698,"")</x:f>
        <x:v>10.692307692307692</x:v>
      </x:c>
      <x:c r="G698" s="19" t="n">
        <x:f>'各站彙總來源'!G698</x:f>
        <x:v>26</x:v>
      </x:c>
      <x:c r="H698" s="24" t="n">
        <x:f>IFERROR('各站彙總來源'!H698/'各站彙總來源'!I698,"")</x:f>
        <x:v>0.9230769230769231</x:v>
      </x:c>
      <x:c r="I698" s="19" t="n">
        <x:f>'各站彙總來源'!I698</x:f>
        <x:v>26</x:v>
      </x:c>
      <x:c r="J698" s="24" t="n">
        <x:f>IFERROR('各站彙總來源'!J698/'各站彙總來源'!K698,"")</x:f>
        <x:v>3.3076923076923075</x:v>
      </x:c>
      <x:c r="K698" s="19" t="n">
        <x:f>'各站彙總來源'!K698</x:f>
        <x:v>26</x:v>
      </x:c>
      <x:c r="L698" s="24" t="n">
        <x:f>IFERROR('各站彙總來源'!L698/'各站彙總來源'!M698,"")</x:f>
        <x:v>1.1153846153846154</x:v>
      </x:c>
      <x:c r="M698" s="19" t="n">
        <x:f>'各站彙總來源'!M698</x:f>
        <x:v>26</x:v>
      </x:c>
      <x:c r="N698" s="24" t="n">
        <x:f>F698+H698</x:f>
        <x:v>11.615384615384615</x:v>
      </x:c>
      <x:c r="O698" s="24" t="n">
        <x:f>J698+L698</x:f>
        <x:v>4.423076923076923</x:v>
      </x:c>
    </x:row>
    <x:row r="699">
      <x:c r="A699" s="22" t="str">
        <x:v>500106090</x:v>
      </x:c>
      <x:c r="B699" s="17" t="str">
        <x:v>中正區</x:v>
      </x:c>
      <x:c r="C699" s="17" t="str">
        <x:v>自來水園區</x:v>
      </x:c>
      <x:c r="D699" s="18" t="n">
        <x:v>26</x:v>
      </x:c>
      <x:c r="E699" s="18" t="n">
        <x:v>26</x:v>
      </x:c>
      <x:c r="F699" s="24" t="n">
        <x:f>IFERROR('各站彙總來源'!F699/'各站彙總來源'!G699,"")</x:f>
        <x:v>10.153846153846153</x:v>
      </x:c>
      <x:c r="G699" s="19" t="n">
        <x:f>'各站彙總來源'!G699</x:f>
        <x:v>26</x:v>
      </x:c>
      <x:c r="H699" s="24" t="n">
        <x:f>IFERROR('各站彙總來源'!H699/'各站彙總來源'!I699,"")</x:f>
        <x:v>1.4230769230769231</x:v>
      </x:c>
      <x:c r="I699" s="19" t="n">
        <x:f>'各站彙總來源'!I699</x:f>
        <x:v>26</x:v>
      </x:c>
      <x:c r="J699" s="24" t="n">
        <x:f>IFERROR('各站彙總來源'!J699/'各站彙總來源'!K699,"")</x:f>
        <x:v>4.538461538461538</x:v>
      </x:c>
      <x:c r="K699" s="19" t="n">
        <x:f>'各站彙總來源'!K699</x:f>
        <x:v>26</x:v>
      </x:c>
      <x:c r="L699" s="24" t="n">
        <x:f>IFERROR('各站彙總來源'!L699/'各站彙總來源'!M699,"")</x:f>
        <x:v>1.0769230769230769</x:v>
      </x:c>
      <x:c r="M699" s="19" t="n">
        <x:f>'各站彙總來源'!M699</x:f>
        <x:v>26</x:v>
      </x:c>
      <x:c r="N699" s="24" t="n">
        <x:f>F699+H699</x:f>
        <x:v>11.576923076923077</x:v>
      </x:c>
      <x:c r="O699" s="24" t="n">
        <x:f>J699+L699</x:f>
        <x:v>5.615384615384615</x:v>
      </x:c>
    </x:row>
    <x:row r="700">
      <x:c r="A700" s="22" t="str">
        <x:v>500106091</x:v>
      </x:c>
      <x:c r="B700" s="17" t="str">
        <x:v>中正區</x:v>
      </x:c>
      <x:c r="C700" s="17" t="str">
        <x:v>仁愛林森路口</x:v>
      </x:c>
      <x:c r="D700" s="18" t="n">
        <x:v>26</x:v>
      </x:c>
      <x:c r="E700" s="18" t="n">
        <x:v>26</x:v>
      </x:c>
      <x:c r="F700" s="24" t="n">
        <x:f>IFERROR('各站彙總來源'!F700/'各站彙總來源'!G700,"")</x:f>
        <x:v>2.0384615384615383</x:v>
      </x:c>
      <x:c r="G700" s="19" t="n">
        <x:f>'各站彙總來源'!G700</x:f>
        <x:v>26</x:v>
      </x:c>
      <x:c r="H700" s="24" t="n">
        <x:f>IFERROR('各站彙總來源'!H700/'各站彙總來源'!I700,"")</x:f>
        <x:v>1.0384615384615385</x:v>
      </x:c>
      <x:c r="I700" s="19" t="n">
        <x:f>'各站彙總來源'!I700</x:f>
        <x:v>26</x:v>
      </x:c>
      <x:c r="J700" s="24" t="n">
        <x:f>IFERROR('各站彙總來源'!J700/'各站彙總來源'!K700,"")</x:f>
        <x:v>31.384615384615383</x:v>
      </x:c>
      <x:c r="K700" s="19" t="n">
        <x:f>'各站彙總來源'!K700</x:f>
        <x:v>26</x:v>
      </x:c>
      <x:c r="L700" s="24" t="n">
        <x:f>IFERROR('各站彙總來源'!L700/'各站彙總來源'!M700,"")</x:f>
        <x:v>5.346153846153846</x:v>
      </x:c>
      <x:c r="M700" s="19" t="n">
        <x:f>'各站彙總來源'!M700</x:f>
        <x:v>26</x:v>
      </x:c>
      <x:c r="N700" s="24" t="n">
        <x:f>F700+H700</x:f>
        <x:v>3.0769230769230766</x:v>
      </x:c>
      <x:c r="O700" s="24" t="n">
        <x:f>J700+L700</x:f>
        <x:v>36.730769230769226</x:v>
      </x:c>
    </x:row>
    <x:row r="701">
      <x:c r="A701" s="22" t="str">
        <x:v>500106092</x:v>
      </x:c>
      <x:c r="B701" s="17" t="str">
        <x:v>中正區</x:v>
      </x:c>
      <x:c r="C701" s="17" t="str">
        <x:v>捷運西門站(3號出口)</x:v>
      </x:c>
      <x:c r="D701" s="18" t="n">
        <x:v>26</x:v>
      </x:c>
      <x:c r="E701" s="18" t="n">
        <x:v>26</x:v>
      </x:c>
      <x:c r="F701" s="24" t="n">
        <x:f>IFERROR('各站彙總來源'!F701/'各站彙總來源'!G701,"")</x:f>
        <x:v>11.423076923076923</x:v>
      </x:c>
      <x:c r="G701" s="19" t="n">
        <x:f>'各站彙總來源'!G701</x:f>
        <x:v>26</x:v>
      </x:c>
      <x:c r="H701" s="24" t="n">
        <x:f>IFERROR('各站彙總來源'!H701/'各站彙總來源'!I701,"")</x:f>
        <x:v>2.230769230769231</x:v>
      </x:c>
      <x:c r="I701" s="19" t="n">
        <x:f>'各站彙總來源'!I701</x:f>
        <x:v>26</x:v>
      </x:c>
      <x:c r="J701" s="24" t="n">
        <x:f>IFERROR('各站彙總來源'!J701/'各站彙總來源'!K701,"")</x:f>
        <x:v>11.038461538461538</x:v>
      </x:c>
      <x:c r="K701" s="19" t="n">
        <x:f>'各站彙總來源'!K701</x:f>
        <x:v>26</x:v>
      </x:c>
      <x:c r="L701" s="24" t="n">
        <x:f>IFERROR('各站彙總來源'!L701/'各站彙總來源'!M701,"")</x:f>
        <x:v>2.1923076923076925</x:v>
      </x:c>
      <x:c r="M701" s="19" t="n">
        <x:f>'各站彙總來源'!M701</x:f>
        <x:v>26</x:v>
      </x:c>
      <x:c r="N701" s="24" t="n">
        <x:f>F701+H701</x:f>
        <x:v>13.653846153846153</x:v>
      </x:c>
      <x:c r="O701" s="24" t="n">
        <x:f>J701+L701</x:f>
        <x:v>13.23076923076923</x:v>
      </x:c>
    </x:row>
    <x:row r="702">
      <x:c r="A702" s="22" t="str">
        <x:v>500106093</x:v>
      </x:c>
      <x:c r="B702" s="17" t="str">
        <x:v>中正區</x:v>
      </x:c>
      <x:c r="C702" s="17" t="str">
        <x:v>仁愛金山路口</x:v>
      </x:c>
      <x:c r="D702" s="18" t="n">
        <x:v>26</x:v>
      </x:c>
      <x:c r="E702" s="18" t="n">
        <x:v>26</x:v>
      </x:c>
      <x:c r="F702" s="24" t="n">
        <x:f>IFERROR('各站彙總來源'!F702/'各站彙總來源'!G702,"")</x:f>
        <x:v>5.230769230769231</x:v>
      </x:c>
      <x:c r="G702" s="19" t="n">
        <x:f>'各站彙總來源'!G702</x:f>
        <x:v>26</x:v>
      </x:c>
      <x:c r="H702" s="24" t="n">
        <x:f>IFERROR('各站彙總來源'!H702/'各站彙總來源'!I702,"")</x:f>
        <x:v>1.6923076923076923</x:v>
      </x:c>
      <x:c r="I702" s="19" t="n">
        <x:f>'各站彙總來源'!I702</x:f>
        <x:v>26</x:v>
      </x:c>
      <x:c r="J702" s="24" t="n">
        <x:f>IFERROR('各站彙總來源'!J702/'各站彙總來源'!K702,"")</x:f>
        <x:v>3.5</x:v>
      </x:c>
      <x:c r="K702" s="19" t="n">
        <x:f>'各站彙總來源'!K702</x:f>
        <x:v>26</x:v>
      </x:c>
      <x:c r="L702" s="24" t="n">
        <x:f>IFERROR('各站彙總來源'!L702/'各站彙總來源'!M702,"")</x:f>
        <x:v>0.7307692307692307</x:v>
      </x:c>
      <x:c r="M702" s="19" t="n">
        <x:f>'各站彙總來源'!M702</x:f>
        <x:v>26</x:v>
      </x:c>
      <x:c r="N702" s="24" t="n">
        <x:f>F702+H702</x:f>
        <x:v>6.923076923076923</x:v>
      </x:c>
      <x:c r="O702" s="24" t="n">
        <x:f>J702+L702</x:f>
        <x:v>4.230769230769231</x:v>
      </x:c>
    </x:row>
    <x:row r="703">
      <x:c r="A703" s="22" t="str">
        <x:v>500106094</x:v>
      </x:c>
      <x:c r="B703" s="17" t="str">
        <x:v>中正區</x:v>
      </x:c>
      <x:c r="C703" s="17" t="str">
        <x:v>杭州南路一段101巷口</x:v>
      </x:c>
      <x:c r="D703" s="18" t="n">
        <x:v>26</x:v>
      </x:c>
      <x:c r="E703" s="18" t="n">
        <x:v>26</x:v>
      </x:c>
      <x:c r="F703" s="24" t="n">
        <x:f>IFERROR('各站彙總來源'!F703/'各站彙總來源'!G703,"")</x:f>
        <x:v>5.8076923076923075</x:v>
      </x:c>
      <x:c r="G703" s="19" t="n">
        <x:f>'各站彙總來源'!G703</x:f>
        <x:v>26</x:v>
      </x:c>
      <x:c r="H703" s="24" t="n">
        <x:f>IFERROR('各站彙總來源'!H703/'各站彙總來源'!I703,"")</x:f>
        <x:v>1.8846153846153846</x:v>
      </x:c>
      <x:c r="I703" s="19" t="n">
        <x:f>'各站彙總來源'!I703</x:f>
        <x:v>26</x:v>
      </x:c>
      <x:c r="J703" s="24" t="n">
        <x:f>IFERROR('各站彙總來源'!J703/'各站彙總來源'!K703,"")</x:f>
        <x:v>3.3461538461538463</x:v>
      </x:c>
      <x:c r="K703" s="19" t="n">
        <x:f>'各站彙總來源'!K703</x:f>
        <x:v>26</x:v>
      </x:c>
      <x:c r="L703" s="24" t="n">
        <x:f>IFERROR('各站彙總來源'!L703/'各站彙總來源'!M703,"")</x:f>
        <x:v>0.8076923076923077</x:v>
      </x:c>
      <x:c r="M703" s="19" t="n">
        <x:f>'各站彙總來源'!M703</x:f>
        <x:v>26</x:v>
      </x:c>
      <x:c r="N703" s="24" t="n">
        <x:f>F703+H703</x:f>
        <x:v>7.692307692307692</x:v>
      </x:c>
      <x:c r="O703" s="24" t="n">
        <x:f>J703+L703</x:f>
        <x:v>4.153846153846154</x:v>
      </x:c>
    </x:row>
    <x:row r="704">
      <x:c r="A704" s="22" t="str">
        <x:v>500106095</x:v>
      </x:c>
      <x:c r="B704" s="17" t="str">
        <x:v>中正區</x:v>
      </x:c>
      <x:c r="C704" s="17" t="str">
        <x:v>仁愛杭州路口</x:v>
      </x:c>
      <x:c r="D704" s="18" t="n">
        <x:v>26</x:v>
      </x:c>
      <x:c r="E704" s="18" t="n">
        <x:v>26</x:v>
      </x:c>
      <x:c r="F704" s="24" t="n">
        <x:f>IFERROR('各站彙總來源'!F704/'各站彙總來源'!G704,"")</x:f>
        <x:v>4.769230769230769</x:v>
      </x:c>
      <x:c r="G704" s="19" t="n">
        <x:f>'各站彙總來源'!G704</x:f>
        <x:v>26</x:v>
      </x:c>
      <x:c r="H704" s="24" t="n">
        <x:f>IFERROR('各站彙總來源'!H704/'各站彙總來源'!I704,"")</x:f>
        <x:v>1.4615384615384615</x:v>
      </x:c>
      <x:c r="I704" s="19" t="n">
        <x:f>'各站彙總來源'!I704</x:f>
        <x:v>26</x:v>
      </x:c>
      <x:c r="J704" s="24" t="n">
        <x:f>IFERROR('各站彙總來源'!J704/'各站彙總來源'!K704,"")</x:f>
        <x:v>9.26923076923077</x:v>
      </x:c>
      <x:c r="K704" s="19" t="n">
        <x:f>'各站彙總來源'!K704</x:f>
        <x:v>26</x:v>
      </x:c>
      <x:c r="L704" s="24" t="n">
        <x:f>IFERROR('各站彙總來源'!L704/'各站彙總來源'!M704,"")</x:f>
        <x:v>2.1153846153846154</x:v>
      </x:c>
      <x:c r="M704" s="19" t="n">
        <x:f>'各站彙總來源'!M704</x:f>
        <x:v>26</x:v>
      </x:c>
      <x:c r="N704" s="24" t="n">
        <x:f>F704+H704</x:f>
        <x:v>6.230769230769231</x:v>
      </x:c>
      <x:c r="O704" s="24" t="n">
        <x:f>J704+L704</x:f>
        <x:v>11.384615384615385</x:v>
      </x:c>
    </x:row>
    <x:row r="705">
      <x:c r="A705" s="22" t="str">
        <x:v>500106096</x:v>
      </x:c>
      <x:c r="B705" s="17" t="str">
        <x:v>中正區</x:v>
      </x:c>
      <x:c r="C705" s="17" t="str">
        <x:v>龍興里活動中心</x:v>
      </x:c>
      <x:c r="D705" s="18" t="n">
        <x:v>26</x:v>
      </x:c>
      <x:c r="E705" s="18" t="n">
        <x:v>26</x:v>
      </x:c>
      <x:c r="F705" s="24" t="n">
        <x:f>IFERROR('各站彙總來源'!F705/'各站彙總來源'!G705,"")</x:f>
        <x:v>16.153846153846153</x:v>
      </x:c>
      <x:c r="G705" s="19" t="n">
        <x:f>'各站彙總來源'!G705</x:f>
        <x:v>26</x:v>
      </x:c>
      <x:c r="H705" s="24" t="n">
        <x:f>IFERROR('各站彙總來源'!H705/'各站彙總來源'!I705,"")</x:f>
        <x:v>3.3461538461538463</x:v>
      </x:c>
      <x:c r="I705" s="19" t="n">
        <x:f>'各站彙總來源'!I705</x:f>
        <x:v>26</x:v>
      </x:c>
      <x:c r="J705" s="24" t="n">
        <x:f>IFERROR('各站彙總來源'!J705/'各站彙總來源'!K705,"")</x:f>
        <x:v>4.6923076923076925</x:v>
      </x:c>
      <x:c r="K705" s="19" t="n">
        <x:f>'各站彙總來源'!K705</x:f>
        <x:v>26</x:v>
      </x:c>
      <x:c r="L705" s="24" t="n">
        <x:f>IFERROR('各站彙總來源'!L705/'各站彙總來源'!M705,"")</x:f>
        <x:v>1.0384615384615385</x:v>
      </x:c>
      <x:c r="M705" s="19" t="n">
        <x:f>'各站彙總來源'!M705</x:f>
        <x:v>26</x:v>
      </x:c>
      <x:c r="N705" s="24" t="n">
        <x:f>F705+H705</x:f>
        <x:v>19.5</x:v>
      </x:c>
      <x:c r="O705" s="24" t="n">
        <x:f>J705+L705</x:f>
        <x:v>5.730769230769231</x:v>
      </x:c>
    </x:row>
    <x:row r="706">
      <x:c r="A706" s="22" t="str">
        <x:v>500106097</x:v>
      </x:c>
      <x:c r="B706" s="17" t="str">
        <x:v>中正區</x:v>
      </x:c>
      <x:c r="C706" s="17" t="str">
        <x:v>植物園</x:v>
      </x:c>
      <x:c r="D706" s="18" t="n">
        <x:v>26</x:v>
      </x:c>
      <x:c r="E706" s="18" t="n">
        <x:v>26</x:v>
      </x:c>
      <x:c r="F706" s="24" t="n">
        <x:f>IFERROR('各站彙總來源'!F706/'各站彙總來源'!G706,"")</x:f>
        <x:v>8.076923076923077</x:v>
      </x:c>
      <x:c r="G706" s="19" t="n">
        <x:f>'各站彙總來源'!G706</x:f>
        <x:v>26</x:v>
      </x:c>
      <x:c r="H706" s="24" t="n">
        <x:f>IFERROR('各站彙總來源'!H706/'各站彙總來源'!I706,"")</x:f>
        <x:v>1.3461538461538463</x:v>
      </x:c>
      <x:c r="I706" s="19" t="n">
        <x:f>'各站彙總來源'!I706</x:f>
        <x:v>26</x:v>
      </x:c>
      <x:c r="J706" s="24" t="n">
        <x:f>IFERROR('各站彙總來源'!J706/'各站彙總來源'!K706,"")</x:f>
        <x:v>11.423076923076923</x:v>
      </x:c>
      <x:c r="K706" s="19" t="n">
        <x:f>'各站彙總來源'!K706</x:f>
        <x:v>26</x:v>
      </x:c>
      <x:c r="L706" s="24" t="n">
        <x:f>IFERROR('各站彙總來源'!L706/'各站彙總來源'!M706,"")</x:f>
        <x:v>1.8461538461538463</x:v>
      </x:c>
      <x:c r="M706" s="19" t="n">
        <x:f>'各站彙總來源'!M706</x:f>
        <x:v>26</x:v>
      </x:c>
      <x:c r="N706" s="24" t="n">
        <x:f>F706+H706</x:f>
        <x:v>9.423076923076923</x:v>
      </x:c>
      <x:c r="O706" s="24" t="n">
        <x:f>J706+L706</x:f>
        <x:v>13.26923076923077</x:v>
      </x:c>
    </x:row>
    <x:row r="707">
      <x:c r="A707" s="22" t="str">
        <x:v>500106098</x:v>
      </x:c>
      <x:c r="B707" s="17" t="str">
        <x:v>中正區</x:v>
      </x:c>
      <x:c r="C707" s="17" t="str">
        <x:v>郵政博物館</x:v>
      </x:c>
      <x:c r="D707" s="18" t="n">
        <x:v>26</x:v>
      </x:c>
      <x:c r="E707" s="18" t="n">
        <x:v>26</x:v>
      </x:c>
      <x:c r="F707" s="24" t="n">
        <x:f>IFERROR('各站彙總來源'!F707/'各站彙總來源'!G707,"")</x:f>
        <x:v>4.884615384615385</x:v>
      </x:c>
      <x:c r="G707" s="19" t="n">
        <x:f>'各站彙總來源'!G707</x:f>
        <x:v>26</x:v>
      </x:c>
      <x:c r="H707" s="24" t="n">
        <x:f>IFERROR('各站彙總來源'!H707/'各站彙總來源'!I707,"")</x:f>
        <x:v>0.7307692307692307</x:v>
      </x:c>
      <x:c r="I707" s="19" t="n">
        <x:f>'各站彙總來源'!I707</x:f>
        <x:v>26</x:v>
      </x:c>
      <x:c r="J707" s="24" t="n">
        <x:f>IFERROR('各站彙總來源'!J707/'各站彙總來源'!K707,"")</x:f>
        <x:v>16.576923076923077</x:v>
      </x:c>
      <x:c r="K707" s="19" t="n">
        <x:f>'各站彙總來源'!K707</x:f>
        <x:v>26</x:v>
      </x:c>
      <x:c r="L707" s="24" t="n">
        <x:f>IFERROR('各站彙總來源'!L707/'各站彙總來源'!M707,"")</x:f>
        <x:v>1.9615384615384615</x:v>
      </x:c>
      <x:c r="M707" s="19" t="n">
        <x:f>'各站彙總來源'!M707</x:f>
        <x:v>26</x:v>
      </x:c>
      <x:c r="N707" s="24" t="n">
        <x:f>F707+H707</x:f>
        <x:v>5.615384615384616</x:v>
      </x:c>
      <x:c r="O707" s="24" t="n">
        <x:f>J707+L707</x:f>
        <x:v>18.538461538461537</x:v>
      </x:c>
    </x:row>
    <x:row r="708">
      <x:c r="A708" s="22" t="str">
        <x:v>500106099</x:v>
      </x:c>
      <x:c r="B708" s="17" t="str">
        <x:v>中正區</x:v>
      </x:c>
      <x:c r="C708" s="17" t="str">
        <x:v>林森北平路口</x:v>
      </x:c>
      <x:c r="D708" s="18" t="n">
        <x:v>26</x:v>
      </x:c>
      <x:c r="E708" s="18" t="n">
        <x:v>26</x:v>
      </x:c>
      <x:c r="F708" s="24" t="n">
        <x:f>IFERROR('各站彙總來源'!F708/'各站彙總來源'!G708,"")</x:f>
        <x:v>3.5384615384615383</x:v>
      </x:c>
      <x:c r="G708" s="19" t="n">
        <x:f>'各站彙總來源'!G708</x:f>
        <x:v>26</x:v>
      </x:c>
      <x:c r="H708" s="24" t="n">
        <x:f>IFERROR('各站彙總來源'!H708/'各站彙總來源'!I708,"")</x:f>
        <x:v>0.4230769230769231</x:v>
      </x:c>
      <x:c r="I708" s="19" t="n">
        <x:f>'各站彙總來源'!I708</x:f>
        <x:v>26</x:v>
      </x:c>
      <x:c r="J708" s="24" t="n">
        <x:f>IFERROR('各站彙總來源'!J708/'各站彙總來源'!K708,"")</x:f>
        <x:v>7.153846153846154</x:v>
      </x:c>
      <x:c r="K708" s="19" t="n">
        <x:f>'各站彙總來源'!K708</x:f>
        <x:v>26</x:v>
      </x:c>
      <x:c r="L708" s="24" t="n">
        <x:f>IFERROR('各站彙總來源'!L708/'各站彙總來源'!M708,"")</x:f>
        <x:v>0.6153846153846154</x:v>
      </x:c>
      <x:c r="M708" s="19" t="n">
        <x:f>'各站彙總來源'!M708</x:f>
        <x:v>26</x:v>
      </x:c>
      <x:c r="N708" s="24" t="n">
        <x:f>F708+H708</x:f>
        <x:v>3.9615384615384612</x:v>
      </x:c>
      <x:c r="O708" s="24" t="n">
        <x:f>J708+L708</x:f>
        <x:v>7.76923076923077</x:v>
      </x:c>
    </x:row>
    <x:row r="709">
      <x:c r="A709" s="22" t="str">
        <x:v>500106100</x:v>
      </x:c>
      <x:c r="B709" s="17" t="str">
        <x:v>中正區</x:v>
      </x:c>
      <x:c r="C709" s="17" t="str">
        <x:v>北平紹興路口</x:v>
      </x:c>
      <x:c r="D709" s="18" t="n">
        <x:v>26</x:v>
      </x:c>
      <x:c r="E709" s="18" t="n">
        <x:v>26</x:v>
      </x:c>
      <x:c r="F709" s="24" t="n">
        <x:f>IFERROR('各站彙總來源'!F709/'各站彙總來源'!G709,"")</x:f>
        <x:v>3.8846153846153846</x:v>
      </x:c>
      <x:c r="G709" s="19" t="n">
        <x:f>'各站彙總來源'!G709</x:f>
        <x:v>26</x:v>
      </x:c>
      <x:c r="H709" s="24" t="n">
        <x:f>IFERROR('各站彙總來源'!H709/'各站彙總來源'!I709,"")</x:f>
        <x:v>0.7307692307692307</x:v>
      </x:c>
      <x:c r="I709" s="19" t="n">
        <x:f>'各站彙總來源'!I709</x:f>
        <x:v>26</x:v>
      </x:c>
      <x:c r="J709" s="24" t="n">
        <x:f>IFERROR('各站彙總來源'!J709/'各站彙總來源'!K709,"")</x:f>
        <x:v>16.423076923076923</x:v>
      </x:c>
      <x:c r="K709" s="19" t="n">
        <x:f>'各站彙總來源'!K709</x:f>
        <x:v>26</x:v>
      </x:c>
      <x:c r="L709" s="24" t="n">
        <x:f>IFERROR('各站彙總來源'!L709/'各站彙總來源'!M709,"")</x:f>
        <x:v>1.8846153846153846</x:v>
      </x:c>
      <x:c r="M709" s="19" t="n">
        <x:f>'各站彙總來源'!M709</x:f>
        <x:v>26</x:v>
      </x:c>
      <x:c r="N709" s="24" t="n">
        <x:f>F709+H709</x:f>
        <x:v>4.615384615384615</x:v>
      </x:c>
      <x:c r="O709" s="24" t="n">
        <x:f>J709+L709</x:f>
        <x:v>18.307692307692307</x:v>
      </x:c>
    </x:row>
    <x:row r="710">
      <x:c r="A710" s="22" t="str">
        <x:v>500106101</x:v>
      </x:c>
      <x:c r="B710" s="17" t="str">
        <x:v>中正區</x:v>
      </x:c>
      <x:c r="C710" s="17" t="str">
        <x:v>天津北平路口</x:v>
      </x:c>
      <x:c r="D710" s="18" t="n">
        <x:v>26</x:v>
      </x:c>
      <x:c r="E710" s="18" t="n">
        <x:v>26</x:v>
      </x:c>
      <x:c r="F710" s="24" t="n">
        <x:f>IFERROR('各站彙總來源'!F710/'各站彙總來源'!G710,"")</x:f>
        <x:v>5.653846153846154</x:v>
      </x:c>
      <x:c r="G710" s="19" t="n">
        <x:f>'各站彙總來源'!G710</x:f>
        <x:v>26</x:v>
      </x:c>
      <x:c r="H710" s="24" t="n">
        <x:f>IFERROR('各站彙總來源'!H710/'各站彙總來源'!I710,"")</x:f>
        <x:v>0.6538461538461539</x:v>
      </x:c>
      <x:c r="I710" s="19" t="n">
        <x:f>'各站彙總來源'!I710</x:f>
        <x:v>26</x:v>
      </x:c>
      <x:c r="J710" s="24" t="n">
        <x:f>IFERROR('各站彙總來源'!J710/'各站彙總來源'!K710,"")</x:f>
        <x:v>8.115384615384615</x:v>
      </x:c>
      <x:c r="K710" s="19" t="n">
        <x:f>'各站彙總來源'!K710</x:f>
        <x:v>26</x:v>
      </x:c>
      <x:c r="L710" s="24" t="n">
        <x:f>IFERROR('各站彙總來源'!L710/'各站彙總來源'!M710,"")</x:f>
        <x:v>1.1153846153846154</x:v>
      </x:c>
      <x:c r="M710" s="19" t="n">
        <x:f>'各站彙總來源'!M710</x:f>
        <x:v>26</x:v>
      </x:c>
      <x:c r="N710" s="24" t="n">
        <x:f>F710+H710</x:f>
        <x:v>6.307692307692308</x:v>
      </x:c>
      <x:c r="O710" s="24" t="n">
        <x:f>J710+L710</x:f>
        <x:v>9.23076923076923</x:v>
      </x:c>
    </x:row>
    <x:row r="711">
      <x:c r="A711" s="22" t="str">
        <x:v>500106102</x:v>
      </x:c>
      <x:c r="B711" s="17" t="str">
        <x:v>中正區</x:v>
      </x:c>
      <x:c r="C711" s="17" t="str">
        <x:v>捷運忠孝新生站(1號出口)</x:v>
      </x:c>
      <x:c r="D711" s="18" t="n">
        <x:v>26</x:v>
      </x:c>
      <x:c r="E711" s="18" t="n">
        <x:v>26</x:v>
      </x:c>
      <x:c r="F711" s="24" t="n">
        <x:f>IFERROR('各站彙總來源'!F711/'各站彙總來源'!G711,"")</x:f>
        <x:v>3.230769230769231</x:v>
      </x:c>
      <x:c r="G711" s="19" t="n">
        <x:f>'各站彙總來源'!G711</x:f>
        <x:v>26</x:v>
      </x:c>
      <x:c r="H711" s="24" t="n">
        <x:f>IFERROR('各站彙總來源'!H711/'各站彙總來源'!I711,"")</x:f>
        <x:v>0.8461538461538461</x:v>
      </x:c>
      <x:c r="I711" s="19" t="n">
        <x:f>'各站彙總來源'!I711</x:f>
        <x:v>26</x:v>
      </x:c>
      <x:c r="J711" s="24" t="n">
        <x:f>IFERROR('各站彙總來源'!J711/'各站彙總來源'!K711,"")</x:f>
        <x:v>7.846153846153846</x:v>
      </x:c>
      <x:c r="K711" s="19" t="n">
        <x:f>'各站彙總來源'!K711</x:f>
        <x:v>26</x:v>
      </x:c>
      <x:c r="L711" s="24" t="n">
        <x:f>IFERROR('各站彙總來源'!L711/'各站彙總來源'!M711,"")</x:f>
        <x:v>1.6538461538461537</x:v>
      </x:c>
      <x:c r="M711" s="19" t="n">
        <x:f>'各站彙總來源'!M711</x:f>
        <x:v>26</x:v>
      </x:c>
      <x:c r="N711" s="24" t="n">
        <x:f>F711+H711</x:f>
        <x:v>4.076923076923077</x:v>
      </x:c>
      <x:c r="O711" s="24" t="n">
        <x:f>J711+L711</x:f>
        <x:v>9.5</x:v>
      </x:c>
    </x:row>
    <x:row r="712">
      <x:c r="A712" s="22" t="str">
        <x:v>500106103</x:v>
      </x:c>
      <x:c r="B712" s="17" t="str">
        <x:v>中正區</x:v>
      </x:c>
      <x:c r="C712" s="17" t="str">
        <x:v>捷運忠孝新生站(5號出口)</x:v>
      </x:c>
      <x:c r="D712" s="18" t="n">
        <x:v>26</x:v>
      </x:c>
      <x:c r="E712" s="18" t="n">
        <x:v>26</x:v>
      </x:c>
      <x:c r="F712" s="24" t="n">
        <x:f>IFERROR('各站彙總來源'!F712/'各站彙總來源'!G712,"")</x:f>
        <x:v>3.230769230769231</x:v>
      </x:c>
      <x:c r="G712" s="19" t="n">
        <x:f>'各站彙總來源'!G712</x:f>
        <x:v>26</x:v>
      </x:c>
      <x:c r="H712" s="24" t="n">
        <x:f>IFERROR('各站彙總來源'!H712/'各站彙總來源'!I712,"")</x:f>
        <x:v>1.1153846153846154</x:v>
      </x:c>
      <x:c r="I712" s="19" t="n">
        <x:f>'各站彙總來源'!I712</x:f>
        <x:v>26</x:v>
      </x:c>
      <x:c r="J712" s="24" t="n">
        <x:f>IFERROR('各站彙總來源'!J712/'各站彙總來源'!K712,"")</x:f>
        <x:v>4.1923076923076925</x:v>
      </x:c>
      <x:c r="K712" s="19" t="n">
        <x:f>'各站彙總來源'!K712</x:f>
        <x:v>26</x:v>
      </x:c>
      <x:c r="L712" s="24" t="n">
        <x:f>IFERROR('各站彙總來源'!L712/'各站彙總來源'!M712,"")</x:f>
        <x:v>1.1923076923076923</x:v>
      </x:c>
      <x:c r="M712" s="19" t="n">
        <x:f>'各站彙總來源'!M712</x:f>
        <x:v>26</x:v>
      </x:c>
      <x:c r="N712" s="24" t="n">
        <x:f>F712+H712</x:f>
        <x:v>4.346153846153847</x:v>
      </x:c>
      <x:c r="O712" s="24" t="n">
        <x:f>J712+L712</x:f>
        <x:v>5.384615384615385</x:v>
      </x:c>
    </x:row>
    <x:row r="713">
      <x:c r="A713" s="22" t="str">
        <x:v>500106104</x:v>
      </x:c>
      <x:c r="B713" s="17" t="str">
        <x:v>中正區</x:v>
      </x:c>
      <x:c r="C713" s="17" t="str">
        <x:v>捷運臺大醫院站(1號出口)</x:v>
      </x:c>
      <x:c r="D713" s="18" t="n">
        <x:v>26</x:v>
      </x:c>
      <x:c r="E713" s="18" t="n">
        <x:v>26</x:v>
      </x:c>
      <x:c r="F713" s="24" t="n">
        <x:f>IFERROR('各站彙總來源'!F713/'各站彙總來源'!G713,"")</x:f>
        <x:v>5.153846153846154</x:v>
      </x:c>
      <x:c r="G713" s="19" t="n">
        <x:f>'各站彙總來源'!G713</x:f>
        <x:v>26</x:v>
      </x:c>
      <x:c r="H713" s="24" t="n">
        <x:f>IFERROR('各站彙總來源'!H713/'各站彙總來源'!I713,"")</x:f>
        <x:v>1.5769230769230769</x:v>
      </x:c>
      <x:c r="I713" s="19" t="n">
        <x:f>'各站彙總來源'!I713</x:f>
        <x:v>26</x:v>
      </x:c>
      <x:c r="J713" s="24" t="n">
        <x:f>IFERROR('各站彙總來源'!J713/'各站彙總來源'!K713,"")</x:f>
        <x:v>9.076923076923077</x:v>
      </x:c>
      <x:c r="K713" s="19" t="n">
        <x:f>'各站彙總來源'!K713</x:f>
        <x:v>26</x:v>
      </x:c>
      <x:c r="L713" s="24" t="n">
        <x:f>IFERROR('各站彙總來源'!L713/'各站彙總來源'!M713,"")</x:f>
        <x:v>1.9230769230769231</x:v>
      </x:c>
      <x:c r="M713" s="19" t="n">
        <x:f>'各站彙總來源'!M713</x:f>
        <x:v>26</x:v>
      </x:c>
      <x:c r="N713" s="24" t="n">
        <x:f>F713+H713</x:f>
        <x:v>6.730769230769231</x:v>
      </x:c>
      <x:c r="O713" s="24" t="n">
        <x:f>J713+L713</x:f>
        <x:v>11</x:v>
      </x:c>
    </x:row>
    <x:row r="714">
      <x:c r="A714" s="22" t="str">
        <x:v>500106105</x:v>
      </x:c>
      <x:c r="B714" s="17" t="str">
        <x:v>中正區</x:v>
      </x:c>
      <x:c r="C714" s="17" t="str">
        <x:v>臺大醫院兒童醫院</x:v>
      </x:c>
      <x:c r="D714" s="18" t="n">
        <x:v>26</x:v>
      </x:c>
      <x:c r="E714" s="18" t="n">
        <x:v>26</x:v>
      </x:c>
      <x:c r="F714" s="24" t="n">
        <x:f>IFERROR('各站彙總來源'!F714/'各站彙總來源'!G714,"")</x:f>
        <x:v>9.038461538461538</x:v>
      </x:c>
      <x:c r="G714" s="19" t="n">
        <x:f>'各站彙總來源'!G714</x:f>
        <x:v>26</x:v>
      </x:c>
      <x:c r="H714" s="24" t="n">
        <x:f>IFERROR('各站彙總來源'!H714/'各站彙總來源'!I714,"")</x:f>
        <x:v>1.5</x:v>
      </x:c>
      <x:c r="I714" s="19" t="n">
        <x:f>'各站彙總來源'!I714</x:f>
        <x:v>26</x:v>
      </x:c>
      <x:c r="J714" s="24" t="n">
        <x:f>IFERROR('各站彙總來源'!J714/'各站彙總來源'!K714,"")</x:f>
        <x:v>15.307692307692308</x:v>
      </x:c>
      <x:c r="K714" s="19" t="n">
        <x:f>'各站彙總來源'!K714</x:f>
        <x:v>26</x:v>
      </x:c>
      <x:c r="L714" s="24" t="n">
        <x:f>IFERROR('各站彙總來源'!L714/'各站彙總來源'!M714,"")</x:f>
        <x:v>2.5384615384615383</x:v>
      </x:c>
      <x:c r="M714" s="19" t="n">
        <x:f>'各站彙總來源'!M714</x:f>
        <x:v>26</x:v>
      </x:c>
      <x:c r="N714" s="24" t="n">
        <x:f>F714+H714</x:f>
        <x:v>10.538461538461538</x:v>
      </x:c>
      <x:c r="O714" s="24" t="n">
        <x:f>J714+L714</x:f>
        <x:v>17.846153846153847</x:v>
      </x:c>
    </x:row>
    <x:row r="715">
      <x:c r="A715" s="22" t="str">
        <x:v>500106106</x:v>
      </x:c>
      <x:c r="B715" s="17" t="str">
        <x:v>中正區</x:v>
      </x:c>
      <x:c r="C715" s="17" t="str">
        <x:v>林森濟南路口(東北側)</x:v>
      </x:c>
      <x:c r="D715" s="18" t="n">
        <x:v>26</x:v>
      </x:c>
      <x:c r="E715" s="18" t="n">
        <x:v>26</x:v>
      </x:c>
      <x:c r="F715" s="24" t="n">
        <x:f>IFERROR('各站彙總來源'!F715/'各站彙總來源'!G715,"")</x:f>
        <x:v>6.423076923076923</x:v>
      </x:c>
      <x:c r="G715" s="19" t="n">
        <x:f>'各站彙總來源'!G715</x:f>
        <x:v>26</x:v>
      </x:c>
      <x:c r="H715" s="24" t="n">
        <x:f>IFERROR('各站彙總來源'!H715/'各站彙總來源'!I715,"")</x:f>
        <x:v>0.7307692307692307</x:v>
      </x:c>
      <x:c r="I715" s="19" t="n">
        <x:f>'各站彙總來源'!I715</x:f>
        <x:v>26</x:v>
      </x:c>
      <x:c r="J715" s="24" t="n">
        <x:f>IFERROR('各站彙總來源'!J715/'各站彙總來源'!K715,"")</x:f>
        <x:v>13.576923076923077</x:v>
      </x:c>
      <x:c r="K715" s="19" t="n">
        <x:f>'各站彙總來源'!K715</x:f>
        <x:v>26</x:v>
      </x:c>
      <x:c r="L715" s="24" t="n">
        <x:f>IFERROR('各站彙總來源'!L715/'各站彙總來源'!M715,"")</x:f>
        <x:v>2.6923076923076925</x:v>
      </x:c>
      <x:c r="M715" s="19" t="n">
        <x:f>'各站彙總來源'!M715</x:f>
        <x:v>26</x:v>
      </x:c>
      <x:c r="N715" s="24" t="n">
        <x:f>F715+H715</x:f>
        <x:v>7.153846153846154</x:v>
      </x:c>
      <x:c r="O715" s="24" t="n">
        <x:f>J715+L715</x:f>
        <x:v>16.26923076923077</x:v>
      </x:c>
    </x:row>
    <x:row r="716">
      <x:c r="A716" s="22" t="str">
        <x:v>500106107</x:v>
      </x:c>
      <x:c r="B716" s="17" t="str">
        <x:v>中正區</x:v>
      </x:c>
      <x:c r="C716" s="17" t="str">
        <x:v>仁愛紹興街口(南側)</x:v>
      </x:c>
      <x:c r="D716" s="18" t="n">
        <x:v>26</x:v>
      </x:c>
      <x:c r="E716" s="18" t="n">
        <x:v>26</x:v>
      </x:c>
      <x:c r="F716" s="24" t="n">
        <x:f>IFERROR('各站彙總來源'!F716/'各站彙總來源'!G716,"")</x:f>
        <x:v>4.538461538461538</x:v>
      </x:c>
      <x:c r="G716" s="19" t="n">
        <x:f>'各站彙總來源'!G716</x:f>
        <x:v>26</x:v>
      </x:c>
      <x:c r="H716" s="24" t="n">
        <x:f>IFERROR('各站彙總來源'!H716/'各站彙總來源'!I716,"")</x:f>
        <x:v>0.8461538461538461</x:v>
      </x:c>
      <x:c r="I716" s="19" t="n">
        <x:f>'各站彙總來源'!I716</x:f>
        <x:v>26</x:v>
      </x:c>
      <x:c r="J716" s="24" t="n">
        <x:f>IFERROR('各站彙總來源'!J716/'各站彙總來源'!K716,"")</x:f>
        <x:v>11.423076923076923</x:v>
      </x:c>
      <x:c r="K716" s="19" t="n">
        <x:f>'各站彙總來源'!K716</x:f>
        <x:v>26</x:v>
      </x:c>
      <x:c r="L716" s="24" t="n">
        <x:f>IFERROR('各站彙總來源'!L716/'各站彙總來源'!M716,"")</x:f>
        <x:v>1.7692307692307692</x:v>
      </x:c>
      <x:c r="M716" s="19" t="n">
        <x:f>'各站彙總來源'!M716</x:f>
        <x:v>26</x:v>
      </x:c>
      <x:c r="N716" s="24" t="n">
        <x:f>F716+H716</x:f>
        <x:v>5.384615384615384</x:v>
      </x:c>
      <x:c r="O716" s="24" t="n">
        <x:f>J716+L716</x:f>
        <x:v>13.192307692307693</x:v>
      </x:c>
    </x:row>
    <x:row r="717">
      <x:c r="A717" s="22" t="str">
        <x:v>500106108</x:v>
      </x:c>
      <x:c r="B717" s="17" t="str">
        <x:v>中正區</x:v>
      </x:c>
      <x:c r="C717" s="17" t="str">
        <x:v>中華南海路口</x:v>
      </x:c>
      <x:c r="D717" s="18" t="n">
        <x:v>26</x:v>
      </x:c>
      <x:c r="E717" s="18" t="n">
        <x:v>26</x:v>
      </x:c>
      <x:c r="F717" s="24" t="n">
        <x:f>IFERROR('各站彙總來源'!F717/'各站彙總來源'!G717,"")</x:f>
        <x:v>14.538461538461538</x:v>
      </x:c>
      <x:c r="G717" s="19" t="n">
        <x:f>'各站彙總來源'!G717</x:f>
        <x:v>26</x:v>
      </x:c>
      <x:c r="H717" s="24" t="n">
        <x:f>IFERROR('各站彙總來源'!H717/'各站彙總來源'!I717,"")</x:f>
        <x:v>1.1538461538461537</x:v>
      </x:c>
      <x:c r="I717" s="19" t="n">
        <x:f>'各站彙總來源'!I717</x:f>
        <x:v>26</x:v>
      </x:c>
      <x:c r="J717" s="24" t="n">
        <x:f>IFERROR('各站彙總來源'!J717/'各站彙總來源'!K717,"")</x:f>
        <x:v>4.769230769230769</x:v>
      </x:c>
      <x:c r="K717" s="19" t="n">
        <x:f>'各站彙總來源'!K717</x:f>
        <x:v>26</x:v>
      </x:c>
      <x:c r="L717" s="24" t="n">
        <x:f>IFERROR('各站彙總來源'!L717/'各站彙總來源'!M717,"")</x:f>
        <x:v>0.5</x:v>
      </x:c>
      <x:c r="M717" s="19" t="n">
        <x:f>'各站彙總來源'!M717</x:f>
        <x:v>26</x:v>
      </x:c>
      <x:c r="N717" s="24" t="n">
        <x:f>F717+H717</x:f>
        <x:v>15.692307692307692</x:v>
      </x:c>
      <x:c r="O717" s="24" t="n">
        <x:f>J717+L717</x:f>
        <x:v>5.269230769230769</x:v>
      </x:c>
    </x:row>
    <x:row r="718">
      <x:c r="A718" s="22" t="str">
        <x:v>500106109</x:v>
      </x:c>
      <x:c r="B718" s="17" t="str">
        <x:v>中正區</x:v>
      </x:c>
      <x:c r="C718" s="17" t="str">
        <x:v>立法院台北會館</x:v>
      </x:c>
      <x:c r="D718" s="18" t="n">
        <x:v>26</x:v>
      </x:c>
      <x:c r="E718" s="18" t="n">
        <x:v>26</x:v>
      </x:c>
      <x:c r="F718" s="24" t="n">
        <x:f>IFERROR('各站彙總來源'!F718/'各站彙總來源'!G718,"")</x:f>
        <x:v>4.961538461538462</x:v>
      </x:c>
      <x:c r="G718" s="19" t="n">
        <x:f>'各站彙總來源'!G718</x:f>
        <x:v>26</x:v>
      </x:c>
      <x:c r="H718" s="24" t="n">
        <x:f>IFERROR('各站彙總來源'!H718/'各站彙總來源'!I718,"")</x:f>
        <x:v>1.6923076923076923</x:v>
      </x:c>
      <x:c r="I718" s="19" t="n">
        <x:f>'各站彙總來源'!I718</x:f>
        <x:v>26</x:v>
      </x:c>
      <x:c r="J718" s="24" t="n">
        <x:f>IFERROR('各站彙總來源'!J718/'各站彙總來源'!K718,"")</x:f>
        <x:v>6.653846153846154</x:v>
      </x:c>
      <x:c r="K718" s="19" t="n">
        <x:f>'各站彙總來源'!K718</x:f>
        <x:v>26</x:v>
      </x:c>
      <x:c r="L718" s="24" t="n">
        <x:f>IFERROR('各站彙總來源'!L718/'各站彙總來源'!M718,"")</x:f>
        <x:v>1.7692307692307692</x:v>
      </x:c>
      <x:c r="M718" s="19" t="n">
        <x:f>'各站彙總來源'!M718</x:f>
        <x:v>26</x:v>
      </x:c>
      <x:c r="N718" s="24" t="n">
        <x:f>F718+H718</x:f>
        <x:v>6.653846153846154</x:v>
      </x:c>
      <x:c r="O718" s="24" t="n">
        <x:f>J718+L718</x:f>
        <x:v>8.423076923076923</x:v>
      </x:c>
    </x:row>
    <x:row r="719">
      <x:c r="A719" s="22" t="str">
        <x:v>500106110</x:v>
      </x:c>
      <x:c r="B719" s="17" t="str">
        <x:v>中正區</x:v>
      </x:c>
      <x:c r="C719" s="17" t="str">
        <x:v>捷運善導寺站(3號出口)(忠孝東路側)</x:v>
      </x:c>
      <x:c r="D719" s="18" t="n">
        <x:v>26</x:v>
      </x:c>
      <x:c r="E719" s="18" t="n">
        <x:v>26</x:v>
      </x:c>
      <x:c r="F719" s="24" t="n">
        <x:f>IFERROR('各站彙總來源'!F719/'各站彙總來源'!G719,"")</x:f>
        <x:v>4.653846153846154</x:v>
      </x:c>
      <x:c r="G719" s="19" t="n">
        <x:f>'各站彙總來源'!G719</x:f>
        <x:v>26</x:v>
      </x:c>
      <x:c r="H719" s="24" t="n">
        <x:f>IFERROR('各站彙總來源'!H719/'各站彙總來源'!I719,"")</x:f>
        <x:v>1.6153846153846154</x:v>
      </x:c>
      <x:c r="I719" s="19" t="n">
        <x:f>'各站彙總來源'!I719</x:f>
        <x:v>26</x:v>
      </x:c>
      <x:c r="J719" s="24" t="n">
        <x:f>IFERROR('各站彙總來源'!J719/'各站彙總來源'!K719,"")</x:f>
        <x:v>10.884615384615385</x:v>
      </x:c>
      <x:c r="K719" s="19" t="n">
        <x:f>'各站彙總來源'!K719</x:f>
        <x:v>26</x:v>
      </x:c>
      <x:c r="L719" s="24" t="n">
        <x:f>IFERROR('各站彙總來源'!L719/'各站彙總來源'!M719,"")</x:f>
        <x:v>1.1538461538461537</x:v>
      </x:c>
      <x:c r="M719" s="19" t="n">
        <x:f>'各站彙總來源'!M719</x:f>
        <x:v>26</x:v>
      </x:c>
      <x:c r="N719" s="24" t="n">
        <x:f>F719+H719</x:f>
        <x:v>6.26923076923077</x:v>
      </x:c>
      <x:c r="O719" s="24" t="n">
        <x:f>J719+L719</x:f>
        <x:v>12.038461538461538</x:v>
      </x:c>
    </x:row>
    <x:row r="720">
      <x:c r="A720" s="22" t="str">
        <x:v>500106111</x:v>
      </x:c>
      <x:c r="B720" s="17" t="str">
        <x:v>中正區</x:v>
      </x:c>
      <x:c r="C720" s="17" t="str">
        <x:v>國家音樂廳</x:v>
      </x:c>
      <x:c r="D720" s="18" t="n">
        <x:v>26</x:v>
      </x:c>
      <x:c r="E720" s="18" t="n">
        <x:v>26</x:v>
      </x:c>
      <x:c r="F720" s="24" t="n">
        <x:f>IFERROR('各站彙總來源'!F720/'各站彙總來源'!G720,"")</x:f>
        <x:v>4.884615384615385</x:v>
      </x:c>
      <x:c r="G720" s="19" t="n">
        <x:f>'各站彙總來源'!G720</x:f>
        <x:v>26</x:v>
      </x:c>
      <x:c r="H720" s="24" t="n">
        <x:f>IFERROR('各站彙總來源'!H720/'各站彙總來源'!I720,"")</x:f>
        <x:v>0.6538461538461539</x:v>
      </x:c>
      <x:c r="I720" s="19" t="n">
        <x:f>'各站彙總來源'!I720</x:f>
        <x:v>26</x:v>
      </x:c>
      <x:c r="J720" s="24" t="n">
        <x:f>IFERROR('各站彙總來源'!J720/'各站彙總來源'!K720,"")</x:f>
        <x:v>7.769230769230769</x:v>
      </x:c>
      <x:c r="K720" s="19" t="n">
        <x:f>'各站彙總來源'!K720</x:f>
        <x:v>26</x:v>
      </x:c>
      <x:c r="L720" s="24" t="n">
        <x:f>IFERROR('各站彙總來源'!L720/'各站彙總來源'!M720,"")</x:f>
        <x:v>1.8846153846153846</x:v>
      </x:c>
      <x:c r="M720" s="19" t="n">
        <x:f>'各站彙總來源'!M720</x:f>
        <x:v>26</x:v>
      </x:c>
      <x:c r="N720" s="24" t="n">
        <x:f>F720+H720</x:f>
        <x:v>5.538461538461539</x:v>
      </x:c>
      <x:c r="O720" s="24" t="n">
        <x:f>J720+L720</x:f>
        <x:v>9.653846153846153</x:v>
      </x:c>
    </x:row>
    <x:row r="721">
      <x:c r="A721" s="22" t="str">
        <x:v>500106112</x:v>
      </x:c>
      <x:c r="B721" s="17" t="str">
        <x:v>中正區</x:v>
      </x:c>
      <x:c r="C721" s="17" t="str">
        <x:v>忠孝西重慶南路口</x:v>
      </x:c>
      <x:c r="D721" s="18" t="n">
        <x:v>26</x:v>
      </x:c>
      <x:c r="E721" s="18" t="n">
        <x:v>26</x:v>
      </x:c>
      <x:c r="F721" s="24" t="n">
        <x:f>IFERROR('各站彙總來源'!F721/'各站彙總來源'!G721,"")</x:f>
        <x:v>12.76923076923077</x:v>
      </x:c>
      <x:c r="G721" s="19" t="n">
        <x:f>'各站彙總來源'!G721</x:f>
        <x:v>26</x:v>
      </x:c>
      <x:c r="H721" s="24" t="n">
        <x:f>IFERROR('各站彙總來源'!H721/'各站彙總來源'!I721,"")</x:f>
        <x:v>2.3846153846153846</x:v>
      </x:c>
      <x:c r="I721" s="19" t="n">
        <x:f>'各站彙總來源'!I721</x:f>
        <x:v>26</x:v>
      </x:c>
      <x:c r="J721" s="24" t="n">
        <x:f>IFERROR('各站彙總來源'!J721/'各站彙總來源'!K721,"")</x:f>
        <x:v>31.53846153846154</x:v>
      </x:c>
      <x:c r="K721" s="19" t="n">
        <x:f>'各站彙總來源'!K721</x:f>
        <x:v>26</x:v>
      </x:c>
      <x:c r="L721" s="24" t="n">
        <x:f>IFERROR('各站彙總來源'!L721/'各站彙總來源'!M721,"")</x:f>
        <x:v>2.8461538461538463</x:v>
      </x:c>
      <x:c r="M721" s="19" t="n">
        <x:f>'各站彙總來源'!M721</x:f>
        <x:v>26</x:v>
      </x:c>
      <x:c r="N721" s="24" t="n">
        <x:f>F721+H721</x:f>
        <x:v>15.153846153846155</x:v>
      </x:c>
      <x:c r="O721" s="24" t="n">
        <x:f>J721+L721</x:f>
        <x:v>34.38461538461539</x:v>
      </x:c>
    </x:row>
    <x:row r="722">
      <x:c r="A722" s="22" t="str">
        <x:v>500106113</x:v>
      </x:c>
      <x:c r="B722" s="17" t="str">
        <x:v>中正區</x:v>
      </x:c>
      <x:c r="C722" s="17" t="str">
        <x:v>濟南路二段8巷口</x:v>
      </x:c>
      <x:c r="D722" s="18" t="n">
        <x:v>26</x:v>
      </x:c>
      <x:c r="E722" s="18" t="n">
        <x:v>26</x:v>
      </x:c>
      <x:c r="F722" s="24" t="n">
        <x:f>IFERROR('各站彙總來源'!F722/'各站彙總來源'!G722,"")</x:f>
        <x:v>5.846153846153846</x:v>
      </x:c>
      <x:c r="G722" s="19" t="n">
        <x:f>'各站彙總來源'!G722</x:f>
        <x:v>26</x:v>
      </x:c>
      <x:c r="H722" s="24" t="n">
        <x:f>IFERROR('各站彙總來源'!H722/'各站彙總來源'!I722,"")</x:f>
        <x:v>2.076923076923077</x:v>
      </x:c>
      <x:c r="I722" s="19" t="n">
        <x:f>'各站彙總來源'!I722</x:f>
        <x:v>26</x:v>
      </x:c>
      <x:c r="J722" s="24" t="n">
        <x:f>IFERROR('各站彙總來源'!J722/'各站彙總來源'!K722,"")</x:f>
        <x:v>5.115384615384615</x:v>
      </x:c>
      <x:c r="K722" s="19" t="n">
        <x:f>'各站彙總來源'!K722</x:f>
        <x:v>26</x:v>
      </x:c>
      <x:c r="L722" s="24" t="n">
        <x:f>IFERROR('各站彙總來源'!L722/'各站彙總來源'!M722,"")</x:f>
        <x:v>1.7692307692307692</x:v>
      </x:c>
      <x:c r="M722" s="19" t="n">
        <x:f>'各站彙總來源'!M722</x:f>
        <x:v>26</x:v>
      </x:c>
      <x:c r="N722" s="24" t="n">
        <x:f>F722+H722</x:f>
        <x:v>7.923076923076923</x:v>
      </x:c>
      <x:c r="O722" s="24" t="n">
        <x:f>J722+L722</x:f>
        <x:v>6.884615384615384</x:v>
      </x:c>
    </x:row>
    <x:row r="723">
      <x:c r="A723" s="22" t="str">
        <x:v>500106114</x:v>
      </x:c>
      <x:c r="B723" s="17" t="str">
        <x:v>中正區</x:v>
      </x:c>
      <x:c r="C723" s="17" t="str">
        <x:v>仁愛金山路口(東南側)</x:v>
      </x:c>
      <x:c r="D723" s="18" t="n">
        <x:v>26</x:v>
      </x:c>
      <x:c r="E723" s="18" t="n">
        <x:v>26</x:v>
      </x:c>
      <x:c r="F723" s="24" t="n">
        <x:f>IFERROR('各站彙總來源'!F723/'各站彙總來源'!G723,"")</x:f>
        <x:v>6.923076923076923</x:v>
      </x:c>
      <x:c r="G723" s="19" t="n">
        <x:f>'各站彙總來源'!G723</x:f>
        <x:v>26</x:v>
      </x:c>
      <x:c r="H723" s="24" t="n">
        <x:f>IFERROR('各站彙總來源'!H723/'各站彙總來源'!I723,"")</x:f>
        <x:v>1.1153846153846154</x:v>
      </x:c>
      <x:c r="I723" s="19" t="n">
        <x:f>'各站彙總來源'!I723</x:f>
        <x:v>26</x:v>
      </x:c>
      <x:c r="J723" s="24" t="n">
        <x:f>IFERROR('各站彙總來源'!J723/'各站彙總來源'!K723,"")</x:f>
        <x:v>3.576923076923077</x:v>
      </x:c>
      <x:c r="K723" s="19" t="n">
        <x:f>'各站彙總來源'!K723</x:f>
        <x:v>26</x:v>
      </x:c>
      <x:c r="L723" s="24" t="n">
        <x:f>IFERROR('各站彙總來源'!L723/'各站彙總來源'!M723,"")</x:f>
        <x:v>0.9615384615384616</x:v>
      </x:c>
      <x:c r="M723" s="19" t="n">
        <x:f>'各站彙總來源'!M723</x:f>
        <x:v>26</x:v>
      </x:c>
      <x:c r="N723" s="24" t="n">
        <x:f>F723+H723</x:f>
        <x:v>8.038461538461538</x:v>
      </x:c>
      <x:c r="O723" s="24" t="n">
        <x:f>J723+L723</x:f>
        <x:v>4.538461538461538</x:v>
      </x:c>
    </x:row>
    <x:row r="724">
      <x:c r="A724" s="22" t="str">
        <x:v>500106115</x:v>
      </x:c>
      <x:c r="B724" s="17" t="str">
        <x:v>中正區</x:v>
      </x:c>
      <x:c r="C724" s="17" t="str">
        <x:v>臺灣文學基地</x:v>
      </x:c>
      <x:c r="D724" s="18" t="n">
        <x:v>26</x:v>
      </x:c>
      <x:c r="E724" s="18" t="n">
        <x:v>26</x:v>
      </x:c>
      <x:c r="F724" s="24" t="n">
        <x:f>IFERROR('各站彙總來源'!F724/'各站彙總來源'!G724,"")</x:f>
        <x:v>10.615384615384615</x:v>
      </x:c>
      <x:c r="G724" s="19" t="n">
        <x:f>'各站彙總來源'!G724</x:f>
        <x:v>26</x:v>
      </x:c>
      <x:c r="H724" s="24" t="n">
        <x:f>IFERROR('各站彙總來源'!H724/'各站彙總來源'!I724,"")</x:f>
        <x:v>2</x:v>
      </x:c>
      <x:c r="I724" s="19" t="n">
        <x:f>'各站彙總來源'!I724</x:f>
        <x:v>26</x:v>
      </x:c>
      <x:c r="J724" s="24" t="n">
        <x:f>IFERROR('各站彙總來源'!J724/'各站彙總來源'!K724,"")</x:f>
        <x:v>5.5</x:v>
      </x:c>
      <x:c r="K724" s="19" t="n">
        <x:f>'各站彙總來源'!K724</x:f>
        <x:v>26</x:v>
      </x:c>
      <x:c r="L724" s="24" t="n">
        <x:f>IFERROR('各站彙總來源'!L724/'各站彙總來源'!M724,"")</x:f>
        <x:v>1.1923076923076923</x:v>
      </x:c>
      <x:c r="M724" s="19" t="n">
        <x:f>'各站彙總來源'!M724</x:f>
        <x:v>26</x:v>
      </x:c>
      <x:c r="N724" s="24" t="n">
        <x:f>F724+H724</x:f>
        <x:v>12.615384615384615</x:v>
      </x:c>
      <x:c r="O724" s="24" t="n">
        <x:f>J724+L724</x:f>
        <x:v>6.6923076923076925</x:v>
      </x:c>
    </x:row>
    <x:row r="725">
      <x:c r="A725" s="22" t="str">
        <x:v>500106116</x:v>
      </x:c>
      <x:c r="B725" s="17" t="str">
        <x:v>中正區</x:v>
      </x:c>
      <x:c r="C725" s="17" t="str">
        <x:v>重慶南詔安街口</x:v>
      </x:c>
      <x:c r="D725" s="18" t="n">
        <x:v>26</x:v>
      </x:c>
      <x:c r="E725" s="18" t="n">
        <x:v>26</x:v>
      </x:c>
      <x:c r="F725" s="24" t="n">
        <x:f>IFERROR('各站彙總來源'!F725/'各站彙總來源'!G725,"")</x:f>
        <x:v>16</x:v>
      </x:c>
      <x:c r="G725" s="19" t="n">
        <x:f>'各站彙總來源'!G725</x:f>
        <x:v>26</x:v>
      </x:c>
      <x:c r="H725" s="24" t="n">
        <x:f>IFERROR('各站彙總來源'!H725/'各站彙總來源'!I725,"")</x:f>
        <x:v>1.6153846153846154</x:v>
      </x:c>
      <x:c r="I725" s="19" t="n">
        <x:f>'各站彙總來源'!I725</x:f>
        <x:v>26</x:v>
      </x:c>
      <x:c r="J725" s="24" t="n">
        <x:f>IFERROR('各站彙總來源'!J725/'各站彙總來源'!K725,"")</x:f>
        <x:v>5.769230769230769</x:v>
      </x:c>
      <x:c r="K725" s="19" t="n">
        <x:f>'各站彙總來源'!K725</x:f>
        <x:v>26</x:v>
      </x:c>
      <x:c r="L725" s="24" t="n">
        <x:f>IFERROR('各站彙總來源'!L725/'各站彙總來源'!M725,"")</x:f>
        <x:v>0.8461538461538461</x:v>
      </x:c>
      <x:c r="M725" s="19" t="n">
        <x:f>'各站彙總來源'!M725</x:f>
        <x:v>26</x:v>
      </x:c>
      <x:c r="N725" s="24" t="n">
        <x:f>F725+H725</x:f>
        <x:v>17.615384615384617</x:v>
      </x:c>
      <x:c r="O725" s="24" t="n">
        <x:f>J725+L725</x:f>
        <x:v>6.615384615384615</x:v>
      </x:c>
    </x:row>
    <x:row r="726">
      <x:c r="A726" s="22" t="str">
        <x:v>500106117</x:v>
      </x:c>
      <x:c r="B726" s="17" t="str">
        <x:v>中正區</x:v>
      </x:c>
      <x:c r="C726" s="17" t="str">
        <x:v>文光公園</x:v>
      </x:c>
      <x:c r="D726" s="18" t="n">
        <x:v>26</x:v>
      </x:c>
      <x:c r="E726" s="18" t="n">
        <x:v>26</x:v>
      </x:c>
      <x:c r="F726" s="24" t="n">
        <x:f>IFERROR('各站彙總來源'!F726/'各站彙總來源'!G726,"")</x:f>
        <x:v>15.692307692307692</x:v>
      </x:c>
      <x:c r="G726" s="19" t="n">
        <x:f>'各站彙總來源'!G726</x:f>
        <x:v>26</x:v>
      </x:c>
      <x:c r="H726" s="24" t="n">
        <x:f>IFERROR('各站彙總來源'!H726/'各站彙總來源'!I726,"")</x:f>
        <x:v>2.423076923076923</x:v>
      </x:c>
      <x:c r="I726" s="19" t="n">
        <x:f>'各站彙總來源'!I726</x:f>
        <x:v>26</x:v>
      </x:c>
      <x:c r="J726" s="24" t="n">
        <x:f>IFERROR('各站彙總來源'!J726/'各站彙總來源'!K726,"")</x:f>
        <x:v>4.5</x:v>
      </x:c>
      <x:c r="K726" s="19" t="n">
        <x:f>'各站彙總來源'!K726</x:f>
        <x:v>26</x:v>
      </x:c>
      <x:c r="L726" s="24" t="n">
        <x:f>IFERROR('各站彙總來源'!L726/'各站彙總來源'!M726,"")</x:f>
        <x:v>1.3076923076923077</x:v>
      </x:c>
      <x:c r="M726" s="19" t="n">
        <x:f>'各站彙總來源'!M726</x:f>
        <x:v>26</x:v>
      </x:c>
      <x:c r="N726" s="24" t="n">
        <x:f>F726+H726</x:f>
        <x:v>18.115384615384613</x:v>
      </x:c>
      <x:c r="O726" s="24" t="n">
        <x:f>J726+L726</x:f>
        <x:v>5.8076923076923075</x:v>
      </x:c>
    </x:row>
    <x:row r="727">
      <x:c r="A727" s="22" t="str">
        <x:v>500106118</x:v>
      </x:c>
      <x:c r="B727" s="17" t="str">
        <x:v>中正區</x:v>
      </x:c>
      <x:c r="C727" s="17" t="str">
        <x:v>捷運中正紀念堂站(2號出口)</x:v>
      </x:c>
      <x:c r="D727" s="18" t="n">
        <x:v>26</x:v>
      </x:c>
      <x:c r="E727" s="18" t="n">
        <x:v>26</x:v>
      </x:c>
      <x:c r="F727" s="24" t="n">
        <x:f>IFERROR('各站彙總來源'!F727/'各站彙總來源'!G727,"")</x:f>
        <x:v>6.384615384615385</x:v>
      </x:c>
      <x:c r="G727" s="19" t="n">
        <x:f>'各站彙總來源'!G727</x:f>
        <x:v>26</x:v>
      </x:c>
      <x:c r="H727" s="24" t="n">
        <x:f>IFERROR('各站彙總來源'!H727/'各站彙總來源'!I727,"")</x:f>
        <x:v>0.8846153846153846</x:v>
      </x:c>
      <x:c r="I727" s="19" t="n">
        <x:f>'各站彙總來源'!I727</x:f>
        <x:v>26</x:v>
      </x:c>
      <x:c r="J727" s="24" t="n">
        <x:f>IFERROR('各站彙總來源'!J727/'各站彙總來源'!K727,"")</x:f>
        <x:v>4.615384615384615</x:v>
      </x:c>
      <x:c r="K727" s="19" t="n">
        <x:f>'各站彙總來源'!K727</x:f>
        <x:v>26</x:v>
      </x:c>
      <x:c r="L727" s="24" t="n">
        <x:f>IFERROR('各站彙總來源'!L727/'各站彙總來源'!M727,"")</x:f>
        <x:v>1.2307692307692308</x:v>
      </x:c>
      <x:c r="M727" s="19" t="n">
        <x:f>'各站彙總來源'!M727</x:f>
        <x:v>26</x:v>
      </x:c>
      <x:c r="N727" s="24" t="n">
        <x:f>F727+H727</x:f>
        <x:v>7.26923076923077</x:v>
      </x:c>
      <x:c r="O727" s="24" t="n">
        <x:f>J727+L727</x:f>
        <x:v>5.846153846153846</x:v>
      </x:c>
    </x:row>
    <x:row r="728">
      <x:c r="A728" s="22" t="str">
        <x:v>500106119</x:v>
      </x:c>
      <x:c r="B728" s="17" t="str">
        <x:v>中正區</x:v>
      </x:c>
      <x:c r="C728" s="17" t="str">
        <x:v>螢圃里小公園</x:v>
      </x:c>
      <x:c r="D728" s="18" t="n">
        <x:v>26</x:v>
      </x:c>
      <x:c r="E728" s="18" t="n">
        <x:v>26</x:v>
      </x:c>
      <x:c r="F728" s="24" t="n">
        <x:f>IFERROR('各站彙總來源'!F728/'各站彙總來源'!G728,"")</x:f>
        <x:v>21.115384615384617</x:v>
      </x:c>
      <x:c r="G728" s="19" t="n">
        <x:f>'各站彙總來源'!G728</x:f>
        <x:v>26</x:v>
      </x:c>
      <x:c r="H728" s="24" t="n">
        <x:f>IFERROR('各站彙總來源'!H728/'各站彙總來源'!I728,"")</x:f>
        <x:v>1.9230769230769231</x:v>
      </x:c>
      <x:c r="I728" s="19" t="n">
        <x:f>'各站彙總來源'!I728</x:f>
        <x:v>26</x:v>
      </x:c>
      <x:c r="J728" s="24" t="n">
        <x:f>IFERROR('各站彙總來源'!J728/'各站彙總來源'!K728,"")</x:f>
        <x:v>3.576923076923077</x:v>
      </x:c>
      <x:c r="K728" s="19" t="n">
        <x:f>'各站彙總來源'!K728</x:f>
        <x:v>26</x:v>
      </x:c>
      <x:c r="L728" s="24" t="n">
        <x:f>IFERROR('各站彙總來源'!L728/'各站彙總來源'!M728,"")</x:f>
        <x:v>0.5384615384615384</x:v>
      </x:c>
      <x:c r="M728" s="19" t="n">
        <x:f>'各站彙總來源'!M728</x:f>
        <x:v>26</x:v>
      </x:c>
      <x:c r="N728" s="24" t="n">
        <x:f>F728+H728</x:f>
        <x:v>23.03846153846154</x:v>
      </x:c>
      <x:c r="O728" s="24" t="n">
        <x:f>J728+L728</x:f>
        <x:v>4.115384615384616</x:v>
      </x:c>
    </x:row>
    <x:row r="729">
      <x:c r="A729" s="22" t="str">
        <x:v>500106120</x:v>
      </x:c>
      <x:c r="B729" s="17" t="str">
        <x:v>中正區</x:v>
      </x:c>
      <x:c r="C729" s="17" t="str">
        <x:v>螢橋公園</x:v>
      </x:c>
      <x:c r="D729" s="18" t="n">
        <x:v>26</x:v>
      </x:c>
      <x:c r="E729" s="18" t="n">
        <x:v>26</x:v>
      </x:c>
      <x:c r="F729" s="24" t="n">
        <x:f>IFERROR('各站彙總來源'!F729/'各站彙總來源'!G729,"")</x:f>
        <x:v>8.461538461538462</x:v>
      </x:c>
      <x:c r="G729" s="19" t="n">
        <x:f>'各站彙總來源'!G729</x:f>
        <x:v>26</x:v>
      </x:c>
      <x:c r="H729" s="24" t="n">
        <x:f>IFERROR('各站彙總來源'!H729/'各站彙總來源'!I729,"")</x:f>
        <x:v>0.9615384615384616</x:v>
      </x:c>
      <x:c r="I729" s="19" t="n">
        <x:f>'各站彙總來源'!I729</x:f>
        <x:v>26</x:v>
      </x:c>
      <x:c r="J729" s="24" t="n">
        <x:f>IFERROR('各站彙總來源'!J729/'各站彙總來源'!K729,"")</x:f>
        <x:v>1.6153846153846154</x:v>
      </x:c>
      <x:c r="K729" s="19" t="n">
        <x:f>'各站彙總來源'!K729</x:f>
        <x:v>26</x:v>
      </x:c>
      <x:c r="L729" s="24" t="n">
        <x:f>IFERROR('各站彙總來源'!L729/'各站彙總來源'!M729,"")</x:f>
        <x:v>0.5384615384615384</x:v>
      </x:c>
      <x:c r="M729" s="19" t="n">
        <x:f>'各站彙總來源'!M729</x:f>
        <x:v>26</x:v>
      </x:c>
      <x:c r="N729" s="24" t="n">
        <x:f>F729+H729</x:f>
        <x:v>9.423076923076923</x:v>
      </x:c>
      <x:c r="O729" s="24" t="n">
        <x:f>J729+L729</x:f>
        <x:v>2.1538461538461537</x:v>
      </x:c>
    </x:row>
    <x:row r="730">
      <x:c r="A730" s="22" t="str">
        <x:v>500106121</x:v>
      </x:c>
      <x:c r="B730" s="17" t="str">
        <x:v>中正區</x:v>
      </x:c>
      <x:c r="C730" s="17" t="str">
        <x:v>泉州寧波西街口</x:v>
      </x:c>
      <x:c r="D730" s="18" t="n">
        <x:v>26</x:v>
      </x:c>
      <x:c r="E730" s="18" t="n">
        <x:v>26</x:v>
      </x:c>
      <x:c r="F730" s="24" t="n">
        <x:f>IFERROR('各站彙總來源'!F730/'各站彙總來源'!G730,"")</x:f>
        <x:v>9.461538461538462</x:v>
      </x:c>
      <x:c r="G730" s="19" t="n">
        <x:f>'各站彙總來源'!G730</x:f>
        <x:v>26</x:v>
      </x:c>
      <x:c r="H730" s="24" t="n">
        <x:f>IFERROR('各站彙總來源'!H730/'各站彙總來源'!I730,"")</x:f>
        <x:v>1.6923076923076923</x:v>
      </x:c>
      <x:c r="I730" s="19" t="n">
        <x:f>'各站彙總來源'!I730</x:f>
        <x:v>26</x:v>
      </x:c>
      <x:c r="J730" s="24" t="n">
        <x:f>IFERROR('各站彙總來源'!J730/'各站彙總來源'!K730,"")</x:f>
        <x:v>66.23076923076923</x:v>
      </x:c>
      <x:c r="K730" s="19" t="n">
        <x:f>'各站彙總來源'!K730</x:f>
        <x:v>26</x:v>
      </x:c>
      <x:c r="L730" s="24" t="n">
        <x:f>IFERROR('各站彙總來源'!L730/'各站彙總來源'!M730,"")</x:f>
        <x:v>4.269230769230769</x:v>
      </x:c>
      <x:c r="M730" s="19" t="n">
        <x:f>'各站彙總來源'!M730</x:f>
        <x:v>26</x:v>
      </x:c>
      <x:c r="N730" s="24" t="n">
        <x:f>F730+H730</x:f>
        <x:v>11.153846153846153</x:v>
      </x:c>
      <x:c r="O730" s="24" t="n">
        <x:f>J730+L730</x:f>
        <x:v>70.5</x:v>
      </x:c>
    </x:row>
    <x:row r="731">
      <x:c r="A731" s="22" t="str">
        <x:v>500106122</x:v>
      </x:c>
      <x:c r="B731" s="17" t="str">
        <x:v>中正區</x:v>
      </x:c>
      <x:c r="C731" s="17" t="str">
        <x:v>和平西路二段98巷口</x:v>
      </x:c>
      <x:c r="D731" s="18" t="n">
        <x:v>26</x:v>
      </x:c>
      <x:c r="E731" s="18" t="n">
        <x:v>26</x:v>
      </x:c>
      <x:c r="F731" s="24" t="n">
        <x:f>IFERROR('各站彙總來源'!F731/'各站彙總來源'!G731,"")</x:f>
        <x:v>10.076923076923077</x:v>
      </x:c>
      <x:c r="G731" s="19" t="n">
        <x:f>'各站彙總來源'!G731</x:f>
        <x:v>26</x:v>
      </x:c>
      <x:c r="H731" s="24" t="n">
        <x:f>IFERROR('各站彙總來源'!H731/'各站彙總來源'!I731,"")</x:f>
        <x:v>1.2692307692307692</x:v>
      </x:c>
      <x:c r="I731" s="19" t="n">
        <x:f>'各站彙總來源'!I731</x:f>
        <x:v>26</x:v>
      </x:c>
      <x:c r="J731" s="24" t="n">
        <x:f>IFERROR('各站彙總來源'!J731/'各站彙總來源'!K731,"")</x:f>
        <x:v>4.961538461538462</x:v>
      </x:c>
      <x:c r="K731" s="19" t="n">
        <x:f>'各站彙總來源'!K731</x:f>
        <x:v>26</x:v>
      </x:c>
      <x:c r="L731" s="24" t="n">
        <x:f>IFERROR('各站彙總來源'!L731/'各站彙總來源'!M731,"")</x:f>
        <x:v>0.6923076923076923</x:v>
      </x:c>
      <x:c r="M731" s="19" t="n">
        <x:f>'各站彙總來源'!M731</x:f>
        <x:v>26</x:v>
      </x:c>
      <x:c r="N731" s="24" t="n">
        <x:f>F731+H731</x:f>
        <x:v>11.346153846153847</x:v>
      </x:c>
      <x:c r="O731" s="24" t="n">
        <x:f>J731+L731</x:f>
        <x:v>5.653846153846154</x:v>
      </x:c>
    </x:row>
    <x:row r="732">
      <x:c r="A732" s="22" t="str">
        <x:v>500106123</x:v>
      </x:c>
      <x:c r="B732" s="17" t="str">
        <x:v>中正區</x:v>
      </x:c>
      <x:c r="C732" s="17" t="str">
        <x:v>仁愛路二段92巷口</x:v>
      </x:c>
      <x:c r="D732" s="18" t="n">
        <x:v>26</x:v>
      </x:c>
      <x:c r="E732" s="18" t="n">
        <x:v>26</x:v>
      </x:c>
      <x:c r="F732" s="24" t="n">
        <x:f>IFERROR('各站彙總來源'!F732/'各站彙總來源'!G732,"")</x:f>
        <x:v>6.153846153846154</x:v>
      </x:c>
      <x:c r="G732" s="19" t="n">
        <x:f>'各站彙總來源'!G732</x:f>
        <x:v>26</x:v>
      </x:c>
      <x:c r="H732" s="24" t="n">
        <x:f>IFERROR('各站彙總來源'!H732/'各站彙總來源'!I732,"")</x:f>
        <x:v>1.8461538461538463</x:v>
      </x:c>
      <x:c r="I732" s="19" t="n">
        <x:f>'各站彙總來源'!I732</x:f>
        <x:v>26</x:v>
      </x:c>
      <x:c r="J732" s="24" t="n">
        <x:f>IFERROR('各站彙總來源'!J732/'各站彙總來源'!K732,"")</x:f>
        <x:v>4.576923076923077</x:v>
      </x:c>
      <x:c r="K732" s="19" t="n">
        <x:f>'各站彙總來源'!K732</x:f>
        <x:v>26</x:v>
      </x:c>
      <x:c r="L732" s="24" t="n">
        <x:f>IFERROR('各站彙總來源'!L732/'各站彙總來源'!M732,"")</x:f>
        <x:v>1.3461538461538463</x:v>
      </x:c>
      <x:c r="M732" s="19" t="n">
        <x:f>'各站彙總來源'!M732</x:f>
        <x:v>26</x:v>
      </x:c>
      <x:c r="N732" s="24" t="n">
        <x:f>F732+H732</x:f>
        <x:v>8</x:v>
      </x:c>
      <x:c r="O732" s="24" t="n">
        <x:f>J732+L732</x:f>
        <x:v>5.923076923076923</x:v>
      </x:c>
    </x:row>
    <x:row r="733">
      <x:c r="A733" s="22" t="str">
        <x:v>500106124</x:v>
      </x:c>
      <x:c r="B733" s="17" t="str">
        <x:v>中正區</x:v>
      </x:c>
      <x:c r="C733" s="17" t="str">
        <x:v>幸安市場</x:v>
      </x:c>
      <x:c r="D733" s="18" t="n">
        <x:v>26</x:v>
      </x:c>
      <x:c r="E733" s="18" t="n">
        <x:v>26</x:v>
      </x:c>
      <x:c r="F733" s="24" t="n">
        <x:f>IFERROR('各站彙總來源'!F733/'各站彙總來源'!G733,"")</x:f>
        <x:v>3.6923076923076925</x:v>
      </x:c>
      <x:c r="G733" s="19" t="n">
        <x:f>'各站彙總來源'!G733</x:f>
        <x:v>26</x:v>
      </x:c>
      <x:c r="H733" s="24" t="n">
        <x:f>IFERROR('各站彙總來源'!H733/'各站彙總來源'!I733,"")</x:f>
        <x:v>0.8461538461538461</x:v>
      </x:c>
      <x:c r="I733" s="19" t="n">
        <x:f>'各站彙總來源'!I733</x:f>
        <x:v>26</x:v>
      </x:c>
      <x:c r="J733" s="24" t="n">
        <x:f>IFERROR('各站彙總來源'!J733/'各站彙總來源'!K733,"")</x:f>
        <x:v>2.3076923076923075</x:v>
      </x:c>
      <x:c r="K733" s="19" t="n">
        <x:f>'各站彙總來源'!K733</x:f>
        <x:v>26</x:v>
      </x:c>
      <x:c r="L733" s="24" t="n">
        <x:f>IFERROR('各站彙總來源'!L733/'各站彙總來源'!M733,"")</x:f>
        <x:v>0.6538461538461539</x:v>
      </x:c>
      <x:c r="M733" s="19" t="n">
        <x:f>'各站彙總來源'!M733</x:f>
        <x:v>26</x:v>
      </x:c>
      <x:c r="N733" s="24" t="n">
        <x:f>F733+H733</x:f>
        <x:v>4.538461538461538</x:v>
      </x:c>
      <x:c r="O733" s="24" t="n">
        <x:f>J733+L733</x:f>
        <x:v>2.9615384615384612</x:v>
      </x:c>
    </x:row>
    <x:row r="734">
      <x:c r="A734" s="22" t="str">
        <x:v>500106125</x:v>
      </x:c>
      <x:c r="B734" s="17" t="str">
        <x:v>中正區</x:v>
      </x:c>
      <x:c r="C734" s="17" t="str">
        <x:v>龍口市場</x:v>
      </x:c>
      <x:c r="D734" s="18" t="n">
        <x:v>26</x:v>
      </x:c>
      <x:c r="E734" s="18" t="n">
        <x:v>26</x:v>
      </x:c>
      <x:c r="F734" s="24" t="n">
        <x:f>IFERROR('各站彙總來源'!F734/'各站彙總來源'!G734,"")</x:f>
        <x:v>14.423076923076923</x:v>
      </x:c>
      <x:c r="G734" s="19" t="n">
        <x:f>'各站彙總來源'!G734</x:f>
        <x:v>26</x:v>
      </x:c>
      <x:c r="H734" s="24" t="n">
        <x:f>IFERROR('各站彙總來源'!H734/'各站彙總來源'!I734,"")</x:f>
        <x:v>1.1153846153846154</x:v>
      </x:c>
      <x:c r="I734" s="19" t="n">
        <x:f>'各站彙總來源'!I734</x:f>
        <x:v>26</x:v>
      </x:c>
      <x:c r="J734" s="24" t="n">
        <x:f>IFERROR('各站彙總來源'!J734/'各站彙總來源'!K734,"")</x:f>
        <x:v>3.9615384615384617</x:v>
      </x:c>
      <x:c r="K734" s="19" t="n">
        <x:f>'各站彙總來源'!K734</x:f>
        <x:v>26</x:v>
      </x:c>
      <x:c r="L734" s="24" t="n">
        <x:f>IFERROR('各站彙總來源'!L734/'各站彙總來源'!M734,"")</x:f>
        <x:v>0.6153846153846154</x:v>
      </x:c>
      <x:c r="M734" s="19" t="n">
        <x:f>'各站彙總來源'!M734</x:f>
        <x:v>26</x:v>
      </x:c>
      <x:c r="N734" s="24" t="n">
        <x:f>F734+H734</x:f>
        <x:v>15.538461538461538</x:v>
      </x:c>
      <x:c r="O734" s="24" t="n">
        <x:f>J734+L734</x:f>
        <x:v>4.576923076923077</x:v>
      </x:c>
    </x:row>
    <x:row r="735">
      <x:c r="A735" s="22" t="str">
        <x:v>500106126</x:v>
      </x:c>
      <x:c r="B735" s="17" t="str">
        <x:v>中正區</x:v>
      </x:c>
      <x:c r="C735" s="17" t="str">
        <x:v>捷運善導寺站(5號出口)</x:v>
      </x:c>
      <x:c r="D735" s="18" t="n">
        <x:v>26</x:v>
      </x:c>
      <x:c r="E735" s="18" t="n">
        <x:v>26</x:v>
      </x:c>
      <x:c r="F735" s="24" t="n">
        <x:f>IFERROR('各站彙總來源'!F735/'各站彙總來源'!G735,"")</x:f>
        <x:v>6.230769230769231</x:v>
      </x:c>
      <x:c r="G735" s="19" t="n">
        <x:f>'各站彙總來源'!G735</x:f>
        <x:v>26</x:v>
      </x:c>
      <x:c r="H735" s="24" t="n">
        <x:f>IFERROR('各站彙總來源'!H735/'各站彙總來源'!I735,"")</x:f>
        <x:v>1.7692307692307692</x:v>
      </x:c>
      <x:c r="I735" s="19" t="n">
        <x:f>'各站彙總來源'!I735</x:f>
        <x:v>26</x:v>
      </x:c>
      <x:c r="J735" s="24" t="n">
        <x:f>IFERROR('各站彙總來源'!J735/'各站彙總來源'!K735,"")</x:f>
        <x:v>11.538461538461538</x:v>
      </x:c>
      <x:c r="K735" s="19" t="n">
        <x:f>'各站彙總來源'!K735</x:f>
        <x:v>26</x:v>
      </x:c>
      <x:c r="L735" s="24" t="n">
        <x:f>IFERROR('各站彙總來源'!L735/'各站彙總來源'!M735,"")</x:f>
        <x:v>1.6153846153846154</x:v>
      </x:c>
      <x:c r="M735" s="19" t="n">
        <x:f>'各站彙總來源'!M735</x:f>
        <x:v>26</x:v>
      </x:c>
      <x:c r="N735" s="24" t="n">
        <x:f>F735+H735</x:f>
        <x:v>8</x:v>
      </x:c>
      <x:c r="O735" s="24" t="n">
        <x:f>J735+L735</x:f>
        <x:v>13.153846153846153</x:v>
      </x:c>
    </x:row>
    <x:row r="736">
      <x:c r="A736" s="22" t="str">
        <x:v>500106127</x:v>
      </x:c>
      <x:c r="B736" s="17" t="str">
        <x:v>中正區</x:v>
      </x:c>
      <x:c r="C736" s="17" t="str">
        <x:v>青島杭州路口</x:v>
      </x:c>
      <x:c r="D736" s="18" t="n">
        <x:v>26</x:v>
      </x:c>
      <x:c r="E736" s="18" t="n">
        <x:v>26</x:v>
      </x:c>
      <x:c r="F736" s="24" t="n">
        <x:f>IFERROR('各站彙總來源'!F736/'各站彙總來源'!G736,"")</x:f>
        <x:v>5.653846153846154</x:v>
      </x:c>
      <x:c r="G736" s="19" t="n">
        <x:f>'各站彙總來源'!G736</x:f>
        <x:v>26</x:v>
      </x:c>
      <x:c r="H736" s="24" t="n">
        <x:f>IFERROR('各站彙總來源'!H736/'各站彙總來源'!I736,"")</x:f>
        <x:v>1.3461538461538463</x:v>
      </x:c>
      <x:c r="I736" s="19" t="n">
        <x:f>'各站彙總來源'!I736</x:f>
        <x:v>26</x:v>
      </x:c>
      <x:c r="J736" s="24" t="n">
        <x:f>IFERROR('各站彙總來源'!J736/'各站彙總來源'!K736,"")</x:f>
        <x:v>7.384615384615385</x:v>
      </x:c>
      <x:c r="K736" s="19" t="n">
        <x:f>'各站彙總來源'!K736</x:f>
        <x:v>26</x:v>
      </x:c>
      <x:c r="L736" s="24" t="n">
        <x:f>IFERROR('各站彙總來源'!L736/'各站彙總來源'!M736,"")</x:f>
        <x:v>2.5</x:v>
      </x:c>
      <x:c r="M736" s="19" t="n">
        <x:f>'各站彙總來源'!M736</x:f>
        <x:v>26</x:v>
      </x:c>
      <x:c r="N736" s="24" t="n">
        <x:f>F736+H736</x:f>
        <x:v>7</x:v>
      </x:c>
      <x:c r="O736" s="24" t="n">
        <x:f>J736+L736</x:f>
        <x:v>9.884615384615385</x:v>
      </x:c>
    </x:row>
    <x:row r="737">
      <x:c r="A737" s="22" t="str">
        <x:v>500106128</x:v>
      </x:c>
      <x:c r="B737" s="17" t="str">
        <x:v>中正區</x:v>
      </x:c>
      <x:c r="C737" s="17" t="str">
        <x:v>詔安街37巷口</x:v>
      </x:c>
      <x:c r="D737" s="18" t="n">
        <x:v>26</x:v>
      </x:c>
      <x:c r="E737" s="18" t="n">
        <x:v>26</x:v>
      </x:c>
      <x:c r="F737" s="24" t="n">
        <x:f>IFERROR('各站彙總來源'!F737/'各站彙總來源'!G737,"")</x:f>
        <x:v>21.653846153846153</x:v>
      </x:c>
      <x:c r="G737" s="19" t="n">
        <x:f>'各站彙總來源'!G737</x:f>
        <x:v>26</x:v>
      </x:c>
      <x:c r="H737" s="24" t="n">
        <x:f>IFERROR('各站彙總來源'!H737/'各站彙總來源'!I737,"")</x:f>
        <x:v>3.0384615384615383</x:v>
      </x:c>
      <x:c r="I737" s="19" t="n">
        <x:f>'各站彙總來源'!I737</x:f>
        <x:v>26</x:v>
      </x:c>
      <x:c r="J737" s="24" t="n">
        <x:f>IFERROR('各站彙總來源'!J737/'各站彙總來源'!K737,"")</x:f>
        <x:v>4.8076923076923075</x:v>
      </x:c>
      <x:c r="K737" s="19" t="n">
        <x:f>'各站彙總來源'!K737</x:f>
        <x:v>26</x:v>
      </x:c>
      <x:c r="L737" s="24" t="n">
        <x:f>IFERROR('各站彙總來源'!L737/'各站彙總來源'!M737,"")</x:f>
        <x:v>0.7692307692307693</x:v>
      </x:c>
      <x:c r="M737" s="19" t="n">
        <x:f>'各站彙總來源'!M737</x:f>
        <x:v>26</x:v>
      </x:c>
      <x:c r="N737" s="24" t="n">
        <x:f>F737+H737</x:f>
        <x:v>24.692307692307693</x:v>
      </x:c>
      <x:c r="O737" s="24" t="n">
        <x:f>J737+L737</x:f>
        <x:v>5.576923076923077</x:v>
      </x:c>
    </x:row>
    <x:row r="738">
      <x:c r="A738" s="22" t="str">
        <x:v>500106129</x:v>
      </x:c>
      <x:c r="B738" s="17" t="str">
        <x:v>中正區</x:v>
      </x:c>
      <x:c r="C738" s="17" t="str">
        <x:v>南海路112巷口</x:v>
      </x:c>
      <x:c r="D738" s="18" t="n">
        <x:v>26</x:v>
      </x:c>
      <x:c r="E738" s="18" t="n">
        <x:v>26</x:v>
      </x:c>
      <x:c r="F738" s="24" t="n">
        <x:f>IFERROR('各站彙總來源'!F738/'各站彙總來源'!G738,"")</x:f>
        <x:v>14.73076923076923</x:v>
      </x:c>
      <x:c r="G738" s="19" t="n">
        <x:f>'各站彙總來源'!G738</x:f>
        <x:v>26</x:v>
      </x:c>
      <x:c r="H738" s="24" t="n">
        <x:f>IFERROR('各站彙總來源'!H738/'各站彙總來源'!I738,"")</x:f>
        <x:v>1.8076923076923077</x:v>
      </x:c>
      <x:c r="I738" s="19" t="n">
        <x:f>'各站彙總來源'!I738</x:f>
        <x:v>26</x:v>
      </x:c>
      <x:c r="J738" s="24" t="n">
        <x:f>IFERROR('各站彙總來源'!J738/'各站彙總來源'!K738,"")</x:f>
        <x:v>7.6923076923076925</x:v>
      </x:c>
      <x:c r="K738" s="19" t="n">
        <x:f>'各站彙總來源'!K738</x:f>
        <x:v>26</x:v>
      </x:c>
      <x:c r="L738" s="24" t="n">
        <x:f>IFERROR('各站彙總來源'!L738/'各站彙總來源'!M738,"")</x:f>
        <x:v>0.6153846153846154</x:v>
      </x:c>
      <x:c r="M738" s="19" t="n">
        <x:f>'各站彙總來源'!M738</x:f>
        <x:v>26</x:v>
      </x:c>
      <x:c r="N738" s="24" t="n">
        <x:f>F738+H738</x:f>
        <x:v>16.538461538461537</x:v>
      </x:c>
      <x:c r="O738" s="24" t="n">
        <x:f>J738+L738</x:f>
        <x:v>8.307692307692308</x:v>
      </x:c>
    </x:row>
    <x:row r="739">
      <x:c r="A739" s="22" t="str">
        <x:v>500106130</x:v>
      </x:c>
      <x:c r="B739" s="17" t="str">
        <x:v>中正區</x:v>
      </x:c>
      <x:c r="C739" s="17" t="str">
        <x:v>牯嶺街95巷</x:v>
      </x:c>
      <x:c r="D739" s="18" t="n">
        <x:v>26</x:v>
      </x:c>
      <x:c r="E739" s="18" t="n">
        <x:v>26</x:v>
      </x:c>
      <x:c r="F739" s="24" t="n">
        <x:f>IFERROR('各站彙總來源'!F739/'各站彙總來源'!G739,"")</x:f>
        <x:v>13.115384615384615</x:v>
      </x:c>
      <x:c r="G739" s="19" t="n">
        <x:f>'各站彙總來源'!G739</x:f>
        <x:v>26</x:v>
      </x:c>
      <x:c r="H739" s="24" t="n">
        <x:f>IFERROR('各站彙總來源'!H739/'各站彙總來源'!I739,"")</x:f>
        <x:v>1.7692307692307692</x:v>
      </x:c>
      <x:c r="I739" s="19" t="n">
        <x:f>'各站彙總來源'!I739</x:f>
        <x:v>26</x:v>
      </x:c>
      <x:c r="J739" s="24" t="n">
        <x:f>IFERROR('各站彙總來源'!J739/'各站彙總來源'!K739,"")</x:f>
        <x:v>3.1153846153846154</x:v>
      </x:c>
      <x:c r="K739" s="19" t="n">
        <x:f>'各站彙總來源'!K739</x:f>
        <x:v>26</x:v>
      </x:c>
      <x:c r="L739" s="24" t="n">
        <x:f>IFERROR('各站彙總來源'!L739/'各站彙總來源'!M739,"")</x:f>
        <x:v>0.6538461538461539</x:v>
      </x:c>
      <x:c r="M739" s="19" t="n">
        <x:f>'各站彙總來源'!M739</x:f>
        <x:v>26</x:v>
      </x:c>
      <x:c r="N739" s="24" t="n">
        <x:f>F739+H739</x:f>
        <x:v>14.884615384615383</x:v>
      </x:c>
      <x:c r="O739" s="24" t="n">
        <x:f>J739+L739</x:f>
        <x:v>3.769230769230769</x:v>
      </x:c>
    </x:row>
    <x:row r="740">
      <x:c r="A740" s="22" t="str">
        <x:v>500106131</x:v>
      </x:c>
      <x:c r="B740" s="17" t="str">
        <x:v>中正區</x:v>
      </x:c>
      <x:c r="C740" s="17" t="str">
        <x:v>仁愛紹興路口(北側)</x:v>
      </x:c>
      <x:c r="D740" s="18" t="n">
        <x:v>26</x:v>
      </x:c>
      <x:c r="E740" s="18" t="n">
        <x:v>26</x:v>
      </x:c>
      <x:c r="F740" s="24" t="n">
        <x:f>IFERROR('各站彙總來源'!F740/'各站彙總來源'!G740,"")</x:f>
        <x:v>3.269230769230769</x:v>
      </x:c>
      <x:c r="G740" s="19" t="n">
        <x:f>'各站彙總來源'!G740</x:f>
        <x:v>26</x:v>
      </x:c>
      <x:c r="H740" s="24" t="n">
        <x:f>IFERROR('各站彙總來源'!H740/'各站彙總來源'!I740,"")</x:f>
        <x:v>0.7307692307692307</x:v>
      </x:c>
      <x:c r="I740" s="19" t="n">
        <x:f>'各站彙總來源'!I740</x:f>
        <x:v>26</x:v>
      </x:c>
      <x:c r="J740" s="24" t="n">
        <x:f>IFERROR('各站彙總來源'!J740/'各站彙總來源'!K740,"")</x:f>
        <x:v>7.6923076923076925</x:v>
      </x:c>
      <x:c r="K740" s="19" t="n">
        <x:f>'各站彙總來源'!K740</x:f>
        <x:v>26</x:v>
      </x:c>
      <x:c r="L740" s="24" t="n">
        <x:f>IFERROR('各站彙總來源'!L740/'各站彙總來源'!M740,"")</x:f>
        <x:v>1.4615384615384615</x:v>
      </x:c>
      <x:c r="M740" s="19" t="n">
        <x:f>'各站彙總來源'!M740</x:f>
        <x:v>26</x:v>
      </x:c>
      <x:c r="N740" s="24" t="n">
        <x:f>F740+H740</x:f>
        <x:v>4</x:v>
      </x:c>
      <x:c r="O740" s="24" t="n">
        <x:f>J740+L740</x:f>
        <x:v>9.153846153846153</x:v>
      </x:c>
    </x:row>
    <x:row r="741">
      <x:c r="A741" s="22" t="str">
        <x:v>500106132</x:v>
      </x:c>
      <x:c r="B741" s="17" t="str">
        <x:v>中正區</x:v>
      </x:c>
      <x:c r="C741" s="17" t="str">
        <x:v>貴陽博愛路口</x:v>
      </x:c>
      <x:c r="D741" s="18" t="n">
        <x:v>26</x:v>
      </x:c>
      <x:c r="E741" s="18" t="n">
        <x:v>26</x:v>
      </x:c>
      <x:c r="F741" s="24" t="n">
        <x:f>IFERROR('各站彙總來源'!F741/'各站彙總來源'!G741,"")</x:f>
        <x:v>5.769230769230769</x:v>
      </x:c>
      <x:c r="G741" s="19" t="n">
        <x:f>'各站彙總來源'!G741</x:f>
        <x:v>26</x:v>
      </x:c>
      <x:c r="H741" s="24" t="n">
        <x:f>IFERROR('各站彙總來源'!H741/'各站彙總來源'!I741,"")</x:f>
        <x:v>1.2307692307692308</x:v>
      </x:c>
      <x:c r="I741" s="19" t="n">
        <x:f>'各站彙總來源'!I741</x:f>
        <x:v>26</x:v>
      </x:c>
      <x:c r="J741" s="24" t="n">
        <x:f>IFERROR('各站彙總來源'!J741/'各站彙總來源'!K741,"")</x:f>
        <x:v>53.69230769230769</x:v>
      </x:c>
      <x:c r="K741" s="19" t="n">
        <x:f>'各站彙總來源'!K741</x:f>
        <x:v>26</x:v>
      </x:c>
      <x:c r="L741" s="24" t="n">
        <x:f>IFERROR('各站彙總來源'!L741/'各站彙總來源'!M741,"")</x:f>
        <x:v>4.615384615384615</x:v>
      </x:c>
      <x:c r="M741" s="19" t="n">
        <x:f>'各站彙總來源'!M741</x:f>
        <x:v>26</x:v>
      </x:c>
      <x:c r="N741" s="24" t="n">
        <x:f>F741+H741</x:f>
        <x:v>7</x:v>
      </x:c>
      <x:c r="O741" s="24" t="n">
        <x:f>J741+L741</x:f>
        <x:v>58.30769230769231</x:v>
      </x:c>
    </x:row>
    <x:row r="742">
      <x:c r="A742" s="22" t="str">
        <x:v>500106133</x:v>
      </x:c>
      <x:c r="B742" s="17" t="str">
        <x:v>中正區</x:v>
      </x:c>
      <x:c r="C742" s="17" t="str">
        <x:v>國立臺灣博物館南門館</x:v>
      </x:c>
      <x:c r="D742" s="18" t="n">
        <x:v>26</x:v>
      </x:c>
      <x:c r="E742" s="18" t="n">
        <x:v>26</x:v>
      </x:c>
      <x:c r="F742" s="24" t="n">
        <x:f>IFERROR('各站彙總來源'!F742/'各站彙總來源'!G742,"")</x:f>
        <x:v>4.6923076923076925</x:v>
      </x:c>
      <x:c r="G742" s="19" t="n">
        <x:f>'各站彙總來源'!G742</x:f>
        <x:v>26</x:v>
      </x:c>
      <x:c r="H742" s="24" t="n">
        <x:f>IFERROR('各站彙總來源'!H742/'各站彙總來源'!I742,"")</x:f>
        <x:v>0.8076923076923077</x:v>
      </x:c>
      <x:c r="I742" s="19" t="n">
        <x:f>'各站彙總來源'!I742</x:f>
        <x:v>26</x:v>
      </x:c>
      <x:c r="J742" s="24" t="n">
        <x:f>IFERROR('各站彙總來源'!J742/'各站彙總來源'!K742,"")</x:f>
        <x:v>10.576923076923077</x:v>
      </x:c>
      <x:c r="K742" s="19" t="n">
        <x:f>'各站彙總來源'!K742</x:f>
        <x:v>26</x:v>
      </x:c>
      <x:c r="L742" s="24" t="n">
        <x:f>IFERROR('各站彙總來源'!L742/'各站彙總來源'!M742,"")</x:f>
        <x:v>1.2692307692307692</x:v>
      </x:c>
      <x:c r="M742" s="19" t="n">
        <x:f>'各站彙總來源'!M742</x:f>
        <x:v>26</x:v>
      </x:c>
      <x:c r="N742" s="24" t="n">
        <x:f>F742+H742</x:f>
        <x:v>5.5</x:v>
      </x:c>
      <x:c r="O742" s="24" t="n">
        <x:f>J742+L742</x:f>
        <x:v>11.846153846153847</x:v>
      </x:c>
    </x:row>
    <x:row r="743">
      <x:c r="A743" s="22" t="str">
        <x:v>500106134</x:v>
      </x:c>
      <x:c r="B743" s="17" t="str">
        <x:v>中正區</x:v>
      </x:c>
      <x:c r="C743" s="17" t="str">
        <x:v>汀州路一段106巷口</x:v>
      </x:c>
      <x:c r="D743" s="18" t="n">
        <x:v>26</x:v>
      </x:c>
      <x:c r="E743" s="18" t="n">
        <x:v>26</x:v>
      </x:c>
      <x:c r="F743" s="24" t="n">
        <x:f>IFERROR('各站彙總來源'!F743/'各站彙總來源'!G743,"")</x:f>
        <x:v>10.26923076923077</x:v>
      </x:c>
      <x:c r="G743" s="19" t="n">
        <x:f>'各站彙總來源'!G743</x:f>
        <x:v>26</x:v>
      </x:c>
      <x:c r="H743" s="24" t="n">
        <x:f>IFERROR('各站彙總來源'!H743/'各站彙總來源'!I743,"")</x:f>
        <x:v>1.1923076923076923</x:v>
      </x:c>
      <x:c r="I743" s="19" t="n">
        <x:f>'各站彙總來源'!I743</x:f>
        <x:v>26</x:v>
      </x:c>
      <x:c r="J743" s="24" t="n">
        <x:f>IFERROR('各站彙總來源'!J743/'各站彙總來源'!K743,"")</x:f>
        <x:v>3.769230769230769</x:v>
      </x:c>
      <x:c r="K743" s="19" t="n">
        <x:f>'各站彙總來源'!K743</x:f>
        <x:v>26</x:v>
      </x:c>
      <x:c r="L743" s="24" t="n">
        <x:f>IFERROR('各站彙總來源'!L743/'各站彙總來源'!M743,"")</x:f>
        <x:v>0.6538461538461539</x:v>
      </x:c>
      <x:c r="M743" s="19" t="n">
        <x:f>'各站彙總來源'!M743</x:f>
        <x:v>26</x:v>
      </x:c>
      <x:c r="N743" s="24" t="n">
        <x:f>F743+H743</x:f>
        <x:v>11.461538461538462</x:v>
      </x:c>
      <x:c r="O743" s="24" t="n">
        <x:f>J743+L743</x:f>
        <x:v>4.423076923076923</x:v>
      </x:c>
    </x:row>
    <x:row r="744">
      <x:c r="A744" s="22" t="str">
        <x:v>500106135</x:v>
      </x:c>
      <x:c r="B744" s="17" t="str">
        <x:v>中正區</x:v>
      </x:c>
      <x:c r="C744" s="17" t="str">
        <x:v>羅斯福路四段108巷口</x:v>
      </x:c>
      <x:c r="D744" s="18" t="n">
        <x:v>26</x:v>
      </x:c>
      <x:c r="E744" s="18" t="n">
        <x:v>26</x:v>
      </x:c>
      <x:c r="F744" s="24" t="n">
        <x:f>IFERROR('各站彙總來源'!F744/'各站彙總來源'!G744,"")</x:f>
        <x:v>4.730769230769231</x:v>
      </x:c>
      <x:c r="G744" s="19" t="n">
        <x:f>'各站彙總來源'!G744</x:f>
        <x:v>26</x:v>
      </x:c>
      <x:c r="H744" s="24" t="n">
        <x:f>IFERROR('各站彙總來源'!H744/'各站彙總來源'!I744,"")</x:f>
        <x:v>0.9615384615384616</x:v>
      </x:c>
      <x:c r="I744" s="19" t="n">
        <x:f>'各站彙總來源'!I744</x:f>
        <x:v>26</x:v>
      </x:c>
      <x:c r="J744" s="24" t="n">
        <x:f>IFERROR('各站彙總來源'!J744/'各站彙總來源'!K744,"")</x:f>
        <x:v>8.653846153846153</x:v>
      </x:c>
      <x:c r="K744" s="19" t="n">
        <x:f>'各站彙總來源'!K744</x:f>
        <x:v>26</x:v>
      </x:c>
      <x:c r="L744" s="24" t="n">
        <x:f>IFERROR('各站彙總來源'!L744/'各站彙總來源'!M744,"")</x:f>
        <x:v>1.6153846153846154</x:v>
      </x:c>
      <x:c r="M744" s="19" t="n">
        <x:f>'各站彙總來源'!M744</x:f>
        <x:v>26</x:v>
      </x:c>
      <x:c r="N744" s="24" t="n">
        <x:f>F744+H744</x:f>
        <x:v>5.6923076923076925</x:v>
      </x:c>
      <x:c r="O744" s="24" t="n">
        <x:f>J744+L744</x:f>
        <x:v>10.269230769230768</x:v>
      </x:c>
    </x:row>
    <x:row r="745">
      <x:c r="A745" s="22" t="str">
        <x:v>500106136</x:v>
      </x:c>
      <x:c r="B745" s="17" t="str">
        <x:v>中正區</x:v>
      </x:c>
      <x:c r="C745" s="17" t="str">
        <x:v>公館水岸廣場</x:v>
      </x:c>
      <x:c r="D745" s="18" t="n">
        <x:v>26</x:v>
      </x:c>
      <x:c r="E745" s="18" t="n">
        <x:v>26</x:v>
      </x:c>
      <x:c r="F745" s="24" t="n">
        <x:f>IFERROR('各站彙總來源'!F745/'各站彙總來源'!G745,"")</x:f>
        <x:v>6.576923076923077</x:v>
      </x:c>
      <x:c r="G745" s="19" t="n">
        <x:f>'各站彙總來源'!G745</x:f>
        <x:v>26</x:v>
      </x:c>
      <x:c r="H745" s="24" t="n">
        <x:f>IFERROR('各站彙總來源'!H745/'各站彙總來源'!I745,"")</x:f>
        <x:v>1.8846153846153846</x:v>
      </x:c>
      <x:c r="I745" s="19" t="n">
        <x:f>'各站彙總來源'!I745</x:f>
        <x:v>26</x:v>
      </x:c>
      <x:c r="J745" s="24" t="n">
        <x:f>IFERROR('各站彙總來源'!J745/'各站彙總來源'!K745,"")</x:f>
        <x:v>3.8461538461538463</x:v>
      </x:c>
      <x:c r="K745" s="19" t="n">
        <x:f>'各站彙總來源'!K745</x:f>
        <x:v>26</x:v>
      </x:c>
      <x:c r="L745" s="24" t="n">
        <x:f>IFERROR('各站彙總來源'!L745/'各站彙總來源'!M745,"")</x:f>
        <x:v>0.9230769230769231</x:v>
      </x:c>
      <x:c r="M745" s="19" t="n">
        <x:f>'各站彙總來源'!M745</x:f>
        <x:v>26</x:v>
      </x:c>
      <x:c r="N745" s="24" t="n">
        <x:f>F745+H745</x:f>
        <x:v>8.461538461538462</x:v>
      </x:c>
      <x:c r="O745" s="24" t="n">
        <x:f>J745+L745</x:f>
        <x:v>4.769230769230769</x:v>
      </x:c>
    </x:row>
    <x:row r="746">
      <x:c r="A746" s="22" t="str">
        <x:v>500106137</x:v>
      </x:c>
      <x:c r="B746" s="17" t="str">
        <x:v>中正區</x:v>
      </x:c>
      <x:c r="C746" s="17" t="str">
        <x:v>捷運小南門站(3號出口)</x:v>
      </x:c>
      <x:c r="D746" s="18" t="n">
        <x:v>26</x:v>
      </x:c>
      <x:c r="E746" s="18" t="n">
        <x:v>26</x:v>
      </x:c>
      <x:c r="F746" s="24" t="n">
        <x:f>IFERROR('各站彙總來源'!F746/'各站彙總來源'!G746,"")</x:f>
        <x:v>4.538461538461538</x:v>
      </x:c>
      <x:c r="G746" s="19" t="n">
        <x:f>'各站彙總來源'!G746</x:f>
        <x:v>26</x:v>
      </x:c>
      <x:c r="H746" s="24" t="n">
        <x:f>IFERROR('各站彙總來源'!H746/'各站彙總來源'!I746,"")</x:f>
        <x:v>0.9230769230769231</x:v>
      </x:c>
      <x:c r="I746" s="19" t="n">
        <x:f>'各站彙總來源'!I746</x:f>
        <x:v>26</x:v>
      </x:c>
      <x:c r="J746" s="24" t="n">
        <x:f>IFERROR('各站彙總來源'!J746/'各站彙總來源'!K746,"")</x:f>
        <x:v>8.346153846153847</x:v>
      </x:c>
      <x:c r="K746" s="19" t="n">
        <x:f>'各站彙總來源'!K746</x:f>
        <x:v>26</x:v>
      </x:c>
      <x:c r="L746" s="24" t="n">
        <x:f>IFERROR('各站彙總來源'!L746/'各站彙總來源'!M746,"")</x:f>
        <x:v>1.3076923076923077</x:v>
      </x:c>
      <x:c r="M746" s="19" t="n">
        <x:f>'各站彙總來源'!M746</x:f>
        <x:v>26</x:v>
      </x:c>
      <x:c r="N746" s="24" t="n">
        <x:f>F746+H746</x:f>
        <x:v>5.461538461538462</x:v>
      </x:c>
      <x:c r="O746" s="24" t="n">
        <x:f>J746+L746</x:f>
        <x:v>9.653846153846155</x:v>
      </x:c>
    </x:row>
    <x:row r="747">
      <x:c r="A747" s="22" t="str">
        <x:v>500106138</x:v>
      </x:c>
      <x:c r="B747" s="17" t="str">
        <x:v>中正區</x:v>
      </x:c>
      <x:c r="C747" s="17" t="str">
        <x:v>臨沂街停車場</x:v>
      </x:c>
      <x:c r="D747" s="18" t="n">
        <x:v>26</x:v>
      </x:c>
      <x:c r="E747" s="18" t="n">
        <x:v>26</x:v>
      </x:c>
      <x:c r="F747" s="24" t="n">
        <x:f>IFERROR('各站彙總來源'!F747/'各站彙總來源'!G747,"")</x:f>
        <x:v>7.461538461538462</x:v>
      </x:c>
      <x:c r="G747" s="19" t="n">
        <x:f>'各站彙總來源'!G747</x:f>
        <x:v>26</x:v>
      </x:c>
      <x:c r="H747" s="24" t="n">
        <x:f>IFERROR('各站彙總來源'!H747/'各站彙總來源'!I747,"")</x:f>
        <x:v>2</x:v>
      </x:c>
      <x:c r="I747" s="19" t="n">
        <x:f>'各站彙總來源'!I747</x:f>
        <x:v>26</x:v>
      </x:c>
      <x:c r="J747" s="24" t="n">
        <x:f>IFERROR('各站彙總來源'!J747/'各站彙總來源'!K747,"")</x:f>
        <x:v>4.961538461538462</x:v>
      </x:c>
      <x:c r="K747" s="19" t="n">
        <x:f>'各站彙總來源'!K747</x:f>
        <x:v>26</x:v>
      </x:c>
      <x:c r="L747" s="24" t="n">
        <x:f>IFERROR('各站彙總來源'!L747/'各站彙總來源'!M747,"")</x:f>
        <x:v>2</x:v>
      </x:c>
      <x:c r="M747" s="19" t="n">
        <x:f>'各站彙總來源'!M747</x:f>
        <x:v>26</x:v>
      </x:c>
      <x:c r="N747" s="24" t="n">
        <x:f>F747+H747</x:f>
        <x:v>9.461538461538462</x:v>
      </x:c>
      <x:c r="O747" s="24" t="n">
        <x:f>J747+L747</x:f>
        <x:v>6.961538461538462</x:v>
      </x:c>
    </x:row>
    <x:row r="748">
      <x:c r="A748" s="22" t="str">
        <x:v>500106139</x:v>
      </x:c>
      <x:c r="B748" s="17" t="str">
        <x:v>中正區</x:v>
      </x:c>
      <x:c r="C748" s="17" t="str">
        <x:v>螢橋國小(詔安街)</x:v>
      </x:c>
      <x:c r="D748" s="18" t="n">
        <x:v>26</x:v>
      </x:c>
      <x:c r="E748" s="18" t="n">
        <x:v>26</x:v>
      </x:c>
      <x:c r="F748" s="24" t="n">
        <x:f>IFERROR('各站彙總來源'!F748/'各站彙總來源'!G748,"")</x:f>
        <x:v>0</x:v>
      </x:c>
      <x:c r="G748" s="19" t="n">
        <x:f>'各站彙總來源'!G748</x:f>
        <x:v>26</x:v>
      </x:c>
      <x:c r="H748" s="24" t="n">
        <x:f>IFERROR('各站彙總來源'!H748/'各站彙總來源'!I748,"")</x:f>
        <x:v>0</x:v>
      </x:c>
      <x:c r="I748" s="19" t="n">
        <x:f>'各站彙總來源'!I748</x:f>
        <x:v>26</x:v>
      </x:c>
      <x:c r="J748" s="24" t="n">
        <x:f>IFERROR('各站彙總來源'!J748/'各站彙總來源'!K748,"")</x:f>
        <x:v>0</x:v>
      </x:c>
      <x:c r="K748" s="19" t="n">
        <x:f>'各站彙總來源'!K748</x:f>
        <x:v>26</x:v>
      </x:c>
      <x:c r="L748" s="24" t="n">
        <x:f>IFERROR('各站彙總來源'!L748/'各站彙總來源'!M748,"")</x:f>
        <x:v>0</x:v>
      </x:c>
      <x:c r="M748" s="19" t="n">
        <x:f>'各站彙總來源'!M748</x:f>
        <x:v>26</x:v>
      </x:c>
      <x:c r="N748" s="24" t="n">
        <x:f>F748+H748</x:f>
        <x:v>0</x:v>
      </x:c>
      <x:c r="O748" s="24" t="n">
        <x:f>J748+L748</x:f>
        <x:v>0</x:v>
      </x:c>
    </x:row>
    <x:row r="749">
      <x:c r="A749" s="22" t="str">
        <x:v>500106140</x:v>
      </x:c>
      <x:c r="B749" s="17" t="str">
        <x:v>中正區</x:v>
      </x:c>
      <x:c r="C749" s="17" t="str">
        <x:v>經濟部(重慶南路三段27巷)</x:v>
      </x:c>
      <x:c r="D749" s="18" t="n">
        <x:v>26</x:v>
      </x:c>
      <x:c r="E749" s="18" t="n">
        <x:v>26</x:v>
      </x:c>
      <x:c r="F749" s="24" t="n">
        <x:f>IFERROR('各站彙總來源'!F749/'各站彙總來源'!G749,"")</x:f>
        <x:v>0</x:v>
      </x:c>
      <x:c r="G749" s="19" t="n">
        <x:f>'各站彙總來源'!G749</x:f>
        <x:v>26</x:v>
      </x:c>
      <x:c r="H749" s="24" t="n">
        <x:f>IFERROR('各站彙總來源'!H749/'各站彙總來源'!I749,"")</x:f>
        <x:v>0</x:v>
      </x:c>
      <x:c r="I749" s="19" t="n">
        <x:f>'各站彙總來源'!I749</x:f>
        <x:v>26</x:v>
      </x:c>
      <x:c r="J749" s="24" t="n">
        <x:f>IFERROR('各站彙總來源'!J749/'各站彙總來源'!K749,"")</x:f>
        <x:v>0</x:v>
      </x:c>
      <x:c r="K749" s="19" t="n">
        <x:f>'各站彙總來源'!K749</x:f>
        <x:v>26</x:v>
      </x:c>
      <x:c r="L749" s="24" t="n">
        <x:f>IFERROR('各站彙總來源'!L749/'各站彙總來源'!M749,"")</x:f>
        <x:v>0</x:v>
      </x:c>
      <x:c r="M749" s="19" t="n">
        <x:f>'各站彙總來源'!M749</x:f>
        <x:v>26</x:v>
      </x:c>
      <x:c r="N749" s="24" t="n">
        <x:f>F749+H749</x:f>
        <x:v>0</x:v>
      </x:c>
      <x:c r="O749" s="24" t="n">
        <x:f>J749+L749</x:f>
        <x:v>0</x:v>
      </x:c>
    </x:row>
    <x:row r="750">
      <x:c r="A750" s="22" t="str">
        <x:v>500106141</x:v>
      </x:c>
      <x:c r="B750" s="17" t="str">
        <x:v>中正區</x:v>
      </x:c>
      <x:c r="C750" s="17" t="str">
        <x:v>愛國東路116巷口</x:v>
      </x:c>
      <x:c r="D750" s="18" t="n">
        <x:v>26</x:v>
      </x:c>
      <x:c r="E750" s="18" t="n">
        <x:v>26</x:v>
      </x:c>
      <x:c r="F750" s="24" t="n">
        <x:f>IFERROR('各站彙總來源'!F750/'各站彙總來源'!G750,"")</x:f>
        <x:v>0</x:v>
      </x:c>
      <x:c r="G750" s="19" t="n">
        <x:f>'各站彙總來源'!G750</x:f>
        <x:v>26</x:v>
      </x:c>
      <x:c r="H750" s="24" t="n">
        <x:f>IFERROR('各站彙總來源'!H750/'各站彙總來源'!I750,"")</x:f>
        <x:v>0</x:v>
      </x:c>
      <x:c r="I750" s="19" t="n">
        <x:f>'各站彙總來源'!I750</x:f>
        <x:v>26</x:v>
      </x:c>
      <x:c r="J750" s="24" t="n">
        <x:f>IFERROR('各站彙總來源'!J750/'各站彙總來源'!K750,"")</x:f>
        <x:v>0</x:v>
      </x:c>
      <x:c r="K750" s="19" t="n">
        <x:f>'各站彙總來源'!K750</x:f>
        <x:v>26</x:v>
      </x:c>
      <x:c r="L750" s="24" t="n">
        <x:f>IFERROR('各站彙總來源'!L750/'各站彙總來源'!M750,"")</x:f>
        <x:v>0</x:v>
      </x:c>
      <x:c r="M750" s="19" t="n">
        <x:f>'各站彙總來源'!M750</x:f>
        <x:v>26</x:v>
      </x:c>
      <x:c r="N750" s="24" t="n">
        <x:f>F750+H750</x:f>
        <x:v>0</x:v>
      </x:c>
      <x:c r="O750" s="24" t="n">
        <x:f>J750+L750</x:f>
        <x:v>0</x:v>
      </x:c>
    </x:row>
    <x:row r="751">
      <x:c r="A751" s="22" t="str">
        <x:v>500106142</x:v>
      </x:c>
      <x:c r="B751" s="17" t="str">
        <x:v>中正區</x:v>
      </x:c>
      <x:c r="C751" s="17" t="str">
        <x:v>愛國東羅斯福路口</x:v>
      </x:c>
      <x:c r="D751" s="18" t="n">
        <x:v>26</x:v>
      </x:c>
      <x:c r="E751" s="18" t="n">
        <x:v>26</x:v>
      </x:c>
      <x:c r="F751" s="24" t="n">
        <x:f>IFERROR('各站彙總來源'!F751/'各站彙總來源'!G751,"")</x:f>
        <x:v>5.423076923076923</x:v>
      </x:c>
      <x:c r="G751" s="19" t="n">
        <x:f>'各站彙總來源'!G751</x:f>
        <x:v>26</x:v>
      </x:c>
      <x:c r="H751" s="24" t="n">
        <x:f>IFERROR('各站彙總來源'!H751/'各站彙總來源'!I751,"")</x:f>
        <x:v>0.34615384615384615</x:v>
      </x:c>
      <x:c r="I751" s="19" t="n">
        <x:f>'各站彙總來源'!I751</x:f>
        <x:v>26</x:v>
      </x:c>
      <x:c r="J751" s="24" t="n">
        <x:f>IFERROR('各站彙總來源'!J751/'各站彙總來源'!K751,"")</x:f>
        <x:v>10</x:v>
      </x:c>
      <x:c r="K751" s="19" t="n">
        <x:f>'各站彙總來源'!K751</x:f>
        <x:v>26</x:v>
      </x:c>
      <x:c r="L751" s="24" t="n">
        <x:f>IFERROR('各站彙總來源'!L751/'各站彙總來源'!M751,"")</x:f>
        <x:v>1.1538461538461537</x:v>
      </x:c>
      <x:c r="M751" s="19" t="n">
        <x:f>'各站彙總來源'!M751</x:f>
        <x:v>26</x:v>
      </x:c>
      <x:c r="N751" s="24" t="n">
        <x:f>F751+H751</x:f>
        <x:v>5.769230769230769</x:v>
      </x:c>
      <x:c r="O751" s="24" t="n">
        <x:f>J751+L751</x:f>
        <x:v>11.153846153846153</x:v>
      </x:c>
    </x:row>
    <x:row r="752">
      <x:c r="A752" s="22" t="str">
        <x:v>500106143</x:v>
      </x:c>
      <x:c r="B752" s="17" t="str">
        <x:v>中正區</x:v>
      </x:c>
      <x:c r="C752" s="17" t="str">
        <x:v>螢橋國中</x:v>
      </x:c>
      <x:c r="D752" s="18" t="n">
        <x:v>26</x:v>
      </x:c>
      <x:c r="E752" s="18" t="n">
        <x:v>26</x:v>
      </x:c>
      <x:c r="F752" s="24" t="n">
        <x:f>IFERROR('各站彙總來源'!F752/'各站彙總來源'!G752,"")</x:f>
        <x:v>10.153846153846153</x:v>
      </x:c>
      <x:c r="G752" s="19" t="n">
        <x:f>'各站彙總來源'!G752</x:f>
        <x:v>26</x:v>
      </x:c>
      <x:c r="H752" s="24" t="n">
        <x:f>IFERROR('各站彙總來源'!H752/'各站彙總來源'!I752,"")</x:f>
        <x:v>1.7307692307692308</x:v>
      </x:c>
      <x:c r="I752" s="19" t="n">
        <x:f>'各站彙總來源'!I752</x:f>
        <x:v>26</x:v>
      </x:c>
      <x:c r="J752" s="24" t="n">
        <x:f>IFERROR('各站彙總來源'!J752/'各站彙總來源'!K752,"")</x:f>
        <x:v>3.730769230769231</x:v>
      </x:c>
      <x:c r="K752" s="19" t="n">
        <x:f>'各站彙總來源'!K752</x:f>
        <x:v>26</x:v>
      </x:c>
      <x:c r="L752" s="24" t="n">
        <x:f>IFERROR('各站彙總來源'!L752/'各站彙總來源'!M752,"")</x:f>
        <x:v>0.9230769230769231</x:v>
      </x:c>
      <x:c r="M752" s="19" t="n">
        <x:f>'各站彙總來源'!M752</x:f>
        <x:v>26</x:v>
      </x:c>
      <x:c r="N752" s="24" t="n">
        <x:f>F752+H752</x:f>
        <x:v>11.884615384615383</x:v>
      </x:c>
      <x:c r="O752" s="24" t="n">
        <x:f>J752+L752</x:f>
        <x:v>4.653846153846154</x:v>
      </x:c>
    </x:row>
    <x:row r="753">
      <x:c r="A753" s="22" t="str">
        <x:v>500106144</x:v>
      </x:c>
      <x:c r="B753" s="17" t="str">
        <x:v>中正區</x:v>
      </x:c>
      <x:c r="C753" s="17" t="str">
        <x:v>立法院中興大樓</x:v>
      </x:c>
      <x:c r="D753" s="18" t="n">
        <x:v>26</x:v>
      </x:c>
      <x:c r="E753" s="18" t="n">
        <x:v>26</x:v>
      </x:c>
      <x:c r="F753" s="24" t="n">
        <x:f>IFERROR('各站彙總來源'!F753/'各站彙總來源'!G753,"")</x:f>
        <x:v>3.3846153846153846</x:v>
      </x:c>
      <x:c r="G753" s="19" t="n">
        <x:f>'各站彙總來源'!G753</x:f>
        <x:v>26</x:v>
      </x:c>
      <x:c r="H753" s="24" t="n">
        <x:f>IFERROR('各站彙總來源'!H753/'各站彙總來源'!I753,"")</x:f>
        <x:v>0.8846153846153846</x:v>
      </x:c>
      <x:c r="I753" s="19" t="n">
        <x:f>'各站彙總來源'!I753</x:f>
        <x:v>26</x:v>
      </x:c>
      <x:c r="J753" s="24" t="n">
        <x:f>IFERROR('各站彙總來源'!J753/'各站彙總來源'!K753,"")</x:f>
        <x:v>5.576923076923077</x:v>
      </x:c>
      <x:c r="K753" s="19" t="n">
        <x:f>'各站彙總來源'!K753</x:f>
        <x:v>26</x:v>
      </x:c>
      <x:c r="L753" s="24" t="n">
        <x:f>IFERROR('各站彙總來源'!L753/'各站彙總來源'!M753,"")</x:f>
        <x:v>1.5769230769230769</x:v>
      </x:c>
      <x:c r="M753" s="19" t="n">
        <x:f>'各站彙總來源'!M753</x:f>
        <x:v>26</x:v>
      </x:c>
      <x:c r="N753" s="24" t="n">
        <x:f>F753+H753</x:f>
        <x:v>4.269230769230769</x:v>
      </x:c>
      <x:c r="O753" s="24" t="n">
        <x:f>J753+L753</x:f>
        <x:v>7.153846153846153</x:v>
      </x:c>
    </x:row>
    <x:row r="754">
      <x:c r="A754" s="22" t="str">
        <x:v>500106145</x:v>
      </x:c>
      <x:c r="B754" s="17" t="str">
        <x:v>中正區</x:v>
      </x:c>
      <x:c r="C754" s="17" t="str">
        <x:v>汀州南海路口</x:v>
      </x:c>
      <x:c r="D754" s="18" t="n">
        <x:v>26</x:v>
      </x:c>
      <x:c r="E754" s="18" t="n">
        <x:v>26</x:v>
      </x:c>
      <x:c r="F754" s="24" t="n">
        <x:f>IFERROR('各站彙總來源'!F754/'各站彙總來源'!G754,"")</x:f>
        <x:v>12.846153846153847</x:v>
      </x:c>
      <x:c r="G754" s="19" t="n">
        <x:f>'各站彙總來源'!G754</x:f>
        <x:v>26</x:v>
      </x:c>
      <x:c r="H754" s="24" t="n">
        <x:f>IFERROR('各站彙總來源'!H754/'各站彙總來源'!I754,"")</x:f>
        <x:v>1.5</x:v>
      </x:c>
      <x:c r="I754" s="19" t="n">
        <x:f>'各站彙總來源'!I754</x:f>
        <x:v>26</x:v>
      </x:c>
      <x:c r="J754" s="24" t="n">
        <x:f>IFERROR('各站彙總來源'!J754/'各站彙總來源'!K754,"")</x:f>
        <x:v>3.730769230769231</x:v>
      </x:c>
      <x:c r="K754" s="19" t="n">
        <x:f>'各站彙總來源'!K754</x:f>
        <x:v>26</x:v>
      </x:c>
      <x:c r="L754" s="24" t="n">
        <x:f>IFERROR('各站彙總來源'!L754/'各站彙總來源'!M754,"")</x:f>
        <x:v>0.6538461538461539</x:v>
      </x:c>
      <x:c r="M754" s="19" t="n">
        <x:f>'各站彙總來源'!M754</x:f>
        <x:v>26</x:v>
      </x:c>
      <x:c r="N754" s="24" t="n">
        <x:f>F754+H754</x:f>
        <x:v>14.346153846153847</x:v>
      </x:c>
      <x:c r="O754" s="24" t="n">
        <x:f>J754+L754</x:f>
        <x:v>4.384615384615385</x:v>
      </x:c>
    </x:row>
    <x:row r="755">
      <x:c r="A755" s="22" t="str">
        <x:v>500106146</x:v>
      </x:c>
      <x:c r="B755" s="17" t="str">
        <x:v>中正區</x:v>
      </x:c>
      <x:c r="C755" s="17" t="str">
        <x:v>捷運中正紀念堂站(7號出口)</x:v>
      </x:c>
      <x:c r="D755" s="18" t="n">
        <x:v>26</x:v>
      </x:c>
      <x:c r="E755" s="18" t="n">
        <x:v>26</x:v>
      </x:c>
      <x:c r="F755" s="24" t="n">
        <x:f>IFERROR('各站彙總來源'!F755/'各站彙總來源'!G755,"")</x:f>
        <x:v>3.576923076923077</x:v>
      </x:c>
      <x:c r="G755" s="19" t="n">
        <x:f>'各站彙總來源'!G755</x:f>
        <x:v>26</x:v>
      </x:c>
      <x:c r="H755" s="24" t="n">
        <x:f>IFERROR('各站彙總來源'!H755/'各站彙總來源'!I755,"")</x:f>
        <x:v>0.6538461538461539</x:v>
      </x:c>
      <x:c r="I755" s="19" t="n">
        <x:f>'各站彙總來源'!I755</x:f>
        <x:v>26</x:v>
      </x:c>
      <x:c r="J755" s="24" t="n">
        <x:f>IFERROR('各站彙總來源'!J755/'各站彙總來源'!K755,"")</x:f>
        <x:v>8.923076923076923</x:v>
      </x:c>
      <x:c r="K755" s="19" t="n">
        <x:f>'各站彙總來源'!K755</x:f>
        <x:v>26</x:v>
      </x:c>
      <x:c r="L755" s="24" t="n">
        <x:f>IFERROR('各站彙總來源'!L755/'各站彙總來源'!M755,"")</x:f>
        <x:v>0.8076923076923077</x:v>
      </x:c>
      <x:c r="M755" s="19" t="n">
        <x:f>'各站彙總來源'!M755</x:f>
        <x:v>26</x:v>
      </x:c>
      <x:c r="N755" s="24" t="n">
        <x:f>F755+H755</x:f>
        <x:v>4.230769230769231</x:v>
      </x:c>
      <x:c r="O755" s="24" t="n">
        <x:f>J755+L755</x:f>
        <x:v>9.730769230769232</x:v>
      </x:c>
    </x:row>
    <x:row r="756">
      <x:c r="A756" s="22" t="str">
        <x:v>500106147</x:v>
      </x:c>
      <x:c r="B756" s="17" t="str">
        <x:v>中正區</x:v>
      </x:c>
      <x:c r="C756" s="17" t="str">
        <x:v>羅斯福路三段210巷口</x:v>
      </x:c>
      <x:c r="D756" s="18" t="n">
        <x:v>26</x:v>
      </x:c>
      <x:c r="E756" s="18" t="n">
        <x:v>26</x:v>
      </x:c>
      <x:c r="F756" s="24" t="n">
        <x:f>IFERROR('各站彙總來源'!F756/'各站彙總來源'!G756,"")</x:f>
        <x:v>6.730769230769231</x:v>
      </x:c>
      <x:c r="G756" s="19" t="n">
        <x:f>'各站彙總來源'!G756</x:f>
        <x:v>26</x:v>
      </x:c>
      <x:c r="H756" s="24" t="n">
        <x:f>IFERROR('各站彙總來源'!H756/'各站彙總來源'!I756,"")</x:f>
        <x:v>0.8076923076923077</x:v>
      </x:c>
      <x:c r="I756" s="19" t="n">
        <x:f>'各站彙總來源'!I756</x:f>
        <x:v>26</x:v>
      </x:c>
      <x:c r="J756" s="24" t="n">
        <x:f>IFERROR('各站彙總來源'!J756/'各站彙總來源'!K756,"")</x:f>
        <x:v>2.8461538461538463</x:v>
      </x:c>
      <x:c r="K756" s="19" t="n">
        <x:f>'各站彙總來源'!K756</x:f>
        <x:v>26</x:v>
      </x:c>
      <x:c r="L756" s="24" t="n">
        <x:f>IFERROR('各站彙總來源'!L756/'各站彙總來源'!M756,"")</x:f>
        <x:v>0.46153846153846156</x:v>
      </x:c>
      <x:c r="M756" s="19" t="n">
        <x:f>'各站彙總來源'!M756</x:f>
        <x:v>26</x:v>
      </x:c>
      <x:c r="N756" s="24" t="n">
        <x:f>F756+H756</x:f>
        <x:v>7.538461538461538</x:v>
      </x:c>
      <x:c r="O756" s="24" t="n">
        <x:f>J756+L756</x:f>
        <x:v>3.307692307692308</x:v>
      </x:c>
    </x:row>
    <x:row r="757">
      <x:c r="A757" s="22" t="str">
        <x:v>500106148</x:v>
      </x:c>
      <x:c r="B757" s="17" t="str">
        <x:v>中正區</x:v>
      </x:c>
      <x:c r="C757" s="17" t="str">
        <x:v>羅斯福路三段284巷口</x:v>
      </x:c>
      <x:c r="D757" s="18" t="n">
        <x:v>26</x:v>
      </x:c>
      <x:c r="E757" s="18" t="n">
        <x:v>26</x:v>
      </x:c>
      <x:c r="F757" s="24" t="n">
        <x:f>IFERROR('各站彙總來源'!F757/'各站彙總來源'!G757,"")</x:f>
        <x:v>0</x:v>
      </x:c>
      <x:c r="G757" s="19" t="n">
        <x:f>'各站彙總來源'!G757</x:f>
        <x:v>26</x:v>
      </x:c>
      <x:c r="H757" s="24" t="n">
        <x:f>IFERROR('各站彙總來源'!H757/'各站彙總來源'!I757,"")</x:f>
        <x:v>0</x:v>
      </x:c>
      <x:c r="I757" s="19" t="n">
        <x:f>'各站彙總來源'!I757</x:f>
        <x:v>26</x:v>
      </x:c>
      <x:c r="J757" s="24" t="n">
        <x:f>IFERROR('各站彙總來源'!J757/'各站彙總來源'!K757,"")</x:f>
        <x:v>0</x:v>
      </x:c>
      <x:c r="K757" s="19" t="n">
        <x:f>'各站彙總來源'!K757</x:f>
        <x:v>26</x:v>
      </x:c>
      <x:c r="L757" s="24" t="n">
        <x:f>IFERROR('各站彙總來源'!L757/'各站彙總來源'!M757,"")</x:f>
        <x:v>0</x:v>
      </x:c>
      <x:c r="M757" s="19" t="n">
        <x:f>'各站彙總來源'!M757</x:f>
        <x:v>26</x:v>
      </x:c>
      <x:c r="N757" s="24" t="n">
        <x:f>F757+H757</x:f>
        <x:v>0</x:v>
      </x:c>
      <x:c r="O757" s="24" t="n">
        <x:f>J757+L757</x:f>
        <x:v>0</x:v>
      </x:c>
    </x:row>
    <x:row r="758">
      <x:c r="A758" s="22" t="str">
        <x:v>500106149</x:v>
      </x:c>
      <x:c r="B758" s="17" t="str">
        <x:v>中正區</x:v>
      </x:c>
      <x:c r="C758" s="17" t="str">
        <x:v>忠義實小</x:v>
      </x:c>
      <x:c r="D758" s="18" t="n">
        <x:v>26</x:v>
      </x:c>
      <x:c r="E758" s="18" t="n">
        <x:v>26</x:v>
      </x:c>
      <x:c r="F758" s="24" t="n">
        <x:f>IFERROR('各站彙總來源'!F758/'各站彙總來源'!G758,"")</x:f>
        <x:v>13.76923076923077</x:v>
      </x:c>
      <x:c r="G758" s="19" t="n">
        <x:f>'各站彙總來源'!G758</x:f>
        <x:v>26</x:v>
      </x:c>
      <x:c r="H758" s="24" t="n">
        <x:f>IFERROR('各站彙總來源'!H758/'各站彙總來源'!I758,"")</x:f>
        <x:v>0.7692307692307693</x:v>
      </x:c>
      <x:c r="I758" s="19" t="n">
        <x:f>'各站彙總來源'!I758</x:f>
        <x:v>26</x:v>
      </x:c>
      <x:c r="J758" s="24" t="n">
        <x:f>IFERROR('各站彙總來源'!J758/'各站彙總來源'!K758,"")</x:f>
        <x:v>6.461538461538462</x:v>
      </x:c>
      <x:c r="K758" s="19" t="n">
        <x:f>'各站彙總來源'!K758</x:f>
        <x:v>26</x:v>
      </x:c>
      <x:c r="L758" s="24" t="n">
        <x:f>IFERROR('各站彙總來源'!L758/'各站彙總來源'!M758,"")</x:f>
        <x:v>1.4615384615384615</x:v>
      </x:c>
      <x:c r="M758" s="19" t="n">
        <x:f>'各站彙總來源'!M758</x:f>
        <x:v>26</x:v>
      </x:c>
      <x:c r="N758" s="24" t="n">
        <x:f>F758+H758</x:f>
        <x:v>14.53846153846154</x:v>
      </x:c>
      <x:c r="O758" s="24" t="n">
        <x:f>J758+L758</x:f>
        <x:v>7.923076923076923</x:v>
      </x:c>
    </x:row>
    <x:row r="759">
      <x:c r="A759" s="22" t="str">
        <x:v>500106150</x:v>
      </x:c>
      <x:c r="B759" s="17" t="str">
        <x:v>中正區</x:v>
      </x:c>
      <x:c r="C759" s="17" t="str">
        <x:v>中華路二段313巷口</x:v>
      </x:c>
      <x:c r="D759" s="18" t="n">
        <x:v>26</x:v>
      </x:c>
      <x:c r="E759" s="18" t="n">
        <x:v>26</x:v>
      </x:c>
      <x:c r="F759" s="24" t="n">
        <x:f>IFERROR('各站彙總來源'!F759/'各站彙總來源'!G759,"")</x:f>
        <x:v>11.846153846153847</x:v>
      </x:c>
      <x:c r="G759" s="19" t="n">
        <x:f>'各站彙總來源'!G759</x:f>
        <x:v>26</x:v>
      </x:c>
      <x:c r="H759" s="24" t="n">
        <x:f>IFERROR('各站彙總來源'!H759/'各站彙總來源'!I759,"")</x:f>
        <x:v>2.0384615384615383</x:v>
      </x:c>
      <x:c r="I759" s="19" t="n">
        <x:f>'各站彙總來源'!I759</x:f>
        <x:v>26</x:v>
      </x:c>
      <x:c r="J759" s="24" t="n">
        <x:f>IFERROR('各站彙總來源'!J759/'各站彙總來源'!K759,"")</x:f>
        <x:v>8.346153846153847</x:v>
      </x:c>
      <x:c r="K759" s="19" t="n">
        <x:f>'各站彙總來源'!K759</x:f>
        <x:v>26</x:v>
      </x:c>
      <x:c r="L759" s="24" t="n">
        <x:f>IFERROR('各站彙總來源'!L759/'各站彙總來源'!M759,"")</x:f>
        <x:v>0.6923076923076923</x:v>
      </x:c>
      <x:c r="M759" s="19" t="n">
        <x:f>'各站彙總來源'!M759</x:f>
        <x:v>26</x:v>
      </x:c>
      <x:c r="N759" s="24" t="n">
        <x:f>F759+H759</x:f>
        <x:v>13.884615384615385</x:v>
      </x:c>
      <x:c r="O759" s="24" t="n">
        <x:f>J759+L759</x:f>
        <x:v>9.038461538461538</x:v>
      </x:c>
    </x:row>
    <x:row r="760">
      <x:c r="A760" s="22" t="str">
        <x:v>500106151</x:v>
      </x:c>
      <x:c r="B760" s="17" t="str">
        <x:v>中正區</x:v>
      </x:c>
      <x:c r="C760" s="17" t="str">
        <x:v>牯嶺街9巷口</x:v>
      </x:c>
      <x:c r="D760" s="18" t="n">
        <x:v>26</x:v>
      </x:c>
      <x:c r="E760" s="18" t="n">
        <x:v>26</x:v>
      </x:c>
      <x:c r="F760" s="24" t="n">
        <x:f>IFERROR('各站彙總來源'!F760/'各站彙總來源'!G760,"")</x:f>
        <x:v>5.6923076923076925</x:v>
      </x:c>
      <x:c r="G760" s="19" t="n">
        <x:f>'各站彙總來源'!G760</x:f>
        <x:v>26</x:v>
      </x:c>
      <x:c r="H760" s="24" t="n">
        <x:f>IFERROR('各站彙總來源'!H760/'各站彙總來源'!I760,"")</x:f>
        <x:v>1.1153846153846154</x:v>
      </x:c>
      <x:c r="I760" s="19" t="n">
        <x:f>'各站彙總來源'!I760</x:f>
        <x:v>26</x:v>
      </x:c>
      <x:c r="J760" s="24" t="n">
        <x:f>IFERROR('各站彙總來源'!J760/'各站彙總來源'!K760,"")</x:f>
        <x:v>8.653846153846153</x:v>
      </x:c>
      <x:c r="K760" s="19" t="n">
        <x:f>'各站彙總來源'!K760</x:f>
        <x:v>26</x:v>
      </x:c>
      <x:c r="L760" s="24" t="n">
        <x:f>IFERROR('各站彙總來源'!L760/'各站彙總來源'!M760,"")</x:f>
        <x:v>1.5384615384615385</x:v>
      </x:c>
      <x:c r="M760" s="19" t="n">
        <x:f>'各站彙總來源'!M760</x:f>
        <x:v>26</x:v>
      </x:c>
      <x:c r="N760" s="24" t="n">
        <x:f>F760+H760</x:f>
        <x:v>6.807692307692308</x:v>
      </x:c>
      <x:c r="O760" s="24" t="n">
        <x:f>J760+L760</x:f>
        <x:v>10.192307692307692</x:v>
      </x:c>
    </x:row>
    <x:row r="761">
      <x:c r="A761" s="22" t="str">
        <x:v>500106152</x:v>
      </x:c>
      <x:c r="B761" s="17" t="str">
        <x:v>中正區</x:v>
      </x:c>
      <x:c r="C761" s="17" t="str">
        <x:v>量水室古蹟廣場</x:v>
      </x:c>
      <x:c r="D761" s="18" t="n">
        <x:v>26</x:v>
      </x:c>
      <x:c r="E761" s="18" t="n">
        <x:v>26</x:v>
      </x:c>
      <x:c r="F761" s="24" t="n">
        <x:f>IFERROR('各站彙總來源'!F761/'各站彙總來源'!G761,"")</x:f>
        <x:v>7.615384615384615</x:v>
      </x:c>
      <x:c r="G761" s="19" t="n">
        <x:f>'各站彙總來源'!G761</x:f>
        <x:v>26</x:v>
      </x:c>
      <x:c r="H761" s="24" t="n">
        <x:f>IFERROR('各站彙總來源'!H761/'各站彙總來源'!I761,"")</x:f>
        <x:v>1.0384615384615385</x:v>
      </x:c>
      <x:c r="I761" s="19" t="n">
        <x:f>'各站彙總來源'!I761</x:f>
        <x:v>26</x:v>
      </x:c>
      <x:c r="J761" s="24" t="n">
        <x:f>IFERROR('各站彙總來源'!J761/'各站彙總來源'!K761,"")</x:f>
        <x:v>6.076923076923077</x:v>
      </x:c>
      <x:c r="K761" s="19" t="n">
        <x:f>'各站彙總來源'!K761</x:f>
        <x:v>26</x:v>
      </x:c>
      <x:c r="L761" s="24" t="n">
        <x:f>IFERROR('各站彙總來源'!L761/'各站彙總來源'!M761,"")</x:f>
        <x:v>1.3461538461538463</x:v>
      </x:c>
      <x:c r="M761" s="19" t="n">
        <x:f>'各站彙總來源'!M761</x:f>
        <x:v>26</x:v>
      </x:c>
      <x:c r="N761" s="24" t="n">
        <x:f>F761+H761</x:f>
        <x:v>8.653846153846153</x:v>
      </x:c>
      <x:c r="O761" s="24" t="n">
        <x:f>J761+L761</x:f>
        <x:v>7.423076923076923</x:v>
      </x:c>
    </x:row>
    <x:row r="762">
      <x:c r="A762" s="22" t="str">
        <x:v>500107001</x:v>
      </x:c>
      <x:c r="B762" s="17" t="str">
        <x:v>中山區</x:v>
      </x:c>
      <x:c r="C762" s="17" t="str">
        <x:v>通北街65巷口</x:v>
      </x:c>
      <x:c r="D762" s="18" t="n">
        <x:v>26</x:v>
      </x:c>
      <x:c r="E762" s="18" t="n">
        <x:v>26</x:v>
      </x:c>
      <x:c r="F762" s="24" t="n">
        <x:f>IFERROR('各站彙總來源'!F762/'各站彙總來源'!G762,"")</x:f>
        <x:v>16.153846153846153</x:v>
      </x:c>
      <x:c r="G762" s="19" t="n">
        <x:f>'各站彙總來源'!G762</x:f>
        <x:v>26</x:v>
      </x:c>
      <x:c r="H762" s="24" t="n">
        <x:f>IFERROR('各站彙總來源'!H762/'各站彙總來源'!I762,"")</x:f>
        <x:v>4.1923076923076925</x:v>
      </x:c>
      <x:c r="I762" s="19" t="n">
        <x:f>'各站彙總來源'!I762</x:f>
        <x:v>26</x:v>
      </x:c>
      <x:c r="J762" s="24" t="n">
        <x:f>IFERROR('各站彙總來源'!J762/'各站彙總來源'!K762,"")</x:f>
        <x:v>10</x:v>
      </x:c>
      <x:c r="K762" s="19" t="n">
        <x:f>'各站彙總來源'!K762</x:f>
        <x:v>26</x:v>
      </x:c>
      <x:c r="L762" s="24" t="n">
        <x:f>IFERROR('各站彙總來源'!L762/'各站彙總來源'!M762,"")</x:f>
        <x:v>3.4615384615384617</x:v>
      </x:c>
      <x:c r="M762" s="19" t="n">
        <x:f>'各站彙總來源'!M762</x:f>
        <x:v>26</x:v>
      </x:c>
      <x:c r="N762" s="24" t="n">
        <x:f>F762+H762</x:f>
        <x:v>20.346153846153847</x:v>
      </x:c>
      <x:c r="O762" s="24" t="n">
        <x:f>J762+L762</x:f>
        <x:v>13.461538461538462</x:v>
      </x:c>
    </x:row>
    <x:row r="763">
      <x:c r="A763" s="22" t="str">
        <x:v>500107002</x:v>
      </x:c>
      <x:c r="B763" s="17" t="str">
        <x:v>中山區</x:v>
      </x:c>
      <x:c r="C763" s="17" t="str">
        <x:v>圓山風景區</x:v>
      </x:c>
      <x:c r="D763" s="18" t="n">
        <x:v>26</x:v>
      </x:c>
      <x:c r="E763" s="18" t="n">
        <x:v>26</x:v>
      </x:c>
      <x:c r="F763" s="24" t="n">
        <x:f>IFERROR('各站彙總來源'!F763/'各站彙總來源'!G763,"")</x:f>
        <x:v>4.5</x:v>
      </x:c>
      <x:c r="G763" s="19" t="n">
        <x:f>'各站彙總來源'!G763</x:f>
        <x:v>26</x:v>
      </x:c>
      <x:c r="H763" s="24" t="n">
        <x:f>IFERROR('各站彙總來源'!H763/'各站彙總來源'!I763,"")</x:f>
        <x:v>4.5</x:v>
      </x:c>
      <x:c r="I763" s="19" t="n">
        <x:f>'各站彙總來源'!I763</x:f>
        <x:v>26</x:v>
      </x:c>
      <x:c r="J763" s="24" t="n">
        <x:f>IFERROR('各站彙總來源'!J763/'各站彙總來源'!K763,"")</x:f>
        <x:v>10.076923076923077</x:v>
      </x:c>
      <x:c r="K763" s="19" t="n">
        <x:f>'各站彙總來源'!K763</x:f>
        <x:v>26</x:v>
      </x:c>
      <x:c r="L763" s="24" t="n">
        <x:f>IFERROR('各站彙總來源'!L763/'各站彙總來源'!M763,"")</x:f>
        <x:v>2.3461538461538463</x:v>
      </x:c>
      <x:c r="M763" s="19" t="n">
        <x:f>'各站彙總來源'!M763</x:f>
        <x:v>26</x:v>
      </x:c>
      <x:c r="N763" s="24" t="n">
        <x:f>F763+H763</x:f>
        <x:v>9</x:v>
      </x:c>
      <x:c r="O763" s="24" t="n">
        <x:f>J763+L763</x:f>
        <x:v>12.423076923076923</x:v>
      </x:c>
    </x:row>
    <x:row r="764">
      <x:c r="A764" s="22" t="str">
        <x:v>500107003</x:v>
      </x:c>
      <x:c r="B764" s="17" t="str">
        <x:v>中山區</x:v>
      </x:c>
      <x:c r="C764" s="17" t="str">
        <x:v>樂群二堤頂大道口</x:v>
      </x:c>
      <x:c r="D764" s="18" t="n">
        <x:v>26</x:v>
      </x:c>
      <x:c r="E764" s="18" t="n">
        <x:v>26</x:v>
      </x:c>
      <x:c r="F764" s="24" t="n">
        <x:f>IFERROR('各站彙總來源'!F764/'各站彙總來源'!G764,"")</x:f>
        <x:v>3.0384615384615383</x:v>
      </x:c>
      <x:c r="G764" s="19" t="n">
        <x:f>'各站彙總來源'!G764</x:f>
        <x:v>26</x:v>
      </x:c>
      <x:c r="H764" s="24" t="n">
        <x:f>IFERROR('各站彙總來源'!H764/'各站彙總來源'!I764,"")</x:f>
        <x:v>0.8461538461538461</x:v>
      </x:c>
      <x:c r="I764" s="19" t="n">
        <x:f>'各站彙總來源'!I764</x:f>
        <x:v>26</x:v>
      </x:c>
      <x:c r="J764" s="24" t="n">
        <x:f>IFERROR('各站彙總來源'!J764/'各站彙總來源'!K764,"")</x:f>
        <x:v>8.461538461538462</x:v>
      </x:c>
      <x:c r="K764" s="19" t="n">
        <x:f>'各站彙總來源'!K764</x:f>
        <x:v>26</x:v>
      </x:c>
      <x:c r="L764" s="24" t="n">
        <x:f>IFERROR('各站彙總來源'!L764/'各站彙總來源'!M764,"")</x:f>
        <x:v>1.5</x:v>
      </x:c>
      <x:c r="M764" s="19" t="n">
        <x:f>'各站彙總來源'!M764</x:f>
        <x:v>26</x:v>
      </x:c>
      <x:c r="N764" s="24" t="n">
        <x:f>F764+H764</x:f>
        <x:v>3.8846153846153846</x:v>
      </x:c>
      <x:c r="O764" s="24" t="n">
        <x:f>J764+L764</x:f>
        <x:v>9.961538461538462</x:v>
      </x:c>
    </x:row>
    <x:row r="765">
      <x:c r="A765" s="22" t="str">
        <x:v>500107004</x:v>
      </x:c>
      <x:c r="B765" s="17" t="str">
        <x:v>中山區</x:v>
      </x:c>
      <x:c r="C765" s="17" t="str">
        <x:v>劍潭社區</x:v>
      </x:c>
      <x:c r="D765" s="18" t="n">
        <x:v>26</x:v>
      </x:c>
      <x:c r="E765" s="18" t="n">
        <x:v>26</x:v>
      </x:c>
      <x:c r="F765" s="24" t="n">
        <x:f>IFERROR('各站彙總來源'!F765/'各站彙總來源'!G765,"")</x:f>
        <x:v>6.5</x:v>
      </x:c>
      <x:c r="G765" s="19" t="n">
        <x:f>'各站彙總來源'!G765</x:f>
        <x:v>26</x:v>
      </x:c>
      <x:c r="H765" s="24" t="n">
        <x:f>IFERROR('各站彙總來源'!H765/'各站彙總來源'!I765,"")</x:f>
        <x:v>1.2692307692307692</x:v>
      </x:c>
      <x:c r="I765" s="19" t="n">
        <x:f>'各站彙總來源'!I765</x:f>
        <x:v>26</x:v>
      </x:c>
      <x:c r="J765" s="24" t="n">
        <x:f>IFERROR('各站彙總來源'!J765/'各站彙總來源'!K765,"")</x:f>
        <x:v>4.769230769230769</x:v>
      </x:c>
      <x:c r="K765" s="19" t="n">
        <x:f>'各站彙總來源'!K765</x:f>
        <x:v>26</x:v>
      </x:c>
      <x:c r="L765" s="24" t="n">
        <x:f>IFERROR('各站彙總來源'!L765/'各站彙總來源'!M765,"")</x:f>
        <x:v>1.1923076923076923</x:v>
      </x:c>
      <x:c r="M765" s="19" t="n">
        <x:f>'各站彙總來源'!M765</x:f>
        <x:v>26</x:v>
      </x:c>
      <x:c r="N765" s="24" t="n">
        <x:f>F765+H765</x:f>
        <x:v>7.769230769230769</x:v>
      </x:c>
      <x:c r="O765" s="24" t="n">
        <x:f>J765+L765</x:f>
        <x:v>5.961538461538462</x:v>
      </x:c>
    </x:row>
    <x:row r="766">
      <x:c r="A766" s="22" t="str">
        <x:v>500107005</x:v>
      </x:c>
      <x:c r="B766" s="17" t="str">
        <x:v>中山區</x:v>
      </x:c>
      <x:c r="C766" s="17" t="str">
        <x:v>培英公園</x:v>
      </x:c>
      <x:c r="D766" s="18" t="n">
        <x:v>26</x:v>
      </x:c>
      <x:c r="E766" s="18" t="n">
        <x:v>26</x:v>
      </x:c>
      <x:c r="F766" s="24" t="n">
        <x:f>IFERROR('各站彙總來源'!F766/'各站彙總來源'!G766,"")</x:f>
        <x:v>8.807692307692308</x:v>
      </x:c>
      <x:c r="G766" s="19" t="n">
        <x:f>'各站彙總來源'!G766</x:f>
        <x:v>26</x:v>
      </x:c>
      <x:c r="H766" s="24" t="n">
        <x:f>IFERROR('各站彙總來源'!H766/'各站彙總來源'!I766,"")</x:f>
        <x:v>3.230769230769231</x:v>
      </x:c>
      <x:c r="I766" s="19" t="n">
        <x:f>'各站彙總來源'!I766</x:f>
        <x:v>26</x:v>
      </x:c>
      <x:c r="J766" s="24" t="n">
        <x:f>IFERROR('各站彙總來源'!J766/'各站彙總來源'!K766,"")</x:f>
        <x:v>43.38461538461539</x:v>
      </x:c>
      <x:c r="K766" s="19" t="n">
        <x:f>'各站彙總來源'!K766</x:f>
        <x:v>26</x:v>
      </x:c>
      <x:c r="L766" s="24" t="n">
        <x:f>IFERROR('各站彙總來源'!L766/'各站彙總來源'!M766,"")</x:f>
        <x:v>6.230769230769231</x:v>
      </x:c>
      <x:c r="M766" s="19" t="n">
        <x:f>'各站彙總來源'!M766</x:f>
        <x:v>26</x:v>
      </x:c>
      <x:c r="N766" s="24" t="n">
        <x:f>F766+H766</x:f>
        <x:v>12.03846153846154</x:v>
      </x:c>
      <x:c r="O766" s="24" t="n">
        <x:f>J766+L766</x:f>
        <x:v>49.61538461538462</x:v>
      </x:c>
    </x:row>
    <x:row r="767">
      <x:c r="A767" s="22" t="str">
        <x:v>500107006</x:v>
      </x:c>
      <x:c r="B767" s="17" t="str">
        <x:v>中山區</x:v>
      </x:c>
      <x:c r="C767" s="17" t="str">
        <x:v>樂群二明水路口</x:v>
      </x:c>
      <x:c r="D767" s="18" t="n">
        <x:v>26</x:v>
      </x:c>
      <x:c r="E767" s="18" t="n">
        <x:v>26</x:v>
      </x:c>
      <x:c r="F767" s="24" t="n">
        <x:f>IFERROR('各站彙總來源'!F767/'各站彙總來源'!G767,"")</x:f>
        <x:v>5.346153846153846</x:v>
      </x:c>
      <x:c r="G767" s="19" t="n">
        <x:f>'各站彙總來源'!G767</x:f>
        <x:v>26</x:v>
      </x:c>
      <x:c r="H767" s="24" t="n">
        <x:f>IFERROR('各站彙總來源'!H767/'各站彙總來源'!I767,"")</x:f>
        <x:v>1.2692307692307692</x:v>
      </x:c>
      <x:c r="I767" s="19" t="n">
        <x:f>'各站彙總來源'!I767</x:f>
        <x:v>26</x:v>
      </x:c>
      <x:c r="J767" s="24" t="n">
        <x:f>IFERROR('各站彙總來源'!J767/'各站彙總來源'!K767,"")</x:f>
        <x:v>10.692307692307692</x:v>
      </x:c>
      <x:c r="K767" s="19" t="n">
        <x:f>'各站彙總來源'!K767</x:f>
        <x:v>26</x:v>
      </x:c>
      <x:c r="L767" s="24" t="n">
        <x:f>IFERROR('各站彙總來源'!L767/'各站彙總來源'!M767,"")</x:f>
        <x:v>2.6538461538461537</x:v>
      </x:c>
      <x:c r="M767" s="19" t="n">
        <x:f>'各站彙總來源'!M767</x:f>
        <x:v>26</x:v>
      </x:c>
      <x:c r="N767" s="24" t="n">
        <x:f>F767+H767</x:f>
        <x:v>6.615384615384615</x:v>
      </x:c>
      <x:c r="O767" s="24" t="n">
        <x:f>J767+L767</x:f>
        <x:v>13.346153846153845</x:v>
      </x:c>
    </x:row>
    <x:row r="768">
      <x:c r="A768" s="22" t="str">
        <x:v>500107007</x:v>
      </x:c>
      <x:c r="B768" s="17" t="str">
        <x:v>中山區</x:v>
      </x:c>
      <x:c r="C768" s="17" t="str">
        <x:v>北安大直街口</x:v>
      </x:c>
      <x:c r="D768" s="18" t="n">
        <x:v>26</x:v>
      </x:c>
      <x:c r="E768" s="18" t="n">
        <x:v>26</x:v>
      </x:c>
      <x:c r="F768" s="24" t="n">
        <x:f>IFERROR('各站彙總來源'!F768/'各站彙總來源'!G768,"")</x:f>
        <x:v>16.807692307692307</x:v>
      </x:c>
      <x:c r="G768" s="19" t="n">
        <x:f>'各站彙總來源'!G768</x:f>
        <x:v>26</x:v>
      </x:c>
      <x:c r="H768" s="24" t="n">
        <x:f>IFERROR('各站彙總來源'!H768/'各站彙總來源'!I768,"")</x:f>
        <x:v>2.1538461538461537</x:v>
      </x:c>
      <x:c r="I768" s="19" t="n">
        <x:f>'各站彙總來源'!I768</x:f>
        <x:v>26</x:v>
      </x:c>
      <x:c r="J768" s="24" t="n">
        <x:f>IFERROR('各站彙總來源'!J768/'各站彙總來源'!K768,"")</x:f>
        <x:v>12.961538461538462</x:v>
      </x:c>
      <x:c r="K768" s="19" t="n">
        <x:f>'各站彙總來源'!K768</x:f>
        <x:v>26</x:v>
      </x:c>
      <x:c r="L768" s="24" t="n">
        <x:f>IFERROR('各站彙總來源'!L768/'各站彙總來源'!M768,"")</x:f>
        <x:v>2.423076923076923</x:v>
      </x:c>
      <x:c r="M768" s="19" t="n">
        <x:f>'各站彙總來源'!M768</x:f>
        <x:v>26</x:v>
      </x:c>
      <x:c r="N768" s="24" t="n">
        <x:f>F768+H768</x:f>
        <x:v>18.96153846153846</x:v>
      </x:c>
      <x:c r="O768" s="24" t="n">
        <x:f>J768+L768</x:f>
        <x:v>15.384615384615385</x:v>
      </x:c>
    </x:row>
    <x:row r="769">
      <x:c r="A769" s="22" t="str">
        <x:v>500107008</x:v>
      </x:c>
      <x:c r="B769" s="17" t="str">
        <x:v>中山區</x:v>
      </x:c>
      <x:c r="C769" s="17" t="str">
        <x:v>捷運劍南路站(2號出口)</x:v>
      </x:c>
      <x:c r="D769" s="18" t="n">
        <x:v>26</x:v>
      </x:c>
      <x:c r="E769" s="18" t="n">
        <x:v>26</x:v>
      </x:c>
      <x:c r="F769" s="24" t="n">
        <x:f>IFERROR('各站彙總來源'!F769/'各站彙總來源'!G769,"")</x:f>
        <x:v>9.653846153846153</x:v>
      </x:c>
      <x:c r="G769" s="19" t="n">
        <x:f>'各站彙總來源'!G769</x:f>
        <x:v>26</x:v>
      </x:c>
      <x:c r="H769" s="24" t="n">
        <x:f>IFERROR('各站彙總來源'!H769/'各站彙總來源'!I769,"")</x:f>
        <x:v>1.3461538461538463</x:v>
      </x:c>
      <x:c r="I769" s="19" t="n">
        <x:f>'各站彙總來源'!I769</x:f>
        <x:v>26</x:v>
      </x:c>
      <x:c r="J769" s="24" t="n">
        <x:f>IFERROR('各站彙總來源'!J769/'各站彙總來源'!K769,"")</x:f>
        <x:v>15.73076923076923</x:v>
      </x:c>
      <x:c r="K769" s="19" t="n">
        <x:f>'各站彙總來源'!K769</x:f>
        <x:v>26</x:v>
      </x:c>
      <x:c r="L769" s="24" t="n">
        <x:f>IFERROR('各站彙總來源'!L769/'各站彙總來源'!M769,"")</x:f>
        <x:v>3.730769230769231</x:v>
      </x:c>
      <x:c r="M769" s="19" t="n">
        <x:f>'各站彙總來源'!M769</x:f>
        <x:v>26</x:v>
      </x:c>
      <x:c r="N769" s="24" t="n">
        <x:f>F769+H769</x:f>
        <x:v>11</x:v>
      </x:c>
      <x:c r="O769" s="24" t="n">
        <x:f>J769+L769</x:f>
        <x:v>19.46153846153846</x:v>
      </x:c>
    </x:row>
    <x:row r="770">
      <x:c r="A770" s="22" t="str">
        <x:v>500107009</x:v>
      </x:c>
      <x:c r="B770" s="17" t="str">
        <x:v>中山區</x:v>
      </x:c>
      <x:c r="C770" s="17" t="str">
        <x:v>樂群二敬業三路口</x:v>
      </x:c>
      <x:c r="D770" s="18" t="n">
        <x:v>26</x:v>
      </x:c>
      <x:c r="E770" s="18" t="n">
        <x:v>26</x:v>
      </x:c>
      <x:c r="F770" s="24" t="n">
        <x:f>IFERROR('各站彙總來源'!F770/'各站彙總來源'!G770,"")</x:f>
        <x:v>21.384615384615383</x:v>
      </x:c>
      <x:c r="G770" s="19" t="n">
        <x:f>'各站彙總來源'!G770</x:f>
        <x:v>26</x:v>
      </x:c>
      <x:c r="H770" s="24" t="n">
        <x:f>IFERROR('各站彙總來源'!H770/'各站彙總來源'!I770,"")</x:f>
        <x:v>2.5384615384615383</x:v>
      </x:c>
      <x:c r="I770" s="19" t="n">
        <x:f>'各站彙總來源'!I770</x:f>
        <x:v>26</x:v>
      </x:c>
      <x:c r="J770" s="24" t="n">
        <x:f>IFERROR('各站彙總來源'!J770/'各站彙總來源'!K770,"")</x:f>
        <x:v>6.3076923076923075</x:v>
      </x:c>
      <x:c r="K770" s="19" t="n">
        <x:f>'各站彙總來源'!K770</x:f>
        <x:v>26</x:v>
      </x:c>
      <x:c r="L770" s="24" t="n">
        <x:f>IFERROR('各站彙總來源'!L770/'各站彙總來源'!M770,"")</x:f>
        <x:v>1.7307692307692308</x:v>
      </x:c>
      <x:c r="M770" s="19" t="n">
        <x:f>'各站彙總來源'!M770</x:f>
        <x:v>26</x:v>
      </x:c>
      <x:c r="N770" s="24" t="n">
        <x:f>F770+H770</x:f>
        <x:v>23.92307692307692</x:v>
      </x:c>
      <x:c r="O770" s="24" t="n">
        <x:f>J770+L770</x:f>
        <x:v>8.038461538461538</x:v>
      </x:c>
    </x:row>
    <x:row r="771">
      <x:c r="A771" s="22" t="str">
        <x:v>500107010</x:v>
      </x:c>
      <x:c r="B771" s="17" t="str">
        <x:v>中山區</x:v>
      </x:c>
      <x:c r="C771" s="17" t="str">
        <x:v>樂群二敬業四路口</x:v>
      </x:c>
      <x:c r="D771" s="18" t="n">
        <x:v>26</x:v>
      </x:c>
      <x:c r="E771" s="18" t="n">
        <x:v>26</x:v>
      </x:c>
      <x:c r="F771" s="24" t="n">
        <x:f>IFERROR('各站彙總來源'!F771/'各站彙總來源'!G771,"")</x:f>
        <x:v>58.80769230769231</x:v>
      </x:c>
      <x:c r="G771" s="19" t="n">
        <x:f>'各站彙總來源'!G771</x:f>
        <x:v>26</x:v>
      </x:c>
      <x:c r="H771" s="24" t="n">
        <x:f>IFERROR('各站彙總來源'!H771/'各站彙總來源'!I771,"")</x:f>
        <x:v>5.115384615384615</x:v>
      </x:c>
      <x:c r="I771" s="19" t="n">
        <x:f>'各站彙總來源'!I771</x:f>
        <x:v>26</x:v>
      </x:c>
      <x:c r="J771" s="24" t="n">
        <x:f>IFERROR('各站彙總來源'!J771/'各站彙總來源'!K771,"")</x:f>
        <x:v>13.76923076923077</x:v>
      </x:c>
      <x:c r="K771" s="19" t="n">
        <x:f>'各站彙總來源'!K771</x:f>
        <x:v>26</x:v>
      </x:c>
      <x:c r="L771" s="24" t="n">
        <x:f>IFERROR('各站彙總來源'!L771/'各站彙總來源'!M771,"")</x:f>
        <x:v>2.576923076923077</x:v>
      </x:c>
      <x:c r="M771" s="19" t="n">
        <x:f>'各站彙總來源'!M771</x:f>
        <x:v>26</x:v>
      </x:c>
      <x:c r="N771" s="24" t="n">
        <x:f>F771+H771</x:f>
        <x:v>63.92307692307692</x:v>
      </x:c>
      <x:c r="O771" s="24" t="n">
        <x:f>J771+L771</x:f>
        <x:v>16.346153846153847</x:v>
      </x:c>
    </x:row>
    <x:row r="772">
      <x:c r="A772" s="22" t="str">
        <x:v>500107011</x:v>
      </x:c>
      <x:c r="B772" s="17" t="str">
        <x:v>中山區</x:v>
      </x:c>
      <x:c r="C772" s="17" t="str">
        <x:v>捷運大直站(3號出口)</x:v>
      </x:c>
      <x:c r="D772" s="18" t="n">
        <x:v>26</x:v>
      </x:c>
      <x:c r="E772" s="18" t="n">
        <x:v>26</x:v>
      </x:c>
      <x:c r="F772" s="24" t="n">
        <x:f>IFERROR('各站彙總來源'!F772/'各站彙總來源'!G772,"")</x:f>
        <x:v>11.076923076923077</x:v>
      </x:c>
      <x:c r="G772" s="19" t="n">
        <x:f>'各站彙總來源'!G772</x:f>
        <x:v>26</x:v>
      </x:c>
      <x:c r="H772" s="24" t="n">
        <x:f>IFERROR('各站彙總來源'!H772/'各站彙總來源'!I772,"")</x:f>
        <x:v>1.2307692307692308</x:v>
      </x:c>
      <x:c r="I772" s="19" t="n">
        <x:f>'各站彙總來源'!I772</x:f>
        <x:v>26</x:v>
      </x:c>
      <x:c r="J772" s="24" t="n">
        <x:f>IFERROR('各站彙總來源'!J772/'各站彙總來源'!K772,"")</x:f>
        <x:v>7.538461538461538</x:v>
      </x:c>
      <x:c r="K772" s="19" t="n">
        <x:f>'各站彙總來源'!K772</x:f>
        <x:v>26</x:v>
      </x:c>
      <x:c r="L772" s="24" t="n">
        <x:f>IFERROR('各站彙總來源'!L772/'各站彙總來源'!M772,"")</x:f>
        <x:v>2.1153846153846154</x:v>
      </x:c>
      <x:c r="M772" s="19" t="n">
        <x:f>'各站彙總來源'!M772</x:f>
        <x:v>26</x:v>
      </x:c>
      <x:c r="N772" s="24" t="n">
        <x:f>F772+H772</x:f>
        <x:v>12.307692307692307</x:v>
      </x:c>
      <x:c r="O772" s="24" t="n">
        <x:f>J772+L772</x:f>
        <x:v>9.653846153846153</x:v>
      </x:c>
    </x:row>
    <x:row r="773">
      <x:c r="A773" s="22" t="str">
        <x:v>500107012</x:v>
      </x:c>
      <x:c r="B773" s="17" t="str">
        <x:v>中山區</x:v>
      </x:c>
      <x:c r="C773" s="17" t="str">
        <x:v>復興市民路口</x:v>
      </x:c>
      <x:c r="D773" s="18" t="n">
        <x:v>26</x:v>
      </x:c>
      <x:c r="E773" s="18" t="n">
        <x:v>26</x:v>
      </x:c>
      <x:c r="F773" s="24" t="n">
        <x:f>IFERROR('各站彙總來源'!F773/'各站彙總來源'!G773,"")</x:f>
        <x:v>8.76923076923077</x:v>
      </x:c>
      <x:c r="G773" s="19" t="n">
        <x:f>'各站彙總來源'!G773</x:f>
        <x:v>26</x:v>
      </x:c>
      <x:c r="H773" s="24" t="n">
        <x:f>IFERROR('各站彙總來源'!H773/'各站彙總來源'!I773,"")</x:f>
        <x:v>0.8846153846153846</x:v>
      </x:c>
      <x:c r="I773" s="19" t="n">
        <x:f>'各站彙總來源'!I773</x:f>
        <x:v>26</x:v>
      </x:c>
      <x:c r="J773" s="24" t="n">
        <x:f>IFERROR('各站彙總來源'!J773/'各站彙總來源'!K773,"")</x:f>
        <x:v>28.307692307692307</x:v>
      </x:c>
      <x:c r="K773" s="19" t="n">
        <x:f>'各站彙總來源'!K773</x:f>
        <x:v>26</x:v>
      </x:c>
      <x:c r="L773" s="24" t="n">
        <x:f>IFERROR('各站彙總來源'!L773/'各站彙總來源'!M773,"")</x:f>
        <x:v>4.846153846153846</x:v>
      </x:c>
      <x:c r="M773" s="19" t="n">
        <x:f>'各站彙總來源'!M773</x:f>
        <x:v>26</x:v>
      </x:c>
      <x:c r="N773" s="24" t="n">
        <x:f>F773+H773</x:f>
        <x:v>9.653846153846155</x:v>
      </x:c>
      <x:c r="O773" s="24" t="n">
        <x:f>J773+L773</x:f>
        <x:v>33.15384615384615</x:v>
      </x:c>
    </x:row>
    <x:row r="774">
      <x:c r="A774" s="22" t="str">
        <x:v>500107013</x:v>
      </x:c>
      <x:c r="B774" s="17" t="str">
        <x:v>中山區</x:v>
      </x:c>
      <x:c r="C774" s="17" t="str">
        <x:v>南京遼寧街口</x:v>
      </x:c>
      <x:c r="D774" s="18" t="n">
        <x:v>26</x:v>
      </x:c>
      <x:c r="E774" s="18" t="n">
        <x:v>26</x:v>
      </x:c>
      <x:c r="F774" s="24" t="n">
        <x:f>IFERROR('各站彙總來源'!F774/'各站彙總來源'!G774,"")</x:f>
        <x:v>17.73076923076923</x:v>
      </x:c>
      <x:c r="G774" s="19" t="n">
        <x:f>'各站彙總來源'!G774</x:f>
        <x:v>26</x:v>
      </x:c>
      <x:c r="H774" s="24" t="n">
        <x:f>IFERROR('各站彙總來源'!H774/'各站彙總來源'!I774,"")</x:f>
        <x:v>1.4230769230769231</x:v>
      </x:c>
      <x:c r="I774" s="19" t="n">
        <x:f>'各站彙總來源'!I774</x:f>
        <x:v>26</x:v>
      </x:c>
      <x:c r="J774" s="24" t="n">
        <x:f>IFERROR('各站彙總來源'!J774/'各站彙總來源'!K774,"")</x:f>
        <x:v>8.346153846153847</x:v>
      </x:c>
      <x:c r="K774" s="19" t="n">
        <x:f>'各站彙總來源'!K774</x:f>
        <x:v>26</x:v>
      </x:c>
      <x:c r="L774" s="24" t="n">
        <x:f>IFERROR('各站彙總來源'!L774/'各站彙總來源'!M774,"")</x:f>
        <x:v>1.9615384615384615</x:v>
      </x:c>
      <x:c r="M774" s="19" t="n">
        <x:f>'各站彙總來源'!M774</x:f>
        <x:v>26</x:v>
      </x:c>
      <x:c r="N774" s="24" t="n">
        <x:f>F774+H774</x:f>
        <x:v>19.153846153846153</x:v>
      </x:c>
      <x:c r="O774" s="24" t="n">
        <x:f>J774+L774</x:f>
        <x:v>10.307692307692308</x:v>
      </x:c>
    </x:row>
    <x:row r="775">
      <x:c r="A775" s="22" t="str">
        <x:v>500107014</x:v>
      </x:c>
      <x:c r="B775" s="17" t="str">
        <x:v>中山區</x:v>
      </x:c>
      <x:c r="C775" s="17" t="str">
        <x:v>伊通長安路口</x:v>
      </x:c>
      <x:c r="D775" s="18" t="n">
        <x:v>26</x:v>
      </x:c>
      <x:c r="E775" s="18" t="n">
        <x:v>26</x:v>
      </x:c>
      <x:c r="F775" s="24" t="n">
        <x:f>IFERROR('各站彙總來源'!F775/'各站彙總來源'!G775,"")</x:f>
        <x:v>4.8076923076923075</x:v>
      </x:c>
      <x:c r="G775" s="19" t="n">
        <x:f>'各站彙總來源'!G775</x:f>
        <x:v>26</x:v>
      </x:c>
      <x:c r="H775" s="24" t="n">
        <x:f>IFERROR('各站彙總來源'!H775/'各站彙總來源'!I775,"")</x:f>
        <x:v>1.2692307692307692</x:v>
      </x:c>
      <x:c r="I775" s="19" t="n">
        <x:f>'各站彙總來源'!I775</x:f>
        <x:v>26</x:v>
      </x:c>
      <x:c r="J775" s="24" t="n">
        <x:f>IFERROR('各站彙總來源'!J775/'各站彙總來源'!K775,"")</x:f>
        <x:v>38.11538461538461</x:v>
      </x:c>
      <x:c r="K775" s="19" t="n">
        <x:f>'各站彙總來源'!K775</x:f>
        <x:v>26</x:v>
      </x:c>
      <x:c r="L775" s="24" t="n">
        <x:f>IFERROR('各站彙總來源'!L775/'各站彙總來源'!M775,"")</x:f>
        <x:v>2.769230769230769</x:v>
      </x:c>
      <x:c r="M775" s="19" t="n">
        <x:f>'各站彙總來源'!M775</x:f>
        <x:v>26</x:v>
      </x:c>
      <x:c r="N775" s="24" t="n">
        <x:f>F775+H775</x:f>
        <x:v>6.076923076923077</x:v>
      </x:c>
      <x:c r="O775" s="24" t="n">
        <x:f>J775+L775</x:f>
        <x:v>40.88461538461538</x:v>
      </x:c>
    </x:row>
    <x:row r="776">
      <x:c r="A776" s="22" t="str">
        <x:v>500107015</x:v>
      </x:c>
      <x:c r="B776" s="17" t="str">
        <x:v>中山區</x:v>
      </x:c>
      <x:c r="C776" s="17" t="str">
        <x:v>新生長安路口</x:v>
      </x:c>
      <x:c r="D776" s="18" t="n">
        <x:v>26</x:v>
      </x:c>
      <x:c r="E776" s="18" t="n">
        <x:v>26</x:v>
      </x:c>
      <x:c r="F776" s="24" t="n">
        <x:f>IFERROR('各站彙總來源'!F776/'各站彙總來源'!G776,"")</x:f>
        <x:v>15.461538461538462</x:v>
      </x:c>
      <x:c r="G776" s="19" t="n">
        <x:f>'各站彙總來源'!G776</x:f>
        <x:v>26</x:v>
      </x:c>
      <x:c r="H776" s="24" t="n">
        <x:f>IFERROR('各站彙總來源'!H776/'各站彙總來源'!I776,"")</x:f>
        <x:v>1.5769230769230769</x:v>
      </x:c>
      <x:c r="I776" s="19" t="n">
        <x:f>'各站彙總來源'!I776</x:f>
        <x:v>26</x:v>
      </x:c>
      <x:c r="J776" s="24" t="n">
        <x:f>IFERROR('各站彙總來源'!J776/'各站彙總來源'!K776,"")</x:f>
        <x:v>6.076923076923077</x:v>
      </x:c>
      <x:c r="K776" s="19" t="n">
        <x:f>'各站彙總來源'!K776</x:f>
        <x:v>26</x:v>
      </x:c>
      <x:c r="L776" s="24" t="n">
        <x:f>IFERROR('各站彙總來源'!L776/'各站彙總來源'!M776,"")</x:f>
        <x:v>0.9615384615384616</x:v>
      </x:c>
      <x:c r="M776" s="19" t="n">
        <x:f>'各站彙總來源'!M776</x:f>
        <x:v>26</x:v>
      </x:c>
      <x:c r="N776" s="24" t="n">
        <x:f>F776+H776</x:f>
        <x:v>17.03846153846154</x:v>
      </x:c>
      <x:c r="O776" s="24" t="n">
        <x:f>J776+L776</x:f>
        <x:v>7.038461538461538</x:v>
      </x:c>
    </x:row>
    <x:row r="777">
      <x:c r="A777" s="22" t="str">
        <x:v>500107016</x:v>
      </x:c>
      <x:c r="B777" s="17" t="str">
        <x:v>中山區</x:v>
      </x:c>
      <x:c r="C777" s="17" t="str">
        <x:v>市民林森路口</x:v>
      </x:c>
      <x:c r="D777" s="18" t="n">
        <x:v>26</x:v>
      </x:c>
      <x:c r="E777" s="18" t="n">
        <x:v>26</x:v>
      </x:c>
      <x:c r="F777" s="24" t="n">
        <x:f>IFERROR('各站彙總來源'!F777/'各站彙總來源'!G777,"")</x:f>
        <x:v>22.26923076923077</x:v>
      </x:c>
      <x:c r="G777" s="19" t="n">
        <x:f>'各站彙總來源'!G777</x:f>
        <x:v>26</x:v>
      </x:c>
      <x:c r="H777" s="24" t="n">
        <x:f>IFERROR('各站彙總來源'!H777/'各站彙總來源'!I777,"")</x:f>
        <x:v>3.6538461538461537</x:v>
      </x:c>
      <x:c r="I777" s="19" t="n">
        <x:f>'各站彙總來源'!I777</x:f>
        <x:v>26</x:v>
      </x:c>
      <x:c r="J777" s="24" t="n">
        <x:f>IFERROR('各站彙總來源'!J777/'各站彙總來源'!K777,"")</x:f>
        <x:v>7.5</x:v>
      </x:c>
      <x:c r="K777" s="19" t="n">
        <x:f>'各站彙總來源'!K777</x:f>
        <x:v>26</x:v>
      </x:c>
      <x:c r="L777" s="24" t="n">
        <x:f>IFERROR('各站彙總來源'!L777/'各站彙總來源'!M777,"")</x:f>
        <x:v>2.0384615384615383</x:v>
      </x:c>
      <x:c r="M777" s="19" t="n">
        <x:f>'各站彙總來源'!M777</x:f>
        <x:v>26</x:v>
      </x:c>
      <x:c r="N777" s="24" t="n">
        <x:f>F777+H777</x:f>
        <x:v>25.923076923076923</x:v>
      </x:c>
      <x:c r="O777" s="24" t="n">
        <x:f>J777+L777</x:f>
        <x:v>9.538461538461538</x:v>
      </x:c>
    </x:row>
    <x:row r="778">
      <x:c r="A778" s="22" t="str">
        <x:v>500107017</x:v>
      </x:c>
      <x:c r="B778" s="17" t="str">
        <x:v>中山區</x:v>
      </x:c>
      <x:c r="C778" s="17" t="str">
        <x:v>南京新生路口</x:v>
      </x:c>
      <x:c r="D778" s="18" t="n">
        <x:v>26</x:v>
      </x:c>
      <x:c r="E778" s="18" t="n">
        <x:v>26</x:v>
      </x:c>
      <x:c r="F778" s="24" t="n">
        <x:f>IFERROR('各站彙總來源'!F778/'各站彙總來源'!G778,"")</x:f>
        <x:v>10.923076923076923</x:v>
      </x:c>
      <x:c r="G778" s="19" t="n">
        <x:f>'各站彙總來源'!G778</x:f>
        <x:v>26</x:v>
      </x:c>
      <x:c r="H778" s="24" t="n">
        <x:f>IFERROR('各站彙總來源'!H778/'各站彙總來源'!I778,"")</x:f>
        <x:v>1.6153846153846154</x:v>
      </x:c>
      <x:c r="I778" s="19" t="n">
        <x:f>'各站彙總來源'!I778</x:f>
        <x:v>26</x:v>
      </x:c>
      <x:c r="J778" s="24" t="n">
        <x:f>IFERROR('各站彙總來源'!J778/'各站彙總來源'!K778,"")</x:f>
        <x:v>7.5</x:v>
      </x:c>
      <x:c r="K778" s="19" t="n">
        <x:f>'各站彙總來源'!K778</x:f>
        <x:v>26</x:v>
      </x:c>
      <x:c r="L778" s="24" t="n">
        <x:f>IFERROR('各站彙總來源'!L778/'各站彙總來源'!M778,"")</x:f>
        <x:v>1.8846153846153846</x:v>
      </x:c>
      <x:c r="M778" s="19" t="n">
        <x:f>'各站彙總來源'!M778</x:f>
        <x:v>26</x:v>
      </x:c>
      <x:c r="N778" s="24" t="n">
        <x:f>F778+H778</x:f>
        <x:v>12.538461538461538</x:v>
      </x:c>
      <x:c r="O778" s="24" t="n">
        <x:f>J778+L778</x:f>
        <x:v>9.384615384615385</x:v>
      </x:c>
    </x:row>
    <x:row r="779">
      <x:c r="A779" s="22" t="str">
        <x:v>500107018</x:v>
      </x:c>
      <x:c r="B779" s="17" t="str">
        <x:v>中山區</x:v>
      </x:c>
      <x:c r="C779" s="17" t="str">
        <x:v>一江公園</x:v>
      </x:c>
      <x:c r="D779" s="18" t="n">
        <x:v>26</x:v>
      </x:c>
      <x:c r="E779" s="18" t="n">
        <x:v>26</x:v>
      </x:c>
      <x:c r="F779" s="24" t="n">
        <x:f>IFERROR('各站彙總來源'!F779/'各站彙總來源'!G779,"")</x:f>
        <x:v>7.269230769230769</x:v>
      </x:c>
      <x:c r="G779" s="19" t="n">
        <x:f>'各站彙總來源'!G779</x:f>
        <x:v>26</x:v>
      </x:c>
      <x:c r="H779" s="24" t="n">
        <x:f>IFERROR('各站彙總來源'!H779/'各站彙總來源'!I779,"")</x:f>
        <x:v>0.5</x:v>
      </x:c>
      <x:c r="I779" s="19" t="n">
        <x:f>'各站彙總來源'!I779</x:f>
        <x:v>26</x:v>
      </x:c>
      <x:c r="J779" s="24" t="n">
        <x:f>IFERROR('各站彙總來源'!J779/'各站彙總來源'!K779,"")</x:f>
        <x:v>13.461538461538462</x:v>
      </x:c>
      <x:c r="K779" s="19" t="n">
        <x:f>'各站彙總來源'!K779</x:f>
        <x:v>26</x:v>
      </x:c>
      <x:c r="L779" s="24" t="n">
        <x:f>IFERROR('各站彙總來源'!L779/'各站彙總來源'!M779,"")</x:f>
        <x:v>2.6923076923076925</x:v>
      </x:c>
      <x:c r="M779" s="19" t="n">
        <x:f>'各站彙總來源'!M779</x:f>
        <x:v>26</x:v>
      </x:c>
      <x:c r="N779" s="24" t="n">
        <x:f>F779+H779</x:f>
        <x:v>7.769230769230769</x:v>
      </x:c>
      <x:c r="O779" s="24" t="n">
        <x:f>J779+L779</x:f>
        <x:v>16.153846153846153</x:v>
      </x:c>
    </x:row>
    <x:row r="780">
      <x:c r="A780" s="22" t="str">
        <x:v>500107019</x:v>
      </x:c>
      <x:c r="B780" s="17" t="str">
        <x:v>中山區</x:v>
      </x:c>
      <x:c r="C780" s="17" t="str">
        <x:v>松江公園</x:v>
      </x:c>
      <x:c r="D780" s="18" t="n">
        <x:v>26</x:v>
      </x:c>
      <x:c r="E780" s="18" t="n">
        <x:v>26</x:v>
      </x:c>
      <x:c r="F780" s="24" t="n">
        <x:f>IFERROR('各站彙總來源'!F780/'各站彙總來源'!G780,"")</x:f>
        <x:v>8.26923076923077</x:v>
      </x:c>
      <x:c r="G780" s="19" t="n">
        <x:f>'各站彙總來源'!G780</x:f>
        <x:v>26</x:v>
      </x:c>
      <x:c r="H780" s="24" t="n">
        <x:f>IFERROR('各站彙總來源'!H780/'各站彙總來源'!I780,"")</x:f>
        <x:v>0.9230769230769231</x:v>
      </x:c>
      <x:c r="I780" s="19" t="n">
        <x:f>'各站彙總來源'!I780</x:f>
        <x:v>26</x:v>
      </x:c>
      <x:c r="J780" s="24" t="n">
        <x:f>IFERROR('各站彙總來源'!J780/'各站彙總來源'!K780,"")</x:f>
        <x:v>14</x:v>
      </x:c>
      <x:c r="K780" s="19" t="n">
        <x:f>'各站彙總來源'!K780</x:f>
        <x:v>26</x:v>
      </x:c>
      <x:c r="L780" s="24" t="n">
        <x:f>IFERROR('各站彙總來源'!L780/'各站彙總來源'!M780,"")</x:f>
        <x:v>1.7307692307692308</x:v>
      </x:c>
      <x:c r="M780" s="19" t="n">
        <x:f>'各站彙總來源'!M780</x:f>
        <x:v>26</x:v>
      </x:c>
      <x:c r="N780" s="24" t="n">
        <x:f>F780+H780</x:f>
        <x:v>9.192307692307693</x:v>
      </x:c>
      <x:c r="O780" s="24" t="n">
        <x:f>J780+L780</x:f>
        <x:v>15.73076923076923</x:v>
      </x:c>
    </x:row>
    <x:row r="781">
      <x:c r="A781" s="22" t="str">
        <x:v>500107020</x:v>
      </x:c>
      <x:c r="B781" s="17" t="str">
        <x:v>中山區</x:v>
      </x:c>
      <x:c r="C781" s="17" t="str">
        <x:v>新生長春路口</x:v>
      </x:c>
      <x:c r="D781" s="18" t="n">
        <x:v>26</x:v>
      </x:c>
      <x:c r="E781" s="18" t="n">
        <x:v>26</x:v>
      </x:c>
      <x:c r="F781" s="24" t="n">
        <x:f>IFERROR('各站彙總來源'!F781/'各站彙總來源'!G781,"")</x:f>
        <x:v>22.5</x:v>
      </x:c>
      <x:c r="G781" s="19" t="n">
        <x:f>'各站彙總來源'!G781</x:f>
        <x:v>26</x:v>
      </x:c>
      <x:c r="H781" s="24" t="n">
        <x:f>IFERROR('各站彙總來源'!H781/'各站彙總來源'!I781,"")</x:f>
        <x:v>4.576923076923077</x:v>
      </x:c>
      <x:c r="I781" s="19" t="n">
        <x:f>'各站彙總來源'!I781</x:f>
        <x:v>26</x:v>
      </x:c>
      <x:c r="J781" s="24" t="n">
        <x:f>IFERROR('各站彙總來源'!J781/'各站彙總來源'!K781,"")</x:f>
        <x:v>8.615384615384615</x:v>
      </x:c>
      <x:c r="K781" s="19" t="n">
        <x:f>'各站彙總來源'!K781</x:f>
        <x:v>26</x:v>
      </x:c>
      <x:c r="L781" s="24" t="n">
        <x:f>IFERROR('各站彙總來源'!L781/'各站彙總來源'!M781,"")</x:f>
        <x:v>1.4615384615384615</x:v>
      </x:c>
      <x:c r="M781" s="19" t="n">
        <x:f>'各站彙總來源'!M781</x:f>
        <x:v>26</x:v>
      </x:c>
      <x:c r="N781" s="24" t="n">
        <x:f>F781+H781</x:f>
        <x:v>27.076923076923077</x:v>
      </x:c>
      <x:c r="O781" s="24" t="n">
        <x:f>J781+L781</x:f>
        <x:v>10.076923076923077</x:v>
      </x:c>
    </x:row>
    <x:row r="782">
      <x:c r="A782" s="22" t="str">
        <x:v>500107021</x:v>
      </x:c>
      <x:c r="B782" s="17" t="str">
        <x:v>中山區</x:v>
      </x:c>
      <x:c r="C782" s="17" t="str">
        <x:v>第二果菜批發市場</x:v>
      </x:c>
      <x:c r="D782" s="18" t="n">
        <x:v>26</x:v>
      </x:c>
      <x:c r="E782" s="18" t="n">
        <x:v>26</x:v>
      </x:c>
      <x:c r="F782" s="24" t="n">
        <x:f>IFERROR('各站彙總來源'!F782/'各站彙總來源'!G782,"")</x:f>
        <x:v>18.26923076923077</x:v>
      </x:c>
      <x:c r="G782" s="19" t="n">
        <x:f>'各站彙總來源'!G782</x:f>
        <x:v>26</x:v>
      </x:c>
      <x:c r="H782" s="24" t="n">
        <x:f>IFERROR('各站彙總來源'!H782/'各站彙總來源'!I782,"")</x:f>
        <x:v>6.730769230769231</x:v>
      </x:c>
      <x:c r="I782" s="19" t="n">
        <x:f>'各站彙總來源'!I782</x:f>
        <x:v>26</x:v>
      </x:c>
      <x:c r="J782" s="24" t="n">
        <x:f>IFERROR('各站彙總來源'!J782/'各站彙總來源'!K782,"")</x:f>
        <x:v>4.576923076923077</x:v>
      </x:c>
      <x:c r="K782" s="19" t="n">
        <x:f>'各站彙總來源'!K782</x:f>
        <x:v>26</x:v>
      </x:c>
      <x:c r="L782" s="24" t="n">
        <x:f>IFERROR('各站彙總來源'!L782/'各站彙總來源'!M782,"")</x:f>
        <x:v>1.2307692307692308</x:v>
      </x:c>
      <x:c r="M782" s="19" t="n">
        <x:f>'各站彙總來源'!M782</x:f>
        <x:v>26</x:v>
      </x:c>
      <x:c r="N782" s="24" t="n">
        <x:f>F782+H782</x:f>
        <x:v>25</x:v>
      </x:c>
      <x:c r="O782" s="24" t="n">
        <x:f>J782+L782</x:f>
        <x:v>5.8076923076923075</x:v>
      </x:c>
    </x:row>
    <x:row r="783">
      <x:c r="A783" s="22" t="str">
        <x:v>500107022</x:v>
      </x:c>
      <x:c r="B783" s="17" t="str">
        <x:v>中山區</x:v>
      </x:c>
      <x:c r="C783" s="17" t="str">
        <x:v>民生建國路口</x:v>
      </x:c>
      <x:c r="D783" s="18" t="n">
        <x:v>26</x:v>
      </x:c>
      <x:c r="E783" s="18" t="n">
        <x:v>26</x:v>
      </x:c>
      <x:c r="F783" s="24" t="n">
        <x:f>IFERROR('各站彙總來源'!F783/'各站彙總來源'!G783,"")</x:f>
        <x:v>9.884615384615385</x:v>
      </x:c>
      <x:c r="G783" s="19" t="n">
        <x:f>'各站彙總來源'!G783</x:f>
        <x:v>26</x:v>
      </x:c>
      <x:c r="H783" s="24" t="n">
        <x:f>IFERROR('各站彙總來源'!H783/'各站彙總來源'!I783,"")</x:f>
        <x:v>2.769230769230769</x:v>
      </x:c>
      <x:c r="I783" s="19" t="n">
        <x:f>'各站彙總來源'!I783</x:f>
        <x:v>26</x:v>
      </x:c>
      <x:c r="J783" s="24" t="n">
        <x:f>IFERROR('各站彙總來源'!J783/'各站彙總來源'!K783,"")</x:f>
        <x:v>41.42307692307692</x:v>
      </x:c>
      <x:c r="K783" s="19" t="n">
        <x:f>'各站彙總來源'!K783</x:f>
        <x:v>26</x:v>
      </x:c>
      <x:c r="L783" s="24" t="n">
        <x:f>IFERROR('各站彙總來源'!L783/'各站彙總來源'!M783,"")</x:f>
        <x:v>4.230769230769231</x:v>
      </x:c>
      <x:c r="M783" s="19" t="n">
        <x:f>'各站彙總來源'!M783</x:f>
        <x:v>26</x:v>
      </x:c>
      <x:c r="N783" s="24" t="n">
        <x:f>F783+H783</x:f>
        <x:v>12.653846153846153</x:v>
      </x:c>
      <x:c r="O783" s="24" t="n">
        <x:f>J783+L783</x:f>
        <x:v>45.65384615384615</x:v>
      </x:c>
    </x:row>
    <x:row r="784">
      <x:c r="A784" s="22" t="str">
        <x:v>500107023</x:v>
      </x:c>
      <x:c r="B784" s="17" t="str">
        <x:v>中山區</x:v>
      </x:c>
      <x:c r="C784" s="17" t="str">
        <x:v>興安華城</x:v>
      </x:c>
      <x:c r="D784" s="18" t="n">
        <x:v>26</x:v>
      </x:c>
      <x:c r="E784" s="18" t="n">
        <x:v>26</x:v>
      </x:c>
      <x:c r="F784" s="24" t="n">
        <x:f>IFERROR('各站彙總來源'!F784/'各站彙總來源'!G784,"")</x:f>
        <x:v>50.11538461538461</x:v>
      </x:c>
      <x:c r="G784" s="19" t="n">
        <x:f>'各站彙總來源'!G784</x:f>
        <x:v>26</x:v>
      </x:c>
      <x:c r="H784" s="24" t="n">
        <x:f>IFERROR('各站彙總來源'!H784/'各站彙總來源'!I784,"")</x:f>
        <x:v>4.653846153846154</x:v>
      </x:c>
      <x:c r="I784" s="19" t="n">
        <x:f>'各站彙總來源'!I784</x:f>
        <x:v>26</x:v>
      </x:c>
      <x:c r="J784" s="24" t="n">
        <x:f>IFERROR('各站彙總來源'!J784/'各站彙總來源'!K784,"")</x:f>
        <x:v>11.115384615384615</x:v>
      </x:c>
      <x:c r="K784" s="19" t="n">
        <x:f>'各站彙總來源'!K784</x:f>
        <x:v>26</x:v>
      </x:c>
      <x:c r="L784" s="24" t="n">
        <x:f>IFERROR('各站彙總來源'!L784/'各站彙總來源'!M784,"")</x:f>
        <x:v>3.8846153846153846</x:v>
      </x:c>
      <x:c r="M784" s="19" t="n">
        <x:f>'各站彙總來源'!M784</x:f>
        <x:v>26</x:v>
      </x:c>
      <x:c r="N784" s="24" t="n">
        <x:f>F784+H784</x:f>
        <x:v>54.76923076923077</x:v>
      </x:c>
      <x:c r="O784" s="24" t="n">
        <x:f>J784+L784</x:f>
        <x:v>15</x:v>
      </x:c>
    </x:row>
    <x:row r="785">
      <x:c r="A785" s="22" t="str">
        <x:v>500107024</x:v>
      </x:c>
      <x:c r="B785" s="17" t="str">
        <x:v>中山區</x:v>
      </x:c>
      <x:c r="C785" s="17" t="str">
        <x:v>捷運中山國中站</x:v>
      </x:c>
      <x:c r="D785" s="18" t="n">
        <x:v>26</x:v>
      </x:c>
      <x:c r="E785" s="18" t="n">
        <x:v>26</x:v>
      </x:c>
      <x:c r="F785" s="24" t="n">
        <x:f>IFERROR('各站彙總來源'!F785/'各站彙總來源'!G785,"")</x:f>
        <x:v>18.653846153846153</x:v>
      </x:c>
      <x:c r="G785" s="19" t="n">
        <x:f>'各站彙總來源'!G785</x:f>
        <x:v>26</x:v>
      </x:c>
      <x:c r="H785" s="24" t="n">
        <x:f>IFERROR('各站彙總來源'!H785/'各站彙總來源'!I785,"")</x:f>
        <x:v>4</x:v>
      </x:c>
      <x:c r="I785" s="19" t="n">
        <x:f>'各站彙總來源'!I785</x:f>
        <x:v>26</x:v>
      </x:c>
      <x:c r="J785" s="24" t="n">
        <x:f>IFERROR('各站彙總來源'!J785/'各站彙總來源'!K785,"")</x:f>
        <x:v>77.46153846153847</x:v>
      </x:c>
      <x:c r="K785" s="19" t="n">
        <x:f>'各站彙總來源'!K785</x:f>
        <x:v>26</x:v>
      </x:c>
      <x:c r="L785" s="24" t="n">
        <x:f>IFERROR('各站彙總來源'!L785/'各站彙總來源'!M785,"")</x:f>
        <x:v>3.576923076923077</x:v>
      </x:c>
      <x:c r="M785" s="19" t="n">
        <x:f>'各站彙總來源'!M785</x:f>
        <x:v>26</x:v>
      </x:c>
      <x:c r="N785" s="24" t="n">
        <x:f>F785+H785</x:f>
        <x:v>22.653846153846153</x:v>
      </x:c>
      <x:c r="O785" s="24" t="n">
        <x:f>J785+L785</x:f>
        <x:v>81.03846153846155</x:v>
      </x:c>
    </x:row>
    <x:row r="786">
      <x:c r="A786" s="22" t="str">
        <x:v>500107025</x:v>
      </x:c>
      <x:c r="B786" s="17" t="str">
        <x:v>中山區</x:v>
      </x:c>
      <x:c r="C786" s="17" t="str">
        <x:v>龍江錦州街口</x:v>
      </x:c>
      <x:c r="D786" s="18" t="n">
        <x:v>26</x:v>
      </x:c>
      <x:c r="E786" s="18" t="n">
        <x:v>26</x:v>
      </x:c>
      <x:c r="F786" s="24" t="n">
        <x:f>IFERROR('各站彙總來源'!F786/'各站彙總來源'!G786,"")</x:f>
        <x:v>7.576923076923077</x:v>
      </x:c>
      <x:c r="G786" s="19" t="n">
        <x:f>'各站彙總來源'!G786</x:f>
        <x:v>26</x:v>
      </x:c>
      <x:c r="H786" s="24" t="n">
        <x:f>IFERROR('各站彙總來源'!H786/'各站彙總來源'!I786,"")</x:f>
        <x:v>3.230769230769231</x:v>
      </x:c>
      <x:c r="I786" s="19" t="n">
        <x:f>'各站彙總來源'!I786</x:f>
        <x:v>26</x:v>
      </x:c>
      <x:c r="J786" s="24" t="n">
        <x:f>IFERROR('各站彙總來源'!J786/'各站彙總來源'!K786,"")</x:f>
        <x:v>7.6923076923076925</x:v>
      </x:c>
      <x:c r="K786" s="19" t="n">
        <x:f>'各站彙總來源'!K786</x:f>
        <x:v>26</x:v>
      </x:c>
      <x:c r="L786" s="24" t="n">
        <x:f>IFERROR('各站彙總來源'!L786/'各站彙總來源'!M786,"")</x:f>
        <x:v>1.3461538461538463</x:v>
      </x:c>
      <x:c r="M786" s="19" t="n">
        <x:f>'各站彙總來源'!M786</x:f>
        <x:v>26</x:v>
      </x:c>
      <x:c r="N786" s="24" t="n">
        <x:f>F786+H786</x:f>
        <x:v>10.807692307692307</x:v>
      </x:c>
      <x:c r="O786" s="24" t="n">
        <x:f>J786+L786</x:f>
        <x:v>9.038461538461538</x:v>
      </x:c>
    </x:row>
    <x:row r="787">
      <x:c r="A787" s="22" t="str">
        <x:v>500107026</x:v>
      </x:c>
      <x:c r="B787" s="17" t="str">
        <x:v>中山區</x:v>
      </x:c>
      <x:c r="C787" s="17" t="str">
        <x:v>建國長春路口</x:v>
      </x:c>
      <x:c r="D787" s="18" t="n">
        <x:v>26</x:v>
      </x:c>
      <x:c r="E787" s="18" t="n">
        <x:v>26</x:v>
      </x:c>
      <x:c r="F787" s="24" t="n">
        <x:f>IFERROR('各站彙總來源'!F787/'各站彙總來源'!G787,"")</x:f>
        <x:v>2.5</x:v>
      </x:c>
      <x:c r="G787" s="19" t="n">
        <x:f>'各站彙總來源'!G787</x:f>
        <x:v>26</x:v>
      </x:c>
      <x:c r="H787" s="24" t="n">
        <x:f>IFERROR('各站彙總來源'!H787/'各站彙總來源'!I787,"")</x:f>
        <x:v>0.7692307692307693</x:v>
      </x:c>
      <x:c r="I787" s="19" t="n">
        <x:f>'各站彙總來源'!I787</x:f>
        <x:v>26</x:v>
      </x:c>
      <x:c r="J787" s="24" t="n">
        <x:f>IFERROR('各站彙總來源'!J787/'各站彙總來源'!K787,"")</x:f>
        <x:v>6.538461538461538</x:v>
      </x:c>
      <x:c r="K787" s="19" t="n">
        <x:f>'各站彙總來源'!K787</x:f>
        <x:v>26</x:v>
      </x:c>
      <x:c r="L787" s="24" t="n">
        <x:f>IFERROR('各站彙總來源'!L787/'各站彙總來源'!M787,"")</x:f>
        <x:v>1.5384615384615385</x:v>
      </x:c>
      <x:c r="M787" s="19" t="n">
        <x:f>'各站彙總來源'!M787</x:f>
        <x:v>26</x:v>
      </x:c>
      <x:c r="N787" s="24" t="n">
        <x:f>F787+H787</x:f>
        <x:v>3.269230769230769</x:v>
      </x:c>
      <x:c r="O787" s="24" t="n">
        <x:f>J787+L787</x:f>
        <x:v>8.076923076923077</x:v>
      </x:c>
    </x:row>
    <x:row r="788">
      <x:c r="A788" s="22" t="str">
        <x:v>500107027</x:v>
      </x:c>
      <x:c r="B788" s="17" t="str">
        <x:v>中山區</x:v>
      </x:c>
      <x:c r="C788" s="17" t="str">
        <x:v>南京建國路口</x:v>
      </x:c>
      <x:c r="D788" s="18" t="n">
        <x:v>26</x:v>
      </x:c>
      <x:c r="E788" s="18" t="n">
        <x:v>26</x:v>
      </x:c>
      <x:c r="F788" s="24" t="n">
        <x:f>IFERROR('各站彙總來源'!F788/'各站彙總來源'!G788,"")</x:f>
        <x:v>5.230769230769231</x:v>
      </x:c>
      <x:c r="G788" s="19" t="n">
        <x:f>'各站彙總來源'!G788</x:f>
        <x:v>26</x:v>
      </x:c>
      <x:c r="H788" s="24" t="n">
        <x:f>IFERROR('各站彙總來源'!H788/'各站彙總來源'!I788,"")</x:f>
        <x:v>0.5</x:v>
      </x:c>
      <x:c r="I788" s="19" t="n">
        <x:f>'各站彙總來源'!I788</x:f>
        <x:v>26</x:v>
      </x:c>
      <x:c r="J788" s="24" t="n">
        <x:f>IFERROR('各站彙總來源'!J788/'各站彙總來源'!K788,"")</x:f>
        <x:v>44.53846153846154</x:v>
      </x:c>
      <x:c r="K788" s="19" t="n">
        <x:f>'各站彙總來源'!K788</x:f>
        <x:v>26</x:v>
      </x:c>
      <x:c r="L788" s="24" t="n">
        <x:f>IFERROR('各站彙總來源'!L788/'各站彙總來源'!M788,"")</x:f>
        <x:v>3.230769230769231</x:v>
      </x:c>
      <x:c r="M788" s="19" t="n">
        <x:f>'各站彙總來源'!M788</x:f>
        <x:v>26</x:v>
      </x:c>
      <x:c r="N788" s="24" t="n">
        <x:f>F788+H788</x:f>
        <x:v>5.730769230769231</x:v>
      </x:c>
      <x:c r="O788" s="24" t="n">
        <x:f>J788+L788</x:f>
        <x:v>47.769230769230774</x:v>
      </x:c>
    </x:row>
    <x:row r="789">
      <x:c r="A789" s="22" t="str">
        <x:v>500107028</x:v>
      </x:c>
      <x:c r="B789" s="17" t="str">
        <x:v>中山區</x:v>
      </x:c>
      <x:c r="C789" s="17" t="str">
        <x:v>捷運松江南京站(7號出口)</x:v>
      </x:c>
      <x:c r="D789" s="18" t="n">
        <x:v>26</x:v>
      </x:c>
      <x:c r="E789" s="18" t="n">
        <x:v>26</x:v>
      </x:c>
      <x:c r="F789" s="24" t="n">
        <x:f>IFERROR('各站彙總來源'!F789/'各站彙總來源'!G789,"")</x:f>
        <x:v>39.96153846153846</x:v>
      </x:c>
      <x:c r="G789" s="19" t="n">
        <x:f>'各站彙總來源'!G789</x:f>
        <x:v>26</x:v>
      </x:c>
      <x:c r="H789" s="24" t="n">
        <x:f>IFERROR('各站彙總來源'!H789/'各站彙總來源'!I789,"")</x:f>
        <x:v>5.961538461538462</x:v>
      </x:c>
      <x:c r="I789" s="19" t="n">
        <x:f>'各站彙總來源'!I789</x:f>
        <x:v>26</x:v>
      </x:c>
      <x:c r="J789" s="24" t="n">
        <x:f>IFERROR('各站彙總來源'!J789/'各站彙總來源'!K789,"")</x:f>
        <x:v>18.615384615384617</x:v>
      </x:c>
      <x:c r="K789" s="19" t="n">
        <x:f>'各站彙總來源'!K789</x:f>
        <x:v>26</x:v>
      </x:c>
      <x:c r="L789" s="24" t="n">
        <x:f>IFERROR('各站彙總來源'!L789/'各站彙總來源'!M789,"")</x:f>
        <x:v>3.5</x:v>
      </x:c>
      <x:c r="M789" s="19" t="n">
        <x:f>'各站彙總來源'!M789</x:f>
        <x:v>26</x:v>
      </x:c>
      <x:c r="N789" s="24" t="n">
        <x:f>F789+H789</x:f>
        <x:v>45.92307692307692</x:v>
      </x:c>
      <x:c r="O789" s="24" t="n">
        <x:f>J789+L789</x:f>
        <x:v>22.115384615384617</x:v>
      </x:c>
    </x:row>
    <x:row r="790">
      <x:c r="A790" s="22" t="str">
        <x:v>500107029</x:v>
      </x:c>
      <x:c r="B790" s="17" t="str">
        <x:v>中山區</x:v>
      </x:c>
      <x:c r="C790" s="17" t="str">
        <x:v>朱崙商場</x:v>
      </x:c>
      <x:c r="D790" s="18" t="n">
        <x:v>26</x:v>
      </x:c>
      <x:c r="E790" s="18" t="n">
        <x:v>26</x:v>
      </x:c>
      <x:c r="F790" s="24" t="n">
        <x:f>IFERROR('各站彙總來源'!F790/'各站彙總來源'!G790,"")</x:f>
        <x:v>11</x:v>
      </x:c>
      <x:c r="G790" s="19" t="n">
        <x:f>'各站彙總來源'!G790</x:f>
        <x:v>26</x:v>
      </x:c>
      <x:c r="H790" s="24" t="n">
        <x:f>IFERROR('各站彙總來源'!H790/'各站彙總來源'!I790,"")</x:f>
        <x:v>2.5384615384615383</x:v>
      </x:c>
      <x:c r="I790" s="19" t="n">
        <x:f>'各站彙總來源'!I790</x:f>
        <x:v>26</x:v>
      </x:c>
      <x:c r="J790" s="24" t="n">
        <x:f>IFERROR('各站彙總來源'!J790/'各站彙總來源'!K790,"")</x:f>
        <x:v>17.26923076923077</x:v>
      </x:c>
      <x:c r="K790" s="19" t="n">
        <x:f>'各站彙總來源'!K790</x:f>
        <x:v>26</x:v>
      </x:c>
      <x:c r="L790" s="24" t="n">
        <x:f>IFERROR('各站彙總來源'!L790/'各站彙總來源'!M790,"")</x:f>
        <x:v>3.1538461538461537</x:v>
      </x:c>
      <x:c r="M790" s="19" t="n">
        <x:f>'各站彙總來源'!M790</x:f>
        <x:v>26</x:v>
      </x:c>
      <x:c r="N790" s="24" t="n">
        <x:f>F790+H790</x:f>
        <x:v>13.538461538461538</x:v>
      </x:c>
      <x:c r="O790" s="24" t="n">
        <x:f>J790+L790</x:f>
        <x:v>20.423076923076923</x:v>
      </x:c>
    </x:row>
    <x:row r="791">
      <x:c r="A791" s="22" t="str">
        <x:v>500107030</x:v>
      </x:c>
      <x:c r="B791" s="17" t="str">
        <x:v>中山區</x:v>
      </x:c>
      <x:c r="C791" s="17" t="str">
        <x:v>中吉公園</x:v>
      </x:c>
      <x:c r="D791" s="18" t="n">
        <x:v>26</x:v>
      </x:c>
      <x:c r="E791" s="18" t="n">
        <x:v>26</x:v>
      </x:c>
      <x:c r="F791" s="24" t="n">
        <x:f>IFERROR('各站彙總來源'!F791/'各站彙總來源'!G791,"")</x:f>
        <x:v>12.846153846153847</x:v>
      </x:c>
      <x:c r="G791" s="19" t="n">
        <x:f>'各站彙總來源'!G791</x:f>
        <x:v>26</x:v>
      </x:c>
      <x:c r="H791" s="24" t="n">
        <x:f>IFERROR('各站彙總來源'!H791/'各站彙總來源'!I791,"")</x:f>
        <x:v>1.4230769230769231</x:v>
      </x:c>
      <x:c r="I791" s="19" t="n">
        <x:f>'各站彙總來源'!I791</x:f>
        <x:v>26</x:v>
      </x:c>
      <x:c r="J791" s="24" t="n">
        <x:f>IFERROR('各站彙總來源'!J791/'各站彙總來源'!K791,"")</x:f>
        <x:v>4.846153846153846</x:v>
      </x:c>
      <x:c r="K791" s="19" t="n">
        <x:f>'各站彙總來源'!K791</x:f>
        <x:v>26</x:v>
      </x:c>
      <x:c r="L791" s="24" t="n">
        <x:f>IFERROR('各站彙總來源'!L791/'各站彙總來源'!M791,"")</x:f>
        <x:v>0.8461538461538461</x:v>
      </x:c>
      <x:c r="M791" s="19" t="n">
        <x:f>'各站彙總來源'!M791</x:f>
        <x:v>26</x:v>
      </x:c>
      <x:c r="N791" s="24" t="n">
        <x:f>F791+H791</x:f>
        <x:v>14.26923076923077</x:v>
      </x:c>
      <x:c r="O791" s="24" t="n">
        <x:f>J791+L791</x:f>
        <x:v>5.692307692307692</x:v>
      </x:c>
    </x:row>
    <x:row r="792">
      <x:c r="A792" s="22" t="str">
        <x:v>500107031</x:v>
      </x:c>
      <x:c r="B792" s="17" t="str">
        <x:v>中山區</x:v>
      </x:c>
      <x:c r="C792" s="17" t="str">
        <x:v>華山公園</x:v>
      </x:c>
      <x:c r="D792" s="18" t="n">
        <x:v>26</x:v>
      </x:c>
      <x:c r="E792" s="18" t="n">
        <x:v>26</x:v>
      </x:c>
      <x:c r="F792" s="24" t="n">
        <x:f>IFERROR('各站彙總來源'!F792/'各站彙總來源'!G792,"")</x:f>
        <x:v>19.192307692307693</x:v>
      </x:c>
      <x:c r="G792" s="19" t="n">
        <x:f>'各站彙總來源'!G792</x:f>
        <x:v>26</x:v>
      </x:c>
      <x:c r="H792" s="24" t="n">
        <x:f>IFERROR('各站彙總來源'!H792/'各站彙總來源'!I792,"")</x:f>
        <x:v>1.9615384615384615</x:v>
      </x:c>
      <x:c r="I792" s="19" t="n">
        <x:f>'各站彙總來源'!I792</x:f>
        <x:v>26</x:v>
      </x:c>
      <x:c r="J792" s="24" t="n">
        <x:f>IFERROR('各站彙總來源'!J792/'各站彙總來源'!K792,"")</x:f>
        <x:v>4.461538461538462</x:v>
      </x:c>
      <x:c r="K792" s="19" t="n">
        <x:f>'各站彙總來源'!K792</x:f>
        <x:v>26</x:v>
      </x:c>
      <x:c r="L792" s="24" t="n">
        <x:f>IFERROR('各站彙總來源'!L792/'各站彙總來源'!M792,"")</x:f>
        <x:v>0.9230769230769231</x:v>
      </x:c>
      <x:c r="M792" s="19" t="n">
        <x:f>'各站彙總來源'!M792</x:f>
        <x:v>26</x:v>
      </x:c>
      <x:c r="N792" s="24" t="n">
        <x:f>F792+H792</x:f>
        <x:v>21.153846153846153</x:v>
      </x:c>
      <x:c r="O792" s="24" t="n">
        <x:f>J792+L792</x:f>
        <x:v>5.384615384615385</x:v>
      </x:c>
    </x:row>
    <x:row r="793">
      <x:c r="A793" s="22" t="str">
        <x:v>500107032</x:v>
      </x:c>
      <x:c r="B793" s="17" t="str">
        <x:v>中山區</x:v>
      </x:c>
      <x:c r="C793" s="17" t="str">
        <x:v>建國北路一段17巷</x:v>
      </x:c>
      <x:c r="D793" s="18" t="n">
        <x:v>26</x:v>
      </x:c>
      <x:c r="E793" s="18" t="n">
        <x:v>26</x:v>
      </x:c>
      <x:c r="F793" s="24" t="n">
        <x:f>IFERROR('各站彙總來源'!F793/'各站彙總來源'!G793,"")</x:f>
        <x:v>12.115384615384615</x:v>
      </x:c>
      <x:c r="G793" s="19" t="n">
        <x:f>'各站彙總來源'!G793</x:f>
        <x:v>26</x:v>
      </x:c>
      <x:c r="H793" s="24" t="n">
        <x:f>IFERROR('各站彙總來源'!H793/'各站彙總來源'!I793,"")</x:f>
        <x:v>4.038461538461538</x:v>
      </x:c>
      <x:c r="I793" s="19" t="n">
        <x:f>'各站彙總來源'!I793</x:f>
        <x:v>26</x:v>
      </x:c>
      <x:c r="J793" s="24" t="n">
        <x:f>IFERROR('各站彙總來源'!J793/'各站彙總來源'!K793,"")</x:f>
        <x:v>11.576923076923077</x:v>
      </x:c>
      <x:c r="K793" s="19" t="n">
        <x:f>'各站彙總來源'!K793</x:f>
        <x:v>26</x:v>
      </x:c>
      <x:c r="L793" s="24" t="n">
        <x:f>IFERROR('各站彙總來源'!L793/'各站彙總來源'!M793,"")</x:f>
        <x:v>4.1923076923076925</x:v>
      </x:c>
      <x:c r="M793" s="19" t="n">
        <x:f>'各站彙總來源'!M793</x:f>
        <x:v>26</x:v>
      </x:c>
      <x:c r="N793" s="24" t="n">
        <x:f>F793+H793</x:f>
        <x:v>16.153846153846153</x:v>
      </x:c>
      <x:c r="O793" s="24" t="n">
        <x:f>J793+L793</x:f>
        <x:v>15.76923076923077</x:v>
      </x:c>
    </x:row>
    <x:row r="794">
      <x:c r="A794" s="22" t="str">
        <x:v>500107033</x:v>
      </x:c>
      <x:c r="B794" s="17" t="str">
        <x:v>中山區</x:v>
      </x:c>
      <x:c r="C794" s="17" t="str">
        <x:v>江寧公園</x:v>
      </x:c>
      <x:c r="D794" s="18" t="n">
        <x:v>26</x:v>
      </x:c>
      <x:c r="E794" s="18" t="n">
        <x:v>26</x:v>
      </x:c>
      <x:c r="F794" s="24" t="n">
        <x:f>IFERROR('各站彙總來源'!F794/'各站彙總來源'!G794,"")</x:f>
        <x:v>4.576923076923077</x:v>
      </x:c>
      <x:c r="G794" s="19" t="n">
        <x:f>'各站彙總來源'!G794</x:f>
        <x:v>26</x:v>
      </x:c>
      <x:c r="H794" s="24" t="n">
        <x:f>IFERROR('各站彙總來源'!H794/'各站彙總來源'!I794,"")</x:f>
        <x:v>1.4615384615384615</x:v>
      </x:c>
      <x:c r="I794" s="19" t="n">
        <x:f>'各站彙總來源'!I794</x:f>
        <x:v>26</x:v>
      </x:c>
      <x:c r="J794" s="24" t="n">
        <x:f>IFERROR('各站彙總來源'!J794/'各站彙總來源'!K794,"")</x:f>
        <x:v>6.076923076923077</x:v>
      </x:c>
      <x:c r="K794" s="19" t="n">
        <x:f>'各站彙總來源'!K794</x:f>
        <x:v>26</x:v>
      </x:c>
      <x:c r="L794" s="24" t="n">
        <x:f>IFERROR('各站彙總來源'!L794/'各站彙總來源'!M794,"")</x:f>
        <x:v>1.4230769230769231</x:v>
      </x:c>
      <x:c r="M794" s="19" t="n">
        <x:f>'各站彙總來源'!M794</x:f>
        <x:v>26</x:v>
      </x:c>
      <x:c r="N794" s="24" t="n">
        <x:f>F794+H794</x:f>
        <x:v>6.038461538461538</x:v>
      </x:c>
      <x:c r="O794" s="24" t="n">
        <x:f>J794+L794</x:f>
        <x:v>7.5</x:v>
      </x:c>
    </x:row>
    <x:row r="795">
      <x:c r="A795" s="22" t="str">
        <x:v>500107034</x:v>
      </x:c>
      <x:c r="B795" s="17" t="str">
        <x:v>中山區</x:v>
      </x:c>
      <x:c r="C795" s="17" t="str">
        <x:v>民權龍江路口</x:v>
      </x:c>
      <x:c r="D795" s="18" t="n">
        <x:v>26</x:v>
      </x:c>
      <x:c r="E795" s="18" t="n">
        <x:v>26</x:v>
      </x:c>
      <x:c r="F795" s="24" t="n">
        <x:f>IFERROR('各站彙總來源'!F795/'各站彙總來源'!G795,"")</x:f>
        <x:v>13.307692307692308</x:v>
      </x:c>
      <x:c r="G795" s="19" t="n">
        <x:f>'各站彙總來源'!G795</x:f>
        <x:v>26</x:v>
      </x:c>
      <x:c r="H795" s="24" t="n">
        <x:f>IFERROR('各站彙總來源'!H795/'各站彙總來源'!I795,"")</x:f>
        <x:v>3.6538461538461537</x:v>
      </x:c>
      <x:c r="I795" s="19" t="n">
        <x:f>'各站彙總來源'!I795</x:f>
        <x:v>26</x:v>
      </x:c>
      <x:c r="J795" s="24" t="n">
        <x:f>IFERROR('各站彙總來源'!J795/'各站彙總來源'!K795,"")</x:f>
        <x:v>6.8076923076923075</x:v>
      </x:c>
      <x:c r="K795" s="19" t="n">
        <x:f>'各站彙總來源'!K795</x:f>
        <x:v>26</x:v>
      </x:c>
      <x:c r="L795" s="24" t="n">
        <x:f>IFERROR('各站彙總來源'!L795/'各站彙總來源'!M795,"")</x:f>
        <x:v>1.6153846153846154</x:v>
      </x:c>
      <x:c r="M795" s="19" t="n">
        <x:f>'各站彙總來源'!M795</x:f>
        <x:v>26</x:v>
      </x:c>
      <x:c r="N795" s="24" t="n">
        <x:f>F795+H795</x:f>
        <x:v>16.961538461538463</x:v>
      </x:c>
      <x:c r="O795" s="24" t="n">
        <x:f>J795+L795</x:f>
        <x:v>8.423076923076923</x:v>
      </x:c>
    </x:row>
    <x:row r="796">
      <x:c r="A796" s="22" t="str">
        <x:v>500107035</x:v>
      </x:c>
      <x:c r="B796" s="17" t="str">
        <x:v>中山區</x:v>
      </x:c>
      <x:c r="C796" s="17" t="str">
        <x:v>捷運中山國小站(2號出口)</x:v>
      </x:c>
      <x:c r="D796" s="18" t="n">
        <x:v>26</x:v>
      </x:c>
      <x:c r="E796" s="18" t="n">
        <x:v>26</x:v>
      </x:c>
      <x:c r="F796" s="24" t="n">
        <x:f>IFERROR('各站彙總來源'!F796/'各站彙總來源'!G796,"")</x:f>
        <x:v>19.96153846153846</x:v>
      </x:c>
      <x:c r="G796" s="19" t="n">
        <x:f>'各站彙總來源'!G796</x:f>
        <x:v>26</x:v>
      </x:c>
      <x:c r="H796" s="24" t="n">
        <x:f>IFERROR('各站彙總來源'!H796/'各站彙總來源'!I796,"")</x:f>
        <x:v>3.230769230769231</x:v>
      </x:c>
      <x:c r="I796" s="19" t="n">
        <x:f>'各站彙總來源'!I796</x:f>
        <x:v>26</x:v>
      </x:c>
      <x:c r="J796" s="24" t="n">
        <x:f>IFERROR('各站彙總來源'!J796/'各站彙總來源'!K796,"")</x:f>
        <x:v>6.6923076923076925</x:v>
      </x:c>
      <x:c r="K796" s="19" t="n">
        <x:f>'各站彙總來源'!K796</x:f>
        <x:v>26</x:v>
      </x:c>
      <x:c r="L796" s="24" t="n">
        <x:f>IFERROR('各站彙總來源'!L796/'各站彙總來源'!M796,"")</x:f>
        <x:v>1.7307692307692308</x:v>
      </x:c>
      <x:c r="M796" s="19" t="n">
        <x:f>'各站彙總來源'!M796</x:f>
        <x:v>26</x:v>
      </x:c>
      <x:c r="N796" s="24" t="n">
        <x:f>F796+H796</x:f>
        <x:v>23.19230769230769</x:v>
      </x:c>
      <x:c r="O796" s="24" t="n">
        <x:f>J796+L796</x:f>
        <x:v>8.423076923076923</x:v>
      </x:c>
    </x:row>
    <x:row r="797">
      <x:c r="A797" s="22" t="str">
        <x:v>500107036</x:v>
      </x:c>
      <x:c r="B797" s="17" t="str">
        <x:v>中山區</x:v>
      </x:c>
      <x:c r="C797" s="17" t="str">
        <x:v>捷運行天宮站(3號出口)</x:v>
      </x:c>
      <x:c r="D797" s="18" t="n">
        <x:v>26</x:v>
      </x:c>
      <x:c r="E797" s="18" t="n">
        <x:v>26</x:v>
      </x:c>
      <x:c r="F797" s="24" t="n">
        <x:f>IFERROR('各站彙總來源'!F797/'各站彙總來源'!G797,"")</x:f>
        <x:v>25.73076923076923</x:v>
      </x:c>
      <x:c r="G797" s="19" t="n">
        <x:f>'各站彙總來源'!G797</x:f>
        <x:v>26</x:v>
      </x:c>
      <x:c r="H797" s="24" t="n">
        <x:f>IFERROR('各站彙總來源'!H797/'各站彙總來源'!I797,"")</x:f>
        <x:v>4.653846153846154</x:v>
      </x:c>
      <x:c r="I797" s="19" t="n">
        <x:f>'各站彙總來源'!I797</x:f>
        <x:v>26</x:v>
      </x:c>
      <x:c r="J797" s="24" t="n">
        <x:f>IFERROR('各站彙總來源'!J797/'各站彙總來源'!K797,"")</x:f>
        <x:v>7.3076923076923075</x:v>
      </x:c>
      <x:c r="K797" s="19" t="n">
        <x:f>'各站彙總來源'!K797</x:f>
        <x:v>26</x:v>
      </x:c>
      <x:c r="L797" s="24" t="n">
        <x:f>IFERROR('各站彙總來源'!L797/'各站彙總來源'!M797,"")</x:f>
        <x:v>1.7692307692307692</x:v>
      </x:c>
      <x:c r="M797" s="19" t="n">
        <x:f>'各站彙總來源'!M797</x:f>
        <x:v>26</x:v>
      </x:c>
      <x:c r="N797" s="24" t="n">
        <x:f>F797+H797</x:f>
        <x:v>30.384615384615383</x:v>
      </x:c>
      <x:c r="O797" s="24" t="n">
        <x:f>J797+L797</x:f>
        <x:v>9.076923076923077</x:v>
      </x:c>
    </x:row>
    <x:row r="798">
      <x:c r="A798" s="22" t="str">
        <x:v>500107037</x:v>
      </x:c>
      <x:c r="B798" s="17" t="str">
        <x:v>中山區</x:v>
      </x:c>
      <x:c r="C798" s="17" t="str">
        <x:v>林森農安街口</x:v>
      </x:c>
      <x:c r="D798" s="18" t="n">
        <x:v>26</x:v>
      </x:c>
      <x:c r="E798" s="18" t="n">
        <x:v>26</x:v>
      </x:c>
      <x:c r="F798" s="24" t="n">
        <x:f>IFERROR('各站彙總來源'!F798/'各站彙總來源'!G798,"")</x:f>
        <x:v>14.307692307692308</x:v>
      </x:c>
      <x:c r="G798" s="19" t="n">
        <x:f>'各站彙總來源'!G798</x:f>
        <x:v>26</x:v>
      </x:c>
      <x:c r="H798" s="24" t="n">
        <x:f>IFERROR('各站彙總來源'!H798/'各站彙總來源'!I798,"")</x:f>
        <x:v>2.8461538461538463</x:v>
      </x:c>
      <x:c r="I798" s="19" t="n">
        <x:f>'各站彙總來源'!I798</x:f>
        <x:v>26</x:v>
      </x:c>
      <x:c r="J798" s="24" t="n">
        <x:f>IFERROR('各站彙總來源'!J798/'各站彙總來源'!K798,"")</x:f>
        <x:v>7.115384615384615</x:v>
      </x:c>
      <x:c r="K798" s="19" t="n">
        <x:f>'各站彙總來源'!K798</x:f>
        <x:v>26</x:v>
      </x:c>
      <x:c r="L798" s="24" t="n">
        <x:f>IFERROR('各站彙總來源'!L798/'各站彙總來源'!M798,"")</x:f>
        <x:v>1.6923076923076923</x:v>
      </x:c>
      <x:c r="M798" s="19" t="n">
        <x:f>'各站彙總來源'!M798</x:f>
        <x:v>26</x:v>
      </x:c>
      <x:c r="N798" s="24" t="n">
        <x:f>F798+H798</x:f>
        <x:v>17.153846153846153</x:v>
      </x:c>
      <x:c r="O798" s="24" t="n">
        <x:f>J798+L798</x:f>
        <x:v>8.807692307692307</x:v>
      </x:c>
    </x:row>
    <x:row r="799">
      <x:c r="A799" s="22" t="str">
        <x:v>500107038</x:v>
      </x:c>
      <x:c r="B799" s="17" t="str">
        <x:v>中山區</x:v>
      </x:c>
      <x:c r="C799" s="17" t="str">
        <x:v>捷運中山國小站(4號出口)</x:v>
      </x:c>
      <x:c r="D799" s="18" t="n">
        <x:v>26</x:v>
      </x:c>
      <x:c r="E799" s="18" t="n">
        <x:v>26</x:v>
      </x:c>
      <x:c r="F799" s="24" t="n">
        <x:f>IFERROR('各站彙總來源'!F799/'各站彙總來源'!G799,"")</x:f>
        <x:v>4.6923076923076925</x:v>
      </x:c>
      <x:c r="G799" s="19" t="n">
        <x:f>'各站彙總來源'!G799</x:f>
        <x:v>26</x:v>
      </x:c>
      <x:c r="H799" s="24" t="n">
        <x:f>IFERROR('各站彙總來源'!H799/'各站彙總來源'!I799,"")</x:f>
        <x:v>1.0384615384615385</x:v>
      </x:c>
      <x:c r="I799" s="19" t="n">
        <x:f>'各站彙總來源'!I799</x:f>
        <x:v>26</x:v>
      </x:c>
      <x:c r="J799" s="24" t="n">
        <x:f>IFERROR('各站彙總來源'!J799/'各站彙總來源'!K799,"")</x:f>
        <x:v>4.5</x:v>
      </x:c>
      <x:c r="K799" s="19" t="n">
        <x:f>'各站彙總來源'!K799</x:f>
        <x:v>26</x:v>
      </x:c>
      <x:c r="L799" s="24" t="n">
        <x:f>IFERROR('各站彙總來源'!L799/'各站彙總來源'!M799,"")</x:f>
        <x:v>1.5769230769230769</x:v>
      </x:c>
      <x:c r="M799" s="19" t="n">
        <x:f>'各站彙總來源'!M799</x:f>
        <x:v>26</x:v>
      </x:c>
      <x:c r="N799" s="24" t="n">
        <x:f>F799+H799</x:f>
        <x:v>5.730769230769231</x:v>
      </x:c>
      <x:c r="O799" s="24" t="n">
        <x:f>J799+L799</x:f>
        <x:v>6.076923076923077</x:v>
      </x:c>
    </x:row>
    <x:row r="800">
      <x:c r="A800" s="22" t="str">
        <x:v>500107039</x:v>
      </x:c>
      <x:c r="B800" s="17" t="str">
        <x:v>中山區</x:v>
      </x:c>
      <x:c r="C800" s="17" t="str">
        <x:v>農安雙城街口</x:v>
      </x:c>
      <x:c r="D800" s="18" t="n">
        <x:v>26</x:v>
      </x:c>
      <x:c r="E800" s="18" t="n">
        <x:v>26</x:v>
      </x:c>
      <x:c r="F800" s="24" t="n">
        <x:f>IFERROR('各站彙總來源'!F800/'各站彙總來源'!G800,"")</x:f>
        <x:v>1.2692307692307692</x:v>
      </x:c>
      <x:c r="G800" s="19" t="n">
        <x:f>'各站彙總來源'!G800</x:f>
        <x:v>26</x:v>
      </x:c>
      <x:c r="H800" s="24" t="n">
        <x:f>IFERROR('各站彙總來源'!H800/'各站彙總來源'!I800,"")</x:f>
        <x:v>0.2692307692307692</x:v>
      </x:c>
      <x:c r="I800" s="19" t="n">
        <x:f>'各站彙總來源'!I800</x:f>
        <x:v>26</x:v>
      </x:c>
      <x:c r="J800" s="24" t="n">
        <x:f>IFERROR('各站彙總來源'!J800/'各站彙總來源'!K800,"")</x:f>
        <x:v>0.6923076923076923</x:v>
      </x:c>
      <x:c r="K800" s="19" t="n">
        <x:f>'各站彙總來源'!K800</x:f>
        <x:v>26</x:v>
      </x:c>
      <x:c r="L800" s="24" t="n">
        <x:f>IFERROR('各站彙總來源'!L800/'各站彙總來源'!M800,"")</x:f>
        <x:v>0.2692307692307692</x:v>
      </x:c>
      <x:c r="M800" s="19" t="n">
        <x:f>'各站彙總來源'!M800</x:f>
        <x:v>26</x:v>
      </x:c>
      <x:c r="N800" s="24" t="n">
        <x:f>F800+H800</x:f>
        <x:v>1.5384615384615383</x:v>
      </x:c>
      <x:c r="O800" s="24" t="n">
        <x:f>J800+L800</x:f>
        <x:v>0.9615384615384615</x:v>
      </x:c>
    </x:row>
    <x:row r="801">
      <x:c r="A801" s="22" t="str">
        <x:v>500107040</x:v>
      </x:c>
      <x:c r="B801" s="17" t="str">
        <x:v>中山區</x:v>
      </x:c>
      <x:c r="C801" s="17" t="str">
        <x:v>新生德惠街口</x:v>
      </x:c>
      <x:c r="D801" s="18" t="n">
        <x:v>26</x:v>
      </x:c>
      <x:c r="E801" s="18" t="n">
        <x:v>26</x:v>
      </x:c>
      <x:c r="F801" s="24" t="n">
        <x:f>IFERROR('各站彙總來源'!F801/'各站彙總來源'!G801,"")</x:f>
        <x:v>29.076923076923077</x:v>
      </x:c>
      <x:c r="G801" s="19" t="n">
        <x:f>'各站彙總來源'!G801</x:f>
        <x:v>26</x:v>
      </x:c>
      <x:c r="H801" s="24" t="n">
        <x:f>IFERROR('各站彙總來源'!H801/'各站彙總來源'!I801,"")</x:f>
        <x:v>3.269230769230769</x:v>
      </x:c>
      <x:c r="I801" s="19" t="n">
        <x:f>'各站彙總來源'!I801</x:f>
        <x:v>26</x:v>
      </x:c>
      <x:c r="J801" s="24" t="n">
        <x:f>IFERROR('各站彙總來源'!J801/'各站彙總來源'!K801,"")</x:f>
        <x:v>3.8461538461538463</x:v>
      </x:c>
      <x:c r="K801" s="19" t="n">
        <x:f>'各站彙總來源'!K801</x:f>
        <x:v>26</x:v>
      </x:c>
      <x:c r="L801" s="24" t="n">
        <x:f>IFERROR('各站彙總來源'!L801/'各站彙總來源'!M801,"")</x:f>
        <x:v>0.9230769230769231</x:v>
      </x:c>
      <x:c r="M801" s="19" t="n">
        <x:f>'各站彙總來源'!M801</x:f>
        <x:v>26</x:v>
      </x:c>
      <x:c r="N801" s="24" t="n">
        <x:f>F801+H801</x:f>
        <x:v>32.34615384615385</x:v>
      </x:c>
      <x:c r="O801" s="24" t="n">
        <x:f>J801+L801</x:f>
        <x:v>4.769230769230769</x:v>
      </x:c>
    </x:row>
    <x:row r="802">
      <x:c r="A802" s="22" t="str">
        <x:v>500107041</x:v>
      </x:c>
      <x:c r="B802" s="17" t="str">
        <x:v>中山區</x:v>
      </x:c>
      <x:c r="C802" s="17" t="str">
        <x:v>民族林森路口</x:v>
      </x:c>
      <x:c r="D802" s="18" t="n">
        <x:v>26</x:v>
      </x:c>
      <x:c r="E802" s="18" t="n">
        <x:v>26</x:v>
      </x:c>
      <x:c r="F802" s="24" t="n">
        <x:f>IFERROR('各站彙總來源'!F802/'各站彙總來源'!G802,"")</x:f>
        <x:v>16.73076923076923</x:v>
      </x:c>
      <x:c r="G802" s="19" t="n">
        <x:f>'各站彙總來源'!G802</x:f>
        <x:v>26</x:v>
      </x:c>
      <x:c r="H802" s="24" t="n">
        <x:f>IFERROR('各站彙總來源'!H802/'各站彙總來源'!I802,"")</x:f>
        <x:v>2.576923076923077</x:v>
      </x:c>
      <x:c r="I802" s="19" t="n">
        <x:f>'各站彙總來源'!I802</x:f>
        <x:v>26</x:v>
      </x:c>
      <x:c r="J802" s="24" t="n">
        <x:f>IFERROR('各站彙總來源'!J802/'各站彙總來源'!K802,"")</x:f>
        <x:v>20.884615384615383</x:v>
      </x:c>
      <x:c r="K802" s="19" t="n">
        <x:f>'各站彙總來源'!K802</x:f>
        <x:v>26</x:v>
      </x:c>
      <x:c r="L802" s="24" t="n">
        <x:f>IFERROR('各站彙總來源'!L802/'各站彙總來源'!M802,"")</x:f>
        <x:v>2.3846153846153846</x:v>
      </x:c>
      <x:c r="M802" s="19" t="n">
        <x:f>'各站彙總來源'!M802</x:f>
        <x:v>26</x:v>
      </x:c>
      <x:c r="N802" s="24" t="n">
        <x:f>F802+H802</x:f>
        <x:v>19.307692307692307</x:v>
      </x:c>
      <x:c r="O802" s="24" t="n">
        <x:f>J802+L802</x:f>
        <x:v>23.269230769230766</x:v>
      </x:c>
    </x:row>
    <x:row r="803">
      <x:c r="A803" s="22" t="str">
        <x:v>500107042</x:v>
      </x:c>
      <x:c r="B803" s="17" t="str">
        <x:v>中山區</x:v>
      </x:c>
      <x:c r="C803" s="17" t="str">
        <x:v>臺北市立美術館</x:v>
      </x:c>
      <x:c r="D803" s="18" t="n">
        <x:v>26</x:v>
      </x:c>
      <x:c r="E803" s="18" t="n">
        <x:v>26</x:v>
      </x:c>
      <x:c r="F803" s="24" t="n">
        <x:f>IFERROR('各站彙總來源'!F803/'各站彙總來源'!G803,"")</x:f>
        <x:v>5.653846153846154</x:v>
      </x:c>
      <x:c r="G803" s="19" t="n">
        <x:f>'各站彙總來源'!G803</x:f>
        <x:v>26</x:v>
      </x:c>
      <x:c r="H803" s="24" t="n">
        <x:f>IFERROR('各站彙總來源'!H803/'各站彙總來源'!I803,"")</x:f>
        <x:v>1.1153846153846154</x:v>
      </x:c>
      <x:c r="I803" s="19" t="n">
        <x:f>'各站彙總來源'!I803</x:f>
        <x:v>26</x:v>
      </x:c>
      <x:c r="J803" s="24" t="n">
        <x:f>IFERROR('各站彙總來源'!J803/'各站彙總來源'!K803,"")</x:f>
        <x:v>8.346153846153847</x:v>
      </x:c>
      <x:c r="K803" s="19" t="n">
        <x:f>'各站彙總來源'!K803</x:f>
        <x:v>26</x:v>
      </x:c>
      <x:c r="L803" s="24" t="n">
        <x:f>IFERROR('各站彙總來源'!L803/'各站彙總來源'!M803,"")</x:f>
        <x:v>1.4230769230769231</x:v>
      </x:c>
      <x:c r="M803" s="19" t="n">
        <x:f>'各站彙總來源'!M803</x:f>
        <x:v>26</x:v>
      </x:c>
      <x:c r="N803" s="24" t="n">
        <x:f>F803+H803</x:f>
        <x:v>6.76923076923077</x:v>
      </x:c>
      <x:c r="O803" s="24" t="n">
        <x:f>J803+L803</x:f>
        <x:v>9.76923076923077</x:v>
      </x:c>
    </x:row>
    <x:row r="804">
      <x:c r="A804" s="22" t="str">
        <x:v>500107043</x:v>
      </x:c>
      <x:c r="B804" s="17" t="str">
        <x:v>中山區</x:v>
      </x:c>
      <x:c r="C804" s="17" t="str">
        <x:v>中山民族路口</x:v>
      </x:c>
      <x:c r="D804" s="18" t="n">
        <x:v>26</x:v>
      </x:c>
      <x:c r="E804" s="18" t="n">
        <x:v>26</x:v>
      </x:c>
      <x:c r="F804" s="24" t="n">
        <x:f>IFERROR('各站彙總來源'!F804/'各站彙總來源'!G804,"")</x:f>
        <x:v>4.615384615384615</x:v>
      </x:c>
      <x:c r="G804" s="19" t="n">
        <x:f>'各站彙總來源'!G804</x:f>
        <x:v>26</x:v>
      </x:c>
      <x:c r="H804" s="24" t="n">
        <x:f>IFERROR('各站彙總來源'!H804/'各站彙總來源'!I804,"")</x:f>
        <x:v>0.6153846153846154</x:v>
      </x:c>
      <x:c r="I804" s="19" t="n">
        <x:f>'各站彙總來源'!I804</x:f>
        <x:v>26</x:v>
      </x:c>
      <x:c r="J804" s="24" t="n">
        <x:f>IFERROR('各站彙總來源'!J804/'各站彙總來源'!K804,"")</x:f>
        <x:v>12.346153846153847</x:v>
      </x:c>
      <x:c r="K804" s="19" t="n">
        <x:f>'各站彙總來源'!K804</x:f>
        <x:v>26</x:v>
      </x:c>
      <x:c r="L804" s="24" t="n">
        <x:f>IFERROR('各站彙總來源'!L804/'各站彙總來源'!M804,"")</x:f>
        <x:v>1.4230769230769231</x:v>
      </x:c>
      <x:c r="M804" s="19" t="n">
        <x:f>'各站彙總來源'!M804</x:f>
        <x:v>26</x:v>
      </x:c>
      <x:c r="N804" s="24" t="n">
        <x:f>F804+H804</x:f>
        <x:v>5.23076923076923</x:v>
      </x:c>
      <x:c r="O804" s="24" t="n">
        <x:f>J804+L804</x:f>
        <x:v>13.76923076923077</x:v>
      </x:c>
    </x:row>
    <x:row r="805">
      <x:c r="A805" s="22" t="str">
        <x:v>500107044</x:v>
      </x:c>
      <x:c r="B805" s="17" t="str">
        <x:v>中山區</x:v>
      </x:c>
      <x:c r="C805" s="17" t="str">
        <x:v>新生高架停車場(林森北路107巷口)</x:v>
      </x:c>
      <x:c r="D805" s="18" t="n">
        <x:v>26</x:v>
      </x:c>
      <x:c r="E805" s="18" t="n">
        <x:v>26</x:v>
      </x:c>
      <x:c r="F805" s="24" t="n">
        <x:f>IFERROR('各站彙總來源'!F805/'各站彙總來源'!G805,"")</x:f>
        <x:v>24.26923076923077</x:v>
      </x:c>
      <x:c r="G805" s="19" t="n">
        <x:f>'各站彙總來源'!G805</x:f>
        <x:v>26</x:v>
      </x:c>
      <x:c r="H805" s="24" t="n">
        <x:f>IFERROR('各站彙總來源'!H805/'各站彙總來源'!I805,"")</x:f>
        <x:v>2.923076923076923</x:v>
      </x:c>
      <x:c r="I805" s="19" t="n">
        <x:f>'各站彙總來源'!I805</x:f>
        <x:v>26</x:v>
      </x:c>
      <x:c r="J805" s="24" t="n">
        <x:f>IFERROR('各站彙總來源'!J805/'各站彙總來源'!K805,"")</x:f>
        <x:v>4.5</x:v>
      </x:c>
      <x:c r="K805" s="19" t="n">
        <x:f>'各站彙總來源'!K805</x:f>
        <x:v>26</x:v>
      </x:c>
      <x:c r="L805" s="24" t="n">
        <x:f>IFERROR('各站彙總來源'!L805/'各站彙總來源'!M805,"")</x:f>
        <x:v>0.6538461538461539</x:v>
      </x:c>
      <x:c r="M805" s="19" t="n">
        <x:f>'各站彙總來源'!M805</x:f>
        <x:v>26</x:v>
      </x:c>
      <x:c r="N805" s="24" t="n">
        <x:f>F805+H805</x:f>
        <x:v>27.192307692307693</x:v>
      </x:c>
      <x:c r="O805" s="24" t="n">
        <x:f>J805+L805</x:f>
        <x:v>5.153846153846154</x:v>
      </x:c>
    </x:row>
    <x:row r="806">
      <x:c r="A806" s="22" t="str">
        <x:v>500107045</x:v>
      </x:c>
      <x:c r="B806" s="17" t="str">
        <x:v>中山區</x:v>
      </x:c>
      <x:c r="C806" s="17" t="str">
        <x:v>南京林森路口</x:v>
      </x:c>
      <x:c r="D806" s="18" t="n">
        <x:v>26</x:v>
      </x:c>
      <x:c r="E806" s="18" t="n">
        <x:v>26</x:v>
      </x:c>
      <x:c r="F806" s="24" t="n">
        <x:f>IFERROR('各站彙總來源'!F806/'各站彙總來源'!G806,"")</x:f>
        <x:v>5.461538461538462</x:v>
      </x:c>
      <x:c r="G806" s="19" t="n">
        <x:f>'各站彙總來源'!G806</x:f>
        <x:v>26</x:v>
      </x:c>
      <x:c r="H806" s="24" t="n">
        <x:f>IFERROR('各站彙總來源'!H806/'各站彙總來源'!I806,"")</x:f>
        <x:v>1.5769230769230769</x:v>
      </x:c>
      <x:c r="I806" s="19" t="n">
        <x:f>'各站彙總來源'!I806</x:f>
        <x:v>26</x:v>
      </x:c>
      <x:c r="J806" s="24" t="n">
        <x:f>IFERROR('各站彙總來源'!J806/'各站彙總來源'!K806,"")</x:f>
        <x:v>10.884615384615385</x:v>
      </x:c>
      <x:c r="K806" s="19" t="n">
        <x:f>'各站彙總來源'!K806</x:f>
        <x:v>26</x:v>
      </x:c>
      <x:c r="L806" s="24" t="n">
        <x:f>IFERROR('各站彙總來源'!L806/'各站彙總來源'!M806,"")</x:f>
        <x:v>2.5384615384615383</x:v>
      </x:c>
      <x:c r="M806" s="19" t="n">
        <x:f>'各站彙總來源'!M806</x:f>
        <x:v>26</x:v>
      </x:c>
      <x:c r="N806" s="24" t="n">
        <x:f>F806+H806</x:f>
        <x:v>7.038461538461538</x:v>
      </x:c>
      <x:c r="O806" s="24" t="n">
        <x:f>J806+L806</x:f>
        <x:v>13.423076923076923</x:v>
      </x:c>
    </x:row>
    <x:row r="807">
      <x:c r="A807" s="22" t="str">
        <x:v>500107046</x:v>
      </x:c>
      <x:c r="B807" s="17" t="str">
        <x:v>中山區</x:v>
      </x:c>
      <x:c r="C807" s="17" t="str">
        <x:v>仁德公園</x:v>
      </x:c>
      <x:c r="D807" s="18" t="n">
        <x:v>26</x:v>
      </x:c>
      <x:c r="E807" s="18" t="n">
        <x:v>26</x:v>
      </x:c>
      <x:c r="F807" s="24" t="n">
        <x:f>IFERROR('各站彙總來源'!F807/'各站彙總來源'!G807,"")</x:f>
        <x:v>11.384615384615385</x:v>
      </x:c>
      <x:c r="G807" s="19" t="n">
        <x:f>'各站彙總來源'!G807</x:f>
        <x:v>26</x:v>
      </x:c>
      <x:c r="H807" s="24" t="n">
        <x:f>IFERROR('各站彙總來源'!H807/'各站彙總來源'!I807,"")</x:f>
        <x:v>2.4615384615384617</x:v>
      </x:c>
      <x:c r="I807" s="19" t="n">
        <x:f>'各站彙總來源'!I807</x:f>
        <x:v>26</x:v>
      </x:c>
      <x:c r="J807" s="24" t="n">
        <x:f>IFERROR('各站彙總來源'!J807/'各站彙總來源'!K807,"")</x:f>
        <x:v>6.269230769230769</x:v>
      </x:c>
      <x:c r="K807" s="19" t="n">
        <x:f>'各站彙總來源'!K807</x:f>
        <x:v>26</x:v>
      </x:c>
      <x:c r="L807" s="24" t="n">
        <x:f>IFERROR('各站彙總來源'!L807/'各站彙總來源'!M807,"")</x:f>
        <x:v>1.5384615384615385</x:v>
      </x:c>
      <x:c r="M807" s="19" t="n">
        <x:f>'各站彙總來源'!M807</x:f>
        <x:v>26</x:v>
      </x:c>
      <x:c r="N807" s="24" t="n">
        <x:f>F807+H807</x:f>
        <x:v>13.846153846153847</x:v>
      </x:c>
      <x:c r="O807" s="24" t="n">
        <x:f>J807+L807</x:f>
        <x:v>7.8076923076923075</x:v>
      </x:c>
    </x:row>
    <x:row r="808">
      <x:c r="A808" s="22" t="str">
        <x:v>500107047</x:v>
      </x:c>
      <x:c r="B808" s="17" t="str">
        <x:v>中山區</x:v>
      </x:c>
      <x:c r="C808" s="17" t="str">
        <x:v>中原公園</x:v>
      </x:c>
      <x:c r="D808" s="18" t="n">
        <x:v>26</x:v>
      </x:c>
      <x:c r="E808" s="18" t="n">
        <x:v>26</x:v>
      </x:c>
      <x:c r="F808" s="24" t="n">
        <x:f>IFERROR('各站彙總來源'!F808/'各站彙總來源'!G808,"")</x:f>
        <x:v>21.03846153846154</x:v>
      </x:c>
      <x:c r="G808" s="19" t="n">
        <x:f>'各站彙總來源'!G808</x:f>
        <x:v>26</x:v>
      </x:c>
      <x:c r="H808" s="24" t="n">
        <x:f>IFERROR('各站彙總來源'!H808/'各站彙總來源'!I808,"")</x:f>
        <x:v>1.5769230769230769</x:v>
      </x:c>
      <x:c r="I808" s="19" t="n">
        <x:f>'各站彙總來源'!I808</x:f>
        <x:v>26</x:v>
      </x:c>
      <x:c r="J808" s="24" t="n">
        <x:f>IFERROR('各站彙總來源'!J808/'各站彙總來源'!K808,"")</x:f>
        <x:v>6.615384615384615</x:v>
      </x:c>
      <x:c r="K808" s="19" t="n">
        <x:f>'各站彙總來源'!K808</x:f>
        <x:v>26</x:v>
      </x:c>
      <x:c r="L808" s="24" t="n">
        <x:f>IFERROR('各站彙總來源'!L808/'各站彙總來源'!M808,"")</x:f>
        <x:v>1</x:v>
      </x:c>
      <x:c r="M808" s="19" t="n">
        <x:f>'各站彙總來源'!M808</x:f>
        <x:v>26</x:v>
      </x:c>
      <x:c r="N808" s="24" t="n">
        <x:f>F808+H808</x:f>
        <x:v>22.615384615384617</x:v>
      </x:c>
      <x:c r="O808" s="24" t="n">
        <x:f>J808+L808</x:f>
        <x:v>7.615384615384615</x:v>
      </x:c>
    </x:row>
    <x:row r="809">
      <x:c r="A809" s="22" t="str">
        <x:v>500107048</x:v>
      </x:c>
      <x:c r="B809" s="17" t="str">
        <x:v>中山區</x:v>
      </x:c>
      <x:c r="C809" s="17" t="str">
        <x:v>下埤公園</x:v>
      </x:c>
      <x:c r="D809" s="18" t="n">
        <x:v>26</x:v>
      </x:c>
      <x:c r="E809" s="18" t="n">
        <x:v>26</x:v>
      </x:c>
      <x:c r="F809" s="24" t="n">
        <x:f>IFERROR('各站彙總來源'!F809/'各站彙總來源'!G809,"")</x:f>
        <x:v>39.30769230769231</x:v>
      </x:c>
      <x:c r="G809" s="19" t="n">
        <x:f>'各站彙總來源'!G809</x:f>
        <x:v>26</x:v>
      </x:c>
      <x:c r="H809" s="24" t="n">
        <x:f>IFERROR('各站彙總來源'!H809/'各站彙總來源'!I809,"")</x:f>
        <x:v>3.8461538461538463</x:v>
      </x:c>
      <x:c r="I809" s="19" t="n">
        <x:f>'各站彙總來源'!I809</x:f>
        <x:v>26</x:v>
      </x:c>
      <x:c r="J809" s="24" t="n">
        <x:f>IFERROR('各站彙總來源'!J809/'各站彙總來源'!K809,"")</x:f>
        <x:v>4.346153846153846</x:v>
      </x:c>
      <x:c r="K809" s="19" t="n">
        <x:f>'各站彙總來源'!K809</x:f>
        <x:v>26</x:v>
      </x:c>
      <x:c r="L809" s="24" t="n">
        <x:f>IFERROR('各站彙總來源'!L809/'各站彙總來源'!M809,"")</x:f>
        <x:v>1.1923076923076923</x:v>
      </x:c>
      <x:c r="M809" s="19" t="n">
        <x:f>'各站彙總來源'!M809</x:f>
        <x:v>26</x:v>
      </x:c>
      <x:c r="N809" s="24" t="n">
        <x:f>F809+H809</x:f>
        <x:v>43.15384615384615</x:v>
      </x:c>
      <x:c r="O809" s="24" t="n">
        <x:f>J809+L809</x:f>
        <x:v>5.538461538461538</x:v>
      </x:c>
    </x:row>
    <x:row r="810">
      <x:c r="A810" s="22" t="str">
        <x:v>500107049</x:v>
      </x:c>
      <x:c r="B810" s="17" t="str">
        <x:v>中山區</x:v>
      </x:c>
      <x:c r="C810" s="17" t="str">
        <x:v>五常國中</x:v>
      </x:c>
      <x:c r="D810" s="18" t="n">
        <x:v>26</x:v>
      </x:c>
      <x:c r="E810" s="18" t="n">
        <x:v>26</x:v>
      </x:c>
      <x:c r="F810" s="24" t="n">
        <x:f>IFERROR('各站彙總來源'!F810/'各站彙總來源'!G810,"")</x:f>
        <x:v>26.53846153846154</x:v>
      </x:c>
      <x:c r="G810" s="19" t="n">
        <x:f>'各站彙總來源'!G810</x:f>
        <x:v>26</x:v>
      </x:c>
      <x:c r="H810" s="24" t="n">
        <x:f>IFERROR('各站彙總來源'!H810/'各站彙總來源'!I810,"")</x:f>
        <x:v>3.0384615384615383</x:v>
      </x:c>
      <x:c r="I810" s="19" t="n">
        <x:f>'各站彙總來源'!I810</x:f>
        <x:v>26</x:v>
      </x:c>
      <x:c r="J810" s="24" t="n">
        <x:f>IFERROR('各站彙總來源'!J810/'各站彙總來源'!K810,"")</x:f>
        <x:v>7.153846153846154</x:v>
      </x:c>
      <x:c r="K810" s="19" t="n">
        <x:f>'各站彙總來源'!K810</x:f>
        <x:v>26</x:v>
      </x:c>
      <x:c r="L810" s="24" t="n">
        <x:f>IFERROR('各站彙總來源'!L810/'各站彙總來源'!M810,"")</x:f>
        <x:v>1.1153846153846154</x:v>
      </x:c>
      <x:c r="M810" s="19" t="n">
        <x:f>'各站彙總來源'!M810</x:f>
        <x:v>26</x:v>
      </x:c>
      <x:c r="N810" s="24" t="n">
        <x:f>F810+H810</x:f>
        <x:v>29.57692307692308</x:v>
      </x:c>
      <x:c r="O810" s="24" t="n">
        <x:f>J810+L810</x:f>
        <x:v>8.26923076923077</x:v>
      </x:c>
    </x:row>
    <x:row r="811">
      <x:c r="A811" s="22" t="str">
        <x:v>500107050</x:v>
      </x:c>
      <x:c r="B811" s="17" t="str">
        <x:v>中山區</x:v>
      </x:c>
      <x:c r="C811" s="17" t="str">
        <x:v>榮星花園</x:v>
      </x:c>
      <x:c r="D811" s="18" t="n">
        <x:v>26</x:v>
      </x:c>
      <x:c r="E811" s="18" t="n">
        <x:v>26</x:v>
      </x:c>
      <x:c r="F811" s="24" t="n">
        <x:f>IFERROR('各站彙總來源'!F811/'各站彙總來源'!G811,"")</x:f>
        <x:v>0</x:v>
      </x:c>
      <x:c r="G811" s="19" t="n">
        <x:f>'各站彙總來源'!G811</x:f>
        <x:v>26</x:v>
      </x:c>
      <x:c r="H811" s="24" t="n">
        <x:f>IFERROR('各站彙總來源'!H811/'各站彙總來源'!I811,"")</x:f>
        <x:v>0</x:v>
      </x:c>
      <x:c r="I811" s="19" t="n">
        <x:f>'各站彙總來源'!I811</x:f>
        <x:v>26</x:v>
      </x:c>
      <x:c r="J811" s="24" t="n">
        <x:f>IFERROR('各站彙總來源'!J811/'各站彙總來源'!K811,"")</x:f>
        <x:v>0</x:v>
      </x:c>
      <x:c r="K811" s="19" t="n">
        <x:f>'各站彙總來源'!K811</x:f>
        <x:v>26</x:v>
      </x:c>
      <x:c r="L811" s="24" t="n">
        <x:f>IFERROR('各站彙總來源'!L811/'各站彙總來源'!M811,"")</x:f>
        <x:v>0</x:v>
      </x:c>
      <x:c r="M811" s="19" t="n">
        <x:f>'各站彙總來源'!M811</x:f>
        <x:v>26</x:v>
      </x:c>
      <x:c r="N811" s="24" t="n">
        <x:f>F811+H811</x:f>
        <x:v>0</x:v>
      </x:c>
      <x:c r="O811" s="24" t="n">
        <x:f>J811+L811</x:f>
        <x:v>0</x:v>
      </x:c>
    </x:row>
    <x:row r="812">
      <x:c r="A812" s="22" t="str">
        <x:v>500107051</x:v>
      </x:c>
      <x:c r="B812" s="17" t="str">
        <x:v>中山區</x:v>
      </x:c>
      <x:c r="C812" s="17" t="str">
        <x:v>民權建國路口</x:v>
      </x:c>
      <x:c r="D812" s="18" t="n">
        <x:v>26</x:v>
      </x:c>
      <x:c r="E812" s="18" t="n">
        <x:v>26</x:v>
      </x:c>
      <x:c r="F812" s="24" t="n">
        <x:f>IFERROR('各站彙總來源'!F812/'各站彙總來源'!G812,"")</x:f>
        <x:v>12.961538461538462</x:v>
      </x:c>
      <x:c r="G812" s="19" t="n">
        <x:f>'各站彙總來源'!G812</x:f>
        <x:v>26</x:v>
      </x:c>
      <x:c r="H812" s="24" t="n">
        <x:f>IFERROR('各站彙總來源'!H812/'各站彙總來源'!I812,"")</x:f>
        <x:v>2.576923076923077</x:v>
      </x:c>
      <x:c r="I812" s="19" t="n">
        <x:f>'各站彙總來源'!I812</x:f>
        <x:v>26</x:v>
      </x:c>
      <x:c r="J812" s="24" t="n">
        <x:f>IFERROR('各站彙總來源'!J812/'各站彙總來源'!K812,"")</x:f>
        <x:v>7.961538461538462</x:v>
      </x:c>
      <x:c r="K812" s="19" t="n">
        <x:f>'各站彙總來源'!K812</x:f>
        <x:v>26</x:v>
      </x:c>
      <x:c r="L812" s="24" t="n">
        <x:f>IFERROR('各站彙總來源'!L812/'各站彙總來源'!M812,"")</x:f>
        <x:v>0.9230769230769231</x:v>
      </x:c>
      <x:c r="M812" s="19" t="n">
        <x:f>'各站彙總來源'!M812</x:f>
        <x:v>26</x:v>
      </x:c>
      <x:c r="N812" s="24" t="n">
        <x:f>F812+H812</x:f>
        <x:v>15.538461538461538</x:v>
      </x:c>
      <x:c r="O812" s="24" t="n">
        <x:f>J812+L812</x:f>
        <x:v>8.884615384615385</x:v>
      </x:c>
    </x:row>
    <x:row r="813">
      <x:c r="A813" s="22" t="str">
        <x:v>500107052</x:v>
      </x:c>
      <x:c r="B813" s="17" t="str">
        <x:v>中山區</x:v>
      </x:c>
      <x:c r="C813" s="17" t="str">
        <x:v>松江路431巷口</x:v>
      </x:c>
      <x:c r="D813" s="18" t="n">
        <x:v>26</x:v>
      </x:c>
      <x:c r="E813" s="18" t="n">
        <x:v>26</x:v>
      </x:c>
      <x:c r="F813" s="24" t="n">
        <x:f>IFERROR('各站彙總來源'!F813/'各站彙總來源'!G813,"")</x:f>
        <x:v>10.076923076923077</x:v>
      </x:c>
      <x:c r="G813" s="19" t="n">
        <x:f>'各站彙總來源'!G813</x:f>
        <x:v>26</x:v>
      </x:c>
      <x:c r="H813" s="24" t="n">
        <x:f>IFERROR('各站彙總來源'!H813/'各站彙總來源'!I813,"")</x:f>
        <x:v>2.8461538461538463</x:v>
      </x:c>
      <x:c r="I813" s="19" t="n">
        <x:f>'各站彙總來源'!I813</x:f>
        <x:v>26</x:v>
      </x:c>
      <x:c r="J813" s="24" t="n">
        <x:f>IFERROR('各站彙總來源'!J813/'各站彙總來源'!K813,"")</x:f>
        <x:v>5.730769230769231</x:v>
      </x:c>
      <x:c r="K813" s="19" t="n">
        <x:f>'各站彙總來源'!K813</x:f>
        <x:v>26</x:v>
      </x:c>
      <x:c r="L813" s="24" t="n">
        <x:f>IFERROR('各站彙總來源'!L813/'各站彙總來源'!M813,"")</x:f>
        <x:v>0.7307692307692307</x:v>
      </x:c>
      <x:c r="M813" s="19" t="n">
        <x:f>'各站彙總來源'!M813</x:f>
        <x:v>26</x:v>
      </x:c>
      <x:c r="N813" s="24" t="n">
        <x:f>F813+H813</x:f>
        <x:v>12.923076923076923</x:v>
      </x:c>
      <x:c r="O813" s="24" t="n">
        <x:f>J813+L813</x:f>
        <x:v>6.461538461538462</x:v>
      </x:c>
    </x:row>
    <x:row r="814">
      <x:c r="A814" s="22" t="str">
        <x:v>500107053</x:v>
      </x:c>
      <x:c r="B814" s="17" t="str">
        <x:v>中山區</x:v>
      </x:c>
      <x:c r="C814" s="17" t="str">
        <x:v>新喜公園</x:v>
      </x:c>
      <x:c r="D814" s="18" t="n">
        <x:v>26</x:v>
      </x:c>
      <x:c r="E814" s="18" t="n">
        <x:v>26</x:v>
      </x:c>
      <x:c r="F814" s="24" t="n">
        <x:f>IFERROR('各站彙總來源'!F814/'各站彙總來源'!G814,"")</x:f>
        <x:v>17.76923076923077</x:v>
      </x:c>
      <x:c r="G814" s="19" t="n">
        <x:f>'各站彙總來源'!G814</x:f>
        <x:v>26</x:v>
      </x:c>
      <x:c r="H814" s="24" t="n">
        <x:f>IFERROR('各站彙總來源'!H814/'各站彙總來源'!I814,"")</x:f>
        <x:v>1.8461538461538463</x:v>
      </x:c>
      <x:c r="I814" s="19" t="n">
        <x:f>'各站彙總來源'!I814</x:f>
        <x:v>26</x:v>
      </x:c>
      <x:c r="J814" s="24" t="n">
        <x:f>IFERROR('各站彙總來源'!J814/'各站彙總來源'!K814,"")</x:f>
        <x:v>4.461538461538462</x:v>
      </x:c>
      <x:c r="K814" s="19" t="n">
        <x:f>'各站彙總來源'!K814</x:f>
        <x:v>26</x:v>
      </x:c>
      <x:c r="L814" s="24" t="n">
        <x:f>IFERROR('各站彙總來源'!L814/'各站彙總來源'!M814,"")</x:f>
        <x:v>1.5769230769230769</x:v>
      </x:c>
      <x:c r="M814" s="19" t="n">
        <x:f>'各站彙總來源'!M814</x:f>
        <x:v>26</x:v>
      </x:c>
      <x:c r="N814" s="24" t="n">
        <x:f>F814+H814</x:f>
        <x:v>19.615384615384617</x:v>
      </x:c>
      <x:c r="O814" s="24" t="n">
        <x:f>J814+L814</x:f>
        <x:v>6.038461538461538</x:v>
      </x:c>
    </x:row>
    <x:row r="815">
      <x:c r="A815" s="22" t="str">
        <x:v>500107054</x:v>
      </x:c>
      <x:c r="B815" s="17" t="str">
        <x:v>中山區</x:v>
      </x:c>
      <x:c r="C815" s="17" t="str">
        <x:v>吉林路407巷口</x:v>
      </x:c>
      <x:c r="D815" s="18" t="n">
        <x:v>26</x:v>
      </x:c>
      <x:c r="E815" s="18" t="n">
        <x:v>26</x:v>
      </x:c>
      <x:c r="F815" s="24" t="n">
        <x:f>IFERROR('各站彙總來源'!F815/'各站彙總來源'!G815,"")</x:f>
        <x:v>22.423076923076923</x:v>
      </x:c>
      <x:c r="G815" s="19" t="n">
        <x:f>'各站彙總來源'!G815</x:f>
        <x:v>26</x:v>
      </x:c>
      <x:c r="H815" s="24" t="n">
        <x:f>IFERROR('各站彙總來源'!H815/'各站彙總來源'!I815,"")</x:f>
        <x:v>2.1153846153846154</x:v>
      </x:c>
      <x:c r="I815" s="19" t="n">
        <x:f>'各站彙總來源'!I815</x:f>
        <x:v>26</x:v>
      </x:c>
      <x:c r="J815" s="24" t="n">
        <x:f>IFERROR('各站彙總來源'!J815/'各站彙總來源'!K815,"")</x:f>
        <x:v>4.730769230769231</x:v>
      </x:c>
      <x:c r="K815" s="19" t="n">
        <x:f>'各站彙總來源'!K815</x:f>
        <x:v>26</x:v>
      </x:c>
      <x:c r="L815" s="24" t="n">
        <x:f>IFERROR('各站彙總來源'!L815/'各站彙總來源'!M815,"")</x:f>
        <x:v>1.1538461538461537</x:v>
      </x:c>
      <x:c r="M815" s="19" t="n">
        <x:f>'各站彙總來源'!M815</x:f>
        <x:v>26</x:v>
      </x:c>
      <x:c r="N815" s="24" t="n">
        <x:f>F815+H815</x:f>
        <x:v>24.53846153846154</x:v>
      </x:c>
      <x:c r="O815" s="24" t="n">
        <x:f>J815+L815</x:f>
        <x:v>5.884615384615385</x:v>
      </x:c>
    </x:row>
    <x:row r="816">
      <x:c r="A816" s="22" t="str">
        <x:v>500107055</x:v>
      </x:c>
      <x:c r="B816" s="17" t="str">
        <x:v>中山區</x:v>
      </x:c>
      <x:c r="C816" s="17" t="str">
        <x:v>民族松江路口</x:v>
      </x:c>
      <x:c r="D816" s="18" t="n">
        <x:v>26</x:v>
      </x:c>
      <x:c r="E816" s="18" t="n">
        <x:v>26</x:v>
      </x:c>
      <x:c r="F816" s="24" t="n">
        <x:f>IFERROR('各站彙總來源'!F816/'各站彙總來源'!G816,"")</x:f>
        <x:v>5.461538461538462</x:v>
      </x:c>
      <x:c r="G816" s="19" t="n">
        <x:f>'各站彙總來源'!G816</x:f>
        <x:v>26</x:v>
      </x:c>
      <x:c r="H816" s="24" t="n">
        <x:f>IFERROR('各站彙總來源'!H816/'各站彙總來源'!I816,"")</x:f>
        <x:v>1.3846153846153846</x:v>
      </x:c>
      <x:c r="I816" s="19" t="n">
        <x:f>'各站彙總來源'!I816</x:f>
        <x:v>26</x:v>
      </x:c>
      <x:c r="J816" s="24" t="n">
        <x:f>IFERROR('各站彙總來源'!J816/'各站彙總來源'!K816,"")</x:f>
        <x:v>5.3076923076923075</x:v>
      </x:c>
      <x:c r="K816" s="19" t="n">
        <x:f>'各站彙總來源'!K816</x:f>
        <x:v>26</x:v>
      </x:c>
      <x:c r="L816" s="24" t="n">
        <x:f>IFERROR('各站彙總來源'!L816/'各站彙總來源'!M816,"")</x:f>
        <x:v>1.2692307692307692</x:v>
      </x:c>
      <x:c r="M816" s="19" t="n">
        <x:f>'各站彙總來源'!M816</x:f>
        <x:v>26</x:v>
      </x:c>
      <x:c r="N816" s="24" t="n">
        <x:f>F816+H816</x:f>
        <x:v>6.846153846153847</x:v>
      </x:c>
      <x:c r="O816" s="24" t="n">
        <x:f>J816+L816</x:f>
        <x:v>6.576923076923077</x:v>
      </x:c>
    </x:row>
    <x:row r="817">
      <x:c r="A817" s="22" t="str">
        <x:v>500107056</x:v>
      </x:c>
      <x:c r="B817" s="17" t="str">
        <x:v>中山區</x:v>
      </x:c>
      <x:c r="C817" s="17" t="str">
        <x:v>林安泰古厝</x:v>
      </x:c>
      <x:c r="D817" s="18" t="n">
        <x:v>26</x:v>
      </x:c>
      <x:c r="E817" s="18" t="n">
        <x:v>26</x:v>
      </x:c>
      <x:c r="F817" s="24" t="n">
        <x:f>IFERROR('各站彙總來源'!F817/'各站彙總來源'!G817,"")</x:f>
        <x:v>0</x:v>
      </x:c>
      <x:c r="G817" s="19" t="n">
        <x:f>'各站彙總來源'!G817</x:f>
        <x:v>26</x:v>
      </x:c>
      <x:c r="H817" s="24" t="n">
        <x:f>IFERROR('各站彙總來源'!H817/'各站彙總來源'!I817,"")</x:f>
        <x:v>0</x:v>
      </x:c>
      <x:c r="I817" s="19" t="n">
        <x:f>'各站彙總來源'!I817</x:f>
        <x:v>26</x:v>
      </x:c>
      <x:c r="J817" s="24" t="n">
        <x:f>IFERROR('各站彙總來源'!J817/'各站彙總來源'!K817,"")</x:f>
        <x:v>0</x:v>
      </x:c>
      <x:c r="K817" s="19" t="n">
        <x:f>'各站彙總來源'!K817</x:f>
        <x:v>26</x:v>
      </x:c>
      <x:c r="L817" s="24" t="n">
        <x:f>IFERROR('各站彙總來源'!L817/'各站彙總來源'!M817,"")</x:f>
        <x:v>0</x:v>
      </x:c>
      <x:c r="M817" s="19" t="n">
        <x:f>'各站彙總來源'!M817</x:f>
        <x:v>26</x:v>
      </x:c>
      <x:c r="N817" s="24" t="n">
        <x:f>F817+H817</x:f>
        <x:v>0</x:v>
      </x:c>
      <x:c r="O817" s="24" t="n">
        <x:f>J817+L817</x:f>
        <x:v>0</x:v>
      </x:c>
    </x:row>
    <x:row r="818">
      <x:c r="A818" s="22" t="str">
        <x:v>500107057</x:v>
      </x:c>
      <x:c r="B818" s="17" t="str">
        <x:v>中山區</x:v>
      </x:c>
      <x:c r="C818" s="17" t="str">
        <x:v>中山公民會館</x:v>
      </x:c>
      <x:c r="D818" s="18" t="n">
        <x:v>26</x:v>
      </x:c>
      <x:c r="E818" s="18" t="n">
        <x:v>26</x:v>
      </x:c>
      <x:c r="F818" s="24" t="n">
        <x:f>IFERROR('各站彙總來源'!F818/'各站彙總來源'!G818,"")</x:f>
        <x:v>0</x:v>
      </x:c>
      <x:c r="G818" s="19" t="n">
        <x:f>'各站彙總來源'!G818</x:f>
        <x:v>26</x:v>
      </x:c>
      <x:c r="H818" s="24" t="n">
        <x:f>IFERROR('各站彙總來源'!H818/'各站彙總來源'!I818,"")</x:f>
        <x:v>0</x:v>
      </x:c>
      <x:c r="I818" s="19" t="n">
        <x:f>'各站彙總來源'!I818</x:f>
        <x:v>26</x:v>
      </x:c>
      <x:c r="J818" s="24" t="n">
        <x:f>IFERROR('各站彙總來源'!J818/'各站彙總來源'!K818,"")</x:f>
        <x:v>0</x:v>
      </x:c>
      <x:c r="K818" s="19" t="n">
        <x:f>'各站彙總來源'!K818</x:f>
        <x:v>26</x:v>
      </x:c>
      <x:c r="L818" s="24" t="n">
        <x:f>IFERROR('各站彙總來源'!L818/'各站彙總來源'!M818,"")</x:f>
        <x:v>0</x:v>
      </x:c>
      <x:c r="M818" s="19" t="n">
        <x:f>'各站彙總來源'!M818</x:f>
        <x:v>26</x:v>
      </x:c>
      <x:c r="N818" s="24" t="n">
        <x:f>F818+H818</x:f>
        <x:v>0</x:v>
      </x:c>
      <x:c r="O818" s="24" t="n">
        <x:f>J818+L818</x:f>
        <x:v>0</x:v>
      </x:c>
    </x:row>
    <x:row r="819">
      <x:c r="A819" s="22" t="str">
        <x:v>500107058</x:v>
      </x:c>
      <x:c r="B819" s="17" t="str">
        <x:v>中山區</x:v>
      </x:c>
      <x:c r="C819" s="17" t="str">
        <x:v>渭水八德路口</x:v>
      </x:c>
      <x:c r="D819" s="18" t="n">
        <x:v>26</x:v>
      </x:c>
      <x:c r="E819" s="18" t="n">
        <x:v>26</x:v>
      </x:c>
      <x:c r="F819" s="24" t="n">
        <x:f>IFERROR('各站彙總來源'!F819/'各站彙總來源'!G819,"")</x:f>
        <x:v>14</x:v>
      </x:c>
      <x:c r="G819" s="19" t="n">
        <x:f>'各站彙總來源'!G819</x:f>
        <x:v>26</x:v>
      </x:c>
      <x:c r="H819" s="24" t="n">
        <x:f>IFERROR('各站彙總來源'!H819/'各站彙總來源'!I819,"")</x:f>
        <x:v>2.6538461538461537</x:v>
      </x:c>
      <x:c r="I819" s="19" t="n">
        <x:f>'各站彙總來源'!I819</x:f>
        <x:v>26</x:v>
      </x:c>
      <x:c r="J819" s="24" t="n">
        <x:f>IFERROR('各站彙總來源'!J819/'各站彙總來源'!K819,"")</x:f>
        <x:v>6.5</x:v>
      </x:c>
      <x:c r="K819" s="19" t="n">
        <x:f>'各站彙總來源'!K819</x:f>
        <x:v>26</x:v>
      </x:c>
      <x:c r="L819" s="24" t="n">
        <x:f>IFERROR('各站彙總來源'!L819/'各站彙總來源'!M819,"")</x:f>
        <x:v>1.5384615384615385</x:v>
      </x:c>
      <x:c r="M819" s="19" t="n">
        <x:f>'各站彙總來源'!M819</x:f>
        <x:v>26</x:v>
      </x:c>
      <x:c r="N819" s="24" t="n">
        <x:f>F819+H819</x:f>
        <x:v>16.653846153846153</x:v>
      </x:c>
      <x:c r="O819" s="24" t="n">
        <x:f>J819+L819</x:f>
        <x:v>8.038461538461538</x:v>
      </x:c>
    </x:row>
    <x:row r="820">
      <x:c r="A820" s="22" t="str">
        <x:v>500107059</x:v>
      </x:c>
      <x:c r="B820" s="17" t="str">
        <x:v>中山區</x:v>
      </x:c>
      <x:c r="C820" s="17" t="str">
        <x:v>捷運中山站(2號出口)</x:v>
      </x:c>
      <x:c r="D820" s="18" t="n">
        <x:v>26</x:v>
      </x:c>
      <x:c r="E820" s="18" t="n">
        <x:v>26</x:v>
      </x:c>
      <x:c r="F820" s="24" t="n">
        <x:f>IFERROR('各站彙總來源'!F820/'各站彙總來源'!G820,"")</x:f>
        <x:v>5.423076923076923</x:v>
      </x:c>
      <x:c r="G820" s="19" t="n">
        <x:f>'各站彙總來源'!G820</x:f>
        <x:v>26</x:v>
      </x:c>
      <x:c r="H820" s="24" t="n">
        <x:f>IFERROR('各站彙總來源'!H820/'各站彙總來源'!I820,"")</x:f>
        <x:v>1.3076923076923077</x:v>
      </x:c>
      <x:c r="I820" s="19" t="n">
        <x:f>'各站彙總來源'!I820</x:f>
        <x:v>26</x:v>
      </x:c>
      <x:c r="J820" s="24" t="n">
        <x:f>IFERROR('各站彙總來源'!J820/'各站彙總來源'!K820,"")</x:f>
        <x:v>27</x:v>
      </x:c>
      <x:c r="K820" s="19" t="n">
        <x:f>'各站彙總來源'!K820</x:f>
        <x:v>26</x:v>
      </x:c>
      <x:c r="L820" s="24" t="n">
        <x:f>IFERROR('各站彙總來源'!L820/'各站彙總來源'!M820,"")</x:f>
        <x:v>3.269230769230769</x:v>
      </x:c>
      <x:c r="M820" s="19" t="n">
        <x:f>'各站彙總來源'!M820</x:f>
        <x:v>26</x:v>
      </x:c>
      <x:c r="N820" s="24" t="n">
        <x:f>F820+H820</x:f>
        <x:v>6.730769230769231</x:v>
      </x:c>
      <x:c r="O820" s="24" t="n">
        <x:f>J820+L820</x:f>
        <x:v>30.26923076923077</x:v>
      </x:c>
    </x:row>
    <x:row r="821">
      <x:c r="A821" s="22" t="str">
        <x:v>500107060</x:v>
      </x:c>
      <x:c r="B821" s="17" t="str">
        <x:v>中山區</x:v>
      </x:c>
      <x:c r="C821" s="17" t="str">
        <x:v>撫順公園</x:v>
      </x:c>
      <x:c r="D821" s="18" t="n">
        <x:v>26</x:v>
      </x:c>
      <x:c r="E821" s="18" t="n">
        <x:v>26</x:v>
      </x:c>
      <x:c r="F821" s="24" t="n">
        <x:f>IFERROR('各站彙總來源'!F821/'各站彙總來源'!G821,"")</x:f>
        <x:v>6.769230769230769</x:v>
      </x:c>
      <x:c r="G821" s="19" t="n">
        <x:f>'各站彙總來源'!G821</x:f>
        <x:v>26</x:v>
      </x:c>
      <x:c r="H821" s="24" t="n">
        <x:f>IFERROR('各站彙總來源'!H821/'各站彙總來源'!I821,"")</x:f>
        <x:v>1.4230769230769231</x:v>
      </x:c>
      <x:c r="I821" s="19" t="n">
        <x:f>'各站彙總來源'!I821</x:f>
        <x:v>26</x:v>
      </x:c>
      <x:c r="J821" s="24" t="n">
        <x:f>IFERROR('各站彙總來源'!J821/'各站彙總來源'!K821,"")</x:f>
        <x:v>16.576923076923077</x:v>
      </x:c>
      <x:c r="K821" s="19" t="n">
        <x:f>'各站彙總來源'!K821</x:f>
        <x:v>26</x:v>
      </x:c>
      <x:c r="L821" s="24" t="n">
        <x:f>IFERROR('各站彙總來源'!L821/'各站彙總來源'!M821,"")</x:f>
        <x:v>1.8076923076923077</x:v>
      </x:c>
      <x:c r="M821" s="19" t="n">
        <x:f>'各站彙總來源'!M821</x:f>
        <x:v>26</x:v>
      </x:c>
      <x:c r="N821" s="24" t="n">
        <x:f>F821+H821</x:f>
        <x:v>8.192307692307692</x:v>
      </x:c>
      <x:c r="O821" s="24" t="n">
        <x:f>J821+L821</x:f>
        <x:v>18.384615384615383</x:v>
      </x:c>
    </x:row>
    <x:row r="822">
      <x:c r="A822" s="22" t="str">
        <x:v>500107061</x:v>
      </x:c>
      <x:c r="B822" s="17" t="str">
        <x:v>中山區</x:v>
      </x:c>
      <x:c r="C822" s="17" t="str">
        <x:v>新生公園</x:v>
      </x:c>
      <x:c r="D822" s="18" t="n">
        <x:v>26</x:v>
      </x:c>
      <x:c r="E822" s="18" t="n">
        <x:v>26</x:v>
      </x:c>
      <x:c r="F822" s="24" t="n">
        <x:f>IFERROR('各站彙總來源'!F822/'各站彙總來源'!G822,"")</x:f>
        <x:v>18.692307692307693</x:v>
      </x:c>
      <x:c r="G822" s="19" t="n">
        <x:f>'各站彙總來源'!G822</x:f>
        <x:v>26</x:v>
      </x:c>
      <x:c r="H822" s="24" t="n">
        <x:f>IFERROR('各站彙總來源'!H822/'各站彙總來源'!I822,"")</x:f>
        <x:v>3.1923076923076925</x:v>
      </x:c>
      <x:c r="I822" s="19" t="n">
        <x:f>'各站彙總來源'!I822</x:f>
        <x:v>26</x:v>
      </x:c>
      <x:c r="J822" s="24" t="n">
        <x:f>IFERROR('各站彙總來源'!J822/'各站彙總來源'!K822,"")</x:f>
        <x:v>9.73076923076923</x:v>
      </x:c>
      <x:c r="K822" s="19" t="n">
        <x:f>'各站彙總來源'!K822</x:f>
        <x:v>26</x:v>
      </x:c>
      <x:c r="L822" s="24" t="n">
        <x:f>IFERROR('各站彙總來源'!L822/'各站彙總來源'!M822,"")</x:f>
        <x:v>2.3846153846153846</x:v>
      </x:c>
      <x:c r="M822" s="19" t="n">
        <x:f>'各站彙總來源'!M822</x:f>
        <x:v>26</x:v>
      </x:c>
      <x:c r="N822" s="24" t="n">
        <x:f>F822+H822</x:f>
        <x:v>21.884615384615387</x:v>
      </x:c>
      <x:c r="O822" s="24" t="n">
        <x:f>J822+L822</x:f>
        <x:v>12.115384615384615</x:v>
      </x:c>
    </x:row>
    <x:row r="823">
      <x:c r="A823" s="22" t="str">
        <x:v>500107062</x:v>
      </x:c>
      <x:c r="B823" s="17" t="str">
        <x:v>中山區</x:v>
      </x:c>
      <x:c r="C823" s="17" t="str">
        <x:v>捷運行天宮站(1號出口)</x:v>
      </x:c>
      <x:c r="D823" s="18" t="n">
        <x:v>26</x:v>
      </x:c>
      <x:c r="E823" s="18" t="n">
        <x:v>26</x:v>
      </x:c>
      <x:c r="F823" s="24" t="n">
        <x:f>IFERROR('各站彙總來源'!F823/'各站彙總來源'!G823,"")</x:f>
        <x:v>22.115384615384617</x:v>
      </x:c>
      <x:c r="G823" s="19" t="n">
        <x:f>'各站彙總來源'!G823</x:f>
        <x:v>26</x:v>
      </x:c>
      <x:c r="H823" s="24" t="n">
        <x:f>IFERROR('各站彙總來源'!H823/'各站彙總來源'!I823,"")</x:f>
        <x:v>3.8846153846153846</x:v>
      </x:c>
      <x:c r="I823" s="19" t="n">
        <x:f>'各站彙總來源'!I823</x:f>
        <x:v>26</x:v>
      </x:c>
      <x:c r="J823" s="24" t="n">
        <x:f>IFERROR('各站彙總來源'!J823/'各站彙總來源'!K823,"")</x:f>
        <x:v>9.26923076923077</x:v>
      </x:c>
      <x:c r="K823" s="19" t="n">
        <x:f>'各站彙總來源'!K823</x:f>
        <x:v>26</x:v>
      </x:c>
      <x:c r="L823" s="24" t="n">
        <x:f>IFERROR('各站彙總來源'!L823/'各站彙總來源'!M823,"")</x:f>
        <x:v>2.3846153846153846</x:v>
      </x:c>
      <x:c r="M823" s="19" t="n">
        <x:f>'各站彙總來源'!M823</x:f>
        <x:v>26</x:v>
      </x:c>
      <x:c r="N823" s="24" t="n">
        <x:f>F823+H823</x:f>
        <x:v>26</x:v>
      </x:c>
      <x:c r="O823" s="24" t="n">
        <x:f>J823+L823</x:f>
        <x:v>11.653846153846155</x:v>
      </x:c>
    </x:row>
    <x:row r="824">
      <x:c r="A824" s="22" t="str">
        <x:v>500107063</x:v>
      </x:c>
      <x:c r="B824" s="17" t="str">
        <x:v>中山區</x:v>
      </x:c>
      <x:c r="C824" s="17" t="str">
        <x:v>林森長春路口</x:v>
      </x:c>
      <x:c r="D824" s="18" t="n">
        <x:v>26</x:v>
      </x:c>
      <x:c r="E824" s="18" t="n">
        <x:v>26</x:v>
      </x:c>
      <x:c r="F824" s="24" t="n">
        <x:f>IFERROR('各站彙總來源'!F824/'各站彙總來源'!G824,"")</x:f>
        <x:v>8.73076923076923</x:v>
      </x:c>
      <x:c r="G824" s="19" t="n">
        <x:f>'各站彙總來源'!G824</x:f>
        <x:v>26</x:v>
      </x:c>
      <x:c r="H824" s="24" t="n">
        <x:f>IFERROR('各站彙總來源'!H824/'各站彙總來源'!I824,"")</x:f>
        <x:v>1.3461538461538463</x:v>
      </x:c>
      <x:c r="I824" s="19" t="n">
        <x:f>'各站彙總來源'!I824</x:f>
        <x:v>26</x:v>
      </x:c>
      <x:c r="J824" s="24" t="n">
        <x:f>IFERROR('各站彙總來源'!J824/'各站彙總來源'!K824,"")</x:f>
        <x:v>10.384615384615385</x:v>
      </x:c>
      <x:c r="K824" s="19" t="n">
        <x:f>'各站彙總來源'!K824</x:f>
        <x:v>26</x:v>
      </x:c>
      <x:c r="L824" s="24" t="n">
        <x:f>IFERROR('各站彙總來源'!L824/'各站彙總來源'!M824,"")</x:f>
        <x:v>3.576923076923077</x:v>
      </x:c>
      <x:c r="M824" s="19" t="n">
        <x:f>'各站彙總來源'!M824</x:f>
        <x:v>26</x:v>
      </x:c>
      <x:c r="N824" s="24" t="n">
        <x:f>F824+H824</x:f>
        <x:v>10.076923076923077</x:v>
      </x:c>
      <x:c r="O824" s="24" t="n">
        <x:f>J824+L824</x:f>
        <x:v>13.961538461538462</x:v>
      </x:c>
    </x:row>
    <x:row r="825">
      <x:c r="A825" s="22" t="str">
        <x:v>500107064</x:v>
      </x:c>
      <x:c r="B825" s="17" t="str">
        <x:v>中山區</x:v>
      </x:c>
      <x:c r="C825" s="17" t="str">
        <x:v>建國農安街口</x:v>
      </x:c>
      <x:c r="D825" s="18" t="n">
        <x:v>26</x:v>
      </x:c>
      <x:c r="E825" s="18" t="n">
        <x:v>26</x:v>
      </x:c>
      <x:c r="F825" s="24" t="n">
        <x:f>IFERROR('各站彙總來源'!F825/'各站彙總來源'!G825,"")</x:f>
        <x:v>42.42307692307692</x:v>
      </x:c>
      <x:c r="G825" s="19" t="n">
        <x:f>'各站彙總來源'!G825</x:f>
        <x:v>26</x:v>
      </x:c>
      <x:c r="H825" s="24" t="n">
        <x:f>IFERROR('各站彙總來源'!H825/'各站彙總來源'!I825,"")</x:f>
        <x:v>3.8846153846153846</x:v>
      </x:c>
      <x:c r="I825" s="19" t="n">
        <x:f>'各站彙總來源'!I825</x:f>
        <x:v>26</x:v>
      </x:c>
      <x:c r="J825" s="24" t="n">
        <x:f>IFERROR('各站彙總來源'!J825/'各站彙總來源'!K825,"")</x:f>
        <x:v>9.884615384615385</x:v>
      </x:c>
      <x:c r="K825" s="19" t="n">
        <x:f>'各站彙總來源'!K825</x:f>
        <x:v>26</x:v>
      </x:c>
      <x:c r="L825" s="24" t="n">
        <x:f>IFERROR('各站彙總來源'!L825/'各站彙總來源'!M825,"")</x:f>
        <x:v>0.7307692307692307</x:v>
      </x:c>
      <x:c r="M825" s="19" t="n">
        <x:f>'各站彙總來源'!M825</x:f>
        <x:v>26</x:v>
      </x:c>
      <x:c r="N825" s="24" t="n">
        <x:f>F825+H825</x:f>
        <x:v>46.30769230769231</x:v>
      </x:c>
      <x:c r="O825" s="24" t="n">
        <x:f>J825+L825</x:f>
        <x:v>10.615384615384615</x:v>
      </x:c>
    </x:row>
    <x:row r="826">
      <x:c r="A826" s="22" t="str">
        <x:v>500107065</x:v>
      </x:c>
      <x:c r="B826" s="17" t="str">
        <x:v>中山區</x:v>
      </x:c>
      <x:c r="C826" s="17" t="str">
        <x:v>松江路77巷口</x:v>
      </x:c>
      <x:c r="D826" s="18" t="n">
        <x:v>26</x:v>
      </x:c>
      <x:c r="E826" s="18" t="n">
        <x:v>26</x:v>
      </x:c>
      <x:c r="F826" s="24" t="n">
        <x:f>IFERROR('各站彙總來源'!F826/'各站彙總來源'!G826,"")</x:f>
        <x:v>1.8076923076923077</x:v>
      </x:c>
      <x:c r="G826" s="19" t="n">
        <x:f>'各站彙總來源'!G826</x:f>
        <x:v>26</x:v>
      </x:c>
      <x:c r="H826" s="24" t="n">
        <x:f>IFERROR('各站彙總來源'!H826/'各站彙總來源'!I826,"")</x:f>
        <x:v>0.46153846153846156</x:v>
      </x:c>
      <x:c r="I826" s="19" t="n">
        <x:f>'各站彙總來源'!I826</x:f>
        <x:v>26</x:v>
      </x:c>
      <x:c r="J826" s="24" t="n">
        <x:f>IFERROR('各站彙總來源'!J826/'各站彙總來源'!K826,"")</x:f>
        <x:v>4.1923076923076925</x:v>
      </x:c>
      <x:c r="K826" s="19" t="n">
        <x:f>'各站彙總來源'!K826</x:f>
        <x:v>26</x:v>
      </x:c>
      <x:c r="L826" s="24" t="n">
        <x:f>IFERROR('各站彙總來源'!L826/'各站彙總來源'!M826,"")</x:f>
        <x:v>1.2307692307692308</x:v>
      </x:c>
      <x:c r="M826" s="19" t="n">
        <x:f>'各站彙總來源'!M826</x:f>
        <x:v>26</x:v>
      </x:c>
      <x:c r="N826" s="24" t="n">
        <x:f>F826+H826</x:f>
        <x:v>2.269230769230769</x:v>
      </x:c>
      <x:c r="O826" s="24" t="n">
        <x:f>J826+L826</x:f>
        <x:v>5.423076923076923</x:v>
      </x:c>
    </x:row>
    <x:row r="827">
      <x:c r="A827" s="22" t="str">
        <x:v>500107066</x:v>
      </x:c>
      <x:c r="B827" s="17" t="str">
        <x:v>中山區</x:v>
      </x:c>
      <x:c r="C827" s="17" t="str">
        <x:v>建國長安路口</x:v>
      </x:c>
      <x:c r="D827" s="18" t="n">
        <x:v>26</x:v>
      </x:c>
      <x:c r="E827" s="18" t="n">
        <x:v>26</x:v>
      </x:c>
      <x:c r="F827" s="24" t="n">
        <x:f>IFERROR('各站彙總來源'!F827/'各站彙總來源'!G827,"")</x:f>
        <x:v>3.4615384615384617</x:v>
      </x:c>
      <x:c r="G827" s="19" t="n">
        <x:f>'各站彙總來源'!G827</x:f>
        <x:v>26</x:v>
      </x:c>
      <x:c r="H827" s="24" t="n">
        <x:f>IFERROR('各站彙總來源'!H827/'各站彙總來源'!I827,"")</x:f>
        <x:v>1.2307692307692308</x:v>
      </x:c>
      <x:c r="I827" s="19" t="n">
        <x:f>'各站彙總來源'!I827</x:f>
        <x:v>26</x:v>
      </x:c>
      <x:c r="J827" s="24" t="n">
        <x:f>IFERROR('各站彙總來源'!J827/'各站彙總來源'!K827,"")</x:f>
        <x:v>24.5</x:v>
      </x:c>
      <x:c r="K827" s="19" t="n">
        <x:f>'各站彙總來源'!K827</x:f>
        <x:v>26</x:v>
      </x:c>
      <x:c r="L827" s="24" t="n">
        <x:f>IFERROR('各站彙總來源'!L827/'各站彙總來源'!M827,"")</x:f>
        <x:v>2.423076923076923</x:v>
      </x:c>
      <x:c r="M827" s="19" t="n">
        <x:f>'各站彙總來源'!M827</x:f>
        <x:v>26</x:v>
      </x:c>
      <x:c r="N827" s="24" t="n">
        <x:f>F827+H827</x:f>
        <x:v>4.6923076923076925</x:v>
      </x:c>
      <x:c r="O827" s="24" t="n">
        <x:f>J827+L827</x:f>
        <x:v>26.923076923076923</x:v>
      </x:c>
    </x:row>
    <x:row r="828">
      <x:c r="A828" s="22" t="str">
        <x:v>500107067</x:v>
      </x:c>
      <x:c r="B828" s="17" t="str">
        <x:v>中山區</x:v>
      </x:c>
      <x:c r="C828" s="17" t="str">
        <x:v>市民新生路口</x:v>
      </x:c>
      <x:c r="D828" s="18" t="n">
        <x:v>26</x:v>
      </x:c>
      <x:c r="E828" s="18" t="n">
        <x:v>26</x:v>
      </x:c>
      <x:c r="F828" s="24" t="n">
        <x:f>IFERROR('各站彙總來源'!F828/'各站彙總來源'!G828,"")</x:f>
        <x:v>3.8076923076923075</x:v>
      </x:c>
      <x:c r="G828" s="19" t="n">
        <x:f>'各站彙總來源'!G828</x:f>
        <x:v>26</x:v>
      </x:c>
      <x:c r="H828" s="24" t="n">
        <x:f>IFERROR('各站彙總來源'!H828/'各站彙總來源'!I828,"")</x:f>
        <x:v>1.6153846153846154</x:v>
      </x:c>
      <x:c r="I828" s="19" t="n">
        <x:f>'各站彙總來源'!I828</x:f>
        <x:v>26</x:v>
      </x:c>
      <x:c r="J828" s="24" t="n">
        <x:f>IFERROR('各站彙總來源'!J828/'各站彙總來源'!K828,"")</x:f>
        <x:v>4.615384615384615</x:v>
      </x:c>
      <x:c r="K828" s="19" t="n">
        <x:f>'各站彙總來源'!K828</x:f>
        <x:v>26</x:v>
      </x:c>
      <x:c r="L828" s="24" t="n">
        <x:f>IFERROR('各站彙總來源'!L828/'各站彙總來源'!M828,"")</x:f>
        <x:v>1.1923076923076923</x:v>
      </x:c>
      <x:c r="M828" s="19" t="n">
        <x:f>'各站彙總來源'!M828</x:f>
        <x:v>26</x:v>
      </x:c>
      <x:c r="N828" s="24" t="n">
        <x:f>F828+H828</x:f>
        <x:v>5.423076923076923</x:v>
      </x:c>
      <x:c r="O828" s="24" t="n">
        <x:f>J828+L828</x:f>
        <x:v>5.8076923076923075</x:v>
      </x:c>
    </x:row>
    <x:row r="829">
      <x:c r="A829" s="22" t="str">
        <x:v>500107068</x:v>
      </x:c>
      <x:c r="B829" s="17" t="str">
        <x:v>中山區</x:v>
      </x:c>
      <x:c r="C829" s="17" t="str">
        <x:v>民權吉林路口</x:v>
      </x:c>
      <x:c r="D829" s="18" t="n">
        <x:v>26</x:v>
      </x:c>
      <x:c r="E829" s="18" t="n">
        <x:v>26</x:v>
      </x:c>
      <x:c r="F829" s="24" t="n">
        <x:f>IFERROR('各站彙總來源'!F829/'各站彙總來源'!G829,"")</x:f>
        <x:v>8.384615384615385</x:v>
      </x:c>
      <x:c r="G829" s="19" t="n">
        <x:f>'各站彙總來源'!G829</x:f>
        <x:v>26</x:v>
      </x:c>
      <x:c r="H829" s="24" t="n">
        <x:f>IFERROR('各站彙總來源'!H829/'各站彙總來源'!I829,"")</x:f>
        <x:v>0.8846153846153846</x:v>
      </x:c>
      <x:c r="I829" s="19" t="n">
        <x:f>'各站彙總來源'!I829</x:f>
        <x:v>26</x:v>
      </x:c>
      <x:c r="J829" s="24" t="n">
        <x:f>IFERROR('各站彙總來源'!J829/'各站彙總來源'!K829,"")</x:f>
        <x:v>4.115384615384615</x:v>
      </x:c>
      <x:c r="K829" s="19" t="n">
        <x:f>'各站彙總來源'!K829</x:f>
        <x:v>26</x:v>
      </x:c>
      <x:c r="L829" s="24" t="n">
        <x:f>IFERROR('各站彙總來源'!L829/'各站彙總來源'!M829,"")</x:f>
        <x:v>0.6153846153846154</x:v>
      </x:c>
      <x:c r="M829" s="19" t="n">
        <x:f>'各站彙總來源'!M829</x:f>
        <x:v>26</x:v>
      </x:c>
      <x:c r="N829" s="24" t="n">
        <x:f>F829+H829</x:f>
        <x:v>9.26923076923077</x:v>
      </x:c>
      <x:c r="O829" s="24" t="n">
        <x:f>J829+L829</x:f>
        <x:v>4.73076923076923</x:v>
      </x:c>
    </x:row>
    <x:row r="830">
      <x:c r="A830" s="22" t="str">
        <x:v>500107069</x:v>
      </x:c>
      <x:c r="B830" s="17" t="str">
        <x:v>中山區</x:v>
      </x:c>
      <x:c r="C830" s="17" t="str">
        <x:v>中山農安街口</x:v>
      </x:c>
      <x:c r="D830" s="18" t="n">
        <x:v>26</x:v>
      </x:c>
      <x:c r="E830" s="18" t="n">
        <x:v>26</x:v>
      </x:c>
      <x:c r="F830" s="24" t="n">
        <x:f>IFERROR('各站彙總來源'!F830/'各站彙總來源'!G830,"")</x:f>
        <x:v>6.5</x:v>
      </x:c>
      <x:c r="G830" s="19" t="n">
        <x:f>'各站彙總來源'!G830</x:f>
        <x:v>26</x:v>
      </x:c>
      <x:c r="H830" s="24" t="n">
        <x:f>IFERROR('各站彙總來源'!H830/'各站彙總來源'!I830,"")</x:f>
        <x:v>1.1153846153846154</x:v>
      </x:c>
      <x:c r="I830" s="19" t="n">
        <x:f>'各站彙總來源'!I830</x:f>
        <x:v>26</x:v>
      </x:c>
      <x:c r="J830" s="24" t="n">
        <x:f>IFERROR('各站彙總來源'!J830/'各站彙總來源'!K830,"")</x:f>
        <x:v>33.11538461538461</x:v>
      </x:c>
      <x:c r="K830" s="19" t="n">
        <x:f>'各站彙總來源'!K830</x:f>
        <x:v>26</x:v>
      </x:c>
      <x:c r="L830" s="24" t="n">
        <x:f>IFERROR('各站彙總來源'!L830/'各站彙總來源'!M830,"")</x:f>
        <x:v>2.1538461538461537</x:v>
      </x:c>
      <x:c r="M830" s="19" t="n">
        <x:f>'各站彙總來源'!M830</x:f>
        <x:v>26</x:v>
      </x:c>
      <x:c r="N830" s="24" t="n">
        <x:f>F830+H830</x:f>
        <x:v>7.615384615384615</x:v>
      </x:c>
      <x:c r="O830" s="24" t="n">
        <x:f>J830+L830</x:f>
        <x:v>35.26923076923077</x:v>
      </x:c>
    </x:row>
    <x:row r="831">
      <x:c r="A831" s="22" t="str">
        <x:v>500107070</x:v>
      </x:c>
      <x:c r="B831" s="17" t="str">
        <x:v>中山區</x:v>
      </x:c>
      <x:c r="C831" s="17" t="str">
        <x:v>捷運行政大樓</x:v>
      </x:c>
      <x:c r="D831" s="18" t="n">
        <x:v>26</x:v>
      </x:c>
      <x:c r="E831" s="18" t="n">
        <x:v>26</x:v>
      </x:c>
      <x:c r="F831" s="24" t="n">
        <x:f>IFERROR('各站彙總來源'!F831/'各站彙總來源'!G831,"")</x:f>
        <x:v>4.038461538461538</x:v>
      </x:c>
      <x:c r="G831" s="19" t="n">
        <x:f>'各站彙總來源'!G831</x:f>
        <x:v>26</x:v>
      </x:c>
      <x:c r="H831" s="24" t="n">
        <x:f>IFERROR('各站彙總來源'!H831/'各站彙總來源'!I831,"")</x:f>
        <x:v>1.1923076923076923</x:v>
      </x:c>
      <x:c r="I831" s="19" t="n">
        <x:f>'各站彙總來源'!I831</x:f>
        <x:v>26</x:v>
      </x:c>
      <x:c r="J831" s="24" t="n">
        <x:f>IFERROR('各站彙總來源'!J831/'各站彙總來源'!K831,"")</x:f>
        <x:v>17</x:v>
      </x:c>
      <x:c r="K831" s="19" t="n">
        <x:f>'各站彙總來源'!K831</x:f>
        <x:v>26</x:v>
      </x:c>
      <x:c r="L831" s="24" t="n">
        <x:f>IFERROR('各站彙總來源'!L831/'各站彙總來源'!M831,"")</x:f>
        <x:v>3.269230769230769</x:v>
      </x:c>
      <x:c r="M831" s="19" t="n">
        <x:f>'各站彙總來源'!M831</x:f>
        <x:v>26</x:v>
      </x:c>
      <x:c r="N831" s="24" t="n">
        <x:f>F831+H831</x:f>
        <x:v>5.230769230769231</x:v>
      </x:c>
      <x:c r="O831" s="24" t="n">
        <x:f>J831+L831</x:f>
        <x:v>20.26923076923077</x:v>
      </x:c>
    </x:row>
    <x:row r="832">
      <x:c r="A832" s="22" t="str">
        <x:v>500107071</x:v>
      </x:c>
      <x:c r="B832" s="17" t="str">
        <x:v>中山區</x:v>
      </x:c>
      <x:c r="C832" s="17" t="str">
        <x:v>中吉公園(松江路188巷)</x:v>
      </x:c>
      <x:c r="D832" s="18" t="n">
        <x:v>26</x:v>
      </x:c>
      <x:c r="E832" s="18" t="n">
        <x:v>26</x:v>
      </x:c>
      <x:c r="F832" s="24" t="n">
        <x:f>IFERROR('各站彙總來源'!F832/'各站彙總來源'!G832,"")</x:f>
        <x:v>10.23076923076923</x:v>
      </x:c>
      <x:c r="G832" s="19" t="n">
        <x:f>'各站彙總來源'!G832</x:f>
        <x:v>26</x:v>
      </x:c>
      <x:c r="H832" s="24" t="n">
        <x:f>IFERROR('各站彙總來源'!H832/'各站彙總來源'!I832,"")</x:f>
        <x:v>0.46153846153846156</x:v>
      </x:c>
      <x:c r="I832" s="19" t="n">
        <x:f>'各站彙總來源'!I832</x:f>
        <x:v>26</x:v>
      </x:c>
      <x:c r="J832" s="24" t="n">
        <x:f>IFERROR('各站彙總來源'!J832/'各站彙總來源'!K832,"")</x:f>
        <x:v>4.846153846153846</x:v>
      </x:c>
      <x:c r="K832" s="19" t="n">
        <x:f>'各站彙總來源'!K832</x:f>
        <x:v>26</x:v>
      </x:c>
      <x:c r="L832" s="24" t="n">
        <x:f>IFERROR('各站彙總來源'!L832/'各站彙總來源'!M832,"")</x:f>
        <x:v>0.7307692307692307</x:v>
      </x:c>
      <x:c r="M832" s="19" t="n">
        <x:f>'各站彙總來源'!M832</x:f>
        <x:v>26</x:v>
      </x:c>
      <x:c r="N832" s="24" t="n">
        <x:f>F832+H832</x:f>
        <x:v>10.692307692307692</x:v>
      </x:c>
      <x:c r="O832" s="24" t="n">
        <x:f>J832+L832</x:f>
        <x:v>5.576923076923077</x:v>
      </x:c>
    </x:row>
    <x:row r="833">
      <x:c r="A833" s="22" t="str">
        <x:v>500107072</x:v>
      </x:c>
      <x:c r="B833" s="17" t="str">
        <x:v>中山區</x:v>
      </x:c>
      <x:c r="C833" s="17" t="str">
        <x:v>吉林路123巷口</x:v>
      </x:c>
      <x:c r="D833" s="18" t="n">
        <x:v>26</x:v>
      </x:c>
      <x:c r="E833" s="18" t="n">
        <x:v>26</x:v>
      </x:c>
      <x:c r="F833" s="24" t="n">
        <x:f>IFERROR('各站彙總來源'!F833/'各站彙總來源'!G833,"")</x:f>
        <x:v>18.884615384615383</x:v>
      </x:c>
      <x:c r="G833" s="19" t="n">
        <x:f>'各站彙總來源'!G833</x:f>
        <x:v>26</x:v>
      </x:c>
      <x:c r="H833" s="24" t="n">
        <x:f>IFERROR('各站彙總來源'!H833/'各站彙總來源'!I833,"")</x:f>
        <x:v>1.4615384615384615</x:v>
      </x:c>
      <x:c r="I833" s="19" t="n">
        <x:f>'各站彙總來源'!I833</x:f>
        <x:v>26</x:v>
      </x:c>
      <x:c r="J833" s="24" t="n">
        <x:f>IFERROR('各站彙總來源'!J833/'各站彙總來源'!K833,"")</x:f>
        <x:v>8.846153846153847</x:v>
      </x:c>
      <x:c r="K833" s="19" t="n">
        <x:f>'各站彙總來源'!K833</x:f>
        <x:v>26</x:v>
      </x:c>
      <x:c r="L833" s="24" t="n">
        <x:f>IFERROR('各站彙總來源'!L833/'各站彙總來源'!M833,"")</x:f>
        <x:v>1.7307692307692308</x:v>
      </x:c>
      <x:c r="M833" s="19" t="n">
        <x:f>'各站彙總來源'!M833</x:f>
        <x:v>26</x:v>
      </x:c>
      <x:c r="N833" s="24" t="n">
        <x:f>F833+H833</x:f>
        <x:v>20.346153846153843</x:v>
      </x:c>
      <x:c r="O833" s="24" t="n">
        <x:f>J833+L833</x:f>
        <x:v>10.576923076923077</x:v>
      </x:c>
    </x:row>
    <x:row r="834">
      <x:c r="A834" s="22" t="str">
        <x:v>500107073</x:v>
      </x:c>
      <x:c r="B834" s="17" t="str">
        <x:v>中山區</x:v>
      </x:c>
      <x:c r="C834" s="17" t="str">
        <x:v>松江市場</x:v>
      </x:c>
      <x:c r="D834" s="18" t="n">
        <x:v>26</x:v>
      </x:c>
      <x:c r="E834" s="18" t="n">
        <x:v>26</x:v>
      </x:c>
      <x:c r="F834" s="24" t="n">
        <x:f>IFERROR('各站彙總來源'!F834/'各站彙總來源'!G834,"")</x:f>
        <x:v>0</x:v>
      </x:c>
      <x:c r="G834" s="19" t="n">
        <x:f>'各站彙總來源'!G834</x:f>
        <x:v>26</x:v>
      </x:c>
      <x:c r="H834" s="24" t="n">
        <x:f>IFERROR('各站彙總來源'!H834/'各站彙總來源'!I834,"")</x:f>
        <x:v>0</x:v>
      </x:c>
      <x:c r="I834" s="19" t="n">
        <x:f>'各站彙總來源'!I834</x:f>
        <x:v>26</x:v>
      </x:c>
      <x:c r="J834" s="24" t="n">
        <x:f>IFERROR('各站彙總來源'!J834/'各站彙總來源'!K834,"")</x:f>
        <x:v>0</x:v>
      </x:c>
      <x:c r="K834" s="19" t="n">
        <x:f>'各站彙總來源'!K834</x:f>
        <x:v>26</x:v>
      </x:c>
      <x:c r="L834" s="24" t="n">
        <x:f>IFERROR('各站彙總來源'!L834/'各站彙總來源'!M834,"")</x:f>
        <x:v>0</x:v>
      </x:c>
      <x:c r="M834" s="19" t="n">
        <x:f>'各站彙總來源'!M834</x:f>
        <x:v>26</x:v>
      </x:c>
      <x:c r="N834" s="24" t="n">
        <x:f>F834+H834</x:f>
        <x:v>0</x:v>
      </x:c>
      <x:c r="O834" s="24" t="n">
        <x:f>J834+L834</x:f>
        <x:v>0</x:v>
      </x:c>
    </x:row>
    <x:row r="835">
      <x:c r="A835" s="22" t="str">
        <x:v>500107074</x:v>
      </x:c>
      <x:c r="B835" s="17" t="str">
        <x:v>中山區</x:v>
      </x:c>
      <x:c r="C835" s="17" t="str">
        <x:v>中原民生路口</x:v>
      </x:c>
      <x:c r="D835" s="18" t="n">
        <x:v>26</x:v>
      </x:c>
      <x:c r="E835" s="18" t="n">
        <x:v>26</x:v>
      </x:c>
      <x:c r="F835" s="24" t="n">
        <x:f>IFERROR('各站彙總來源'!F835/'各站彙總來源'!G835,"")</x:f>
        <x:v>0</x:v>
      </x:c>
      <x:c r="G835" s="19" t="n">
        <x:f>'各站彙總來源'!G835</x:f>
        <x:v>26</x:v>
      </x:c>
      <x:c r="H835" s="24" t="n">
        <x:f>IFERROR('各站彙總來源'!H835/'各站彙總來源'!I835,"")</x:f>
        <x:v>0</x:v>
      </x:c>
      <x:c r="I835" s="19" t="n">
        <x:f>'各站彙總來源'!I835</x:f>
        <x:v>26</x:v>
      </x:c>
      <x:c r="J835" s="24" t="n">
        <x:f>IFERROR('各站彙總來源'!J835/'各站彙總來源'!K835,"")</x:f>
        <x:v>0</x:v>
      </x:c>
      <x:c r="K835" s="19" t="n">
        <x:f>'各站彙總來源'!K835</x:f>
        <x:v>26</x:v>
      </x:c>
      <x:c r="L835" s="24" t="n">
        <x:f>IFERROR('各站彙總來源'!L835/'各站彙總來源'!M835,"")</x:f>
        <x:v>0</x:v>
      </x:c>
      <x:c r="M835" s="19" t="n">
        <x:f>'各站彙總來源'!M835</x:f>
        <x:v>26</x:v>
      </x:c>
      <x:c r="N835" s="24" t="n">
        <x:f>F835+H835</x:f>
        <x:v>0</x:v>
      </x:c>
      <x:c r="O835" s="24" t="n">
        <x:f>J835+L835</x:f>
        <x:v>0</x:v>
      </x:c>
    </x:row>
    <x:row r="836">
      <x:c r="A836" s="22" t="str">
        <x:v>500107075</x:v>
      </x:c>
      <x:c r="B836" s="17" t="str">
        <x:v>中山區</x:v>
      </x:c>
      <x:c r="C836" s="17" t="str">
        <x:v>國立臺北大學(臺北校區)</x:v>
      </x:c>
      <x:c r="D836" s="18" t="n">
        <x:v>26</x:v>
      </x:c>
      <x:c r="E836" s="18" t="n">
        <x:v>26</x:v>
      </x:c>
      <x:c r="F836" s="24" t="n">
        <x:f>IFERROR('各站彙總來源'!F836/'各站彙總來源'!G836,"")</x:f>
        <x:v>5.076923076923077</x:v>
      </x:c>
      <x:c r="G836" s="19" t="n">
        <x:f>'各站彙總來源'!G836</x:f>
        <x:v>26</x:v>
      </x:c>
      <x:c r="H836" s="24" t="n">
        <x:f>IFERROR('各站彙總來源'!H836/'各站彙總來源'!I836,"")</x:f>
        <x:v>0.5769230769230769</x:v>
      </x:c>
      <x:c r="I836" s="19" t="n">
        <x:f>'各站彙總來源'!I836</x:f>
        <x:v>26</x:v>
      </x:c>
      <x:c r="J836" s="24" t="n">
        <x:f>IFERROR('各站彙總來源'!J836/'各站彙總來源'!K836,"")</x:f>
        <x:v>14.461538461538462</x:v>
      </x:c>
      <x:c r="K836" s="19" t="n">
        <x:f>'各站彙總來源'!K836</x:f>
        <x:v>26</x:v>
      </x:c>
      <x:c r="L836" s="24" t="n">
        <x:f>IFERROR('各站彙總來源'!L836/'各站彙總來源'!M836,"")</x:f>
        <x:v>1.7692307692307692</x:v>
      </x:c>
      <x:c r="M836" s="19" t="n">
        <x:f>'各站彙總來源'!M836</x:f>
        <x:v>26</x:v>
      </x:c>
      <x:c r="N836" s="24" t="n">
        <x:f>F836+H836</x:f>
        <x:v>5.653846153846153</x:v>
      </x:c>
      <x:c r="O836" s="24" t="n">
        <x:f>J836+L836</x:f>
        <x:v>16.23076923076923</x:v>
      </x:c>
    </x:row>
    <x:row r="837">
      <x:c r="A837" s="22" t="str">
        <x:v>500107076</x:v>
      </x:c>
      <x:c r="B837" s="17" t="str">
        <x:v>中山區</x:v>
      </x:c>
      <x:c r="C837" s="17" t="str">
        <x:v>錦州吉林路口</x:v>
      </x:c>
      <x:c r="D837" s="18" t="n">
        <x:v>26</x:v>
      </x:c>
      <x:c r="E837" s="18" t="n">
        <x:v>26</x:v>
      </x:c>
      <x:c r="F837" s="24" t="n">
        <x:f>IFERROR('各站彙總來源'!F837/'各站彙總來源'!G837,"")</x:f>
        <x:v>37</x:v>
      </x:c>
      <x:c r="G837" s="19" t="n">
        <x:f>'各站彙總來源'!G837</x:f>
        <x:v>26</x:v>
      </x:c>
      <x:c r="H837" s="24" t="n">
        <x:f>IFERROR('各站彙總來源'!H837/'各站彙總來源'!I837,"")</x:f>
        <x:v>2.730769230769231</x:v>
      </x:c>
      <x:c r="I837" s="19" t="n">
        <x:f>'各站彙總來源'!I837</x:f>
        <x:v>26</x:v>
      </x:c>
      <x:c r="J837" s="24" t="n">
        <x:f>IFERROR('各站彙總來源'!J837/'各站彙總來源'!K837,"")</x:f>
        <x:v>9.76923076923077</x:v>
      </x:c>
      <x:c r="K837" s="19" t="n">
        <x:f>'各站彙總來源'!K837</x:f>
        <x:v>26</x:v>
      </x:c>
      <x:c r="L837" s="24" t="n">
        <x:f>IFERROR('各站彙總來源'!L837/'各站彙總來源'!M837,"")</x:f>
        <x:v>1.9230769230769231</x:v>
      </x:c>
      <x:c r="M837" s="19" t="n">
        <x:f>'各站彙總來源'!M837</x:f>
        <x:v>26</x:v>
      </x:c>
      <x:c r="N837" s="24" t="n">
        <x:f>F837+H837</x:f>
        <x:v>39.73076923076923</x:v>
      </x:c>
      <x:c r="O837" s="24" t="n">
        <x:f>J837+L837</x:f>
        <x:v>11.692307692307693</x:v>
      </x:c>
    </x:row>
    <x:row r="838">
      <x:c r="A838" s="22" t="str">
        <x:v>500107077</x:v>
      </x:c>
      <x:c r="B838" s="17" t="str">
        <x:v>中山區</x:v>
      </x:c>
      <x:c r="C838" s="17" t="str">
        <x:v>中山北路二段59巷口</x:v>
      </x:c>
      <x:c r="D838" s="18" t="n">
        <x:v>26</x:v>
      </x:c>
      <x:c r="E838" s="18" t="n">
        <x:v>26</x:v>
      </x:c>
      <x:c r="F838" s="24" t="n">
        <x:f>IFERROR('各站彙總來源'!F838/'各站彙總來源'!G838,"")</x:f>
        <x:v>0</x:v>
      </x:c>
      <x:c r="G838" s="19" t="n">
        <x:f>'各站彙總來源'!G838</x:f>
        <x:v>26</x:v>
      </x:c>
      <x:c r="H838" s="24" t="n">
        <x:f>IFERROR('各站彙總來源'!H838/'各站彙總來源'!I838,"")</x:f>
        <x:v>0</x:v>
      </x:c>
      <x:c r="I838" s="19" t="n">
        <x:f>'各站彙總來源'!I838</x:f>
        <x:v>26</x:v>
      </x:c>
      <x:c r="J838" s="24" t="n">
        <x:f>IFERROR('各站彙總來源'!J838/'各站彙總來源'!K838,"")</x:f>
        <x:v>0</x:v>
      </x:c>
      <x:c r="K838" s="19" t="n">
        <x:f>'各站彙總來源'!K838</x:f>
        <x:v>26</x:v>
      </x:c>
      <x:c r="L838" s="24" t="n">
        <x:f>IFERROR('各站彙總來源'!L838/'各站彙總來源'!M838,"")</x:f>
        <x:v>0</x:v>
      </x:c>
      <x:c r="M838" s="19" t="n">
        <x:f>'各站彙總來源'!M838</x:f>
        <x:v>26</x:v>
      </x:c>
      <x:c r="N838" s="24" t="n">
        <x:f>F838+H838</x:f>
        <x:v>0</x:v>
      </x:c>
      <x:c r="O838" s="24" t="n">
        <x:f>J838+L838</x:f>
        <x:v>0</x:v>
      </x:c>
    </x:row>
    <x:row r="839">
      <x:c r="A839" s="22" t="str">
        <x:v>500107078</x:v>
      </x:c>
      <x:c r="B839" s="17" t="str">
        <x:v>中山區</x:v>
      </x:c>
      <x:c r="C839" s="17" t="str">
        <x:v>永盛公園(民生東路一段23巷)</x:v>
      </x:c>
      <x:c r="D839" s="18" t="n">
        <x:v>26</x:v>
      </x:c>
      <x:c r="E839" s="18" t="n">
        <x:v>26</x:v>
      </x:c>
      <x:c r="F839" s="24" t="n">
        <x:f>IFERROR('各站彙總來源'!F839/'各站彙總來源'!G839,"")</x:f>
        <x:v>8.153846153846153</x:v>
      </x:c>
      <x:c r="G839" s="19" t="n">
        <x:f>'各站彙總來源'!G839</x:f>
        <x:v>26</x:v>
      </x:c>
      <x:c r="H839" s="24" t="n">
        <x:f>IFERROR('各站彙總來源'!H839/'各站彙總來源'!I839,"")</x:f>
        <x:v>1.1923076923076923</x:v>
      </x:c>
      <x:c r="I839" s="19" t="n">
        <x:f>'各站彙總來源'!I839</x:f>
        <x:v>26</x:v>
      </x:c>
      <x:c r="J839" s="24" t="n">
        <x:f>IFERROR('各站彙總來源'!J839/'各站彙總來源'!K839,"")</x:f>
        <x:v>8.538461538461538</x:v>
      </x:c>
      <x:c r="K839" s="19" t="n">
        <x:f>'各站彙總來源'!K839</x:f>
        <x:v>26</x:v>
      </x:c>
      <x:c r="L839" s="24" t="n">
        <x:f>IFERROR('各站彙總來源'!L839/'各站彙總來源'!M839,"")</x:f>
        <x:v>2.3846153846153846</x:v>
      </x:c>
      <x:c r="M839" s="19" t="n">
        <x:f>'各站彙總來源'!M839</x:f>
        <x:v>26</x:v>
      </x:c>
      <x:c r="N839" s="24" t="n">
        <x:f>F839+H839</x:f>
        <x:v>9.346153846153845</x:v>
      </x:c>
      <x:c r="O839" s="24" t="n">
        <x:f>J839+L839</x:f>
        <x:v>10.923076923076923</x:v>
      </x:c>
    </x:row>
    <x:row r="840">
      <x:c r="A840" s="22" t="str">
        <x:v>500107079</x:v>
      </x:c>
      <x:c r="B840" s="17" t="str">
        <x:v>中山區</x:v>
      </x:c>
      <x:c r="C840" s="17" t="str">
        <x:v>新生錦州街口</x:v>
      </x:c>
      <x:c r="D840" s="18" t="n">
        <x:v>26</x:v>
      </x:c>
      <x:c r="E840" s="18" t="n">
        <x:v>26</x:v>
      </x:c>
      <x:c r="F840" s="24" t="n">
        <x:f>IFERROR('各站彙總來源'!F840/'各站彙總來源'!G840,"")</x:f>
        <x:v>12.576923076923077</x:v>
      </x:c>
      <x:c r="G840" s="19" t="n">
        <x:f>'各站彙總來源'!G840</x:f>
        <x:v>26</x:v>
      </x:c>
      <x:c r="H840" s="24" t="n">
        <x:f>IFERROR('各站彙總來源'!H840/'各站彙總來源'!I840,"")</x:f>
        <x:v>2.3846153846153846</x:v>
      </x:c>
      <x:c r="I840" s="19" t="n">
        <x:f>'各站彙總來源'!I840</x:f>
        <x:v>26</x:v>
      </x:c>
      <x:c r="J840" s="24" t="n">
        <x:f>IFERROR('各站彙總來源'!J840/'各站彙總來源'!K840,"")</x:f>
        <x:v>3.9615384615384617</x:v>
      </x:c>
      <x:c r="K840" s="19" t="n">
        <x:f>'各站彙總來源'!K840</x:f>
        <x:v>26</x:v>
      </x:c>
      <x:c r="L840" s="24" t="n">
        <x:f>IFERROR('各站彙總來源'!L840/'各站彙總來源'!M840,"")</x:f>
        <x:v>1.6923076923076923</x:v>
      </x:c>
      <x:c r="M840" s="19" t="n">
        <x:f>'各站彙總來源'!M840</x:f>
        <x:v>26</x:v>
      </x:c>
      <x:c r="N840" s="24" t="n">
        <x:f>F840+H840</x:f>
        <x:v>14.961538461538462</x:v>
      </x:c>
      <x:c r="O840" s="24" t="n">
        <x:f>J840+L840</x:f>
        <x:v>5.653846153846154</x:v>
      </x:c>
    </x:row>
    <x:row r="841">
      <x:c r="A841" s="22" t="str">
        <x:v>500107080</x:v>
      </x:c>
      <x:c r="B841" s="17" t="str">
        <x:v>中山區</x:v>
      </x:c>
      <x:c r="C841" s="17" t="str">
        <x:v>濱江街199巷口</x:v>
      </x:c>
      <x:c r="D841" s="18" t="n">
        <x:v>26</x:v>
      </x:c>
      <x:c r="E841" s="18" t="n">
        <x:v>26</x:v>
      </x:c>
      <x:c r="F841" s="24" t="n">
        <x:f>IFERROR('各站彙總來源'!F841/'各站彙總來源'!G841,"")</x:f>
        <x:v>7.769230769230769</x:v>
      </x:c>
      <x:c r="G841" s="19" t="n">
        <x:f>'各站彙總來源'!G841</x:f>
        <x:v>26</x:v>
      </x:c>
      <x:c r="H841" s="24" t="n">
        <x:f>IFERROR('各站彙總來源'!H841/'各站彙總來源'!I841,"")</x:f>
        <x:v>1.9615384615384615</x:v>
      </x:c>
      <x:c r="I841" s="19" t="n">
        <x:f>'各站彙總來源'!I841</x:f>
        <x:v>26</x:v>
      </x:c>
      <x:c r="J841" s="24" t="n">
        <x:f>IFERROR('各站彙總來源'!J841/'各站彙總來源'!K841,"")</x:f>
        <x:v>10.692307692307692</x:v>
      </x:c>
      <x:c r="K841" s="19" t="n">
        <x:f>'各站彙總來源'!K841</x:f>
        <x:v>26</x:v>
      </x:c>
      <x:c r="L841" s="24" t="n">
        <x:f>IFERROR('各站彙總來源'!L841/'各站彙總來源'!M841,"")</x:f>
        <x:v>3.230769230769231</x:v>
      </x:c>
      <x:c r="M841" s="19" t="n">
        <x:f>'各站彙總來源'!M841</x:f>
        <x:v>26</x:v>
      </x:c>
      <x:c r="N841" s="24" t="n">
        <x:f>F841+H841</x:f>
        <x:v>9.73076923076923</x:v>
      </x:c>
      <x:c r="O841" s="24" t="n">
        <x:f>J841+L841</x:f>
        <x:v>13.923076923076923</x:v>
      </x:c>
    </x:row>
    <x:row r="842">
      <x:c r="A842" s="22" t="str">
        <x:v>500107081</x:v>
      </x:c>
      <x:c r="B842" s="17" t="str">
        <x:v>中山區</x:v>
      </x:c>
      <x:c r="C842" s="17" t="str">
        <x:v>大佳社區公園</x:v>
      </x:c>
      <x:c r="D842" s="18" t="n">
        <x:v>26</x:v>
      </x:c>
      <x:c r="E842" s="18" t="n">
        <x:v>26</x:v>
      </x:c>
      <x:c r="F842" s="24" t="n">
        <x:f>IFERROR('各站彙總來源'!F842/'各站彙總來源'!G842,"")</x:f>
        <x:v>12.923076923076923</x:v>
      </x:c>
      <x:c r="G842" s="19" t="n">
        <x:f>'各站彙總來源'!G842</x:f>
        <x:v>26</x:v>
      </x:c>
      <x:c r="H842" s="24" t="n">
        <x:f>IFERROR('各站彙總來源'!H842/'各站彙總來源'!I842,"")</x:f>
        <x:v>2.3461538461538463</x:v>
      </x:c>
      <x:c r="I842" s="19" t="n">
        <x:f>'各站彙總來源'!I842</x:f>
        <x:v>26</x:v>
      </x:c>
      <x:c r="J842" s="24" t="n">
        <x:f>IFERROR('各站彙總來源'!J842/'各站彙總來源'!K842,"")</x:f>
        <x:v>15.115384615384615</x:v>
      </x:c>
      <x:c r="K842" s="19" t="n">
        <x:f>'各站彙總來源'!K842</x:f>
        <x:v>26</x:v>
      </x:c>
      <x:c r="L842" s="24" t="n">
        <x:f>IFERROR('各站彙總來源'!L842/'各站彙總來源'!M842,"")</x:f>
        <x:v>2.1538461538461537</x:v>
      </x:c>
      <x:c r="M842" s="19" t="n">
        <x:f>'各站彙總來源'!M842</x:f>
        <x:v>26</x:v>
      </x:c>
      <x:c r="N842" s="24" t="n">
        <x:f>F842+H842</x:f>
        <x:v>15.26923076923077</x:v>
      </x:c>
      <x:c r="O842" s="24" t="n">
        <x:f>J842+L842</x:f>
        <x:v>17.26923076923077</x:v>
      </x:c>
    </x:row>
    <x:row r="843">
      <x:c r="A843" s="22" t="str">
        <x:v>500107082</x:v>
      </x:c>
      <x:c r="B843" s="17" t="str">
        <x:v>中山區</x:v>
      </x:c>
      <x:c r="C843" s="17" t="str">
        <x:v>濱江果菜市場</x:v>
      </x:c>
      <x:c r="D843" s="18" t="n">
        <x:v>26</x:v>
      </x:c>
      <x:c r="E843" s="18" t="n">
        <x:v>26</x:v>
      </x:c>
      <x:c r="F843" s="24" t="n">
        <x:f>IFERROR('各站彙總來源'!F843/'各站彙總來源'!G843,"")</x:f>
        <x:v>9.73076923076923</x:v>
      </x:c>
      <x:c r="G843" s="19" t="n">
        <x:f>'各站彙總來源'!G843</x:f>
        <x:v>26</x:v>
      </x:c>
      <x:c r="H843" s="24" t="n">
        <x:f>IFERROR('各站彙總來源'!H843/'各站彙總來源'!I843,"")</x:f>
        <x:v>2.6538461538461537</x:v>
      </x:c>
      <x:c r="I843" s="19" t="n">
        <x:f>'各站彙總來源'!I843</x:f>
        <x:v>26</x:v>
      </x:c>
      <x:c r="J843" s="24" t="n">
        <x:f>IFERROR('各站彙總來源'!J843/'各站彙總來源'!K843,"")</x:f>
        <x:v>5.5</x:v>
      </x:c>
      <x:c r="K843" s="19" t="n">
        <x:f>'各站彙總來源'!K843</x:f>
        <x:v>26</x:v>
      </x:c>
      <x:c r="L843" s="24" t="n">
        <x:f>IFERROR('各站彙總來源'!L843/'各站彙總來源'!M843,"")</x:f>
        <x:v>1</x:v>
      </x:c>
      <x:c r="M843" s="19" t="n">
        <x:f>'各站彙總來源'!M843</x:f>
        <x:v>26</x:v>
      </x:c>
      <x:c r="N843" s="24" t="n">
        <x:f>F843+H843</x:f>
        <x:v>12.384615384615383</x:v>
      </x:c>
      <x:c r="O843" s="24" t="n">
        <x:f>J843+L843</x:f>
        <x:v>6.5</x:v>
      </x:c>
    </x:row>
    <x:row r="844">
      <x:c r="A844" s="22" t="str">
        <x:v>500107083</x:v>
      </x:c>
      <x:c r="B844" s="17" t="str">
        <x:v>中山區</x:v>
      </x:c>
      <x:c r="C844" s="17" t="str">
        <x:v>興安合江路口</x:v>
      </x:c>
      <x:c r="D844" s="18" t="n">
        <x:v>26</x:v>
      </x:c>
      <x:c r="E844" s="18" t="n">
        <x:v>26</x:v>
      </x:c>
      <x:c r="F844" s="24" t="n">
        <x:f>IFERROR('各站彙總來源'!F844/'各站彙總來源'!G844,"")</x:f>
        <x:v>31.807692307692307</x:v>
      </x:c>
      <x:c r="G844" s="19" t="n">
        <x:f>'各站彙總來源'!G844</x:f>
        <x:v>26</x:v>
      </x:c>
      <x:c r="H844" s="24" t="n">
        <x:f>IFERROR('各站彙總來源'!H844/'各站彙總來源'!I844,"")</x:f>
        <x:v>2.3076923076923075</x:v>
      </x:c>
      <x:c r="I844" s="19" t="n">
        <x:f>'各站彙總來源'!I844</x:f>
        <x:v>26</x:v>
      </x:c>
      <x:c r="J844" s="24" t="n">
        <x:f>IFERROR('各站彙總來源'!J844/'各站彙總來源'!K844,"")</x:f>
        <x:v>7.538461538461538</x:v>
      </x:c>
      <x:c r="K844" s="19" t="n">
        <x:f>'各站彙總來源'!K844</x:f>
        <x:v>26</x:v>
      </x:c>
      <x:c r="L844" s="24" t="n">
        <x:f>IFERROR('各站彙總來源'!L844/'各站彙總來源'!M844,"")</x:f>
        <x:v>1.1923076923076923</x:v>
      </x:c>
      <x:c r="M844" s="19" t="n">
        <x:f>'各站彙總來源'!M844</x:f>
        <x:v>26</x:v>
      </x:c>
      <x:c r="N844" s="24" t="n">
        <x:f>F844+H844</x:f>
        <x:v>34.11538461538461</x:v>
      </x:c>
      <x:c r="O844" s="24" t="n">
        <x:f>J844+L844</x:f>
        <x:v>8.73076923076923</x:v>
      </x:c>
    </x:row>
    <x:row r="845">
      <x:c r="A845" s="22" t="str">
        <x:v>500107084</x:v>
      </x:c>
      <x:c r="B845" s="17" t="str">
        <x:v>中山區</x:v>
      </x:c>
      <x:c r="C845" s="17" t="str">
        <x:v>復興北路514巷口東側</x:v>
      </x:c>
      <x:c r="D845" s="18" t="n">
        <x:v>26</x:v>
      </x:c>
      <x:c r="E845" s="18" t="n">
        <x:v>26</x:v>
      </x:c>
      <x:c r="F845" s="24" t="n">
        <x:f>IFERROR('各站彙總來源'!F845/'各站彙總來源'!G845,"")</x:f>
        <x:v>14.653846153846153</x:v>
      </x:c>
      <x:c r="G845" s="19" t="n">
        <x:f>'各站彙總來源'!G845</x:f>
        <x:v>26</x:v>
      </x:c>
      <x:c r="H845" s="24" t="n">
        <x:f>IFERROR('各站彙總來源'!H845/'各站彙總來源'!I845,"")</x:f>
        <x:v>1.1538461538461537</x:v>
      </x:c>
      <x:c r="I845" s="19" t="n">
        <x:f>'各站彙總來源'!I845</x:f>
        <x:v>26</x:v>
      </x:c>
      <x:c r="J845" s="24" t="n">
        <x:f>IFERROR('各站彙總來源'!J845/'各站彙總來源'!K845,"")</x:f>
        <x:v>6.153846153846154</x:v>
      </x:c>
      <x:c r="K845" s="19" t="n">
        <x:f>'各站彙總來源'!K845</x:f>
        <x:v>26</x:v>
      </x:c>
      <x:c r="L845" s="24" t="n">
        <x:f>IFERROR('各站彙總來源'!L845/'各站彙總來源'!M845,"")</x:f>
        <x:v>1.5384615384615385</x:v>
      </x:c>
      <x:c r="M845" s="19" t="n">
        <x:f>'各站彙總來源'!M845</x:f>
        <x:v>26</x:v>
      </x:c>
      <x:c r="N845" s="24" t="n">
        <x:f>F845+H845</x:f>
        <x:v>15.807692307692307</x:v>
      </x:c>
      <x:c r="O845" s="24" t="n">
        <x:f>J845+L845</x:f>
        <x:v>7.6923076923076925</x:v>
      </x:c>
    </x:row>
    <x:row r="846">
      <x:c r="A846" s="22" t="str">
        <x:v>500107085</x:v>
      </x:c>
      <x:c r="B846" s="17" t="str">
        <x:v>中山區</x:v>
      </x:c>
      <x:c r="C846" s="17" t="str">
        <x:v>台泥大樓</x:v>
      </x:c>
      <x:c r="D846" s="18" t="n">
        <x:v>26</x:v>
      </x:c>
      <x:c r="E846" s="18" t="n">
        <x:v>26</x:v>
      </x:c>
      <x:c r="F846" s="24" t="n">
        <x:f>IFERROR('各站彙總來源'!F846/'各站彙總來源'!G846,"")</x:f>
        <x:v>5.576923076923077</x:v>
      </x:c>
      <x:c r="G846" s="19" t="n">
        <x:f>'各站彙總來源'!G846</x:f>
        <x:v>26</x:v>
      </x:c>
      <x:c r="H846" s="24" t="n">
        <x:f>IFERROR('各站彙總來源'!H846/'各站彙總來源'!I846,"")</x:f>
        <x:v>0.9230769230769231</x:v>
      </x:c>
      <x:c r="I846" s="19" t="n">
        <x:f>'各站彙總來源'!I846</x:f>
        <x:v>26</x:v>
      </x:c>
      <x:c r="J846" s="24" t="n">
        <x:f>IFERROR('各站彙總來源'!J846/'各站彙總來源'!K846,"")</x:f>
        <x:v>14.192307692307692</x:v>
      </x:c>
      <x:c r="K846" s="19" t="n">
        <x:f>'各站彙總來源'!K846</x:f>
        <x:v>26</x:v>
      </x:c>
      <x:c r="L846" s="24" t="n">
        <x:f>IFERROR('各站彙總來源'!L846/'各站彙總來源'!M846,"")</x:f>
        <x:v>2.5</x:v>
      </x:c>
      <x:c r="M846" s="19" t="n">
        <x:f>'各站彙總來源'!M846</x:f>
        <x:v>26</x:v>
      </x:c>
      <x:c r="N846" s="24" t="n">
        <x:f>F846+H846</x:f>
        <x:v>6.5</x:v>
      </x:c>
      <x:c r="O846" s="24" t="n">
        <x:f>J846+L846</x:f>
        <x:v>16.692307692307693</x:v>
      </x:c>
    </x:row>
    <x:row r="847">
      <x:c r="A847" s="22" t="str">
        <x:v>500107086</x:v>
      </x:c>
      <x:c r="B847" s="17" t="str">
        <x:v>中山區</x:v>
      </x:c>
      <x:c r="C847" s="17" t="str">
        <x:v>植福樂群路口</x:v>
      </x:c>
      <x:c r="D847" s="18" t="n">
        <x:v>26</x:v>
      </x:c>
      <x:c r="E847" s="18" t="n">
        <x:v>26</x:v>
      </x:c>
      <x:c r="F847" s="24" t="n">
        <x:f>IFERROR('各站彙總來源'!F847/'各站彙總來源'!G847,"")</x:f>
        <x:v>2.6153846153846154</x:v>
      </x:c>
      <x:c r="G847" s="19" t="n">
        <x:f>'各站彙總來源'!G847</x:f>
        <x:v>26</x:v>
      </x:c>
      <x:c r="H847" s="24" t="n">
        <x:f>IFERROR('各站彙總來源'!H847/'各站彙總來源'!I847,"")</x:f>
        <x:v>0.7307692307692307</x:v>
      </x:c>
      <x:c r="I847" s="19" t="n">
        <x:f>'各站彙總來源'!I847</x:f>
        <x:v>26</x:v>
      </x:c>
      <x:c r="J847" s="24" t="n">
        <x:f>IFERROR('各站彙總來源'!J847/'各站彙總來源'!K847,"")</x:f>
        <x:v>2.6153846153846154</x:v>
      </x:c>
      <x:c r="K847" s="19" t="n">
        <x:f>'各站彙總來源'!K847</x:f>
        <x:v>26</x:v>
      </x:c>
      <x:c r="L847" s="24" t="n">
        <x:f>IFERROR('各站彙總來源'!L847/'各站彙總來源'!M847,"")</x:f>
        <x:v>1.3076923076923077</x:v>
      </x:c>
      <x:c r="M847" s="19" t="n">
        <x:f>'各站彙總來源'!M847</x:f>
        <x:v>26</x:v>
      </x:c>
      <x:c r="N847" s="24" t="n">
        <x:f>F847+H847</x:f>
        <x:v>3.3461538461538463</x:v>
      </x:c>
      <x:c r="O847" s="24" t="n">
        <x:f>J847+L847</x:f>
        <x:v>3.9230769230769234</x:v>
      </x:c>
    </x:row>
    <x:row r="848">
      <x:c r="A848" s="22" t="str">
        <x:v>500107087</x:v>
      </x:c>
      <x:c r="B848" s="17" t="str">
        <x:v>中山區</x:v>
      </x:c>
      <x:c r="C848" s="17" t="str">
        <x:v>新興公園</x:v>
      </x:c>
      <x:c r="D848" s="18" t="n">
        <x:v>26</x:v>
      </x:c>
      <x:c r="E848" s="18" t="n">
        <x:v>26</x:v>
      </x:c>
      <x:c r="F848" s="24" t="n">
        <x:f>IFERROR('各站彙總來源'!F848/'各站彙總來源'!G848,"")</x:f>
        <x:v>12.384615384615385</x:v>
      </x:c>
      <x:c r="G848" s="19" t="n">
        <x:f>'各站彙總來源'!G848</x:f>
        <x:v>26</x:v>
      </x:c>
      <x:c r="H848" s="24" t="n">
        <x:f>IFERROR('各站彙總來源'!H848/'各站彙總來源'!I848,"")</x:f>
        <x:v>1.4615384615384615</x:v>
      </x:c>
      <x:c r="I848" s="19" t="n">
        <x:f>'各站彙總來源'!I848</x:f>
        <x:v>26</x:v>
      </x:c>
      <x:c r="J848" s="24" t="n">
        <x:f>IFERROR('各站彙總來源'!J848/'各站彙總來源'!K848,"")</x:f>
        <x:v>5.384615384615385</x:v>
      </x:c>
      <x:c r="K848" s="19" t="n">
        <x:f>'各站彙總來源'!K848</x:f>
        <x:v>26</x:v>
      </x:c>
      <x:c r="L848" s="24" t="n">
        <x:f>IFERROR('各站彙總來源'!L848/'各站彙總來源'!M848,"")</x:f>
        <x:v>2.269230769230769</x:v>
      </x:c>
      <x:c r="M848" s="19" t="n">
        <x:f>'各站彙總來源'!M848</x:f>
        <x:v>26</x:v>
      </x:c>
      <x:c r="N848" s="24" t="n">
        <x:f>F848+H848</x:f>
        <x:v>13.846153846153847</x:v>
      </x:c>
      <x:c r="O848" s="24" t="n">
        <x:f>J848+L848</x:f>
        <x:v>7.653846153846154</x:v>
      </x:c>
    </x:row>
    <x:row r="849">
      <x:c r="A849" s="22" t="str">
        <x:v>500107088</x:v>
      </x:c>
      <x:c r="B849" s="17" t="str">
        <x:v>中山區</x:v>
      </x:c>
      <x:c r="C849" s="17" t="str">
        <x:v>南京伊通街口</x:v>
      </x:c>
      <x:c r="D849" s="18" t="n">
        <x:v>26</x:v>
      </x:c>
      <x:c r="E849" s="18" t="n">
        <x:v>26</x:v>
      </x:c>
      <x:c r="F849" s="24" t="n">
        <x:f>IFERROR('各站彙總來源'!F849/'各站彙總來源'!G849,"")</x:f>
        <x:v>4.269230769230769</x:v>
      </x:c>
      <x:c r="G849" s="19" t="n">
        <x:f>'各站彙總來源'!G849</x:f>
        <x:v>26</x:v>
      </x:c>
      <x:c r="H849" s="24" t="n">
        <x:f>IFERROR('各站彙總來源'!H849/'各站彙總來源'!I849,"")</x:f>
        <x:v>1.5</x:v>
      </x:c>
      <x:c r="I849" s="19" t="n">
        <x:f>'各站彙總來源'!I849</x:f>
        <x:v>26</x:v>
      </x:c>
      <x:c r="J849" s="24" t="n">
        <x:f>IFERROR('各站彙總來源'!J849/'各站彙總來源'!K849,"")</x:f>
        <x:v>6.576923076923077</x:v>
      </x:c>
      <x:c r="K849" s="19" t="n">
        <x:f>'各站彙總來源'!K849</x:f>
        <x:v>26</x:v>
      </x:c>
      <x:c r="L849" s="24" t="n">
        <x:f>IFERROR('各站彙總來源'!L849/'各站彙總來源'!M849,"")</x:f>
        <x:v>2.076923076923077</x:v>
      </x:c>
      <x:c r="M849" s="19" t="n">
        <x:f>'各站彙總來源'!M849</x:f>
        <x:v>26</x:v>
      </x:c>
      <x:c r="N849" s="24" t="n">
        <x:f>F849+H849</x:f>
        <x:v>5.769230769230769</x:v>
      </x:c>
      <x:c r="O849" s="24" t="n">
        <x:f>J849+L849</x:f>
        <x:v>8.653846153846153</x:v>
      </x:c>
    </x:row>
    <x:row r="850">
      <x:c r="A850" s="22" t="str">
        <x:v>500107089</x:v>
      </x:c>
      <x:c r="B850" s="17" t="str">
        <x:v>中山區</x:v>
      </x:c>
      <x:c r="C850" s="17" t="str">
        <x:v>南京龍江路口</x:v>
      </x:c>
      <x:c r="D850" s="18" t="n">
        <x:v>26</x:v>
      </x:c>
      <x:c r="E850" s="18" t="n">
        <x:v>26</x:v>
      </x:c>
      <x:c r="F850" s="24" t="n">
        <x:f>IFERROR('各站彙總來源'!F850/'各站彙總來源'!G850,"")</x:f>
        <x:v>7.538461538461538</x:v>
      </x:c>
      <x:c r="G850" s="19" t="n">
        <x:f>'各站彙總來源'!G850</x:f>
        <x:v>26</x:v>
      </x:c>
      <x:c r="H850" s="24" t="n">
        <x:f>IFERROR('各站彙總來源'!H850/'各站彙總來源'!I850,"")</x:f>
        <x:v>1.1153846153846154</x:v>
      </x:c>
      <x:c r="I850" s="19" t="n">
        <x:f>'各站彙總來源'!I850</x:f>
        <x:v>26</x:v>
      </x:c>
      <x:c r="J850" s="24" t="n">
        <x:f>IFERROR('各站彙總來源'!J850/'各站彙總來源'!K850,"")</x:f>
        <x:v>9.115384615384615</x:v>
      </x:c>
      <x:c r="K850" s="19" t="n">
        <x:f>'各站彙總來源'!K850</x:f>
        <x:v>26</x:v>
      </x:c>
      <x:c r="L850" s="24" t="n">
        <x:f>IFERROR('各站彙總來源'!L850/'各站彙總來源'!M850,"")</x:f>
        <x:v>2.423076923076923</x:v>
      </x:c>
      <x:c r="M850" s="19" t="n">
        <x:f>'各站彙總來源'!M850</x:f>
        <x:v>26</x:v>
      </x:c>
      <x:c r="N850" s="24" t="n">
        <x:f>F850+H850</x:f>
        <x:v>8.653846153846153</x:v>
      </x:c>
      <x:c r="O850" s="24" t="n">
        <x:f>J850+L850</x:f>
        <x:v>11.538461538461538</x:v>
      </x:c>
    </x:row>
    <x:row r="851">
      <x:c r="A851" s="22" t="str">
        <x:v>500107090</x:v>
      </x:c>
      <x:c r="B851" s="17" t="str">
        <x:v>中山區</x:v>
      </x:c>
      <x:c r="C851" s="17" t="str">
        <x:v>撫順街41巷(崇德宮前)</x:v>
      </x:c>
      <x:c r="D851" s="18" t="n">
        <x:v>26</x:v>
      </x:c>
      <x:c r="E851" s="18" t="n">
        <x:v>26</x:v>
      </x:c>
      <x:c r="F851" s="24" t="n">
        <x:f>IFERROR('各站彙總來源'!F851/'各站彙總來源'!G851,"")</x:f>
        <x:v>5.6923076923076925</x:v>
      </x:c>
      <x:c r="G851" s="19" t="n">
        <x:f>'各站彙總來源'!G851</x:f>
        <x:v>26</x:v>
      </x:c>
      <x:c r="H851" s="24" t="n">
        <x:f>IFERROR('各站彙總來源'!H851/'各站彙總來源'!I851,"")</x:f>
        <x:v>0.8461538461538461</x:v>
      </x:c>
      <x:c r="I851" s="19" t="n">
        <x:f>'各站彙總來源'!I851</x:f>
        <x:v>26</x:v>
      </x:c>
      <x:c r="J851" s="24" t="n">
        <x:f>IFERROR('各站彙總來源'!J851/'各站彙總來源'!K851,"")</x:f>
        <x:v>9.923076923076923</x:v>
      </x:c>
      <x:c r="K851" s="19" t="n">
        <x:f>'各站彙總來源'!K851</x:f>
        <x:v>26</x:v>
      </x:c>
      <x:c r="L851" s="24" t="n">
        <x:f>IFERROR('各站彙總來源'!L851/'各站彙總來源'!M851,"")</x:f>
        <x:v>1.2692307692307692</x:v>
      </x:c>
      <x:c r="M851" s="19" t="n">
        <x:f>'各站彙總來源'!M851</x:f>
        <x:v>26</x:v>
      </x:c>
      <x:c r="N851" s="24" t="n">
        <x:f>F851+H851</x:f>
        <x:v>6.538461538461538</x:v>
      </x:c>
      <x:c r="O851" s="24" t="n">
        <x:f>J851+L851</x:f>
        <x:v>11.192307692307693</x:v>
      </x:c>
    </x:row>
    <x:row r="852">
      <x:c r="A852" s="22" t="str">
        <x:v>500107091</x:v>
      </x:c>
      <x:c r="B852" s="17" t="str">
        <x:v>中山區</x:v>
      </x:c>
      <x:c r="C852" s="17" t="str">
        <x:v>臺北市立圖書館大直分館</x:v>
      </x:c>
      <x:c r="D852" s="18" t="n">
        <x:v>26</x:v>
      </x:c>
      <x:c r="E852" s="18" t="n">
        <x:v>26</x:v>
      </x:c>
      <x:c r="F852" s="24" t="n">
        <x:f>IFERROR('各站彙總來源'!F852/'各站彙總來源'!G852,"")</x:f>
        <x:v>6.153846153846154</x:v>
      </x:c>
      <x:c r="G852" s="19" t="n">
        <x:f>'各站彙總來源'!G852</x:f>
        <x:v>26</x:v>
      </x:c>
      <x:c r="H852" s="24" t="n">
        <x:f>IFERROR('各站彙總來源'!H852/'各站彙總來源'!I852,"")</x:f>
        <x:v>1.8076923076923077</x:v>
      </x:c>
      <x:c r="I852" s="19" t="n">
        <x:f>'各站彙總來源'!I852</x:f>
        <x:v>26</x:v>
      </x:c>
      <x:c r="J852" s="24" t="n">
        <x:f>IFERROR('各站彙總來源'!J852/'各站彙總來源'!K852,"")</x:f>
        <x:v>9.192307692307692</x:v>
      </x:c>
      <x:c r="K852" s="19" t="n">
        <x:f>'各站彙總來源'!K852</x:f>
        <x:v>26</x:v>
      </x:c>
      <x:c r="L852" s="24" t="n">
        <x:f>IFERROR('各站彙總來源'!L852/'各站彙總來源'!M852,"")</x:f>
        <x:v>3.0384615384615383</x:v>
      </x:c>
      <x:c r="M852" s="19" t="n">
        <x:f>'各站彙總來源'!M852</x:f>
        <x:v>26</x:v>
      </x:c>
      <x:c r="N852" s="24" t="n">
        <x:f>F852+H852</x:f>
        <x:v>7.961538461538462</x:v>
      </x:c>
      <x:c r="O852" s="24" t="n">
        <x:f>J852+L852</x:f>
        <x:v>12.23076923076923</x:v>
      </x:c>
    </x:row>
    <x:row r="853">
      <x:c r="A853" s="22" t="str">
        <x:v>500107092</x:v>
      </x:c>
      <x:c r="B853" s="17" t="str">
        <x:v>中山區</x:v>
      </x:c>
      <x:c r="C853" s="17" t="str">
        <x:v>捷運大直站(1號出口)</x:v>
      </x:c>
      <x:c r="D853" s="18" t="n">
        <x:v>26</x:v>
      </x:c>
      <x:c r="E853" s="18" t="n">
        <x:v>26</x:v>
      </x:c>
      <x:c r="F853" s="24" t="n">
        <x:f>IFERROR('各站彙總來源'!F853/'各站彙總來源'!G853,"")</x:f>
        <x:v>7.538461538461538</x:v>
      </x:c>
      <x:c r="G853" s="19" t="n">
        <x:f>'各站彙總來源'!G853</x:f>
        <x:v>26</x:v>
      </x:c>
      <x:c r="H853" s="24" t="n">
        <x:f>IFERROR('各站彙總來源'!H853/'各站彙總來源'!I853,"")</x:f>
        <x:v>0.8461538461538461</x:v>
      </x:c>
      <x:c r="I853" s="19" t="n">
        <x:f>'各站彙總來源'!I853</x:f>
        <x:v>26</x:v>
      </x:c>
      <x:c r="J853" s="24" t="n">
        <x:f>IFERROR('各站彙總來源'!J853/'各站彙總來源'!K853,"")</x:f>
        <x:v>14.961538461538462</x:v>
      </x:c>
      <x:c r="K853" s="19" t="n">
        <x:f>'各站彙總來源'!K853</x:f>
        <x:v>26</x:v>
      </x:c>
      <x:c r="L853" s="24" t="n">
        <x:f>IFERROR('各站彙總來源'!L853/'各站彙總來源'!M853,"")</x:f>
        <x:v>2.9615384615384617</x:v>
      </x:c>
      <x:c r="M853" s="19" t="n">
        <x:f>'各站彙總來源'!M853</x:f>
        <x:v>26</x:v>
      </x:c>
      <x:c r="N853" s="24" t="n">
        <x:f>F853+H853</x:f>
        <x:v>8.384615384615385</x:v>
      </x:c>
      <x:c r="O853" s="24" t="n">
        <x:f>J853+L853</x:f>
        <x:v>17.923076923076923</x:v>
      </x:c>
    </x:row>
    <x:row r="854">
      <x:c r="A854" s="22" t="str">
        <x:v>500107093</x:v>
      </x:c>
      <x:c r="B854" s="17" t="str">
        <x:v>中山區</x:v>
      </x:c>
      <x:c r="C854" s="17" t="str">
        <x:v>捷運松江南京站(4號出口)</x:v>
      </x:c>
      <x:c r="D854" s="18" t="n">
        <x:v>26</x:v>
      </x:c>
      <x:c r="E854" s="18" t="n">
        <x:v>26</x:v>
      </x:c>
      <x:c r="F854" s="24" t="n">
        <x:f>IFERROR('各站彙總來源'!F854/'各站彙總來源'!G854,"")</x:f>
        <x:v>13.576923076923077</x:v>
      </x:c>
      <x:c r="G854" s="19" t="n">
        <x:f>'各站彙總來源'!G854</x:f>
        <x:v>26</x:v>
      </x:c>
      <x:c r="H854" s="24" t="n">
        <x:f>IFERROR('各站彙總來源'!H854/'各站彙總來源'!I854,"")</x:f>
        <x:v>3.0384615384615383</x:v>
      </x:c>
      <x:c r="I854" s="19" t="n">
        <x:f>'各站彙總來源'!I854</x:f>
        <x:v>26</x:v>
      </x:c>
      <x:c r="J854" s="24" t="n">
        <x:f>IFERROR('各站彙總來源'!J854/'各站彙總來源'!K854,"")</x:f>
        <x:v>8.576923076923077</x:v>
      </x:c>
      <x:c r="K854" s="19" t="n">
        <x:f>'各站彙總來源'!K854</x:f>
        <x:v>26</x:v>
      </x:c>
      <x:c r="L854" s="24" t="n">
        <x:f>IFERROR('各站彙總來源'!L854/'各站彙總來源'!M854,"")</x:f>
        <x:v>1.1153846153846154</x:v>
      </x:c>
      <x:c r="M854" s="19" t="n">
        <x:f>'各站彙總來源'!M854</x:f>
        <x:v>26</x:v>
      </x:c>
      <x:c r="N854" s="24" t="n">
        <x:f>F854+H854</x:f>
        <x:v>16.615384615384613</x:v>
      </x:c>
      <x:c r="O854" s="24" t="n">
        <x:f>J854+L854</x:f>
        <x:v>9.692307692307692</x:v>
      </x:c>
    </x:row>
    <x:row r="855">
      <x:c r="A855" s="22" t="str">
        <x:v>500107094</x:v>
      </x:c>
      <x:c r="B855" s="17" t="str">
        <x:v>中山區</x:v>
      </x:c>
      <x:c r="C855" s="17" t="str">
        <x:v>上塔悠公園</x:v>
      </x:c>
      <x:c r="D855" s="18" t="n">
        <x:v>26</x:v>
      </x:c>
      <x:c r="E855" s="18" t="n">
        <x:v>26</x:v>
      </x:c>
      <x:c r="F855" s="24" t="n">
        <x:f>IFERROR('各站彙總來源'!F855/'各站彙總來源'!G855,"")</x:f>
        <x:v>0</x:v>
      </x:c>
      <x:c r="G855" s="19" t="n">
        <x:f>'各站彙總來源'!G855</x:f>
        <x:v>26</x:v>
      </x:c>
      <x:c r="H855" s="24" t="n">
        <x:f>IFERROR('各站彙總來源'!H855/'各站彙總來源'!I855,"")</x:f>
        <x:v>0</x:v>
      </x:c>
      <x:c r="I855" s="19" t="n">
        <x:f>'各站彙總來源'!I855</x:f>
        <x:v>26</x:v>
      </x:c>
      <x:c r="J855" s="24" t="n">
        <x:f>IFERROR('各站彙總來源'!J855/'各站彙總來源'!K855,"")</x:f>
        <x:v>0</x:v>
      </x:c>
      <x:c r="K855" s="19" t="n">
        <x:f>'各站彙總來源'!K855</x:f>
        <x:v>26</x:v>
      </x:c>
      <x:c r="L855" s="24" t="n">
        <x:f>IFERROR('各站彙總來源'!L855/'各站彙總來源'!M855,"")</x:f>
        <x:v>0</x:v>
      </x:c>
      <x:c r="M855" s="19" t="n">
        <x:f>'各站彙總來源'!M855</x:f>
        <x:v>26</x:v>
      </x:c>
      <x:c r="N855" s="24" t="n">
        <x:f>F855+H855</x:f>
        <x:v>0</x:v>
      </x:c>
      <x:c r="O855" s="24" t="n">
        <x:f>J855+L855</x:f>
        <x:v>0</x:v>
      </x:c>
    </x:row>
    <x:row r="856">
      <x:c r="A856" s="22" t="str">
        <x:v>500107095</x:v>
      </x:c>
      <x:c r="B856" s="17" t="str">
        <x:v>中山區</x:v>
      </x:c>
      <x:c r="C856" s="17" t="str">
        <x:v>中429公園</x:v>
      </x:c>
      <x:c r="D856" s="18" t="n">
        <x:v>26</x:v>
      </x:c>
      <x:c r="E856" s="18" t="n">
        <x:v>26</x:v>
      </x:c>
      <x:c r="F856" s="24" t="n">
        <x:f>IFERROR('各站彙總來源'!F856/'各站彙總來源'!G856,"")</x:f>
        <x:v>11.346153846153847</x:v>
      </x:c>
      <x:c r="G856" s="19" t="n">
        <x:f>'各站彙總來源'!G856</x:f>
        <x:v>26</x:v>
      </x:c>
      <x:c r="H856" s="24" t="n">
        <x:f>IFERROR('各站彙總來源'!H856/'各站彙總來源'!I856,"")</x:f>
        <x:v>3.3461538461538463</x:v>
      </x:c>
      <x:c r="I856" s="19" t="n">
        <x:f>'各站彙總來源'!I856</x:f>
        <x:v>26</x:v>
      </x:c>
      <x:c r="J856" s="24" t="n">
        <x:f>IFERROR('各站彙總來源'!J856/'各站彙總來源'!K856,"")</x:f>
        <x:v>4.923076923076923</x:v>
      </x:c>
      <x:c r="K856" s="19" t="n">
        <x:f>'各站彙總來源'!K856</x:f>
        <x:v>26</x:v>
      </x:c>
      <x:c r="L856" s="24" t="n">
        <x:f>IFERROR('各站彙總來源'!L856/'各站彙總來源'!M856,"")</x:f>
        <x:v>2.3076923076923075</x:v>
      </x:c>
      <x:c r="M856" s="19" t="n">
        <x:f>'各站彙總來源'!M856</x:f>
        <x:v>26</x:v>
      </x:c>
      <x:c r="N856" s="24" t="n">
        <x:f>F856+H856</x:f>
        <x:v>14.692307692307693</x:v>
      </x:c>
      <x:c r="O856" s="24" t="n">
        <x:f>J856+L856</x:f>
        <x:v>7.230769230769231</x:v>
      </x:c>
    </x:row>
    <x:row r="857">
      <x:c r="A857" s="22" t="str">
        <x:v>500107096</x:v>
      </x:c>
      <x:c r="B857" s="17" t="str">
        <x:v>中山區</x:v>
      </x:c>
      <x:c r="C857" s="17" t="str">
        <x:v>長春路137巷口</x:v>
      </x:c>
      <x:c r="D857" s="18" t="n">
        <x:v>26</x:v>
      </x:c>
      <x:c r="E857" s="18" t="n">
        <x:v>26</x:v>
      </x:c>
      <x:c r="F857" s="24" t="n">
        <x:f>IFERROR('各站彙總來源'!F857/'各站彙總來源'!G857,"")</x:f>
        <x:v>6.769230769230769</x:v>
      </x:c>
      <x:c r="G857" s="19" t="n">
        <x:f>'各站彙總來源'!G857</x:f>
        <x:v>26</x:v>
      </x:c>
      <x:c r="H857" s="24" t="n">
        <x:f>IFERROR('各站彙總來源'!H857/'各站彙總來源'!I857,"")</x:f>
        <x:v>2.769230769230769</x:v>
      </x:c>
      <x:c r="I857" s="19" t="n">
        <x:f>'各站彙總來源'!I857</x:f>
        <x:v>26</x:v>
      </x:c>
      <x:c r="J857" s="24" t="n">
        <x:f>IFERROR('各站彙總來源'!J857/'各站彙總來源'!K857,"")</x:f>
        <x:v>8.538461538461538</x:v>
      </x:c>
      <x:c r="K857" s="19" t="n">
        <x:f>'各站彙總來源'!K857</x:f>
        <x:v>26</x:v>
      </x:c>
      <x:c r="L857" s="24" t="n">
        <x:f>IFERROR('各站彙總來源'!L857/'各站彙總來源'!M857,"")</x:f>
        <x:v>2.3846153846153846</x:v>
      </x:c>
      <x:c r="M857" s="19" t="n">
        <x:f>'各站彙總來源'!M857</x:f>
        <x:v>26</x:v>
      </x:c>
      <x:c r="N857" s="24" t="n">
        <x:f>F857+H857</x:f>
        <x:v>9.538461538461538</x:v>
      </x:c>
      <x:c r="O857" s="24" t="n">
        <x:f>J857+L857</x:f>
        <x:v>10.923076923076923</x:v>
      </x:c>
    </x:row>
    <x:row r="858">
      <x:c r="A858" s="22" t="str">
        <x:v>500107097</x:v>
      </x:c>
      <x:c r="B858" s="17" t="str">
        <x:v>中山區</x:v>
      </x:c>
      <x:c r="C858" s="17" t="str">
        <x:v>松江民生路口</x:v>
      </x:c>
      <x:c r="D858" s="18" t="n">
        <x:v>26</x:v>
      </x:c>
      <x:c r="E858" s="18" t="n">
        <x:v>26</x:v>
      </x:c>
      <x:c r="F858" s="24" t="n">
        <x:f>IFERROR('各站彙總來源'!F858/'各站彙總來源'!G858,"")</x:f>
        <x:v>7.076923076923077</x:v>
      </x:c>
      <x:c r="G858" s="19" t="n">
        <x:f>'各站彙總來源'!G858</x:f>
        <x:v>26</x:v>
      </x:c>
      <x:c r="H858" s="24" t="n">
        <x:f>IFERROR('各站彙總來源'!H858/'各站彙總來源'!I858,"")</x:f>
        <x:v>1.0769230769230769</x:v>
      </x:c>
      <x:c r="I858" s="19" t="n">
        <x:f>'各站彙總來源'!I858</x:f>
        <x:v>26</x:v>
      </x:c>
      <x:c r="J858" s="24" t="n">
        <x:f>IFERROR('各站彙總來源'!J858/'各站彙總來源'!K858,"")</x:f>
        <x:v>6.538461538461538</x:v>
      </x:c>
      <x:c r="K858" s="19" t="n">
        <x:f>'各站彙總來源'!K858</x:f>
        <x:v>26</x:v>
      </x:c>
      <x:c r="L858" s="24" t="n">
        <x:f>IFERROR('各站彙總來源'!L858/'各站彙總來源'!M858,"")</x:f>
        <x:v>0.7692307692307693</x:v>
      </x:c>
      <x:c r="M858" s="19" t="n">
        <x:f>'各站彙總來源'!M858</x:f>
        <x:v>26</x:v>
      </x:c>
      <x:c r="N858" s="24" t="n">
        <x:f>F858+H858</x:f>
        <x:v>8.153846153846153</x:v>
      </x:c>
      <x:c r="O858" s="24" t="n">
        <x:f>J858+L858</x:f>
        <x:v>7.3076923076923075</x:v>
      </x:c>
    </x:row>
    <x:row r="859">
      <x:c r="A859" s="22" t="str">
        <x:v>500107098</x:v>
      </x:c>
      <x:c r="B859" s="17" t="str">
        <x:v>中山區</x:v>
      </x:c>
      <x:c r="C859" s="17" t="str">
        <x:v>松江路132巷口</x:v>
      </x:c>
      <x:c r="D859" s="18" t="n">
        <x:v>26</x:v>
      </x:c>
      <x:c r="E859" s="18" t="n">
        <x:v>26</x:v>
      </x:c>
      <x:c r="F859" s="24" t="n">
        <x:f>IFERROR('各站彙總來源'!F859/'各站彙總來源'!G859,"")</x:f>
        <x:v>4</x:v>
      </x:c>
      <x:c r="G859" s="19" t="n">
        <x:f>'各站彙總來源'!G859</x:f>
        <x:v>26</x:v>
      </x:c>
      <x:c r="H859" s="24" t="n">
        <x:f>IFERROR('各站彙總來源'!H859/'各站彙總來源'!I859,"")</x:f>
        <x:v>0.23076923076923078</x:v>
      </x:c>
      <x:c r="I859" s="19" t="n">
        <x:f>'各站彙總來源'!I859</x:f>
        <x:v>26</x:v>
      </x:c>
      <x:c r="J859" s="24" t="n">
        <x:f>IFERROR('各站彙總來源'!J859/'各站彙總來源'!K859,"")</x:f>
        <x:v>6.769230769230769</x:v>
      </x:c>
      <x:c r="K859" s="19" t="n">
        <x:f>'各站彙總來源'!K859</x:f>
        <x:v>26</x:v>
      </x:c>
      <x:c r="L859" s="24" t="n">
        <x:f>IFERROR('各站彙總來源'!L859/'各站彙總來源'!M859,"")</x:f>
        <x:v>1.1153846153846154</x:v>
      </x:c>
      <x:c r="M859" s="19" t="n">
        <x:f>'各站彙總來源'!M859</x:f>
        <x:v>26</x:v>
      </x:c>
      <x:c r="N859" s="24" t="n">
        <x:f>F859+H859</x:f>
        <x:v>4.230769230769231</x:v>
      </x:c>
      <x:c r="O859" s="24" t="n">
        <x:f>J859+L859</x:f>
        <x:v>7.884615384615385</x:v>
      </x:c>
    </x:row>
    <x:row r="860">
      <x:c r="A860" s="22" t="str">
        <x:v>500107099</x:v>
      </x:c>
      <x:c r="B860" s="17" t="str">
        <x:v>中山區</x:v>
      </x:c>
      <x:c r="C860" s="17" t="str">
        <x:v>長春吉林路口</x:v>
      </x:c>
      <x:c r="D860" s="18" t="n">
        <x:v>26</x:v>
      </x:c>
      <x:c r="E860" s="18" t="n">
        <x:v>26</x:v>
      </x:c>
      <x:c r="F860" s="24" t="n">
        <x:f>IFERROR('各站彙總來源'!F860/'各站彙總來源'!G860,"")</x:f>
        <x:v>2.6923076923076925</x:v>
      </x:c>
      <x:c r="G860" s="19" t="n">
        <x:f>'各站彙總來源'!G860</x:f>
        <x:v>26</x:v>
      </x:c>
      <x:c r="H860" s="24" t="n">
        <x:f>IFERROR('各站彙總來源'!H860/'各站彙總來源'!I860,"")</x:f>
        <x:v>0.5384615384615384</x:v>
      </x:c>
      <x:c r="I860" s="19" t="n">
        <x:f>'各站彙總來源'!I860</x:f>
        <x:v>26</x:v>
      </x:c>
      <x:c r="J860" s="24" t="n">
        <x:f>IFERROR('各站彙總來源'!J860/'各站彙總來源'!K860,"")</x:f>
        <x:v>4</x:v>
      </x:c>
      <x:c r="K860" s="19" t="n">
        <x:f>'各站彙總來源'!K860</x:f>
        <x:v>26</x:v>
      </x:c>
      <x:c r="L860" s="24" t="n">
        <x:f>IFERROR('各站彙總來源'!L860/'各站彙總來源'!M860,"")</x:f>
        <x:v>0.6923076923076923</x:v>
      </x:c>
      <x:c r="M860" s="19" t="n">
        <x:f>'各站彙總來源'!M860</x:f>
        <x:v>26</x:v>
      </x:c>
      <x:c r="N860" s="24" t="n">
        <x:f>F860+H860</x:f>
        <x:v>3.230769230769231</x:v>
      </x:c>
      <x:c r="O860" s="24" t="n">
        <x:f>J860+L860</x:f>
        <x:v>4.6923076923076925</x:v>
      </x:c>
    </x:row>
    <x:row r="861">
      <x:c r="A861" s="22" t="str">
        <x:v>500107100</x:v>
      </x:c>
      <x:c r="B861" s="17" t="str">
        <x:v>中山區</x:v>
      </x:c>
      <x:c r="C861" s="17" t="str">
        <x:v>長春一江街口</x:v>
      </x:c>
      <x:c r="D861" s="18" t="n">
        <x:v>26</x:v>
      </x:c>
      <x:c r="E861" s="18" t="n">
        <x:v>26</x:v>
      </x:c>
      <x:c r="F861" s="24" t="n">
        <x:f>IFERROR('各站彙總來源'!F861/'各站彙總來源'!G861,"")</x:f>
        <x:v>4.8076923076923075</x:v>
      </x:c>
      <x:c r="G861" s="19" t="n">
        <x:f>'各站彙總來源'!G861</x:f>
        <x:v>26</x:v>
      </x:c>
      <x:c r="H861" s="24" t="n">
        <x:f>IFERROR('各站彙總來源'!H861/'各站彙總來源'!I861,"")</x:f>
        <x:v>1.0384615384615385</x:v>
      </x:c>
      <x:c r="I861" s="19" t="n">
        <x:f>'各站彙總來源'!I861</x:f>
        <x:v>26</x:v>
      </x:c>
      <x:c r="J861" s="24" t="n">
        <x:f>IFERROR('各站彙總來源'!J861/'各站彙總來源'!K861,"")</x:f>
        <x:v>5.346153846153846</x:v>
      </x:c>
      <x:c r="K861" s="19" t="n">
        <x:f>'各站彙總來源'!K861</x:f>
        <x:v>26</x:v>
      </x:c>
      <x:c r="L861" s="24" t="n">
        <x:f>IFERROR('各站彙總來源'!L861/'各站彙總來源'!M861,"")</x:f>
        <x:v>0.7692307692307693</x:v>
      </x:c>
      <x:c r="M861" s="19" t="n">
        <x:f>'各站彙總來源'!M861</x:f>
        <x:v>26</x:v>
      </x:c>
      <x:c r="N861" s="24" t="n">
        <x:f>F861+H861</x:f>
        <x:v>5.846153846153846</x:v>
      </x:c>
      <x:c r="O861" s="24" t="n">
        <x:f>J861+L861</x:f>
        <x:v>6.115384615384615</x:v>
      </x:c>
    </x:row>
    <x:row r="862">
      <x:c r="A862" s="22" t="str">
        <x:v>500107101</x:v>
      </x:c>
      <x:c r="B862" s="17" t="str">
        <x:v>中山區</x:v>
      </x:c>
      <x:c r="C862" s="17" t="str">
        <x:v>捷運松江南京站(8號出口)</x:v>
      </x:c>
      <x:c r="D862" s="18" t="n">
        <x:v>26</x:v>
      </x:c>
      <x:c r="E862" s="18" t="n">
        <x:v>26</x:v>
      </x:c>
      <x:c r="F862" s="24" t="n">
        <x:f>IFERROR('各站彙總來源'!F862/'各站彙總來源'!G862,"")</x:f>
        <x:v>7.423076923076923</x:v>
      </x:c>
      <x:c r="G862" s="19" t="n">
        <x:f>'各站彙總來源'!G862</x:f>
        <x:v>26</x:v>
      </x:c>
      <x:c r="H862" s="24" t="n">
        <x:f>IFERROR('各站彙總來源'!H862/'各站彙總來源'!I862,"")</x:f>
        <x:v>0.6153846153846154</x:v>
      </x:c>
      <x:c r="I862" s="19" t="n">
        <x:f>'各站彙總來源'!I862</x:f>
        <x:v>26</x:v>
      </x:c>
      <x:c r="J862" s="24" t="n">
        <x:f>IFERROR('各站彙總來源'!J862/'各站彙總來源'!K862,"")</x:f>
        <x:v>8</x:v>
      </x:c>
      <x:c r="K862" s="19" t="n">
        <x:f>'各站彙總來源'!K862</x:f>
        <x:v>26</x:v>
      </x:c>
      <x:c r="L862" s="24" t="n">
        <x:f>IFERROR('各站彙總來源'!L862/'各站彙總來源'!M862,"")</x:f>
        <x:v>1.6153846153846154</x:v>
      </x:c>
      <x:c r="M862" s="19" t="n">
        <x:f>'各站彙總來源'!M862</x:f>
        <x:v>26</x:v>
      </x:c>
      <x:c r="N862" s="24" t="n">
        <x:f>F862+H862</x:f>
        <x:v>8.038461538461538</x:v>
      </x:c>
      <x:c r="O862" s="24" t="n">
        <x:f>J862+L862</x:f>
        <x:v>9.615384615384615</x:v>
      </x:c>
    </x:row>
    <x:row r="863">
      <x:c r="A863" s="22" t="str">
        <x:v>500107102</x:v>
      </x:c>
      <x:c r="B863" s="17" t="str">
        <x:v>中山區</x:v>
      </x:c>
      <x:c r="C863" s="17" t="str">
        <x:v>南京一江街口</x:v>
      </x:c>
      <x:c r="D863" s="18" t="n">
        <x:v>26</x:v>
      </x:c>
      <x:c r="E863" s="18" t="n">
        <x:v>26</x:v>
      </x:c>
      <x:c r="F863" s="24" t="n">
        <x:f>IFERROR('各站彙總來源'!F863/'各站彙總來源'!G863,"")</x:f>
        <x:v>1.3846153846153846</x:v>
      </x:c>
      <x:c r="G863" s="19" t="n">
        <x:f>'各站彙總來源'!G863</x:f>
        <x:v>26</x:v>
      </x:c>
      <x:c r="H863" s="24" t="n">
        <x:f>IFERROR('各站彙總來源'!H863/'各站彙總來源'!I863,"")</x:f>
        <x:v>0.11538461538461539</x:v>
      </x:c>
      <x:c r="I863" s="19" t="n">
        <x:f>'各站彙總來源'!I863</x:f>
        <x:v>26</x:v>
      </x:c>
      <x:c r="J863" s="24" t="n">
        <x:f>IFERROR('各站彙總來源'!J863/'各站彙總來源'!K863,"")</x:f>
        <x:v>2.769230769230769</x:v>
      </x:c>
      <x:c r="K863" s="19" t="n">
        <x:f>'各站彙總來源'!K863</x:f>
        <x:v>26</x:v>
      </x:c>
      <x:c r="L863" s="24" t="n">
        <x:f>IFERROR('各站彙總來源'!L863/'各站彙總來源'!M863,"")</x:f>
        <x:v>0.5769230769230769</x:v>
      </x:c>
      <x:c r="M863" s="19" t="n">
        <x:f>'各站彙總來源'!M863</x:f>
        <x:v>26</x:v>
      </x:c>
      <x:c r="N863" s="24" t="n">
        <x:f>F863+H863</x:f>
        <x:v>1.5</x:v>
      </x:c>
      <x:c r="O863" s="24" t="n">
        <x:f>J863+L863</x:f>
        <x:v>3.346153846153846</x:v>
      </x:c>
    </x:row>
    <x:row r="864">
      <x:c r="A864" s="22" t="str">
        <x:v>500107103</x:v>
      </x:c>
      <x:c r="B864" s="17" t="str">
        <x:v>中山區</x:v>
      </x:c>
      <x:c r="C864" s="17" t="str">
        <x:v>松江長春路口</x:v>
      </x:c>
      <x:c r="D864" s="18" t="n">
        <x:v>26</x:v>
      </x:c>
      <x:c r="E864" s="18" t="n">
        <x:v>26</x:v>
      </x:c>
      <x:c r="F864" s="24" t="n">
        <x:f>IFERROR('各站彙總來源'!F864/'各站彙總來源'!G864,"")</x:f>
        <x:v>3.8461538461538463</x:v>
      </x:c>
      <x:c r="G864" s="19" t="n">
        <x:f>'各站彙總來源'!G864</x:f>
        <x:v>26</x:v>
      </x:c>
      <x:c r="H864" s="24" t="n">
        <x:f>IFERROR('各站彙總來源'!H864/'各站彙總來源'!I864,"")</x:f>
        <x:v>1.3461538461538463</x:v>
      </x:c>
      <x:c r="I864" s="19" t="n">
        <x:f>'各站彙總來源'!I864</x:f>
        <x:v>26</x:v>
      </x:c>
      <x:c r="J864" s="24" t="n">
        <x:f>IFERROR('各站彙總來源'!J864/'各站彙總來源'!K864,"")</x:f>
        <x:v>10.26923076923077</x:v>
      </x:c>
      <x:c r="K864" s="19" t="n">
        <x:f>'各站彙總來源'!K864</x:f>
        <x:v>26</x:v>
      </x:c>
      <x:c r="L864" s="24" t="n">
        <x:f>IFERROR('各站彙總來源'!L864/'各站彙總來源'!M864,"")</x:f>
        <x:v>1.1153846153846154</x:v>
      </x:c>
      <x:c r="M864" s="19" t="n">
        <x:f>'各站彙總來源'!M864</x:f>
        <x:v>26</x:v>
      </x:c>
      <x:c r="N864" s="24" t="n">
        <x:f>F864+H864</x:f>
        <x:v>5.1923076923076925</x:v>
      </x:c>
      <x:c r="O864" s="24" t="n">
        <x:f>J864+L864</x:f>
        <x:v>11.384615384615385</x:v>
      </x:c>
    </x:row>
    <x:row r="865">
      <x:c r="A865" s="22" t="str">
        <x:v>500107104</x:v>
      </x:c>
      <x:c r="B865" s="17" t="str">
        <x:v>中山區</x:v>
      </x:c>
      <x:c r="C865" s="17" t="str">
        <x:v>經國七海文化園區</x:v>
      </x:c>
      <x:c r="D865" s="18" t="n">
        <x:v>26</x:v>
      </x:c>
      <x:c r="E865" s="18" t="n">
        <x:v>26</x:v>
      </x:c>
      <x:c r="F865" s="24" t="n">
        <x:f>IFERROR('各站彙總來源'!F865/'各站彙總來源'!G865,"")</x:f>
        <x:v>4.384615384615385</x:v>
      </x:c>
      <x:c r="G865" s="19" t="n">
        <x:f>'各站彙總來源'!G865</x:f>
        <x:v>26</x:v>
      </x:c>
      <x:c r="H865" s="24" t="n">
        <x:f>IFERROR('各站彙總來源'!H865/'各站彙總來源'!I865,"")</x:f>
        <x:v>1.4615384615384615</x:v>
      </x:c>
      <x:c r="I865" s="19" t="n">
        <x:f>'各站彙總來源'!I865</x:f>
        <x:v>26</x:v>
      </x:c>
      <x:c r="J865" s="24" t="n">
        <x:f>IFERROR('各站彙總來源'!J865/'各站彙總來源'!K865,"")</x:f>
        <x:v>8.576923076923077</x:v>
      </x:c>
      <x:c r="K865" s="19" t="n">
        <x:f>'各站彙總來源'!K865</x:f>
        <x:v>26</x:v>
      </x:c>
      <x:c r="L865" s="24" t="n">
        <x:f>IFERROR('各站彙總來源'!L865/'各站彙總來源'!M865,"")</x:f>
        <x:v>1.9615384615384615</x:v>
      </x:c>
      <x:c r="M865" s="19" t="n">
        <x:f>'各站彙總來源'!M865</x:f>
        <x:v>26</x:v>
      </x:c>
      <x:c r="N865" s="24" t="n">
        <x:f>F865+H865</x:f>
        <x:v>5.846153846153847</x:v>
      </x:c>
      <x:c r="O865" s="24" t="n">
        <x:f>J865+L865</x:f>
        <x:v>10.538461538461538</x:v>
      </x:c>
    </x:row>
    <x:row r="866">
      <x:c r="A866" s="22" t="str">
        <x:v>500107105</x:v>
      </x:c>
      <x:c r="B866" s="17" t="str">
        <x:v>中山區</x:v>
      </x:c>
      <x:c r="C866" s="17" t="str">
        <x:v>民族玉門街口</x:v>
      </x:c>
      <x:c r="D866" s="18" t="n">
        <x:v>26</x:v>
      </x:c>
      <x:c r="E866" s="18" t="n">
        <x:v>26</x:v>
      </x:c>
      <x:c r="F866" s="24" t="n">
        <x:f>IFERROR('各站彙總來源'!F866/'各站彙總來源'!G866,"")</x:f>
        <x:v>3.230769230769231</x:v>
      </x:c>
      <x:c r="G866" s="19" t="n">
        <x:f>'各站彙總來源'!G866</x:f>
        <x:v>26</x:v>
      </x:c>
      <x:c r="H866" s="24" t="n">
        <x:f>IFERROR('各站彙總來源'!H866/'各站彙總來源'!I866,"")</x:f>
        <x:v>0.46153846153846156</x:v>
      </x:c>
      <x:c r="I866" s="19" t="n">
        <x:f>'各站彙總來源'!I866</x:f>
        <x:v>26</x:v>
      </x:c>
      <x:c r="J866" s="24" t="n">
        <x:f>IFERROR('各站彙總來源'!J866/'各站彙總來源'!K866,"")</x:f>
        <x:v>12.961538461538462</x:v>
      </x:c>
      <x:c r="K866" s="19" t="n">
        <x:f>'各站彙總來源'!K866</x:f>
        <x:v>26</x:v>
      </x:c>
      <x:c r="L866" s="24" t="n">
        <x:f>IFERROR('各站彙總來源'!L866/'各站彙總來源'!M866,"")</x:f>
        <x:v>0.9615384615384616</x:v>
      </x:c>
      <x:c r="M866" s="19" t="n">
        <x:f>'各站彙總來源'!M866</x:f>
        <x:v>26</x:v>
      </x:c>
      <x:c r="N866" s="24" t="n">
        <x:f>F866+H866</x:f>
        <x:v>3.6923076923076925</x:v>
      </x:c>
      <x:c r="O866" s="24" t="n">
        <x:f>J866+L866</x:f>
        <x:v>13.923076923076923</x:v>
      </x:c>
    </x:row>
    <x:row r="867">
      <x:c r="A867" s="22" t="str">
        <x:v>500107106</x:v>
      </x:c>
      <x:c r="B867" s="17" t="str">
        <x:v>中山區</x:v>
      </x:c>
      <x:c r="C867" s="17" t="str">
        <x:v>新生農安街口</x:v>
      </x:c>
      <x:c r="D867" s="18" t="n">
        <x:v>26</x:v>
      </x:c>
      <x:c r="E867" s="18" t="n">
        <x:v>26</x:v>
      </x:c>
      <x:c r="F867" s="24" t="n">
        <x:f>IFERROR('各站彙總來源'!F867/'各站彙總來源'!G867,"")</x:f>
        <x:v>14.76923076923077</x:v>
      </x:c>
      <x:c r="G867" s="19" t="n">
        <x:f>'各站彙總來源'!G867</x:f>
        <x:v>26</x:v>
      </x:c>
      <x:c r="H867" s="24" t="n">
        <x:f>IFERROR('各站彙總來源'!H867/'各站彙總來源'!I867,"")</x:f>
        <x:v>2.0384615384615383</x:v>
      </x:c>
      <x:c r="I867" s="19" t="n">
        <x:f>'各站彙總來源'!I867</x:f>
        <x:v>26</x:v>
      </x:c>
      <x:c r="J867" s="24" t="n">
        <x:f>IFERROR('各站彙總來源'!J867/'各站彙總來源'!K867,"")</x:f>
        <x:v>3.8076923076923075</x:v>
      </x:c>
      <x:c r="K867" s="19" t="n">
        <x:f>'各站彙總來源'!K867</x:f>
        <x:v>26</x:v>
      </x:c>
      <x:c r="L867" s="24" t="n">
        <x:f>IFERROR('各站彙總來源'!L867/'各站彙總來源'!M867,"")</x:f>
        <x:v>0.5</x:v>
      </x:c>
      <x:c r="M867" s="19" t="n">
        <x:f>'各站彙總來源'!M867</x:f>
        <x:v>26</x:v>
      </x:c>
      <x:c r="N867" s="24" t="n">
        <x:f>F867+H867</x:f>
        <x:v>16.807692307692307</x:v>
      </x:c>
      <x:c r="O867" s="24" t="n">
        <x:f>J867+L867</x:f>
        <x:v>4.3076923076923075</x:v>
      </x:c>
    </x:row>
    <x:row r="868">
      <x:c r="A868" s="22" t="str">
        <x:v>500107107</x:v>
      </x:c>
      <x:c r="B868" s="17" t="str">
        <x:v>中山區</x:v>
      </x:c>
      <x:c r="C868" s="17" t="str">
        <x:v>稻江高級護理家事職業學校</x:v>
      </x:c>
      <x:c r="D868" s="18" t="n">
        <x:v>26</x:v>
      </x:c>
      <x:c r="E868" s="18" t="n">
        <x:v>26</x:v>
      </x:c>
      <x:c r="F868" s="24" t="n">
        <x:f>IFERROR('各站彙總來源'!F868/'各站彙總來源'!G868,"")</x:f>
        <x:v>15.346153846153847</x:v>
      </x:c>
      <x:c r="G868" s="19" t="n">
        <x:f>'各站彙總來源'!G868</x:f>
        <x:v>26</x:v>
      </x:c>
      <x:c r="H868" s="24" t="n">
        <x:f>IFERROR('各站彙總來源'!H868/'各站彙總來源'!I868,"")</x:f>
        <x:v>1.6538461538461537</x:v>
      </x:c>
      <x:c r="I868" s="19" t="n">
        <x:f>'各站彙總來源'!I868</x:f>
        <x:v>26</x:v>
      </x:c>
      <x:c r="J868" s="24" t="n">
        <x:f>IFERROR('各站彙總來源'!J868/'各站彙總來源'!K868,"")</x:f>
        <x:v>4.115384615384615</x:v>
      </x:c>
      <x:c r="K868" s="19" t="n">
        <x:f>'各站彙總來源'!K868</x:f>
        <x:v>26</x:v>
      </x:c>
      <x:c r="L868" s="24" t="n">
        <x:f>IFERROR('各站彙總來源'!L868/'各站彙總來源'!M868,"")</x:f>
        <x:v>1.6923076923076923</x:v>
      </x:c>
      <x:c r="M868" s="19" t="n">
        <x:f>'各站彙總來源'!M868</x:f>
        <x:v>26</x:v>
      </x:c>
      <x:c r="N868" s="24" t="n">
        <x:f>F868+H868</x:f>
        <x:v>17</x:v>
      </x:c>
      <x:c r="O868" s="24" t="n">
        <x:f>J868+L868</x:f>
        <x:v>5.8076923076923075</x:v>
      </x:c>
    </x:row>
    <x:row r="869">
      <x:c r="A869" s="22" t="str">
        <x:v>500107108</x:v>
      </x:c>
      <x:c r="B869" s="17" t="str">
        <x:v>中山區</x:v>
      </x:c>
      <x:c r="C869" s="17" t="str">
        <x:v>捷運大直站(3號出口)_1</x:v>
      </x:c>
      <x:c r="D869" s="18" t="n">
        <x:v>26</x:v>
      </x:c>
      <x:c r="E869" s="18" t="n">
        <x:v>26</x:v>
      </x:c>
      <x:c r="F869" s="24" t="n">
        <x:f>IFERROR('各站彙總來源'!F869/'各站彙總來源'!G869,"")</x:f>
        <x:v>7.615384615384615</x:v>
      </x:c>
      <x:c r="G869" s="19" t="n">
        <x:f>'各站彙總來源'!G869</x:f>
        <x:v>26</x:v>
      </x:c>
      <x:c r="H869" s="24" t="n">
        <x:f>IFERROR('各站彙總來源'!H869/'各站彙總來源'!I869,"")</x:f>
        <x:v>1.2307692307692308</x:v>
      </x:c>
      <x:c r="I869" s="19" t="n">
        <x:f>'各站彙總來源'!I869</x:f>
        <x:v>26</x:v>
      </x:c>
      <x:c r="J869" s="24" t="n">
        <x:f>IFERROR('各站彙總來源'!J869/'各站彙總來源'!K869,"")</x:f>
        <x:v>3.6923076923076925</x:v>
      </x:c>
      <x:c r="K869" s="19" t="n">
        <x:f>'各站彙總來源'!K869</x:f>
        <x:v>26</x:v>
      </x:c>
      <x:c r="L869" s="24" t="n">
        <x:f>IFERROR('各站彙總來源'!L869/'各站彙總來源'!M869,"")</x:f>
        <x:v>0.9615384615384616</x:v>
      </x:c>
      <x:c r="M869" s="19" t="n">
        <x:f>'各站彙總來源'!M869</x:f>
        <x:v>26</x:v>
      </x:c>
      <x:c r="N869" s="24" t="n">
        <x:f>F869+H869</x:f>
        <x:v>8.846153846153847</x:v>
      </x:c>
      <x:c r="O869" s="24" t="n">
        <x:f>J869+L869</x:f>
        <x:v>4.653846153846154</x:v>
      </x:c>
    </x:row>
    <x:row r="870">
      <x:c r="A870" s="22" t="str">
        <x:v>500107109</x:v>
      </x:c>
      <x:c r="B870" s="17" t="str">
        <x:v>中山區</x:v>
      </x:c>
      <x:c r="C870" s="17" t="str">
        <x:v>樂群二明水路口_1</x:v>
      </x:c>
      <x:c r="D870" s="18" t="n">
        <x:v>26</x:v>
      </x:c>
      <x:c r="E870" s="18" t="n">
        <x:v>26</x:v>
      </x:c>
      <x:c r="F870" s="24" t="n">
        <x:f>IFERROR('各站彙總來源'!F870/'各站彙總來源'!G870,"")</x:f>
        <x:v>7.615384615384615</x:v>
      </x:c>
      <x:c r="G870" s="19" t="n">
        <x:f>'各站彙總來源'!G870</x:f>
        <x:v>26</x:v>
      </x:c>
      <x:c r="H870" s="24" t="n">
        <x:f>IFERROR('各站彙總來源'!H870/'各站彙總來源'!I870,"")</x:f>
        <x:v>1.8461538461538463</x:v>
      </x:c>
      <x:c r="I870" s="19" t="n">
        <x:f>'各站彙總來源'!I870</x:f>
        <x:v>26</x:v>
      </x:c>
      <x:c r="J870" s="24" t="n">
        <x:f>IFERROR('各站彙總來源'!J870/'各站彙總來源'!K870,"")</x:f>
        <x:v>12.23076923076923</x:v>
      </x:c>
      <x:c r="K870" s="19" t="n">
        <x:f>'各站彙總來源'!K870</x:f>
        <x:v>26</x:v>
      </x:c>
      <x:c r="L870" s="24" t="n">
        <x:f>IFERROR('各站彙總來源'!L870/'各站彙總來源'!M870,"")</x:f>
        <x:v>3.3461538461538463</x:v>
      </x:c>
      <x:c r="M870" s="19" t="n">
        <x:f>'各站彙總來源'!M870</x:f>
        <x:v>26</x:v>
      </x:c>
      <x:c r="N870" s="24" t="n">
        <x:f>F870+H870</x:f>
        <x:v>9.461538461538462</x:v>
      </x:c>
      <x:c r="O870" s="24" t="n">
        <x:f>J870+L870</x:f>
        <x:v>15.576923076923077</x:v>
      </x:c>
    </x:row>
    <x:row r="871">
      <x:c r="A871" s="22" t="str">
        <x:v>500107110</x:v>
      </x:c>
      <x:c r="B871" s="17" t="str">
        <x:v>中山區</x:v>
      </x:c>
      <x:c r="C871" s="17" t="str">
        <x:v>民權吉林路口(南側)</x:v>
      </x:c>
      <x:c r="D871" s="18" t="n">
        <x:v>26</x:v>
      </x:c>
      <x:c r="E871" s="18" t="n">
        <x:v>26</x:v>
      </x:c>
      <x:c r="F871" s="24" t="n">
        <x:f>IFERROR('各站彙總來源'!F871/'各站彙總來源'!G871,"")</x:f>
        <x:v>9.576923076923077</x:v>
      </x:c>
      <x:c r="G871" s="19" t="n">
        <x:f>'各站彙總來源'!G871</x:f>
        <x:v>26</x:v>
      </x:c>
      <x:c r="H871" s="24" t="n">
        <x:f>IFERROR('各站彙總來源'!H871/'各站彙總來源'!I871,"")</x:f>
        <x:v>1.2307692307692308</x:v>
      </x:c>
      <x:c r="I871" s="19" t="n">
        <x:f>'各站彙總來源'!I871</x:f>
        <x:v>26</x:v>
      </x:c>
      <x:c r="J871" s="24" t="n">
        <x:f>IFERROR('各站彙總來源'!J871/'各站彙總來源'!K871,"")</x:f>
        <x:v>3.8076923076923075</x:v>
      </x:c>
      <x:c r="K871" s="19" t="n">
        <x:f>'各站彙總來源'!K871</x:f>
        <x:v>26</x:v>
      </x:c>
      <x:c r="L871" s="24" t="n">
        <x:f>IFERROR('各站彙總來源'!L871/'各站彙總來源'!M871,"")</x:f>
        <x:v>1.2692307692307692</x:v>
      </x:c>
      <x:c r="M871" s="19" t="n">
        <x:f>'各站彙總來源'!M871</x:f>
        <x:v>26</x:v>
      </x:c>
      <x:c r="N871" s="24" t="n">
        <x:f>F871+H871</x:f>
        <x:v>10.807692307692307</x:v>
      </x:c>
      <x:c r="O871" s="24" t="n">
        <x:f>J871+L871</x:f>
        <x:v>5.076923076923077</x:v>
      </x:c>
    </x:row>
    <x:row r="872">
      <x:c r="A872" s="22" t="str">
        <x:v>500107111</x:v>
      </x:c>
      <x:c r="B872" s="17" t="str">
        <x:v>中山區</x:v>
      </x:c>
      <x:c r="C872" s="17" t="str">
        <x:v>長春龍江路口</x:v>
      </x:c>
      <x:c r="D872" s="18" t="n">
        <x:v>26</x:v>
      </x:c>
      <x:c r="E872" s="18" t="n">
        <x:v>26</x:v>
      </x:c>
      <x:c r="F872" s="24" t="n">
        <x:f>IFERROR('各站彙總來源'!F872/'各站彙總來源'!G872,"")</x:f>
        <x:v>12.884615384615385</x:v>
      </x:c>
      <x:c r="G872" s="19" t="n">
        <x:f>'各站彙總來源'!G872</x:f>
        <x:v>26</x:v>
      </x:c>
      <x:c r="H872" s="24" t="n">
        <x:f>IFERROR('各站彙總來源'!H872/'各站彙總來源'!I872,"")</x:f>
        <x:v>1.9615384615384615</x:v>
      </x:c>
      <x:c r="I872" s="19" t="n">
        <x:f>'各站彙總來源'!I872</x:f>
        <x:v>26</x:v>
      </x:c>
      <x:c r="J872" s="24" t="n">
        <x:f>IFERROR('各站彙總來源'!J872/'各站彙總來源'!K872,"")</x:f>
        <x:v>6.384615384615385</x:v>
      </x:c>
      <x:c r="K872" s="19" t="n">
        <x:f>'各站彙總來源'!K872</x:f>
        <x:v>26</x:v>
      </x:c>
      <x:c r="L872" s="24" t="n">
        <x:f>IFERROR('各站彙總來源'!L872/'各站彙總來源'!M872,"")</x:f>
        <x:v>1.6538461538461537</x:v>
      </x:c>
      <x:c r="M872" s="19" t="n">
        <x:f>'各站彙總來源'!M872</x:f>
        <x:v>26</x:v>
      </x:c>
      <x:c r="N872" s="24" t="n">
        <x:f>F872+H872</x:f>
        <x:v>14.846153846153847</x:v>
      </x:c>
      <x:c r="O872" s="24" t="n">
        <x:f>J872+L872</x:f>
        <x:v>8.038461538461538</x:v>
      </x:c>
    </x:row>
    <x:row r="873">
      <x:c r="A873" s="22" t="str">
        <x:v>500107112</x:v>
      </x:c>
      <x:c r="B873" s="17" t="str">
        <x:v>中山區</x:v>
      </x:c>
      <x:c r="C873" s="17" t="str">
        <x:v>民權新生路口</x:v>
      </x:c>
      <x:c r="D873" s="18" t="n">
        <x:v>26</x:v>
      </x:c>
      <x:c r="E873" s="18" t="n">
        <x:v>26</x:v>
      </x:c>
      <x:c r="F873" s="24" t="n">
        <x:f>IFERROR('各站彙總來源'!F873/'各站彙總來源'!G873,"")</x:f>
        <x:v>12.73076923076923</x:v>
      </x:c>
      <x:c r="G873" s="19" t="n">
        <x:f>'各站彙總來源'!G873</x:f>
        <x:v>26</x:v>
      </x:c>
      <x:c r="H873" s="24" t="n">
        <x:f>IFERROR('各站彙總來源'!H873/'各站彙總來源'!I873,"")</x:f>
        <x:v>1.8076923076923077</x:v>
      </x:c>
      <x:c r="I873" s="19" t="n">
        <x:f>'各站彙總來源'!I873</x:f>
        <x:v>26</x:v>
      </x:c>
      <x:c r="J873" s="24" t="n">
        <x:f>IFERROR('各站彙總來源'!J873/'各站彙總來源'!K873,"")</x:f>
        <x:v>5.153846153846154</x:v>
      </x:c>
      <x:c r="K873" s="19" t="n">
        <x:f>'各站彙總來源'!K873</x:f>
        <x:v>26</x:v>
      </x:c>
      <x:c r="L873" s="24" t="n">
        <x:f>IFERROR('各站彙總來源'!L873/'各站彙總來源'!M873,"")</x:f>
        <x:v>2.0384615384615383</x:v>
      </x:c>
      <x:c r="M873" s="19" t="n">
        <x:f>'各站彙總來源'!M873</x:f>
        <x:v>26</x:v>
      </x:c>
      <x:c r="N873" s="24" t="n">
        <x:f>F873+H873</x:f>
        <x:v>14.538461538461538</x:v>
      </x:c>
      <x:c r="O873" s="24" t="n">
        <x:f>J873+L873</x:f>
        <x:v>7.1923076923076925</x:v>
      </x:c>
    </x:row>
    <x:row r="874">
      <x:c r="A874" s="22" t="str">
        <x:v>500107113</x:v>
      </x:c>
      <x:c r="B874" s="17" t="str">
        <x:v>中山區</x:v>
      </x:c>
      <x:c r="C874" s="17" t="str">
        <x:v>建國長春路口(北側)</x:v>
      </x:c>
      <x:c r="D874" s="18" t="n">
        <x:v>26</x:v>
      </x:c>
      <x:c r="E874" s="18" t="n">
        <x:v>26</x:v>
      </x:c>
      <x:c r="F874" s="24" t="n">
        <x:f>IFERROR('各站彙總來源'!F874/'各站彙總來源'!G874,"")</x:f>
        <x:v>4</x:v>
      </x:c>
      <x:c r="G874" s="19" t="n">
        <x:f>'各站彙總來源'!G874</x:f>
        <x:v>26</x:v>
      </x:c>
      <x:c r="H874" s="24" t="n">
        <x:f>IFERROR('各站彙總來源'!H874/'各站彙總來源'!I874,"")</x:f>
        <x:v>0.38461538461538464</x:v>
      </x:c>
      <x:c r="I874" s="19" t="n">
        <x:f>'各站彙總來源'!I874</x:f>
        <x:v>26</x:v>
      </x:c>
      <x:c r="J874" s="24" t="n">
        <x:f>IFERROR('各站彙總來源'!J874/'各站彙總來源'!K874,"")</x:f>
        <x:v>14.5</x:v>
      </x:c>
      <x:c r="K874" s="19" t="n">
        <x:f>'各站彙總來源'!K874</x:f>
        <x:v>26</x:v>
      </x:c>
      <x:c r="L874" s="24" t="n">
        <x:f>IFERROR('各站彙總來源'!L874/'各站彙總來源'!M874,"")</x:f>
        <x:v>0.8461538461538461</x:v>
      </x:c>
      <x:c r="M874" s="19" t="n">
        <x:f>'各站彙總來源'!M874</x:f>
        <x:v>26</x:v>
      </x:c>
      <x:c r="N874" s="24" t="n">
        <x:f>F874+H874</x:f>
        <x:v>4.384615384615385</x:v>
      </x:c>
      <x:c r="O874" s="24" t="n">
        <x:f>J874+L874</x:f>
        <x:v>15.346153846153847</x:v>
      </x:c>
    </x:row>
    <x:row r="875">
      <x:c r="A875" s="22" t="str">
        <x:v>500107114</x:v>
      </x:c>
      <x:c r="B875" s="17" t="str">
        <x:v>中山區</x:v>
      </x:c>
      <x:c r="C875" s="17" t="str">
        <x:v>中山行政中心</x:v>
      </x:c>
      <x:c r="D875" s="18" t="n">
        <x:v>26</x:v>
      </x:c>
      <x:c r="E875" s="18" t="n">
        <x:v>26</x:v>
      </x:c>
      <x:c r="F875" s="24" t="n">
        <x:f>IFERROR('各站彙總來源'!F875/'各站彙總來源'!G875,"")</x:f>
        <x:v>14.307692307692308</x:v>
      </x:c>
      <x:c r="G875" s="19" t="n">
        <x:f>'各站彙總來源'!G875</x:f>
        <x:v>26</x:v>
      </x:c>
      <x:c r="H875" s="24" t="n">
        <x:f>IFERROR('各站彙總來源'!H875/'各站彙總來源'!I875,"")</x:f>
        <x:v>1.6923076923076923</x:v>
      </x:c>
      <x:c r="I875" s="19" t="n">
        <x:f>'各站彙總來源'!I875</x:f>
        <x:v>26</x:v>
      </x:c>
      <x:c r="J875" s="24" t="n">
        <x:f>IFERROR('各站彙總來源'!J875/'各站彙總來源'!K875,"")</x:f>
        <x:v>13.26923076923077</x:v>
      </x:c>
      <x:c r="K875" s="19" t="n">
        <x:f>'各站彙總來源'!K875</x:f>
        <x:v>26</x:v>
      </x:c>
      <x:c r="L875" s="24" t="n">
        <x:f>IFERROR('各站彙總來源'!L875/'各站彙總來源'!M875,"")</x:f>
        <x:v>1.7307692307692308</x:v>
      </x:c>
      <x:c r="M875" s="19" t="n">
        <x:f>'各站彙總來源'!M875</x:f>
        <x:v>26</x:v>
      </x:c>
      <x:c r="N875" s="24" t="n">
        <x:f>F875+H875</x:f>
        <x:v>16</x:v>
      </x:c>
      <x:c r="O875" s="24" t="n">
        <x:f>J875+L875</x:f>
        <x:v>15</x:v>
      </x:c>
    </x:row>
    <x:row r="876">
      <x:c r="A876" s="22" t="str">
        <x:v>500107115</x:v>
      </x:c>
      <x:c r="B876" s="17" t="str">
        <x:v>中山區</x:v>
      </x:c>
      <x:c r="C876" s="17" t="str">
        <x:v>臺北市立美術館_1</x:v>
      </x:c>
      <x:c r="D876" s="18" t="n">
        <x:v>26</x:v>
      </x:c>
      <x:c r="E876" s="18" t="n">
        <x:v>26</x:v>
      </x:c>
      <x:c r="F876" s="24" t="n">
        <x:f>IFERROR('各站彙總來源'!F876/'各站彙總來源'!G876,"")</x:f>
        <x:v>9.115384615384615</x:v>
      </x:c>
      <x:c r="G876" s="19" t="n">
        <x:f>'各站彙總來源'!G876</x:f>
        <x:v>26</x:v>
      </x:c>
      <x:c r="H876" s="24" t="n">
        <x:f>IFERROR('各站彙總來源'!H876/'各站彙總來源'!I876,"")</x:f>
        <x:v>1.8076923076923077</x:v>
      </x:c>
      <x:c r="I876" s="19" t="n">
        <x:f>'各站彙總來源'!I876</x:f>
        <x:v>26</x:v>
      </x:c>
      <x:c r="J876" s="24" t="n">
        <x:f>IFERROR('各站彙總來源'!J876/'各站彙總來源'!K876,"")</x:f>
        <x:v>13.038461538461538</x:v>
      </x:c>
      <x:c r="K876" s="19" t="n">
        <x:f>'各站彙總來源'!K876</x:f>
        <x:v>26</x:v>
      </x:c>
      <x:c r="L876" s="24" t="n">
        <x:f>IFERROR('各站彙總來源'!L876/'各站彙總來源'!M876,"")</x:f>
        <x:v>1.6538461538461537</x:v>
      </x:c>
      <x:c r="M876" s="19" t="n">
        <x:f>'各站彙總來源'!M876</x:f>
        <x:v>26</x:v>
      </x:c>
      <x:c r="N876" s="24" t="n">
        <x:f>F876+H876</x:f>
        <x:v>10.923076923076923</x:v>
      </x:c>
      <x:c r="O876" s="24" t="n">
        <x:f>J876+L876</x:f>
        <x:v>14.692307692307692</x:v>
      </x:c>
    </x:row>
    <x:row r="877">
      <x:c r="A877" s="22" t="str">
        <x:v>500107116</x:v>
      </x:c>
      <x:c r="B877" s="17" t="str">
        <x:v>中山區</x:v>
      </x:c>
      <x:c r="C877" s="17" t="str">
        <x:v>劍潭社區_1</x:v>
      </x:c>
      <x:c r="D877" s="18" t="n">
        <x:v>26</x:v>
      </x:c>
      <x:c r="E877" s="18" t="n">
        <x:v>26</x:v>
      </x:c>
      <x:c r="F877" s="24" t="n">
        <x:f>IFERROR('各站彙總來源'!F877/'各站彙總來源'!G877,"")</x:f>
        <x:v>22.884615384615383</x:v>
      </x:c>
      <x:c r="G877" s="19" t="n">
        <x:f>'各站彙總來源'!G877</x:f>
        <x:v>26</x:v>
      </x:c>
      <x:c r="H877" s="24" t="n">
        <x:f>IFERROR('各站彙總來源'!H877/'各站彙總來源'!I877,"")</x:f>
        <x:v>5.461538461538462</x:v>
      </x:c>
      <x:c r="I877" s="19" t="n">
        <x:f>'各站彙總來源'!I877</x:f>
        <x:v>26</x:v>
      </x:c>
      <x:c r="J877" s="24" t="n">
        <x:f>IFERROR('各站彙總來源'!J877/'各站彙總來源'!K877,"")</x:f>
        <x:v>9.923076923076923</x:v>
      </x:c>
      <x:c r="K877" s="19" t="n">
        <x:f>'各站彙總來源'!K877</x:f>
        <x:v>26</x:v>
      </x:c>
      <x:c r="L877" s="24" t="n">
        <x:f>IFERROR('各站彙總來源'!L877/'各站彙總來源'!M877,"")</x:f>
        <x:v>2.730769230769231</x:v>
      </x:c>
      <x:c r="M877" s="19" t="n">
        <x:f>'各站彙總來源'!M877</x:f>
        <x:v>26</x:v>
      </x:c>
      <x:c r="N877" s="24" t="n">
        <x:f>F877+H877</x:f>
        <x:v>28.346153846153847</x:v>
      </x:c>
      <x:c r="O877" s="24" t="n">
        <x:f>J877+L877</x:f>
        <x:v>12.653846153846153</x:v>
      </x:c>
    </x:row>
    <x:row r="878">
      <x:c r="A878" s="22" t="str">
        <x:v>500107117</x:v>
      </x:c>
      <x:c r="B878" s="17" t="str">
        <x:v>中山區</x:v>
      </x:c>
      <x:c r="C878" s="17" t="str">
        <x:v>濱江國小游泳池</x:v>
      </x:c>
      <x:c r="D878" s="18" t="n">
        <x:v>26</x:v>
      </x:c>
      <x:c r="E878" s="18" t="n">
        <x:v>26</x:v>
      </x:c>
      <x:c r="F878" s="24" t="n">
        <x:f>IFERROR('各站彙總來源'!F878/'各站彙總來源'!G878,"")</x:f>
        <x:v>6.884615384615385</x:v>
      </x:c>
      <x:c r="G878" s="19" t="n">
        <x:f>'各站彙總來源'!G878</x:f>
        <x:v>26</x:v>
      </x:c>
      <x:c r="H878" s="24" t="n">
        <x:f>IFERROR('各站彙總來源'!H878/'各站彙總來源'!I878,"")</x:f>
        <x:v>1.9615384615384615</x:v>
      </x:c>
      <x:c r="I878" s="19" t="n">
        <x:f>'各站彙總來源'!I878</x:f>
        <x:v>26</x:v>
      </x:c>
      <x:c r="J878" s="24" t="n">
        <x:f>IFERROR('各站彙總來源'!J878/'各站彙總來源'!K878,"")</x:f>
        <x:v>5.6923076923076925</x:v>
      </x:c>
      <x:c r="K878" s="19" t="n">
        <x:f>'各站彙總來源'!K878</x:f>
        <x:v>26</x:v>
      </x:c>
      <x:c r="L878" s="24" t="n">
        <x:f>IFERROR('各站彙總來源'!L878/'各站彙總來源'!M878,"")</x:f>
        <x:v>2.423076923076923</x:v>
      </x:c>
      <x:c r="M878" s="19" t="n">
        <x:f>'各站彙總來源'!M878</x:f>
        <x:v>26</x:v>
      </x:c>
      <x:c r="N878" s="24" t="n">
        <x:f>F878+H878</x:f>
        <x:v>8.846153846153847</x:v>
      </x:c>
      <x:c r="O878" s="24" t="n">
        <x:f>J878+L878</x:f>
        <x:v>8.115384615384615</x:v>
      </x:c>
    </x:row>
    <x:row r="879">
      <x:c r="A879" s="22" t="str">
        <x:v>500107118</x:v>
      </x:c>
      <x:c r="B879" s="17" t="str">
        <x:v>中山區</x:v>
      </x:c>
      <x:c r="C879" s="17" t="str">
        <x:v>林森公園</x:v>
      </x:c>
      <x:c r="D879" s="18" t="n">
        <x:v>26</x:v>
      </x:c>
      <x:c r="E879" s="18" t="n">
        <x:v>26</x:v>
      </x:c>
      <x:c r="F879" s="24" t="n">
        <x:f>IFERROR('各站彙總來源'!F879/'各站彙總來源'!G879,"")</x:f>
        <x:v>11.576923076923077</x:v>
      </x:c>
      <x:c r="G879" s="19" t="n">
        <x:f>'各站彙總來源'!G879</x:f>
        <x:v>26</x:v>
      </x:c>
      <x:c r="H879" s="24" t="n">
        <x:f>IFERROR('各站彙總來源'!H879/'各站彙總來源'!I879,"")</x:f>
        <x:v>3.3076923076923075</x:v>
      </x:c>
      <x:c r="I879" s="19" t="n">
        <x:f>'各站彙總來源'!I879</x:f>
        <x:v>26</x:v>
      </x:c>
      <x:c r="J879" s="24" t="n">
        <x:f>IFERROR('各站彙總來源'!J879/'各站彙總來源'!K879,"")</x:f>
        <x:v>13.73076923076923</x:v>
      </x:c>
      <x:c r="K879" s="19" t="n">
        <x:f>'各站彙總來源'!K879</x:f>
        <x:v>26</x:v>
      </x:c>
      <x:c r="L879" s="24" t="n">
        <x:f>IFERROR('各站彙總來源'!L879/'各站彙總來源'!M879,"")</x:f>
        <x:v>3.3461538461538463</x:v>
      </x:c>
      <x:c r="M879" s="19" t="n">
        <x:f>'各站彙總來源'!M879</x:f>
        <x:v>26</x:v>
      </x:c>
      <x:c r="N879" s="24" t="n">
        <x:f>F879+H879</x:f>
        <x:v>14.884615384615383</x:v>
      </x:c>
      <x:c r="O879" s="24" t="n">
        <x:f>J879+L879</x:f>
        <x:v>17.076923076923077</x:v>
      </x:c>
    </x:row>
    <x:row r="880">
      <x:c r="A880" s="22" t="str">
        <x:v>500107119</x:v>
      </x:c>
      <x:c r="B880" s="17" t="str">
        <x:v>中山區</x:v>
      </x:c>
      <x:c r="C880" s="17" t="str">
        <x:v>中428公園</x:v>
      </x:c>
      <x:c r="D880" s="18" t="n">
        <x:v>26</x:v>
      </x:c>
      <x:c r="E880" s="18" t="n">
        <x:v>26</x:v>
      </x:c>
      <x:c r="F880" s="24" t="n">
        <x:f>IFERROR('各站彙總來源'!F880/'各站彙總來源'!G880,"")</x:f>
        <x:v>8.038461538461538</x:v>
      </x:c>
      <x:c r="G880" s="19" t="n">
        <x:f>'各站彙總來源'!G880</x:f>
        <x:v>26</x:v>
      </x:c>
      <x:c r="H880" s="24" t="n">
        <x:f>IFERROR('各站彙總來源'!H880/'各站彙總來源'!I880,"")</x:f>
        <x:v>3.230769230769231</x:v>
      </x:c>
      <x:c r="I880" s="19" t="n">
        <x:f>'各站彙總來源'!I880</x:f>
        <x:v>26</x:v>
      </x:c>
      <x:c r="J880" s="24" t="n">
        <x:f>IFERROR('各站彙總來源'!J880/'各站彙總來源'!K880,"")</x:f>
        <x:v>5.461538461538462</x:v>
      </x:c>
      <x:c r="K880" s="19" t="n">
        <x:f>'各站彙總來源'!K880</x:f>
        <x:v>26</x:v>
      </x:c>
      <x:c r="L880" s="24" t="n">
        <x:f>IFERROR('各站彙總來源'!L880/'各站彙總來源'!M880,"")</x:f>
        <x:v>2.269230769230769</x:v>
      </x:c>
      <x:c r="M880" s="19" t="n">
        <x:f>'各站彙總來源'!M880</x:f>
        <x:v>26</x:v>
      </x:c>
      <x:c r="N880" s="24" t="n">
        <x:f>F880+H880</x:f>
        <x:v>11.26923076923077</x:v>
      </x:c>
      <x:c r="O880" s="24" t="n">
        <x:f>J880+L880</x:f>
        <x:v>7.730769230769231</x:v>
      </x:c>
    </x:row>
    <x:row r="881">
      <x:c r="A881" s="22" t="str">
        <x:v>500107120</x:v>
      </x:c>
      <x:c r="B881" s="17" t="str">
        <x:v>中山區</x:v>
      </x:c>
      <x:c r="C881" s="17" t="str">
        <x:v>復華公園</x:v>
      </x:c>
      <x:c r="D881" s="18" t="n">
        <x:v>26</x:v>
      </x:c>
      <x:c r="E881" s="18" t="n">
        <x:v>26</x:v>
      </x:c>
      <x:c r="F881" s="24" t="n">
        <x:f>IFERROR('各站彙總來源'!F881/'各站彙總來源'!G881,"")</x:f>
        <x:v>4.461538461538462</x:v>
      </x:c>
      <x:c r="G881" s="19" t="n">
        <x:f>'各站彙總來源'!G881</x:f>
        <x:v>26</x:v>
      </x:c>
      <x:c r="H881" s="24" t="n">
        <x:f>IFERROR('各站彙總來源'!H881/'各站彙總來源'!I881,"")</x:f>
        <x:v>1.2307692307692308</x:v>
      </x:c>
      <x:c r="I881" s="19" t="n">
        <x:f>'各站彙總來源'!I881</x:f>
        <x:v>26</x:v>
      </x:c>
      <x:c r="J881" s="24" t="n">
        <x:f>IFERROR('各站彙總來源'!J881/'各站彙總來源'!K881,"")</x:f>
        <x:v>6.538461538461538</x:v>
      </x:c>
      <x:c r="K881" s="19" t="n">
        <x:f>'各站彙總來源'!K881</x:f>
        <x:v>26</x:v>
      </x:c>
      <x:c r="L881" s="24" t="n">
        <x:f>IFERROR('各站彙總來源'!L881/'各站彙總來源'!M881,"")</x:f>
        <x:v>1.3461538461538463</x:v>
      </x:c>
      <x:c r="M881" s="19" t="n">
        <x:f>'各站彙總來源'!M881</x:f>
        <x:v>26</x:v>
      </x:c>
      <x:c r="N881" s="24" t="n">
        <x:f>F881+H881</x:f>
        <x:v>5.6923076923076925</x:v>
      </x:c>
      <x:c r="O881" s="24" t="n">
        <x:f>J881+L881</x:f>
        <x:v>7.884615384615385</x:v>
      </x:c>
    </x:row>
    <x:row r="882">
      <x:c r="A882" s="22" t="str">
        <x:v>500107121</x:v>
      </x:c>
      <x:c r="B882" s="17" t="str">
        <x:v>中山區</x:v>
      </x:c>
      <x:c r="C882" s="17" t="str">
        <x:v>新生民族路口(西南側)</x:v>
      </x:c>
      <x:c r="D882" s="18" t="n">
        <x:v>26</x:v>
      </x:c>
      <x:c r="E882" s="18" t="n">
        <x:v>26</x:v>
      </x:c>
      <x:c r="F882" s="24" t="n">
        <x:f>IFERROR('各站彙總來源'!F882/'各站彙總來源'!G882,"")</x:f>
        <x:v>14.346153846153847</x:v>
      </x:c>
      <x:c r="G882" s="19" t="n">
        <x:f>'各站彙總來源'!G882</x:f>
        <x:v>26</x:v>
      </x:c>
      <x:c r="H882" s="24" t="n">
        <x:f>IFERROR('各站彙總來源'!H882/'各站彙總來源'!I882,"")</x:f>
        <x:v>2.5384615384615383</x:v>
      </x:c>
      <x:c r="I882" s="19" t="n">
        <x:f>'各站彙總來源'!I882</x:f>
        <x:v>26</x:v>
      </x:c>
      <x:c r="J882" s="24" t="n">
        <x:f>IFERROR('各站彙總來源'!J882/'各站彙總來源'!K882,"")</x:f>
        <x:v>5.846153846153846</x:v>
      </x:c>
      <x:c r="K882" s="19" t="n">
        <x:f>'各站彙總來源'!K882</x:f>
        <x:v>26</x:v>
      </x:c>
      <x:c r="L882" s="24" t="n">
        <x:f>IFERROR('各站彙總來源'!L882/'各站彙總來源'!M882,"")</x:f>
        <x:v>0.8846153846153846</x:v>
      </x:c>
      <x:c r="M882" s="19" t="n">
        <x:f>'各站彙總來源'!M882</x:f>
        <x:v>26</x:v>
      </x:c>
      <x:c r="N882" s="24" t="n">
        <x:f>F882+H882</x:f>
        <x:v>16.884615384615387</x:v>
      </x:c>
      <x:c r="O882" s="24" t="n">
        <x:f>J882+L882</x:f>
        <x:v>6.73076923076923</x:v>
      </x:c>
    </x:row>
    <x:row r="883">
      <x:c r="A883" s="22" t="str">
        <x:v>500107122</x:v>
      </x:c>
      <x:c r="B883" s="17" t="str">
        <x:v>中山區</x:v>
      </x:c>
      <x:c r="C883" s="17" t="str">
        <x:v>捷運南京復興站(1號出口)</x:v>
      </x:c>
      <x:c r="D883" s="18" t="n">
        <x:v>26</x:v>
      </x:c>
      <x:c r="E883" s="18" t="n">
        <x:v>26</x:v>
      </x:c>
      <x:c r="F883" s="24" t="n">
        <x:f>IFERROR('各站彙總來源'!F883/'各站彙總來源'!G883,"")</x:f>
        <x:v>10.5</x:v>
      </x:c>
      <x:c r="G883" s="19" t="n">
        <x:f>'各站彙總來源'!G883</x:f>
        <x:v>26</x:v>
      </x:c>
      <x:c r="H883" s="24" t="n">
        <x:f>IFERROR('各站彙總來源'!H883/'各站彙總來源'!I883,"")</x:f>
        <x:v>1.8846153846153846</x:v>
      </x:c>
      <x:c r="I883" s="19" t="n">
        <x:f>'各站彙總來源'!I883</x:f>
        <x:v>26</x:v>
      </x:c>
      <x:c r="J883" s="24" t="n">
        <x:f>IFERROR('各站彙總來源'!J883/'各站彙總來源'!K883,"")</x:f>
        <x:v>8</x:v>
      </x:c>
      <x:c r="K883" s="19" t="n">
        <x:f>'各站彙總來源'!K883</x:f>
        <x:v>26</x:v>
      </x:c>
      <x:c r="L883" s="24" t="n">
        <x:f>IFERROR('各站彙總來源'!L883/'各站彙總來源'!M883,"")</x:f>
        <x:v>1.1923076923076923</x:v>
      </x:c>
      <x:c r="M883" s="19" t="n">
        <x:f>'各站彙總來源'!M883</x:f>
        <x:v>26</x:v>
      </x:c>
      <x:c r="N883" s="24" t="n">
        <x:f>F883+H883</x:f>
        <x:v>12.384615384615385</x:v>
      </x:c>
      <x:c r="O883" s="24" t="n">
        <x:f>J883+L883</x:f>
        <x:v>9.192307692307692</x:v>
      </x:c>
    </x:row>
    <x:row r="884">
      <x:c r="A884" s="22" t="str">
        <x:v>500107123</x:v>
      </x:c>
      <x:c r="B884" s="17" t="str">
        <x:v>中山區</x:v>
      </x:c>
      <x:c r="C884" s="17" t="str">
        <x:v>八德市場(北側)</x:v>
      </x:c>
      <x:c r="D884" s="18" t="n">
        <x:v>26</x:v>
      </x:c>
      <x:c r="E884" s="18" t="n">
        <x:v>26</x:v>
      </x:c>
      <x:c r="F884" s="24" t="n">
        <x:f>IFERROR('各站彙總來源'!F884/'各站彙總來源'!G884,"")</x:f>
        <x:v>4.269230769230769</x:v>
      </x:c>
      <x:c r="G884" s="19" t="n">
        <x:f>'各站彙總來源'!G884</x:f>
        <x:v>26</x:v>
      </x:c>
      <x:c r="H884" s="24" t="n">
        <x:f>IFERROR('各站彙總來源'!H884/'各站彙總來源'!I884,"")</x:f>
        <x:v>1.1923076923076923</x:v>
      </x:c>
      <x:c r="I884" s="19" t="n">
        <x:f>'各站彙總來源'!I884</x:f>
        <x:v>26</x:v>
      </x:c>
      <x:c r="J884" s="24" t="n">
        <x:f>IFERROR('各站彙總來源'!J884/'各站彙總來源'!K884,"")</x:f>
        <x:v>7.076923076923077</x:v>
      </x:c>
      <x:c r="K884" s="19" t="n">
        <x:f>'各站彙總來源'!K884</x:f>
        <x:v>26</x:v>
      </x:c>
      <x:c r="L884" s="24" t="n">
        <x:f>IFERROR('各站彙總來源'!L884/'各站彙總來源'!M884,"")</x:f>
        <x:v>1.1538461538461537</x:v>
      </x:c>
      <x:c r="M884" s="19" t="n">
        <x:f>'各站彙總來源'!M884</x:f>
        <x:v>26</x:v>
      </x:c>
      <x:c r="N884" s="24" t="n">
        <x:f>F884+H884</x:f>
        <x:v>5.461538461538462</x:v>
      </x:c>
      <x:c r="O884" s="24" t="n">
        <x:f>J884+L884</x:f>
        <x:v>8.23076923076923</x:v>
      </x:c>
    </x:row>
    <x:row r="885">
      <x:c r="A885" s="22" t="str">
        <x:v>500107124</x:v>
      </x:c>
      <x:c r="B885" s="17" t="str">
        <x:v>中山區</x:v>
      </x:c>
      <x:c r="C885" s="17" t="str">
        <x:v>龍江朱崙街口</x:v>
      </x:c>
      <x:c r="D885" s="18" t="n">
        <x:v>26</x:v>
      </x:c>
      <x:c r="E885" s="18" t="n">
        <x:v>26</x:v>
      </x:c>
      <x:c r="F885" s="24" t="n">
        <x:f>IFERROR('各站彙總來源'!F885/'各站彙總來源'!G885,"")</x:f>
        <x:v>5.115384615384615</x:v>
      </x:c>
      <x:c r="G885" s="19" t="n">
        <x:f>'各站彙總來源'!G885</x:f>
        <x:v>26</x:v>
      </x:c>
      <x:c r="H885" s="24" t="n">
        <x:f>IFERROR('各站彙總來源'!H885/'各站彙總來源'!I885,"")</x:f>
        <x:v>0.7307692307692307</x:v>
      </x:c>
      <x:c r="I885" s="19" t="n">
        <x:f>'各站彙總來源'!I885</x:f>
        <x:v>26</x:v>
      </x:c>
      <x:c r="J885" s="24" t="n">
        <x:f>IFERROR('各站彙總來源'!J885/'各站彙總來源'!K885,"")</x:f>
        <x:v>6.461538461538462</x:v>
      </x:c>
      <x:c r="K885" s="19" t="n">
        <x:f>'各站彙總來源'!K885</x:f>
        <x:v>26</x:v>
      </x:c>
      <x:c r="L885" s="24" t="n">
        <x:f>IFERROR('各站彙總來源'!L885/'各站彙總來源'!M885,"")</x:f>
        <x:v>1.6923076923076923</x:v>
      </x:c>
      <x:c r="M885" s="19" t="n">
        <x:f>'各站彙總來源'!M885</x:f>
        <x:v>26</x:v>
      </x:c>
      <x:c r="N885" s="24" t="n">
        <x:f>F885+H885</x:f>
        <x:v>5.846153846153846</x:v>
      </x:c>
      <x:c r="O885" s="24" t="n">
        <x:f>J885+L885</x:f>
        <x:v>8.153846153846153</x:v>
      </x:c>
    </x:row>
    <x:row r="886">
      <x:c r="A886" s="22" t="str">
        <x:v>500107125</x:v>
      </x:c>
      <x:c r="B886" s="17" t="str">
        <x:v>中山區</x:v>
      </x:c>
      <x:c r="C886" s="17" t="str">
        <x:v>大直街94巷</x:v>
      </x:c>
      <x:c r="D886" s="18" t="n">
        <x:v>26</x:v>
      </x:c>
      <x:c r="E886" s="18" t="n">
        <x:v>26</x:v>
      </x:c>
      <x:c r="F886" s="24" t="n">
        <x:f>IFERROR('各站彙總來源'!F886/'各站彙總來源'!G886,"")</x:f>
        <x:v>13.76923076923077</x:v>
      </x:c>
      <x:c r="G886" s="19" t="n">
        <x:f>'各站彙總來源'!G886</x:f>
        <x:v>26</x:v>
      </x:c>
      <x:c r="H886" s="24" t="n">
        <x:f>IFERROR('各站彙總來源'!H886/'各站彙總來源'!I886,"")</x:f>
        <x:v>2.3461538461538463</x:v>
      </x:c>
      <x:c r="I886" s="19" t="n">
        <x:f>'各站彙總來源'!I886</x:f>
        <x:v>26</x:v>
      </x:c>
      <x:c r="J886" s="24" t="n">
        <x:f>IFERROR('各站彙總來源'!J886/'各站彙總來源'!K886,"")</x:f>
        <x:v>5.230769230769231</x:v>
      </x:c>
      <x:c r="K886" s="19" t="n">
        <x:f>'各站彙總來源'!K886</x:f>
        <x:v>26</x:v>
      </x:c>
      <x:c r="L886" s="24" t="n">
        <x:f>IFERROR('各站彙總來源'!L886/'各站彙總來源'!M886,"")</x:f>
        <x:v>1.8846153846153846</x:v>
      </x:c>
      <x:c r="M886" s="19" t="n">
        <x:f>'各站彙總來源'!M886</x:f>
        <x:v>26</x:v>
      </x:c>
      <x:c r="N886" s="24" t="n">
        <x:f>F886+H886</x:f>
        <x:v>16.115384615384617</x:v>
      </x:c>
      <x:c r="O886" s="24" t="n">
        <x:f>J886+L886</x:f>
        <x:v>7.115384615384615</x:v>
      </x:c>
    </x:row>
    <x:row r="887">
      <x:c r="A887" s="22" t="str">
        <x:v>500107126</x:v>
      </x:c>
      <x:c r="B887" s="17" t="str">
        <x:v>中山區</x:v>
      </x:c>
      <x:c r="C887" s="17" t="str">
        <x:v>捷運南京復興站(8號出口)</x:v>
      </x:c>
      <x:c r="D887" s="18" t="n">
        <x:v>26</x:v>
      </x:c>
      <x:c r="E887" s="18" t="n">
        <x:v>26</x:v>
      </x:c>
      <x:c r="F887" s="24" t="n">
        <x:f>IFERROR('各站彙總來源'!F887/'各站彙總來源'!G887,"")</x:f>
        <x:v>5.076923076923077</x:v>
      </x:c>
      <x:c r="G887" s="19" t="n">
        <x:f>'各站彙總來源'!G887</x:f>
        <x:v>26</x:v>
      </x:c>
      <x:c r="H887" s="24" t="n">
        <x:f>IFERROR('各站彙總來源'!H887/'各站彙總來源'!I887,"")</x:f>
        <x:v>0.34615384615384615</x:v>
      </x:c>
      <x:c r="I887" s="19" t="n">
        <x:f>'各站彙總來源'!I887</x:f>
        <x:v>26</x:v>
      </x:c>
      <x:c r="J887" s="24" t="n">
        <x:f>IFERROR('各站彙總來源'!J887/'各站彙總來源'!K887,"")</x:f>
        <x:v>6.1923076923076925</x:v>
      </x:c>
      <x:c r="K887" s="19" t="n">
        <x:f>'各站彙總來源'!K887</x:f>
        <x:v>26</x:v>
      </x:c>
      <x:c r="L887" s="24" t="n">
        <x:f>IFERROR('各站彙總來源'!L887/'各站彙總來源'!M887,"")</x:f>
        <x:v>1.0769230769230769</x:v>
      </x:c>
      <x:c r="M887" s="19" t="n">
        <x:f>'各站彙總來源'!M887</x:f>
        <x:v>26</x:v>
      </x:c>
      <x:c r="N887" s="24" t="n">
        <x:f>F887+H887</x:f>
        <x:v>5.4230769230769225</x:v>
      </x:c>
      <x:c r="O887" s="24" t="n">
        <x:f>J887+L887</x:f>
        <x:v>7.269230769230769</x:v>
      </x:c>
    </x:row>
    <x:row r="888">
      <x:c r="A888" s="22" t="str">
        <x:v>500107127</x:v>
      </x:c>
      <x:c r="B888" s="17" t="str">
        <x:v>中山區</x:v>
      </x:c>
      <x:c r="C888" s="17" t="str">
        <x:v>民權建國路口(南側)</x:v>
      </x:c>
      <x:c r="D888" s="18" t="n">
        <x:v>26</x:v>
      </x:c>
      <x:c r="E888" s="18" t="n">
        <x:v>26</x:v>
      </x:c>
      <x:c r="F888" s="24" t="n">
        <x:f>IFERROR('各站彙總來源'!F888/'各站彙總來源'!G888,"")</x:f>
        <x:v>5.846153846153846</x:v>
      </x:c>
      <x:c r="G888" s="19" t="n">
        <x:f>'各站彙總來源'!G888</x:f>
        <x:v>26</x:v>
      </x:c>
      <x:c r="H888" s="24" t="n">
        <x:f>IFERROR('各站彙總來源'!H888/'各站彙總來源'!I888,"")</x:f>
        <x:v>0.9230769230769231</x:v>
      </x:c>
      <x:c r="I888" s="19" t="n">
        <x:f>'各站彙總來源'!I888</x:f>
        <x:v>26</x:v>
      </x:c>
      <x:c r="J888" s="24" t="n">
        <x:f>IFERROR('各站彙總來源'!J888/'各站彙總來源'!K888,"")</x:f>
        <x:v>5.038461538461538</x:v>
      </x:c>
      <x:c r="K888" s="19" t="n">
        <x:f>'各站彙總來源'!K888</x:f>
        <x:v>26</x:v>
      </x:c>
      <x:c r="L888" s="24" t="n">
        <x:f>IFERROR('各站彙總來源'!L888/'各站彙總來源'!M888,"")</x:f>
        <x:v>1.3076923076923077</x:v>
      </x:c>
      <x:c r="M888" s="19" t="n">
        <x:f>'各站彙總來源'!M888</x:f>
        <x:v>26</x:v>
      </x:c>
      <x:c r="N888" s="24" t="n">
        <x:f>F888+H888</x:f>
        <x:v>6.769230769230769</x:v>
      </x:c>
      <x:c r="O888" s="24" t="n">
        <x:f>J888+L888</x:f>
        <x:v>6.346153846153846</x:v>
      </x:c>
    </x:row>
    <x:row r="889">
      <x:c r="A889" s="22" t="str">
        <x:v>500107128</x:v>
      </x:c>
      <x:c r="B889" s="17" t="str">
        <x:v>中山區</x:v>
      </x:c>
      <x:c r="C889" s="17" t="str">
        <x:v>林森德惠街口</x:v>
      </x:c>
      <x:c r="D889" s="18" t="n">
        <x:v>26</x:v>
      </x:c>
      <x:c r="E889" s="18" t="n">
        <x:v>26</x:v>
      </x:c>
      <x:c r="F889" s="24" t="n">
        <x:f>IFERROR('各站彙總來源'!F889/'各站彙總來源'!G889,"")</x:f>
        <x:v>10.307692307692308</x:v>
      </x:c>
      <x:c r="G889" s="19" t="n">
        <x:f>'各站彙總來源'!G889</x:f>
        <x:v>26</x:v>
      </x:c>
      <x:c r="H889" s="24" t="n">
        <x:f>IFERROR('各站彙總來源'!H889/'各站彙總來源'!I889,"")</x:f>
        <x:v>1.4615384615384615</x:v>
      </x:c>
      <x:c r="I889" s="19" t="n">
        <x:f>'各站彙總來源'!I889</x:f>
        <x:v>26</x:v>
      </x:c>
      <x:c r="J889" s="24" t="n">
        <x:f>IFERROR('各站彙總來源'!J889/'各站彙總來源'!K889,"")</x:f>
        <x:v>4.846153846153846</x:v>
      </x:c>
      <x:c r="K889" s="19" t="n">
        <x:f>'各站彙總來源'!K889</x:f>
        <x:v>26</x:v>
      </x:c>
      <x:c r="L889" s="24" t="n">
        <x:f>IFERROR('各站彙總來源'!L889/'各站彙總來源'!M889,"")</x:f>
        <x:v>1.2307692307692308</x:v>
      </x:c>
      <x:c r="M889" s="19" t="n">
        <x:f>'各站彙總來源'!M889</x:f>
        <x:v>26</x:v>
      </x:c>
      <x:c r="N889" s="24" t="n">
        <x:f>F889+H889</x:f>
        <x:v>11.76923076923077</x:v>
      </x:c>
      <x:c r="O889" s="24" t="n">
        <x:f>J889+L889</x:f>
        <x:v>6.076923076923077</x:v>
      </x:c>
    </x:row>
    <x:row r="890">
      <x:c r="A890" s="22" t="str">
        <x:v>500107129</x:v>
      </x:c>
      <x:c r="B890" s="17" t="str">
        <x:v>中山區</x:v>
      </x:c>
      <x:c r="C890" s="17" t="str">
        <x:v>新生濱江街口(東南側)</x:v>
      </x:c>
      <x:c r="D890" s="18" t="n">
        <x:v>26</x:v>
      </x:c>
      <x:c r="E890" s="18" t="n">
        <x:v>26</x:v>
      </x:c>
      <x:c r="F890" s="24" t="n">
        <x:f>IFERROR('各站彙總來源'!F890/'各站彙總來源'!G890,"")</x:f>
        <x:v>6.115384615384615</x:v>
      </x:c>
      <x:c r="G890" s="19" t="n">
        <x:f>'各站彙總來源'!G890</x:f>
        <x:v>26</x:v>
      </x:c>
      <x:c r="H890" s="24" t="n">
        <x:f>IFERROR('各站彙總來源'!H890/'各站彙總來源'!I890,"")</x:f>
        <x:v>2.3846153846153846</x:v>
      </x:c>
      <x:c r="I890" s="19" t="n">
        <x:f>'各站彙總來源'!I890</x:f>
        <x:v>26</x:v>
      </x:c>
      <x:c r="J890" s="24" t="n">
        <x:f>IFERROR('各站彙總來源'!J890/'各站彙總來源'!K890,"")</x:f>
        <x:v>23.03846153846154</x:v>
      </x:c>
      <x:c r="K890" s="19" t="n">
        <x:f>'各站彙總來源'!K890</x:f>
        <x:v>26</x:v>
      </x:c>
      <x:c r="L890" s="24" t="n">
        <x:f>IFERROR('各站彙總來源'!L890/'各站彙總來源'!M890,"")</x:f>
        <x:v>2.8846153846153846</x:v>
      </x:c>
      <x:c r="M890" s="19" t="n">
        <x:f>'各站彙總來源'!M890</x:f>
        <x:v>26</x:v>
      </x:c>
      <x:c r="N890" s="24" t="n">
        <x:f>F890+H890</x:f>
        <x:v>8.5</x:v>
      </x:c>
      <x:c r="O890" s="24" t="n">
        <x:f>J890+L890</x:f>
        <x:v>25.923076923076923</x:v>
      </x:c>
    </x:row>
    <x:row r="891">
      <x:c r="A891" s="22" t="str">
        <x:v>500107130</x:v>
      </x:c>
      <x:c r="B891" s="17" t="str">
        <x:v>中山區</x:v>
      </x:c>
      <x:c r="C891" s="17" t="str">
        <x:v>新生北路一段62巷口</x:v>
      </x:c>
      <x:c r="D891" s="18" t="n">
        <x:v>26</x:v>
      </x:c>
      <x:c r="E891" s="18" t="n">
        <x:v>26</x:v>
      </x:c>
      <x:c r="F891" s="24" t="n">
        <x:f>IFERROR('各站彙總來源'!F891/'各站彙總來源'!G891,"")</x:f>
        <x:v>8.73076923076923</x:v>
      </x:c>
      <x:c r="G891" s="19" t="n">
        <x:f>'各站彙總來源'!G891</x:f>
        <x:v>26</x:v>
      </x:c>
      <x:c r="H891" s="24" t="n">
        <x:f>IFERROR('各站彙總來源'!H891/'各站彙總來源'!I891,"")</x:f>
        <x:v>1.6153846153846154</x:v>
      </x:c>
      <x:c r="I891" s="19" t="n">
        <x:f>'各站彙總來源'!I891</x:f>
        <x:v>26</x:v>
      </x:c>
      <x:c r="J891" s="24" t="n">
        <x:f>IFERROR('各站彙總來源'!J891/'各站彙總來源'!K891,"")</x:f>
        <x:v>6.038461538461538</x:v>
      </x:c>
      <x:c r="K891" s="19" t="n">
        <x:f>'各站彙總來源'!K891</x:f>
        <x:v>26</x:v>
      </x:c>
      <x:c r="L891" s="24" t="n">
        <x:f>IFERROR('各站彙總來源'!L891/'各站彙總來源'!M891,"")</x:f>
        <x:v>0.8461538461538461</x:v>
      </x:c>
      <x:c r="M891" s="19" t="n">
        <x:f>'各站彙總來源'!M891</x:f>
        <x:v>26</x:v>
      </x:c>
      <x:c r="N891" s="24" t="n">
        <x:f>F891+H891</x:f>
        <x:v>10.346153846153845</x:v>
      </x:c>
      <x:c r="O891" s="24" t="n">
        <x:f>J891+L891</x:f>
        <x:v>6.884615384615384</x:v>
      </x:c>
    </x:row>
    <x:row r="892">
      <x:c r="A892" s="22" t="str">
        <x:v>500107131</x:v>
      </x:c>
      <x:c r="B892" s="17" t="str">
        <x:v>中山區</x:v>
      </x:c>
      <x:c r="C892" s="17" t="str">
        <x:v>新生長春路口(東北側)</x:v>
      </x:c>
      <x:c r="D892" s="18" t="n">
        <x:v>26</x:v>
      </x:c>
      <x:c r="E892" s="18" t="n">
        <x:v>26</x:v>
      </x:c>
      <x:c r="F892" s="24" t="n">
        <x:f>IFERROR('各站彙總來源'!F892/'各站彙總來源'!G892,"")</x:f>
        <x:v>5.3076923076923075</x:v>
      </x:c>
      <x:c r="G892" s="19" t="n">
        <x:f>'各站彙總來源'!G892</x:f>
        <x:v>26</x:v>
      </x:c>
      <x:c r="H892" s="24" t="n">
        <x:f>IFERROR('各站彙總來源'!H892/'各站彙總來源'!I892,"")</x:f>
        <x:v>0.8461538461538461</x:v>
      </x:c>
      <x:c r="I892" s="19" t="n">
        <x:f>'各站彙總來源'!I892</x:f>
        <x:v>26</x:v>
      </x:c>
      <x:c r="J892" s="24" t="n">
        <x:f>IFERROR('各站彙總來源'!J892/'各站彙總來源'!K892,"")</x:f>
        <x:v>5.3076923076923075</x:v>
      </x:c>
      <x:c r="K892" s="19" t="n">
        <x:f>'各站彙總來源'!K892</x:f>
        <x:v>26</x:v>
      </x:c>
      <x:c r="L892" s="24" t="n">
        <x:f>IFERROR('各站彙總來源'!L892/'各站彙總來源'!M892,"")</x:f>
        <x:v>0.9615384615384616</x:v>
      </x:c>
      <x:c r="M892" s="19" t="n">
        <x:f>'各站彙總來源'!M892</x:f>
        <x:v>26</x:v>
      </x:c>
      <x:c r="N892" s="24" t="n">
        <x:f>F892+H892</x:f>
        <x:v>6.153846153846153</x:v>
      </x:c>
      <x:c r="O892" s="24" t="n">
        <x:f>J892+L892</x:f>
        <x:v>6.269230769230769</x:v>
      </x:c>
    </x:row>
    <x:row r="893">
      <x:c r="A893" s="22" t="str">
        <x:v>500107132</x:v>
      </x:c>
      <x:c r="B893" s="17" t="str">
        <x:v>中山區</x:v>
      </x:c>
      <x:c r="C893" s="17" t="str">
        <x:v>捷運劍南路站(1號出口)</x:v>
      </x:c>
      <x:c r="D893" s="18" t="n">
        <x:v>26</x:v>
      </x:c>
      <x:c r="E893" s="18" t="n">
        <x:v>26</x:v>
      </x:c>
      <x:c r="F893" s="24" t="n">
        <x:f>IFERROR('各站彙總來源'!F893/'各站彙總來源'!G893,"")</x:f>
        <x:v>7.730769230769231</x:v>
      </x:c>
      <x:c r="G893" s="19" t="n">
        <x:f>'各站彙總來源'!G893</x:f>
        <x:v>26</x:v>
      </x:c>
      <x:c r="H893" s="24" t="n">
        <x:f>IFERROR('各站彙總來源'!H893/'各站彙總來源'!I893,"")</x:f>
        <x:v>1.1153846153846154</x:v>
      </x:c>
      <x:c r="I893" s="19" t="n">
        <x:f>'各站彙總來源'!I893</x:f>
        <x:v>26</x:v>
      </x:c>
      <x:c r="J893" s="24" t="n">
        <x:f>IFERROR('各站彙總來源'!J893/'各站彙總來源'!K893,"")</x:f>
        <x:v>34.96153846153846</x:v>
      </x:c>
      <x:c r="K893" s="19" t="n">
        <x:f>'各站彙總來源'!K893</x:f>
        <x:v>26</x:v>
      </x:c>
      <x:c r="L893" s="24" t="n">
        <x:f>IFERROR('各站彙總來源'!L893/'各站彙總來源'!M893,"")</x:f>
        <x:v>4.115384615384615</x:v>
      </x:c>
      <x:c r="M893" s="19" t="n">
        <x:f>'各站彙總來源'!M893</x:f>
        <x:v>26</x:v>
      </x:c>
      <x:c r="N893" s="24" t="n">
        <x:f>F893+H893</x:f>
        <x:v>8.846153846153847</x:v>
      </x:c>
      <x:c r="O893" s="24" t="n">
        <x:f>J893+L893</x:f>
        <x:v>39.07692307692307</x:v>
      </x:c>
    </x:row>
    <x:row r="894">
      <x:c r="A894" s="22" t="str">
        <x:v>500107133</x:v>
      </x:c>
      <x:c r="B894" s="17" t="str">
        <x:v>中山區</x:v>
      </x:c>
      <x:c r="C894" s="17" t="str">
        <x:v>樂群三路123號</x:v>
      </x:c>
      <x:c r="D894" s="18" t="n">
        <x:v>26</x:v>
      </x:c>
      <x:c r="E894" s="18" t="n">
        <x:v>26</x:v>
      </x:c>
      <x:c r="F894" s="24" t="n">
        <x:f>IFERROR('各站彙總來源'!F894/'各站彙總來源'!G894,"")</x:f>
        <x:v>5.961538461538462</x:v>
      </x:c>
      <x:c r="G894" s="19" t="n">
        <x:f>'各站彙總來源'!G894</x:f>
        <x:v>26</x:v>
      </x:c>
      <x:c r="H894" s="24" t="n">
        <x:f>IFERROR('各站彙總來源'!H894/'各站彙總來源'!I894,"")</x:f>
        <x:v>1.5769230769230769</x:v>
      </x:c>
      <x:c r="I894" s="19" t="n">
        <x:f>'各站彙總來源'!I894</x:f>
        <x:v>26</x:v>
      </x:c>
      <x:c r="J894" s="24" t="n">
        <x:f>IFERROR('各站彙總來源'!J894/'各站彙總來源'!K894,"")</x:f>
        <x:v>22.615384615384617</x:v>
      </x:c>
      <x:c r="K894" s="19" t="n">
        <x:f>'各站彙總來源'!K894</x:f>
        <x:v>26</x:v>
      </x:c>
      <x:c r="L894" s="24" t="n">
        <x:f>IFERROR('各站彙總來源'!L894/'各站彙總來源'!M894,"")</x:f>
        <x:v>4.5</x:v>
      </x:c>
      <x:c r="M894" s="19" t="n">
        <x:f>'各站彙總來源'!M894</x:f>
        <x:v>26</x:v>
      </x:c>
      <x:c r="N894" s="24" t="n">
        <x:f>F894+H894</x:f>
        <x:v>7.538461538461538</x:v>
      </x:c>
      <x:c r="O894" s="24" t="n">
        <x:f>J894+L894</x:f>
        <x:v>27.115384615384617</x:v>
      </x:c>
    </x:row>
    <x:row r="895">
      <x:c r="A895" s="22" t="str">
        <x:v>500107134</x:v>
      </x:c>
      <x:c r="B895" s="17" t="str">
        <x:v>中山區</x:v>
      </x:c>
      <x:c r="C895" s="17" t="str">
        <x:v>長春路258巷2弄口</x:v>
      </x:c>
      <x:c r="D895" s="18" t="n">
        <x:v>26</x:v>
      </x:c>
      <x:c r="E895" s="18" t="n">
        <x:v>26</x:v>
      </x:c>
      <x:c r="F895" s="24" t="n">
        <x:f>IFERROR('各站彙總來源'!F895/'各站彙總來源'!G895,"")</x:f>
        <x:v>7.653846153846154</x:v>
      </x:c>
      <x:c r="G895" s="19" t="n">
        <x:f>'各站彙總來源'!G895</x:f>
        <x:v>26</x:v>
      </x:c>
      <x:c r="H895" s="24" t="n">
        <x:f>IFERROR('各站彙總來源'!H895/'各站彙總來源'!I895,"")</x:f>
        <x:v>1.6538461538461537</x:v>
      </x:c>
      <x:c r="I895" s="19" t="n">
        <x:f>'各站彙總來源'!I895</x:f>
        <x:v>26</x:v>
      </x:c>
      <x:c r="J895" s="24" t="n">
        <x:f>IFERROR('各站彙總來源'!J895/'各站彙總來源'!K895,"")</x:f>
        <x:v>6.230769230769231</x:v>
      </x:c>
      <x:c r="K895" s="19" t="n">
        <x:f>'各站彙總來源'!K895</x:f>
        <x:v>26</x:v>
      </x:c>
      <x:c r="L895" s="24" t="n">
        <x:f>IFERROR('各站彙總來源'!L895/'各站彙總來源'!M895,"")</x:f>
        <x:v>0.5</x:v>
      </x:c>
      <x:c r="M895" s="19" t="n">
        <x:f>'各站彙總來源'!M895</x:f>
        <x:v>26</x:v>
      </x:c>
      <x:c r="N895" s="24" t="n">
        <x:f>F895+H895</x:f>
        <x:v>9.307692307692308</x:v>
      </x:c>
      <x:c r="O895" s="24" t="n">
        <x:f>J895+L895</x:f>
        <x:v>6.730769230769231</x:v>
      </x:c>
    </x:row>
    <x:row r="896">
      <x:c r="A896" s="22" t="str">
        <x:v>500107135</x:v>
      </x:c>
      <x:c r="B896" s="17" t="str">
        <x:v>中山區</x:v>
      </x:c>
      <x:c r="C896" s="17" t="str">
        <x:v>長寧大廈社區(南側)</x:v>
      </x:c>
      <x:c r="D896" s="18" t="n">
        <x:v>26</x:v>
      </x:c>
      <x:c r="E896" s="18" t="n">
        <x:v>26</x:v>
      </x:c>
      <x:c r="F896" s="24" t="n">
        <x:f>IFERROR('各站彙總來源'!F896/'各站彙總來源'!G896,"")</x:f>
        <x:v>3.4615384615384617</x:v>
      </x:c>
      <x:c r="G896" s="19" t="n">
        <x:f>'各站彙總來源'!G896</x:f>
        <x:v>26</x:v>
      </x:c>
      <x:c r="H896" s="24" t="n">
        <x:f>IFERROR('各站彙總來源'!H896/'各站彙總來源'!I896,"")</x:f>
        <x:v>0.9230769230769231</x:v>
      </x:c>
      <x:c r="I896" s="19" t="n">
        <x:f>'各站彙總來源'!I896</x:f>
        <x:v>26</x:v>
      </x:c>
      <x:c r="J896" s="24" t="n">
        <x:f>IFERROR('各站彙總來源'!J896/'各站彙總來源'!K896,"")</x:f>
        <x:v>9.653846153846153</x:v>
      </x:c>
      <x:c r="K896" s="19" t="n">
        <x:f>'各站彙總來源'!K896</x:f>
        <x:v>26</x:v>
      </x:c>
      <x:c r="L896" s="24" t="n">
        <x:f>IFERROR('各站彙總來源'!L896/'各站彙總來源'!M896,"")</x:f>
        <x:v>1.7307692307692308</x:v>
      </x:c>
      <x:c r="M896" s="19" t="n">
        <x:f>'各站彙總來源'!M896</x:f>
        <x:v>26</x:v>
      </x:c>
      <x:c r="N896" s="24" t="n">
        <x:f>F896+H896</x:f>
        <x:v>4.384615384615385</x:v>
      </x:c>
      <x:c r="O896" s="24" t="n">
        <x:f>J896+L896</x:f>
        <x:v>11.384615384615383</x:v>
      </x:c>
    </x:row>
    <x:row r="897">
      <x:c r="A897" s="22" t="str">
        <x:v>500107136</x:v>
      </x:c>
      <x:c r="B897" s="17" t="str">
        <x:v>中山區</x:v>
      </x:c>
      <x:c r="C897" s="17" t="str">
        <x:v>建國五常街口</x:v>
      </x:c>
      <x:c r="D897" s="18" t="n">
        <x:v>26</x:v>
      </x:c>
      <x:c r="E897" s="18" t="n">
        <x:v>26</x:v>
      </x:c>
      <x:c r="F897" s="24" t="n">
        <x:f>IFERROR('各站彙總來源'!F897/'各站彙總來源'!G897,"")</x:f>
        <x:v>27.03846153846154</x:v>
      </x:c>
      <x:c r="G897" s="19" t="n">
        <x:f>'各站彙總來源'!G897</x:f>
        <x:v>26</x:v>
      </x:c>
      <x:c r="H897" s="24" t="n">
        <x:f>IFERROR('各站彙總來源'!H897/'各站彙總來源'!I897,"")</x:f>
        <x:v>3.3076923076923075</x:v>
      </x:c>
      <x:c r="I897" s="19" t="n">
        <x:f>'各站彙總來源'!I897</x:f>
        <x:v>26</x:v>
      </x:c>
      <x:c r="J897" s="24" t="n">
        <x:f>IFERROR('各站彙總來源'!J897/'各站彙總來源'!K897,"")</x:f>
        <x:v>3.269230769230769</x:v>
      </x:c>
      <x:c r="K897" s="19" t="n">
        <x:f>'各站彙總來源'!K897</x:f>
        <x:v>26</x:v>
      </x:c>
      <x:c r="L897" s="24" t="n">
        <x:f>IFERROR('各站彙總來源'!L897/'各站彙總來源'!M897,"")</x:f>
        <x:v>1.0769230769230769</x:v>
      </x:c>
      <x:c r="M897" s="19" t="n">
        <x:f>'各站彙總來源'!M897</x:f>
        <x:v>26</x:v>
      </x:c>
      <x:c r="N897" s="24" t="n">
        <x:f>F897+H897</x:f>
        <x:v>30.346153846153847</x:v>
      </x:c>
      <x:c r="O897" s="24" t="n">
        <x:f>J897+L897</x:f>
        <x:v>4.346153846153846</x:v>
      </x:c>
    </x:row>
    <x:row r="898">
      <x:c r="A898" s="22" t="str">
        <x:v>500107137</x:v>
      </x:c>
      <x:c r="B898" s="17" t="str">
        <x:v>中山區</x:v>
      </x:c>
      <x:c r="C898" s="17" t="str">
        <x:v>中山北路二段62巷口</x:v>
      </x:c>
      <x:c r="D898" s="18" t="n">
        <x:v>26</x:v>
      </x:c>
      <x:c r="E898" s="18" t="n">
        <x:v>26</x:v>
      </x:c>
      <x:c r="F898" s="24" t="n">
        <x:f>IFERROR('各站彙總來源'!F898/'各站彙總來源'!G898,"")</x:f>
        <x:v>2.576923076923077</x:v>
      </x:c>
      <x:c r="G898" s="19" t="n">
        <x:f>'各站彙總來源'!G898</x:f>
        <x:v>26</x:v>
      </x:c>
      <x:c r="H898" s="24" t="n">
        <x:f>IFERROR('各站彙總來源'!H898/'各站彙總來源'!I898,"")</x:f>
        <x:v>0.5384615384615384</x:v>
      </x:c>
      <x:c r="I898" s="19" t="n">
        <x:f>'各站彙總來源'!I898</x:f>
        <x:v>26</x:v>
      </x:c>
      <x:c r="J898" s="24" t="n">
        <x:f>IFERROR('各站彙總來源'!J898/'各站彙總來源'!K898,"")</x:f>
        <x:v>12.846153846153847</x:v>
      </x:c>
      <x:c r="K898" s="19" t="n">
        <x:f>'各站彙總來源'!K898</x:f>
        <x:v>26</x:v>
      </x:c>
      <x:c r="L898" s="24" t="n">
        <x:f>IFERROR('各站彙總來源'!L898/'各站彙總來源'!M898,"")</x:f>
        <x:v>1.4230769230769231</x:v>
      </x:c>
      <x:c r="M898" s="19" t="n">
        <x:f>'各站彙總來源'!M898</x:f>
        <x:v>26</x:v>
      </x:c>
      <x:c r="N898" s="24" t="n">
        <x:f>F898+H898</x:f>
        <x:v>3.1153846153846154</x:v>
      </x:c>
      <x:c r="O898" s="24" t="n">
        <x:f>J898+L898</x:f>
        <x:v>14.26923076923077</x:v>
      </x:c>
    </x:row>
    <x:row r="899">
      <x:c r="A899" s="22" t="str">
        <x:v>500107138</x:v>
      </x:c>
      <x:c r="B899" s="17" t="str">
        <x:v>中山區</x:v>
      </x:c>
      <x:c r="C899" s="17" t="str">
        <x:v>市民安東街口</x:v>
      </x:c>
      <x:c r="D899" s="18" t="n">
        <x:v>26</x:v>
      </x:c>
      <x:c r="E899" s="18" t="n">
        <x:v>26</x:v>
      </x:c>
      <x:c r="F899" s="24" t="n">
        <x:f>IFERROR('各站彙總來源'!F899/'各站彙總來源'!G899,"")</x:f>
        <x:v>12.615384615384615</x:v>
      </x:c>
      <x:c r="G899" s="19" t="n">
        <x:f>'各站彙總來源'!G899</x:f>
        <x:v>26</x:v>
      </x:c>
      <x:c r="H899" s="24" t="n">
        <x:f>IFERROR('各站彙總來源'!H899/'各站彙總來源'!I899,"")</x:f>
        <x:v>1.3846153846153846</x:v>
      </x:c>
      <x:c r="I899" s="19" t="n">
        <x:f>'各站彙總來源'!I899</x:f>
        <x:v>26</x:v>
      </x:c>
      <x:c r="J899" s="24" t="n">
        <x:f>IFERROR('各站彙總來源'!J899/'各站彙總來源'!K899,"")</x:f>
        <x:v>6.038461538461538</x:v>
      </x:c>
      <x:c r="K899" s="19" t="n">
        <x:f>'各站彙總來源'!K899</x:f>
        <x:v>26</x:v>
      </x:c>
      <x:c r="L899" s="24" t="n">
        <x:f>IFERROR('各站彙總來源'!L899/'各站彙總來源'!M899,"")</x:f>
        <x:v>1.3076923076923077</x:v>
      </x:c>
      <x:c r="M899" s="19" t="n">
        <x:f>'各站彙總來源'!M899</x:f>
        <x:v>26</x:v>
      </x:c>
      <x:c r="N899" s="24" t="n">
        <x:f>F899+H899</x:f>
        <x:v>14</x:v>
      </x:c>
      <x:c r="O899" s="24" t="n">
        <x:f>J899+L899</x:f>
        <x:v>7.346153846153846</x:v>
      </x:c>
    </x:row>
    <x:row r="900">
      <x:c r="A900" s="22" t="str">
        <x:v>500107139</x:v>
      </x:c>
      <x:c r="B900" s="17" t="str">
        <x:v>中山區</x:v>
      </x:c>
      <x:c r="C900" s="17" t="str">
        <x:v>市民大道二段5巷口</x:v>
      </x:c>
      <x:c r="D900" s="18" t="n">
        <x:v>26</x:v>
      </x:c>
      <x:c r="E900" s="18" t="n">
        <x:v>26</x:v>
      </x:c>
      <x:c r="F900" s="24" t="n">
        <x:f>IFERROR('各站彙總來源'!F900/'各站彙總來源'!G900,"")</x:f>
        <x:v>11.884615384615385</x:v>
      </x:c>
      <x:c r="G900" s="19" t="n">
        <x:f>'各站彙總來源'!G900</x:f>
        <x:v>26</x:v>
      </x:c>
      <x:c r="H900" s="24" t="n">
        <x:f>IFERROR('各站彙總來源'!H900/'各站彙總來源'!I900,"")</x:f>
        <x:v>1.1923076923076923</x:v>
      </x:c>
      <x:c r="I900" s="19" t="n">
        <x:f>'各站彙總來源'!I900</x:f>
        <x:v>26</x:v>
      </x:c>
      <x:c r="J900" s="24" t="n">
        <x:f>IFERROR('各站彙總來源'!J900/'各站彙總來源'!K900,"")</x:f>
        <x:v>12.307692307692308</x:v>
      </x:c>
      <x:c r="K900" s="19" t="n">
        <x:f>'各站彙總來源'!K900</x:f>
        <x:v>26</x:v>
      </x:c>
      <x:c r="L900" s="24" t="n">
        <x:f>IFERROR('各站彙總來源'!L900/'各站彙總來源'!M900,"")</x:f>
        <x:v>2.576923076923077</x:v>
      </x:c>
      <x:c r="M900" s="19" t="n">
        <x:f>'各站彙總來源'!M900</x:f>
        <x:v>26</x:v>
      </x:c>
      <x:c r="N900" s="24" t="n">
        <x:f>F900+H900</x:f>
        <x:v>13.076923076923077</x:v>
      </x:c>
      <x:c r="O900" s="24" t="n">
        <x:f>J900+L900</x:f>
        <x:v>14.884615384615385</x:v>
      </x:c>
    </x:row>
    <x:row r="901">
      <x:c r="A901" s="22" t="str">
        <x:v>500107140</x:v>
      </x:c>
      <x:c r="B901" s="17" t="str">
        <x:v>中山區</x:v>
      </x:c>
      <x:c r="C901" s="17" t="str">
        <x:v>捷運中山站(3號出口)</x:v>
      </x:c>
      <x:c r="D901" s="18" t="n">
        <x:v>26</x:v>
      </x:c>
      <x:c r="E901" s="18" t="n">
        <x:v>26</x:v>
      </x:c>
      <x:c r="F901" s="24" t="n">
        <x:f>IFERROR('各站彙總來源'!F901/'各站彙總來源'!G901,"")</x:f>
        <x:v>3.8461538461538463</x:v>
      </x:c>
      <x:c r="G901" s="19" t="n">
        <x:f>'各站彙總來源'!G901</x:f>
        <x:v>26</x:v>
      </x:c>
      <x:c r="H901" s="24" t="n">
        <x:f>IFERROR('各站彙總來源'!H901/'各站彙總來源'!I901,"")</x:f>
        <x:v>0.6923076923076923</x:v>
      </x:c>
      <x:c r="I901" s="19" t="n">
        <x:f>'各站彙總來源'!I901</x:f>
        <x:v>26</x:v>
      </x:c>
      <x:c r="J901" s="24" t="n">
        <x:f>IFERROR('各站彙總來源'!J901/'各站彙總來源'!K901,"")</x:f>
        <x:v>13.307692307692308</x:v>
      </x:c>
      <x:c r="K901" s="19" t="n">
        <x:f>'各站彙總來源'!K901</x:f>
        <x:v>26</x:v>
      </x:c>
      <x:c r="L901" s="24" t="n">
        <x:f>IFERROR('各站彙總來源'!L901/'各站彙總來源'!M901,"")</x:f>
        <x:v>2</x:v>
      </x:c>
      <x:c r="M901" s="19" t="n">
        <x:f>'各站彙總來源'!M901</x:f>
        <x:v>26</x:v>
      </x:c>
      <x:c r="N901" s="24" t="n">
        <x:f>F901+H901</x:f>
        <x:v>4.538461538461538</x:v>
      </x:c>
      <x:c r="O901" s="24" t="n">
        <x:f>J901+L901</x:f>
        <x:v>15.307692307692308</x:v>
      </x:c>
    </x:row>
    <x:row r="902">
      <x:c r="A902" s="22" t="str">
        <x:v>500107141</x:v>
      </x:c>
      <x:c r="B902" s="17" t="str">
        <x:v>中山區</x:v>
      </x:c>
      <x:c r="C902" s="17" t="str">
        <x:v>建國北路高架橋下停車場G區</x:v>
      </x:c>
      <x:c r="D902" s="18" t="n">
        <x:v>26</x:v>
      </x:c>
      <x:c r="E902" s="18" t="n">
        <x:v>26</x:v>
      </x:c>
      <x:c r="F902" s="24" t="n">
        <x:f>IFERROR('各站彙總來源'!F902/'各站彙總來源'!G902,"")</x:f>
        <x:v>8.153846153846153</x:v>
      </x:c>
      <x:c r="G902" s="19" t="n">
        <x:f>'各站彙總來源'!G902</x:f>
        <x:v>26</x:v>
      </x:c>
      <x:c r="H902" s="24" t="n">
        <x:f>IFERROR('各站彙總來源'!H902/'各站彙總來源'!I902,"")</x:f>
        <x:v>1.4230769230769231</x:v>
      </x:c>
      <x:c r="I902" s="19" t="n">
        <x:f>'各站彙總來源'!I902</x:f>
        <x:v>26</x:v>
      </x:c>
      <x:c r="J902" s="24" t="n">
        <x:f>IFERROR('各站彙總來源'!J902/'各站彙總來源'!K902,"")</x:f>
        <x:v>4.884615384615385</x:v>
      </x:c>
      <x:c r="K902" s="19" t="n">
        <x:f>'各站彙總來源'!K902</x:f>
        <x:v>26</x:v>
      </x:c>
      <x:c r="L902" s="24" t="n">
        <x:f>IFERROR('各站彙總來源'!L902/'各站彙總來源'!M902,"")</x:f>
        <x:v>1.1538461538461537</x:v>
      </x:c>
      <x:c r="M902" s="19" t="n">
        <x:f>'各站彙總來源'!M902</x:f>
        <x:v>26</x:v>
      </x:c>
      <x:c r="N902" s="24" t="n">
        <x:f>F902+H902</x:f>
        <x:v>9.576923076923077</x:v>
      </x:c>
      <x:c r="O902" s="24" t="n">
        <x:f>J902+L902</x:f>
        <x:v>6.038461538461538</x:v>
      </x:c>
    </x:row>
    <x:row r="903">
      <x:c r="A903" s="22" t="str">
        <x:v>500107142</x:v>
      </x:c>
      <x:c r="B903" s="17" t="str">
        <x:v>中山區</x:v>
      </x:c>
      <x:c r="C903" s="17" t="str">
        <x:v>朱崙公園</x:v>
      </x:c>
      <x:c r="D903" s="18" t="n">
        <x:v>26</x:v>
      </x:c>
      <x:c r="E903" s="18" t="n">
        <x:v>26</x:v>
      </x:c>
      <x:c r="F903" s="24" t="n">
        <x:f>IFERROR('各站彙總來源'!F903/'各站彙總來源'!G903,"")</x:f>
        <x:v>6.038461538461538</x:v>
      </x:c>
      <x:c r="G903" s="19" t="n">
        <x:f>'各站彙總來源'!G903</x:f>
        <x:v>26</x:v>
      </x:c>
      <x:c r="H903" s="24" t="n">
        <x:f>IFERROR('各站彙總來源'!H903/'各站彙總來源'!I903,"")</x:f>
        <x:v>1.1923076923076923</x:v>
      </x:c>
      <x:c r="I903" s="19" t="n">
        <x:f>'各站彙總來源'!I903</x:f>
        <x:v>26</x:v>
      </x:c>
      <x:c r="J903" s="24" t="n">
        <x:f>IFERROR('各站彙總來源'!J903/'各站彙總來源'!K903,"")</x:f>
        <x:v>6.384615384615385</x:v>
      </x:c>
      <x:c r="K903" s="19" t="n">
        <x:f>'各站彙總來源'!K903</x:f>
        <x:v>26</x:v>
      </x:c>
      <x:c r="L903" s="24" t="n">
        <x:f>IFERROR('各站彙總來源'!L903/'各站彙總來源'!M903,"")</x:f>
        <x:v>0.9615384615384616</x:v>
      </x:c>
      <x:c r="M903" s="19" t="n">
        <x:f>'各站彙總來源'!M903</x:f>
        <x:v>26</x:v>
      </x:c>
      <x:c r="N903" s="24" t="n">
        <x:f>F903+H903</x:f>
        <x:v>7.230769230769231</x:v>
      </x:c>
      <x:c r="O903" s="24" t="n">
        <x:f>J903+L903</x:f>
        <x:v>7.346153846153847</x:v>
      </x:c>
    </x:row>
    <x:row r="904">
      <x:c r="A904" s="22" t="str">
        <x:v>500107143</x:v>
      </x:c>
      <x:c r="B904" s="17" t="str">
        <x:v>中山區</x:v>
      </x:c>
      <x:c r="C904" s="17" t="str">
        <x:v>朱崙復興北路口</x:v>
      </x:c>
      <x:c r="D904" s="18" t="n">
        <x:v>26</x:v>
      </x:c>
      <x:c r="E904" s="18" t="n">
        <x:v>26</x:v>
      </x:c>
      <x:c r="F904" s="24" t="n">
        <x:f>IFERROR('各站彙總來源'!F904/'各站彙總來源'!G904,"")</x:f>
        <x:v>3.4615384615384617</x:v>
      </x:c>
      <x:c r="G904" s="19" t="n">
        <x:f>'各站彙總來源'!G904</x:f>
        <x:v>26</x:v>
      </x:c>
      <x:c r="H904" s="24" t="n">
        <x:f>IFERROR('各站彙總來源'!H904/'各站彙總來源'!I904,"")</x:f>
        <x:v>0.8461538461538461</x:v>
      </x:c>
      <x:c r="I904" s="19" t="n">
        <x:f>'各站彙總來源'!I904</x:f>
        <x:v>26</x:v>
      </x:c>
      <x:c r="J904" s="24" t="n">
        <x:f>IFERROR('各站彙總來源'!J904/'各站彙總來源'!K904,"")</x:f>
        <x:v>7</x:v>
      </x:c>
      <x:c r="K904" s="19" t="n">
        <x:f>'各站彙總來源'!K904</x:f>
        <x:v>26</x:v>
      </x:c>
      <x:c r="L904" s="24" t="n">
        <x:f>IFERROR('各站彙總來源'!L904/'各站彙總來源'!M904,"")</x:f>
        <x:v>1.8461538461538463</x:v>
      </x:c>
      <x:c r="M904" s="19" t="n">
        <x:f>'各站彙總來源'!M904</x:f>
        <x:v>26</x:v>
      </x:c>
      <x:c r="N904" s="24" t="n">
        <x:f>F904+H904</x:f>
        <x:v>4.3076923076923075</x:v>
      </x:c>
      <x:c r="O904" s="24" t="n">
        <x:f>J904+L904</x:f>
        <x:v>8.846153846153847</x:v>
      </x:c>
    </x:row>
    <x:row r="905">
      <x:c r="A905" s="22" t="str">
        <x:v>500107144</x:v>
      </x:c>
      <x:c r="B905" s="17" t="str">
        <x:v>中山區</x:v>
      </x:c>
      <x:c r="C905" s="17" t="str">
        <x:v>捷運行天宮站(4號出口)</x:v>
      </x:c>
      <x:c r="D905" s="18" t="n">
        <x:v>26</x:v>
      </x:c>
      <x:c r="E905" s="18" t="n">
        <x:v>26</x:v>
      </x:c>
      <x:c r="F905" s="24" t="n">
        <x:f>IFERROR('各站彙總來源'!F905/'各站彙總來源'!G905,"")</x:f>
        <x:v>18.53846153846154</x:v>
      </x:c>
      <x:c r="G905" s="19" t="n">
        <x:f>'各站彙總來源'!G905</x:f>
        <x:v>26</x:v>
      </x:c>
      <x:c r="H905" s="24" t="n">
        <x:f>IFERROR('各站彙總來源'!H905/'各站彙總來源'!I905,"")</x:f>
        <x:v>4.115384615384615</x:v>
      </x:c>
      <x:c r="I905" s="19" t="n">
        <x:f>'各站彙總來源'!I905</x:f>
        <x:v>26</x:v>
      </x:c>
      <x:c r="J905" s="24" t="n">
        <x:f>IFERROR('各站彙總來源'!J905/'各站彙總來源'!K905,"")</x:f>
        <x:v>8.884615384615385</x:v>
      </x:c>
      <x:c r="K905" s="19" t="n">
        <x:f>'各站彙總來源'!K905</x:f>
        <x:v>26</x:v>
      </x:c>
      <x:c r="L905" s="24" t="n">
        <x:f>IFERROR('各站彙總來源'!L905/'各站彙總來源'!M905,"")</x:f>
        <x:v>1.4230769230769231</x:v>
      </x:c>
      <x:c r="M905" s="19" t="n">
        <x:f>'各站彙總來源'!M905</x:f>
        <x:v>26</x:v>
      </x:c>
      <x:c r="N905" s="24" t="n">
        <x:f>F905+H905</x:f>
        <x:v>22.653846153846153</x:v>
      </x:c>
      <x:c r="O905" s="24" t="n">
        <x:f>J905+L905</x:f>
        <x:v>10.307692307692308</x:v>
      </x:c>
    </x:row>
    <x:row r="906">
      <x:c r="A906" s="22" t="str">
        <x:v>500107145</x:v>
      </x:c>
      <x:c r="B906" s="17" t="str">
        <x:v>中山區</x:v>
      </x:c>
      <x:c r="C906" s="17" t="str">
        <x:v>建國北路三段86巷口</x:v>
      </x:c>
      <x:c r="D906" s="18" t="n">
        <x:v>26</x:v>
      </x:c>
      <x:c r="E906" s="18" t="n">
        <x:v>26</x:v>
      </x:c>
      <x:c r="F906" s="24" t="n">
        <x:f>IFERROR('各站彙總來源'!F906/'各站彙總來源'!G906,"")</x:f>
        <x:v>10.653846153846153</x:v>
      </x:c>
      <x:c r="G906" s="19" t="n">
        <x:f>'各站彙總來源'!G906</x:f>
        <x:v>26</x:v>
      </x:c>
      <x:c r="H906" s="24" t="n">
        <x:f>IFERROR('各站彙總來源'!H906/'各站彙總來源'!I906,"")</x:f>
        <x:v>3.230769230769231</x:v>
      </x:c>
      <x:c r="I906" s="19" t="n">
        <x:f>'各站彙總來源'!I906</x:f>
        <x:v>26</x:v>
      </x:c>
      <x:c r="J906" s="24" t="n">
        <x:f>IFERROR('各站彙總來源'!J906/'各站彙總來源'!K906,"")</x:f>
        <x:v>6.769230769230769</x:v>
      </x:c>
      <x:c r="K906" s="19" t="n">
        <x:f>'各站彙總來源'!K906</x:f>
        <x:v>26</x:v>
      </x:c>
      <x:c r="L906" s="24" t="n">
        <x:f>IFERROR('各站彙總來源'!L906/'各站彙總來源'!M906,"")</x:f>
        <x:v>1.8846153846153846</x:v>
      </x:c>
      <x:c r="M906" s="19" t="n">
        <x:f>'各站彙總來源'!M906</x:f>
        <x:v>26</x:v>
      </x:c>
      <x:c r="N906" s="24" t="n">
        <x:f>F906+H906</x:f>
        <x:v>13.884615384615383</x:v>
      </x:c>
      <x:c r="O906" s="24" t="n">
        <x:f>J906+L906</x:f>
        <x:v>8.653846153846153</x:v>
      </x:c>
    </x:row>
    <x:row r="907">
      <x:c r="A907" s="22" t="str">
        <x:v>500107146</x:v>
      </x:c>
      <x:c r="B907" s="17" t="str">
        <x:v>中山區</x:v>
      </x:c>
      <x:c r="C907" s="17" t="str">
        <x:v>正守公園</x:v>
      </x:c>
      <x:c r="D907" s="18" t="n">
        <x:v>26</x:v>
      </x:c>
      <x:c r="E907" s="18" t="n">
        <x:v>26</x:v>
      </x:c>
      <x:c r="F907" s="24" t="n">
        <x:f>IFERROR('各站彙總來源'!F907/'各站彙總來源'!G907,"")</x:f>
        <x:v>28.46153846153846</x:v>
      </x:c>
      <x:c r="G907" s="19" t="n">
        <x:f>'各站彙總來源'!G907</x:f>
        <x:v>26</x:v>
      </x:c>
      <x:c r="H907" s="24" t="n">
        <x:f>IFERROR('各站彙總來源'!H907/'各站彙總來源'!I907,"")</x:f>
        <x:v>2.6538461538461537</x:v>
      </x:c>
      <x:c r="I907" s="19" t="n">
        <x:f>'各站彙總來源'!I907</x:f>
        <x:v>26</x:v>
      </x:c>
      <x:c r="J907" s="24" t="n">
        <x:f>IFERROR('各站彙總來源'!J907/'各站彙總來源'!K907,"")</x:f>
        <x:v>6.3076923076923075</x:v>
      </x:c>
      <x:c r="K907" s="19" t="n">
        <x:f>'各站彙總來源'!K907</x:f>
        <x:v>26</x:v>
      </x:c>
      <x:c r="L907" s="24" t="n">
        <x:f>IFERROR('各站彙總來源'!L907/'各站彙總來源'!M907,"")</x:f>
        <x:v>1.7307692307692308</x:v>
      </x:c>
      <x:c r="M907" s="19" t="n">
        <x:f>'各站彙總來源'!M907</x:f>
        <x:v>26</x:v>
      </x:c>
      <x:c r="N907" s="24" t="n">
        <x:f>F907+H907</x:f>
        <x:v>31.115384615384613</x:v>
      </x:c>
      <x:c r="O907" s="24" t="n">
        <x:f>J907+L907</x:f>
        <x:v>8.038461538461538</x:v>
      </x:c>
    </x:row>
    <x:row r="908">
      <x:c r="A908" s="22" t="str">
        <x:v>500107147</x:v>
      </x:c>
      <x:c r="B908" s="17" t="str">
        <x:v>中山區</x:v>
      </x:c>
      <x:c r="C908" s="17" t="str">
        <x:v>四平松江路口</x:v>
      </x:c>
      <x:c r="D908" s="18" t="n">
        <x:v>26</x:v>
      </x:c>
      <x:c r="E908" s="18" t="n">
        <x:v>26</x:v>
      </x:c>
      <x:c r="F908" s="24" t="n">
        <x:f>IFERROR('各站彙總來源'!F908/'各站彙總來源'!G908,"")</x:f>
        <x:v>3.8076923076923075</x:v>
      </x:c>
      <x:c r="G908" s="19" t="n">
        <x:f>'各站彙總來源'!G908</x:f>
        <x:v>26</x:v>
      </x:c>
      <x:c r="H908" s="24" t="n">
        <x:f>IFERROR('各站彙總來源'!H908/'各站彙總來源'!I908,"")</x:f>
        <x:v>0.5769230769230769</x:v>
      </x:c>
      <x:c r="I908" s="19" t="n">
        <x:f>'各站彙總來源'!I908</x:f>
        <x:v>26</x:v>
      </x:c>
      <x:c r="J908" s="24" t="n">
        <x:f>IFERROR('各站彙總來源'!J908/'各站彙總來源'!K908,"")</x:f>
        <x:v>9.923076923076923</x:v>
      </x:c>
      <x:c r="K908" s="19" t="n">
        <x:f>'各站彙總來源'!K908</x:f>
        <x:v>26</x:v>
      </x:c>
      <x:c r="L908" s="24" t="n">
        <x:f>IFERROR('各站彙總來源'!L908/'各站彙總來源'!M908,"")</x:f>
        <x:v>1.5</x:v>
      </x:c>
      <x:c r="M908" s="19" t="n">
        <x:f>'各站彙總來源'!M908</x:f>
        <x:v>26</x:v>
      </x:c>
      <x:c r="N908" s="24" t="n">
        <x:f>F908+H908</x:f>
        <x:v>4.384615384615384</x:v>
      </x:c>
      <x:c r="O908" s="24" t="n">
        <x:f>J908+L908</x:f>
        <x:v>11.423076923076923</x:v>
      </x:c>
    </x:row>
    <x:row r="909">
      <x:c r="A909" s="22" t="str">
        <x:v>500107148</x:v>
      </x:c>
      <x:c r="B909" s="17" t="str">
        <x:v>中山區</x:v>
      </x:c>
      <x:c r="C909" s="17" t="str">
        <x:v>金泰公園</x:v>
      </x:c>
      <x:c r="D909" s="18" t="n">
        <x:v>26</x:v>
      </x:c>
      <x:c r="E909" s="18" t="n">
        <x:v>26</x:v>
      </x:c>
      <x:c r="F909" s="24" t="n">
        <x:f>IFERROR('各站彙總來源'!F909/'各站彙總來源'!G909,"")</x:f>
        <x:v>0</x:v>
      </x:c>
      <x:c r="G909" s="19" t="n">
        <x:f>'各站彙總來源'!G909</x:f>
        <x:v>26</x:v>
      </x:c>
      <x:c r="H909" s="24" t="n">
        <x:f>IFERROR('各站彙總來源'!H909/'各站彙總來源'!I909,"")</x:f>
        <x:v>0</x:v>
      </x:c>
      <x:c r="I909" s="19" t="n">
        <x:f>'各站彙總來源'!I909</x:f>
        <x:v>26</x:v>
      </x:c>
      <x:c r="J909" s="24" t="n">
        <x:f>IFERROR('各站彙總來源'!J909/'各站彙總來源'!K909,"")</x:f>
        <x:v>0</x:v>
      </x:c>
      <x:c r="K909" s="19" t="n">
        <x:f>'各站彙總來源'!K909</x:f>
        <x:v>26</x:v>
      </x:c>
      <x:c r="L909" s="24" t="n">
        <x:f>IFERROR('各站彙總來源'!L909/'各站彙總來源'!M909,"")</x:f>
        <x:v>0</x:v>
      </x:c>
      <x:c r="M909" s="19" t="n">
        <x:f>'各站彙總來源'!M909</x:f>
        <x:v>26</x:v>
      </x:c>
      <x:c r="N909" s="24" t="n">
        <x:f>F909+H909</x:f>
        <x:v>0</x:v>
      </x:c>
      <x:c r="O909" s="24" t="n">
        <x:f>J909+L909</x:f>
        <x:v>0</x:v>
      </x:c>
    </x:row>
    <x:row r="910">
      <x:c r="A910" s="22" t="str">
        <x:v>500107149</x:v>
      </x:c>
      <x:c r="B910" s="17" t="str">
        <x:v>中山區</x:v>
      </x:c>
      <x:c r="C910" s="17" t="str">
        <x:v>北安通北街口</x:v>
      </x:c>
      <x:c r="D910" s="18" t="n">
        <x:v>26</x:v>
      </x:c>
      <x:c r="E910" s="18" t="n">
        <x:v>26</x:v>
      </x:c>
      <x:c r="F910" s="24" t="n">
        <x:f>IFERROR('各站彙總來源'!F910/'各站彙總來源'!G910,"")</x:f>
        <x:v>6.423076923076923</x:v>
      </x:c>
      <x:c r="G910" s="19" t="n">
        <x:f>'各站彙總來源'!G910</x:f>
        <x:v>26</x:v>
      </x:c>
      <x:c r="H910" s="24" t="n">
        <x:f>IFERROR('各站彙總來源'!H910/'各站彙總來源'!I910,"")</x:f>
        <x:v>2.5</x:v>
      </x:c>
      <x:c r="I910" s="19" t="n">
        <x:f>'各站彙總來源'!I910</x:f>
        <x:v>26</x:v>
      </x:c>
      <x:c r="J910" s="24" t="n">
        <x:f>IFERROR('各站彙總來源'!J910/'各站彙總來源'!K910,"")</x:f>
        <x:v>17.192307692307693</x:v>
      </x:c>
      <x:c r="K910" s="19" t="n">
        <x:f>'各站彙總來源'!K910</x:f>
        <x:v>26</x:v>
      </x:c>
      <x:c r="L910" s="24" t="n">
        <x:f>IFERROR('各站彙總來源'!L910/'各站彙總來源'!M910,"")</x:f>
        <x:v>3.1538461538461537</x:v>
      </x:c>
      <x:c r="M910" s="19" t="n">
        <x:f>'各站彙總來源'!M910</x:f>
        <x:v>26</x:v>
      </x:c>
      <x:c r="N910" s="24" t="n">
        <x:f>F910+H910</x:f>
        <x:v>8.923076923076923</x:v>
      </x:c>
      <x:c r="O910" s="24" t="n">
        <x:f>J910+L910</x:f>
        <x:v>20.346153846153847</x:v>
      </x:c>
    </x:row>
    <x:row r="911">
      <x:c r="A911" s="22" t="str">
        <x:v>500107150</x:v>
      </x:c>
      <x:c r="B911" s="17" t="str">
        <x:v>中山區</x:v>
      </x:c>
      <x:c r="C911" s="17" t="str">
        <x:v>民權東復興北路口(西北側)</x:v>
      </x:c>
      <x:c r="D911" s="18" t="n">
        <x:v>26</x:v>
      </x:c>
      <x:c r="E911" s="18" t="n">
        <x:v>26</x:v>
      </x:c>
      <x:c r="F911" s="24" t="n">
        <x:f>IFERROR('各站彙總來源'!F911/'各站彙總來源'!G911,"")</x:f>
        <x:v>5.730769230769231</x:v>
      </x:c>
      <x:c r="G911" s="19" t="n">
        <x:f>'各站彙總來源'!G911</x:f>
        <x:v>26</x:v>
      </x:c>
      <x:c r="H911" s="24" t="n">
        <x:f>IFERROR('各站彙總來源'!H911/'各站彙總來源'!I911,"")</x:f>
        <x:v>0.8076923076923077</x:v>
      </x:c>
      <x:c r="I911" s="19" t="n">
        <x:f>'各站彙總來源'!I911</x:f>
        <x:v>26</x:v>
      </x:c>
      <x:c r="J911" s="24" t="n">
        <x:f>IFERROR('各站彙總來源'!J911/'各站彙總來源'!K911,"")</x:f>
        <x:v>9</x:v>
      </x:c>
      <x:c r="K911" s="19" t="n">
        <x:f>'各站彙總來源'!K911</x:f>
        <x:v>26</x:v>
      </x:c>
      <x:c r="L911" s="24" t="n">
        <x:f>IFERROR('各站彙總來源'!L911/'各站彙總來源'!M911,"")</x:f>
        <x:v>1.3846153846153846</x:v>
      </x:c>
      <x:c r="M911" s="19" t="n">
        <x:f>'各站彙總來源'!M911</x:f>
        <x:v>26</x:v>
      </x:c>
      <x:c r="N911" s="24" t="n">
        <x:f>F911+H911</x:f>
        <x:v>6.538461538461538</x:v>
      </x:c>
      <x:c r="O911" s="24" t="n">
        <x:f>J911+L911</x:f>
        <x:v>10.384615384615385</x:v>
      </x:c>
    </x:row>
    <x:row r="912">
      <x:c r="A912" s="22" t="str">
        <x:v>500107151</x:v>
      </x:c>
      <x:c r="B912" s="17" t="str">
        <x:v>中山區</x:v>
      </x:c>
      <x:c r="C912" s="17" t="str">
        <x:v>臺北市立大同高中</x:v>
      </x:c>
      <x:c r="D912" s="18" t="n">
        <x:v>26</x:v>
      </x:c>
      <x:c r="E912" s="18" t="n">
        <x:v>26</x:v>
      </x:c>
      <x:c r="F912" s="24" t="n">
        <x:f>IFERROR('各站彙總來源'!F912/'各站彙總來源'!G912,"")</x:f>
        <x:v>15.538461538461538</x:v>
      </x:c>
      <x:c r="G912" s="19" t="n">
        <x:f>'各站彙總來源'!G912</x:f>
        <x:v>26</x:v>
      </x:c>
      <x:c r="H912" s="24" t="n">
        <x:f>IFERROR('各站彙總來源'!H912/'各站彙總來源'!I912,"")</x:f>
        <x:v>1.9230769230769231</x:v>
      </x:c>
      <x:c r="I912" s="19" t="n">
        <x:f>'各站彙總來源'!I912</x:f>
        <x:v>26</x:v>
      </x:c>
      <x:c r="J912" s="24" t="n">
        <x:f>IFERROR('各站彙總來源'!J912/'各站彙總來源'!K912,"")</x:f>
        <x:v>25.46153846153846</x:v>
      </x:c>
      <x:c r="K912" s="19" t="n">
        <x:f>'各站彙總來源'!K912</x:f>
        <x:v>26</x:v>
      </x:c>
      <x:c r="L912" s="24" t="n">
        <x:f>IFERROR('各站彙總來源'!L912/'各站彙總來源'!M912,"")</x:f>
        <x:v>4.8076923076923075</x:v>
      </x:c>
      <x:c r="M912" s="19" t="n">
        <x:f>'各站彙總來源'!M912</x:f>
        <x:v>26</x:v>
      </x:c>
      <x:c r="N912" s="24" t="n">
        <x:f>F912+H912</x:f>
        <x:v>17.46153846153846</x:v>
      </x:c>
      <x:c r="O912" s="24" t="n">
        <x:f>J912+L912</x:f>
        <x:v>30.269230769230766</x:v>
      </x:c>
    </x:row>
    <x:row r="913">
      <x:c r="A913" s="22" t="str">
        <x:v>500107152</x:v>
      </x:c>
      <x:c r="B913" s="17" t="str">
        <x:v>中山區</x:v>
      </x:c>
      <x:c r="C913" s="17" t="str">
        <x:v>中崙加油站</x:v>
      </x:c>
      <x:c r="D913" s="18" t="n">
        <x:v>26</x:v>
      </x:c>
      <x:c r="E913" s="18" t="n">
        <x:v>26</x:v>
      </x:c>
      <x:c r="F913" s="24" t="n">
        <x:f>IFERROR('各站彙總來源'!F913/'各站彙總來源'!G913,"")</x:f>
        <x:v>6.615384615384615</x:v>
      </x:c>
      <x:c r="G913" s="19" t="n">
        <x:f>'各站彙總來源'!G913</x:f>
        <x:v>26</x:v>
      </x:c>
      <x:c r="H913" s="24" t="n">
        <x:f>IFERROR('各站彙總來源'!H913/'各站彙總來源'!I913,"")</x:f>
        <x:v>1.5</x:v>
      </x:c>
      <x:c r="I913" s="19" t="n">
        <x:f>'各站彙總來源'!I913</x:f>
        <x:v>26</x:v>
      </x:c>
      <x:c r="J913" s="24" t="n">
        <x:f>IFERROR('各站彙總來源'!J913/'各站彙總來源'!K913,"")</x:f>
        <x:v>12.615384615384615</x:v>
      </x:c>
      <x:c r="K913" s="19" t="n">
        <x:f>'各站彙總來源'!K913</x:f>
        <x:v>26</x:v>
      </x:c>
      <x:c r="L913" s="24" t="n">
        <x:f>IFERROR('各站彙總來源'!L913/'各站彙總來源'!M913,"")</x:f>
        <x:v>2.8846153846153846</x:v>
      </x:c>
      <x:c r="M913" s="19" t="n">
        <x:f>'各站彙總來源'!M913</x:f>
        <x:v>26</x:v>
      </x:c>
      <x:c r="N913" s="24" t="n">
        <x:f>F913+H913</x:f>
        <x:v>8.115384615384615</x:v>
      </x:c>
      <x:c r="O913" s="24" t="n">
        <x:f>J913+L913</x:f>
        <x:v>15.5</x:v>
      </x:c>
    </x:row>
    <x:row r="914">
      <x:c r="A914" s="22" t="str">
        <x:v>500107153</x:v>
      </x:c>
      <x:c r="B914" s="17" t="str">
        <x:v>中山區</x:v>
      </x:c>
      <x:c r="C914" s="17" t="str">
        <x:v>北安明水路口(自強隧道)</x:v>
      </x:c>
      <x:c r="D914" s="18" t="n">
        <x:v>26</x:v>
      </x:c>
      <x:c r="E914" s="18" t="n">
        <x:v>26</x:v>
      </x:c>
      <x:c r="F914" s="24" t="n">
        <x:f>IFERROR('各站彙總來源'!F914/'各站彙總來源'!G914,"")</x:f>
        <x:v>4.423076923076923</x:v>
      </x:c>
      <x:c r="G914" s="19" t="n">
        <x:f>'各站彙總來源'!G914</x:f>
        <x:v>26</x:v>
      </x:c>
      <x:c r="H914" s="24" t="n">
        <x:f>IFERROR('各站彙總來源'!H914/'各站彙總來源'!I914,"")</x:f>
        <x:v>0.8461538461538461</x:v>
      </x:c>
      <x:c r="I914" s="19" t="n">
        <x:f>'各站彙總來源'!I914</x:f>
        <x:v>26</x:v>
      </x:c>
      <x:c r="J914" s="24" t="n">
        <x:f>IFERROR('各站彙總來源'!J914/'各站彙總來源'!K914,"")</x:f>
        <x:v>5.115384615384615</x:v>
      </x:c>
      <x:c r="K914" s="19" t="n">
        <x:f>'各站彙總來源'!K914</x:f>
        <x:v>26</x:v>
      </x:c>
      <x:c r="L914" s="24" t="n">
        <x:f>IFERROR('各站彙總來源'!L914/'各站彙總來源'!M914,"")</x:f>
        <x:v>2.269230769230769</x:v>
      </x:c>
      <x:c r="M914" s="19" t="n">
        <x:f>'各站彙總來源'!M914</x:f>
        <x:v>26</x:v>
      </x:c>
      <x:c r="N914" s="24" t="n">
        <x:f>F914+H914</x:f>
        <x:v>5.269230769230769</x:v>
      </x:c>
      <x:c r="O914" s="24" t="n">
        <x:f>J914+L914</x:f>
        <x:v>7.384615384615384</x:v>
      </x:c>
    </x:row>
    <x:row r="915">
      <x:c r="A915" s="22" t="str">
        <x:v>500107154</x:v>
      </x:c>
      <x:c r="B915" s="17" t="str">
        <x:v>中山區</x:v>
      </x:c>
      <x:c r="C915" s="17" t="str">
        <x:v>中正國小(南京東路三段48巷)</x:v>
      </x:c>
      <x:c r="D915" s="18" t="n">
        <x:v>26</x:v>
      </x:c>
      <x:c r="E915" s="18" t="n">
        <x:v>26</x:v>
      </x:c>
      <x:c r="F915" s="24" t="n">
        <x:f>IFERROR('各站彙總來源'!F915/'各站彙總來源'!G915,"")</x:f>
        <x:v>2.3846153846153846</x:v>
      </x:c>
      <x:c r="G915" s="19" t="n">
        <x:f>'各站彙總來源'!G915</x:f>
        <x:v>26</x:v>
      </x:c>
      <x:c r="H915" s="24" t="n">
        <x:f>IFERROR('各站彙總來源'!H915/'各站彙總來源'!I915,"")</x:f>
        <x:v>0.23076923076923078</x:v>
      </x:c>
      <x:c r="I915" s="19" t="n">
        <x:f>'各站彙總來源'!I915</x:f>
        <x:v>26</x:v>
      </x:c>
      <x:c r="J915" s="24" t="n">
        <x:f>IFERROR('各站彙總來源'!J915/'各站彙總來源'!K915,"")</x:f>
        <x:v>2.423076923076923</x:v>
      </x:c>
      <x:c r="K915" s="19" t="n">
        <x:f>'各站彙總來源'!K915</x:f>
        <x:v>26</x:v>
      </x:c>
      <x:c r="L915" s="24" t="n">
        <x:f>IFERROR('各站彙總來源'!L915/'各站彙總來源'!M915,"")</x:f>
        <x:v>0.5384615384615384</x:v>
      </x:c>
      <x:c r="M915" s="19" t="n">
        <x:f>'各站彙總來源'!M915</x:f>
        <x:v>26</x:v>
      </x:c>
      <x:c r="N915" s="24" t="n">
        <x:f>F915+H915</x:f>
        <x:v>2.6153846153846154</x:v>
      </x:c>
      <x:c r="O915" s="24" t="n">
        <x:f>J915+L915</x:f>
        <x:v>2.9615384615384612</x:v>
      </x:c>
    </x:row>
    <x:row r="916">
      <x:c r="A916" s="22" t="str">
        <x:v>500107155</x:v>
      </x:c>
      <x:c r="B916" s="17" t="str">
        <x:v>中山區</x:v>
      </x:c>
      <x:c r="C916" s="17" t="str">
        <x:v>臺北時代廣場</x:v>
      </x:c>
      <x:c r="D916" s="18" t="n">
        <x:v>26</x:v>
      </x:c>
      <x:c r="E916" s="18" t="n">
        <x:v>26</x:v>
      </x:c>
      <x:c r="F916" s="24" t="n">
        <x:f>IFERROR('各站彙總來源'!F916/'各站彙總來源'!G916,"")</x:f>
        <x:v>3.3076923076923075</x:v>
      </x:c>
      <x:c r="G916" s="19" t="n">
        <x:f>'各站彙總來源'!G916</x:f>
        <x:v>26</x:v>
      </x:c>
      <x:c r="H916" s="24" t="n">
        <x:f>IFERROR('各站彙總來源'!H916/'各站彙總來源'!I916,"")</x:f>
        <x:v>1.1538461538461537</x:v>
      </x:c>
      <x:c r="I916" s="19" t="n">
        <x:f>'各站彙總來源'!I916</x:f>
        <x:v>26</x:v>
      </x:c>
      <x:c r="J916" s="24" t="n">
        <x:f>IFERROR('各站彙總來源'!J916/'各站彙總來源'!K916,"")</x:f>
        <x:v>22.653846153846153</x:v>
      </x:c>
      <x:c r="K916" s="19" t="n">
        <x:f>'各站彙總來源'!K916</x:f>
        <x:v>26</x:v>
      </x:c>
      <x:c r="L916" s="24" t="n">
        <x:f>IFERROR('各站彙總來源'!L916/'各站彙總來源'!M916,"")</x:f>
        <x:v>4.3076923076923075</x:v>
      </x:c>
      <x:c r="M916" s="19" t="n">
        <x:f>'各站彙總來源'!M916</x:f>
        <x:v>26</x:v>
      </x:c>
      <x:c r="N916" s="24" t="n">
        <x:f>F916+H916</x:f>
        <x:v>4.461538461538462</x:v>
      </x:c>
      <x:c r="O916" s="24" t="n">
        <x:f>J916+L916</x:f>
        <x:v>26.96153846153846</x:v>
      </x:c>
    </x:row>
    <x:row r="917">
      <x:c r="A917" s="22" t="str">
        <x:v>500107156</x:v>
      </x:c>
      <x:c r="B917" s="17" t="str">
        <x:v>中山區</x:v>
      </x:c>
      <x:c r="C917" s="17" t="str">
        <x:v>吉林農安街口(西北側)</x:v>
      </x:c>
      <x:c r="D917" s="18" t="n">
        <x:v>26</x:v>
      </x:c>
      <x:c r="E917" s="18" t="n">
        <x:v>26</x:v>
      </x:c>
      <x:c r="F917" s="24" t="n">
        <x:f>IFERROR('各站彙總來源'!F917/'各站彙總來源'!G917,"")</x:f>
        <x:v>19.53846153846154</x:v>
      </x:c>
      <x:c r="G917" s="19" t="n">
        <x:f>'各站彙總來源'!G917</x:f>
        <x:v>26</x:v>
      </x:c>
      <x:c r="H917" s="24" t="n">
        <x:f>IFERROR('各站彙總來源'!H917/'各站彙總來源'!I917,"")</x:f>
        <x:v>2.4615384615384617</x:v>
      </x:c>
      <x:c r="I917" s="19" t="n">
        <x:f>'各站彙總來源'!I917</x:f>
        <x:v>26</x:v>
      </x:c>
      <x:c r="J917" s="24" t="n">
        <x:f>IFERROR('各站彙總來源'!J917/'各站彙總來源'!K917,"")</x:f>
        <x:v>5.769230769230769</x:v>
      </x:c>
      <x:c r="K917" s="19" t="n">
        <x:f>'各站彙總來源'!K917</x:f>
        <x:v>26</x:v>
      </x:c>
      <x:c r="L917" s="24" t="n">
        <x:f>IFERROR('各站彙總來源'!L917/'各站彙總來源'!M917,"")</x:f>
        <x:v>0.5769230769230769</x:v>
      </x:c>
      <x:c r="M917" s="19" t="n">
        <x:f>'各站彙總來源'!M917</x:f>
        <x:v>26</x:v>
      </x:c>
      <x:c r="N917" s="24" t="n">
        <x:f>F917+H917</x:f>
        <x:v>22</x:v>
      </x:c>
      <x:c r="O917" s="24" t="n">
        <x:f>J917+L917</x:f>
        <x:v>6.346153846153846</x:v>
      </x:c>
    </x:row>
    <x:row r="918">
      <x:c r="A918" s="22" t="str">
        <x:v>500107157</x:v>
      </x:c>
      <x:c r="B918" s="17" t="str">
        <x:v>中山區</x:v>
      </x:c>
      <x:c r="C918" s="17" t="str">
        <x:v>濱江國中</x:v>
      </x:c>
      <x:c r="D918" s="18" t="n">
        <x:v>26</x:v>
      </x:c>
      <x:c r="E918" s="18" t="n">
        <x:v>26</x:v>
      </x:c>
      <x:c r="F918" s="24" t="n">
        <x:f>IFERROR('各站彙總來源'!F918/'各站彙總來源'!G918,"")</x:f>
        <x:v>5.076923076923077</x:v>
      </x:c>
      <x:c r="G918" s="19" t="n">
        <x:f>'各站彙總來源'!G918</x:f>
        <x:v>26</x:v>
      </x:c>
      <x:c r="H918" s="24" t="n">
        <x:f>IFERROR('各站彙總來源'!H918/'各站彙總來源'!I918,"")</x:f>
        <x:v>1.3846153846153846</x:v>
      </x:c>
      <x:c r="I918" s="19" t="n">
        <x:f>'各站彙總來源'!I918</x:f>
        <x:v>26</x:v>
      </x:c>
      <x:c r="J918" s="24" t="n">
        <x:f>IFERROR('各站彙總來源'!J918/'各站彙總來源'!K918,"")</x:f>
        <x:v>9.615384615384615</x:v>
      </x:c>
      <x:c r="K918" s="19" t="n">
        <x:f>'各站彙總來源'!K918</x:f>
        <x:v>26</x:v>
      </x:c>
      <x:c r="L918" s="24" t="n">
        <x:f>IFERROR('各站彙總來源'!L918/'各站彙總來源'!M918,"")</x:f>
        <x:v>4</x:v>
      </x:c>
      <x:c r="M918" s="19" t="n">
        <x:f>'各站彙總來源'!M918</x:f>
        <x:v>26</x:v>
      </x:c>
      <x:c r="N918" s="24" t="n">
        <x:f>F918+H918</x:f>
        <x:v>6.461538461538462</x:v>
      </x:c>
      <x:c r="O918" s="24" t="n">
        <x:f>J918+L918</x:f>
        <x:v>13.615384615384615</x:v>
      </x:c>
    </x:row>
    <x:row r="919">
      <x:c r="A919" s="22" t="str">
        <x:v>500107158</x:v>
      </x:c>
      <x:c r="B919" s="17" t="str">
        <x:v>中山區</x:v>
      </x:c>
      <x:c r="C919" s="17" t="str">
        <x:v>環山抽水站</x:v>
      </x:c>
      <x:c r="D919" s="18" t="n">
        <x:v>26</x:v>
      </x:c>
      <x:c r="E919" s="18" t="n">
        <x:v>26</x:v>
      </x:c>
      <x:c r="F919" s="24" t="n">
        <x:f>IFERROR('各站彙總來源'!F919/'各站彙總來源'!G919,"")</x:f>
        <x:v>12.884615384615385</x:v>
      </x:c>
      <x:c r="G919" s="19" t="n">
        <x:f>'各站彙總來源'!G919</x:f>
        <x:v>26</x:v>
      </x:c>
      <x:c r="H919" s="24" t="n">
        <x:f>IFERROR('各站彙總來源'!H919/'各站彙總來源'!I919,"")</x:f>
        <x:v>2.423076923076923</x:v>
      </x:c>
      <x:c r="I919" s="19" t="n">
        <x:f>'各站彙總來源'!I919</x:f>
        <x:v>26</x:v>
      </x:c>
      <x:c r="J919" s="24" t="n">
        <x:f>IFERROR('各站彙總來源'!J919/'各站彙總來源'!K919,"")</x:f>
        <x:v>10.26923076923077</x:v>
      </x:c>
      <x:c r="K919" s="19" t="n">
        <x:f>'各站彙總來源'!K919</x:f>
        <x:v>26</x:v>
      </x:c>
      <x:c r="L919" s="24" t="n">
        <x:f>IFERROR('各站彙總來源'!L919/'各站彙總來源'!M919,"")</x:f>
        <x:v>2.769230769230769</x:v>
      </x:c>
      <x:c r="M919" s="19" t="n">
        <x:f>'各站彙總來源'!M919</x:f>
        <x:v>26</x:v>
      </x:c>
      <x:c r="N919" s="24" t="n">
        <x:f>F919+H919</x:f>
        <x:v>15.307692307692308</x:v>
      </x:c>
      <x:c r="O919" s="24" t="n">
        <x:f>J919+L919</x:f>
        <x:v>13.03846153846154</x:v>
      </x:c>
    </x:row>
    <x:row r="920">
      <x:c r="A920" s="22" t="str">
        <x:v>500107159</x:v>
      </x:c>
      <x:c r="B920" s="17" t="str">
        <x:v>中山區</x:v>
      </x:c>
      <x:c r="C920" s="17" t="str">
        <x:v>民權中山路口(東北側)</x:v>
      </x:c>
      <x:c r="D920" s="18" t="n">
        <x:v>26</x:v>
      </x:c>
      <x:c r="E920" s="18" t="n">
        <x:v>26</x:v>
      </x:c>
      <x:c r="F920" s="24" t="n">
        <x:f>IFERROR('各站彙總來源'!F920/'各站彙總來源'!G920,"")</x:f>
        <x:v>3.6538461538461537</x:v>
      </x:c>
      <x:c r="G920" s="19" t="n">
        <x:f>'各站彙總來源'!G920</x:f>
        <x:v>26</x:v>
      </x:c>
      <x:c r="H920" s="24" t="n">
        <x:f>IFERROR('各站彙總來源'!H920/'各站彙總來源'!I920,"")</x:f>
        <x:v>1.3461538461538463</x:v>
      </x:c>
      <x:c r="I920" s="19" t="n">
        <x:f>'各站彙總來源'!I920</x:f>
        <x:v>26</x:v>
      </x:c>
      <x:c r="J920" s="24" t="n">
        <x:f>IFERROR('各站彙總來源'!J920/'各站彙總來源'!K920,"")</x:f>
        <x:v>12.884615384615385</x:v>
      </x:c>
      <x:c r="K920" s="19" t="n">
        <x:f>'各站彙總來源'!K920</x:f>
        <x:v>26</x:v>
      </x:c>
      <x:c r="L920" s="24" t="n">
        <x:f>IFERROR('各站彙總來源'!L920/'各站彙總來源'!M920,"")</x:f>
        <x:v>3.0384615384615383</x:v>
      </x:c>
      <x:c r="M920" s="19" t="n">
        <x:f>'各站彙總來源'!M920</x:f>
        <x:v>26</x:v>
      </x:c>
      <x:c r="N920" s="24" t="n">
        <x:f>F920+H920</x:f>
        <x:v>5</x:v>
      </x:c>
      <x:c r="O920" s="24" t="n">
        <x:f>J920+L920</x:f>
        <x:v>15.923076923076923</x:v>
      </x:c>
    </x:row>
    <x:row r="921">
      <x:c r="A921" s="22" t="str">
        <x:v>500107160</x:v>
      </x:c>
      <x:c r="B921" s="17" t="str">
        <x:v>中山區</x:v>
      </x:c>
      <x:c r="C921" s="17" t="str">
        <x:v>復興五常街口(西南側)</x:v>
      </x:c>
      <x:c r="D921" s="18" t="n">
        <x:v>26</x:v>
      </x:c>
      <x:c r="E921" s="18" t="n">
        <x:v>26</x:v>
      </x:c>
      <x:c r="F921" s="24" t="n">
        <x:f>IFERROR('各站彙總來源'!F921/'各站彙總來源'!G921,"")</x:f>
        <x:v>16.615384615384617</x:v>
      </x:c>
      <x:c r="G921" s="19" t="n">
        <x:f>'各站彙總來源'!G921</x:f>
        <x:v>26</x:v>
      </x:c>
      <x:c r="H921" s="24" t="n">
        <x:f>IFERROR('各站彙總來源'!H921/'各站彙總來源'!I921,"")</x:f>
        <x:v>2.269230769230769</x:v>
      </x:c>
      <x:c r="I921" s="19" t="n">
        <x:f>'各站彙總來源'!I921</x:f>
        <x:v>26</x:v>
      </x:c>
      <x:c r="J921" s="24" t="n">
        <x:f>IFERROR('各站彙總來源'!J921/'各站彙總來源'!K921,"")</x:f>
        <x:v>3.8846153846153846</x:v>
      </x:c>
      <x:c r="K921" s="19" t="n">
        <x:f>'各站彙總來源'!K921</x:f>
        <x:v>26</x:v>
      </x:c>
      <x:c r="L921" s="24" t="n">
        <x:f>IFERROR('各站彙總來源'!L921/'各站彙總來源'!M921,"")</x:f>
        <x:v>1.1923076923076923</x:v>
      </x:c>
      <x:c r="M921" s="19" t="n">
        <x:f>'各站彙總來源'!M921</x:f>
        <x:v>26</x:v>
      </x:c>
      <x:c r="N921" s="24" t="n">
        <x:f>F921+H921</x:f>
        <x:v>18.884615384615387</x:v>
      </x:c>
      <x:c r="O921" s="24" t="n">
        <x:f>J921+L921</x:f>
        <x:v>5.076923076923077</x:v>
      </x:c>
    </x:row>
    <x:row r="922">
      <x:c r="A922" s="22" t="str">
        <x:v>500107161</x:v>
      </x:c>
      <x:c r="B922" s="17" t="str">
        <x:v>中山區</x:v>
      </x:c>
      <x:c r="C922" s="17" t="str">
        <x:v>松江長安路口</x:v>
      </x:c>
      <x:c r="D922" s="18" t="n">
        <x:v>26</x:v>
      </x:c>
      <x:c r="E922" s="18" t="n">
        <x:v>26</x:v>
      </x:c>
      <x:c r="F922" s="24" t="n">
        <x:f>IFERROR('各站彙總來源'!F922/'各站彙總來源'!G922,"")</x:f>
        <x:v>4.884615384615385</x:v>
      </x:c>
      <x:c r="G922" s="19" t="n">
        <x:f>'各站彙總來源'!G922</x:f>
        <x:v>26</x:v>
      </x:c>
      <x:c r="H922" s="24" t="n">
        <x:f>IFERROR('各站彙總來源'!H922/'各站彙總來源'!I922,"")</x:f>
        <x:v>1.8461538461538463</x:v>
      </x:c>
      <x:c r="I922" s="19" t="n">
        <x:f>'各站彙總來源'!I922</x:f>
        <x:v>26</x:v>
      </x:c>
      <x:c r="J922" s="24" t="n">
        <x:f>IFERROR('各站彙總來源'!J922/'各站彙總來源'!K922,"")</x:f>
        <x:v>11.26923076923077</x:v>
      </x:c>
      <x:c r="K922" s="19" t="n">
        <x:f>'各站彙總來源'!K922</x:f>
        <x:v>26</x:v>
      </x:c>
      <x:c r="L922" s="24" t="n">
        <x:f>IFERROR('各站彙總來源'!L922/'各站彙總來源'!M922,"")</x:f>
        <x:v>2.5</x:v>
      </x:c>
      <x:c r="M922" s="19" t="n">
        <x:f>'各站彙總來源'!M922</x:f>
        <x:v>26</x:v>
      </x:c>
      <x:c r="N922" s="24" t="n">
        <x:f>F922+H922</x:f>
        <x:v>6.730769230769232</x:v>
      </x:c>
      <x:c r="O922" s="24" t="n">
        <x:f>J922+L922</x:f>
        <x:v>13.76923076923077</x:v>
      </x:c>
    </x:row>
    <x:row r="923">
      <x:c r="A923" s="22" t="str">
        <x:v>500107162</x:v>
      </x:c>
      <x:c r="B923" s="17" t="str">
        <x:v>中山區</x:v>
      </x:c>
      <x:c r="C923" s="17" t="str">
        <x:v>長安國小</x:v>
      </x:c>
      <x:c r="D923" s="18" t="n">
        <x:v>26</x:v>
      </x:c>
      <x:c r="E923" s="18" t="n">
        <x:v>26</x:v>
      </x:c>
      <x:c r="F923" s="24" t="n">
        <x:f>IFERROR('各站彙總來源'!F923/'各站彙總來源'!G923,"")</x:f>
        <x:v>12.461538461538462</x:v>
      </x:c>
      <x:c r="G923" s="19" t="n">
        <x:f>'各站彙總來源'!G923</x:f>
        <x:v>26</x:v>
      </x:c>
      <x:c r="H923" s="24" t="n">
        <x:f>IFERROR('各站彙總來源'!H923/'各站彙總來源'!I923,"")</x:f>
        <x:v>1.9615384615384615</x:v>
      </x:c>
      <x:c r="I923" s="19" t="n">
        <x:f>'各站彙總來源'!I923</x:f>
        <x:v>26</x:v>
      </x:c>
      <x:c r="J923" s="24" t="n">
        <x:f>IFERROR('各站彙總來源'!J923/'各站彙總來源'!K923,"")</x:f>
        <x:v>8</x:v>
      </x:c>
      <x:c r="K923" s="19" t="n">
        <x:f>'各站彙總來源'!K923</x:f>
        <x:v>26</x:v>
      </x:c>
      <x:c r="L923" s="24" t="n">
        <x:f>IFERROR('各站彙總來源'!L923/'各站彙總來源'!M923,"")</x:f>
        <x:v>0.9230769230769231</x:v>
      </x:c>
      <x:c r="M923" s="19" t="n">
        <x:f>'各站彙總來源'!M923</x:f>
        <x:v>26</x:v>
      </x:c>
      <x:c r="N923" s="24" t="n">
        <x:f>F923+H923</x:f>
        <x:v>14.423076923076923</x:v>
      </x:c>
      <x:c r="O923" s="24" t="n">
        <x:f>J923+L923</x:f>
        <x:v>8.923076923076923</x:v>
      </x:c>
    </x:row>
    <x:row r="924">
      <x:c r="A924" s="22" t="str">
        <x:v>500107163</x:v>
      </x:c>
      <x:c r="B924" s="17" t="str">
        <x:v>中山區</x:v>
      </x:c>
      <x:c r="C924" s="17" t="str">
        <x:v>中山市場</x:v>
      </x:c>
      <x:c r="D924" s="18" t="n">
        <x:v>26</x:v>
      </x:c>
      <x:c r="E924" s="18" t="n">
        <x:v>26</x:v>
      </x:c>
      <x:c r="F924" s="24" t="n">
        <x:f>IFERROR('各站彙總來源'!F924/'各站彙總來源'!G924,"")</x:f>
        <x:v>3.923076923076923</x:v>
      </x:c>
      <x:c r="G924" s="19" t="n">
        <x:f>'各站彙總來源'!G924</x:f>
        <x:v>26</x:v>
      </x:c>
      <x:c r="H924" s="24" t="n">
        <x:f>IFERROR('各站彙總來源'!H924/'各站彙總來源'!I924,"")</x:f>
        <x:v>1.1538461538461537</x:v>
      </x:c>
      <x:c r="I924" s="19" t="n">
        <x:f>'各站彙總來源'!I924</x:f>
        <x:v>26</x:v>
      </x:c>
      <x:c r="J924" s="24" t="n">
        <x:f>IFERROR('各站彙總來源'!J924/'各站彙總來源'!K924,"")</x:f>
        <x:v>11.192307692307692</x:v>
      </x:c>
      <x:c r="K924" s="19" t="n">
        <x:f>'各站彙總來源'!K924</x:f>
        <x:v>26</x:v>
      </x:c>
      <x:c r="L924" s="24" t="n">
        <x:f>IFERROR('各站彙總來源'!L924/'各站彙總來源'!M924,"")</x:f>
        <x:v>0.8076923076923077</x:v>
      </x:c>
      <x:c r="M924" s="19" t="n">
        <x:f>'各站彙總來源'!M924</x:f>
        <x:v>26</x:v>
      </x:c>
      <x:c r="N924" s="24" t="n">
        <x:f>F924+H924</x:f>
        <x:v>5.076923076923077</x:v>
      </x:c>
      <x:c r="O924" s="24" t="n">
        <x:f>J924+L924</x:f>
        <x:v>12</x:v>
      </x:c>
    </x:row>
    <x:row r="925">
      <x:c r="A925" s="22" t="str">
        <x:v>500107164</x:v>
      </x:c>
      <x:c r="B925" s="17" t="str">
        <x:v>中山區</x:v>
      </x:c>
      <x:c r="C925" s="17" t="str">
        <x:v>捷運雙連站(1號出口)</x:v>
      </x:c>
      <x:c r="D925" s="18" t="n">
        <x:v>26</x:v>
      </x:c>
      <x:c r="E925" s="18" t="n">
        <x:v>26</x:v>
      </x:c>
      <x:c r="F925" s="24" t="n">
        <x:f>IFERROR('各站彙總來源'!F925/'各站彙總來源'!G925,"")</x:f>
        <x:v>5.230769230769231</x:v>
      </x:c>
      <x:c r="G925" s="19" t="n">
        <x:f>'各站彙總來源'!G925</x:f>
        <x:v>26</x:v>
      </x:c>
      <x:c r="H925" s="24" t="n">
        <x:f>IFERROR('各站彙總來源'!H925/'各站彙總來源'!I925,"")</x:f>
        <x:v>1.9615384615384615</x:v>
      </x:c>
      <x:c r="I925" s="19" t="n">
        <x:f>'各站彙總來源'!I925</x:f>
        <x:v>26</x:v>
      </x:c>
      <x:c r="J925" s="24" t="n">
        <x:f>IFERROR('各站彙總來源'!J925/'各站彙總來源'!K925,"")</x:f>
        <x:v>8.461538461538462</x:v>
      </x:c>
      <x:c r="K925" s="19" t="n">
        <x:f>'各站彙總來源'!K925</x:f>
        <x:v>26</x:v>
      </x:c>
      <x:c r="L925" s="24" t="n">
        <x:f>IFERROR('各站彙總來源'!L925/'各站彙總來源'!M925,"")</x:f>
        <x:v>2.076923076923077</x:v>
      </x:c>
      <x:c r="M925" s="19" t="n">
        <x:f>'各站彙總來源'!M925</x:f>
        <x:v>26</x:v>
      </x:c>
      <x:c r="N925" s="24" t="n">
        <x:f>F925+H925</x:f>
        <x:v>7.1923076923076925</x:v>
      </x:c>
      <x:c r="O925" s="24" t="n">
        <x:f>J925+L925</x:f>
        <x:v>10.538461538461538</x:v>
      </x:c>
    </x:row>
    <x:row r="926">
      <x:c r="A926" s="22" t="str">
        <x:v>500107165</x:v>
      </x:c>
      <x:c r="B926" s="17" t="str">
        <x:v>中山區</x:v>
      </x:c>
      <x:c r="C926" s="17" t="str">
        <x:v>吉林南京路口(西北側)</x:v>
      </x:c>
      <x:c r="D926" s="18" t="n">
        <x:v>26</x:v>
      </x:c>
      <x:c r="E926" s="18" t="n">
        <x:v>26</x:v>
      </x:c>
      <x:c r="F926" s="24" t="n">
        <x:f>IFERROR('各站彙總來源'!F926/'各站彙總來源'!G926,"")</x:f>
        <x:v>4.846153846153846</x:v>
      </x:c>
      <x:c r="G926" s="19" t="n">
        <x:f>'各站彙總來源'!G926</x:f>
        <x:v>26</x:v>
      </x:c>
      <x:c r="H926" s="24" t="n">
        <x:f>IFERROR('各站彙總來源'!H926/'各站彙總來源'!I926,"")</x:f>
        <x:v>0.34615384615384615</x:v>
      </x:c>
      <x:c r="I926" s="19" t="n">
        <x:f>'各站彙總來源'!I926</x:f>
        <x:v>26</x:v>
      </x:c>
      <x:c r="J926" s="24" t="n">
        <x:f>IFERROR('各站彙總來源'!J926/'各站彙總來源'!K926,"")</x:f>
        <x:v>14</x:v>
      </x:c>
      <x:c r="K926" s="19" t="n">
        <x:f>'各站彙總來源'!K926</x:f>
        <x:v>26</x:v>
      </x:c>
      <x:c r="L926" s="24" t="n">
        <x:f>IFERROR('各站彙總來源'!L926/'各站彙總來源'!M926,"")</x:f>
        <x:v>1.8461538461538463</x:v>
      </x:c>
      <x:c r="M926" s="19" t="n">
        <x:f>'各站彙總來源'!M926</x:f>
        <x:v>26</x:v>
      </x:c>
      <x:c r="N926" s="24" t="n">
        <x:f>F926+H926</x:f>
        <x:v>5.192307692307692</x:v>
      </x:c>
      <x:c r="O926" s="24" t="n">
        <x:f>J926+L926</x:f>
        <x:v>15.846153846153847</x:v>
      </x:c>
    </x:row>
    <x:row r="927">
      <x:c r="A927" s="22" t="str">
        <x:v>500107166</x:v>
      </x:c>
      <x:c r="B927" s="17" t="str">
        <x:v>中山區</x:v>
      </x:c>
      <x:c r="C927" s="17" t="str">
        <x:v>龍江路345巷</x:v>
      </x:c>
      <x:c r="D927" s="18" t="n">
        <x:v>26</x:v>
      </x:c>
      <x:c r="E927" s="18" t="n">
        <x:v>26</x:v>
      </x:c>
      <x:c r="F927" s="24" t="n">
        <x:f>IFERROR('各站彙總來源'!F927/'各站彙總來源'!G927,"")</x:f>
        <x:v>29.03846153846154</x:v>
      </x:c>
      <x:c r="G927" s="19" t="n">
        <x:f>'各站彙總來源'!G927</x:f>
        <x:v>26</x:v>
      </x:c>
      <x:c r="H927" s="24" t="n">
        <x:f>IFERROR('各站彙總來源'!H927/'各站彙總來源'!I927,"")</x:f>
        <x:v>2.1923076923076925</x:v>
      </x:c>
      <x:c r="I927" s="19" t="n">
        <x:f>'各站彙總來源'!I927</x:f>
        <x:v>26</x:v>
      </x:c>
      <x:c r="J927" s="24" t="n">
        <x:f>IFERROR('各站彙總來源'!J927/'各站彙總來源'!K927,"")</x:f>
        <x:v>5.576923076923077</x:v>
      </x:c>
      <x:c r="K927" s="19" t="n">
        <x:f>'各站彙總來源'!K927</x:f>
        <x:v>26</x:v>
      </x:c>
      <x:c r="L927" s="24" t="n">
        <x:f>IFERROR('各站彙總來源'!L927/'各站彙總來源'!M927,"")</x:f>
        <x:v>0.6923076923076923</x:v>
      </x:c>
      <x:c r="M927" s="19" t="n">
        <x:f>'各站彙總來源'!M927</x:f>
        <x:v>26</x:v>
      </x:c>
      <x:c r="N927" s="24" t="n">
        <x:f>F927+H927</x:f>
        <x:v>31.230769230769234</x:v>
      </x:c>
      <x:c r="O927" s="24" t="n">
        <x:f>J927+L927</x:f>
        <x:v>6.269230769230769</x:v>
      </x:c>
    </x:row>
    <x:row r="928">
      <x:c r="A928" s="22" t="str">
        <x:v>500107167</x:v>
      </x:c>
      <x:c r="B928" s="17" t="str">
        <x:v>中山區</x:v>
      </x:c>
      <x:c r="C928" s="17" t="str">
        <x:v>捷運劍南路站(3號出口)</x:v>
      </x:c>
      <x:c r="D928" s="18" t="n">
        <x:v>26</x:v>
      </x:c>
      <x:c r="E928" s="18" t="n">
        <x:v>26</x:v>
      </x:c>
      <x:c r="F928" s="24" t="n">
        <x:f>IFERROR('各站彙總來源'!F928/'各站彙總來源'!G928,"")</x:f>
        <x:v>7.576923076923077</x:v>
      </x:c>
      <x:c r="G928" s="19" t="n">
        <x:f>'各站彙總來源'!G928</x:f>
        <x:v>26</x:v>
      </x:c>
      <x:c r="H928" s="24" t="n">
        <x:f>IFERROR('各站彙總來源'!H928/'各站彙總來源'!I928,"")</x:f>
        <x:v>0.9230769230769231</x:v>
      </x:c>
      <x:c r="I928" s="19" t="n">
        <x:f>'各站彙總來源'!I928</x:f>
        <x:v>26</x:v>
      </x:c>
      <x:c r="J928" s="24" t="n">
        <x:f>IFERROR('各站彙總來源'!J928/'各站彙總來源'!K928,"")</x:f>
        <x:v>12.307692307692308</x:v>
      </x:c>
      <x:c r="K928" s="19" t="n">
        <x:f>'各站彙總來源'!K928</x:f>
        <x:v>26</x:v>
      </x:c>
      <x:c r="L928" s="24" t="n">
        <x:f>IFERROR('各站彙總來源'!L928/'各站彙總來源'!M928,"")</x:f>
        <x:v>4.384615384615385</x:v>
      </x:c>
      <x:c r="M928" s="19" t="n">
        <x:f>'各站彙總來源'!M928</x:f>
        <x:v>26</x:v>
      </x:c>
      <x:c r="N928" s="24" t="n">
        <x:f>F928+H928</x:f>
        <x:v>8.5</x:v>
      </x:c>
      <x:c r="O928" s="24" t="n">
        <x:f>J928+L928</x:f>
        <x:v>16.692307692307693</x:v>
      </x:c>
    </x:row>
    <x:row r="929">
      <x:c r="A929" s="22" t="str">
        <x:v>500107168</x:v>
      </x:c>
      <x:c r="B929" s="17" t="str">
        <x:v>中山區</x:v>
      </x:c>
      <x:c r="C929" s="17" t="str">
        <x:v>一江南京東路口(西南側)</x:v>
      </x:c>
      <x:c r="D929" s="18" t="n">
        <x:v>26</x:v>
      </x:c>
      <x:c r="E929" s="18" t="n">
        <x:v>26</x:v>
      </x:c>
      <x:c r="F929" s="24" t="n">
        <x:f>IFERROR('各站彙總來源'!F929/'各站彙總來源'!G929,"")</x:f>
        <x:v>7.576923076923077</x:v>
      </x:c>
      <x:c r="G929" s="19" t="n">
        <x:f>'各站彙總來源'!G929</x:f>
        <x:v>26</x:v>
      </x:c>
      <x:c r="H929" s="24" t="n">
        <x:f>IFERROR('各站彙總來源'!H929/'各站彙總來源'!I929,"")</x:f>
        <x:v>0.38461538461538464</x:v>
      </x:c>
      <x:c r="I929" s="19" t="n">
        <x:f>'各站彙總來源'!I929</x:f>
        <x:v>26</x:v>
      </x:c>
      <x:c r="J929" s="24" t="n">
        <x:f>IFERROR('各站彙總來源'!J929/'各站彙總來源'!K929,"")</x:f>
        <x:v>5.076923076923077</x:v>
      </x:c>
      <x:c r="K929" s="19" t="n">
        <x:f>'各站彙總來源'!K929</x:f>
        <x:v>26</x:v>
      </x:c>
      <x:c r="L929" s="24" t="n">
        <x:f>IFERROR('各站彙總來源'!L929/'各站彙總來源'!M929,"")</x:f>
        <x:v>1.6923076923076923</x:v>
      </x:c>
      <x:c r="M929" s="19" t="n">
        <x:f>'各站彙總來源'!M929</x:f>
        <x:v>26</x:v>
      </x:c>
      <x:c r="N929" s="24" t="n">
        <x:f>F929+H929</x:f>
        <x:v>7.961538461538462</x:v>
      </x:c>
      <x:c r="O929" s="24" t="n">
        <x:f>J929+L929</x:f>
        <x:v>6.769230769230769</x:v>
      </x:c>
    </x:row>
    <x:row r="930">
      <x:c r="A930" s="22" t="str">
        <x:v>500107169</x:v>
      </x:c>
      <x:c r="B930" s="17" t="str">
        <x:v>中山區</x:v>
      </x:c>
      <x:c r="C930" s="17" t="str">
        <x:v>大直抽水站公車站</x:v>
      </x:c>
      <x:c r="D930" s="18" t="n">
        <x:v>26</x:v>
      </x:c>
      <x:c r="E930" s="18" t="n">
        <x:v>26</x:v>
      </x:c>
      <x:c r="F930" s="24" t="n">
        <x:f>IFERROR('各站彙總來源'!F930/'各站彙總來源'!G930,"")</x:f>
        <x:v>12.307692307692308</x:v>
      </x:c>
      <x:c r="G930" s="19" t="n">
        <x:f>'各站彙總來源'!G930</x:f>
        <x:v>26</x:v>
      </x:c>
      <x:c r="H930" s="24" t="n">
        <x:f>IFERROR('各站彙總來源'!H930/'各站彙總來源'!I930,"")</x:f>
        <x:v>0.8461538461538461</x:v>
      </x:c>
      <x:c r="I930" s="19" t="n">
        <x:f>'各站彙總來源'!I930</x:f>
        <x:v>26</x:v>
      </x:c>
      <x:c r="J930" s="24" t="n">
        <x:f>IFERROR('各站彙總來源'!J930/'各站彙總來源'!K930,"")</x:f>
        <x:v>13.076923076923077</x:v>
      </x:c>
      <x:c r="K930" s="19" t="n">
        <x:f>'各站彙總來源'!K930</x:f>
        <x:v>26</x:v>
      </x:c>
      <x:c r="L930" s="24" t="n">
        <x:f>IFERROR('各站彙總來源'!L930/'各站彙總來源'!M930,"")</x:f>
        <x:v>1</x:v>
      </x:c>
      <x:c r="M930" s="19" t="n">
        <x:f>'各站彙總來源'!M930</x:f>
        <x:v>26</x:v>
      </x:c>
      <x:c r="N930" s="24" t="n">
        <x:f>F930+H930</x:f>
        <x:v>13.153846153846155</x:v>
      </x:c>
      <x:c r="O930" s="24" t="n">
        <x:f>J930+L930</x:f>
        <x:v>14.076923076923077</x:v>
      </x:c>
    </x:row>
    <x:row r="931">
      <x:c r="A931" s="22" t="str">
        <x:v>500107170</x:v>
      </x:c>
      <x:c r="B931" s="17" t="str">
        <x:v>中山區</x:v>
      </x:c>
      <x:c r="C931" s="17" t="str">
        <x:v>民權東路三段39巷口</x:v>
      </x:c>
      <x:c r="D931" s="18" t="n">
        <x:v>26</x:v>
      </x:c>
      <x:c r="E931" s="18" t="n">
        <x:v>26</x:v>
      </x:c>
      <x:c r="F931" s="24" t="n">
        <x:f>IFERROR('各站彙總來源'!F931/'各站彙總來源'!G931,"")</x:f>
        <x:v>34.73076923076923</x:v>
      </x:c>
      <x:c r="G931" s="19" t="n">
        <x:f>'各站彙總來源'!G931</x:f>
        <x:v>26</x:v>
      </x:c>
      <x:c r="H931" s="24" t="n">
        <x:f>IFERROR('各站彙總來源'!H931/'各站彙總來源'!I931,"")</x:f>
        <x:v>2.423076923076923</x:v>
      </x:c>
      <x:c r="I931" s="19" t="n">
        <x:f>'各站彙總來源'!I931</x:f>
        <x:v>26</x:v>
      </x:c>
      <x:c r="J931" s="24" t="n">
        <x:f>IFERROR('各站彙總來源'!J931/'各站彙總來源'!K931,"")</x:f>
        <x:v>3.3846153846153846</x:v>
      </x:c>
      <x:c r="K931" s="19" t="n">
        <x:f>'各站彙總來源'!K931</x:f>
        <x:v>26</x:v>
      </x:c>
      <x:c r="L931" s="24" t="n">
        <x:f>IFERROR('各站彙總來源'!L931/'各站彙總來源'!M931,"")</x:f>
        <x:v>0.7307692307692307</x:v>
      </x:c>
      <x:c r="M931" s="19" t="n">
        <x:f>'各站彙總來源'!M931</x:f>
        <x:v>26</x:v>
      </x:c>
      <x:c r="N931" s="24" t="n">
        <x:f>F931+H931</x:f>
        <x:v>37.15384615384615</x:v>
      </x:c>
      <x:c r="O931" s="24" t="n">
        <x:f>J931+L931</x:f>
        <x:v>4.115384615384615</x:v>
      </x:c>
    </x:row>
    <x:row r="932">
      <x:c r="A932" s="22" t="str">
        <x:v>500107171</x:v>
      </x:c>
      <x:c r="B932" s="17" t="str">
        <x:v>中山區</x:v>
      </x:c>
      <x:c r="C932" s="17" t="str">
        <x:v>臺北市立中山女高</x:v>
      </x:c>
      <x:c r="D932" s="18" t="n">
        <x:v>26</x:v>
      </x:c>
      <x:c r="E932" s="18" t="n">
        <x:v>26</x:v>
      </x:c>
      <x:c r="F932" s="24" t="n">
        <x:f>IFERROR('各站彙總來源'!F932/'各站彙總來源'!G932,"")</x:f>
        <x:v>9</x:v>
      </x:c>
      <x:c r="G932" s="19" t="n">
        <x:f>'各站彙總來源'!G932</x:f>
        <x:v>26</x:v>
      </x:c>
      <x:c r="H932" s="24" t="n">
        <x:f>IFERROR('各站彙總來源'!H932/'各站彙總來源'!I932,"")</x:f>
        <x:v>0.9230769230769231</x:v>
      </x:c>
      <x:c r="I932" s="19" t="n">
        <x:f>'各站彙總來源'!I932</x:f>
        <x:v>26</x:v>
      </x:c>
      <x:c r="J932" s="24" t="n">
        <x:f>IFERROR('各站彙總來源'!J932/'各站彙總來源'!K932,"")</x:f>
        <x:v>15.884615384615385</x:v>
      </x:c>
      <x:c r="K932" s="19" t="n">
        <x:f>'各站彙總來源'!K932</x:f>
        <x:v>26</x:v>
      </x:c>
      <x:c r="L932" s="24" t="n">
        <x:f>IFERROR('各站彙總來源'!L932/'各站彙總來源'!M932,"")</x:f>
        <x:v>2.3076923076923075</x:v>
      </x:c>
      <x:c r="M932" s="19" t="n">
        <x:f>'各站彙總來源'!M932</x:f>
        <x:v>26</x:v>
      </x:c>
      <x:c r="N932" s="24" t="n">
        <x:f>F932+H932</x:f>
        <x:v>9.923076923076923</x:v>
      </x:c>
      <x:c r="O932" s="24" t="n">
        <x:f>J932+L932</x:f>
        <x:v>18.192307692307693</x:v>
      </x:c>
    </x:row>
    <x:row r="933">
      <x:c r="A933" s="22" t="str">
        <x:v>500107172</x:v>
      </x:c>
      <x:c r="B933" s="17" t="str">
        <x:v>中山區</x:v>
      </x:c>
      <x:c r="C933" s="17" t="str">
        <x:v>朱昌公園</x:v>
      </x:c>
      <x:c r="D933" s="18" t="n">
        <x:v>26</x:v>
      </x:c>
      <x:c r="E933" s="18" t="n">
        <x:v>26</x:v>
      </x:c>
      <x:c r="F933" s="24" t="n">
        <x:f>IFERROR('各站彙總來源'!F933/'各站彙總來源'!G933,"")</x:f>
        <x:v>23.692307692307693</x:v>
      </x:c>
      <x:c r="G933" s="19" t="n">
        <x:f>'各站彙總來源'!G933</x:f>
        <x:v>26</x:v>
      </x:c>
      <x:c r="H933" s="24" t="n">
        <x:f>IFERROR('各站彙總來源'!H933/'各站彙總來源'!I933,"")</x:f>
        <x:v>1.8846153846153846</x:v>
      </x:c>
      <x:c r="I933" s="19" t="n">
        <x:f>'各站彙總來源'!I933</x:f>
        <x:v>26</x:v>
      </x:c>
      <x:c r="J933" s="24" t="n">
        <x:f>IFERROR('各站彙總來源'!J933/'各站彙總來源'!K933,"")</x:f>
        <x:v>3.5</x:v>
      </x:c>
      <x:c r="K933" s="19" t="n">
        <x:f>'各站彙總來源'!K933</x:f>
        <x:v>26</x:v>
      </x:c>
      <x:c r="L933" s="24" t="n">
        <x:f>IFERROR('各站彙總來源'!L933/'各站彙總來源'!M933,"")</x:f>
        <x:v>0.8846153846153846</x:v>
      </x:c>
      <x:c r="M933" s="19" t="n">
        <x:f>'各站彙總來源'!M933</x:f>
        <x:v>26</x:v>
      </x:c>
      <x:c r="N933" s="24" t="n">
        <x:f>F933+H933</x:f>
        <x:v>25.576923076923077</x:v>
      </x:c>
      <x:c r="O933" s="24" t="n">
        <x:f>J933+L933</x:f>
        <x:v>4.384615384615385</x:v>
      </x:c>
    </x:row>
    <x:row r="934">
      <x:c r="A934" s="22" t="str">
        <x:v>500107173</x:v>
      </x:c>
      <x:c r="B934" s="17" t="str">
        <x:v>中山區</x:v>
      </x:c>
      <x:c r="C934" s="17" t="str">
        <x:v>林森公園東北側</x:v>
      </x:c>
      <x:c r="D934" s="18" t="n">
        <x:v>26</x:v>
      </x:c>
      <x:c r="E934" s="18" t="n">
        <x:v>26</x:v>
      </x:c>
      <x:c r="F934" s="24" t="n">
        <x:f>IFERROR('各站彙總來源'!F934/'各站彙總來源'!G934,"")</x:f>
        <x:v>11.26923076923077</x:v>
      </x:c>
      <x:c r="G934" s="19" t="n">
        <x:f>'各站彙總來源'!G934</x:f>
        <x:v>26</x:v>
      </x:c>
      <x:c r="H934" s="24" t="n">
        <x:f>IFERROR('各站彙總來源'!H934/'各站彙總來源'!I934,"")</x:f>
        <x:v>2</x:v>
      </x:c>
      <x:c r="I934" s="19" t="n">
        <x:f>'各站彙總來源'!I934</x:f>
        <x:v>26</x:v>
      </x:c>
      <x:c r="J934" s="24" t="n">
        <x:f>IFERROR('各站彙總來源'!J934/'各站彙總來源'!K934,"")</x:f>
        <x:v>6.615384615384615</x:v>
      </x:c>
      <x:c r="K934" s="19" t="n">
        <x:f>'各站彙總來源'!K934</x:f>
        <x:v>26</x:v>
      </x:c>
      <x:c r="L934" s="24" t="n">
        <x:f>IFERROR('各站彙總來源'!L934/'各站彙總來源'!M934,"")</x:f>
        <x:v>1.6538461538461537</x:v>
      </x:c>
      <x:c r="M934" s="19" t="n">
        <x:f>'各站彙總來源'!M934</x:f>
        <x:v>26</x:v>
      </x:c>
      <x:c r="N934" s="24" t="n">
        <x:f>F934+H934</x:f>
        <x:v>13.26923076923077</x:v>
      </x:c>
      <x:c r="O934" s="24" t="n">
        <x:f>J934+L934</x:f>
        <x:v>8.269230769230768</x:v>
      </x:c>
    </x:row>
    <x:row r="935">
      <x:c r="A935" s="22" t="str">
        <x:v>500107174</x:v>
      </x:c>
      <x:c r="B935" s="17" t="str">
        <x:v>中山區</x:v>
      </x:c>
      <x:c r="C935" s="17" t="str">
        <x:v>康樂公園西北側</x:v>
      </x:c>
      <x:c r="D935" s="18" t="n">
        <x:v>26</x:v>
      </x:c>
      <x:c r="E935" s="18" t="n">
        <x:v>26</x:v>
      </x:c>
      <x:c r="F935" s="24" t="n">
        <x:f>IFERROR('各站彙總來源'!F935/'各站彙總來源'!G935,"")</x:f>
        <x:v>6.923076923076923</x:v>
      </x:c>
      <x:c r="G935" s="19" t="n">
        <x:f>'各站彙總來源'!G935</x:f>
        <x:v>26</x:v>
      </x:c>
      <x:c r="H935" s="24" t="n">
        <x:f>IFERROR('各站彙總來源'!H935/'各站彙總來源'!I935,"")</x:f>
        <x:v>1.0384615384615385</x:v>
      </x:c>
      <x:c r="I935" s="19" t="n">
        <x:f>'各站彙總來源'!I935</x:f>
        <x:v>26</x:v>
      </x:c>
      <x:c r="J935" s="24" t="n">
        <x:f>IFERROR('各站彙總來源'!J935/'各站彙總來源'!K935,"")</x:f>
        <x:v>13.692307692307692</x:v>
      </x:c>
      <x:c r="K935" s="19" t="n">
        <x:f>'各站彙總來源'!K935</x:f>
        <x:v>26</x:v>
      </x:c>
      <x:c r="L935" s="24" t="n">
        <x:f>IFERROR('各站彙總來源'!L935/'各站彙總來源'!M935,"")</x:f>
        <x:v>1.8461538461538463</x:v>
      </x:c>
      <x:c r="M935" s="19" t="n">
        <x:f>'各站彙總來源'!M935</x:f>
        <x:v>26</x:v>
      </x:c>
      <x:c r="N935" s="24" t="n">
        <x:f>F935+H935</x:f>
        <x:v>7.961538461538462</x:v>
      </x:c>
      <x:c r="O935" s="24" t="n">
        <x:f>J935+L935</x:f>
        <x:v>15.538461538461538</x:v>
      </x:c>
    </x:row>
    <x:row r="936">
      <x:c r="A936" s="22" t="str">
        <x:v>500107175</x:v>
      </x:c>
      <x:c r="B936" s="17" t="str">
        <x:v>中山區</x:v>
      </x:c>
      <x:c r="C936" s="17" t="str">
        <x:v>中山北德惠街口</x:v>
      </x:c>
      <x:c r="D936" s="18" t="n">
        <x:v>26</x:v>
      </x:c>
      <x:c r="E936" s="18" t="n">
        <x:v>26</x:v>
      </x:c>
      <x:c r="F936" s="24" t="n">
        <x:f>IFERROR('各站彙總來源'!F936/'各站彙總來源'!G936,"")</x:f>
        <x:v>6.730769230769231</x:v>
      </x:c>
      <x:c r="G936" s="19" t="n">
        <x:f>'各站彙總來源'!G936</x:f>
        <x:v>26</x:v>
      </x:c>
      <x:c r="H936" s="24" t="n">
        <x:f>IFERROR('各站彙總來源'!H936/'各站彙總來源'!I936,"")</x:f>
        <x:v>2.1538461538461537</x:v>
      </x:c>
      <x:c r="I936" s="19" t="n">
        <x:f>'各站彙總來源'!I936</x:f>
        <x:v>26</x:v>
      </x:c>
      <x:c r="J936" s="24" t="n">
        <x:f>IFERROR('各站彙總來源'!J936/'各站彙總來源'!K936,"")</x:f>
        <x:v>20.96153846153846</x:v>
      </x:c>
      <x:c r="K936" s="19" t="n">
        <x:f>'各站彙總來源'!K936</x:f>
        <x:v>26</x:v>
      </x:c>
      <x:c r="L936" s="24" t="n">
        <x:f>IFERROR('各站彙總來源'!L936/'各站彙總來源'!M936,"")</x:f>
        <x:v>1.3461538461538463</x:v>
      </x:c>
      <x:c r="M936" s="19" t="n">
        <x:f>'各站彙總來源'!M936</x:f>
        <x:v>26</x:v>
      </x:c>
      <x:c r="N936" s="24" t="n">
        <x:f>F936+H936</x:f>
        <x:v>8.884615384615385</x:v>
      </x:c>
      <x:c r="O936" s="24" t="n">
        <x:f>J936+L936</x:f>
        <x:v>22.307692307692307</x:v>
      </x:c>
    </x:row>
    <x:row r="937">
      <x:c r="A937" s="22" t="str">
        <x:v>500107176</x:v>
      </x:c>
      <x:c r="B937" s="17" t="str">
        <x:v>中山區</x:v>
      </x:c>
      <x:c r="C937" s="17" t="str">
        <x:v>晴光公園</x:v>
      </x:c>
      <x:c r="D937" s="18" t="n">
        <x:v>26</x:v>
      </x:c>
      <x:c r="E937" s="18" t="n">
        <x:v>26</x:v>
      </x:c>
      <x:c r="F937" s="24" t="n">
        <x:f>IFERROR('各站彙總來源'!F937/'各站彙總來源'!G937,"")</x:f>
        <x:v>7.846153846153846</x:v>
      </x:c>
      <x:c r="G937" s="19" t="n">
        <x:f>'各站彙總來源'!G937</x:f>
        <x:v>26</x:v>
      </x:c>
      <x:c r="H937" s="24" t="n">
        <x:f>IFERROR('各站彙總來源'!H937/'各站彙總來源'!I937,"")</x:f>
        <x:v>3.730769230769231</x:v>
      </x:c>
      <x:c r="I937" s="19" t="n">
        <x:f>'各站彙總來源'!I937</x:f>
        <x:v>26</x:v>
      </x:c>
      <x:c r="J937" s="24" t="n">
        <x:f>IFERROR('各站彙總來源'!J937/'各站彙總來源'!K937,"")</x:f>
        <x:v>6.538461538461538</x:v>
      </x:c>
      <x:c r="K937" s="19" t="n">
        <x:f>'各站彙總來源'!K937</x:f>
        <x:v>26</x:v>
      </x:c>
      <x:c r="L937" s="24" t="n">
        <x:f>IFERROR('各站彙總來源'!L937/'各站彙總來源'!M937,"")</x:f>
        <x:v>2</x:v>
      </x:c>
      <x:c r="M937" s="19" t="n">
        <x:f>'各站彙總來源'!M937</x:f>
        <x:v>26</x:v>
      </x:c>
      <x:c r="N937" s="24" t="n">
        <x:f>F937+H937</x:f>
        <x:v>11.576923076923077</x:v>
      </x:c>
      <x:c r="O937" s="24" t="n">
        <x:f>J937+L937</x:f>
        <x:v>8.538461538461538</x:v>
      </x:c>
    </x:row>
    <x:row r="938">
      <x:c r="A938" s="22" t="str">
        <x:v>500107177</x:v>
      </x:c>
      <x:c r="B938" s="17" t="str">
        <x:v>中山區</x:v>
      </x:c>
      <x:c r="C938" s="17" t="str">
        <x:v>松江路25巷口</x:v>
      </x:c>
      <x:c r="D938" s="18" t="n">
        <x:v>26</x:v>
      </x:c>
      <x:c r="E938" s="18" t="n">
        <x:v>26</x:v>
      </x:c>
      <x:c r="F938" s="24" t="n">
        <x:f>IFERROR('各站彙總來源'!F938/'各站彙總來源'!G938,"")</x:f>
        <x:v>6.615384615384615</x:v>
      </x:c>
      <x:c r="G938" s="19" t="n">
        <x:f>'各站彙總來源'!G938</x:f>
        <x:v>26</x:v>
      </x:c>
      <x:c r="H938" s="24" t="n">
        <x:f>IFERROR('各站彙總來源'!H938/'各站彙總來源'!I938,"")</x:f>
        <x:v>0.9230769230769231</x:v>
      </x:c>
      <x:c r="I938" s="19" t="n">
        <x:f>'各站彙總來源'!I938</x:f>
        <x:v>26</x:v>
      </x:c>
      <x:c r="J938" s="24" t="n">
        <x:f>IFERROR('各站彙總來源'!J938/'各站彙總來源'!K938,"")</x:f>
        <x:v>15.923076923076923</x:v>
      </x:c>
      <x:c r="K938" s="19" t="n">
        <x:f>'各站彙總來源'!K938</x:f>
        <x:v>26</x:v>
      </x:c>
      <x:c r="L938" s="24" t="n">
        <x:f>IFERROR('各站彙總來源'!L938/'各站彙總來源'!M938,"")</x:f>
        <x:v>2.269230769230769</x:v>
      </x:c>
      <x:c r="M938" s="19" t="n">
        <x:f>'各站彙總來源'!M938</x:f>
        <x:v>26</x:v>
      </x:c>
      <x:c r="N938" s="24" t="n">
        <x:f>F938+H938</x:f>
        <x:v>7.538461538461538</x:v>
      </x:c>
      <x:c r="O938" s="24" t="n">
        <x:f>J938+L938</x:f>
        <x:v>18.192307692307693</x:v>
      </x:c>
    </x:row>
    <x:row r="939">
      <x:c r="A939" s="22" t="str">
        <x:v>500107178</x:v>
      </x:c>
      <x:c r="B939" s="17" t="str">
        <x:v>中山區</x:v>
      </x:c>
      <x:c r="C939" s="17" t="str">
        <x:v>民生東合江街口</x:v>
      </x:c>
      <x:c r="D939" s="18" t="n">
        <x:v>26</x:v>
      </x:c>
      <x:c r="E939" s="18" t="n">
        <x:v>26</x:v>
      </x:c>
      <x:c r="F939" s="24" t="n">
        <x:f>IFERROR('各站彙總來源'!F939/'各站彙總來源'!G939,"")</x:f>
        <x:v>10.076923076923077</x:v>
      </x:c>
      <x:c r="G939" s="19" t="n">
        <x:f>'各站彙總來源'!G939</x:f>
        <x:v>26</x:v>
      </x:c>
      <x:c r="H939" s="24" t="n">
        <x:f>IFERROR('各站彙總來源'!H939/'各站彙總來源'!I939,"")</x:f>
        <x:v>2.4615384615384617</x:v>
      </x:c>
      <x:c r="I939" s="19" t="n">
        <x:f>'各站彙總來源'!I939</x:f>
        <x:v>26</x:v>
      </x:c>
      <x:c r="J939" s="24" t="n">
        <x:f>IFERROR('各站彙總來源'!J939/'各站彙總來源'!K939,"")</x:f>
        <x:v>9.423076923076923</x:v>
      </x:c>
      <x:c r="K939" s="19" t="n">
        <x:f>'各站彙總來源'!K939</x:f>
        <x:v>26</x:v>
      </x:c>
      <x:c r="L939" s="24" t="n">
        <x:f>IFERROR('各站彙總來源'!L939/'各站彙總來源'!M939,"")</x:f>
        <x:v>2.1538461538461537</x:v>
      </x:c>
      <x:c r="M939" s="19" t="n">
        <x:f>'各站彙總來源'!M939</x:f>
        <x:v>26</x:v>
      </x:c>
      <x:c r="N939" s="24" t="n">
        <x:f>F939+H939</x:f>
        <x:v>12.538461538461538</x:v>
      </x:c>
      <x:c r="O939" s="24" t="n">
        <x:f>J939+L939</x:f>
        <x:v>11.576923076923077</x:v>
      </x:c>
    </x:row>
    <x:row r="940">
      <x:c r="A940" s="22" t="str">
        <x:v>500107179</x:v>
      </x:c>
      <x:c r="B940" s="17" t="str">
        <x:v>中山區</x:v>
      </x:c>
      <x:c r="C940" s="17" t="str">
        <x:v>飛航服務總臺</x:v>
      </x:c>
      <x:c r="D940" s="18" t="n">
        <x:v>26</x:v>
      </x:c>
      <x:c r="E940" s="18" t="n">
        <x:v>26</x:v>
      </x:c>
      <x:c r="F940" s="24" t="n">
        <x:f>IFERROR('各站彙總來源'!F940/'各站彙總來源'!G940,"")</x:f>
        <x:v>6.8076923076923075</x:v>
      </x:c>
      <x:c r="G940" s="19" t="n">
        <x:f>'各站彙總來源'!G940</x:f>
        <x:v>26</x:v>
      </x:c>
      <x:c r="H940" s="24" t="n">
        <x:f>IFERROR('各站彙總來源'!H940/'各站彙總來源'!I940,"")</x:f>
        <x:v>1.1153846153846154</x:v>
      </x:c>
      <x:c r="I940" s="19" t="n">
        <x:f>'各站彙總來源'!I940</x:f>
        <x:v>26</x:v>
      </x:c>
      <x:c r="J940" s="24" t="n">
        <x:f>IFERROR('各站彙總來源'!J940/'各站彙總來源'!K940,"")</x:f>
        <x:v>7.1923076923076925</x:v>
      </x:c>
      <x:c r="K940" s="19" t="n">
        <x:f>'各站彙總來源'!K940</x:f>
        <x:v>26</x:v>
      </x:c>
      <x:c r="L940" s="24" t="n">
        <x:f>IFERROR('各站彙總來源'!L940/'各站彙總來源'!M940,"")</x:f>
        <x:v>3.576923076923077</x:v>
      </x:c>
      <x:c r="M940" s="19" t="n">
        <x:f>'各站彙總來源'!M940</x:f>
        <x:v>26</x:v>
      </x:c>
      <x:c r="N940" s="24" t="n">
        <x:f>F940+H940</x:f>
        <x:v>7.923076923076923</x:v>
      </x:c>
      <x:c r="O940" s="24" t="n">
        <x:f>J940+L940</x:f>
        <x:v>10.76923076923077</x:v>
      </x:c>
    </x:row>
    <x:row r="941">
      <x:c r="A941" s="22" t="str">
        <x:v>500107180</x:v>
      </x:c>
      <x:c r="B941" s="17" t="str">
        <x:v>中山區</x:v>
      </x:c>
      <x:c r="C941" s="17" t="str">
        <x:v>內湖堤頂大道(西南側)</x:v>
      </x:c>
      <x:c r="D941" s="18" t="n">
        <x:v>26</x:v>
      </x:c>
      <x:c r="E941" s="18" t="n">
        <x:v>26</x:v>
      </x:c>
      <x:c r="F941" s="24" t="n">
        <x:f>IFERROR('各站彙總來源'!F941/'各站彙總來源'!G941,"")</x:f>
        <x:v>8.923076923076923</x:v>
      </x:c>
      <x:c r="G941" s="19" t="n">
        <x:f>'各站彙總來源'!G941</x:f>
        <x:v>26</x:v>
      </x:c>
      <x:c r="H941" s="24" t="n">
        <x:f>IFERROR('各站彙總來源'!H941/'各站彙總來源'!I941,"")</x:f>
        <x:v>0.8076923076923077</x:v>
      </x:c>
      <x:c r="I941" s="19" t="n">
        <x:f>'各站彙總來源'!I941</x:f>
        <x:v>26</x:v>
      </x:c>
      <x:c r="J941" s="24" t="n">
        <x:f>IFERROR('各站彙總來源'!J941/'各站彙總來源'!K941,"")</x:f>
        <x:v>13.461538461538462</x:v>
      </x:c>
      <x:c r="K941" s="19" t="n">
        <x:f>'各站彙總來源'!K941</x:f>
        <x:v>26</x:v>
      </x:c>
      <x:c r="L941" s="24" t="n">
        <x:f>IFERROR('各站彙總來源'!L941/'各站彙總來源'!M941,"")</x:f>
        <x:v>1.6153846153846154</x:v>
      </x:c>
      <x:c r="M941" s="19" t="n">
        <x:f>'各站彙總來源'!M941</x:f>
        <x:v>26</x:v>
      </x:c>
      <x:c r="N941" s="24" t="n">
        <x:f>F941+H941</x:f>
        <x:v>9.730769230769232</x:v>
      </x:c>
      <x:c r="O941" s="24" t="n">
        <x:f>J941+L941</x:f>
        <x:v>15.076923076923077</x:v>
      </x:c>
    </x:row>
    <x:row r="942">
      <x:c r="A942" s="22" t="str">
        <x:v>500107181</x:v>
      </x:c>
      <x:c r="B942" s="17" t="str">
        <x:v>中山區</x:v>
      </x:c>
      <x:c r="C942" s="17" t="str">
        <x:v>大直派出所</x:v>
      </x:c>
      <x:c r="D942" s="18" t="n">
        <x:v>26</x:v>
      </x:c>
      <x:c r="E942" s="18" t="n">
        <x:v>26</x:v>
      </x:c>
      <x:c r="F942" s="24" t="n">
        <x:f>IFERROR('各站彙總來源'!F942/'各站彙總來源'!G942,"")</x:f>
        <x:v>5.3076923076923075</x:v>
      </x:c>
      <x:c r="G942" s="19" t="n">
        <x:f>'各站彙總來源'!G942</x:f>
        <x:v>26</x:v>
      </x:c>
      <x:c r="H942" s="24" t="n">
        <x:f>IFERROR('各站彙總來源'!H942/'各站彙總來源'!I942,"")</x:f>
        <x:v>1.3461538461538463</x:v>
      </x:c>
      <x:c r="I942" s="19" t="n">
        <x:f>'各站彙總來源'!I942</x:f>
        <x:v>26</x:v>
      </x:c>
      <x:c r="J942" s="24" t="n">
        <x:f>IFERROR('各站彙總來源'!J942/'各站彙總來源'!K942,"")</x:f>
        <x:v>20.923076923076923</x:v>
      </x:c>
      <x:c r="K942" s="19" t="n">
        <x:f>'各站彙總來源'!K942</x:f>
        <x:v>26</x:v>
      </x:c>
      <x:c r="L942" s="24" t="n">
        <x:f>IFERROR('各站彙總來源'!L942/'各站彙總來源'!M942,"")</x:f>
        <x:v>4.230769230769231</x:v>
      </x:c>
      <x:c r="M942" s="19" t="n">
        <x:f>'各站彙總來源'!M942</x:f>
        <x:v>26</x:v>
      </x:c>
      <x:c r="N942" s="24" t="n">
        <x:f>F942+H942</x:f>
        <x:v>6.653846153846153</x:v>
      </x:c>
      <x:c r="O942" s="24" t="n">
        <x:f>J942+L942</x:f>
        <x:v>25.153846153846153</x:v>
      </x:c>
    </x:row>
    <x:row r="943">
      <x:c r="A943" s="22" t="str">
        <x:v>500107182</x:v>
      </x:c>
      <x:c r="B943" s="17" t="str">
        <x:v>中山區</x:v>
      </x:c>
      <x:c r="C943" s="17" t="str">
        <x:v>遼寧民生路口</x:v>
      </x:c>
      <x:c r="D943" s="18" t="n">
        <x:v>26</x:v>
      </x:c>
      <x:c r="E943" s="18" t="n">
        <x:v>26</x:v>
      </x:c>
      <x:c r="F943" s="24" t="n">
        <x:f>IFERROR('各站彙總來源'!F943/'各站彙總來源'!G943,"")</x:f>
        <x:v>8.076923076923077</x:v>
      </x:c>
      <x:c r="G943" s="19" t="n">
        <x:f>'各站彙總來源'!G943</x:f>
        <x:v>26</x:v>
      </x:c>
      <x:c r="H943" s="24" t="n">
        <x:f>IFERROR('各站彙總來源'!H943/'各站彙總來源'!I943,"")</x:f>
        <x:v>1.0769230769230769</x:v>
      </x:c>
      <x:c r="I943" s="19" t="n">
        <x:f>'各站彙總來源'!I943</x:f>
        <x:v>26</x:v>
      </x:c>
      <x:c r="J943" s="24" t="n">
        <x:f>IFERROR('各站彙總來源'!J943/'各站彙總來源'!K943,"")</x:f>
        <x:v>4.538461538461538</x:v>
      </x:c>
      <x:c r="K943" s="19" t="n">
        <x:f>'各站彙總來源'!K943</x:f>
        <x:v>26</x:v>
      </x:c>
      <x:c r="L943" s="24" t="n">
        <x:f>IFERROR('各站彙總來源'!L943/'各站彙總來源'!M943,"")</x:f>
        <x:v>0.6153846153846154</x:v>
      </x:c>
      <x:c r="M943" s="19" t="n">
        <x:f>'各站彙總來源'!M943</x:f>
        <x:v>26</x:v>
      </x:c>
      <x:c r="N943" s="24" t="n">
        <x:f>F943+H943</x:f>
        <x:v>9.153846153846153</x:v>
      </x:c>
      <x:c r="O943" s="24" t="n">
        <x:f>J943+L943</x:f>
        <x:v>5.153846153846153</x:v>
      </x:c>
    </x:row>
    <x:row r="944">
      <x:c r="A944" s="22" t="str">
        <x:v>500107183</x:v>
      </x:c>
      <x:c r="B944" s="17" t="str">
        <x:v>中山區</x:v>
      </x:c>
      <x:c r="C944" s="17" t="str">
        <x:v>松江路184巷口</x:v>
      </x:c>
      <x:c r="D944" s="18" t="n">
        <x:v>26</x:v>
      </x:c>
      <x:c r="E944" s="18" t="n">
        <x:v>26</x:v>
      </x:c>
      <x:c r="F944" s="24" t="n">
        <x:f>IFERROR('各站彙總來源'!F944/'各站彙總來源'!G944,"")</x:f>
        <x:v>3.9615384615384617</x:v>
      </x:c>
      <x:c r="G944" s="19" t="n">
        <x:f>'各站彙總來源'!G944</x:f>
        <x:v>26</x:v>
      </x:c>
      <x:c r="H944" s="24" t="n">
        <x:f>IFERROR('各站彙總來源'!H944/'各站彙總來源'!I944,"")</x:f>
        <x:v>0.7692307692307693</x:v>
      </x:c>
      <x:c r="I944" s="19" t="n">
        <x:f>'各站彙總來源'!I944</x:f>
        <x:v>26</x:v>
      </x:c>
      <x:c r="J944" s="24" t="n">
        <x:f>IFERROR('各站彙總來源'!J944/'各站彙總來源'!K944,"")</x:f>
        <x:v>8.653846153846153</x:v>
      </x:c>
      <x:c r="K944" s="19" t="n">
        <x:f>'各站彙總來源'!K944</x:f>
        <x:v>26</x:v>
      </x:c>
      <x:c r="L944" s="24" t="n">
        <x:f>IFERROR('各站彙總來源'!L944/'各站彙總來源'!M944,"")</x:f>
        <x:v>1.0769230769230769</x:v>
      </x:c>
      <x:c r="M944" s="19" t="n">
        <x:f>'各站彙總來源'!M944</x:f>
        <x:v>26</x:v>
      </x:c>
      <x:c r="N944" s="24" t="n">
        <x:f>F944+H944</x:f>
        <x:v>4.730769230769231</x:v>
      </x:c>
      <x:c r="O944" s="24" t="n">
        <x:f>J944+L944</x:f>
        <x:v>9.73076923076923</x:v>
      </x:c>
    </x:row>
    <x:row r="945">
      <x:c r="A945" s="22" t="str">
        <x:v>500107184</x:v>
      </x:c>
      <x:c r="B945" s="17" t="str">
        <x:v>中山區</x:v>
      </x:c>
      <x:c r="C945" s="17" t="str">
        <x:v>民權東路三段60巷</x:v>
      </x:c>
      <x:c r="D945" s="18" t="n">
        <x:v>26</x:v>
      </x:c>
      <x:c r="E945" s="18" t="n">
        <x:v>26</x:v>
      </x:c>
      <x:c r="F945" s="24" t="n">
        <x:f>IFERROR('各站彙總來源'!F945/'各站彙總來源'!G945,"")</x:f>
        <x:v>7.115384615384615</x:v>
      </x:c>
      <x:c r="G945" s="19" t="n">
        <x:f>'各站彙總來源'!G945</x:f>
        <x:v>26</x:v>
      </x:c>
      <x:c r="H945" s="24" t="n">
        <x:f>IFERROR('各站彙總來源'!H945/'各站彙總來源'!I945,"")</x:f>
        <x:v>1.8461538461538463</x:v>
      </x:c>
      <x:c r="I945" s="19" t="n">
        <x:f>'各站彙總來源'!I945</x:f>
        <x:v>26</x:v>
      </x:c>
      <x:c r="J945" s="24" t="n">
        <x:f>IFERROR('各站彙總來源'!J945/'各站彙總來源'!K945,"")</x:f>
        <x:v>5.461538461538462</x:v>
      </x:c>
      <x:c r="K945" s="19" t="n">
        <x:f>'各站彙總來源'!K945</x:f>
        <x:v>26</x:v>
      </x:c>
      <x:c r="L945" s="24" t="n">
        <x:f>IFERROR('各站彙總來源'!L945/'各站彙總來源'!M945,"")</x:f>
        <x:v>1.6153846153846154</x:v>
      </x:c>
      <x:c r="M945" s="19" t="n">
        <x:f>'各站彙總來源'!M945</x:f>
        <x:v>26</x:v>
      </x:c>
      <x:c r="N945" s="24" t="n">
        <x:f>F945+H945</x:f>
        <x:v>8.961538461538462</x:v>
      </x:c>
      <x:c r="O945" s="24" t="n">
        <x:f>J945+L945</x:f>
        <x:v>7.076923076923077</x:v>
      </x:c>
    </x:row>
    <x:row r="946">
      <x:c r="A946" s="22" t="str">
        <x:v>500107185</x:v>
      </x:c>
      <x:c r="B946" s="17" t="str">
        <x:v>中山區</x:v>
      </x:c>
      <x:c r="C946" s="17" t="str">
        <x:v>長春路258巷2弄(北側)</x:v>
      </x:c>
      <x:c r="D946" s="18" t="n">
        <x:v>26</x:v>
      </x:c>
      <x:c r="E946" s="18" t="n">
        <x:v>26</x:v>
      </x:c>
      <x:c r="F946" s="24" t="n">
        <x:f>IFERROR('各站彙總來源'!F946/'各站彙總來源'!G946,"")</x:f>
        <x:v>7.884615384615385</x:v>
      </x:c>
      <x:c r="G946" s="19" t="n">
        <x:f>'各站彙總來源'!G946</x:f>
        <x:v>26</x:v>
      </x:c>
      <x:c r="H946" s="24" t="n">
        <x:f>IFERROR('各站彙總來源'!H946/'各站彙總來源'!I946,"")</x:f>
        <x:v>1.2692307692307692</x:v>
      </x:c>
      <x:c r="I946" s="19" t="n">
        <x:f>'各站彙總來源'!I946</x:f>
        <x:v>26</x:v>
      </x:c>
      <x:c r="J946" s="24" t="n">
        <x:f>IFERROR('各站彙總來源'!J946/'各站彙總來源'!K946,"")</x:f>
        <x:v>5.461538461538462</x:v>
      </x:c>
      <x:c r="K946" s="19" t="n">
        <x:f>'各站彙總來源'!K946</x:f>
        <x:v>26</x:v>
      </x:c>
      <x:c r="L946" s="24" t="n">
        <x:f>IFERROR('各站彙總來源'!L946/'各站彙總來源'!M946,"")</x:f>
        <x:v>0.8076923076923077</x:v>
      </x:c>
      <x:c r="M946" s="19" t="n">
        <x:f>'各站彙總來源'!M946</x:f>
        <x:v>26</x:v>
      </x:c>
      <x:c r="N946" s="24" t="n">
        <x:f>F946+H946</x:f>
        <x:v>9.153846153846153</x:v>
      </x:c>
      <x:c r="O946" s="24" t="n">
        <x:f>J946+L946</x:f>
        <x:v>6.269230769230769</x:v>
      </x:c>
    </x:row>
    <x:row r="947">
      <x:c r="A947" s="22" t="str">
        <x:v>500107186</x:v>
      </x:c>
      <x:c r="B947" s="17" t="str">
        <x:v>中山區</x:v>
      </x:c>
      <x:c r="C947" s="17" t="str">
        <x:v>中山北路二段96巷口</x:v>
      </x:c>
      <x:c r="D947" s="18" t="n">
        <x:v>26</x:v>
      </x:c>
      <x:c r="E947" s="18" t="n">
        <x:v>26</x:v>
      </x:c>
      <x:c r="F947" s="24" t="n">
        <x:f>IFERROR('各站彙總來源'!F947/'各站彙總來源'!G947,"")</x:f>
        <x:v>5.576923076923077</x:v>
      </x:c>
      <x:c r="G947" s="19" t="n">
        <x:f>'各站彙總來源'!G947</x:f>
        <x:v>26</x:v>
      </x:c>
      <x:c r="H947" s="24" t="n">
        <x:f>IFERROR('各站彙總來源'!H947/'各站彙總來源'!I947,"")</x:f>
        <x:v>0.7692307692307693</x:v>
      </x:c>
      <x:c r="I947" s="19" t="n">
        <x:f>'各站彙總來源'!I947</x:f>
        <x:v>26</x:v>
      </x:c>
      <x:c r="J947" s="24" t="n">
        <x:f>IFERROR('各站彙總來源'!J947/'各站彙總來源'!K947,"")</x:f>
        <x:v>15.23076923076923</x:v>
      </x:c>
      <x:c r="K947" s="19" t="n">
        <x:f>'各站彙總來源'!K947</x:f>
        <x:v>26</x:v>
      </x:c>
      <x:c r="L947" s="24" t="n">
        <x:f>IFERROR('各站彙總來源'!L947/'各站彙總來源'!M947,"")</x:f>
        <x:v>1.8461538461538463</x:v>
      </x:c>
      <x:c r="M947" s="19" t="n">
        <x:f>'各站彙總來源'!M947</x:f>
        <x:v>26</x:v>
      </x:c>
      <x:c r="N947" s="24" t="n">
        <x:f>F947+H947</x:f>
        <x:v>6.346153846153846</x:v>
      </x:c>
      <x:c r="O947" s="24" t="n">
        <x:f>J947+L947</x:f>
        <x:v>17.076923076923077</x:v>
      </x:c>
    </x:row>
    <x:row r="948">
      <x:c r="A948" s="22" t="str">
        <x:v>500107187</x:v>
      </x:c>
      <x:c r="B948" s="17" t="str">
        <x:v>中山區</x:v>
      </x:c>
      <x:c r="C948" s="17" t="str">
        <x:v>吉林路236巷口</x:v>
      </x:c>
      <x:c r="D948" s="18" t="n">
        <x:v>26</x:v>
      </x:c>
      <x:c r="E948" s="18" t="n">
        <x:v>26</x:v>
      </x:c>
      <x:c r="F948" s="24" t="n">
        <x:f>IFERROR('各站彙總來源'!F948/'各站彙總來源'!G948,"")</x:f>
        <x:v>23.73076923076923</x:v>
      </x:c>
      <x:c r="G948" s="19" t="n">
        <x:f>'各站彙總來源'!G948</x:f>
        <x:v>26</x:v>
      </x:c>
      <x:c r="H948" s="24" t="n">
        <x:f>IFERROR('各站彙總來源'!H948/'各站彙總來源'!I948,"")</x:f>
        <x:v>2.0384615384615383</x:v>
      </x:c>
      <x:c r="I948" s="19" t="n">
        <x:f>'各站彙總來源'!I948</x:f>
        <x:v>26</x:v>
      </x:c>
      <x:c r="J948" s="24" t="n">
        <x:f>IFERROR('各站彙總來源'!J948/'各站彙總來源'!K948,"")</x:f>
        <x:v>6.1923076923076925</x:v>
      </x:c>
      <x:c r="K948" s="19" t="n">
        <x:f>'各站彙總來源'!K948</x:f>
        <x:v>26</x:v>
      </x:c>
      <x:c r="L948" s="24" t="n">
        <x:f>IFERROR('各站彙總來源'!L948/'各站彙總來源'!M948,"")</x:f>
        <x:v>1.2692307692307692</x:v>
      </x:c>
      <x:c r="M948" s="19" t="n">
        <x:f>'各站彙總來源'!M948</x:f>
        <x:v>26</x:v>
      </x:c>
      <x:c r="N948" s="24" t="n">
        <x:f>F948+H948</x:f>
        <x:v>25.769230769230766</x:v>
      </x:c>
      <x:c r="O948" s="24" t="n">
        <x:f>J948+L948</x:f>
        <x:v>7.461538461538462</x:v>
      </x:c>
    </x:row>
    <x:row r="949">
      <x:c r="A949" s="22" t="str">
        <x:v>500107188</x:v>
      </x:c>
      <x:c r="B949" s="17" t="str">
        <x:v>中山區</x:v>
      </x:c>
      <x:c r="C949" s="17" t="str">
        <x:v>上塔悠公園(明水路)</x:v>
      </x:c>
      <x:c r="D949" s="18" t="n">
        <x:v>26</x:v>
      </x:c>
      <x:c r="E949" s="18" t="n">
        <x:v>26</x:v>
      </x:c>
      <x:c r="F949" s="24" t="n">
        <x:f>IFERROR('各站彙總來源'!F949/'各站彙總來源'!G949,"")</x:f>
        <x:v>12.653846153846153</x:v>
      </x:c>
      <x:c r="G949" s="19" t="n">
        <x:f>'各站彙總來源'!G949</x:f>
        <x:v>26</x:v>
      </x:c>
      <x:c r="H949" s="24" t="n">
        <x:f>IFERROR('各站彙總來源'!H949/'各站彙總來源'!I949,"")</x:f>
        <x:v>3</x:v>
      </x:c>
      <x:c r="I949" s="19" t="n">
        <x:f>'各站彙總來源'!I949</x:f>
        <x:v>26</x:v>
      </x:c>
      <x:c r="J949" s="24" t="n">
        <x:f>IFERROR('各站彙總來源'!J949/'各站彙總來源'!K949,"")</x:f>
        <x:v>7.115384615384615</x:v>
      </x:c>
      <x:c r="K949" s="19" t="n">
        <x:f>'各站彙總來源'!K949</x:f>
        <x:v>26</x:v>
      </x:c>
      <x:c r="L949" s="24" t="n">
        <x:f>IFERROR('各站彙總來源'!L949/'各站彙總來源'!M949,"")</x:f>
        <x:v>3.3846153846153846</x:v>
      </x:c>
      <x:c r="M949" s="19" t="n">
        <x:f>'各站彙總來源'!M949</x:f>
        <x:v>26</x:v>
      </x:c>
      <x:c r="N949" s="24" t="n">
        <x:f>F949+H949</x:f>
        <x:v>15.653846153846153</x:v>
      </x:c>
      <x:c r="O949" s="24" t="n">
        <x:f>J949+L949</x:f>
        <x:v>10.5</x:v>
      </x:c>
    </x:row>
    <x:row r="950">
      <x:c r="A950" s="22" t="str">
        <x:v>500107189</x:v>
      </x:c>
      <x:c r="B950" s="17" t="str">
        <x:v>中山區</x:v>
      </x:c>
      <x:c r="C950" s="17" t="str">
        <x:v>中山民生東路口(東南側)</x:v>
      </x:c>
      <x:c r="D950" s="18" t="n">
        <x:v>26</x:v>
      </x:c>
      <x:c r="E950" s="18" t="n">
        <x:v>26</x:v>
      </x:c>
      <x:c r="F950" s="24" t="n">
        <x:f>IFERROR('各站彙總來源'!F950/'各站彙總來源'!G950,"")</x:f>
        <x:v>6.038461538461538</x:v>
      </x:c>
      <x:c r="G950" s="19" t="n">
        <x:f>'各站彙總來源'!G950</x:f>
        <x:v>26</x:v>
      </x:c>
      <x:c r="H950" s="24" t="n">
        <x:f>IFERROR('各站彙總來源'!H950/'各站彙總來源'!I950,"")</x:f>
        <x:v>1.6153846153846154</x:v>
      </x:c>
      <x:c r="I950" s="19" t="n">
        <x:f>'各站彙總來源'!I950</x:f>
        <x:v>26</x:v>
      </x:c>
      <x:c r="J950" s="24" t="n">
        <x:f>IFERROR('各站彙總來源'!J950/'各站彙總來源'!K950,"")</x:f>
        <x:v>11.884615384615385</x:v>
      </x:c>
      <x:c r="K950" s="19" t="n">
        <x:f>'各站彙總來源'!K950</x:f>
        <x:v>26</x:v>
      </x:c>
      <x:c r="L950" s="24" t="n">
        <x:f>IFERROR('各站彙總來源'!L950/'各站彙總來源'!M950,"")</x:f>
        <x:v>3</x:v>
      </x:c>
      <x:c r="M950" s="19" t="n">
        <x:f>'各站彙總來源'!M950</x:f>
        <x:v>26</x:v>
      </x:c>
      <x:c r="N950" s="24" t="n">
        <x:f>F950+H950</x:f>
        <x:v>7.653846153846153</x:v>
      </x:c>
      <x:c r="O950" s="24" t="n">
        <x:f>J950+L950</x:f>
        <x:v>14.884615384615385</x:v>
      </x:c>
    </x:row>
    <x:row r="951">
      <x:c r="A951" s="22" t="str">
        <x:v>500107190</x:v>
      </x:c>
      <x:c r="B951" s="17" t="str">
        <x:v>中山區</x:v>
      </x:c>
      <x:c r="C951" s="17" t="str">
        <x:v>中山北路二段26巷</x:v>
      </x:c>
      <x:c r="D951" s="18" t="n">
        <x:v>26</x:v>
      </x:c>
      <x:c r="E951" s="18" t="n">
        <x:v>26</x:v>
      </x:c>
      <x:c r="F951" s="24" t="n">
        <x:f>IFERROR('各站彙總來源'!F951/'各站彙總來源'!G951,"")</x:f>
        <x:v>4.884615384615385</x:v>
      </x:c>
      <x:c r="G951" s="19" t="n">
        <x:f>'各站彙總來源'!G951</x:f>
        <x:v>26</x:v>
      </x:c>
      <x:c r="H951" s="24" t="n">
        <x:f>IFERROR('各站彙總來源'!H951/'各站彙總來源'!I951,"")</x:f>
        <x:v>1.2692307692307692</x:v>
      </x:c>
      <x:c r="I951" s="19" t="n">
        <x:f>'各站彙總來源'!I951</x:f>
        <x:v>26</x:v>
      </x:c>
      <x:c r="J951" s="24" t="n">
        <x:f>IFERROR('各站彙總來源'!J951/'各站彙總來源'!K951,"")</x:f>
        <x:v>25.96153846153846</x:v>
      </x:c>
      <x:c r="K951" s="19" t="n">
        <x:f>'各站彙總來源'!K951</x:f>
        <x:v>26</x:v>
      </x:c>
      <x:c r="L951" s="24" t="n">
        <x:f>IFERROR('各站彙總來源'!L951/'各站彙總來源'!M951,"")</x:f>
        <x:v>5</x:v>
      </x:c>
      <x:c r="M951" s="19" t="n">
        <x:f>'各站彙總來源'!M951</x:f>
        <x:v>26</x:v>
      </x:c>
      <x:c r="N951" s="24" t="n">
        <x:f>F951+H951</x:f>
        <x:v>6.153846153846154</x:v>
      </x:c>
      <x:c r="O951" s="24" t="n">
        <x:f>J951+L951</x:f>
        <x:v>30.96153846153846</x:v>
      </x:c>
    </x:row>
    <x:row r="952">
      <x:c r="A952" s="22" t="str">
        <x:v>500107191</x:v>
      </x:c>
      <x:c r="B952" s="17" t="str">
        <x:v>中山區</x:v>
      </x:c>
      <x:c r="C952" s="17" t="str">
        <x:v>八德路二段210巷口</x:v>
      </x:c>
      <x:c r="D952" s="18" t="n">
        <x:v>26</x:v>
      </x:c>
      <x:c r="E952" s="18" t="n">
        <x:v>26</x:v>
      </x:c>
      <x:c r="F952" s="24" t="n">
        <x:f>IFERROR('各站彙總來源'!F952/'各站彙總來源'!G952,"")</x:f>
        <x:v>8.692307692307692</x:v>
      </x:c>
      <x:c r="G952" s="19" t="n">
        <x:f>'各站彙總來源'!G952</x:f>
        <x:v>26</x:v>
      </x:c>
      <x:c r="H952" s="24" t="n">
        <x:f>IFERROR('各站彙總來源'!H952/'各站彙總來源'!I952,"")</x:f>
        <x:v>0.9230769230769231</x:v>
      </x:c>
      <x:c r="I952" s="19" t="n">
        <x:f>'各站彙總來源'!I952</x:f>
        <x:v>26</x:v>
      </x:c>
      <x:c r="J952" s="24" t="n">
        <x:f>IFERROR('各站彙總來源'!J952/'各站彙總來源'!K952,"")</x:f>
        <x:v>6.038461538461538</x:v>
      </x:c>
      <x:c r="K952" s="19" t="n">
        <x:f>'各站彙總來源'!K952</x:f>
        <x:v>26</x:v>
      </x:c>
      <x:c r="L952" s="24" t="n">
        <x:f>IFERROR('各站彙總來源'!L952/'各站彙總來源'!M952,"")</x:f>
        <x:v>0.8846153846153846</x:v>
      </x:c>
      <x:c r="M952" s="19" t="n">
        <x:f>'各站彙總來源'!M952</x:f>
        <x:v>26</x:v>
      </x:c>
      <x:c r="N952" s="24" t="n">
        <x:f>F952+H952</x:f>
        <x:v>9.615384615384615</x:v>
      </x:c>
      <x:c r="O952" s="24" t="n">
        <x:f>J952+L952</x:f>
        <x:v>6.923076923076923</x:v>
      </x:c>
    </x:row>
    <x:row r="953">
      <x:c r="A953" s="22" t="str">
        <x:v>500107192</x:v>
      </x:c>
      <x:c r="B953" s="17" t="str">
        <x:v>中山區</x:v>
      </x:c>
      <x:c r="C953" s="17" t="str">
        <x:v>長安林森路口公車站</x:v>
      </x:c>
      <x:c r="D953" s="18" t="n">
        <x:v>26</x:v>
      </x:c>
      <x:c r="E953" s="18" t="n">
        <x:v>26</x:v>
      </x:c>
      <x:c r="F953" s="24" t="n">
        <x:f>IFERROR('各站彙總來源'!F953/'各站彙總來源'!G953,"")</x:f>
        <x:v>17.96153846153846</x:v>
      </x:c>
      <x:c r="G953" s="19" t="n">
        <x:f>'各站彙總來源'!G953</x:f>
        <x:v>26</x:v>
      </x:c>
      <x:c r="H953" s="24" t="n">
        <x:f>IFERROR('各站彙總來源'!H953/'各站彙總來源'!I953,"")</x:f>
        <x:v>2</x:v>
      </x:c>
      <x:c r="I953" s="19" t="n">
        <x:f>'各站彙總來源'!I953</x:f>
        <x:v>26</x:v>
      </x:c>
      <x:c r="J953" s="24" t="n">
        <x:f>IFERROR('各站彙總來源'!J953/'各站彙總來源'!K953,"")</x:f>
        <x:v>6.423076923076923</x:v>
      </x:c>
      <x:c r="K953" s="19" t="n">
        <x:f>'各站彙總來源'!K953</x:f>
        <x:v>26</x:v>
      </x:c>
      <x:c r="L953" s="24" t="n">
        <x:f>IFERROR('各站彙總來源'!L953/'各站彙總來源'!M953,"")</x:f>
        <x:v>1.5384615384615385</x:v>
      </x:c>
      <x:c r="M953" s="19" t="n">
        <x:f>'各站彙總來源'!M953</x:f>
        <x:v>26</x:v>
      </x:c>
      <x:c r="N953" s="24" t="n">
        <x:f>F953+H953</x:f>
        <x:v>19.96153846153846</x:v>
      </x:c>
      <x:c r="O953" s="24" t="n">
        <x:f>J953+L953</x:f>
        <x:v>7.961538461538462</x:v>
      </x:c>
    </x:row>
    <x:row r="954">
      <x:c r="A954" s="22" t="str">
        <x:v>500107193</x:v>
      </x:c>
      <x:c r="B954" s="17" t="str">
        <x:v>中山區</x:v>
      </x:c>
      <x:c r="C954" s="17" t="str">
        <x:v>市民大道二段67巷口</x:v>
      </x:c>
      <x:c r="D954" s="18" t="n">
        <x:v>26</x:v>
      </x:c>
      <x:c r="E954" s="18" t="n">
        <x:v>26</x:v>
      </x:c>
      <x:c r="F954" s="24" t="n">
        <x:f>IFERROR('各站彙總來源'!F954/'各站彙總來源'!G954,"")</x:f>
        <x:v>14.076923076923077</x:v>
      </x:c>
      <x:c r="G954" s="19" t="n">
        <x:f>'各站彙總來源'!G954</x:f>
        <x:v>26</x:v>
      </x:c>
      <x:c r="H954" s="24" t="n">
        <x:f>IFERROR('各站彙總來源'!H954/'各站彙總來源'!I954,"")</x:f>
        <x:v>2.1923076923076925</x:v>
      </x:c>
      <x:c r="I954" s="19" t="n">
        <x:f>'各站彙總來源'!I954</x:f>
        <x:v>26</x:v>
      </x:c>
      <x:c r="J954" s="24" t="n">
        <x:f>IFERROR('各站彙總來源'!J954/'各站彙總來源'!K954,"")</x:f>
        <x:v>4.461538461538462</x:v>
      </x:c>
      <x:c r="K954" s="19" t="n">
        <x:f>'各站彙總來源'!K954</x:f>
        <x:v>26</x:v>
      </x:c>
      <x:c r="L954" s="24" t="n">
        <x:f>IFERROR('各站彙總來源'!L954/'各站彙總來源'!M954,"")</x:f>
        <x:v>0.6153846153846154</x:v>
      </x:c>
      <x:c r="M954" s="19" t="n">
        <x:f>'各站彙總來源'!M954</x:f>
        <x:v>26</x:v>
      </x:c>
      <x:c r="N954" s="24" t="n">
        <x:f>F954+H954</x:f>
        <x:v>16.26923076923077</x:v>
      </x:c>
      <x:c r="O954" s="24" t="n">
        <x:f>J954+L954</x:f>
        <x:v>5.076923076923077</x:v>
      </x:c>
    </x:row>
    <x:row r="955">
      <x:c r="A955" s="22" t="str">
        <x:v>500107194</x:v>
      </x:c>
      <x:c r="B955" s="17" t="str">
        <x:v>中山區</x:v>
      </x:c>
      <x:c r="C955" s="17" t="str">
        <x:v>德惠雙城街口(西側)</x:v>
      </x:c>
      <x:c r="D955" s="18" t="n">
        <x:v>26</x:v>
      </x:c>
      <x:c r="E955" s="18" t="n">
        <x:v>26</x:v>
      </x:c>
      <x:c r="F955" s="24" t="n">
        <x:f>IFERROR('各站彙總來源'!F955/'各站彙總來源'!G955,"")</x:f>
        <x:v>10.576923076923077</x:v>
      </x:c>
      <x:c r="G955" s="19" t="n">
        <x:f>'各站彙總來源'!G955</x:f>
        <x:v>26</x:v>
      </x:c>
      <x:c r="H955" s="24" t="n">
        <x:f>IFERROR('各站彙總來源'!H955/'各站彙總來源'!I955,"")</x:f>
        <x:v>1.8846153846153846</x:v>
      </x:c>
      <x:c r="I955" s="19" t="n">
        <x:f>'各站彙總來源'!I955</x:f>
        <x:v>26</x:v>
      </x:c>
      <x:c r="J955" s="24" t="n">
        <x:f>IFERROR('各站彙總來源'!J955/'各站彙總來源'!K955,"")</x:f>
        <x:v>14.115384615384615</x:v>
      </x:c>
      <x:c r="K955" s="19" t="n">
        <x:f>'各站彙總來源'!K955</x:f>
        <x:v>26</x:v>
      </x:c>
      <x:c r="L955" s="24" t="n">
        <x:f>IFERROR('各站彙總來源'!L955/'各站彙總來源'!M955,"")</x:f>
        <x:v>1</x:v>
      </x:c>
      <x:c r="M955" s="19" t="n">
        <x:f>'各站彙總來源'!M955</x:f>
        <x:v>26</x:v>
      </x:c>
      <x:c r="N955" s="24" t="n">
        <x:f>F955+H955</x:f>
        <x:v>12.461538461538462</x:v>
      </x:c>
      <x:c r="O955" s="24" t="n">
        <x:f>J955+L955</x:f>
        <x:v>15.115384615384615</x:v>
      </x:c>
    </x:row>
    <x:row r="956">
      <x:c r="A956" s="22" t="str">
        <x:v>500107195</x:v>
      </x:c>
      <x:c r="B956" s="17" t="str">
        <x:v>中山區</x:v>
      </x:c>
      <x:c r="C956" s="17" t="str">
        <x:v>北安路608巷明水路口</x:v>
      </x:c>
      <x:c r="D956" s="18" t="n">
        <x:v>26</x:v>
      </x:c>
      <x:c r="E956" s="18" t="n">
        <x:v>26</x:v>
      </x:c>
      <x:c r="F956" s="24" t="n">
        <x:f>IFERROR('各站彙總來源'!F956/'各站彙總來源'!G956,"")</x:f>
        <x:v>9.384615384615385</x:v>
      </x:c>
      <x:c r="G956" s="19" t="n">
        <x:f>'各站彙總來源'!G956</x:f>
        <x:v>26</x:v>
      </x:c>
      <x:c r="H956" s="24" t="n">
        <x:f>IFERROR('各站彙總來源'!H956/'各站彙總來源'!I956,"")</x:f>
        <x:v>1.8461538461538463</x:v>
      </x:c>
      <x:c r="I956" s="19" t="n">
        <x:f>'各站彙總來源'!I956</x:f>
        <x:v>26</x:v>
      </x:c>
      <x:c r="J956" s="24" t="n">
        <x:f>IFERROR('各站彙總來源'!J956/'各站彙總來源'!K956,"")</x:f>
        <x:v>13.576923076923077</x:v>
      </x:c>
      <x:c r="K956" s="19" t="n">
        <x:f>'各站彙總來源'!K956</x:f>
        <x:v>26</x:v>
      </x:c>
      <x:c r="L956" s="24" t="n">
        <x:f>IFERROR('各站彙總來源'!L956/'各站彙總來源'!M956,"")</x:f>
        <x:v>2.9615384615384617</x:v>
      </x:c>
      <x:c r="M956" s="19" t="n">
        <x:f>'各站彙總來源'!M956</x:f>
        <x:v>26</x:v>
      </x:c>
      <x:c r="N956" s="24" t="n">
        <x:f>F956+H956</x:f>
        <x:v>11.230769230769232</x:v>
      </x:c>
      <x:c r="O956" s="24" t="n">
        <x:f>J956+L956</x:f>
        <x:v>16.53846153846154</x:v>
      </x:c>
    </x:row>
    <x:row r="957">
      <x:c r="A957" s="22" t="str">
        <x:v>500107196</x:v>
      </x:c>
      <x:c r="B957" s="17" t="str">
        <x:v>中山區</x:v>
      </x:c>
      <x:c r="C957" s="17" t="str">
        <x:v>新生林森北路485巷口</x:v>
      </x:c>
      <x:c r="D957" s="18" t="n">
        <x:v>26</x:v>
      </x:c>
      <x:c r="E957" s="18" t="n">
        <x:v>26</x:v>
      </x:c>
      <x:c r="F957" s="24" t="n">
        <x:f>IFERROR('各站彙總來源'!F957/'各站彙總來源'!G957,"")</x:f>
        <x:v>12.615384615384615</x:v>
      </x:c>
      <x:c r="G957" s="19" t="n">
        <x:f>'各站彙總來源'!G957</x:f>
        <x:v>26</x:v>
      </x:c>
      <x:c r="H957" s="24" t="n">
        <x:f>IFERROR('各站彙總來源'!H957/'各站彙總來源'!I957,"")</x:f>
        <x:v>1.9615384615384615</x:v>
      </x:c>
      <x:c r="I957" s="19" t="n">
        <x:f>'各站彙總來源'!I957</x:f>
        <x:v>26</x:v>
      </x:c>
      <x:c r="J957" s="24" t="n">
        <x:f>IFERROR('各站彙總來源'!J957/'各站彙總來源'!K957,"")</x:f>
        <x:v>6.038461538461538</x:v>
      </x:c>
      <x:c r="K957" s="19" t="n">
        <x:f>'各站彙總來源'!K957</x:f>
        <x:v>26</x:v>
      </x:c>
      <x:c r="L957" s="24" t="n">
        <x:f>IFERROR('各站彙總來源'!L957/'各站彙總來源'!M957,"")</x:f>
        <x:v>1.1923076923076923</x:v>
      </x:c>
      <x:c r="M957" s="19" t="n">
        <x:f>'各站彙總來源'!M957</x:f>
        <x:v>26</x:v>
      </x:c>
      <x:c r="N957" s="24" t="n">
        <x:f>F957+H957</x:f>
        <x:v>14.576923076923077</x:v>
      </x:c>
      <x:c r="O957" s="24" t="n">
        <x:f>J957+L957</x:f>
        <x:v>7.230769230769231</x:v>
      </x:c>
    </x:row>
    <x:row r="958">
      <x:c r="A958" s="22" t="str">
        <x:v>500107197</x:v>
      </x:c>
      <x:c r="B958" s="17" t="str">
        <x:v>中山區</x:v>
      </x:c>
      <x:c r="C958" s="17" t="str">
        <x:v>新壽公園</x:v>
      </x:c>
      <x:c r="D958" s="18" t="n">
        <x:v>26</x:v>
      </x:c>
      <x:c r="E958" s="18" t="n">
        <x:v>26</x:v>
      </x:c>
      <x:c r="F958" s="24" t="n">
        <x:f>IFERROR('各站彙總來源'!F958/'各站彙總來源'!G958,"")</x:f>
        <x:v>12.615384615384615</x:v>
      </x:c>
      <x:c r="G958" s="19" t="n">
        <x:f>'各站彙總來源'!G958</x:f>
        <x:v>26</x:v>
      </x:c>
      <x:c r="H958" s="24" t="n">
        <x:f>IFERROR('各站彙總來源'!H958/'各站彙總來源'!I958,"")</x:f>
        <x:v>1.5769230769230769</x:v>
      </x:c>
      <x:c r="I958" s="19" t="n">
        <x:f>'各站彙總來源'!I958</x:f>
        <x:v>26</x:v>
      </x:c>
      <x:c r="J958" s="24" t="n">
        <x:f>IFERROR('各站彙總來源'!J958/'各站彙總來源'!K958,"")</x:f>
        <x:v>2.9615384615384617</x:v>
      </x:c>
      <x:c r="K958" s="19" t="n">
        <x:f>'各站彙總來源'!K958</x:f>
        <x:v>26</x:v>
      </x:c>
      <x:c r="L958" s="24" t="n">
        <x:f>IFERROR('各站彙總來源'!L958/'各站彙總來源'!M958,"")</x:f>
        <x:v>0.6538461538461539</x:v>
      </x:c>
      <x:c r="M958" s="19" t="n">
        <x:f>'各站彙總來源'!M958</x:f>
        <x:v>26</x:v>
      </x:c>
      <x:c r="N958" s="24" t="n">
        <x:f>F958+H958</x:f>
        <x:v>14.192307692307692</x:v>
      </x:c>
      <x:c r="O958" s="24" t="n">
        <x:f>J958+L958</x:f>
        <x:v>3.6153846153846154</x:v>
      </x:c>
    </x:row>
    <x:row r="959">
      <x:c r="A959" s="22" t="str">
        <x:v>500107198</x:v>
      </x:c>
      <x:c r="B959" s="17" t="str">
        <x:v>中山區</x:v>
      </x:c>
      <x:c r="C959" s="17" t="str">
        <x:v>復興北路430巷</x:v>
      </x:c>
      <x:c r="D959" s="18" t="n">
        <x:v>26</x:v>
      </x:c>
      <x:c r="E959" s="18" t="n">
        <x:v>26</x:v>
      </x:c>
      <x:c r="F959" s="24" t="n">
        <x:f>IFERROR('各站彙總來源'!F959/'各站彙總來源'!G959,"")</x:f>
        <x:v>22.76923076923077</x:v>
      </x:c>
      <x:c r="G959" s="19" t="n">
        <x:f>'各站彙總來源'!G959</x:f>
        <x:v>26</x:v>
      </x:c>
      <x:c r="H959" s="24" t="n">
        <x:f>IFERROR('各站彙總來源'!H959/'各站彙總來源'!I959,"")</x:f>
        <x:v>4.038461538461538</x:v>
      </x:c>
      <x:c r="I959" s="19" t="n">
        <x:f>'各站彙總來源'!I959</x:f>
        <x:v>26</x:v>
      </x:c>
      <x:c r="J959" s="24" t="n">
        <x:f>IFERROR('各站彙總來源'!J959/'各站彙總來源'!K959,"")</x:f>
        <x:v>13.807692307692308</x:v>
      </x:c>
      <x:c r="K959" s="19" t="n">
        <x:f>'各站彙總來源'!K959</x:f>
        <x:v>26</x:v>
      </x:c>
      <x:c r="L959" s="24" t="n">
        <x:f>IFERROR('各站彙總來源'!L959/'各站彙總來源'!M959,"")</x:f>
        <x:v>2.1153846153846154</x:v>
      </x:c>
      <x:c r="M959" s="19" t="n">
        <x:f>'各站彙總來源'!M959</x:f>
        <x:v>26</x:v>
      </x:c>
      <x:c r="N959" s="24" t="n">
        <x:f>F959+H959</x:f>
        <x:v>26.807692307692307</x:v>
      </x:c>
      <x:c r="O959" s="24" t="n">
        <x:f>J959+L959</x:f>
        <x:v>15.923076923076923</x:v>
      </x:c>
    </x:row>
    <x:row r="960">
      <x:c r="A960" s="22" t="str">
        <x:v>500107199</x:v>
      </x:c>
      <x:c r="B960" s="17" t="str">
        <x:v>中山區</x:v>
      </x:c>
      <x:c r="C960" s="17" t="str">
        <x:v>林森錦州街口</x:v>
      </x:c>
      <x:c r="D960" s="18" t="n">
        <x:v>26</x:v>
      </x:c>
      <x:c r="E960" s="18" t="n">
        <x:v>26</x:v>
      </x:c>
      <x:c r="F960" s="24" t="n">
        <x:f>IFERROR('各站彙總來源'!F960/'各站彙總來源'!G960,"")</x:f>
        <x:v>11.423076923076923</x:v>
      </x:c>
      <x:c r="G960" s="19" t="n">
        <x:f>'各站彙總來源'!G960</x:f>
        <x:v>26</x:v>
      </x:c>
      <x:c r="H960" s="24" t="n">
        <x:f>IFERROR('各站彙總來源'!H960/'各站彙總來源'!I960,"")</x:f>
        <x:v>1.8846153846153846</x:v>
      </x:c>
      <x:c r="I960" s="19" t="n">
        <x:f>'各站彙總來源'!I960</x:f>
        <x:v>26</x:v>
      </x:c>
      <x:c r="J960" s="24" t="n">
        <x:f>IFERROR('各站彙總來源'!J960/'各站彙總來源'!K960,"")</x:f>
        <x:v>7.269230769230769</x:v>
      </x:c>
      <x:c r="K960" s="19" t="n">
        <x:f>'各站彙總來源'!K960</x:f>
        <x:v>26</x:v>
      </x:c>
      <x:c r="L960" s="24" t="n">
        <x:f>IFERROR('各站彙總來源'!L960/'各站彙總來源'!M960,"")</x:f>
        <x:v>1.6538461538461537</x:v>
      </x:c>
      <x:c r="M960" s="19" t="n">
        <x:f>'各站彙總來源'!M960</x:f>
        <x:v>26</x:v>
      </x:c>
      <x:c r="N960" s="24" t="n">
        <x:f>F960+H960</x:f>
        <x:v>13.307692307692308</x:v>
      </x:c>
      <x:c r="O960" s="24" t="n">
        <x:f>J960+L960</x:f>
        <x:v>8.923076923076923</x:v>
      </x:c>
    </x:row>
    <x:row r="961">
      <x:c r="A961" s="22" t="str">
        <x:v>500107200</x:v>
      </x:c>
      <x:c r="B961" s="17" t="str">
        <x:v>中山區</x:v>
      </x:c>
      <x:c r="C961" s="17" t="str">
        <x:v>臺北市立美術館(中山北路三段)</x:v>
      </x:c>
      <x:c r="D961" s="18" t="n">
        <x:v>26</x:v>
      </x:c>
      <x:c r="E961" s="18" t="n">
        <x:v>26</x:v>
      </x:c>
      <x:c r="F961" s="24" t="n">
        <x:f>IFERROR('各站彙總來源'!F961/'各站彙總來源'!G961,"")</x:f>
        <x:v>8.038461538461538</x:v>
      </x:c>
      <x:c r="G961" s="19" t="n">
        <x:f>'各站彙總來源'!G961</x:f>
        <x:v>26</x:v>
      </x:c>
      <x:c r="H961" s="24" t="n">
        <x:f>IFERROR('各站彙總來源'!H961/'各站彙總來源'!I961,"")</x:f>
        <x:v>0.8846153846153846</x:v>
      </x:c>
      <x:c r="I961" s="19" t="n">
        <x:f>'各站彙總來源'!I961</x:f>
        <x:v>26</x:v>
      </x:c>
      <x:c r="J961" s="24" t="n">
        <x:f>IFERROR('各站彙總來源'!J961/'各站彙總來源'!K961,"")</x:f>
        <x:v>23.26923076923077</x:v>
      </x:c>
      <x:c r="K961" s="19" t="n">
        <x:f>'各站彙總來源'!K961</x:f>
        <x:v>26</x:v>
      </x:c>
      <x:c r="L961" s="24" t="n">
        <x:f>IFERROR('各站彙總來源'!L961/'各站彙總來源'!M961,"")</x:f>
        <x:v>1.2692307692307692</x:v>
      </x:c>
      <x:c r="M961" s="19" t="n">
        <x:f>'各站彙總來源'!M961</x:f>
        <x:v>26</x:v>
      </x:c>
      <x:c r="N961" s="24" t="n">
        <x:f>F961+H961</x:f>
        <x:v>8.923076923076923</x:v>
      </x:c>
      <x:c r="O961" s="24" t="n">
        <x:f>J961+L961</x:f>
        <x:v>24.53846153846154</x:v>
      </x:c>
    </x:row>
    <x:row r="962">
      <x:c r="A962" s="22" t="str">
        <x:v>500107201</x:v>
      </x:c>
      <x:c r="B962" s="17" t="str">
        <x:v>中山區</x:v>
      </x:c>
      <x:c r="C962" s="17" t="str">
        <x:v>臺北市立美術館(新生北路三段)</x:v>
      </x:c>
      <x:c r="D962" s="18" t="n">
        <x:v>26</x:v>
      </x:c>
      <x:c r="E962" s="18" t="n">
        <x:v>26</x:v>
      </x:c>
      <x:c r="F962" s="24" t="n">
        <x:f>IFERROR('各站彙總來源'!F962/'各站彙總來源'!G962,"")</x:f>
        <x:v>5.538461538461538</x:v>
      </x:c>
      <x:c r="G962" s="19" t="n">
        <x:f>'各站彙總來源'!G962</x:f>
        <x:v>26</x:v>
      </x:c>
      <x:c r="H962" s="24" t="n">
        <x:f>IFERROR('各站彙總來源'!H962/'各站彙總來源'!I962,"")</x:f>
        <x:v>1.5769230769230769</x:v>
      </x:c>
      <x:c r="I962" s="19" t="n">
        <x:f>'各站彙總來源'!I962</x:f>
        <x:v>26</x:v>
      </x:c>
      <x:c r="J962" s="24" t="n">
        <x:f>IFERROR('各站彙總來源'!J962/'各站彙總來源'!K962,"")</x:f>
        <x:v>13.384615384615385</x:v>
      </x:c>
      <x:c r="K962" s="19" t="n">
        <x:f>'各站彙總來源'!K962</x:f>
        <x:v>26</x:v>
      </x:c>
      <x:c r="L962" s="24" t="n">
        <x:f>IFERROR('各站彙總來源'!L962/'各站彙總來源'!M962,"")</x:f>
        <x:v>2.3076923076923075</x:v>
      </x:c>
      <x:c r="M962" s="19" t="n">
        <x:f>'各站彙總來源'!M962</x:f>
        <x:v>26</x:v>
      </x:c>
      <x:c r="N962" s="24" t="n">
        <x:f>F962+H962</x:f>
        <x:v>7.115384615384615</x:v>
      </x:c>
      <x:c r="O962" s="24" t="n">
        <x:f>J962+L962</x:f>
        <x:v>15.692307692307693</x:v>
      </x:c>
    </x:row>
    <x:row r="963">
      <x:c r="A963" s="22" t="str">
        <x:v>500107202</x:v>
      </x:c>
      <x:c r="B963" s="17" t="str">
        <x:v>中山區</x:v>
      </x:c>
      <x:c r="C963" s="17" t="str">
        <x:v>南京新生路口(北側)</x:v>
      </x:c>
      <x:c r="D963" s="18" t="n">
        <x:v>26</x:v>
      </x:c>
      <x:c r="E963" s="18" t="n">
        <x:v>26</x:v>
      </x:c>
      <x:c r="F963" s="24" t="n">
        <x:f>IFERROR('各站彙總來源'!F963/'各站彙總來源'!G963,"")</x:f>
        <x:v>0</x:v>
      </x:c>
      <x:c r="G963" s="19" t="n">
        <x:f>'各站彙總來源'!G963</x:f>
        <x:v>26</x:v>
      </x:c>
      <x:c r="H963" s="24" t="n">
        <x:f>IFERROR('各站彙總來源'!H963/'各站彙總來源'!I963,"")</x:f>
        <x:v>0</x:v>
      </x:c>
      <x:c r="I963" s="19" t="n">
        <x:f>'各站彙總來源'!I963</x:f>
        <x:v>26</x:v>
      </x:c>
      <x:c r="J963" s="24" t="n">
        <x:f>IFERROR('各站彙總來源'!J963/'各站彙總來源'!K963,"")</x:f>
        <x:v>0</x:v>
      </x:c>
      <x:c r="K963" s="19" t="n">
        <x:f>'各站彙總來源'!K963</x:f>
        <x:v>26</x:v>
      </x:c>
      <x:c r="L963" s="24" t="n">
        <x:f>IFERROR('各站彙總來源'!L963/'各站彙總來源'!M963,"")</x:f>
        <x:v>0</x:v>
      </x:c>
      <x:c r="M963" s="19" t="n">
        <x:f>'各站彙總來源'!M963</x:f>
        <x:v>26</x:v>
      </x:c>
      <x:c r="N963" s="24" t="n">
        <x:f>F963+H963</x:f>
        <x:v>0</x:v>
      </x:c>
      <x:c r="O963" s="24" t="n">
        <x:f>J963+L963</x:f>
        <x:v>0</x:v>
      </x:c>
    </x:row>
    <x:row r="964">
      <x:c r="A964" s="22" t="str">
        <x:v>500107203</x:v>
      </x:c>
      <x:c r="B964" s="17" t="str">
        <x:v>中山區</x:v>
      </x:c>
      <x:c r="C964" s="17" t="str">
        <x:v>永安國小(北安路554巷)</x:v>
      </x:c>
      <x:c r="D964" s="18" t="n">
        <x:v>26</x:v>
      </x:c>
      <x:c r="E964" s="18" t="n">
        <x:v>26</x:v>
      </x:c>
      <x:c r="F964" s="24" t="n">
        <x:f>IFERROR('各站彙總來源'!F964/'各站彙總來源'!G964,"")</x:f>
        <x:v>7.230769230769231</x:v>
      </x:c>
      <x:c r="G964" s="19" t="n">
        <x:f>'各站彙總來源'!G964</x:f>
        <x:v>26</x:v>
      </x:c>
      <x:c r="H964" s="24" t="n">
        <x:f>IFERROR('各站彙總來源'!H964/'各站彙總來源'!I964,"")</x:f>
        <x:v>1.6538461538461537</x:v>
      </x:c>
      <x:c r="I964" s="19" t="n">
        <x:f>'各站彙總來源'!I964</x:f>
        <x:v>26</x:v>
      </x:c>
      <x:c r="J964" s="24" t="n">
        <x:f>IFERROR('各站彙總來源'!J964/'各站彙總來源'!K964,"")</x:f>
        <x:v>5.8076923076923075</x:v>
      </x:c>
      <x:c r="K964" s="19" t="n">
        <x:f>'各站彙總來源'!K964</x:f>
        <x:v>26</x:v>
      </x:c>
      <x:c r="L964" s="24" t="n">
        <x:f>IFERROR('各站彙總來源'!L964/'各站彙總來源'!M964,"")</x:f>
        <x:v>2.0384615384615383</x:v>
      </x:c>
      <x:c r="M964" s="19" t="n">
        <x:f>'各站彙總來源'!M964</x:f>
        <x:v>26</x:v>
      </x:c>
      <x:c r="N964" s="24" t="n">
        <x:f>F964+H964</x:f>
        <x:v>8.884615384615385</x:v>
      </x:c>
      <x:c r="O964" s="24" t="n">
        <x:f>J964+L964</x:f>
        <x:v>7.846153846153846</x:v>
      </x:c>
    </x:row>
    <x:row r="965">
      <x:c r="A965" s="22" t="str">
        <x:v>500107204</x:v>
      </x:c>
      <x:c r="B965" s="17" t="str">
        <x:v>中山區</x:v>
      </x:c>
      <x:c r="C965" s="17" t="str">
        <x:v>敬業一路36巷口</x:v>
      </x:c>
      <x:c r="D965" s="18" t="n">
        <x:v>26</x:v>
      </x:c>
      <x:c r="E965" s="18" t="n">
        <x:v>26</x:v>
      </x:c>
      <x:c r="F965" s="24" t="n">
        <x:f>IFERROR('各站彙總來源'!F965/'各站彙總來源'!G965,"")</x:f>
        <x:v>5.230769230769231</x:v>
      </x:c>
      <x:c r="G965" s="19" t="n">
        <x:f>'各站彙總來源'!G965</x:f>
        <x:v>26</x:v>
      </x:c>
      <x:c r="H965" s="24" t="n">
        <x:f>IFERROR('各站彙總來源'!H965/'各站彙總來源'!I965,"")</x:f>
        <x:v>1.2307692307692308</x:v>
      </x:c>
      <x:c r="I965" s="19" t="n">
        <x:f>'各站彙總來源'!I965</x:f>
        <x:v>26</x:v>
      </x:c>
      <x:c r="J965" s="24" t="n">
        <x:f>IFERROR('各站彙總來源'!J965/'各站彙總來源'!K965,"")</x:f>
        <x:v>23.807692307692307</x:v>
      </x:c>
      <x:c r="K965" s="19" t="n">
        <x:f>'各站彙總來源'!K965</x:f>
        <x:v>26</x:v>
      </x:c>
      <x:c r="L965" s="24" t="n">
        <x:f>IFERROR('各站彙總來源'!L965/'各站彙總來源'!M965,"")</x:f>
        <x:v>2.8846153846153846</x:v>
      </x:c>
      <x:c r="M965" s="19" t="n">
        <x:f>'各站彙總來源'!M965</x:f>
        <x:v>26</x:v>
      </x:c>
      <x:c r="N965" s="24" t="n">
        <x:f>F965+H965</x:f>
        <x:v>6.461538461538462</x:v>
      </x:c>
      <x:c r="O965" s="24" t="n">
        <x:f>J965+L965</x:f>
        <x:v>26.69230769230769</x:v>
      </x:c>
    </x:row>
    <x:row r="966">
      <x:c r="A966" s="22" t="str">
        <x:v>500107205</x:v>
      </x:c>
      <x:c r="B966" s="17" t="str">
        <x:v>中山區</x:v>
      </x:c>
      <x:c r="C966" s="17" t="str">
        <x:v>經濟部能源署</x:v>
      </x:c>
      <x:c r="D966" s="18" t="n">
        <x:v>26</x:v>
      </x:c>
      <x:c r="E966" s="18" t="n">
        <x:v>26</x:v>
      </x:c>
      <x:c r="F966" s="24" t="n">
        <x:f>IFERROR('各站彙總來源'!F966/'各站彙總來源'!G966,"")</x:f>
        <x:v>4.1923076923076925</x:v>
      </x:c>
      <x:c r="G966" s="19" t="n">
        <x:f>'各站彙總來源'!G966</x:f>
        <x:v>26</x:v>
      </x:c>
      <x:c r="H966" s="24" t="n">
        <x:f>IFERROR('各站彙總來源'!H966/'各站彙總來源'!I966,"")</x:f>
        <x:v>0.7307692307692307</x:v>
      </x:c>
      <x:c r="I966" s="19" t="n">
        <x:f>'各站彙總來源'!I966</x:f>
        <x:v>26</x:v>
      </x:c>
      <x:c r="J966" s="24" t="n">
        <x:f>IFERROR('各站彙總來源'!J966/'各站彙總來源'!K966,"")</x:f>
        <x:v>7.153846153846154</x:v>
      </x:c>
      <x:c r="K966" s="19" t="n">
        <x:f>'各站彙總來源'!K966</x:f>
        <x:v>26</x:v>
      </x:c>
      <x:c r="L966" s="24" t="n">
        <x:f>IFERROR('各站彙總來源'!L966/'各站彙總來源'!M966,"")</x:f>
        <x:v>1.6153846153846154</x:v>
      </x:c>
      <x:c r="M966" s="19" t="n">
        <x:f>'各站彙總來源'!M966</x:f>
        <x:v>26</x:v>
      </x:c>
      <x:c r="N966" s="24" t="n">
        <x:f>F966+H966</x:f>
        <x:v>4.923076923076923</x:v>
      </x:c>
      <x:c r="O966" s="24" t="n">
        <x:f>J966+L966</x:f>
        <x:v>8.76923076923077</x:v>
      </x:c>
    </x:row>
    <x:row r="967">
      <x:c r="A967" s="22" t="str">
        <x:v>500107206</x:v>
      </x:c>
      <x:c r="B967" s="17" t="str">
        <x:v>中山區</x:v>
      </x:c>
      <x:c r="C967" s="17" t="str">
        <x:v>松江路372巷口</x:v>
      </x:c>
      <x:c r="D967" s="18" t="n">
        <x:v>26</x:v>
      </x:c>
      <x:c r="E967" s="18" t="n">
        <x:v>26</x:v>
      </x:c>
      <x:c r="F967" s="24" t="n">
        <x:f>IFERROR('各站彙總來源'!F967/'各站彙總來源'!G967,"")</x:f>
        <x:v>6.576923076923077</x:v>
      </x:c>
      <x:c r="G967" s="19" t="n">
        <x:f>'各站彙總來源'!G967</x:f>
        <x:v>26</x:v>
      </x:c>
      <x:c r="H967" s="24" t="n">
        <x:f>IFERROR('各站彙總來源'!H967/'各站彙總來源'!I967,"")</x:f>
        <x:v>1.1153846153846154</x:v>
      </x:c>
      <x:c r="I967" s="19" t="n">
        <x:f>'各站彙總來源'!I967</x:f>
        <x:v>26</x:v>
      </x:c>
      <x:c r="J967" s="24" t="n">
        <x:f>IFERROR('各站彙總來源'!J967/'各站彙總來源'!K967,"")</x:f>
        <x:v>4.115384615384615</x:v>
      </x:c>
      <x:c r="K967" s="19" t="n">
        <x:f>'各站彙總來源'!K967</x:f>
        <x:v>26</x:v>
      </x:c>
      <x:c r="L967" s="24" t="n">
        <x:f>IFERROR('各站彙總來源'!L967/'各站彙總來源'!M967,"")</x:f>
        <x:v>0.8846153846153846</x:v>
      </x:c>
      <x:c r="M967" s="19" t="n">
        <x:f>'各站彙總來源'!M967</x:f>
        <x:v>26</x:v>
      </x:c>
      <x:c r="N967" s="24" t="n">
        <x:f>F967+H967</x:f>
        <x:v>7.692307692307692</x:v>
      </x:c>
      <x:c r="O967" s="24" t="n">
        <x:f>J967+L967</x:f>
        <x:v>5</x:v>
      </x:c>
    </x:row>
    <x:row r="968">
      <x:c r="A968" s="22" t="str">
        <x:v>500107207</x:v>
      </x:c>
      <x:c r="B968" s="17" t="str">
        <x:v>中山區</x:v>
      </x:c>
      <x:c r="C968" s="17" t="str">
        <x:v>龍江平面停車場</x:v>
      </x:c>
      <x:c r="D968" s="18" t="n">
        <x:v>26</x:v>
      </x:c>
      <x:c r="E968" s="18" t="n">
        <x:v>26</x:v>
      </x:c>
      <x:c r="F968" s="24" t="n">
        <x:f>IFERROR('各站彙總來源'!F968/'各站彙總來源'!G968,"")</x:f>
        <x:v>5.423076923076923</x:v>
      </x:c>
      <x:c r="G968" s="19" t="n">
        <x:f>'各站彙總來源'!G968</x:f>
        <x:v>26</x:v>
      </x:c>
      <x:c r="H968" s="24" t="n">
        <x:f>IFERROR('各站彙總來源'!H968/'各站彙總來源'!I968,"")</x:f>
        <x:v>0.6923076923076923</x:v>
      </x:c>
      <x:c r="I968" s="19" t="n">
        <x:f>'各站彙總來源'!I968</x:f>
        <x:v>26</x:v>
      </x:c>
      <x:c r="J968" s="24" t="n">
        <x:f>IFERROR('各站彙總來源'!J968/'各站彙總來源'!K968,"")</x:f>
        <x:v>3.9615384615384617</x:v>
      </x:c>
      <x:c r="K968" s="19" t="n">
        <x:f>'各站彙總來源'!K968</x:f>
        <x:v>26</x:v>
      </x:c>
      <x:c r="L968" s="24" t="n">
        <x:f>IFERROR('各站彙總來源'!L968/'各站彙總來源'!M968,"")</x:f>
        <x:v>1.0384615384615385</x:v>
      </x:c>
      <x:c r="M968" s="19" t="n">
        <x:f>'各站彙總來源'!M968</x:f>
        <x:v>26</x:v>
      </x:c>
      <x:c r="N968" s="24" t="n">
        <x:f>F968+H968</x:f>
        <x:v>6.115384615384616</x:v>
      </x:c>
      <x:c r="O968" s="24" t="n">
        <x:f>J968+L968</x:f>
        <x:v>5</x:v>
      </x:c>
    </x:row>
    <x:row r="969">
      <x:c r="A969" s="22" t="str">
        <x:v>500107208</x:v>
      </x:c>
      <x:c r="B969" s="17" t="str">
        <x:v>中山區</x:v>
      </x:c>
      <x:c r="C969" s="17" t="str">
        <x:v>松江民族路口(西南側)</x:v>
      </x:c>
      <x:c r="D969" s="18" t="n">
        <x:v>26</x:v>
      </x:c>
      <x:c r="E969" s="18" t="n">
        <x:v>26</x:v>
      </x:c>
      <x:c r="F969" s="24" t="n">
        <x:f>IFERROR('各站彙總來源'!F969/'各站彙總來源'!G969,"")</x:f>
        <x:v>7.269230769230769</x:v>
      </x:c>
      <x:c r="G969" s="19" t="n">
        <x:f>'各站彙總來源'!G969</x:f>
        <x:v>26</x:v>
      </x:c>
      <x:c r="H969" s="24" t="n">
        <x:f>IFERROR('各站彙總來源'!H969/'各站彙總來源'!I969,"")</x:f>
        <x:v>1.0769230769230769</x:v>
      </x:c>
      <x:c r="I969" s="19" t="n">
        <x:f>'各站彙總來源'!I969</x:f>
        <x:v>26</x:v>
      </x:c>
      <x:c r="J969" s="24" t="n">
        <x:f>IFERROR('各站彙總來源'!J969/'各站彙總來源'!K969,"")</x:f>
        <x:v>3.4615384615384617</x:v>
      </x:c>
      <x:c r="K969" s="19" t="n">
        <x:f>'各站彙總來源'!K969</x:f>
        <x:v>26</x:v>
      </x:c>
      <x:c r="L969" s="24" t="n">
        <x:f>IFERROR('各站彙總來源'!L969/'各站彙總來源'!M969,"")</x:f>
        <x:v>0.9230769230769231</x:v>
      </x:c>
      <x:c r="M969" s="19" t="n">
        <x:f>'各站彙總來源'!M969</x:f>
        <x:v>26</x:v>
      </x:c>
      <x:c r="N969" s="24" t="n">
        <x:f>F969+H969</x:f>
        <x:v>8.346153846153847</x:v>
      </x:c>
      <x:c r="O969" s="24" t="n">
        <x:f>J969+L969</x:f>
        <x:v>4.384615384615385</x:v>
      </x:c>
    </x:row>
    <x:row r="970">
      <x:c r="A970" s="22" t="str">
        <x:v>500107209</x:v>
      </x:c>
      <x:c r="B970" s="17" t="str">
        <x:v>中山區</x:v>
      </x:c>
      <x:c r="C970" s="17" t="str">
        <x:v>忠烈祠</x:v>
      </x:c>
      <x:c r="D970" s="18" t="n">
        <x:v>26</x:v>
      </x:c>
      <x:c r="E970" s="18" t="n">
        <x:v>26</x:v>
      </x:c>
      <x:c r="F970" s="24" t="n">
        <x:f>IFERROR('各站彙總來源'!F970/'各站彙總來源'!G970,"")</x:f>
        <x:v>8.923076923076923</x:v>
      </x:c>
      <x:c r="G970" s="19" t="n">
        <x:f>'各站彙總來源'!G970</x:f>
        <x:v>26</x:v>
      </x:c>
      <x:c r="H970" s="24" t="n">
        <x:f>IFERROR('各站彙總來源'!H970/'各站彙總來源'!I970,"")</x:f>
        <x:v>1.3461538461538463</x:v>
      </x:c>
      <x:c r="I970" s="19" t="n">
        <x:f>'各站彙總來源'!I970</x:f>
        <x:v>26</x:v>
      </x:c>
      <x:c r="J970" s="24" t="n">
        <x:f>IFERROR('各站彙總來源'!J970/'各站彙總來源'!K970,"")</x:f>
        <x:v>10.423076923076923</x:v>
      </x:c>
      <x:c r="K970" s="19" t="n">
        <x:f>'各站彙總來源'!K970</x:f>
        <x:v>26</x:v>
      </x:c>
      <x:c r="L970" s="24" t="n">
        <x:f>IFERROR('各站彙總來源'!L970/'各站彙總來源'!M970,"")</x:f>
        <x:v>1.3461538461538463</x:v>
      </x:c>
      <x:c r="M970" s="19" t="n">
        <x:f>'各站彙總來源'!M970</x:f>
        <x:v>26</x:v>
      </x:c>
      <x:c r="N970" s="24" t="n">
        <x:f>F970+H970</x:f>
        <x:v>10.26923076923077</x:v>
      </x:c>
      <x:c r="O970" s="24" t="n">
        <x:f>J970+L970</x:f>
        <x:v>11.76923076923077</x:v>
      </x:c>
    </x:row>
    <x:row r="971">
      <x:c r="A971" s="22" t="str">
        <x:v>500107210</x:v>
      </x:c>
      <x:c r="B971" s="17" t="str">
        <x:v>中山區</x:v>
      </x:c>
      <x:c r="C971" s="17" t="str">
        <x:v>圓山派出所</x:v>
      </x:c>
      <x:c r="D971" s="18" t="n">
        <x:v>26</x:v>
      </x:c>
      <x:c r="E971" s="18" t="n">
        <x:v>26</x:v>
      </x:c>
      <x:c r="F971" s="24" t="n">
        <x:f>IFERROR('各站彙總來源'!F971/'各站彙總來源'!G971,"")</x:f>
        <x:v>6.769230769230769</x:v>
      </x:c>
      <x:c r="G971" s="19" t="n">
        <x:f>'各站彙總來源'!G971</x:f>
        <x:v>26</x:v>
      </x:c>
      <x:c r="H971" s="24" t="n">
        <x:f>IFERROR('各站彙總來源'!H971/'各站彙總來源'!I971,"")</x:f>
        <x:v>1.3846153846153846</x:v>
      </x:c>
      <x:c r="I971" s="19" t="n">
        <x:f>'各站彙總來源'!I971</x:f>
        <x:v>26</x:v>
      </x:c>
      <x:c r="J971" s="24" t="n">
        <x:f>IFERROR('各站彙總來源'!J971/'各站彙總來源'!K971,"")</x:f>
        <x:v>11.307692307692308</x:v>
      </x:c>
      <x:c r="K971" s="19" t="n">
        <x:f>'各站彙總來源'!K971</x:f>
        <x:v>26</x:v>
      </x:c>
      <x:c r="L971" s="24" t="n">
        <x:f>IFERROR('各站彙總來源'!L971/'各站彙總來源'!M971,"")</x:f>
        <x:v>2.0384615384615383</x:v>
      </x:c>
      <x:c r="M971" s="19" t="n">
        <x:f>'各站彙總來源'!M971</x:f>
        <x:v>26</x:v>
      </x:c>
      <x:c r="N971" s="24" t="n">
        <x:f>F971+H971</x:f>
        <x:v>8.153846153846153</x:v>
      </x:c>
      <x:c r="O971" s="24" t="n">
        <x:f>J971+L971</x:f>
        <x:v>13.346153846153847</x:v>
      </x:c>
    </x:row>
    <x:row r="972">
      <x:c r="A972" s="22" t="str">
        <x:v>500107211</x:v>
      </x:c>
      <x:c r="B972" s="17" t="str">
        <x:v>中山區</x:v>
      </x:c>
      <x:c r="C972" s="17" t="str">
        <x:v>八德路二段174巷口</x:v>
      </x:c>
      <x:c r="D972" s="18" t="n">
        <x:v>26</x:v>
      </x:c>
      <x:c r="E972" s="18" t="n">
        <x:v>15</x:v>
      </x:c>
      <x:c r="F972" s="24" t="n">
        <x:f>IFERROR('各站彙總來源'!F972/'各站彙總來源'!G972,"")</x:f>
        <x:v>0</x:v>
      </x:c>
      <x:c r="G972" s="19" t="n">
        <x:f>'各站彙總來源'!G972</x:f>
        <x:v>14</x:v>
      </x:c>
      <x:c r="H972" s="24" t="n">
        <x:f>IFERROR('各站彙總來源'!H972/'各站彙總來源'!I972,"")</x:f>
        <x:v>0</x:v>
      </x:c>
      <x:c r="I972" s="19" t="n">
        <x:f>'各站彙總來源'!I972</x:f>
        <x:v>14</x:v>
      </x:c>
      <x:c r="J972" s="24" t="n">
        <x:f>IFERROR('各站彙總來源'!J972/'各站彙總來源'!K972,"")</x:f>
        <x:v>0</x:v>
      </x:c>
      <x:c r="K972" s="19" t="n">
        <x:f>'各站彙總來源'!K972</x:f>
        <x:v>15</x:v>
      </x:c>
      <x:c r="L972" s="24" t="n">
        <x:f>IFERROR('各站彙總來源'!L972/'各站彙總來源'!M972,"")</x:f>
        <x:v>0</x:v>
      </x:c>
      <x:c r="M972" s="19" t="n">
        <x:f>'各站彙總來源'!M972</x:f>
        <x:v>15</x:v>
      </x:c>
      <x:c r="N972" s="24" t="n">
        <x:f>F972+H972</x:f>
        <x:v>0</x:v>
      </x:c>
      <x:c r="O972" s="24" t="n">
        <x:f>J972+L972</x:f>
        <x:v>0</x:v>
      </x:c>
    </x:row>
    <x:row r="973">
      <x:c r="A973" s="22" t="str">
        <x:v>500107212</x:v>
      </x:c>
      <x:c r="B973" s="17" t="str">
        <x:v>中山區</x:v>
      </x:c>
      <x:c r="C973" s="17" t="str">
        <x:v>世青復興大廈</x:v>
      </x:c>
      <x:c r="D973" s="18" t="n">
        <x:v>26</x:v>
      </x:c>
      <x:c r="E973" s="18" t="n">
        <x:v>6</x:v>
      </x:c>
      <x:c r="F973" s="24" t="n">
        <x:f>IFERROR('各站彙總來源'!F973/'各站彙總來源'!G973,"")</x:f>
        <x:v>1.8</x:v>
      </x:c>
      <x:c r="G973" s="19" t="n">
        <x:f>'各站彙總來源'!G973</x:f>
        <x:v>5</x:v>
      </x:c>
      <x:c r="H973" s="24" t="n">
        <x:f>IFERROR('各站彙總來源'!H973/'各站彙總來源'!I973,"")</x:f>
        <x:v>0.8</x:v>
      </x:c>
      <x:c r="I973" s="19" t="n">
        <x:f>'各站彙總來源'!I973</x:f>
        <x:v>5</x:v>
      </x:c>
      <x:c r="J973" s="24" t="n">
        <x:f>IFERROR('各站彙總來源'!J973/'各站彙總來源'!K973,"")</x:f>
        <x:v>5.166666666666667</x:v>
      </x:c>
      <x:c r="K973" s="19" t="n">
        <x:f>'各站彙總來源'!K973</x:f>
        <x:v>6</x:v>
      </x:c>
      <x:c r="L973" s="24" t="n">
        <x:f>IFERROR('各站彙總來源'!L973/'各站彙總來源'!M973,"")</x:f>
        <x:v>0.6666666666666666</x:v>
      </x:c>
      <x:c r="M973" s="19" t="n">
        <x:f>'各站彙總來源'!M973</x:f>
        <x:v>6</x:v>
      </x:c>
      <x:c r="N973" s="24" t="n">
        <x:f>F973+H973</x:f>
        <x:v>2.6</x:v>
      </x:c>
      <x:c r="O973" s="24" t="n">
        <x:f>J973+L973</x:f>
        <x:v>5.833333333333334</x:v>
      </x:c>
    </x:row>
    <x:row r="974">
      <x:c r="A974" s="22" t="str">
        <x:v>500107213</x:v>
      </x:c>
      <x:c r="B974" s="17" t="str">
        <x:v>中山區</x:v>
      </x:c>
      <x:c r="C974" s="17" t="str">
        <x:v>岷華開發大樓</x:v>
      </x:c>
      <x:c r="D974" s="18" t="n">
        <x:v>26</x:v>
      </x:c>
      <x:c r="E974" s="18" t="n">
        <x:v>6</x:v>
      </x:c>
      <x:c r="F974" s="24" t="n">
        <x:f>IFERROR('各站彙總來源'!F974/'各站彙總來源'!G974,"")</x:f>
        <x:v>2.6</x:v>
      </x:c>
      <x:c r="G974" s="19" t="n">
        <x:f>'各站彙總來源'!G974</x:f>
        <x:v>5</x:v>
      </x:c>
      <x:c r="H974" s="24" t="n">
        <x:f>IFERROR('各站彙總來源'!H974/'各站彙總來源'!I974,"")</x:f>
        <x:v>0.6</x:v>
      </x:c>
      <x:c r="I974" s="19" t="n">
        <x:f>'各站彙總來源'!I974</x:f>
        <x:v>5</x:v>
      </x:c>
      <x:c r="J974" s="24" t="n">
        <x:f>IFERROR('各站彙總來源'!J974/'各站彙總來源'!K974,"")</x:f>
        <x:v>4.333333333333333</x:v>
      </x:c>
      <x:c r="K974" s="19" t="n">
        <x:f>'各站彙總來源'!K974</x:f>
        <x:v>6</x:v>
      </x:c>
      <x:c r="L974" s="24" t="n">
        <x:f>IFERROR('各站彙總來源'!L974/'各站彙總來源'!M974,"")</x:f>
        <x:v>0.3333333333333333</x:v>
      </x:c>
      <x:c r="M974" s="19" t="n">
        <x:f>'各站彙總來源'!M974</x:f>
        <x:v>6</x:v>
      </x:c>
      <x:c r="N974" s="24" t="n">
        <x:f>F974+H974</x:f>
        <x:v>3.2</x:v>
      </x:c>
      <x:c r="O974" s="24" t="n">
        <x:f>J974+L974</x:f>
        <x:v>4.666666666666666</x:v>
      </x:c>
    </x:row>
    <x:row r="975">
      <x:c r="A975" s="22" t="str">
        <x:v>500108001</x:v>
      </x:c>
      <x:c r="B975" s="17" t="str">
        <x:v>內湖區</x:v>
      </x:c>
      <x:c r="C975" s="17" t="str">
        <x:v>文湖街21巷118弄口</x:v>
      </x:c>
      <x:c r="D975" s="18" t="n">
        <x:v>26</x:v>
      </x:c>
      <x:c r="E975" s="18" t="n">
        <x:v>26</x:v>
      </x:c>
      <x:c r="F975" s="24" t="n">
        <x:f>IFERROR('各站彙總來源'!F975/'各站彙總來源'!G975,"")</x:f>
        <x:v>17.153846153846153</x:v>
      </x:c>
      <x:c r="G975" s="19" t="n">
        <x:f>'各站彙總來源'!G975</x:f>
        <x:v>26</x:v>
      </x:c>
      <x:c r="H975" s="24" t="n">
        <x:f>IFERROR('各站彙總來源'!H975/'各站彙總來源'!I975,"")</x:f>
        <x:v>12.538461538461538</x:v>
      </x:c>
      <x:c r="I975" s="19" t="n">
        <x:f>'各站彙總來源'!I975</x:f>
        <x:v>26</x:v>
      </x:c>
      <x:c r="J975" s="24" t="n">
        <x:f>IFERROR('各站彙總來源'!J975/'各站彙總來源'!K975,"")</x:f>
        <x:v>3.3076923076923075</x:v>
      </x:c>
      <x:c r="K975" s="19" t="n">
        <x:f>'各站彙總來源'!K975</x:f>
        <x:v>26</x:v>
      </x:c>
      <x:c r="L975" s="24" t="n">
        <x:f>IFERROR('各站彙總來源'!L975/'各站彙總來源'!M975,"")</x:f>
        <x:v>3.269230769230769</x:v>
      </x:c>
      <x:c r="M975" s="19" t="n">
        <x:f>'各站彙總來源'!M975</x:f>
        <x:v>26</x:v>
      </x:c>
      <x:c r="N975" s="24" t="n">
        <x:f>F975+H975</x:f>
        <x:v>29.692307692307693</x:v>
      </x:c>
      <x:c r="O975" s="24" t="n">
        <x:f>J975+L975</x:f>
        <x:v>6.576923076923077</x:v>
      </x:c>
    </x:row>
    <x:row r="976">
      <x:c r="A976" s="22" t="str">
        <x:v>500108002</x:v>
      </x:c>
      <x:c r="B976" s="17" t="str">
        <x:v>內湖區</x:v>
      </x:c>
      <x:c r="C976" s="17" t="str">
        <x:v>北勢湖環保公園</x:v>
      </x:c>
      <x:c r="D976" s="18" t="n">
        <x:v>26</x:v>
      </x:c>
      <x:c r="E976" s="18" t="n">
        <x:v>26</x:v>
      </x:c>
      <x:c r="F976" s="24" t="n">
        <x:f>IFERROR('各站彙總來源'!F976/'各站彙總來源'!G976,"")</x:f>
        <x:v>6.615384615384615</x:v>
      </x:c>
      <x:c r="G976" s="19" t="n">
        <x:f>'各站彙總來源'!G976</x:f>
        <x:v>26</x:v>
      </x:c>
      <x:c r="H976" s="24" t="n">
        <x:f>IFERROR('各站彙總來源'!H976/'各站彙總來源'!I976,"")</x:f>
        <x:v>0.6538461538461539</x:v>
      </x:c>
      <x:c r="I976" s="19" t="n">
        <x:f>'各站彙總來源'!I976</x:f>
        <x:v>26</x:v>
      </x:c>
      <x:c r="J976" s="24" t="n">
        <x:f>IFERROR('各站彙總來源'!J976/'各站彙總來源'!K976,"")</x:f>
        <x:v>15.346153846153847</x:v>
      </x:c>
      <x:c r="K976" s="19" t="n">
        <x:f>'各站彙總來源'!K976</x:f>
        <x:v>26</x:v>
      </x:c>
      <x:c r="L976" s="24" t="n">
        <x:f>IFERROR('各站彙總來源'!L976/'各站彙總來源'!M976,"")</x:f>
        <x:v>1</x:v>
      </x:c>
      <x:c r="M976" s="19" t="n">
        <x:f>'各站彙總來源'!M976</x:f>
        <x:v>26</x:v>
      </x:c>
      <x:c r="N976" s="24" t="n">
        <x:f>F976+H976</x:f>
        <x:v>7.269230769230769</x:v>
      </x:c>
      <x:c r="O976" s="24" t="n">
        <x:f>J976+L976</x:f>
        <x:v>16.346153846153847</x:v>
      </x:c>
    </x:row>
    <x:row r="977">
      <x:c r="A977" s="22" t="str">
        <x:v>500108003</x:v>
      </x:c>
      <x:c r="B977" s="17" t="str">
        <x:v>內湖區</x:v>
      </x:c>
      <x:c r="C977" s="17" t="str">
        <x:v>洲子一號公園</x:v>
      </x:c>
      <x:c r="D977" s="18" t="n">
        <x:v>26</x:v>
      </x:c>
      <x:c r="E977" s="18" t="n">
        <x:v>26</x:v>
      </x:c>
      <x:c r="F977" s="24" t="n">
        <x:f>IFERROR('各站彙總來源'!F977/'各站彙總來源'!G977,"")</x:f>
        <x:v>4.153846153846154</x:v>
      </x:c>
      <x:c r="G977" s="19" t="n">
        <x:f>'各站彙總來源'!G977</x:f>
        <x:v>26</x:v>
      </x:c>
      <x:c r="H977" s="24" t="n">
        <x:f>IFERROR('各站彙總來源'!H977/'各站彙總來源'!I977,"")</x:f>
        <x:v>1.0384615384615385</x:v>
      </x:c>
      <x:c r="I977" s="19" t="n">
        <x:f>'各站彙總來源'!I977</x:f>
        <x:v>26</x:v>
      </x:c>
      <x:c r="J977" s="24" t="n">
        <x:f>IFERROR('各站彙總來源'!J977/'各站彙總來源'!K977,"")</x:f>
        <x:v>22.423076923076923</x:v>
      </x:c>
      <x:c r="K977" s="19" t="n">
        <x:f>'各站彙總來源'!K977</x:f>
        <x:v>26</x:v>
      </x:c>
      <x:c r="L977" s="24" t="n">
        <x:f>IFERROR('各站彙總來源'!L977/'各站彙總來源'!M977,"")</x:f>
        <x:v>3.1538461538461537</x:v>
      </x:c>
      <x:c r="M977" s="19" t="n">
        <x:f>'各站彙總來源'!M977</x:f>
        <x:v>26</x:v>
      </x:c>
      <x:c r="N977" s="24" t="n">
        <x:f>F977+H977</x:f>
        <x:v>5.1923076923076925</x:v>
      </x:c>
      <x:c r="O977" s="24" t="n">
        <x:f>J977+L977</x:f>
        <x:v>25.576923076923077</x:v>
      </x:c>
    </x:row>
    <x:row r="978">
      <x:c r="A978" s="22" t="str">
        <x:v>500108004</x:v>
      </x:c>
      <x:c r="B978" s="17" t="str">
        <x:v>內湖區</x:v>
      </x:c>
      <x:c r="C978" s="17" t="str">
        <x:v>西康公園</x:v>
      </x:c>
      <x:c r="D978" s="18" t="n">
        <x:v>26</x:v>
      </x:c>
      <x:c r="E978" s="18" t="n">
        <x:v>26</x:v>
      </x:c>
      <x:c r="F978" s="24" t="n">
        <x:f>IFERROR('各站彙總來源'!F978/'各站彙總來源'!G978,"")</x:f>
        <x:v>10.653846153846153</x:v>
      </x:c>
      <x:c r="G978" s="19" t="n">
        <x:f>'各站彙總來源'!G978</x:f>
        <x:v>26</x:v>
      </x:c>
      <x:c r="H978" s="24" t="n">
        <x:f>IFERROR('各站彙總來源'!H978/'各站彙總來源'!I978,"")</x:f>
        <x:v>1.0769230769230769</x:v>
      </x:c>
      <x:c r="I978" s="19" t="n">
        <x:f>'各站彙總來源'!I978</x:f>
        <x:v>26</x:v>
      </x:c>
      <x:c r="J978" s="24" t="n">
        <x:f>IFERROR('各站彙總來源'!J978/'各站彙總來源'!K978,"")</x:f>
        <x:v>3.769230769230769</x:v>
      </x:c>
      <x:c r="K978" s="19" t="n">
        <x:f>'各站彙總來源'!K978</x:f>
        <x:v>26</x:v>
      </x:c>
      <x:c r="L978" s="24" t="n">
        <x:f>IFERROR('各站彙總來源'!L978/'各站彙總來源'!M978,"")</x:f>
        <x:v>1.3846153846153846</x:v>
      </x:c>
      <x:c r="M978" s="19" t="n">
        <x:f>'各站彙總來源'!M978</x:f>
        <x:v>26</x:v>
      </x:c>
      <x:c r="N978" s="24" t="n">
        <x:f>F978+H978</x:f>
        <x:v>11.73076923076923</x:v>
      </x:c>
      <x:c r="O978" s="24" t="n">
        <x:f>J978+L978</x:f>
        <x:v>5.153846153846153</x:v>
      </x:c>
    </x:row>
    <x:row r="979">
      <x:c r="A979" s="22" t="str">
        <x:v>500108005</x:v>
      </x:c>
      <x:c r="B979" s="17" t="str">
        <x:v>內湖區</x:v>
      </x:c>
      <x:c r="C979" s="17" t="str">
        <x:v>文湖國小</x:v>
      </x:c>
      <x:c r="D979" s="18" t="n">
        <x:v>26</x:v>
      </x:c>
      <x:c r="E979" s="18" t="n">
        <x:v>26</x:v>
      </x:c>
      <x:c r="F979" s="24" t="n">
        <x:f>IFERROR('各站彙總來源'!F979/'各站彙總來源'!G979,"")</x:f>
        <x:v>27.615384615384617</x:v>
      </x:c>
      <x:c r="G979" s="19" t="n">
        <x:f>'各站彙總來源'!G979</x:f>
        <x:v>26</x:v>
      </x:c>
      <x:c r="H979" s="24" t="n">
        <x:f>IFERROR('各站彙總來源'!H979/'各站彙總來源'!I979,"")</x:f>
        <x:v>1.5</x:v>
      </x:c>
      <x:c r="I979" s="19" t="n">
        <x:f>'各站彙總來源'!I979</x:f>
        <x:v>26</x:v>
      </x:c>
      <x:c r="J979" s="24" t="n">
        <x:f>IFERROR('各站彙總來源'!J979/'各站彙總來源'!K979,"")</x:f>
        <x:v>6.8076923076923075</x:v>
      </x:c>
      <x:c r="K979" s="19" t="n">
        <x:f>'各站彙總來源'!K979</x:f>
        <x:v>26</x:v>
      </x:c>
      <x:c r="L979" s="24" t="n">
        <x:f>IFERROR('各站彙總來源'!L979/'各站彙總來源'!M979,"")</x:f>
        <x:v>1.3461538461538463</x:v>
      </x:c>
      <x:c r="M979" s="19" t="n">
        <x:f>'各站彙總來源'!M979</x:f>
        <x:v>26</x:v>
      </x:c>
      <x:c r="N979" s="24" t="n">
        <x:f>F979+H979</x:f>
        <x:v>29.115384615384617</x:v>
      </x:c>
      <x:c r="O979" s="24" t="n">
        <x:f>J979+L979</x:f>
        <x:v>8.153846153846153</x:v>
      </x:c>
    </x:row>
    <x:row r="980">
      <x:c r="A980" s="22" t="str">
        <x:v>500108006</x:v>
      </x:c>
      <x:c r="B980" s="17" t="str">
        <x:v>內湖區</x:v>
      </x:c>
      <x:c r="C980" s="17" t="str">
        <x:v>文湖街81巷10號西側</x:v>
      </x:c>
      <x:c r="D980" s="18" t="n">
        <x:v>26</x:v>
      </x:c>
      <x:c r="E980" s="18" t="n">
        <x:v>26</x:v>
      </x:c>
      <x:c r="F980" s="24" t="n">
        <x:f>IFERROR('各站彙總來源'!F980/'各站彙總來源'!G980,"")</x:f>
        <x:v>22.307692307692307</x:v>
      </x:c>
      <x:c r="G980" s="19" t="n">
        <x:f>'各站彙總來源'!G980</x:f>
        <x:v>26</x:v>
      </x:c>
      <x:c r="H980" s="24" t="n">
        <x:f>IFERROR('各站彙總來源'!H980/'各站彙總來源'!I980,"")</x:f>
        <x:v>3.3461538461538463</x:v>
      </x:c>
      <x:c r="I980" s="19" t="n">
        <x:f>'各站彙總來源'!I980</x:f>
        <x:v>26</x:v>
      </x:c>
      <x:c r="J980" s="24" t="n">
        <x:f>IFERROR('各站彙總來源'!J980/'各站彙總來源'!K980,"")</x:f>
        <x:v>3.6923076923076925</x:v>
      </x:c>
      <x:c r="K980" s="19" t="n">
        <x:f>'各站彙總來源'!K980</x:f>
        <x:v>26</x:v>
      </x:c>
      <x:c r="L980" s="24" t="n">
        <x:f>IFERROR('各站彙總來源'!L980/'各站彙總來源'!M980,"")</x:f>
        <x:v>1.1153846153846154</x:v>
      </x:c>
      <x:c r="M980" s="19" t="n">
        <x:f>'各站彙總來源'!M980</x:f>
        <x:v>26</x:v>
      </x:c>
      <x:c r="N980" s="24" t="n">
        <x:f>F980+H980</x:f>
        <x:v>25.653846153846153</x:v>
      </x:c>
      <x:c r="O980" s="24" t="n">
        <x:f>J980+L980</x:f>
        <x:v>4.807692307692308</x:v>
      </x:c>
    </x:row>
    <x:row r="981">
      <x:c r="A981" s="22" t="str">
        <x:v>500108007</x:v>
      </x:c>
      <x:c r="B981" s="17" t="str">
        <x:v>內湖區</x:v>
      </x:c>
      <x:c r="C981" s="17" t="str">
        <x:v>德明財經科技大學</x:v>
      </x:c>
      <x:c r="D981" s="18" t="n">
        <x:v>26</x:v>
      </x:c>
      <x:c r="E981" s="18" t="n">
        <x:v>26</x:v>
      </x:c>
      <x:c r="F981" s="24" t="n">
        <x:f>IFERROR('各站彙總來源'!F981/'各站彙總來源'!G981,"")</x:f>
        <x:v>8.884615384615385</x:v>
      </x:c>
      <x:c r="G981" s="19" t="n">
        <x:f>'各站彙總來源'!G981</x:f>
        <x:v>26</x:v>
      </x:c>
      <x:c r="H981" s="24" t="n">
        <x:f>IFERROR('各站彙總來源'!H981/'各站彙總來源'!I981,"")</x:f>
        <x:v>3.1923076923076925</x:v>
      </x:c>
      <x:c r="I981" s="19" t="n">
        <x:f>'各站彙總來源'!I981</x:f>
        <x:v>26</x:v>
      </x:c>
      <x:c r="J981" s="24" t="n">
        <x:f>IFERROR('各站彙總來源'!J981/'各站彙總來源'!K981,"")</x:f>
        <x:v>13.192307692307692</x:v>
      </x:c>
      <x:c r="K981" s="19" t="n">
        <x:f>'各站彙總來源'!K981</x:f>
        <x:v>26</x:v>
      </x:c>
      <x:c r="L981" s="24" t="n">
        <x:f>IFERROR('各站彙總來源'!L981/'各站彙總來源'!M981,"")</x:f>
        <x:v>1.8076923076923077</x:v>
      </x:c>
      <x:c r="M981" s="19" t="n">
        <x:f>'各站彙總來源'!M981</x:f>
        <x:v>26</x:v>
      </x:c>
      <x:c r="N981" s="24" t="n">
        <x:f>F981+H981</x:f>
        <x:v>12.076923076923077</x:v>
      </x:c>
      <x:c r="O981" s="24" t="n">
        <x:f>J981+L981</x:f>
        <x:v>15</x:v>
      </x:c>
    </x:row>
    <x:row r="982">
      <x:c r="A982" s="22" t="str">
        <x:v>500108008</x:v>
      </x:c>
      <x:c r="B982" s="17" t="str">
        <x:v>內湖區</x:v>
      </x:c>
      <x:c r="C982" s="17" t="str">
        <x:v>麗山國小</x:v>
      </x:c>
      <x:c r="D982" s="18" t="n">
        <x:v>26</x:v>
      </x:c>
      <x:c r="E982" s="18" t="n">
        <x:v>26</x:v>
      </x:c>
      <x:c r="F982" s="24" t="n">
        <x:f>IFERROR('各站彙總來源'!F982/'各站彙總來源'!G982,"")</x:f>
        <x:v>49.23076923076923</x:v>
      </x:c>
      <x:c r="G982" s="19" t="n">
        <x:f>'各站彙總來源'!G982</x:f>
        <x:v>26</x:v>
      </x:c>
      <x:c r="H982" s="24" t="n">
        <x:f>IFERROR('各站彙總來源'!H982/'各站彙總來源'!I982,"")</x:f>
        <x:v>2.6153846153846154</x:v>
      </x:c>
      <x:c r="I982" s="19" t="n">
        <x:f>'各站彙總來源'!I982</x:f>
        <x:v>26</x:v>
      </x:c>
      <x:c r="J982" s="24" t="n">
        <x:f>IFERROR('各站彙總來源'!J982/'各站彙總來源'!K982,"")</x:f>
        <x:v>25.653846153846153</x:v>
      </x:c>
      <x:c r="K982" s="19" t="n">
        <x:f>'各站彙總來源'!K982</x:f>
        <x:v>26</x:v>
      </x:c>
      <x:c r="L982" s="24" t="n">
        <x:f>IFERROR('各站彙總來源'!L982/'各站彙總來源'!M982,"")</x:f>
        <x:v>2.6153846153846154</x:v>
      </x:c>
      <x:c r="M982" s="19" t="n">
        <x:f>'各站彙總來源'!M982</x:f>
        <x:v>26</x:v>
      </x:c>
      <x:c r="N982" s="24" t="n">
        <x:f>F982+H982</x:f>
        <x:v>51.84615384615385</x:v>
      </x:c>
      <x:c r="O982" s="24" t="n">
        <x:f>J982+L982</x:f>
        <x:v>28.26923076923077</x:v>
      </x:c>
    </x:row>
    <x:row r="983">
      <x:c r="A983" s="22" t="str">
        <x:v>500108009</x:v>
      </x:c>
      <x:c r="B983" s="17" t="str">
        <x:v>內湖區</x:v>
      </x:c>
      <x:c r="C983" s="17" t="str">
        <x:v>麗山高中</x:v>
      </x:c>
      <x:c r="D983" s="18" t="n">
        <x:v>26</x:v>
      </x:c>
      <x:c r="E983" s="18" t="n">
        <x:v>26</x:v>
      </x:c>
      <x:c r="F983" s="24" t="n">
        <x:f>IFERROR('各站彙總來源'!F983/'各站彙總來源'!G983,"")</x:f>
        <x:v>8</x:v>
      </x:c>
      <x:c r="G983" s="19" t="n">
        <x:f>'各站彙總來源'!G983</x:f>
        <x:v>26</x:v>
      </x:c>
      <x:c r="H983" s="24" t="n">
        <x:f>IFERROR('各站彙總來源'!H983/'各站彙總來源'!I983,"")</x:f>
        <x:v>2.423076923076923</x:v>
      </x:c>
      <x:c r="I983" s="19" t="n">
        <x:f>'各站彙總來源'!I983</x:f>
        <x:v>26</x:v>
      </x:c>
      <x:c r="J983" s="24" t="n">
        <x:f>IFERROR('各站彙總來源'!J983/'各站彙總來源'!K983,"")</x:f>
        <x:v>24.115384615384617</x:v>
      </x:c>
      <x:c r="K983" s="19" t="n">
        <x:f>'各站彙總來源'!K983</x:f>
        <x:v>26</x:v>
      </x:c>
      <x:c r="L983" s="24" t="n">
        <x:f>IFERROR('各站彙總來源'!L983/'各站彙總來源'!M983,"")</x:f>
        <x:v>2.6153846153846154</x:v>
      </x:c>
      <x:c r="M983" s="19" t="n">
        <x:f>'各站彙總來源'!M983</x:f>
        <x:v>26</x:v>
      </x:c>
      <x:c r="N983" s="24" t="n">
        <x:f>F983+H983</x:f>
        <x:v>10.423076923076923</x:v>
      </x:c>
      <x:c r="O983" s="24" t="n">
        <x:f>J983+L983</x:f>
        <x:v>26.730769230769234</x:v>
      </x:c>
    </x:row>
    <x:row r="984">
      <x:c r="A984" s="22" t="str">
        <x:v>500108010</x:v>
      </x:c>
      <x:c r="B984" s="17" t="str">
        <x:v>內湖區</x:v>
      </x:c>
      <x:c r="C984" s="17" t="str">
        <x:v>港華五號公園</x:v>
      </x:c>
      <x:c r="D984" s="18" t="n">
        <x:v>26</x:v>
      </x:c>
      <x:c r="E984" s="18" t="n">
        <x:v>26</x:v>
      </x:c>
      <x:c r="F984" s="24" t="n">
        <x:f>IFERROR('各站彙總來源'!F984/'各站彙總來源'!G984,"")</x:f>
        <x:v>10.538461538461538</x:v>
      </x:c>
      <x:c r="G984" s="19" t="n">
        <x:f>'各站彙總來源'!G984</x:f>
        <x:v>26</x:v>
      </x:c>
      <x:c r="H984" s="24" t="n">
        <x:f>IFERROR('各站彙總來源'!H984/'各站彙總來源'!I984,"")</x:f>
        <x:v>2</x:v>
      </x:c>
      <x:c r="I984" s="19" t="n">
        <x:f>'各站彙總來源'!I984</x:f>
        <x:v>26</x:v>
      </x:c>
      <x:c r="J984" s="24" t="n">
        <x:f>IFERROR('各站彙總來源'!J984/'各站彙總來源'!K984,"")</x:f>
        <x:v>2.9615384615384617</x:v>
      </x:c>
      <x:c r="K984" s="19" t="n">
        <x:f>'各站彙總來源'!K984</x:f>
        <x:v>26</x:v>
      </x:c>
      <x:c r="L984" s="24" t="n">
        <x:f>IFERROR('各站彙總來源'!L984/'各站彙總來源'!M984,"")</x:f>
        <x:v>0.6923076923076923</x:v>
      </x:c>
      <x:c r="M984" s="19" t="n">
        <x:f>'各站彙總來源'!M984</x:f>
        <x:v>26</x:v>
      </x:c>
      <x:c r="N984" s="24" t="n">
        <x:f>F984+H984</x:f>
        <x:v>12.538461538461538</x:v>
      </x:c>
      <x:c r="O984" s="24" t="n">
        <x:f>J984+L984</x:f>
        <x:v>3.653846153846154</x:v>
      </x:c>
    </x:row>
    <x:row r="985">
      <x:c r="A985" s="22" t="str">
        <x:v>500108011</x:v>
      </x:c>
      <x:c r="B985" s="17" t="str">
        <x:v>內湖區</x:v>
      </x:c>
      <x:c r="C985" s="17" t="str">
        <x:v>大湖國小</x:v>
      </x:c>
      <x:c r="D985" s="18" t="n">
        <x:v>26</x:v>
      </x:c>
      <x:c r="E985" s="18" t="n">
        <x:v>26</x:v>
      </x:c>
      <x:c r="F985" s="24" t="n">
        <x:f>IFERROR('各站彙總來源'!F985/'各站彙總來源'!G985,"")</x:f>
        <x:v>20.384615384615383</x:v>
      </x:c>
      <x:c r="G985" s="19" t="n">
        <x:f>'各站彙總來源'!G985</x:f>
        <x:v>26</x:v>
      </x:c>
      <x:c r="H985" s="24" t="n">
        <x:f>IFERROR('各站彙總來源'!H985/'各站彙總來源'!I985,"")</x:f>
        <x:v>8.153846153846153</x:v>
      </x:c>
      <x:c r="I985" s="19" t="n">
        <x:f>'各站彙總來源'!I985</x:f>
        <x:v>26</x:v>
      </x:c>
      <x:c r="J985" s="24" t="n">
        <x:f>IFERROR('各站彙總來源'!J985/'各站彙總來源'!K985,"")</x:f>
        <x:v>3.1538461538461537</x:v>
      </x:c>
      <x:c r="K985" s="19" t="n">
        <x:f>'各站彙總來源'!K985</x:f>
        <x:v>26</x:v>
      </x:c>
      <x:c r="L985" s="24" t="n">
        <x:f>IFERROR('各站彙總來源'!L985/'各站彙總來源'!M985,"")</x:f>
        <x:v>0.8461538461538461</x:v>
      </x:c>
      <x:c r="M985" s="19" t="n">
        <x:f>'各站彙總來源'!M985</x:f>
        <x:v>26</x:v>
      </x:c>
      <x:c r="N985" s="24" t="n">
        <x:f>F985+H985</x:f>
        <x:v>28.538461538461537</x:v>
      </x:c>
      <x:c r="O985" s="24" t="n">
        <x:f>J985+L985</x:f>
        <x:v>4</x:v>
      </x:c>
    </x:row>
    <x:row r="986">
      <x:c r="A986" s="22" t="str">
        <x:v>500108012</x:v>
      </x:c>
      <x:c r="B986" s="17" t="str">
        <x:v>內湖區</x:v>
      </x:c>
      <x:c r="C986" s="17" t="str">
        <x:v>安湖三號公園</x:v>
      </x:c>
      <x:c r="D986" s="18" t="n">
        <x:v>26</x:v>
      </x:c>
      <x:c r="E986" s="18" t="n">
        <x:v>26</x:v>
      </x:c>
      <x:c r="F986" s="24" t="n">
        <x:f>IFERROR('各站彙總來源'!F986/'各站彙總來源'!G986,"")</x:f>
        <x:v>5.884615384615385</x:v>
      </x:c>
      <x:c r="G986" s="19" t="n">
        <x:f>'各站彙總來源'!G986</x:f>
        <x:v>26</x:v>
      </x:c>
      <x:c r="H986" s="24" t="n">
        <x:f>IFERROR('各站彙總來源'!H986/'各站彙總來源'!I986,"")</x:f>
        <x:v>1.5384615384615385</x:v>
      </x:c>
      <x:c r="I986" s="19" t="n">
        <x:f>'各站彙總來源'!I986</x:f>
        <x:v>26</x:v>
      </x:c>
      <x:c r="J986" s="24" t="n">
        <x:f>IFERROR('各站彙總來源'!J986/'各站彙總來源'!K986,"")</x:f>
        <x:v>3.0384615384615383</x:v>
      </x:c>
      <x:c r="K986" s="19" t="n">
        <x:f>'各站彙總來源'!K986</x:f>
        <x:v>26</x:v>
      </x:c>
      <x:c r="L986" s="24" t="n">
        <x:f>IFERROR('各站彙總來源'!L986/'各站彙總來源'!M986,"")</x:f>
        <x:v>1.4230769230769231</x:v>
      </x:c>
      <x:c r="M986" s="19" t="n">
        <x:f>'各站彙總來源'!M986</x:f>
        <x:v>26</x:v>
      </x:c>
      <x:c r="N986" s="24" t="n">
        <x:f>F986+H986</x:f>
        <x:v>7.423076923076923</x:v>
      </x:c>
      <x:c r="O986" s="24" t="n">
        <x:f>J986+L986</x:f>
        <x:v>4.461538461538462</x:v>
      </x:c>
    </x:row>
    <x:row r="987">
      <x:c r="A987" s="22" t="str">
        <x:v>500108013</x:v>
      </x:c>
      <x:c r="B987" s="17" t="str">
        <x:v>內湖區</x:v>
      </x:c>
      <x:c r="C987" s="17" t="str">
        <x:v>東湖路113巷95弄</x:v>
      </x:c>
      <x:c r="D987" s="18" t="n">
        <x:v>26</x:v>
      </x:c>
      <x:c r="E987" s="18" t="n">
        <x:v>26</x:v>
      </x:c>
      <x:c r="F987" s="24" t="n">
        <x:f>IFERROR('各站彙總來源'!F987/'各站彙總來源'!G987,"")</x:f>
        <x:v>8.26923076923077</x:v>
      </x:c>
      <x:c r="G987" s="19" t="n">
        <x:f>'各站彙總來源'!G987</x:f>
        <x:v>26</x:v>
      </x:c>
      <x:c r="H987" s="24" t="n">
        <x:f>IFERROR('各站彙總來源'!H987/'各站彙總來源'!I987,"")</x:f>
        <x:v>2.730769230769231</x:v>
      </x:c>
      <x:c r="I987" s="19" t="n">
        <x:f>'各站彙總來源'!I987</x:f>
        <x:v>26</x:v>
      </x:c>
      <x:c r="J987" s="24" t="n">
        <x:f>IFERROR('各站彙總來源'!J987/'各站彙總來源'!K987,"")</x:f>
        <x:v>2.6923076923076925</x:v>
      </x:c>
      <x:c r="K987" s="19" t="n">
        <x:f>'各站彙總來源'!K987</x:f>
        <x:v>26</x:v>
      </x:c>
      <x:c r="L987" s="24" t="n">
        <x:f>IFERROR('各站彙總來源'!L987/'各站彙總來源'!M987,"")</x:f>
        <x:v>1.3461538461538463</x:v>
      </x:c>
      <x:c r="M987" s="19" t="n">
        <x:f>'各站彙總來源'!M987</x:f>
        <x:v>26</x:v>
      </x:c>
      <x:c r="N987" s="24" t="n">
        <x:f>F987+H987</x:f>
        <x:v>11</x:v>
      </x:c>
      <x:c r="O987" s="24" t="n">
        <x:f>J987+L987</x:f>
        <x:v>4.038461538461538</x:v>
      </x:c>
    </x:row>
    <x:row r="988">
      <x:c r="A988" s="22" t="str">
        <x:v>500108014</x:v>
      </x:c>
      <x:c r="B988" s="17" t="str">
        <x:v>內湖區</x:v>
      </x:c>
      <x:c r="C988" s="17" t="str">
        <x:v>瑞光計程車服務站</x:v>
      </x:c>
      <x:c r="D988" s="18" t="n">
        <x:v>26</x:v>
      </x:c>
      <x:c r="E988" s="18" t="n">
        <x:v>26</x:v>
      </x:c>
      <x:c r="F988" s="24" t="n">
        <x:f>IFERROR('各站彙總來源'!F988/'各站彙總來源'!G988,"")</x:f>
        <x:v>4.461538461538462</x:v>
      </x:c>
      <x:c r="G988" s="19" t="n">
        <x:f>'各站彙總來源'!G988</x:f>
        <x:v>26</x:v>
      </x:c>
      <x:c r="H988" s="24" t="n">
        <x:f>IFERROR('各站彙總來源'!H988/'各站彙總來源'!I988,"")</x:f>
        <x:v>1.0769230769230769</x:v>
      </x:c>
      <x:c r="I988" s="19" t="n">
        <x:f>'各站彙總來源'!I988</x:f>
        <x:v>26</x:v>
      </x:c>
      <x:c r="J988" s="24" t="n">
        <x:f>IFERROR('各站彙總來源'!J988/'各站彙總來源'!K988,"")</x:f>
        <x:v>35.80769230769231</x:v>
      </x:c>
      <x:c r="K988" s="19" t="n">
        <x:f>'各站彙總來源'!K988</x:f>
        <x:v>26</x:v>
      </x:c>
      <x:c r="L988" s="24" t="n">
        <x:f>IFERROR('各站彙總來源'!L988/'各站彙總來源'!M988,"")</x:f>
        <x:v>4.269230769230769</x:v>
      </x:c>
      <x:c r="M988" s="19" t="n">
        <x:f>'各站彙總來源'!M988</x:f>
        <x:v>26</x:v>
      </x:c>
      <x:c r="N988" s="24" t="n">
        <x:f>F988+H988</x:f>
        <x:v>5.538461538461538</x:v>
      </x:c>
      <x:c r="O988" s="24" t="n">
        <x:f>J988+L988</x:f>
        <x:v>40.07692307692307</x:v>
      </x:c>
    </x:row>
    <x:row r="989">
      <x:c r="A989" s="22" t="str">
        <x:v>500108015</x:v>
      </x:c>
      <x:c r="B989" s="17" t="str">
        <x:v>內湖區</x:v>
      </x:c>
      <x:c r="C989" s="17" t="str">
        <x:v>文德三號公園(江南街71巷16弄)</x:v>
      </x:c>
      <x:c r="D989" s="18" t="n">
        <x:v>26</x:v>
      </x:c>
      <x:c r="E989" s="18" t="n">
        <x:v>26</x:v>
      </x:c>
      <x:c r="F989" s="24" t="n">
        <x:f>IFERROR('各站彙總來源'!F989/'各站彙總來源'!G989,"")</x:f>
        <x:v>5.230769230769231</x:v>
      </x:c>
      <x:c r="G989" s="19" t="n">
        <x:f>'各站彙總來源'!G989</x:f>
        <x:v>26</x:v>
      </x:c>
      <x:c r="H989" s="24" t="n">
        <x:f>IFERROR('各站彙總來源'!H989/'各站彙總來源'!I989,"")</x:f>
        <x:v>1.2692307692307692</x:v>
      </x:c>
      <x:c r="I989" s="19" t="n">
        <x:f>'各站彙總來源'!I989</x:f>
        <x:v>26</x:v>
      </x:c>
      <x:c r="J989" s="24" t="n">
        <x:f>IFERROR('各站彙總來源'!J989/'各站彙總來源'!K989,"")</x:f>
        <x:v>5.269230769230769</x:v>
      </x:c>
      <x:c r="K989" s="19" t="n">
        <x:f>'各站彙總來源'!K989</x:f>
        <x:v>26</x:v>
      </x:c>
      <x:c r="L989" s="24" t="n">
        <x:f>IFERROR('各站彙總來源'!L989/'各站彙總來源'!M989,"")</x:f>
        <x:v>1.3461538461538463</x:v>
      </x:c>
      <x:c r="M989" s="19" t="n">
        <x:f>'各站彙總來源'!M989</x:f>
        <x:v>26</x:v>
      </x:c>
      <x:c r="N989" s="24" t="n">
        <x:f>F989+H989</x:f>
        <x:v>6.5</x:v>
      </x:c>
      <x:c r="O989" s="24" t="n">
        <x:f>J989+L989</x:f>
        <x:v>6.615384615384615</x:v>
      </x:c>
    </x:row>
    <x:row r="990">
      <x:c r="A990" s="22" t="str">
        <x:v>500108016</x:v>
      </x:c>
      <x:c r="B990" s="17" t="str">
        <x:v>內湖區</x:v>
      </x:c>
      <x:c r="C990" s="17" t="str">
        <x:v>捷運大湖公園站(2號出口)</x:v>
      </x:c>
      <x:c r="D990" s="18" t="n">
        <x:v>26</x:v>
      </x:c>
      <x:c r="E990" s="18" t="n">
        <x:v>26</x:v>
      </x:c>
      <x:c r="F990" s="24" t="n">
        <x:f>IFERROR('各站彙總來源'!F990/'各站彙總來源'!G990,"")</x:f>
        <x:v>8.23076923076923</x:v>
      </x:c>
      <x:c r="G990" s="19" t="n">
        <x:f>'各站彙總來源'!G990</x:f>
        <x:v>26</x:v>
      </x:c>
      <x:c r="H990" s="24" t="n">
        <x:f>IFERROR('各站彙總來源'!H990/'各站彙總來源'!I990,"")</x:f>
        <x:v>4.576923076923077</x:v>
      </x:c>
      <x:c r="I990" s="19" t="n">
        <x:f>'各站彙總來源'!I990</x:f>
        <x:v>26</x:v>
      </x:c>
      <x:c r="J990" s="24" t="n">
        <x:f>IFERROR('各站彙總來源'!J990/'各站彙總來源'!K990,"")</x:f>
        <x:v>9.73076923076923</x:v>
      </x:c>
      <x:c r="K990" s="19" t="n">
        <x:f>'各站彙總來源'!K990</x:f>
        <x:v>26</x:v>
      </x:c>
      <x:c r="L990" s="24" t="n">
        <x:f>IFERROR('各站彙總來源'!L990/'各站彙總來源'!M990,"")</x:f>
        <x:v>7.961538461538462</x:v>
      </x:c>
      <x:c r="M990" s="19" t="n">
        <x:f>'各站彙總來源'!M990</x:f>
        <x:v>26</x:v>
      </x:c>
      <x:c r="N990" s="24" t="n">
        <x:f>F990+H990</x:f>
        <x:v>12.807692307692307</x:v>
      </x:c>
      <x:c r="O990" s="24" t="n">
        <x:f>J990+L990</x:f>
        <x:v>17.692307692307693</x:v>
      </x:c>
    </x:row>
    <x:row r="991">
      <x:c r="A991" s="22" t="str">
        <x:v>500108017</x:v>
      </x:c>
      <x:c r="B991" s="17" t="str">
        <x:v>內湖區</x:v>
      </x:c>
      <x:c r="C991" s="17" t="str">
        <x:v>成功路四段61巷口</x:v>
      </x:c>
      <x:c r="D991" s="18" t="n">
        <x:v>26</x:v>
      </x:c>
      <x:c r="E991" s="18" t="n">
        <x:v>26</x:v>
      </x:c>
      <x:c r="F991" s="24" t="n">
        <x:f>IFERROR('各站彙總來源'!F991/'各站彙總來源'!G991,"")</x:f>
        <x:v>0</x:v>
      </x:c>
      <x:c r="G991" s="19" t="n">
        <x:f>'各站彙總來源'!G991</x:f>
        <x:v>26</x:v>
      </x:c>
      <x:c r="H991" s="24" t="n">
        <x:f>IFERROR('各站彙總來源'!H991/'各站彙總來源'!I991,"")</x:f>
        <x:v>0</x:v>
      </x:c>
      <x:c r="I991" s="19" t="n">
        <x:f>'各站彙總來源'!I991</x:f>
        <x:v>26</x:v>
      </x:c>
      <x:c r="J991" s="24" t="n">
        <x:f>IFERROR('各站彙總來源'!J991/'各站彙總來源'!K991,"")</x:f>
        <x:v>0</x:v>
      </x:c>
      <x:c r="K991" s="19" t="n">
        <x:f>'各站彙總來源'!K991</x:f>
        <x:v>26</x:v>
      </x:c>
      <x:c r="L991" s="24" t="n">
        <x:f>IFERROR('各站彙總來源'!L991/'各站彙總來源'!M991,"")</x:f>
        <x:v>0</x:v>
      </x:c>
      <x:c r="M991" s="19" t="n">
        <x:f>'各站彙總來源'!M991</x:f>
        <x:v>26</x:v>
      </x:c>
      <x:c r="N991" s="24" t="n">
        <x:f>F991+H991</x:f>
        <x:v>0</x:v>
      </x:c>
      <x:c r="O991" s="24" t="n">
        <x:f>J991+L991</x:f>
        <x:v>0</x:v>
      </x:c>
    </x:row>
    <x:row r="992">
      <x:c r="A992" s="22" t="str">
        <x:v>500108018</x:v>
      </x:c>
      <x:c r="B992" s="17" t="str">
        <x:v>內湖區</x:v>
      </x:c>
      <x:c r="C992" s="17" t="str">
        <x:v>康寧星雲街口</x:v>
      </x:c>
      <x:c r="D992" s="18" t="n">
        <x:v>26</x:v>
      </x:c>
      <x:c r="E992" s="18" t="n">
        <x:v>26</x:v>
      </x:c>
      <x:c r="F992" s="24" t="n">
        <x:f>IFERROR('各站彙總來源'!F992/'各站彙總來源'!G992,"")</x:f>
        <x:v>9.538461538461538</x:v>
      </x:c>
      <x:c r="G992" s="19" t="n">
        <x:f>'各站彙總來源'!G992</x:f>
        <x:v>26</x:v>
      </x:c>
      <x:c r="H992" s="24" t="n">
        <x:f>IFERROR('各站彙總來源'!H992/'各站彙總來源'!I992,"")</x:f>
        <x:v>2</x:v>
      </x:c>
      <x:c r="I992" s="19" t="n">
        <x:f>'各站彙總來源'!I992</x:f>
        <x:v>26</x:v>
      </x:c>
      <x:c r="J992" s="24" t="n">
        <x:f>IFERROR('各站彙總來源'!J992/'各站彙總來源'!K992,"")</x:f>
        <x:v>4.461538461538462</x:v>
      </x:c>
      <x:c r="K992" s="19" t="n">
        <x:f>'各站彙總來源'!K992</x:f>
        <x:v>26</x:v>
      </x:c>
      <x:c r="L992" s="24" t="n">
        <x:f>IFERROR('各站彙總來源'!L992/'各站彙總來源'!M992,"")</x:f>
        <x:v>1.3076923076923077</x:v>
      </x:c>
      <x:c r="M992" s="19" t="n">
        <x:f>'各站彙總來源'!M992</x:f>
        <x:v>26</x:v>
      </x:c>
      <x:c r="N992" s="24" t="n">
        <x:f>F992+H992</x:f>
        <x:v>11.538461538461538</x:v>
      </x:c>
      <x:c r="O992" s="24" t="n">
        <x:f>J992+L992</x:f>
        <x:v>5.769230769230769</x:v>
      </x:c>
    </x:row>
    <x:row r="993">
      <x:c r="A993" s="22" t="str">
        <x:v>500108019</x:v>
      </x:c>
      <x:c r="B993" s="17" t="str">
        <x:v>內湖區</x:v>
      </x:c>
      <x:c r="C993" s="17" t="str">
        <x:v>星雲街47號</x:v>
      </x:c>
      <x:c r="D993" s="18" t="n">
        <x:v>26</x:v>
      </x:c>
      <x:c r="E993" s="18" t="n">
        <x:v>26</x:v>
      </x:c>
      <x:c r="F993" s="24" t="n">
        <x:f>IFERROR('各站彙總來源'!F993/'各站彙總來源'!G993,"")</x:f>
        <x:v>12.73076923076923</x:v>
      </x:c>
      <x:c r="G993" s="19" t="n">
        <x:f>'各站彙總來源'!G993</x:f>
        <x:v>26</x:v>
      </x:c>
      <x:c r="H993" s="24" t="n">
        <x:f>IFERROR('各站彙總來源'!H993/'各站彙總來源'!I993,"")</x:f>
        <x:v>1.2307692307692308</x:v>
      </x:c>
      <x:c r="I993" s="19" t="n">
        <x:f>'各站彙總來源'!I993</x:f>
        <x:v>26</x:v>
      </x:c>
      <x:c r="J993" s="24" t="n">
        <x:f>IFERROR('各站彙總來源'!J993/'各站彙總來源'!K993,"")</x:f>
        <x:v>3.3076923076923075</x:v>
      </x:c>
      <x:c r="K993" s="19" t="n">
        <x:f>'各站彙總來源'!K993</x:f>
        <x:v>26</x:v>
      </x:c>
      <x:c r="L993" s="24" t="n">
        <x:f>IFERROR('各站彙總來源'!L993/'各站彙總來源'!M993,"")</x:f>
        <x:v>1.2692307692307692</x:v>
      </x:c>
      <x:c r="M993" s="19" t="n">
        <x:f>'各站彙總來源'!M993</x:f>
        <x:v>26</x:v>
      </x:c>
      <x:c r="N993" s="24" t="n">
        <x:f>F993+H993</x:f>
        <x:v>13.96153846153846</x:v>
      </x:c>
      <x:c r="O993" s="24" t="n">
        <x:f>J993+L993</x:f>
        <x:v>4.576923076923077</x:v>
      </x:c>
    </x:row>
    <x:row r="994">
      <x:c r="A994" s="22" t="str">
        <x:v>500108020</x:v>
      </x:c>
      <x:c r="B994" s="17" t="str">
        <x:v>內湖區</x:v>
      </x:c>
      <x:c r="C994" s="17" t="str">
        <x:v>捷運西湖站(1號出口)</x:v>
      </x:c>
      <x:c r="D994" s="18" t="n">
        <x:v>26</x:v>
      </x:c>
      <x:c r="E994" s="18" t="n">
        <x:v>26</x:v>
      </x:c>
      <x:c r="F994" s="24" t="n">
        <x:f>IFERROR('各站彙總來源'!F994/'各站彙總來源'!G994,"")</x:f>
        <x:v>8.846153846153847</x:v>
      </x:c>
      <x:c r="G994" s="19" t="n">
        <x:f>'各站彙總來源'!G994</x:f>
        <x:v>26</x:v>
      </x:c>
      <x:c r="H994" s="24" t="n">
        <x:f>IFERROR('各站彙總來源'!H994/'各站彙總來源'!I994,"")</x:f>
        <x:v>1.6923076923076923</x:v>
      </x:c>
      <x:c r="I994" s="19" t="n">
        <x:f>'各站彙總來源'!I994</x:f>
        <x:v>26</x:v>
      </x:c>
      <x:c r="J994" s="24" t="n">
        <x:f>IFERROR('各站彙總來源'!J994/'各站彙總來源'!K994,"")</x:f>
        <x:v>8.461538461538462</x:v>
      </x:c>
      <x:c r="K994" s="19" t="n">
        <x:f>'各站彙總來源'!K994</x:f>
        <x:v>26</x:v>
      </x:c>
      <x:c r="L994" s="24" t="n">
        <x:f>IFERROR('各站彙總來源'!L994/'各站彙總來源'!M994,"")</x:f>
        <x:v>1.3461538461538463</x:v>
      </x:c>
      <x:c r="M994" s="19" t="n">
        <x:f>'各站彙總來源'!M994</x:f>
        <x:v>26</x:v>
      </x:c>
      <x:c r="N994" s="24" t="n">
        <x:f>F994+H994</x:f>
        <x:v>10.538461538461538</x:v>
      </x:c>
      <x:c r="O994" s="24" t="n">
        <x:f>J994+L994</x:f>
        <x:v>9.807692307692308</x:v>
      </x:c>
    </x:row>
    <x:row r="995">
      <x:c r="A995" s="22" t="str">
        <x:v>500108021</x:v>
      </x:c>
      <x:c r="B995" s="17" t="str">
        <x:v>內湖區</x:v>
      </x:c>
      <x:c r="C995" s="17" t="str">
        <x:v>捷運西湖站(2號出口)</x:v>
      </x:c>
      <x:c r="D995" s="18" t="n">
        <x:v>26</x:v>
      </x:c>
      <x:c r="E995" s="18" t="n">
        <x:v>26</x:v>
      </x:c>
      <x:c r="F995" s="24" t="n">
        <x:f>IFERROR('各站彙總來源'!F995/'各站彙總來源'!G995,"")</x:f>
        <x:v>14.692307692307692</x:v>
      </x:c>
      <x:c r="G995" s="19" t="n">
        <x:f>'各站彙總來源'!G995</x:f>
        <x:v>26</x:v>
      </x:c>
      <x:c r="H995" s="24" t="n">
        <x:f>IFERROR('各站彙總來源'!H995/'各站彙總來源'!I995,"")</x:f>
        <x:v>1.7307692307692308</x:v>
      </x:c>
      <x:c r="I995" s="19" t="n">
        <x:f>'各站彙總來源'!I995</x:f>
        <x:v>26</x:v>
      </x:c>
      <x:c r="J995" s="24" t="n">
        <x:f>IFERROR('各站彙總來源'!J995/'各站彙總來源'!K995,"")</x:f>
        <x:v>5.653846153846154</x:v>
      </x:c>
      <x:c r="K995" s="19" t="n">
        <x:f>'各站彙總來源'!K995</x:f>
        <x:v>26</x:v>
      </x:c>
      <x:c r="L995" s="24" t="n">
        <x:f>IFERROR('各站彙總來源'!L995/'各站彙總來源'!M995,"")</x:f>
        <x:v>0.8076923076923077</x:v>
      </x:c>
      <x:c r="M995" s="19" t="n">
        <x:f>'各站彙總來源'!M995</x:f>
        <x:v>26</x:v>
      </x:c>
      <x:c r="N995" s="24" t="n">
        <x:f>F995+H995</x:f>
        <x:v>16.423076923076923</x:v>
      </x:c>
      <x:c r="O995" s="24" t="n">
        <x:f>J995+L995</x:f>
        <x:v>6.461538461538462</x:v>
      </x:c>
    </x:row>
    <x:row r="996">
      <x:c r="A996" s="22" t="str">
        <x:v>500108022</x:v>
      </x:c>
      <x:c r="B996" s="17" t="str">
        <x:v>內湖區</x:v>
      </x:c>
      <x:c r="C996" s="17" t="str">
        <x:v>瑞光路583巷口</x:v>
      </x:c>
      <x:c r="D996" s="18" t="n">
        <x:v>26</x:v>
      </x:c>
      <x:c r="E996" s="18" t="n">
        <x:v>26</x:v>
      </x:c>
      <x:c r="F996" s="24" t="n">
        <x:f>IFERROR('各站彙總來源'!F996/'各站彙總來源'!G996,"")</x:f>
        <x:v>3.6923076923076925</x:v>
      </x:c>
      <x:c r="G996" s="19" t="n">
        <x:f>'各站彙總來源'!G996</x:f>
        <x:v>26</x:v>
      </x:c>
      <x:c r="H996" s="24" t="n">
        <x:f>IFERROR('各站彙總來源'!H996/'各站彙總來源'!I996,"")</x:f>
        <x:v>1.1153846153846154</x:v>
      </x:c>
      <x:c r="I996" s="19" t="n">
        <x:f>'各站彙總來源'!I996</x:f>
        <x:v>26</x:v>
      </x:c>
      <x:c r="J996" s="24" t="n">
        <x:f>IFERROR('各站彙總來源'!J996/'各站彙總來源'!K996,"")</x:f>
        <x:v>37.42307692307692</x:v>
      </x:c>
      <x:c r="K996" s="19" t="n">
        <x:f>'各站彙總來源'!K996</x:f>
        <x:v>26</x:v>
      </x:c>
      <x:c r="L996" s="24" t="n">
        <x:f>IFERROR('各站彙總來源'!L996/'各站彙總來源'!M996,"")</x:f>
        <x:v>2.769230769230769</x:v>
      </x:c>
      <x:c r="M996" s="19" t="n">
        <x:f>'各站彙總來源'!M996</x:f>
        <x:v>26</x:v>
      </x:c>
      <x:c r="N996" s="24" t="n">
        <x:f>F996+H996</x:f>
        <x:v>4.807692307692308</x:v>
      </x:c>
      <x:c r="O996" s="24" t="n">
        <x:f>J996+L996</x:f>
        <x:v>40.192307692307686</x:v>
      </x:c>
    </x:row>
    <x:row r="997">
      <x:c r="A997" s="22" t="str">
        <x:v>500108023</x:v>
      </x:c>
      <x:c r="B997" s="17" t="str">
        <x:v>內湖區</x:v>
      </x:c>
      <x:c r="C997" s="17" t="str">
        <x:v>港都公園</x:v>
      </x:c>
      <x:c r="D997" s="18" t="n">
        <x:v>26</x:v>
      </x:c>
      <x:c r="E997" s="18" t="n">
        <x:v>26</x:v>
      </x:c>
      <x:c r="F997" s="24" t="n">
        <x:f>IFERROR('各站彙總來源'!F997/'各站彙總來源'!G997,"")</x:f>
        <x:v>13.192307692307692</x:v>
      </x:c>
      <x:c r="G997" s="19" t="n">
        <x:f>'各站彙總來源'!G997</x:f>
        <x:v>26</x:v>
      </x:c>
      <x:c r="H997" s="24" t="n">
        <x:f>IFERROR('各站彙總來源'!H997/'各站彙總來源'!I997,"")</x:f>
        <x:v>1.6923076923076923</x:v>
      </x:c>
      <x:c r="I997" s="19" t="n">
        <x:f>'各站彙總來源'!I997</x:f>
        <x:v>26</x:v>
      </x:c>
      <x:c r="J997" s="24" t="n">
        <x:f>IFERROR('各站彙總來源'!J997/'各站彙總來源'!K997,"")</x:f>
        <x:v>3</x:v>
      </x:c>
      <x:c r="K997" s="19" t="n">
        <x:f>'各站彙總來源'!K997</x:f>
        <x:v>26</x:v>
      </x:c>
      <x:c r="L997" s="24" t="n">
        <x:f>IFERROR('各站彙總來源'!L997/'各站彙總來源'!M997,"")</x:f>
        <x:v>1.1538461538461537</x:v>
      </x:c>
      <x:c r="M997" s="19" t="n">
        <x:f>'各站彙總來源'!M997</x:f>
        <x:v>26</x:v>
      </x:c>
      <x:c r="N997" s="24" t="n">
        <x:f>F997+H997</x:f>
        <x:v>14.884615384615383</x:v>
      </x:c>
      <x:c r="O997" s="24" t="n">
        <x:f>J997+L997</x:f>
        <x:v>4.153846153846153</x:v>
      </x:c>
    </x:row>
    <x:row r="998">
      <x:c r="A998" s="22" t="str">
        <x:v>500108024</x:v>
      </x:c>
      <x:c r="B998" s="17" t="str">
        <x:v>內湖區</x:v>
      </x:c>
      <x:c r="C998" s="17" t="str">
        <x:v>環山路二段26巷口</x:v>
      </x:c>
      <x:c r="D998" s="18" t="n">
        <x:v>26</x:v>
      </x:c>
      <x:c r="E998" s="18" t="n">
        <x:v>26</x:v>
      </x:c>
      <x:c r="F998" s="24" t="n">
        <x:f>IFERROR('各站彙總來源'!F998/'各站彙總來源'!G998,"")</x:f>
        <x:v>24.807692307692307</x:v>
      </x:c>
      <x:c r="G998" s="19" t="n">
        <x:f>'各站彙總來源'!G998</x:f>
        <x:v>26</x:v>
      </x:c>
      <x:c r="H998" s="24" t="n">
        <x:f>IFERROR('各站彙總來源'!H998/'各站彙總來源'!I998,"")</x:f>
        <x:v>2.4615384615384617</x:v>
      </x:c>
      <x:c r="I998" s="19" t="n">
        <x:f>'各站彙總來源'!I998</x:f>
        <x:v>26</x:v>
      </x:c>
      <x:c r="J998" s="24" t="n">
        <x:f>IFERROR('各站彙總來源'!J998/'各站彙總來源'!K998,"")</x:f>
        <x:v>4.615384615384615</x:v>
      </x:c>
      <x:c r="K998" s="19" t="n">
        <x:f>'各站彙總來源'!K998</x:f>
        <x:v>26</x:v>
      </x:c>
      <x:c r="L998" s="24" t="n">
        <x:f>IFERROR('各站彙總來源'!L998/'各站彙總來源'!M998,"")</x:f>
        <x:v>1.8076923076923077</x:v>
      </x:c>
      <x:c r="M998" s="19" t="n">
        <x:f>'各站彙總來源'!M998</x:f>
        <x:v>26</x:v>
      </x:c>
      <x:c r="N998" s="24" t="n">
        <x:f>F998+H998</x:f>
        <x:v>27.269230769230766</x:v>
      </x:c>
      <x:c r="O998" s="24" t="n">
        <x:f>J998+L998</x:f>
        <x:v>6.4230769230769225</x:v>
      </x:c>
    </x:row>
    <x:row r="999">
      <x:c r="A999" s="22" t="str">
        <x:v>500108025</x:v>
      </x:c>
      <x:c r="B999" s="17" t="str">
        <x:v>內湖區</x:v>
      </x:c>
      <x:c r="C999" s="17" t="str">
        <x:v>成功金龍路口</x:v>
      </x:c>
      <x:c r="D999" s="18" t="n">
        <x:v>26</x:v>
      </x:c>
      <x:c r="E999" s="18" t="n">
        <x:v>26</x:v>
      </x:c>
      <x:c r="F999" s="24" t="n">
        <x:f>IFERROR('各站彙總來源'!F999/'各站彙總來源'!G999,"")</x:f>
        <x:v>6.5</x:v>
      </x:c>
      <x:c r="G999" s="19" t="n">
        <x:f>'各站彙總來源'!G999</x:f>
        <x:v>26</x:v>
      </x:c>
      <x:c r="H999" s="24" t="n">
        <x:f>IFERROR('各站彙總來源'!H999/'各站彙總來源'!I999,"")</x:f>
        <x:v>1.5769230769230769</x:v>
      </x:c>
      <x:c r="I999" s="19" t="n">
        <x:f>'各站彙總來源'!I999</x:f>
        <x:v>26</x:v>
      </x:c>
      <x:c r="J999" s="24" t="n">
        <x:f>IFERROR('各站彙總來源'!J999/'各站彙總來源'!K999,"")</x:f>
        <x:v>18.26923076923077</x:v>
      </x:c>
      <x:c r="K999" s="19" t="n">
        <x:f>'各站彙總來源'!K999</x:f>
        <x:v>26</x:v>
      </x:c>
      <x:c r="L999" s="24" t="n">
        <x:f>IFERROR('各站彙總來源'!L999/'各站彙總來源'!M999,"")</x:f>
        <x:v>2.6153846153846154</x:v>
      </x:c>
      <x:c r="M999" s="19" t="n">
        <x:f>'各站彙總來源'!M999</x:f>
        <x:v>26</x:v>
      </x:c>
      <x:c r="N999" s="24" t="n">
        <x:f>F999+H999</x:f>
        <x:v>8.076923076923077</x:v>
      </x:c>
      <x:c r="O999" s="24" t="n">
        <x:f>J999+L999</x:f>
        <x:v>20.884615384615387</x:v>
      </x:c>
    </x:row>
    <x:row r="1000">
      <x:c r="A1000" s="22" t="str">
        <x:v>500108026</x:v>
      </x:c>
      <x:c r="B1000" s="17" t="str">
        <x:v>內湖區</x:v>
      </x:c>
      <x:c r="C1000" s="17" t="str">
        <x:v>碧山公園</x:v>
      </x:c>
      <x:c r="D1000" s="18" t="n">
        <x:v>26</x:v>
      </x:c>
      <x:c r="E1000" s="18" t="n">
        <x:v>26</x:v>
      </x:c>
      <x:c r="F1000" s="24" t="n">
        <x:f>IFERROR('各站彙總來源'!F1000/'各站彙總來源'!G1000,"")</x:f>
        <x:v>28.692307692307693</x:v>
      </x:c>
      <x:c r="G1000" s="19" t="n">
        <x:f>'各站彙總來源'!G1000</x:f>
        <x:v>26</x:v>
      </x:c>
      <x:c r="H1000" s="24" t="n">
        <x:f>IFERROR('各站彙總來源'!H1000/'各站彙總來源'!I1000,"")</x:f>
        <x:v>7.8076923076923075</x:v>
      </x:c>
      <x:c r="I1000" s="19" t="n">
        <x:f>'各站彙總來源'!I1000</x:f>
        <x:v>26</x:v>
      </x:c>
      <x:c r="J1000" s="24" t="n">
        <x:f>IFERROR('各站彙總來源'!J1000/'各站彙總來源'!K1000,"")</x:f>
        <x:v>3</x:v>
      </x:c>
      <x:c r="K1000" s="19" t="n">
        <x:f>'各站彙總來源'!K1000</x:f>
        <x:v>26</x:v>
      </x:c>
      <x:c r="L1000" s="24" t="n">
        <x:f>IFERROR('各站彙總來源'!L1000/'各站彙總來源'!M1000,"")</x:f>
        <x:v>1.8846153846153846</x:v>
      </x:c>
      <x:c r="M1000" s="19" t="n">
        <x:f>'各站彙總來源'!M1000</x:f>
        <x:v>26</x:v>
      </x:c>
      <x:c r="N1000" s="24" t="n">
        <x:f>F1000+H1000</x:f>
        <x:v>36.5</x:v>
      </x:c>
      <x:c r="O1000" s="24" t="n">
        <x:f>J1000+L1000</x:f>
        <x:v>4.884615384615385</x:v>
      </x:c>
    </x:row>
    <x:row r="1001">
      <x:c r="A1001" s="22" t="str">
        <x:v>500108027</x:v>
      </x:c>
      <x:c r="B1001" s="17" t="str">
        <x:v>內湖區</x:v>
      </x:c>
      <x:c r="C1001" s="17" t="str">
        <x:v>金瑞公園</x:v>
      </x:c>
      <x:c r="D1001" s="18" t="n">
        <x:v>26</x:v>
      </x:c>
      <x:c r="E1001" s="18" t="n">
        <x:v>26</x:v>
      </x:c>
      <x:c r="F1001" s="24" t="n">
        <x:f>IFERROR('各站彙總來源'!F1001/'各站彙總來源'!G1001,"")</x:f>
        <x:v>63.46153846153846</x:v>
      </x:c>
      <x:c r="G1001" s="19" t="n">
        <x:f>'各站彙總來源'!G1001</x:f>
        <x:v>26</x:v>
      </x:c>
      <x:c r="H1001" s="24" t="n">
        <x:f>IFERROR('各站彙總來源'!H1001/'各站彙總來源'!I1001,"")</x:f>
        <x:v>6.384615384615385</x:v>
      </x:c>
      <x:c r="I1001" s="19" t="n">
        <x:f>'各站彙總來源'!I1001</x:f>
        <x:v>26</x:v>
      </x:c>
      <x:c r="J1001" s="24" t="n">
        <x:f>IFERROR('各站彙總來源'!J1001/'各站彙總來源'!K1001,"")</x:f>
        <x:v>7.423076923076923</x:v>
      </x:c>
      <x:c r="K1001" s="19" t="n">
        <x:f>'各站彙總來源'!K1001</x:f>
        <x:v>26</x:v>
      </x:c>
      <x:c r="L1001" s="24" t="n">
        <x:f>IFERROR('各站彙總來源'!L1001/'各站彙總來源'!M1001,"")</x:f>
        <x:v>1.4615384615384615</x:v>
      </x:c>
      <x:c r="M1001" s="19" t="n">
        <x:f>'各站彙總來源'!M1001</x:f>
        <x:v>26</x:v>
      </x:c>
      <x:c r="N1001" s="24" t="n">
        <x:f>F1001+H1001</x:f>
        <x:v>69.84615384615384</x:v>
      </x:c>
      <x:c r="O1001" s="24" t="n">
        <x:f>J1001+L1001</x:f>
        <x:v>8.884615384615385</x:v>
      </x:c>
    </x:row>
    <x:row r="1002">
      <x:c r="A1002" s="22" t="str">
        <x:v>500108028</x:v>
      </x:c>
      <x:c r="B1002" s="17" t="str">
        <x:v>內湖區</x:v>
      </x:c>
      <x:c r="C1002" s="17" t="str">
        <x:v>捷運文德站(2號出口)</x:v>
      </x:c>
      <x:c r="D1002" s="18" t="n">
        <x:v>26</x:v>
      </x:c>
      <x:c r="E1002" s="18" t="n">
        <x:v>26</x:v>
      </x:c>
      <x:c r="F1002" s="24" t="n">
        <x:f>IFERROR('各站彙總來源'!F1002/'各站彙總來源'!G1002,"")</x:f>
        <x:v>8.961538461538462</x:v>
      </x:c>
      <x:c r="G1002" s="19" t="n">
        <x:f>'各站彙總來源'!G1002</x:f>
        <x:v>26</x:v>
      </x:c>
      <x:c r="H1002" s="24" t="n">
        <x:f>IFERROR('各站彙總來源'!H1002/'各站彙總來源'!I1002,"")</x:f>
        <x:v>1.5769230769230769</x:v>
      </x:c>
      <x:c r="I1002" s="19" t="n">
        <x:f>'各站彙總來源'!I1002</x:f>
        <x:v>26</x:v>
      </x:c>
      <x:c r="J1002" s="24" t="n">
        <x:f>IFERROR('各站彙總來源'!J1002/'各站彙總來源'!K1002,"")</x:f>
        <x:v>7.346153846153846</x:v>
      </x:c>
      <x:c r="K1002" s="19" t="n">
        <x:f>'各站彙總來源'!K1002</x:f>
        <x:v>26</x:v>
      </x:c>
      <x:c r="L1002" s="24" t="n">
        <x:f>IFERROR('各站彙總來源'!L1002/'各站彙總來源'!M1002,"")</x:f>
        <x:v>1.6923076923076923</x:v>
      </x:c>
      <x:c r="M1002" s="19" t="n">
        <x:f>'各站彙總來源'!M1002</x:f>
        <x:v>26</x:v>
      </x:c>
      <x:c r="N1002" s="24" t="n">
        <x:f>F1002+H1002</x:f>
        <x:v>10.538461538461538</x:v>
      </x:c>
      <x:c r="O1002" s="24" t="n">
        <x:f>J1002+L1002</x:f>
        <x:v>9.038461538461538</x:v>
      </x:c>
    </x:row>
    <x:row r="1003">
      <x:c r="A1003" s="22" t="str">
        <x:v>500108029</x:v>
      </x:c>
      <x:c r="B1003" s="17" t="str">
        <x:v>內湖區</x:v>
      </x:c>
      <x:c r="C1003" s="17" t="str">
        <x:v>陽光公園</x:v>
      </x:c>
      <x:c r="D1003" s="18" t="n">
        <x:v>26</x:v>
      </x:c>
      <x:c r="E1003" s="18" t="n">
        <x:v>26</x:v>
      </x:c>
      <x:c r="F1003" s="24" t="n">
        <x:f>IFERROR('各站彙總來源'!F1003/'各站彙總來源'!G1003,"")</x:f>
        <x:v>5.5</x:v>
      </x:c>
      <x:c r="G1003" s="19" t="n">
        <x:f>'各站彙總來源'!G1003</x:f>
        <x:v>26</x:v>
      </x:c>
      <x:c r="H1003" s="24" t="n">
        <x:f>IFERROR('各站彙總來源'!H1003/'各站彙總來源'!I1003,"")</x:f>
        <x:v>2.6153846153846154</x:v>
      </x:c>
      <x:c r="I1003" s="19" t="n">
        <x:f>'各站彙總來源'!I1003</x:f>
        <x:v>26</x:v>
      </x:c>
      <x:c r="J1003" s="24" t="n">
        <x:f>IFERROR('各站彙總來源'!J1003/'各站彙總來源'!K1003,"")</x:f>
        <x:v>3.3846153846153846</x:v>
      </x:c>
      <x:c r="K1003" s="19" t="n">
        <x:f>'各站彙總來源'!K1003</x:f>
        <x:v>26</x:v>
      </x:c>
      <x:c r="L1003" s="24" t="n">
        <x:f>IFERROR('各站彙總來源'!L1003/'各站彙總來源'!M1003,"")</x:f>
        <x:v>1</x:v>
      </x:c>
      <x:c r="M1003" s="19" t="n">
        <x:f>'各站彙總來源'!M1003</x:f>
        <x:v>26</x:v>
      </x:c>
      <x:c r="N1003" s="24" t="n">
        <x:f>F1003+H1003</x:f>
        <x:v>8.115384615384615</x:v>
      </x:c>
      <x:c r="O1003" s="24" t="n">
        <x:f>J1003+L1003</x:f>
        <x:v>4.384615384615385</x:v>
      </x:c>
    </x:row>
    <x:row r="1004">
      <x:c r="A1004" s="22" t="str">
        <x:v>500108030</x:v>
      </x:c>
      <x:c r="B1004" s="17" t="str">
        <x:v>內湖區</x:v>
      </x:c>
      <x:c r="C1004" s="17" t="str">
        <x:v>文德二號公園(南側)</x:v>
      </x:c>
      <x:c r="D1004" s="18" t="n">
        <x:v>26</x:v>
      </x:c>
      <x:c r="E1004" s="18" t="n">
        <x:v>26</x:v>
      </x:c>
      <x:c r="F1004" s="24" t="n">
        <x:f>IFERROR('各站彙總來源'!F1004/'各站彙總來源'!G1004,"")</x:f>
        <x:v>9.73076923076923</x:v>
      </x:c>
      <x:c r="G1004" s="19" t="n">
        <x:f>'各站彙總來源'!G1004</x:f>
        <x:v>26</x:v>
      </x:c>
      <x:c r="H1004" s="24" t="n">
        <x:f>IFERROR('各站彙總來源'!H1004/'各站彙總來源'!I1004,"")</x:f>
        <x:v>2.8076923076923075</x:v>
      </x:c>
      <x:c r="I1004" s="19" t="n">
        <x:f>'各站彙總來源'!I1004</x:f>
        <x:v>26</x:v>
      </x:c>
      <x:c r="J1004" s="24" t="n">
        <x:f>IFERROR('各站彙總來源'!J1004/'各站彙總來源'!K1004,"")</x:f>
        <x:v>1.9615384615384615</x:v>
      </x:c>
      <x:c r="K1004" s="19" t="n">
        <x:f>'各站彙總來源'!K1004</x:f>
        <x:v>26</x:v>
      </x:c>
      <x:c r="L1004" s="24" t="n">
        <x:f>IFERROR('各站彙總來源'!L1004/'各站彙總來源'!M1004,"")</x:f>
        <x:v>0.7307692307692307</x:v>
      </x:c>
      <x:c r="M1004" s="19" t="n">
        <x:f>'各站彙總來源'!M1004</x:f>
        <x:v>26</x:v>
      </x:c>
      <x:c r="N1004" s="24" t="n">
        <x:f>F1004+H1004</x:f>
        <x:v>12.538461538461537</x:v>
      </x:c>
      <x:c r="O1004" s="24" t="n">
        <x:f>J1004+L1004</x:f>
        <x:v>2.692307692307692</x:v>
      </x:c>
    </x:row>
    <x:row r="1005">
      <x:c r="A1005" s="22" t="str">
        <x:v>500108031</x:v>
      </x:c>
      <x:c r="B1005" s="17" t="str">
        <x:v>內湖區</x:v>
      </x:c>
      <x:c r="C1005" s="17" t="str">
        <x:v>文德二號公園(北側)</x:v>
      </x:c>
      <x:c r="D1005" s="18" t="n">
        <x:v>26</x:v>
      </x:c>
      <x:c r="E1005" s="18" t="n">
        <x:v>26</x:v>
      </x:c>
      <x:c r="F1005" s="24" t="n">
        <x:f>IFERROR('各站彙總來源'!F1005/'各站彙總來源'!G1005,"")</x:f>
        <x:v>6.846153846153846</x:v>
      </x:c>
      <x:c r="G1005" s="19" t="n">
        <x:f>'各站彙總來源'!G1005</x:f>
        <x:v>26</x:v>
      </x:c>
      <x:c r="H1005" s="24" t="n">
        <x:f>IFERROR('各站彙總來源'!H1005/'各站彙總來源'!I1005,"")</x:f>
        <x:v>0.9615384615384616</x:v>
      </x:c>
      <x:c r="I1005" s="19" t="n">
        <x:f>'各站彙總來源'!I1005</x:f>
        <x:v>26</x:v>
      </x:c>
      <x:c r="J1005" s="24" t="n">
        <x:f>IFERROR('各站彙總來源'!J1005/'各站彙總來源'!K1005,"")</x:f>
        <x:v>3.8461538461538463</x:v>
      </x:c>
      <x:c r="K1005" s="19" t="n">
        <x:f>'各站彙總來源'!K1005</x:f>
        <x:v>26</x:v>
      </x:c>
      <x:c r="L1005" s="24" t="n">
        <x:f>IFERROR('各站彙總來源'!L1005/'各站彙總來源'!M1005,"")</x:f>
        <x:v>2.076923076923077</x:v>
      </x:c>
      <x:c r="M1005" s="19" t="n">
        <x:f>'各站彙總來源'!M1005</x:f>
        <x:v>26</x:v>
      </x:c>
      <x:c r="N1005" s="24" t="n">
        <x:f>F1005+H1005</x:f>
        <x:v>7.8076923076923075</x:v>
      </x:c>
      <x:c r="O1005" s="24" t="n">
        <x:f>J1005+L1005</x:f>
        <x:v>5.923076923076923</x:v>
      </x:c>
    </x:row>
    <x:row r="1006">
      <x:c r="A1006" s="22" t="str">
        <x:v>500108032</x:v>
      </x:c>
      <x:c r="B1006" s="17" t="str">
        <x:v>內湖區</x:v>
      </x:c>
      <x:c r="C1006" s="17" t="str">
        <x:v>瑞陽公園</x:v>
      </x:c>
      <x:c r="D1006" s="18" t="n">
        <x:v>26</x:v>
      </x:c>
      <x:c r="E1006" s="18" t="n">
        <x:v>26</x:v>
      </x:c>
      <x:c r="F1006" s="24" t="n">
        <x:f>IFERROR('各站彙總來源'!F1006/'各站彙總來源'!G1006,"")</x:f>
        <x:v>6.423076923076923</x:v>
      </x:c>
      <x:c r="G1006" s="19" t="n">
        <x:f>'各站彙總來源'!G1006</x:f>
        <x:v>26</x:v>
      </x:c>
      <x:c r="H1006" s="24" t="n">
        <x:f>IFERROR('各站彙總來源'!H1006/'各站彙總來源'!I1006,"")</x:f>
        <x:v>1.1538461538461537</x:v>
      </x:c>
      <x:c r="I1006" s="19" t="n">
        <x:f>'各站彙總來源'!I1006</x:f>
        <x:v>26</x:v>
      </x:c>
      <x:c r="J1006" s="24" t="n">
        <x:f>IFERROR('各站彙總來源'!J1006/'各站彙總來源'!K1006,"")</x:f>
        <x:v>2.3076923076923075</x:v>
      </x:c>
      <x:c r="K1006" s="19" t="n">
        <x:f>'各站彙總來源'!K1006</x:f>
        <x:v>26</x:v>
      </x:c>
      <x:c r="L1006" s="24" t="n">
        <x:f>IFERROR('各站彙總來源'!L1006/'各站彙總來源'!M1006,"")</x:f>
        <x:v>1.1153846153846154</x:v>
      </x:c>
      <x:c r="M1006" s="19" t="n">
        <x:f>'各站彙總來源'!M1006</x:f>
        <x:v>26</x:v>
      </x:c>
      <x:c r="N1006" s="24" t="n">
        <x:f>F1006+H1006</x:f>
        <x:v>7.576923076923077</x:v>
      </x:c>
      <x:c r="O1006" s="24" t="n">
        <x:f>J1006+L1006</x:f>
        <x:v>3.423076923076923</x:v>
      </x:c>
    </x:row>
    <x:row r="1007">
      <x:c r="A1007" s="22" t="str">
        <x:v>500108033</x:v>
      </x:c>
      <x:c r="B1007" s="17" t="str">
        <x:v>內湖區</x:v>
      </x:c>
      <x:c r="C1007" s="17" t="str">
        <x:v>湖光國宅</x:v>
      </x:c>
      <x:c r="D1007" s="18" t="n">
        <x:v>26</x:v>
      </x:c>
      <x:c r="E1007" s="18" t="n">
        <x:v>26</x:v>
      </x:c>
      <x:c r="F1007" s="24" t="n">
        <x:f>IFERROR('各站彙總來源'!F1007/'各站彙總來源'!G1007,"")</x:f>
        <x:v>34.88461538461539</x:v>
      </x:c>
      <x:c r="G1007" s="19" t="n">
        <x:f>'各站彙總來源'!G1007</x:f>
        <x:v>26</x:v>
      </x:c>
      <x:c r="H1007" s="24" t="n">
        <x:f>IFERROR('各站彙總來源'!H1007/'各站彙總來源'!I1007,"")</x:f>
        <x:v>2.3461538461538463</x:v>
      </x:c>
      <x:c r="I1007" s="19" t="n">
        <x:f>'各站彙總來源'!I1007</x:f>
        <x:v>26</x:v>
      </x:c>
      <x:c r="J1007" s="24" t="n">
        <x:f>IFERROR('各站彙總來源'!J1007/'各站彙總來源'!K1007,"")</x:f>
        <x:v>5.076923076923077</x:v>
      </x:c>
      <x:c r="K1007" s="19" t="n">
        <x:f>'各站彙總來源'!K1007</x:f>
        <x:v>26</x:v>
      </x:c>
      <x:c r="L1007" s="24" t="n">
        <x:f>IFERROR('各站彙總來源'!L1007/'各站彙總來源'!M1007,"")</x:f>
        <x:v>2.3076923076923075</x:v>
      </x:c>
      <x:c r="M1007" s="19" t="n">
        <x:f>'各站彙總來源'!M1007</x:f>
        <x:v>26</x:v>
      </x:c>
      <x:c r="N1007" s="24" t="n">
        <x:f>F1007+H1007</x:f>
        <x:v>37.23076923076923</x:v>
      </x:c>
      <x:c r="O1007" s="24" t="n">
        <x:f>J1007+L1007</x:f>
        <x:v>7.384615384615384</x:v>
      </x:c>
    </x:row>
    <x:row r="1008">
      <x:c r="A1008" s="22" t="str">
        <x:v>500108034</x:v>
      </x:c>
      <x:c r="B1008" s="17" t="str">
        <x:v>內湖區</x:v>
      </x:c>
      <x:c r="C1008" s="17" t="str">
        <x:v>潭美街213號</x:v>
      </x:c>
      <x:c r="D1008" s="18" t="n">
        <x:v>26</x:v>
      </x:c>
      <x:c r="E1008" s="18" t="n">
        <x:v>26</x:v>
      </x:c>
      <x:c r="F1008" s="24" t="n">
        <x:f>IFERROR('各站彙總來源'!F1008/'各站彙總來源'!G1008,"")</x:f>
        <x:v>0</x:v>
      </x:c>
      <x:c r="G1008" s="19" t="n">
        <x:f>'各站彙總來源'!G1008</x:f>
        <x:v>26</x:v>
      </x:c>
      <x:c r="H1008" s="24" t="n">
        <x:f>IFERROR('各站彙總來源'!H1008/'各站彙總來源'!I1008,"")</x:f>
        <x:v>0</x:v>
      </x:c>
      <x:c r="I1008" s="19" t="n">
        <x:f>'各站彙總來源'!I1008</x:f>
        <x:v>26</x:v>
      </x:c>
      <x:c r="J1008" s="24" t="n">
        <x:f>IFERROR('各站彙總來源'!J1008/'各站彙總來源'!K1008,"")</x:f>
        <x:v>0</x:v>
      </x:c>
      <x:c r="K1008" s="19" t="n">
        <x:f>'各站彙總來源'!K1008</x:f>
        <x:v>26</x:v>
      </x:c>
      <x:c r="L1008" s="24" t="n">
        <x:f>IFERROR('各站彙總來源'!L1008/'各站彙總來源'!M1008,"")</x:f>
        <x:v>0</x:v>
      </x:c>
      <x:c r="M1008" s="19" t="n">
        <x:f>'各站彙總來源'!M1008</x:f>
        <x:v>26</x:v>
      </x:c>
      <x:c r="N1008" s="24" t="n">
        <x:f>F1008+H1008</x:f>
        <x:v>0</x:v>
      </x:c>
      <x:c r="O1008" s="24" t="n">
        <x:f>J1008+L1008</x:f>
        <x:v>0</x:v>
      </x:c>
    </x:row>
    <x:row r="1009">
      <x:c r="A1009" s="22" t="str">
        <x:v>500108035</x:v>
      </x:c>
      <x:c r="B1009" s="17" t="str">
        <x:v>內湖區</x:v>
      </x:c>
      <x:c r="C1009" s="17" t="str">
        <x:v>南京東路六段180號</x:v>
      </x:c>
      <x:c r="D1009" s="18" t="n">
        <x:v>26</x:v>
      </x:c>
      <x:c r="E1009" s="18" t="n">
        <x:v>26</x:v>
      </x:c>
      <x:c r="F1009" s="24" t="n">
        <x:f>IFERROR('各站彙總來源'!F1009/'各站彙總來源'!G1009,"")</x:f>
        <x:v>13.692307692307692</x:v>
      </x:c>
      <x:c r="G1009" s="19" t="n">
        <x:f>'各站彙總來源'!G1009</x:f>
        <x:v>26</x:v>
      </x:c>
      <x:c r="H1009" s="24" t="n">
        <x:f>IFERROR('各站彙總來源'!H1009/'各站彙總來源'!I1009,"")</x:f>
        <x:v>1.5384615384615385</x:v>
      </x:c>
      <x:c r="I1009" s="19" t="n">
        <x:f>'各站彙總來源'!I1009</x:f>
        <x:v>26</x:v>
      </x:c>
      <x:c r="J1009" s="24" t="n">
        <x:f>IFERROR('各站彙總來源'!J1009/'各站彙總來源'!K1009,"")</x:f>
        <x:v>2.8846153846153846</x:v>
      </x:c>
      <x:c r="K1009" s="19" t="n">
        <x:f>'各站彙總來源'!K1009</x:f>
        <x:v>26</x:v>
      </x:c>
      <x:c r="L1009" s="24" t="n">
        <x:f>IFERROR('各站彙總來源'!L1009/'各站彙總來源'!M1009,"")</x:f>
        <x:v>1.0384615384615385</x:v>
      </x:c>
      <x:c r="M1009" s="19" t="n">
        <x:f>'各站彙總來源'!M1009</x:f>
        <x:v>26</x:v>
      </x:c>
      <x:c r="N1009" s="24" t="n">
        <x:f>F1009+H1009</x:f>
        <x:v>15.23076923076923</x:v>
      </x:c>
      <x:c r="O1009" s="24" t="n">
        <x:f>J1009+L1009</x:f>
        <x:v>3.9230769230769234</x:v>
      </x:c>
    </x:row>
    <x:row r="1010">
      <x:c r="A1010" s="22" t="str">
        <x:v>500108036</x:v>
      </x:c>
      <x:c r="B1010" s="17" t="str">
        <x:v>內湖區</x:v>
      </x:c>
      <x:c r="C1010" s="17" t="str">
        <x:v>潭美國小(南京舊宗路口)</x:v>
      </x:c>
      <x:c r="D1010" s="18" t="n">
        <x:v>26</x:v>
      </x:c>
      <x:c r="E1010" s="18" t="n">
        <x:v>26</x:v>
      </x:c>
      <x:c r="F1010" s="24" t="n">
        <x:f>IFERROR('各站彙總來源'!F1010/'各站彙總來源'!G1010,"")</x:f>
        <x:v>18.307692307692307</x:v>
      </x:c>
      <x:c r="G1010" s="19" t="n">
        <x:f>'各站彙總來源'!G1010</x:f>
        <x:v>26</x:v>
      </x:c>
      <x:c r="H1010" s="24" t="n">
        <x:f>IFERROR('各站彙總來源'!H1010/'各站彙總來源'!I1010,"")</x:f>
        <x:v>2.3076923076923075</x:v>
      </x:c>
      <x:c r="I1010" s="19" t="n">
        <x:f>'各站彙總來源'!I1010</x:f>
        <x:v>26</x:v>
      </x:c>
      <x:c r="J1010" s="24" t="n">
        <x:f>IFERROR('各站彙總來源'!J1010/'各站彙總來源'!K1010,"")</x:f>
        <x:v>14.807692307692308</x:v>
      </x:c>
      <x:c r="K1010" s="19" t="n">
        <x:f>'各站彙總來源'!K1010</x:f>
        <x:v>26</x:v>
      </x:c>
      <x:c r="L1010" s="24" t="n">
        <x:f>IFERROR('各站彙總來源'!L1010/'各站彙總來源'!M1010,"")</x:f>
        <x:v>4.384615384615385</x:v>
      </x:c>
      <x:c r="M1010" s="19" t="n">
        <x:f>'各站彙總來源'!M1010</x:f>
        <x:v>26</x:v>
      </x:c>
      <x:c r="N1010" s="24" t="n">
        <x:f>F1010+H1010</x:f>
        <x:v>20.615384615384613</x:v>
      </x:c>
      <x:c r="O1010" s="24" t="n">
        <x:f>J1010+L1010</x:f>
        <x:v>19.192307692307693</x:v>
      </x:c>
    </x:row>
    <x:row r="1011">
      <x:c r="A1011" s="22" t="str">
        <x:v>500108037</x:v>
      </x:c>
      <x:c r="B1011" s="17" t="str">
        <x:v>內湖區</x:v>
      </x:c>
      <x:c r="C1011" s="17" t="str">
        <x:v>新明路343號</x:v>
      </x:c>
      <x:c r="D1011" s="18" t="n">
        <x:v>26</x:v>
      </x:c>
      <x:c r="E1011" s="18" t="n">
        <x:v>26</x:v>
      </x:c>
      <x:c r="F1011" s="24" t="n">
        <x:f>IFERROR('各站彙總來源'!F1011/'各站彙總來源'!G1011,"")</x:f>
        <x:v>4.923076923076923</x:v>
      </x:c>
      <x:c r="G1011" s="19" t="n">
        <x:f>'各站彙總來源'!G1011</x:f>
        <x:v>26</x:v>
      </x:c>
      <x:c r="H1011" s="24" t="n">
        <x:f>IFERROR('各站彙總來源'!H1011/'各站彙總來源'!I1011,"")</x:f>
        <x:v>1.5769230769230769</x:v>
      </x:c>
      <x:c r="I1011" s="19" t="n">
        <x:f>'各站彙總來源'!I1011</x:f>
        <x:v>26</x:v>
      </x:c>
      <x:c r="J1011" s="24" t="n">
        <x:f>IFERROR('各站彙總來源'!J1011/'各站彙總來源'!K1011,"")</x:f>
        <x:v>2.6538461538461537</x:v>
      </x:c>
      <x:c r="K1011" s="19" t="n">
        <x:f>'各站彙總來源'!K1011</x:f>
        <x:v>26</x:v>
      </x:c>
      <x:c r="L1011" s="24" t="n">
        <x:f>IFERROR('各站彙總來源'!L1011/'各站彙總來源'!M1011,"")</x:f>
        <x:v>0.5769230769230769</x:v>
      </x:c>
      <x:c r="M1011" s="19" t="n">
        <x:f>'各站彙總來源'!M1011</x:f>
        <x:v>26</x:v>
      </x:c>
      <x:c r="N1011" s="24" t="n">
        <x:f>F1011+H1011</x:f>
        <x:v>6.5</x:v>
      </x:c>
      <x:c r="O1011" s="24" t="n">
        <x:f>J1011+L1011</x:f>
        <x:v>3.230769230769231</x:v>
      </x:c>
    </x:row>
    <x:row r="1012">
      <x:c r="A1012" s="22" t="str">
        <x:v>500108038</x:v>
      </x:c>
      <x:c r="B1012" s="17" t="str">
        <x:v>內湖區</x:v>
      </x:c>
      <x:c r="C1012" s="17" t="str">
        <x:v>成美長壽橋(潭美街)</x:v>
      </x:c>
      <x:c r="D1012" s="18" t="n">
        <x:v>26</x:v>
      </x:c>
      <x:c r="E1012" s="18" t="n">
        <x:v>26</x:v>
      </x:c>
      <x:c r="F1012" s="24" t="n">
        <x:f>IFERROR('各站彙總來源'!F1012/'各站彙總來源'!G1012,"")</x:f>
        <x:v>17.807692307692307</x:v>
      </x:c>
      <x:c r="G1012" s="19" t="n">
        <x:f>'各站彙總來源'!G1012</x:f>
        <x:v>26</x:v>
      </x:c>
      <x:c r="H1012" s="24" t="n">
        <x:f>IFERROR('各站彙總來源'!H1012/'各站彙總來源'!I1012,"")</x:f>
        <x:v>2.730769230769231</x:v>
      </x:c>
      <x:c r="I1012" s="19" t="n">
        <x:f>'各站彙總來源'!I1012</x:f>
        <x:v>26</x:v>
      </x:c>
      <x:c r="J1012" s="24" t="n">
        <x:f>IFERROR('各站彙總來源'!J1012/'各站彙總來源'!K1012,"")</x:f>
        <x:v>3.3846153846153846</x:v>
      </x:c>
      <x:c r="K1012" s="19" t="n">
        <x:f>'各站彙總來源'!K1012</x:f>
        <x:v>26</x:v>
      </x:c>
      <x:c r="L1012" s="24" t="n">
        <x:f>IFERROR('各站彙總來源'!L1012/'各站彙總來源'!M1012,"")</x:f>
        <x:v>2.1538461538461537</x:v>
      </x:c>
      <x:c r="M1012" s="19" t="n">
        <x:f>'各站彙總來源'!M1012</x:f>
        <x:v>26</x:v>
      </x:c>
      <x:c r="N1012" s="24" t="n">
        <x:f>F1012+H1012</x:f>
        <x:v>20.538461538461537</x:v>
      </x:c>
      <x:c r="O1012" s="24" t="n">
        <x:f>J1012+L1012</x:f>
        <x:v>5.538461538461538</x:v>
      </x:c>
    </x:row>
    <x:row r="1013">
      <x:c r="A1013" s="22" t="str">
        <x:v>500108039</x:v>
      </x:c>
      <x:c r="B1013" s="17" t="str">
        <x:v>內湖區</x:v>
      </x:c>
      <x:c r="C1013" s="17" t="str">
        <x:v>內湖行政中心</x:v>
      </x:c>
      <x:c r="D1013" s="18" t="n">
        <x:v>26</x:v>
      </x:c>
      <x:c r="E1013" s="18" t="n">
        <x:v>26</x:v>
      </x:c>
      <x:c r="F1013" s="24" t="n">
        <x:f>IFERROR('各站彙總來源'!F1013/'各站彙總來源'!G1013,"")</x:f>
        <x:v>4.346153846153846</x:v>
      </x:c>
      <x:c r="G1013" s="19" t="n">
        <x:f>'各站彙總來源'!G1013</x:f>
        <x:v>26</x:v>
      </x:c>
      <x:c r="H1013" s="24" t="n">
        <x:f>IFERROR('各站彙總來源'!H1013/'各站彙總來源'!I1013,"")</x:f>
        <x:v>1.6538461538461537</x:v>
      </x:c>
      <x:c r="I1013" s="19" t="n">
        <x:f>'各站彙總來源'!I1013</x:f>
        <x:v>26</x:v>
      </x:c>
      <x:c r="J1013" s="24" t="n">
        <x:f>IFERROR('各站彙總來源'!J1013/'各站彙總來源'!K1013,"")</x:f>
        <x:v>9.884615384615385</x:v>
      </x:c>
      <x:c r="K1013" s="19" t="n">
        <x:f>'各站彙總來源'!K1013</x:f>
        <x:v>26</x:v>
      </x:c>
      <x:c r="L1013" s="24" t="n">
        <x:f>IFERROR('各站彙總來源'!L1013/'各站彙總來源'!M1013,"")</x:f>
        <x:v>2.269230769230769</x:v>
      </x:c>
      <x:c r="M1013" s="19" t="n">
        <x:f>'各站彙總來源'!M1013</x:f>
        <x:v>26</x:v>
      </x:c>
      <x:c r="N1013" s="24" t="n">
        <x:f>F1013+H1013</x:f>
        <x:v>6</x:v>
      </x:c>
      <x:c r="O1013" s="24" t="n">
        <x:f>J1013+L1013</x:f>
        <x:v>12.153846153846153</x:v>
      </x:c>
    </x:row>
    <x:row r="1014">
      <x:c r="A1014" s="22" t="str">
        <x:v>500108040</x:v>
      </x:c>
      <x:c r="B1014" s="17" t="str">
        <x:v>內湖區</x:v>
      </x:c>
      <x:c r="C1014" s="17" t="str">
        <x:v>樂康公園</x:v>
      </x:c>
      <x:c r="D1014" s="18" t="n">
        <x:v>26</x:v>
      </x:c>
      <x:c r="E1014" s="18" t="n">
        <x:v>26</x:v>
      </x:c>
      <x:c r="F1014" s="24" t="n">
        <x:f>IFERROR('各站彙總來源'!F1014/'各站彙總來源'!G1014,"")</x:f>
        <x:v>8.461538461538462</x:v>
      </x:c>
      <x:c r="G1014" s="19" t="n">
        <x:f>'各站彙總來源'!G1014</x:f>
        <x:v>26</x:v>
      </x:c>
      <x:c r="H1014" s="24" t="n">
        <x:f>IFERROR('各站彙總來源'!H1014/'各站彙總來源'!I1014,"")</x:f>
        <x:v>2.3076923076923075</x:v>
      </x:c>
      <x:c r="I1014" s="19" t="n">
        <x:f>'各站彙總來源'!I1014</x:f>
        <x:v>26</x:v>
      </x:c>
      <x:c r="J1014" s="24" t="n">
        <x:f>IFERROR('各站彙總來源'!J1014/'各站彙總來源'!K1014,"")</x:f>
        <x:v>4.461538461538462</x:v>
      </x:c>
      <x:c r="K1014" s="19" t="n">
        <x:f>'各站彙總來源'!K1014</x:f>
        <x:v>26</x:v>
      </x:c>
      <x:c r="L1014" s="24" t="n">
        <x:f>IFERROR('各站彙總來源'!L1014/'各站彙總來源'!M1014,"")</x:f>
        <x:v>1.8846153846153846</x:v>
      </x:c>
      <x:c r="M1014" s="19" t="n">
        <x:f>'各站彙總來源'!M1014</x:f>
        <x:v>26</x:v>
      </x:c>
      <x:c r="N1014" s="24" t="n">
        <x:f>F1014+H1014</x:f>
        <x:v>10.76923076923077</x:v>
      </x:c>
      <x:c r="O1014" s="24" t="n">
        <x:f>J1014+L1014</x:f>
        <x:v>6.346153846153847</x:v>
      </x:c>
    </x:row>
    <x:row r="1015">
      <x:c r="A1015" s="22" t="str">
        <x:v>500108041</x:v>
      </x:c>
      <x:c r="B1015" s="17" t="str">
        <x:v>內湖區</x:v>
      </x:c>
      <x:c r="C1015" s="17" t="str">
        <x:v>安康路32巷24弄</x:v>
      </x:c>
      <x:c r="D1015" s="18" t="n">
        <x:v>26</x:v>
      </x:c>
      <x:c r="E1015" s="18" t="n">
        <x:v>26</x:v>
      </x:c>
      <x:c r="F1015" s="24" t="n">
        <x:f>IFERROR('各站彙總來源'!F1015/'各站彙總來源'!G1015,"")</x:f>
        <x:v>5.846153846153846</x:v>
      </x:c>
      <x:c r="G1015" s="19" t="n">
        <x:f>'各站彙總來源'!G1015</x:f>
        <x:v>26</x:v>
      </x:c>
      <x:c r="H1015" s="24" t="n">
        <x:f>IFERROR('各站彙總來源'!H1015/'各站彙總來源'!I1015,"")</x:f>
        <x:v>2.1153846153846154</x:v>
      </x:c>
      <x:c r="I1015" s="19" t="n">
        <x:f>'各站彙總來源'!I1015</x:f>
        <x:v>26</x:v>
      </x:c>
      <x:c r="J1015" s="24" t="n">
        <x:f>IFERROR('各站彙總來源'!J1015/'各站彙總來源'!K1015,"")</x:f>
        <x:v>10.807692307692308</x:v>
      </x:c>
      <x:c r="K1015" s="19" t="n">
        <x:f>'各站彙總來源'!K1015</x:f>
        <x:v>26</x:v>
      </x:c>
      <x:c r="L1015" s="24" t="n">
        <x:f>IFERROR('各站彙總來源'!L1015/'各站彙總來源'!M1015,"")</x:f>
        <x:v>2.8846153846153846</x:v>
      </x:c>
      <x:c r="M1015" s="19" t="n">
        <x:f>'各站彙總來源'!M1015</x:f>
        <x:v>26</x:v>
      </x:c>
      <x:c r="N1015" s="24" t="n">
        <x:f>F1015+H1015</x:f>
        <x:v>7.961538461538462</x:v>
      </x:c>
      <x:c r="O1015" s="24" t="n">
        <x:f>J1015+L1015</x:f>
        <x:v>13.692307692307693</x:v>
      </x:c>
    </x:row>
    <x:row r="1016">
      <x:c r="A1016" s="22" t="str">
        <x:v>500108042</x:v>
      </x:c>
      <x:c r="B1016" s="17" t="str">
        <x:v>內湖區</x:v>
      </x:c>
      <x:c r="C1016" s="17" t="str">
        <x:v>下灣公園(民權東路六段206巷)</x:v>
      </x:c>
      <x:c r="D1016" s="18" t="n">
        <x:v>26</x:v>
      </x:c>
      <x:c r="E1016" s="18" t="n">
        <x:v>26</x:v>
      </x:c>
      <x:c r="F1016" s="24" t="n">
        <x:f>IFERROR('各站彙總來源'!F1016/'各站彙總來源'!G1016,"")</x:f>
        <x:v>0</x:v>
      </x:c>
      <x:c r="G1016" s="19" t="n">
        <x:f>'各站彙總來源'!G1016</x:f>
        <x:v>26</x:v>
      </x:c>
      <x:c r="H1016" s="24" t="n">
        <x:f>IFERROR('各站彙總來源'!H1016/'各站彙總來源'!I1016,"")</x:f>
        <x:v>0</x:v>
      </x:c>
      <x:c r="I1016" s="19" t="n">
        <x:f>'各站彙總來源'!I1016</x:f>
        <x:v>26</x:v>
      </x:c>
      <x:c r="J1016" s="24" t="n">
        <x:f>IFERROR('各站彙總來源'!J1016/'各站彙總來源'!K1016,"")</x:f>
        <x:v>0</x:v>
      </x:c>
      <x:c r="K1016" s="19" t="n">
        <x:f>'各站彙總來源'!K1016</x:f>
        <x:v>26</x:v>
      </x:c>
      <x:c r="L1016" s="24" t="n">
        <x:f>IFERROR('各站彙總來源'!L1016/'各站彙總來源'!M1016,"")</x:f>
        <x:v>0</x:v>
      </x:c>
      <x:c r="M1016" s="19" t="n">
        <x:f>'各站彙總來源'!M1016</x:f>
        <x:v>26</x:v>
      </x:c>
      <x:c r="N1016" s="24" t="n">
        <x:f>F1016+H1016</x:f>
        <x:v>0</x:v>
      </x:c>
      <x:c r="O1016" s="24" t="n">
        <x:f>J1016+L1016</x:f>
        <x:v>0</x:v>
      </x:c>
    </x:row>
    <x:row r="1017">
      <x:c r="A1017" s="22" t="str">
        <x:v>500108043</x:v>
      </x:c>
      <x:c r="B1017" s="17" t="str">
        <x:v>內湖區</x:v>
      </x:c>
      <x:c r="C1017" s="17" t="str">
        <x:v>明美公園</x:v>
      </x:c>
      <x:c r="D1017" s="18" t="n">
        <x:v>26</x:v>
      </x:c>
      <x:c r="E1017" s="18" t="n">
        <x:v>26</x:v>
      </x:c>
      <x:c r="F1017" s="24" t="n">
        <x:f>IFERROR('各站彙總來源'!F1017/'各站彙總來源'!G1017,"")</x:f>
        <x:v>5.461538461538462</x:v>
      </x:c>
      <x:c r="G1017" s="19" t="n">
        <x:f>'各站彙總來源'!G1017</x:f>
        <x:v>26</x:v>
      </x:c>
      <x:c r="H1017" s="24" t="n">
        <x:f>IFERROR('各站彙總來源'!H1017/'各站彙總來源'!I1017,"")</x:f>
        <x:v>2.8846153846153846</x:v>
      </x:c>
      <x:c r="I1017" s="19" t="n">
        <x:f>'各站彙總來源'!I1017</x:f>
        <x:v>26</x:v>
      </x:c>
      <x:c r="J1017" s="24" t="n">
        <x:f>IFERROR('各站彙總來源'!J1017/'各站彙總來源'!K1017,"")</x:f>
        <x:v>29.192307692307693</x:v>
      </x:c>
      <x:c r="K1017" s="19" t="n">
        <x:f>'各站彙總來源'!K1017</x:f>
        <x:v>26</x:v>
      </x:c>
      <x:c r="L1017" s="24" t="n">
        <x:f>IFERROR('各站彙總來源'!L1017/'各站彙總來源'!M1017,"")</x:f>
        <x:v>3.8461538461538463</x:v>
      </x:c>
      <x:c r="M1017" s="19" t="n">
        <x:f>'各站彙總來源'!M1017</x:f>
        <x:v>26</x:v>
      </x:c>
      <x:c r="N1017" s="24" t="n">
        <x:f>F1017+H1017</x:f>
        <x:v>8.346153846153847</x:v>
      </x:c>
      <x:c r="O1017" s="24" t="n">
        <x:f>J1017+L1017</x:f>
        <x:v>33.03846153846154</x:v>
      </x:c>
    </x:row>
    <x:row r="1018">
      <x:c r="A1018" s="22" t="str">
        <x:v>500108044</x:v>
      </x:c>
      <x:c r="B1018" s="17" t="str">
        <x:v>內湖區</x:v>
      </x:c>
      <x:c r="C1018" s="17" t="str">
        <x:v>南京東路六段368巷</x:v>
      </x:c>
      <x:c r="D1018" s="18" t="n">
        <x:v>26</x:v>
      </x:c>
      <x:c r="E1018" s="18" t="n">
        <x:v>26</x:v>
      </x:c>
      <x:c r="F1018" s="24" t="n">
        <x:f>IFERROR('各站彙總來源'!F1018/'各站彙總來源'!G1018,"")</x:f>
        <x:v>12.576923076923077</x:v>
      </x:c>
      <x:c r="G1018" s="19" t="n">
        <x:f>'各站彙總來源'!G1018</x:f>
        <x:v>26</x:v>
      </x:c>
      <x:c r="H1018" s="24" t="n">
        <x:f>IFERROR('各站彙總來源'!H1018/'各站彙總來源'!I1018,"")</x:f>
        <x:v>3.230769230769231</x:v>
      </x:c>
      <x:c r="I1018" s="19" t="n">
        <x:f>'各站彙總來源'!I1018</x:f>
        <x:v>26</x:v>
      </x:c>
      <x:c r="J1018" s="24" t="n">
        <x:f>IFERROR('各站彙總來源'!J1018/'各站彙總來源'!K1018,"")</x:f>
        <x:v>43.11538461538461</x:v>
      </x:c>
      <x:c r="K1018" s="19" t="n">
        <x:f>'各站彙總來源'!K1018</x:f>
        <x:v>26</x:v>
      </x:c>
      <x:c r="L1018" s="24" t="n">
        <x:f>IFERROR('各站彙總來源'!L1018/'各站彙總來源'!M1018,"")</x:f>
        <x:v>8.461538461538462</x:v>
      </x:c>
      <x:c r="M1018" s="19" t="n">
        <x:f>'各站彙總來源'!M1018</x:f>
        <x:v>26</x:v>
      </x:c>
      <x:c r="N1018" s="24" t="n">
        <x:f>F1018+H1018</x:f>
        <x:v>15.807692307692307</x:v>
      </x:c>
      <x:c r="O1018" s="24" t="n">
        <x:f>J1018+L1018</x:f>
        <x:v>51.57692307692307</x:v>
      </x:c>
    </x:row>
    <x:row r="1019">
      <x:c r="A1019" s="22" t="str">
        <x:v>500108045</x:v>
      </x:c>
      <x:c r="B1019" s="17" t="str">
        <x:v>內湖區</x:v>
      </x:c>
      <x:c r="C1019" s="17" t="str">
        <x:v>新明成功路口</x:v>
      </x:c>
      <x:c r="D1019" s="18" t="n">
        <x:v>26</x:v>
      </x:c>
      <x:c r="E1019" s="18" t="n">
        <x:v>26</x:v>
      </x:c>
      <x:c r="F1019" s="24" t="n">
        <x:f>IFERROR('各站彙總來源'!F1019/'各站彙總來源'!G1019,"")</x:f>
        <x:v>19</x:v>
      </x:c>
      <x:c r="G1019" s="19" t="n">
        <x:f>'各站彙總來源'!G1019</x:f>
        <x:v>26</x:v>
      </x:c>
      <x:c r="H1019" s="24" t="n">
        <x:f>IFERROR('各站彙總來源'!H1019/'各站彙總來源'!I1019,"")</x:f>
        <x:v>1.8846153846153846</x:v>
      </x:c>
      <x:c r="I1019" s="19" t="n">
        <x:f>'各站彙總來源'!I1019</x:f>
        <x:v>26</x:v>
      </x:c>
      <x:c r="J1019" s="24" t="n">
        <x:f>IFERROR('各站彙總來源'!J1019/'各站彙總來源'!K1019,"")</x:f>
        <x:v>10.307692307692308</x:v>
      </x:c>
      <x:c r="K1019" s="19" t="n">
        <x:f>'各站彙總來源'!K1019</x:f>
        <x:v>26</x:v>
      </x:c>
      <x:c r="L1019" s="24" t="n">
        <x:f>IFERROR('各站彙總來源'!L1019/'各站彙總來源'!M1019,"")</x:f>
        <x:v>2.923076923076923</x:v>
      </x:c>
      <x:c r="M1019" s="19" t="n">
        <x:f>'各站彙總來源'!M1019</x:f>
        <x:v>26</x:v>
      </x:c>
      <x:c r="N1019" s="24" t="n">
        <x:f>F1019+H1019</x:f>
        <x:v>20.884615384615383</x:v>
      </x:c>
      <x:c r="O1019" s="24" t="n">
        <x:f>J1019+L1019</x:f>
        <x:v>13.230769230769232</x:v>
      </x:c>
    </x:row>
    <x:row r="1020">
      <x:c r="A1020" s="22" t="str">
        <x:v>500108046</x:v>
      </x:c>
      <x:c r="B1020" s="17" t="str">
        <x:v>內湖區</x:v>
      </x:c>
      <x:c r="C1020" s="17" t="str">
        <x:v>民權瑞光路口</x:v>
      </x:c>
      <x:c r="D1020" s="18" t="n">
        <x:v>26</x:v>
      </x:c>
      <x:c r="E1020" s="18" t="n">
        <x:v>26</x:v>
      </x:c>
      <x:c r="F1020" s="24" t="n">
        <x:f>IFERROR('各站彙總來源'!F1020/'各站彙總來源'!G1020,"")</x:f>
        <x:v>23.423076923076923</x:v>
      </x:c>
      <x:c r="G1020" s="19" t="n">
        <x:f>'各站彙總來源'!G1020</x:f>
        <x:v>26</x:v>
      </x:c>
      <x:c r="H1020" s="24" t="n">
        <x:f>IFERROR('各站彙總來源'!H1020/'各站彙總來源'!I1020,"")</x:f>
        <x:v>0.4230769230769231</x:v>
      </x:c>
      <x:c r="I1020" s="19" t="n">
        <x:f>'各站彙總來源'!I1020</x:f>
        <x:v>26</x:v>
      </x:c>
      <x:c r="J1020" s="24" t="n">
        <x:f>IFERROR('各站彙總來源'!J1020/'各站彙總來源'!K1020,"")</x:f>
        <x:v>26.192307692307693</x:v>
      </x:c>
      <x:c r="K1020" s="19" t="n">
        <x:f>'各站彙總來源'!K1020</x:f>
        <x:v>26</x:v>
      </x:c>
      <x:c r="L1020" s="24" t="n">
        <x:f>IFERROR('各站彙總來源'!L1020/'各站彙總來源'!M1020,"")</x:f>
        <x:v>1.1153846153846154</x:v>
      </x:c>
      <x:c r="M1020" s="19" t="n">
        <x:f>'各站彙總來源'!M1020</x:f>
        <x:v>26</x:v>
      </x:c>
      <x:c r="N1020" s="24" t="n">
        <x:f>F1020+H1020</x:f>
        <x:v>23.846153846153847</x:v>
      </x:c>
      <x:c r="O1020" s="24" t="n">
        <x:f>J1020+L1020</x:f>
        <x:v>27.30769230769231</x:v>
      </x:c>
    </x:row>
    <x:row r="1021">
      <x:c r="A1021" s="22" t="str">
        <x:v>500108047</x:v>
      </x:c>
      <x:c r="B1021" s="17" t="str">
        <x:v>內湖區</x:v>
      </x:c>
      <x:c r="C1021" s="17" t="str">
        <x:v>瑞光公共住宅(瑞光路)</x:v>
      </x:c>
      <x:c r="D1021" s="18" t="n">
        <x:v>26</x:v>
      </x:c>
      <x:c r="E1021" s="18" t="n">
        <x:v>26</x:v>
      </x:c>
      <x:c r="F1021" s="24" t="n">
        <x:f>IFERROR('各站彙總來源'!F1021/'各站彙總來源'!G1021,"")</x:f>
        <x:v>3.6153846153846154</x:v>
      </x:c>
      <x:c r="G1021" s="19" t="n">
        <x:f>'各站彙總來源'!G1021</x:f>
        <x:v>26</x:v>
      </x:c>
      <x:c r="H1021" s="24" t="n">
        <x:f>IFERROR('各站彙總來源'!H1021/'各站彙總來源'!I1021,"")</x:f>
        <x:v>0.5769230769230769</x:v>
      </x:c>
      <x:c r="I1021" s="19" t="n">
        <x:f>'各站彙總來源'!I1021</x:f>
        <x:v>26</x:v>
      </x:c>
      <x:c r="J1021" s="24" t="n">
        <x:f>IFERROR('各站彙總來源'!J1021/'各站彙總來源'!K1021,"")</x:f>
        <x:v>13.692307692307692</x:v>
      </x:c>
      <x:c r="K1021" s="19" t="n">
        <x:f>'各站彙總來源'!K1021</x:f>
        <x:v>26</x:v>
      </x:c>
      <x:c r="L1021" s="24" t="n">
        <x:f>IFERROR('各站彙總來源'!L1021/'各站彙總來源'!M1021,"")</x:f>
        <x:v>2.076923076923077</x:v>
      </x:c>
      <x:c r="M1021" s="19" t="n">
        <x:f>'各站彙總來源'!M1021</x:f>
        <x:v>26</x:v>
      </x:c>
      <x:c r="N1021" s="24" t="n">
        <x:f>F1021+H1021</x:f>
        <x:v>4.1923076923076925</x:v>
      </x:c>
      <x:c r="O1021" s="24" t="n">
        <x:f>J1021+L1021</x:f>
        <x:v>15.769230769230768</x:v>
      </x:c>
    </x:row>
    <x:row r="1022">
      <x:c r="A1022" s="22" t="str">
        <x:v>500108048</x:v>
      </x:c>
      <x:c r="B1022" s="17" t="str">
        <x:v>內湖區</x:v>
      </x:c>
      <x:c r="C1022" s="17" t="str">
        <x:v>民權東路六段15巷</x:v>
      </x:c>
      <x:c r="D1022" s="18" t="n">
        <x:v>26</x:v>
      </x:c>
      <x:c r="E1022" s="18" t="n">
        <x:v>26</x:v>
      </x:c>
      <x:c r="F1022" s="24" t="n">
        <x:f>IFERROR('各站彙總來源'!F1022/'各站彙總來源'!G1022,"")</x:f>
        <x:v>5.076923076923077</x:v>
      </x:c>
      <x:c r="G1022" s="19" t="n">
        <x:f>'各站彙總來源'!G1022</x:f>
        <x:v>26</x:v>
      </x:c>
      <x:c r="H1022" s="24" t="n">
        <x:f>IFERROR('各站彙總來源'!H1022/'各站彙總來源'!I1022,"")</x:f>
        <x:v>1.5384615384615385</x:v>
      </x:c>
      <x:c r="I1022" s="19" t="n">
        <x:f>'各站彙總來源'!I1022</x:f>
        <x:v>26</x:v>
      </x:c>
      <x:c r="J1022" s="24" t="n">
        <x:f>IFERROR('各站彙總來源'!J1022/'各站彙總來源'!K1022,"")</x:f>
        <x:v>14.884615384615385</x:v>
      </x:c>
      <x:c r="K1022" s="19" t="n">
        <x:f>'各站彙總來源'!K1022</x:f>
        <x:v>26</x:v>
      </x:c>
      <x:c r="L1022" s="24" t="n">
        <x:f>IFERROR('各站彙總來源'!L1022/'各站彙總來源'!M1022,"")</x:f>
        <x:v>3.1538461538461537</x:v>
      </x:c>
      <x:c r="M1022" s="19" t="n">
        <x:f>'各站彙總來源'!M1022</x:f>
        <x:v>26</x:v>
      </x:c>
      <x:c r="N1022" s="24" t="n">
        <x:f>F1022+H1022</x:f>
        <x:v>6.615384615384615</x:v>
      </x:c>
      <x:c r="O1022" s="24" t="n">
        <x:f>J1022+L1022</x:f>
        <x:v>18.03846153846154</x:v>
      </x:c>
    </x:row>
    <x:row r="1023">
      <x:c r="A1023" s="22" t="str">
        <x:v>500108049</x:v>
      </x:c>
      <x:c r="B1023" s="17" t="str">
        <x:v>內湖區</x:v>
      </x:c>
      <x:c r="C1023" s="17" t="str">
        <x:v>扶輪親恩公園</x:v>
      </x:c>
      <x:c r="D1023" s="18" t="n">
        <x:v>26</x:v>
      </x:c>
      <x:c r="E1023" s="18" t="n">
        <x:v>26</x:v>
      </x:c>
      <x:c r="F1023" s="24" t="n">
        <x:f>IFERROR('各站彙總來源'!F1023/'各站彙總來源'!G1023,"")</x:f>
        <x:v>36.42307692307692</x:v>
      </x:c>
      <x:c r="G1023" s="19" t="n">
        <x:f>'各站彙總來源'!G1023</x:f>
        <x:v>26</x:v>
      </x:c>
      <x:c r="H1023" s="24" t="n">
        <x:f>IFERROR('各站彙總來源'!H1023/'各站彙總來源'!I1023,"")</x:f>
        <x:v>2.6153846153846154</x:v>
      </x:c>
      <x:c r="I1023" s="19" t="n">
        <x:f>'各站彙總來源'!I1023</x:f>
        <x:v>26</x:v>
      </x:c>
      <x:c r="J1023" s="24" t="n">
        <x:f>IFERROR('各站彙總來源'!J1023/'各站彙總來源'!K1023,"")</x:f>
        <x:v>8.923076923076923</x:v>
      </x:c>
      <x:c r="K1023" s="19" t="n">
        <x:f>'各站彙總來源'!K1023</x:f>
        <x:v>26</x:v>
      </x:c>
      <x:c r="L1023" s="24" t="n">
        <x:f>IFERROR('各站彙總來源'!L1023/'各站彙總來源'!M1023,"")</x:f>
        <x:v>1.5</x:v>
      </x:c>
      <x:c r="M1023" s="19" t="n">
        <x:f>'各站彙總來源'!M1023</x:f>
        <x:v>26</x:v>
      </x:c>
      <x:c r="N1023" s="24" t="n">
        <x:f>F1023+H1023</x:f>
        <x:v>39.03846153846153</x:v>
      </x:c>
      <x:c r="O1023" s="24" t="n">
        <x:f>J1023+L1023</x:f>
        <x:v>10.423076923076923</x:v>
      </x:c>
    </x:row>
    <x:row r="1024">
      <x:c r="A1024" s="22" t="str">
        <x:v>500108050</x:v>
      </x:c>
      <x:c r="B1024" s="17" t="str">
        <x:v>內湖區</x:v>
      </x:c>
      <x:c r="C1024" s="17" t="str">
        <x:v>新湖三民善街口</x:v>
      </x:c>
      <x:c r="D1024" s="18" t="n">
        <x:v>26</x:v>
      </x:c>
      <x:c r="E1024" s="18" t="n">
        <x:v>26</x:v>
      </x:c>
      <x:c r="F1024" s="24" t="n">
        <x:f>IFERROR('各站彙總來源'!F1024/'各站彙總來源'!G1024,"")</x:f>
        <x:v>4.3076923076923075</x:v>
      </x:c>
      <x:c r="G1024" s="19" t="n">
        <x:f>'各站彙總來源'!G1024</x:f>
        <x:v>26</x:v>
      </x:c>
      <x:c r="H1024" s="24" t="n">
        <x:f>IFERROR('各站彙總來源'!H1024/'各站彙總來源'!I1024,"")</x:f>
        <x:v>1.6538461538461537</x:v>
      </x:c>
      <x:c r="I1024" s="19" t="n">
        <x:f>'各站彙總來源'!I1024</x:f>
        <x:v>26</x:v>
      </x:c>
      <x:c r="J1024" s="24" t="n">
        <x:f>IFERROR('各站彙總來源'!J1024/'各站彙總來源'!K1024,"")</x:f>
        <x:v>14.615384615384615</x:v>
      </x:c>
      <x:c r="K1024" s="19" t="n">
        <x:f>'各站彙總來源'!K1024</x:f>
        <x:v>26</x:v>
      </x:c>
      <x:c r="L1024" s="24" t="n">
        <x:f>IFERROR('各站彙總來源'!L1024/'各站彙總來源'!M1024,"")</x:f>
        <x:v>4.153846153846154</x:v>
      </x:c>
      <x:c r="M1024" s="19" t="n">
        <x:f>'各站彙總來源'!M1024</x:f>
        <x:v>26</x:v>
      </x:c>
      <x:c r="N1024" s="24" t="n">
        <x:f>F1024+H1024</x:f>
        <x:v>5.961538461538462</x:v>
      </x:c>
      <x:c r="O1024" s="24" t="n">
        <x:f>J1024+L1024</x:f>
        <x:v>18.76923076923077</x:v>
      </x:c>
    </x:row>
    <x:row r="1025">
      <x:c r="A1025" s="22" t="str">
        <x:v>500108051</x:v>
      </x:c>
      <x:c r="B1025" s="17" t="str">
        <x:v>內湖區</x:v>
      </x:c>
      <x:c r="C1025" s="17" t="str">
        <x:v>內湖119號綠地</x:v>
      </x:c>
      <x:c r="D1025" s="18" t="n">
        <x:v>26</x:v>
      </x:c>
      <x:c r="E1025" s="18" t="n">
        <x:v>26</x:v>
      </x:c>
      <x:c r="F1025" s="24" t="n">
        <x:f>IFERROR('各站彙總來源'!F1025/'各站彙總來源'!G1025,"")</x:f>
        <x:v>18.96153846153846</x:v>
      </x:c>
      <x:c r="G1025" s="19" t="n">
        <x:f>'各站彙總來源'!G1025</x:f>
        <x:v>26</x:v>
      </x:c>
      <x:c r="H1025" s="24" t="n">
        <x:f>IFERROR('各站彙總來源'!H1025/'各站彙總來源'!I1025,"")</x:f>
        <x:v>2.1923076923076925</x:v>
      </x:c>
      <x:c r="I1025" s="19" t="n">
        <x:f>'各站彙總來源'!I1025</x:f>
        <x:v>26</x:v>
      </x:c>
      <x:c r="J1025" s="24" t="n">
        <x:f>IFERROR('各站彙總來源'!J1025/'各站彙總來源'!K1025,"")</x:f>
        <x:v>11.23076923076923</x:v>
      </x:c>
      <x:c r="K1025" s="19" t="n">
        <x:f>'各站彙總來源'!K1025</x:f>
        <x:v>26</x:v>
      </x:c>
      <x:c r="L1025" s="24" t="n">
        <x:f>IFERROR('各站彙總來源'!L1025/'各站彙總來源'!M1025,"")</x:f>
        <x:v>1.7692307692307692</x:v>
      </x:c>
      <x:c r="M1025" s="19" t="n">
        <x:f>'各站彙總來源'!M1025</x:f>
        <x:v>26</x:v>
      </x:c>
      <x:c r="N1025" s="24" t="n">
        <x:f>F1025+H1025</x:f>
        <x:v>21.153846153846153</x:v>
      </x:c>
      <x:c r="O1025" s="24" t="n">
        <x:f>J1025+L1025</x:f>
        <x:v>13</x:v>
      </x:c>
    </x:row>
    <x:row r="1026">
      <x:c r="A1026" s="22" t="str">
        <x:v>500108052</x:v>
      </x:c>
      <x:c r="B1026" s="17" t="str">
        <x:v>內湖區</x:v>
      </x:c>
      <x:c r="C1026" s="17" t="str">
        <x:v>行善公園</x:v>
      </x:c>
      <x:c r="D1026" s="18" t="n">
        <x:v>26</x:v>
      </x:c>
      <x:c r="E1026" s="18" t="n">
        <x:v>26</x:v>
      </x:c>
      <x:c r="F1026" s="24" t="n">
        <x:f>IFERROR('各站彙總來源'!F1026/'各站彙總來源'!G1026,"")</x:f>
        <x:v>13</x:v>
      </x:c>
      <x:c r="G1026" s="19" t="n">
        <x:f>'各站彙總來源'!G1026</x:f>
        <x:v>26</x:v>
      </x:c>
      <x:c r="H1026" s="24" t="n">
        <x:f>IFERROR('各站彙總來源'!H1026/'各站彙總來源'!I1026,"")</x:f>
        <x:v>1.1538461538461537</x:v>
      </x:c>
      <x:c r="I1026" s="19" t="n">
        <x:f>'各站彙總來源'!I1026</x:f>
        <x:v>26</x:v>
      </x:c>
      <x:c r="J1026" s="24" t="n">
        <x:f>IFERROR('各站彙總來源'!J1026/'各站彙總來源'!K1026,"")</x:f>
        <x:v>4.769230769230769</x:v>
      </x:c>
      <x:c r="K1026" s="19" t="n">
        <x:f>'各站彙總來源'!K1026</x:f>
        <x:v>26</x:v>
      </x:c>
      <x:c r="L1026" s="24" t="n">
        <x:f>IFERROR('各站彙總來源'!L1026/'各站彙總來源'!M1026,"")</x:f>
        <x:v>0.5384615384615384</x:v>
      </x:c>
      <x:c r="M1026" s="19" t="n">
        <x:f>'各站彙總來源'!M1026</x:f>
        <x:v>26</x:v>
      </x:c>
      <x:c r="N1026" s="24" t="n">
        <x:f>F1026+H1026</x:f>
        <x:v>14.153846153846153</x:v>
      </x:c>
      <x:c r="O1026" s="24" t="n">
        <x:f>J1026+L1026</x:f>
        <x:v>5.3076923076923075</x:v>
      </x:c>
    </x:row>
    <x:row r="1027">
      <x:c r="A1027" s="22" t="str">
        <x:v>500108054</x:v>
      </x:c>
      <x:c r="B1027" s="17" t="str">
        <x:v>內湖區</x:v>
      </x:c>
      <x:c r="C1027" s="17" t="str">
        <x:v>三軍總醫院</x:v>
      </x:c>
      <x:c r="D1027" s="18" t="n">
        <x:v>26</x:v>
      </x:c>
      <x:c r="E1027" s="18" t="n">
        <x:v>26</x:v>
      </x:c>
      <x:c r="F1027" s="24" t="n">
        <x:f>IFERROR('各站彙總來源'!F1027/'各站彙總來源'!G1027,"")</x:f>
        <x:v>10.653846153846153</x:v>
      </x:c>
      <x:c r="G1027" s="19" t="n">
        <x:f>'各站彙總來源'!G1027</x:f>
        <x:v>26</x:v>
      </x:c>
      <x:c r="H1027" s="24" t="n">
        <x:f>IFERROR('各站彙總來源'!H1027/'各站彙總來源'!I1027,"")</x:f>
        <x:v>4.923076923076923</x:v>
      </x:c>
      <x:c r="I1027" s="19" t="n">
        <x:f>'各站彙總來源'!I1027</x:f>
        <x:v>26</x:v>
      </x:c>
      <x:c r="J1027" s="24" t="n">
        <x:f>IFERROR('各站彙總來源'!J1027/'各站彙總來源'!K1027,"")</x:f>
        <x:v>26.076923076923077</x:v>
      </x:c>
      <x:c r="K1027" s="19" t="n">
        <x:f>'各站彙總來源'!K1027</x:f>
        <x:v>26</x:v>
      </x:c>
      <x:c r="L1027" s="24" t="n">
        <x:f>IFERROR('各站彙總來源'!L1027/'各站彙總來源'!M1027,"")</x:f>
        <x:v>5.884615384615385</x:v>
      </x:c>
      <x:c r="M1027" s="19" t="n">
        <x:f>'各站彙總來源'!M1027</x:f>
        <x:v>26</x:v>
      </x:c>
      <x:c r="N1027" s="24" t="n">
        <x:f>F1027+H1027</x:f>
        <x:v>15.576923076923077</x:v>
      </x:c>
      <x:c r="O1027" s="24" t="n">
        <x:f>J1027+L1027</x:f>
        <x:v>31.96153846153846</x:v>
      </x:c>
    </x:row>
    <x:row r="1028">
      <x:c r="A1028" s="22" t="str">
        <x:v>500108055</x:v>
      </x:c>
      <x:c r="B1028" s="17" t="str">
        <x:v>內湖區</x:v>
      </x:c>
      <x:c r="C1028" s="17" t="str">
        <x:v>福華商場</x:v>
      </x:c>
      <x:c r="D1028" s="18" t="n">
        <x:v>26</x:v>
      </x:c>
      <x:c r="E1028" s="18" t="n">
        <x:v>26</x:v>
      </x:c>
      <x:c r="F1028" s="24" t="n">
        <x:f>IFERROR('各站彙總來源'!F1028/'各站彙總來源'!G1028,"")</x:f>
        <x:v>13.384615384615385</x:v>
      </x:c>
      <x:c r="G1028" s="19" t="n">
        <x:f>'各站彙總來源'!G1028</x:f>
        <x:v>26</x:v>
      </x:c>
      <x:c r="H1028" s="24" t="n">
        <x:f>IFERROR('各站彙總來源'!H1028/'各站彙總來源'!I1028,"")</x:f>
        <x:v>2.4615384615384617</x:v>
      </x:c>
      <x:c r="I1028" s="19" t="n">
        <x:f>'各站彙總來源'!I1028</x:f>
        <x:v>26</x:v>
      </x:c>
      <x:c r="J1028" s="24" t="n">
        <x:f>IFERROR('各站彙總來源'!J1028/'各站彙總來源'!K1028,"")</x:f>
        <x:v>8.961538461538462</x:v>
      </x:c>
      <x:c r="K1028" s="19" t="n">
        <x:f>'各站彙總來源'!K1028</x:f>
        <x:v>26</x:v>
      </x:c>
      <x:c r="L1028" s="24" t="n">
        <x:f>IFERROR('各站彙總來源'!L1028/'各站彙總來源'!M1028,"")</x:f>
        <x:v>3.6923076923076925</x:v>
      </x:c>
      <x:c r="M1028" s="19" t="n">
        <x:f>'各站彙總來源'!M1028</x:f>
        <x:v>26</x:v>
      </x:c>
      <x:c r="N1028" s="24" t="n">
        <x:f>F1028+H1028</x:f>
        <x:v>15.846153846153847</x:v>
      </x:c>
      <x:c r="O1028" s="24" t="n">
        <x:f>J1028+L1028</x:f>
        <x:v>12.653846153846153</x:v>
      </x:c>
    </x:row>
    <x:row r="1029">
      <x:c r="A1029" s="22" t="str">
        <x:v>500108056</x:v>
      </x:c>
      <x:c r="B1029" s="17" t="str">
        <x:v>內湖區</x:v>
      </x:c>
      <x:c r="C1029" s="17" t="str">
        <x:v>臺北市網球中心</x:v>
      </x:c>
      <x:c r="D1029" s="18" t="n">
        <x:v>26</x:v>
      </x:c>
      <x:c r="E1029" s="18" t="n">
        <x:v>26</x:v>
      </x:c>
      <x:c r="F1029" s="24" t="n">
        <x:f>IFERROR('各站彙總來源'!F1029/'各站彙總來源'!G1029,"")</x:f>
        <x:v>12.346153846153847</x:v>
      </x:c>
      <x:c r="G1029" s="19" t="n">
        <x:f>'各站彙總來源'!G1029</x:f>
        <x:v>26</x:v>
      </x:c>
      <x:c r="H1029" s="24" t="n">
        <x:f>IFERROR('各站彙總來源'!H1029/'各站彙總來源'!I1029,"")</x:f>
        <x:v>2.4615384615384617</x:v>
      </x:c>
      <x:c r="I1029" s="19" t="n">
        <x:f>'各站彙總來源'!I1029</x:f>
        <x:v>26</x:v>
      </x:c>
      <x:c r="J1029" s="24" t="n">
        <x:f>IFERROR('各站彙總來源'!J1029/'各站彙總來源'!K1029,"")</x:f>
        <x:v>21.153846153846153</x:v>
      </x:c>
      <x:c r="K1029" s="19" t="n">
        <x:f>'各站彙總來源'!K1029</x:f>
        <x:v>26</x:v>
      </x:c>
      <x:c r="L1029" s="24" t="n">
        <x:f>IFERROR('各站彙總來源'!L1029/'各站彙總來源'!M1029,"")</x:f>
        <x:v>3.3461538461538463</x:v>
      </x:c>
      <x:c r="M1029" s="19" t="n">
        <x:f>'各站彙總來源'!M1029</x:f>
        <x:v>26</x:v>
      </x:c>
      <x:c r="N1029" s="24" t="n">
        <x:f>F1029+H1029</x:f>
        <x:v>14.807692307692308</x:v>
      </x:c>
      <x:c r="O1029" s="24" t="n">
        <x:f>J1029+L1029</x:f>
        <x:v>24.5</x:v>
      </x:c>
    </x:row>
    <x:row r="1030">
      <x:c r="A1030" s="22" t="str">
        <x:v>500108057</x:v>
      </x:c>
      <x:c r="B1030" s="17" t="str">
        <x:v>內湖區</x:v>
      </x:c>
      <x:c r="C1030" s="17" t="str">
        <x:v>捷運葫洲站(1號出口)</x:v>
      </x:c>
      <x:c r="D1030" s="18" t="n">
        <x:v>26</x:v>
      </x:c>
      <x:c r="E1030" s="18" t="n">
        <x:v>26</x:v>
      </x:c>
      <x:c r="F1030" s="24" t="n">
        <x:f>IFERROR('各站彙總來源'!F1030/'各站彙總來源'!G1030,"")</x:f>
        <x:v>7.730769230769231</x:v>
      </x:c>
      <x:c r="G1030" s="19" t="n">
        <x:f>'各站彙總來源'!G1030</x:f>
        <x:v>26</x:v>
      </x:c>
      <x:c r="H1030" s="24" t="n">
        <x:f>IFERROR('各站彙總來源'!H1030/'各站彙總來源'!I1030,"")</x:f>
        <x:v>1.1923076923076923</x:v>
      </x:c>
      <x:c r="I1030" s="19" t="n">
        <x:f>'各站彙總來源'!I1030</x:f>
        <x:v>26</x:v>
      </x:c>
      <x:c r="J1030" s="24" t="n">
        <x:f>IFERROR('各站彙總來源'!J1030/'各站彙總來源'!K1030,"")</x:f>
        <x:v>21.692307692307693</x:v>
      </x:c>
      <x:c r="K1030" s="19" t="n">
        <x:f>'各站彙總來源'!K1030</x:f>
        <x:v>26</x:v>
      </x:c>
      <x:c r="L1030" s="24" t="n">
        <x:f>IFERROR('各站彙總來源'!L1030/'各站彙總來源'!M1030,"")</x:f>
        <x:v>6.076923076923077</x:v>
      </x:c>
      <x:c r="M1030" s="19" t="n">
        <x:f>'各站彙總來源'!M1030</x:f>
        <x:v>26</x:v>
      </x:c>
      <x:c r="N1030" s="24" t="n">
        <x:f>F1030+H1030</x:f>
        <x:v>8.923076923076923</x:v>
      </x:c>
      <x:c r="O1030" s="24" t="n">
        <x:f>J1030+L1030</x:f>
        <x:v>27.76923076923077</x:v>
      </x:c>
    </x:row>
    <x:row r="1031">
      <x:c r="A1031" s="22" t="str">
        <x:v>500108058</x:v>
      </x:c>
      <x:c r="B1031" s="17" t="str">
        <x:v>內湖區</x:v>
      </x:c>
      <x:c r="C1031" s="17" t="str">
        <x:v>麗湖國小</x:v>
      </x:c>
      <x:c r="D1031" s="18" t="n">
        <x:v>26</x:v>
      </x:c>
      <x:c r="E1031" s="18" t="n">
        <x:v>26</x:v>
      </x:c>
      <x:c r="F1031" s="24" t="n">
        <x:f>IFERROR('各站彙總來源'!F1031/'各站彙總來源'!G1031,"")</x:f>
        <x:v>11.192307692307692</x:v>
      </x:c>
      <x:c r="G1031" s="19" t="n">
        <x:f>'各站彙總來源'!G1031</x:f>
        <x:v>26</x:v>
      </x:c>
      <x:c r="H1031" s="24" t="n">
        <x:f>IFERROR('各站彙總來源'!H1031/'各站彙總來源'!I1031,"")</x:f>
        <x:v>1.5</x:v>
      </x:c>
      <x:c r="I1031" s="19" t="n">
        <x:f>'各站彙總來源'!I1031</x:f>
        <x:v>26</x:v>
      </x:c>
      <x:c r="J1031" s="24" t="n">
        <x:f>IFERROR('各站彙總來源'!J1031/'各站彙總來源'!K1031,"")</x:f>
        <x:v>6.423076923076923</x:v>
      </x:c>
      <x:c r="K1031" s="19" t="n">
        <x:f>'各站彙總來源'!K1031</x:f>
        <x:v>26</x:v>
      </x:c>
      <x:c r="L1031" s="24" t="n">
        <x:f>IFERROR('各站彙總來源'!L1031/'各站彙總來源'!M1031,"")</x:f>
        <x:v>1.1538461538461537</x:v>
      </x:c>
      <x:c r="M1031" s="19" t="n">
        <x:f>'各站彙總來源'!M1031</x:f>
        <x:v>26</x:v>
      </x:c>
      <x:c r="N1031" s="24" t="n">
        <x:f>F1031+H1031</x:f>
        <x:v>12.692307692307692</x:v>
      </x:c>
      <x:c r="O1031" s="24" t="n">
        <x:f>J1031+L1031</x:f>
        <x:v>7.576923076923077</x:v>
      </x:c>
    </x:row>
    <x:row r="1032">
      <x:c r="A1032" s="22" t="str">
        <x:v>500108059</x:v>
      </x:c>
      <x:c r="B1032" s="17" t="str">
        <x:v>內湖區</x:v>
      </x:c>
      <x:c r="C1032" s="17" t="str">
        <x:v>金湖路347巷125弄口</x:v>
      </x:c>
      <x:c r="D1032" s="18" t="n">
        <x:v>26</x:v>
      </x:c>
      <x:c r="E1032" s="18" t="n">
        <x:v>26</x:v>
      </x:c>
      <x:c r="F1032" s="24" t="n">
        <x:f>IFERROR('各站彙總來源'!F1032/'各站彙總來源'!G1032,"")</x:f>
        <x:v>7.538461538461538</x:v>
      </x:c>
      <x:c r="G1032" s="19" t="n">
        <x:f>'各站彙總來源'!G1032</x:f>
        <x:v>26</x:v>
      </x:c>
      <x:c r="H1032" s="24" t="n">
        <x:f>IFERROR('各站彙總來源'!H1032/'各站彙總來源'!I1032,"")</x:f>
        <x:v>7.884615384615385</x:v>
      </x:c>
      <x:c r="I1032" s="19" t="n">
        <x:f>'各站彙總來源'!I1032</x:f>
        <x:v>26</x:v>
      </x:c>
      <x:c r="J1032" s="24" t="n">
        <x:f>IFERROR('各站彙總來源'!J1032/'各站彙總來源'!K1032,"")</x:f>
        <x:v>9</x:v>
      </x:c>
      <x:c r="K1032" s="19" t="n">
        <x:f>'各站彙總來源'!K1032</x:f>
        <x:v>26</x:v>
      </x:c>
      <x:c r="L1032" s="24" t="n">
        <x:f>IFERROR('各站彙總來源'!L1032/'各站彙總來源'!M1032,"")</x:f>
        <x:v>4.153846153846154</x:v>
      </x:c>
      <x:c r="M1032" s="19" t="n">
        <x:f>'各站彙總來源'!M1032</x:f>
        <x:v>26</x:v>
      </x:c>
      <x:c r="N1032" s="24" t="n">
        <x:f>F1032+H1032</x:f>
        <x:v>15.423076923076923</x:v>
      </x:c>
      <x:c r="O1032" s="24" t="n">
        <x:f>J1032+L1032</x:f>
        <x:v>13.153846153846153</x:v>
      </x:c>
    </x:row>
    <x:row r="1033">
      <x:c r="A1033" s="22" t="str">
        <x:v>500108060</x:v>
      </x:c>
      <x:c r="B1033" s="17" t="str">
        <x:v>內湖區</x:v>
      </x:c>
      <x:c r="C1033" s="17" t="str">
        <x:v>碧湖公園</x:v>
      </x:c>
      <x:c r="D1033" s="18" t="n">
        <x:v>26</x:v>
      </x:c>
      <x:c r="E1033" s="18" t="n">
        <x:v>26</x:v>
      </x:c>
      <x:c r="F1033" s="24" t="n">
        <x:f>IFERROR('各站彙總來源'!F1033/'各站彙總來源'!G1033,"")</x:f>
        <x:v>10.115384615384615</x:v>
      </x:c>
      <x:c r="G1033" s="19" t="n">
        <x:f>'各站彙總來源'!G1033</x:f>
        <x:v>26</x:v>
      </x:c>
      <x:c r="H1033" s="24" t="n">
        <x:f>IFERROR('各站彙總來源'!H1033/'各站彙總來源'!I1033,"")</x:f>
        <x:v>1.8846153846153846</x:v>
      </x:c>
      <x:c r="I1033" s="19" t="n">
        <x:f>'各站彙總來源'!I1033</x:f>
        <x:v>26</x:v>
      </x:c>
      <x:c r="J1033" s="24" t="n">
        <x:f>IFERROR('各站彙總來源'!J1033/'各站彙總來源'!K1033,"")</x:f>
        <x:v>7.1923076923076925</x:v>
      </x:c>
      <x:c r="K1033" s="19" t="n">
        <x:f>'各站彙總來源'!K1033</x:f>
        <x:v>26</x:v>
      </x:c>
      <x:c r="L1033" s="24" t="n">
        <x:f>IFERROR('各站彙總來源'!L1033/'各站彙總來源'!M1033,"")</x:f>
        <x:v>1.4615384615384615</x:v>
      </x:c>
      <x:c r="M1033" s="19" t="n">
        <x:f>'各站彙總來源'!M1033</x:f>
        <x:v>26</x:v>
      </x:c>
      <x:c r="N1033" s="24" t="n">
        <x:f>F1033+H1033</x:f>
        <x:v>12</x:v>
      </x:c>
      <x:c r="O1033" s="24" t="n">
        <x:f>J1033+L1033</x:f>
        <x:v>8.653846153846153</x:v>
      </x:c>
    </x:row>
    <x:row r="1034">
      <x:c r="A1034" s="22" t="str">
        <x:v>500108061</x:v>
      </x:c>
      <x:c r="B1034" s="17" t="str">
        <x:v>內湖區</x:v>
      </x:c>
      <x:c r="C1034" s="17" t="str">
        <x:v>碧湖公園(內湖路二段103巷)</x:v>
      </x:c>
      <x:c r="D1034" s="18" t="n">
        <x:v>26</x:v>
      </x:c>
      <x:c r="E1034" s="18" t="n">
        <x:v>26</x:v>
      </x:c>
      <x:c r="F1034" s="24" t="n">
        <x:f>IFERROR('各站彙總來源'!F1034/'各站彙總來源'!G1034,"")</x:f>
        <x:v>13.692307692307692</x:v>
      </x:c>
      <x:c r="G1034" s="19" t="n">
        <x:f>'各站彙總來源'!G1034</x:f>
        <x:v>26</x:v>
      </x:c>
      <x:c r="H1034" s="24" t="n">
        <x:f>IFERROR('各站彙總來源'!H1034/'各站彙總來源'!I1034,"")</x:f>
        <x:v>3.5</x:v>
      </x:c>
      <x:c r="I1034" s="19" t="n">
        <x:f>'各站彙總來源'!I1034</x:f>
        <x:v>26</x:v>
      </x:c>
      <x:c r="J1034" s="24" t="n">
        <x:f>IFERROR('各站彙總來源'!J1034/'各站彙總來源'!K1034,"")</x:f>
        <x:v>3.0384615384615383</x:v>
      </x:c>
      <x:c r="K1034" s="19" t="n">
        <x:f>'各站彙總來源'!K1034</x:f>
        <x:v>26</x:v>
      </x:c>
      <x:c r="L1034" s="24" t="n">
        <x:f>IFERROR('各站彙總來源'!L1034/'各站彙總來源'!M1034,"")</x:f>
        <x:v>1.2307692307692308</x:v>
      </x:c>
      <x:c r="M1034" s="19" t="n">
        <x:f>'各站彙總來源'!M1034</x:f>
        <x:v>26</x:v>
      </x:c>
      <x:c r="N1034" s="24" t="n">
        <x:f>F1034+H1034</x:f>
        <x:v>17.192307692307693</x:v>
      </x:c>
      <x:c r="O1034" s="24" t="n">
        <x:f>J1034+L1034</x:f>
        <x:v>4.269230769230769</x:v>
      </x:c>
    </x:row>
    <x:row r="1035">
      <x:c r="A1035" s="22" t="str">
        <x:v>500108062</x:v>
      </x:c>
      <x:c r="B1035" s="17" t="str">
        <x:v>內湖區</x:v>
      </x:c>
      <x:c r="C1035" s="17" t="str">
        <x:v>貿七社區</x:v>
      </x:c>
      <x:c r="D1035" s="18" t="n">
        <x:v>26</x:v>
      </x:c>
      <x:c r="E1035" s="18" t="n">
        <x:v>26</x:v>
      </x:c>
      <x:c r="F1035" s="24" t="n">
        <x:f>IFERROR('各站彙總來源'!F1035/'各站彙總來源'!G1035,"")</x:f>
        <x:v>17.923076923076923</x:v>
      </x:c>
      <x:c r="G1035" s="19" t="n">
        <x:f>'各站彙總來源'!G1035</x:f>
        <x:v>26</x:v>
      </x:c>
      <x:c r="H1035" s="24" t="n">
        <x:f>IFERROR('各站彙總來源'!H1035/'各站彙總來源'!I1035,"")</x:f>
        <x:v>2.730769230769231</x:v>
      </x:c>
      <x:c r="I1035" s="19" t="n">
        <x:f>'各站彙總來源'!I1035</x:f>
        <x:v>26</x:v>
      </x:c>
      <x:c r="J1035" s="24" t="n">
        <x:f>IFERROR('各站彙總來源'!J1035/'各站彙總來源'!K1035,"")</x:f>
        <x:v>3.8846153846153846</x:v>
      </x:c>
      <x:c r="K1035" s="19" t="n">
        <x:f>'各站彙總來源'!K1035</x:f>
        <x:v>26</x:v>
      </x:c>
      <x:c r="L1035" s="24" t="n">
        <x:f>IFERROR('各站彙總來源'!L1035/'各站彙總來源'!M1035,"")</x:f>
        <x:v>0.5769230769230769</x:v>
      </x:c>
      <x:c r="M1035" s="19" t="n">
        <x:f>'各站彙總來源'!M1035</x:f>
        <x:v>26</x:v>
      </x:c>
      <x:c r="N1035" s="24" t="n">
        <x:f>F1035+H1035</x:f>
        <x:v>20.653846153846153</x:v>
      </x:c>
      <x:c r="O1035" s="24" t="n">
        <x:f>J1035+L1035</x:f>
        <x:v>4.461538461538462</x:v>
      </x:c>
    </x:row>
    <x:row r="1036">
      <x:c r="A1036" s="22" t="str">
        <x:v>500108063</x:v>
      </x:c>
      <x:c r="B1036" s="17" t="str">
        <x:v>內湖區</x:v>
      </x:c>
      <x:c r="C1036" s="17" t="str">
        <x:v>內湖區農會</x:v>
      </x:c>
      <x:c r="D1036" s="18" t="n">
        <x:v>26</x:v>
      </x:c>
      <x:c r="E1036" s="18" t="n">
        <x:v>26</x:v>
      </x:c>
      <x:c r="F1036" s="24" t="n">
        <x:f>IFERROR('各站彙總來源'!F1036/'各站彙總來源'!G1036,"")</x:f>
        <x:v>4.038461538461538</x:v>
      </x:c>
      <x:c r="G1036" s="19" t="n">
        <x:f>'各站彙總來源'!G1036</x:f>
        <x:v>26</x:v>
      </x:c>
      <x:c r="H1036" s="24" t="n">
        <x:f>IFERROR('各站彙總來源'!H1036/'各站彙總來源'!I1036,"")</x:f>
        <x:v>0.8846153846153846</x:v>
      </x:c>
      <x:c r="I1036" s="19" t="n">
        <x:f>'各站彙總來源'!I1036</x:f>
        <x:v>26</x:v>
      </x:c>
      <x:c r="J1036" s="24" t="n">
        <x:f>IFERROR('各站彙總來源'!J1036/'各站彙總來源'!K1036,"")</x:f>
        <x:v>4.346153846153846</x:v>
      </x:c>
      <x:c r="K1036" s="19" t="n">
        <x:f>'各站彙總來源'!K1036</x:f>
        <x:v>26</x:v>
      </x:c>
      <x:c r="L1036" s="24" t="n">
        <x:f>IFERROR('各站彙總來源'!L1036/'各站彙總來源'!M1036,"")</x:f>
        <x:v>1.6153846153846154</x:v>
      </x:c>
      <x:c r="M1036" s="19" t="n">
        <x:f>'各站彙總來源'!M1036</x:f>
        <x:v>26</x:v>
      </x:c>
      <x:c r="N1036" s="24" t="n">
        <x:f>F1036+H1036</x:f>
        <x:v>4.923076923076923</x:v>
      </x:c>
      <x:c r="O1036" s="24" t="n">
        <x:f>J1036+L1036</x:f>
        <x:v>5.961538461538462</x:v>
      </x:c>
    </x:row>
    <x:row r="1037">
      <x:c r="A1037" s="22" t="str">
        <x:v>500108064</x:v>
      </x:c>
      <x:c r="B1037" s="17" t="str">
        <x:v>內湖區</x:v>
      </x:c>
      <x:c r="C1037" s="17" t="str">
        <x:v>捷運內湖站(2號出口)</x:v>
      </x:c>
      <x:c r="D1037" s="18" t="n">
        <x:v>26</x:v>
      </x:c>
      <x:c r="E1037" s="18" t="n">
        <x:v>26</x:v>
      </x:c>
      <x:c r="F1037" s="24" t="n">
        <x:f>IFERROR('各站彙總來源'!F1037/'各站彙總來源'!G1037,"")</x:f>
        <x:v>4.769230769230769</x:v>
      </x:c>
      <x:c r="G1037" s="19" t="n">
        <x:f>'各站彙總來源'!G1037</x:f>
        <x:v>26</x:v>
      </x:c>
      <x:c r="H1037" s="24" t="n">
        <x:f>IFERROR('各站彙總來源'!H1037/'各站彙總來源'!I1037,"")</x:f>
        <x:v>0.5769230769230769</x:v>
      </x:c>
      <x:c r="I1037" s="19" t="n">
        <x:f>'各站彙總來源'!I1037</x:f>
        <x:v>26</x:v>
      </x:c>
      <x:c r="J1037" s="24" t="n">
        <x:f>IFERROR('各站彙總來源'!J1037/'各站彙總來源'!K1037,"")</x:f>
        <x:v>5.461538461538462</x:v>
      </x:c>
      <x:c r="K1037" s="19" t="n">
        <x:f>'各站彙總來源'!K1037</x:f>
        <x:v>26</x:v>
      </x:c>
      <x:c r="L1037" s="24" t="n">
        <x:f>IFERROR('各站彙總來源'!L1037/'各站彙總來源'!M1037,"")</x:f>
        <x:v>1.3846153846153846</x:v>
      </x:c>
      <x:c r="M1037" s="19" t="n">
        <x:f>'各站彙總來源'!M1037</x:f>
        <x:v>26</x:v>
      </x:c>
      <x:c r="N1037" s="24" t="n">
        <x:f>F1037+H1037</x:f>
        <x:v>5.346153846153846</x:v>
      </x:c>
      <x:c r="O1037" s="24" t="n">
        <x:f>J1037+L1037</x:f>
        <x:v>6.846153846153847</x:v>
      </x:c>
    </x:row>
    <x:row r="1038">
      <x:c r="A1038" s="22" t="str">
        <x:v>500108065</x:v>
      </x:c>
      <x:c r="B1038" s="17" t="str">
        <x:v>內湖區</x:v>
      </x:c>
      <x:c r="C1038" s="17" t="str">
        <x:v>康寧金湖路口</x:v>
      </x:c>
      <x:c r="D1038" s="18" t="n">
        <x:v>26</x:v>
      </x:c>
      <x:c r="E1038" s="18" t="n">
        <x:v>26</x:v>
      </x:c>
      <x:c r="F1038" s="24" t="n">
        <x:f>IFERROR('各站彙總來源'!F1038/'各站彙總來源'!G1038,"")</x:f>
        <x:v>10.538461538461538</x:v>
      </x:c>
      <x:c r="G1038" s="19" t="n">
        <x:f>'各站彙總來源'!G1038</x:f>
        <x:v>26</x:v>
      </x:c>
      <x:c r="H1038" s="24" t="n">
        <x:f>IFERROR('各站彙總來源'!H1038/'各站彙總來源'!I1038,"")</x:f>
        <x:v>1.0384615384615385</x:v>
      </x:c>
      <x:c r="I1038" s="19" t="n">
        <x:f>'各站彙總來源'!I1038</x:f>
        <x:v>26</x:v>
      </x:c>
      <x:c r="J1038" s="24" t="n">
        <x:f>IFERROR('各站彙總來源'!J1038/'各站彙總來源'!K1038,"")</x:f>
        <x:v>6.384615384615385</x:v>
      </x:c>
      <x:c r="K1038" s="19" t="n">
        <x:f>'各站彙總來源'!K1038</x:f>
        <x:v>26</x:v>
      </x:c>
      <x:c r="L1038" s="24" t="n">
        <x:f>IFERROR('各站彙總來源'!L1038/'各站彙總來源'!M1038,"")</x:f>
        <x:v>0.6153846153846154</x:v>
      </x:c>
      <x:c r="M1038" s="19" t="n">
        <x:f>'各站彙總來源'!M1038</x:f>
        <x:v>26</x:v>
      </x:c>
      <x:c r="N1038" s="24" t="n">
        <x:f>F1038+H1038</x:f>
        <x:v>11.576923076923077</x:v>
      </x:c>
      <x:c r="O1038" s="24" t="n">
        <x:f>J1038+L1038</x:f>
        <x:v>7</x:v>
      </x:c>
    </x:row>
    <x:row r="1039">
      <x:c r="A1039" s="22" t="str">
        <x:v>500108066</x:v>
      </x:c>
      <x:c r="B1039" s="17" t="str">
        <x:v>內湖區</x:v>
      </x:c>
      <x:c r="C1039" s="17" t="str">
        <x:v>康寧路一段156巷20弄口</x:v>
      </x:c>
      <x:c r="D1039" s="18" t="n">
        <x:v>26</x:v>
      </x:c>
      <x:c r="E1039" s="18" t="n">
        <x:v>26</x:v>
      </x:c>
      <x:c r="F1039" s="24" t="n">
        <x:f>IFERROR('各站彙總來源'!F1039/'各站彙總來源'!G1039,"")</x:f>
        <x:v>12</x:v>
      </x:c>
      <x:c r="G1039" s="19" t="n">
        <x:f>'各站彙總來源'!G1039</x:f>
        <x:v>26</x:v>
      </x:c>
      <x:c r="H1039" s="24" t="n">
        <x:f>IFERROR('各站彙總來源'!H1039/'各站彙總來源'!I1039,"")</x:f>
        <x:v>3.6538461538461537</x:v>
      </x:c>
      <x:c r="I1039" s="19" t="n">
        <x:f>'各站彙總來源'!I1039</x:f>
        <x:v>26</x:v>
      </x:c>
      <x:c r="J1039" s="24" t="n">
        <x:f>IFERROR('各站彙總來源'!J1039/'各站彙總來源'!K1039,"")</x:f>
        <x:v>3.3076923076923075</x:v>
      </x:c>
      <x:c r="K1039" s="19" t="n">
        <x:f>'各站彙總來源'!K1039</x:f>
        <x:v>26</x:v>
      </x:c>
      <x:c r="L1039" s="24" t="n">
        <x:f>IFERROR('各站彙總來源'!L1039/'各站彙總來源'!M1039,"")</x:f>
        <x:v>1.3076923076923077</x:v>
      </x:c>
      <x:c r="M1039" s="19" t="n">
        <x:f>'各站彙總來源'!M1039</x:f>
        <x:v>26</x:v>
      </x:c>
      <x:c r="N1039" s="24" t="n">
        <x:f>F1039+H1039</x:f>
        <x:v>15.653846153846153</x:v>
      </x:c>
      <x:c r="O1039" s="24" t="n">
        <x:f>J1039+L1039</x:f>
        <x:v>4.615384615384615</x:v>
      </x:c>
    </x:row>
    <x:row r="1040">
      <x:c r="A1040" s="22" t="str">
        <x:v>500108067</x:v>
      </x:c>
      <x:c r="B1040" s="17" t="str">
        <x:v>內湖區</x:v>
      </x:c>
      <x:c r="C1040" s="17" t="str">
        <x:v>安康公園</x:v>
      </x:c>
      <x:c r="D1040" s="18" t="n">
        <x:v>26</x:v>
      </x:c>
      <x:c r="E1040" s="18" t="n">
        <x:v>26</x:v>
      </x:c>
      <x:c r="F1040" s="24" t="n">
        <x:f>IFERROR('各站彙總來源'!F1040/'各站彙總來源'!G1040,"")</x:f>
        <x:v>7.730769230769231</x:v>
      </x:c>
      <x:c r="G1040" s="19" t="n">
        <x:f>'各站彙總來源'!G1040</x:f>
        <x:v>26</x:v>
      </x:c>
      <x:c r="H1040" s="24" t="n">
        <x:f>IFERROR('各站彙總來源'!H1040/'各站彙總來源'!I1040,"")</x:f>
        <x:v>1.1923076923076923</x:v>
      </x:c>
      <x:c r="I1040" s="19" t="n">
        <x:f>'各站彙總來源'!I1040</x:f>
        <x:v>26</x:v>
      </x:c>
      <x:c r="J1040" s="24" t="n">
        <x:f>IFERROR('各站彙總來源'!J1040/'各站彙總來源'!K1040,"")</x:f>
        <x:v>7.3076923076923075</x:v>
      </x:c>
      <x:c r="K1040" s="19" t="n">
        <x:f>'各站彙總來源'!K1040</x:f>
        <x:v>26</x:v>
      </x:c>
      <x:c r="L1040" s="24" t="n">
        <x:f>IFERROR('各站彙總來源'!L1040/'各站彙總來源'!M1040,"")</x:f>
        <x:v>0.7692307692307693</x:v>
      </x:c>
      <x:c r="M1040" s="19" t="n">
        <x:f>'各站彙總來源'!M1040</x:f>
        <x:v>26</x:v>
      </x:c>
      <x:c r="N1040" s="24" t="n">
        <x:f>F1040+H1040</x:f>
        <x:v>8.923076923076923</x:v>
      </x:c>
      <x:c r="O1040" s="24" t="n">
        <x:f>J1040+L1040</x:f>
        <x:v>8.076923076923077</x:v>
      </x:c>
    </x:row>
    <x:row r="1041">
      <x:c r="A1041" s="22" t="str">
        <x:v>500108068</x:v>
      </x:c>
      <x:c r="B1041" s="17" t="str">
        <x:v>內湖區</x:v>
      </x:c>
      <x:c r="C1041" s="17" t="str">
        <x:v>安泰街83巷</x:v>
      </x:c>
      <x:c r="D1041" s="18" t="n">
        <x:v>26</x:v>
      </x:c>
      <x:c r="E1041" s="18" t="n">
        <x:v>26</x:v>
      </x:c>
      <x:c r="F1041" s="24" t="n">
        <x:f>IFERROR('各站彙總來源'!F1041/'各站彙總來源'!G1041,"")</x:f>
        <x:v>33.26923076923077</x:v>
      </x:c>
      <x:c r="G1041" s="19" t="n">
        <x:f>'各站彙總來源'!G1041</x:f>
        <x:v>26</x:v>
      </x:c>
      <x:c r="H1041" s="24" t="n">
        <x:f>IFERROR('各站彙總來源'!H1041/'各站彙總來源'!I1041,"")</x:f>
        <x:v>4.615384615384615</x:v>
      </x:c>
      <x:c r="I1041" s="19" t="n">
        <x:f>'各站彙總來源'!I1041</x:f>
        <x:v>26</x:v>
      </x:c>
      <x:c r="J1041" s="24" t="n">
        <x:f>IFERROR('各站彙總來源'!J1041/'各站彙總來源'!K1041,"")</x:f>
        <x:v>6.461538461538462</x:v>
      </x:c>
      <x:c r="K1041" s="19" t="n">
        <x:f>'各站彙總來源'!K1041</x:f>
        <x:v>26</x:v>
      </x:c>
      <x:c r="L1041" s="24" t="n">
        <x:f>IFERROR('各站彙總來源'!L1041/'各站彙總來源'!M1041,"")</x:f>
        <x:v>2.1153846153846154</x:v>
      </x:c>
      <x:c r="M1041" s="19" t="n">
        <x:f>'各站彙總來源'!M1041</x:f>
        <x:v>26</x:v>
      </x:c>
      <x:c r="N1041" s="24" t="n">
        <x:f>F1041+H1041</x:f>
        <x:v>37.88461538461538</x:v>
      </x:c>
      <x:c r="O1041" s="24" t="n">
        <x:f>J1041+L1041</x:f>
        <x:v>8.576923076923077</x:v>
      </x:c>
    </x:row>
    <x:row r="1042">
      <x:c r="A1042" s="22" t="str">
        <x:v>500108069</x:v>
      </x:c>
      <x:c r="B1042" s="17" t="str">
        <x:v>內湖區</x:v>
      </x:c>
      <x:c r="C1042" s="17" t="str">
        <x:v>內溝溪生態展示館</x:v>
      </x:c>
      <x:c r="D1042" s="18" t="n">
        <x:v>26</x:v>
      </x:c>
      <x:c r="E1042" s="18" t="n">
        <x:v>26</x:v>
      </x:c>
      <x:c r="F1042" s="24" t="n">
        <x:f>IFERROR('各站彙總來源'!F1042/'各站彙總來源'!G1042,"")</x:f>
        <x:v>7.461538461538462</x:v>
      </x:c>
      <x:c r="G1042" s="19" t="n">
        <x:f>'各站彙總來源'!G1042</x:f>
        <x:v>26</x:v>
      </x:c>
      <x:c r="H1042" s="24" t="n">
        <x:f>IFERROR('各站彙總來源'!H1042/'各站彙總來源'!I1042,"")</x:f>
        <x:v>1.8846153846153846</x:v>
      </x:c>
      <x:c r="I1042" s="19" t="n">
        <x:f>'各站彙總來源'!I1042</x:f>
        <x:v>26</x:v>
      </x:c>
      <x:c r="J1042" s="24" t="n">
        <x:f>IFERROR('各站彙總來源'!J1042/'各站彙總來源'!K1042,"")</x:f>
        <x:v>6.615384615384615</x:v>
      </x:c>
      <x:c r="K1042" s="19" t="n">
        <x:f>'各站彙總來源'!K1042</x:f>
        <x:v>26</x:v>
      </x:c>
      <x:c r="L1042" s="24" t="n">
        <x:f>IFERROR('各站彙總來源'!L1042/'各站彙總來源'!M1042,"")</x:f>
        <x:v>2.076923076923077</x:v>
      </x:c>
      <x:c r="M1042" s="19" t="n">
        <x:f>'各站彙總來源'!M1042</x:f>
        <x:v>26</x:v>
      </x:c>
      <x:c r="N1042" s="24" t="n">
        <x:f>F1042+H1042</x:f>
        <x:v>9.346153846153847</x:v>
      </x:c>
      <x:c r="O1042" s="24" t="n">
        <x:f>J1042+L1042</x:f>
        <x:v>8.692307692307692</x:v>
      </x:c>
    </x:row>
    <x:row r="1043">
      <x:c r="A1043" s="22" t="str">
        <x:v>500108070</x:v>
      </x:c>
      <x:c r="B1043" s="17" t="str">
        <x:v>內湖區</x:v>
      </x:c>
      <x:c r="C1043" s="17" t="str">
        <x:v>捷運港墘站(2號出口)</x:v>
      </x:c>
      <x:c r="D1043" s="18" t="n">
        <x:v>26</x:v>
      </x:c>
      <x:c r="E1043" s="18" t="n">
        <x:v>26</x:v>
      </x:c>
      <x:c r="F1043" s="24" t="n">
        <x:f>IFERROR('各站彙總來源'!F1043/'各站彙總來源'!G1043,"")</x:f>
        <x:v>19.384615384615383</x:v>
      </x:c>
      <x:c r="G1043" s="19" t="n">
        <x:f>'各站彙總來源'!G1043</x:f>
        <x:v>26</x:v>
      </x:c>
      <x:c r="H1043" s="24" t="n">
        <x:f>IFERROR('各站彙總來源'!H1043/'各站彙總來源'!I1043,"")</x:f>
        <x:v>3.3846153846153846</x:v>
      </x:c>
      <x:c r="I1043" s="19" t="n">
        <x:f>'各站彙總來源'!I1043</x:f>
        <x:v>26</x:v>
      </x:c>
      <x:c r="J1043" s="24" t="n">
        <x:f>IFERROR('各站彙總來源'!J1043/'各站彙總來源'!K1043,"")</x:f>
        <x:v>4.846153846153846</x:v>
      </x:c>
      <x:c r="K1043" s="19" t="n">
        <x:f>'各站彙總來源'!K1043</x:f>
        <x:v>26</x:v>
      </x:c>
      <x:c r="L1043" s="24" t="n">
        <x:f>IFERROR('各站彙總來源'!L1043/'各站彙總來源'!M1043,"")</x:f>
        <x:v>1.5</x:v>
      </x:c>
      <x:c r="M1043" s="19" t="n">
        <x:f>'各站彙總來源'!M1043</x:f>
        <x:v>26</x:v>
      </x:c>
      <x:c r="N1043" s="24" t="n">
        <x:f>F1043+H1043</x:f>
        <x:v>22.769230769230766</x:v>
      </x:c>
      <x:c r="O1043" s="24" t="n">
        <x:f>J1043+L1043</x:f>
        <x:v>6.346153846153846</x:v>
      </x:c>
    </x:row>
    <x:row r="1044">
      <x:c r="A1044" s="22" t="str">
        <x:v>500108071</x:v>
      </x:c>
      <x:c r="B1044" s="17" t="str">
        <x:v>內湖區</x:v>
      </x:c>
      <x:c r="C1044" s="17" t="str">
        <x:v>東湖國中</x:v>
      </x:c>
      <x:c r="D1044" s="18" t="n">
        <x:v>26</x:v>
      </x:c>
      <x:c r="E1044" s="18" t="n">
        <x:v>26</x:v>
      </x:c>
      <x:c r="F1044" s="24" t="n">
        <x:f>IFERROR('各站彙總來源'!F1044/'各站彙總來源'!G1044,"")</x:f>
        <x:v>14.192307692307692</x:v>
      </x:c>
      <x:c r="G1044" s="19" t="n">
        <x:f>'各站彙總來源'!G1044</x:f>
        <x:v>26</x:v>
      </x:c>
      <x:c r="H1044" s="24" t="n">
        <x:f>IFERROR('各站彙總來源'!H1044/'各站彙總來源'!I1044,"")</x:f>
        <x:v>2.269230769230769</x:v>
      </x:c>
      <x:c r="I1044" s="19" t="n">
        <x:f>'各站彙總來源'!I1044</x:f>
        <x:v>26</x:v>
      </x:c>
      <x:c r="J1044" s="24" t="n">
        <x:f>IFERROR('各站彙總來源'!J1044/'各站彙總來源'!K1044,"")</x:f>
        <x:v>10.5</x:v>
      </x:c>
      <x:c r="K1044" s="19" t="n">
        <x:f>'各站彙總來源'!K1044</x:f>
        <x:v>26</x:v>
      </x:c>
      <x:c r="L1044" s="24" t="n">
        <x:f>IFERROR('各站彙總來源'!L1044/'各站彙總來源'!M1044,"")</x:f>
        <x:v>0.9230769230769231</x:v>
      </x:c>
      <x:c r="M1044" s="19" t="n">
        <x:f>'各站彙總來源'!M1044</x:f>
        <x:v>26</x:v>
      </x:c>
      <x:c r="N1044" s="24" t="n">
        <x:f>F1044+H1044</x:f>
        <x:v>16.46153846153846</x:v>
      </x:c>
      <x:c r="O1044" s="24" t="n">
        <x:f>J1044+L1044</x:f>
        <x:v>11.423076923076923</x:v>
      </x:c>
    </x:row>
    <x:row r="1045">
      <x:c r="A1045" s="22" t="str">
        <x:v>500108072</x:v>
      </x:c>
      <x:c r="B1045" s="17" t="str">
        <x:v>內湖區</x:v>
      </x:c>
      <x:c r="C1045" s="17" t="str">
        <x:v>石潭公園(安康路)</x:v>
      </x:c>
      <x:c r="D1045" s="18" t="n">
        <x:v>26</x:v>
      </x:c>
      <x:c r="E1045" s="18" t="n">
        <x:v>26</x:v>
      </x:c>
      <x:c r="F1045" s="24" t="n">
        <x:f>IFERROR('各站彙總來源'!F1045/'各站彙總來源'!G1045,"")</x:f>
        <x:v>5.8076923076923075</x:v>
      </x:c>
      <x:c r="G1045" s="19" t="n">
        <x:f>'各站彙總來源'!G1045</x:f>
        <x:v>26</x:v>
      </x:c>
      <x:c r="H1045" s="24" t="n">
        <x:f>IFERROR('各站彙總來源'!H1045/'各站彙總來源'!I1045,"")</x:f>
        <x:v>1.4230769230769231</x:v>
      </x:c>
      <x:c r="I1045" s="19" t="n">
        <x:f>'各站彙總來源'!I1045</x:f>
        <x:v>26</x:v>
      </x:c>
      <x:c r="J1045" s="24" t="n">
        <x:f>IFERROR('各站彙總來源'!J1045/'各站彙總來源'!K1045,"")</x:f>
        <x:v>20.846153846153847</x:v>
      </x:c>
      <x:c r="K1045" s="19" t="n">
        <x:f>'各站彙總來源'!K1045</x:f>
        <x:v>26</x:v>
      </x:c>
      <x:c r="L1045" s="24" t="n">
        <x:f>IFERROR('各站彙總來源'!L1045/'各站彙總來源'!M1045,"")</x:f>
        <x:v>3</x:v>
      </x:c>
      <x:c r="M1045" s="19" t="n">
        <x:f>'各站彙總來源'!M1045</x:f>
        <x:v>26</x:v>
      </x:c>
      <x:c r="N1045" s="24" t="n">
        <x:f>F1045+H1045</x:f>
        <x:v>7.230769230769231</x:v>
      </x:c>
      <x:c r="O1045" s="24" t="n">
        <x:f>J1045+L1045</x:f>
        <x:v>23.846153846153847</x:v>
      </x:c>
    </x:row>
    <x:row r="1046">
      <x:c r="A1046" s="22" t="str">
        <x:v>500108073</x:v>
      </x:c>
      <x:c r="B1046" s="17" t="str">
        <x:v>內湖區</x:v>
      </x:c>
      <x:c r="C1046" s="17" t="str">
        <x:v>內湖垃圾焚化廠</x:v>
      </x:c>
      <x:c r="D1046" s="18" t="n">
        <x:v>26</x:v>
      </x:c>
      <x:c r="E1046" s="18" t="n">
        <x:v>26</x:v>
      </x:c>
      <x:c r="F1046" s="24" t="n">
        <x:f>IFERROR('各站彙總來源'!F1046/'各站彙總來源'!G1046,"")</x:f>
        <x:v>3.6153846153846154</x:v>
      </x:c>
      <x:c r="G1046" s="19" t="n">
        <x:f>'各站彙總來源'!G1046</x:f>
        <x:v>26</x:v>
      </x:c>
      <x:c r="H1046" s="24" t="n">
        <x:f>IFERROR('各站彙總來源'!H1046/'各站彙總來源'!I1046,"")</x:f>
        <x:v>0.5769230769230769</x:v>
      </x:c>
      <x:c r="I1046" s="19" t="n">
        <x:f>'各站彙總來源'!I1046</x:f>
        <x:v>26</x:v>
      </x:c>
      <x:c r="J1046" s="24" t="n">
        <x:f>IFERROR('各站彙總來源'!J1046/'各站彙總來源'!K1046,"")</x:f>
        <x:v>10.653846153846153</x:v>
      </x:c>
      <x:c r="K1046" s="19" t="n">
        <x:f>'各站彙總來源'!K1046</x:f>
        <x:v>26</x:v>
      </x:c>
      <x:c r="L1046" s="24" t="n">
        <x:f>IFERROR('各站彙總來源'!L1046/'各站彙總來源'!M1046,"")</x:f>
        <x:v>2.3846153846153846</x:v>
      </x:c>
      <x:c r="M1046" s="19" t="n">
        <x:f>'各站彙總來源'!M1046</x:f>
        <x:v>26</x:v>
      </x:c>
      <x:c r="N1046" s="24" t="n">
        <x:f>F1046+H1046</x:f>
        <x:v>4.1923076923076925</x:v>
      </x:c>
      <x:c r="O1046" s="24" t="n">
        <x:f>J1046+L1046</x:f>
        <x:v>13.038461538461538</x:v>
      </x:c>
    </x:row>
    <x:row r="1047">
      <x:c r="A1047" s="22" t="str">
        <x:v>500108074</x:v>
      </x:c>
      <x:c r="B1047" s="17" t="str">
        <x:v>內湖區</x:v>
      </x:c>
      <x:c r="C1047" s="17" t="str">
        <x:v>康寧公園(北側)</x:v>
      </x:c>
      <x:c r="D1047" s="18" t="n">
        <x:v>26</x:v>
      </x:c>
      <x:c r="E1047" s="18" t="n">
        <x:v>26</x:v>
      </x:c>
      <x:c r="F1047" s="24" t="n">
        <x:f>IFERROR('各站彙總來源'!F1047/'各站彙總來源'!G1047,"")</x:f>
        <x:v>3.1538461538461537</x:v>
      </x:c>
      <x:c r="G1047" s="19" t="n">
        <x:f>'各站彙總來源'!G1047</x:f>
        <x:v>26</x:v>
      </x:c>
      <x:c r="H1047" s="24" t="n">
        <x:f>IFERROR('各站彙總來源'!H1047/'各站彙總來源'!I1047,"")</x:f>
        <x:v>1.0384615384615385</x:v>
      </x:c>
      <x:c r="I1047" s="19" t="n">
        <x:f>'各站彙總來源'!I1047</x:f>
        <x:v>26</x:v>
      </x:c>
      <x:c r="J1047" s="24" t="n">
        <x:f>IFERROR('各站彙總來源'!J1047/'各站彙總來源'!K1047,"")</x:f>
        <x:v>3.5384615384615383</x:v>
      </x:c>
      <x:c r="K1047" s="19" t="n">
        <x:f>'各站彙總來源'!K1047</x:f>
        <x:v>26</x:v>
      </x:c>
      <x:c r="L1047" s="24" t="n">
        <x:f>IFERROR('各站彙總來源'!L1047/'各站彙總來源'!M1047,"")</x:f>
        <x:v>0.7307692307692307</x:v>
      </x:c>
      <x:c r="M1047" s="19" t="n">
        <x:f>'各站彙總來源'!M1047</x:f>
        <x:v>26</x:v>
      </x:c>
      <x:c r="N1047" s="24" t="n">
        <x:f>F1047+H1047</x:f>
        <x:v>4.1923076923076925</x:v>
      </x:c>
      <x:c r="O1047" s="24" t="n">
        <x:f>J1047+L1047</x:f>
        <x:v>4.269230769230769</x:v>
      </x:c>
    </x:row>
    <x:row r="1048">
      <x:c r="A1048" s="22" t="str">
        <x:v>500108075</x:v>
      </x:c>
      <x:c r="B1048" s="17" t="str">
        <x:v>內湖區</x:v>
      </x:c>
      <x:c r="C1048" s="17" t="str">
        <x:v>康寧路三段54巷口</x:v>
      </x:c>
      <x:c r="D1048" s="18" t="n">
        <x:v>26</x:v>
      </x:c>
      <x:c r="E1048" s="18" t="n">
        <x:v>26</x:v>
      </x:c>
      <x:c r="F1048" s="24" t="n">
        <x:f>IFERROR('各站彙總來源'!F1048/'各站彙總來源'!G1048,"")</x:f>
        <x:v>4.923076923076923</x:v>
      </x:c>
      <x:c r="G1048" s="19" t="n">
        <x:f>'各站彙總來源'!G1048</x:f>
        <x:v>26</x:v>
      </x:c>
      <x:c r="H1048" s="24" t="n">
        <x:f>IFERROR('各站彙總來源'!H1048/'各站彙總來源'!I1048,"")</x:f>
        <x:v>1.1923076923076923</x:v>
      </x:c>
      <x:c r="I1048" s="19" t="n">
        <x:f>'各站彙總來源'!I1048</x:f>
        <x:v>26</x:v>
      </x:c>
      <x:c r="J1048" s="24" t="n">
        <x:f>IFERROR('各站彙總來源'!J1048/'各站彙總來源'!K1048,"")</x:f>
        <x:v>3.769230769230769</x:v>
      </x:c>
      <x:c r="K1048" s="19" t="n">
        <x:f>'各站彙總來源'!K1048</x:f>
        <x:v>26</x:v>
      </x:c>
      <x:c r="L1048" s="24" t="n">
        <x:f>IFERROR('各站彙總來源'!L1048/'各站彙總來源'!M1048,"")</x:f>
        <x:v>1.0384615384615385</x:v>
      </x:c>
      <x:c r="M1048" s="19" t="n">
        <x:f>'各站彙總來源'!M1048</x:f>
        <x:v>26</x:v>
      </x:c>
      <x:c r="N1048" s="24" t="n">
        <x:f>F1048+H1048</x:f>
        <x:v>6.115384615384616</x:v>
      </x:c>
      <x:c r="O1048" s="24" t="n">
        <x:f>J1048+L1048</x:f>
        <x:v>4.8076923076923075</x:v>
      </x:c>
    </x:row>
    <x:row r="1049">
      <x:c r="A1049" s="22" t="str">
        <x:v>500108076</x:v>
      </x:c>
      <x:c r="B1049" s="17" t="str">
        <x:v>內湖區</x:v>
      </x:c>
      <x:c r="C1049" s="17" t="str">
        <x:v>行善路25巷口</x:v>
      </x:c>
      <x:c r="D1049" s="18" t="n">
        <x:v>26</x:v>
      </x:c>
      <x:c r="E1049" s="18" t="n">
        <x:v>26</x:v>
      </x:c>
      <x:c r="F1049" s="24" t="n">
        <x:f>IFERROR('各站彙總來源'!F1049/'各站彙總來源'!G1049,"")</x:f>
        <x:v>5.3076923076923075</x:v>
      </x:c>
      <x:c r="G1049" s="19" t="n">
        <x:f>'各站彙總來源'!G1049</x:f>
        <x:v>26</x:v>
      </x:c>
      <x:c r="H1049" s="24" t="n">
        <x:f>IFERROR('各站彙總來源'!H1049/'各站彙總來源'!I1049,"")</x:f>
        <x:v>1.5</x:v>
      </x:c>
      <x:c r="I1049" s="19" t="n">
        <x:f>'各站彙總來源'!I1049</x:f>
        <x:v>26</x:v>
      </x:c>
      <x:c r="J1049" s="24" t="n">
        <x:f>IFERROR('各站彙總來源'!J1049/'各站彙總來源'!K1049,"")</x:f>
        <x:v>10.076923076923077</x:v>
      </x:c>
      <x:c r="K1049" s="19" t="n">
        <x:f>'各站彙總來源'!K1049</x:f>
        <x:v>26</x:v>
      </x:c>
      <x:c r="L1049" s="24" t="n">
        <x:f>IFERROR('各站彙總來源'!L1049/'各站彙總來源'!M1049,"")</x:f>
        <x:v>1.8846153846153846</x:v>
      </x:c>
      <x:c r="M1049" s="19" t="n">
        <x:f>'各站彙總來源'!M1049</x:f>
        <x:v>26</x:v>
      </x:c>
      <x:c r="N1049" s="24" t="n">
        <x:f>F1049+H1049</x:f>
        <x:v>6.8076923076923075</x:v>
      </x:c>
      <x:c r="O1049" s="24" t="n">
        <x:f>J1049+L1049</x:f>
        <x:v>11.961538461538462</x:v>
      </x:c>
    </x:row>
    <x:row r="1050">
      <x:c r="A1050" s="22" t="str">
        <x:v>500108077</x:v>
      </x:c>
      <x:c r="B1050" s="17" t="str">
        <x:v>內湖區</x:v>
      </x:c>
      <x:c r="C1050" s="17" t="str">
        <x:v>新明路460巷口</x:v>
      </x:c>
      <x:c r="D1050" s="18" t="n">
        <x:v>26</x:v>
      </x:c>
      <x:c r="E1050" s="18" t="n">
        <x:v>26</x:v>
      </x:c>
      <x:c r="F1050" s="24" t="n">
        <x:f>IFERROR('各站彙總來源'!F1050/'各站彙總來源'!G1050,"")</x:f>
        <x:v>13.846153846153847</x:v>
      </x:c>
      <x:c r="G1050" s="19" t="n">
        <x:f>'各站彙總來源'!G1050</x:f>
        <x:v>26</x:v>
      </x:c>
      <x:c r="H1050" s="24" t="n">
        <x:f>IFERROR('各站彙總來源'!H1050/'各站彙總來源'!I1050,"")</x:f>
        <x:v>1.7692307692307692</x:v>
      </x:c>
      <x:c r="I1050" s="19" t="n">
        <x:f>'各站彙總來源'!I1050</x:f>
        <x:v>26</x:v>
      </x:c>
      <x:c r="J1050" s="24" t="n">
        <x:f>IFERROR('各站彙總來源'!J1050/'各站彙總來源'!K1050,"")</x:f>
        <x:v>3.8461538461538463</x:v>
      </x:c>
      <x:c r="K1050" s="19" t="n">
        <x:f>'各站彙總來源'!K1050</x:f>
        <x:v>26</x:v>
      </x:c>
      <x:c r="L1050" s="24" t="n">
        <x:f>IFERROR('各站彙總來源'!L1050/'各站彙總來源'!M1050,"")</x:f>
        <x:v>2</x:v>
      </x:c>
      <x:c r="M1050" s="19" t="n">
        <x:f>'各站彙總來源'!M1050</x:f>
        <x:v>26</x:v>
      </x:c>
      <x:c r="N1050" s="24" t="n">
        <x:f>F1050+H1050</x:f>
        <x:v>15.615384615384617</x:v>
      </x:c>
      <x:c r="O1050" s="24" t="n">
        <x:f>J1050+L1050</x:f>
        <x:v>5.846153846153847</x:v>
      </x:c>
    </x:row>
    <x:row r="1051">
      <x:c r="A1051" s="22" t="str">
        <x:v>500108078</x:v>
      </x:c>
      <x:c r="B1051" s="17" t="str">
        <x:v>內湖區</x:v>
      </x:c>
      <x:c r="C1051" s="17" t="str">
        <x:v>下灣公園</x:v>
      </x:c>
      <x:c r="D1051" s="18" t="n">
        <x:v>26</x:v>
      </x:c>
      <x:c r="E1051" s="18" t="n">
        <x:v>26</x:v>
      </x:c>
      <x:c r="F1051" s="24" t="n">
        <x:f>IFERROR('各站彙總來源'!F1051/'各站彙總來源'!G1051,"")</x:f>
        <x:v>11.076923076923077</x:v>
      </x:c>
      <x:c r="G1051" s="19" t="n">
        <x:f>'各站彙總來源'!G1051</x:f>
        <x:v>26</x:v>
      </x:c>
      <x:c r="H1051" s="24" t="n">
        <x:f>IFERROR('各站彙總來源'!H1051/'各站彙總來源'!I1051,"")</x:f>
        <x:v>3.3461538461538463</x:v>
      </x:c>
      <x:c r="I1051" s="19" t="n">
        <x:f>'各站彙總來源'!I1051</x:f>
        <x:v>26</x:v>
      </x:c>
      <x:c r="J1051" s="24" t="n">
        <x:f>IFERROR('各站彙總來源'!J1051/'各站彙總來源'!K1051,"")</x:f>
        <x:v>7.423076923076923</x:v>
      </x:c>
      <x:c r="K1051" s="19" t="n">
        <x:f>'各站彙總來源'!K1051</x:f>
        <x:v>26</x:v>
      </x:c>
      <x:c r="L1051" s="24" t="n">
        <x:f>IFERROR('各站彙總來源'!L1051/'各站彙總來源'!M1051,"")</x:f>
        <x:v>2.6538461538461537</x:v>
      </x:c>
      <x:c r="M1051" s="19" t="n">
        <x:f>'各站彙總來源'!M1051</x:f>
        <x:v>26</x:v>
      </x:c>
      <x:c r="N1051" s="24" t="n">
        <x:f>F1051+H1051</x:f>
        <x:v>14.423076923076923</x:v>
      </x:c>
      <x:c r="O1051" s="24" t="n">
        <x:f>J1051+L1051</x:f>
        <x:v>10.076923076923077</x:v>
      </x:c>
    </x:row>
    <x:row r="1052">
      <x:c r="A1052" s="22" t="str">
        <x:v>500108079</x:v>
      </x:c>
      <x:c r="B1052" s="17" t="str">
        <x:v>內湖區</x:v>
      </x:c>
      <x:c r="C1052" s="17" t="str">
        <x:v>民權東路六段245巷口</x:v>
      </x:c>
      <x:c r="D1052" s="18" t="n">
        <x:v>26</x:v>
      </x:c>
      <x:c r="E1052" s="18" t="n">
        <x:v>26</x:v>
      </x:c>
      <x:c r="F1052" s="24" t="n">
        <x:f>IFERROR('各站彙總來源'!F1052/'各站彙總來源'!G1052,"")</x:f>
        <x:v>5.538461538461538</x:v>
      </x:c>
      <x:c r="G1052" s="19" t="n">
        <x:f>'各站彙總來源'!G1052</x:f>
        <x:v>26</x:v>
      </x:c>
      <x:c r="H1052" s="24" t="n">
        <x:f>IFERROR('各站彙總來源'!H1052/'各站彙總來源'!I1052,"")</x:f>
        <x:v>2.576923076923077</x:v>
      </x:c>
      <x:c r="I1052" s="19" t="n">
        <x:f>'各站彙總來源'!I1052</x:f>
        <x:v>26</x:v>
      </x:c>
      <x:c r="J1052" s="24" t="n">
        <x:f>IFERROR('各站彙總來源'!J1052/'各站彙總來源'!K1052,"")</x:f>
        <x:v>3.3846153846153846</x:v>
      </x:c>
      <x:c r="K1052" s="19" t="n">
        <x:f>'各站彙總來源'!K1052</x:f>
        <x:v>26</x:v>
      </x:c>
      <x:c r="L1052" s="24" t="n">
        <x:f>IFERROR('各站彙總來源'!L1052/'各站彙總來源'!M1052,"")</x:f>
        <x:v>2.8461538461538463</x:v>
      </x:c>
      <x:c r="M1052" s="19" t="n">
        <x:f>'各站彙總來源'!M1052</x:f>
        <x:v>26</x:v>
      </x:c>
      <x:c r="N1052" s="24" t="n">
        <x:f>F1052+H1052</x:f>
        <x:v>8.115384615384615</x:v>
      </x:c>
      <x:c r="O1052" s="24" t="n">
        <x:f>J1052+L1052</x:f>
        <x:v>6.230769230769231</x:v>
      </x:c>
    </x:row>
    <x:row r="1053">
      <x:c r="A1053" s="22" t="str">
        <x:v>500108080</x:v>
      </x:c>
      <x:c r="B1053" s="17" t="str">
        <x:v>內湖區</x:v>
      </x:c>
      <x:c r="C1053" s="17" t="str">
        <x:v>星雲金湖街口</x:v>
      </x:c>
      <x:c r="D1053" s="18" t="n">
        <x:v>26</x:v>
      </x:c>
      <x:c r="E1053" s="18" t="n">
        <x:v>26</x:v>
      </x:c>
      <x:c r="F1053" s="24" t="n">
        <x:f>IFERROR('各站彙總來源'!F1053/'各站彙總來源'!G1053,"")</x:f>
        <x:v>0</x:v>
      </x:c>
      <x:c r="G1053" s="19" t="n">
        <x:f>'各站彙總來源'!G1053</x:f>
        <x:v>26</x:v>
      </x:c>
      <x:c r="H1053" s="24" t="n">
        <x:f>IFERROR('各站彙總來源'!H1053/'各站彙總來源'!I1053,"")</x:f>
        <x:v>0</x:v>
      </x:c>
      <x:c r="I1053" s="19" t="n">
        <x:f>'各站彙總來源'!I1053</x:f>
        <x:v>26</x:v>
      </x:c>
      <x:c r="J1053" s="24" t="n">
        <x:f>IFERROR('各站彙總來源'!J1053/'各站彙總來源'!K1053,"")</x:f>
        <x:v>0</x:v>
      </x:c>
      <x:c r="K1053" s="19" t="n">
        <x:f>'各站彙總來源'!K1053</x:f>
        <x:v>26</x:v>
      </x:c>
      <x:c r="L1053" s="24" t="n">
        <x:f>IFERROR('各站彙總來源'!L1053/'各站彙總來源'!M1053,"")</x:f>
        <x:v>0</x:v>
      </x:c>
      <x:c r="M1053" s="19" t="n">
        <x:f>'各站彙總來源'!M1053</x:f>
        <x:v>26</x:v>
      </x:c>
      <x:c r="N1053" s="24" t="n">
        <x:f>F1053+H1053</x:f>
        <x:v>0</x:v>
      </x:c>
      <x:c r="O1053" s="24" t="n">
        <x:f>J1053+L1053</x:f>
        <x:v>0</x:v>
      </x:c>
    </x:row>
    <x:row r="1054">
      <x:c r="A1054" s="22" t="str">
        <x:v>500108081</x:v>
      </x:c>
      <x:c r="B1054" s="17" t="str">
        <x:v>內湖區</x:v>
      </x:c>
      <x:c r="C1054" s="17" t="str">
        <x:v>東湖國小</x:v>
      </x:c>
      <x:c r="D1054" s="18" t="n">
        <x:v>26</x:v>
      </x:c>
      <x:c r="E1054" s="18" t="n">
        <x:v>26</x:v>
      </x:c>
      <x:c r="F1054" s="24" t="n">
        <x:f>IFERROR('各站彙總來源'!F1054/'各站彙總來源'!G1054,"")</x:f>
        <x:v>8</x:v>
      </x:c>
      <x:c r="G1054" s="19" t="n">
        <x:f>'各站彙總來源'!G1054</x:f>
        <x:v>26</x:v>
      </x:c>
      <x:c r="H1054" s="24" t="n">
        <x:f>IFERROR('各站彙總來源'!H1054/'各站彙總來源'!I1054,"")</x:f>
        <x:v>1.6538461538461537</x:v>
      </x:c>
      <x:c r="I1054" s="19" t="n">
        <x:f>'各站彙總來源'!I1054</x:f>
        <x:v>26</x:v>
      </x:c>
      <x:c r="J1054" s="24" t="n">
        <x:f>IFERROR('各站彙總來源'!J1054/'各站彙總來源'!K1054,"")</x:f>
        <x:v>5.615384615384615</x:v>
      </x:c>
      <x:c r="K1054" s="19" t="n">
        <x:f>'各站彙總來源'!K1054</x:f>
        <x:v>26</x:v>
      </x:c>
      <x:c r="L1054" s="24" t="n">
        <x:f>IFERROR('各站彙總來源'!L1054/'各站彙總來源'!M1054,"")</x:f>
        <x:v>0.9615384615384616</x:v>
      </x:c>
      <x:c r="M1054" s="19" t="n">
        <x:f>'各站彙總來源'!M1054</x:f>
        <x:v>26</x:v>
      </x:c>
      <x:c r="N1054" s="24" t="n">
        <x:f>F1054+H1054</x:f>
        <x:v>9.653846153846153</x:v>
      </x:c>
      <x:c r="O1054" s="24" t="n">
        <x:f>J1054+L1054</x:f>
        <x:v>6.576923076923077</x:v>
      </x:c>
    </x:row>
    <x:row r="1055">
      <x:c r="A1055" s="22" t="str">
        <x:v>500108082</x:v>
      </x:c>
      <x:c r="B1055" s="17" t="str">
        <x:v>內湖區</x:v>
      </x:c>
      <x:c r="C1055" s="17" t="str">
        <x:v>捷運內湖站(1號出口)</x:v>
      </x:c>
      <x:c r="D1055" s="18" t="n">
        <x:v>26</x:v>
      </x:c>
      <x:c r="E1055" s="18" t="n">
        <x:v>26</x:v>
      </x:c>
      <x:c r="F1055" s="24" t="n">
        <x:f>IFERROR('各站彙總來源'!F1055/'各站彙總來源'!G1055,"")</x:f>
        <x:v>13.038461538461538</x:v>
      </x:c>
      <x:c r="G1055" s="19" t="n">
        <x:f>'各站彙總來源'!G1055</x:f>
        <x:v>26</x:v>
      </x:c>
      <x:c r="H1055" s="24" t="n">
        <x:f>IFERROR('各站彙總來源'!H1055/'各站彙總來源'!I1055,"")</x:f>
        <x:v>1.2692307692307692</x:v>
      </x:c>
      <x:c r="I1055" s="19" t="n">
        <x:f>'各站彙總來源'!I1055</x:f>
        <x:v>26</x:v>
      </x:c>
      <x:c r="J1055" s="24" t="n">
        <x:f>IFERROR('各站彙總來源'!J1055/'各站彙總來源'!K1055,"")</x:f>
        <x:v>54.5</x:v>
      </x:c>
      <x:c r="K1055" s="19" t="n">
        <x:f>'各站彙總來源'!K1055</x:f>
        <x:v>26</x:v>
      </x:c>
      <x:c r="L1055" s="24" t="n">
        <x:f>IFERROR('各站彙總來源'!L1055/'各站彙總來源'!M1055,"")</x:f>
        <x:v>2.5384615384615383</x:v>
      </x:c>
      <x:c r="M1055" s="19" t="n">
        <x:f>'各站彙總來源'!M1055</x:f>
        <x:v>26</x:v>
      </x:c>
      <x:c r="N1055" s="24" t="n">
        <x:f>F1055+H1055</x:f>
        <x:v>14.307692307692307</x:v>
      </x:c>
      <x:c r="O1055" s="24" t="n">
        <x:f>J1055+L1055</x:f>
        <x:v>57.03846153846154</x:v>
      </x:c>
    </x:row>
    <x:row r="1056">
      <x:c r="A1056" s="22" t="str">
        <x:v>500108083</x:v>
      </x:c>
      <x:c r="B1056" s="17" t="str">
        <x:v>內湖區</x:v>
      </x:c>
      <x:c r="C1056" s="17" t="str">
        <x:v>瑞光港墘路口</x:v>
      </x:c>
      <x:c r="D1056" s="18" t="n">
        <x:v>26</x:v>
      </x:c>
      <x:c r="E1056" s="18" t="n">
        <x:v>26</x:v>
      </x:c>
      <x:c r="F1056" s="24" t="n">
        <x:f>IFERROR('各站彙總來源'!F1056/'各站彙總來源'!G1056,"")</x:f>
        <x:v>6.384615384615385</x:v>
      </x:c>
      <x:c r="G1056" s="19" t="n">
        <x:f>'各站彙總來源'!G1056</x:f>
        <x:v>26</x:v>
      </x:c>
      <x:c r="H1056" s="24" t="n">
        <x:f>IFERROR('各站彙總來源'!H1056/'各站彙總來源'!I1056,"")</x:f>
        <x:v>0.8461538461538461</x:v>
      </x:c>
      <x:c r="I1056" s="19" t="n">
        <x:f>'各站彙總來源'!I1056</x:f>
        <x:v>26</x:v>
      </x:c>
      <x:c r="J1056" s="24" t="n">
        <x:f>IFERROR('各站彙總來源'!J1056/'各站彙總來源'!K1056,"")</x:f>
        <x:v>31.5</x:v>
      </x:c>
      <x:c r="K1056" s="19" t="n">
        <x:f>'各站彙總來源'!K1056</x:f>
        <x:v>26</x:v>
      </x:c>
      <x:c r="L1056" s="24" t="n">
        <x:f>IFERROR('各站彙總來源'!L1056/'各站彙總來源'!M1056,"")</x:f>
        <x:v>5.038461538461538</x:v>
      </x:c>
      <x:c r="M1056" s="19" t="n">
        <x:f>'各站彙總來源'!M1056</x:f>
        <x:v>26</x:v>
      </x:c>
      <x:c r="N1056" s="24" t="n">
        <x:f>F1056+H1056</x:f>
        <x:v>7.230769230769231</x:v>
      </x:c>
      <x:c r="O1056" s="24" t="n">
        <x:f>J1056+L1056</x:f>
        <x:v>36.53846153846154</x:v>
      </x:c>
    </x:row>
    <x:row r="1057">
      <x:c r="A1057" s="22" t="str">
        <x:v>500108084</x:v>
      </x:c>
      <x:c r="B1057" s="17" t="str">
        <x:v>內湖區</x:v>
      </x:c>
      <x:c r="C1057" s="17" t="str">
        <x:v>瑞湖陽光街口</x:v>
      </x:c>
      <x:c r="D1057" s="18" t="n">
        <x:v>26</x:v>
      </x:c>
      <x:c r="E1057" s="18" t="n">
        <x:v>26</x:v>
      </x:c>
      <x:c r="F1057" s="24" t="n">
        <x:f>IFERROR('各站彙總來源'!F1057/'各站彙總來源'!G1057,"")</x:f>
        <x:v>7.384615384615385</x:v>
      </x:c>
      <x:c r="G1057" s="19" t="n">
        <x:f>'各站彙總來源'!G1057</x:f>
        <x:v>26</x:v>
      </x:c>
      <x:c r="H1057" s="24" t="n">
        <x:f>IFERROR('各站彙總來源'!H1057/'各站彙總來源'!I1057,"")</x:f>
        <x:v>0.5384615384615384</x:v>
      </x:c>
      <x:c r="I1057" s="19" t="n">
        <x:f>'各站彙總來源'!I1057</x:f>
        <x:v>26</x:v>
      </x:c>
      <x:c r="J1057" s="24" t="n">
        <x:f>IFERROR('各站彙總來源'!J1057/'各站彙總來源'!K1057,"")</x:f>
        <x:v>111.38461538461539</x:v>
      </x:c>
      <x:c r="K1057" s="19" t="n">
        <x:f>'各站彙總來源'!K1057</x:f>
        <x:v>26</x:v>
      </x:c>
      <x:c r="L1057" s="24" t="n">
        <x:f>IFERROR('各站彙總來源'!L1057/'各站彙總來源'!M1057,"")</x:f>
        <x:v>2.8461538461538463</x:v>
      </x:c>
      <x:c r="M1057" s="19" t="n">
        <x:f>'各站彙總來源'!M1057</x:f>
        <x:v>26</x:v>
      </x:c>
      <x:c r="N1057" s="24" t="n">
        <x:f>F1057+H1057</x:f>
        <x:v>7.923076923076923</x:v>
      </x:c>
      <x:c r="O1057" s="24" t="n">
        <x:f>J1057+L1057</x:f>
        <x:v>114.23076923076923</x:v>
      </x:c>
    </x:row>
    <x:row r="1058">
      <x:c r="A1058" s="22" t="str">
        <x:v>500108085</x:v>
      </x:c>
      <x:c r="B1058" s="17" t="str">
        <x:v>內湖區</x:v>
      </x:c>
      <x:c r="C1058" s="17" t="str">
        <x:v>金龍公園</x:v>
      </x:c>
      <x:c r="D1058" s="18" t="n">
        <x:v>26</x:v>
      </x:c>
      <x:c r="E1058" s="18" t="n">
        <x:v>26</x:v>
      </x:c>
      <x:c r="F1058" s="24" t="n">
        <x:f>IFERROR('各站彙總來源'!F1058/'各站彙總來源'!G1058,"")</x:f>
        <x:v>6.423076923076923</x:v>
      </x:c>
      <x:c r="G1058" s="19" t="n">
        <x:f>'各站彙總來源'!G1058</x:f>
        <x:v>26</x:v>
      </x:c>
      <x:c r="H1058" s="24" t="n">
        <x:f>IFERROR('各站彙總來源'!H1058/'各站彙總來源'!I1058,"")</x:f>
        <x:v>1.1923076923076923</x:v>
      </x:c>
      <x:c r="I1058" s="19" t="n">
        <x:f>'各站彙總來源'!I1058</x:f>
        <x:v>26</x:v>
      </x:c>
      <x:c r="J1058" s="24" t="n">
        <x:f>IFERROR('各站彙總來源'!J1058/'各站彙總來源'!K1058,"")</x:f>
        <x:v>3.1538461538461537</x:v>
      </x:c>
      <x:c r="K1058" s="19" t="n">
        <x:f>'各站彙總來源'!K1058</x:f>
        <x:v>26</x:v>
      </x:c>
      <x:c r="L1058" s="24" t="n">
        <x:f>IFERROR('各站彙總來源'!L1058/'各站彙總來源'!M1058,"")</x:f>
        <x:v>1</x:v>
      </x:c>
      <x:c r="M1058" s="19" t="n">
        <x:f>'各站彙總來源'!M1058</x:f>
        <x:v>26</x:v>
      </x:c>
      <x:c r="N1058" s="24" t="n">
        <x:f>F1058+H1058</x:f>
        <x:v>7.615384615384616</x:v>
      </x:c>
      <x:c r="O1058" s="24" t="n">
        <x:f>J1058+L1058</x:f>
        <x:v>4.153846153846153</x:v>
      </x:c>
    </x:row>
    <x:row r="1059">
      <x:c r="A1059" s="22" t="str">
        <x:v>500108086</x:v>
      </x:c>
      <x:c r="B1059" s="17" t="str">
        <x:v>內湖區</x:v>
      </x:c>
      <x:c r="C1059" s="17" t="str">
        <x:v>星雲街138巷1弄口</x:v>
      </x:c>
      <x:c r="D1059" s="18" t="n">
        <x:v>26</x:v>
      </x:c>
      <x:c r="E1059" s="18" t="n">
        <x:v>26</x:v>
      </x:c>
      <x:c r="F1059" s="24" t="n">
        <x:f>IFERROR('各站彙總來源'!F1059/'各站彙總來源'!G1059,"")</x:f>
        <x:v>16.884615384615383</x:v>
      </x:c>
      <x:c r="G1059" s="19" t="n">
        <x:f>'各站彙總來源'!G1059</x:f>
        <x:v>26</x:v>
      </x:c>
      <x:c r="H1059" s="24" t="n">
        <x:f>IFERROR('各站彙總來源'!H1059/'各站彙總來源'!I1059,"")</x:f>
        <x:v>3.8076923076923075</x:v>
      </x:c>
      <x:c r="I1059" s="19" t="n">
        <x:f>'各站彙總來源'!I1059</x:f>
        <x:v>26</x:v>
      </x:c>
      <x:c r="J1059" s="24" t="n">
        <x:f>IFERROR('各站彙總來源'!J1059/'各站彙總來源'!K1059,"")</x:f>
        <x:v>4.423076923076923</x:v>
      </x:c>
      <x:c r="K1059" s="19" t="n">
        <x:f>'各站彙總來源'!K1059</x:f>
        <x:v>26</x:v>
      </x:c>
      <x:c r="L1059" s="24" t="n">
        <x:f>IFERROR('各站彙總來源'!L1059/'各站彙總來源'!M1059,"")</x:f>
        <x:v>1.2692307692307692</x:v>
      </x:c>
      <x:c r="M1059" s="19" t="n">
        <x:f>'各站彙總來源'!M1059</x:f>
        <x:v>26</x:v>
      </x:c>
      <x:c r="N1059" s="24" t="n">
        <x:f>F1059+H1059</x:f>
        <x:v>20.69230769230769</x:v>
      </x:c>
      <x:c r="O1059" s="24" t="n">
        <x:f>J1059+L1059</x:f>
        <x:v>5.6923076923076925</x:v>
      </x:c>
    </x:row>
    <x:row r="1060">
      <x:c r="A1060" s="22" t="str">
        <x:v>500108087</x:v>
      </x:c>
      <x:c r="B1060" s="17" t="str">
        <x:v>內湖區</x:v>
      </x:c>
      <x:c r="C1060" s="17" t="str">
        <x:v>東湖一號公園</x:v>
      </x:c>
      <x:c r="D1060" s="18" t="n">
        <x:v>26</x:v>
      </x:c>
      <x:c r="E1060" s="18" t="n">
        <x:v>26</x:v>
      </x:c>
      <x:c r="F1060" s="24" t="n">
        <x:f>IFERROR('各站彙總來源'!F1060/'各站彙總來源'!G1060,"")</x:f>
        <x:v>2.730769230769231</x:v>
      </x:c>
      <x:c r="G1060" s="19" t="n">
        <x:f>'各站彙總來源'!G1060</x:f>
        <x:v>26</x:v>
      </x:c>
      <x:c r="H1060" s="24" t="n">
        <x:f>IFERROR('各站彙總來源'!H1060/'各站彙總來源'!I1060,"")</x:f>
        <x:v>5.038461538461538</x:v>
      </x:c>
      <x:c r="I1060" s="19" t="n">
        <x:f>'各站彙總來源'!I1060</x:f>
        <x:v>26</x:v>
      </x:c>
      <x:c r="J1060" s="24" t="n">
        <x:f>IFERROR('各站彙總來源'!J1060/'各站彙總來源'!K1060,"")</x:f>
        <x:v>2.269230769230769</x:v>
      </x:c>
      <x:c r="K1060" s="19" t="n">
        <x:f>'各站彙總來源'!K1060</x:f>
        <x:v>26</x:v>
      </x:c>
      <x:c r="L1060" s="24" t="n">
        <x:f>IFERROR('各站彙總來源'!L1060/'各站彙總來源'!M1060,"")</x:f>
        <x:v>2.923076923076923</x:v>
      </x:c>
      <x:c r="M1060" s="19" t="n">
        <x:f>'各站彙總來源'!M1060</x:f>
        <x:v>26</x:v>
      </x:c>
      <x:c r="N1060" s="24" t="n">
        <x:f>F1060+H1060</x:f>
        <x:v>7.769230769230769</x:v>
      </x:c>
      <x:c r="O1060" s="24" t="n">
        <x:f>J1060+L1060</x:f>
        <x:v>5.192307692307692</x:v>
      </x:c>
    </x:row>
    <x:row r="1061">
      <x:c r="A1061" s="22" t="str">
        <x:v>500108088</x:v>
      </x:c>
      <x:c r="B1061" s="17" t="str">
        <x:v>內湖區</x:v>
      </x:c>
      <x:c r="C1061" s="17" t="str">
        <x:v>東湖二號公園</x:v>
      </x:c>
      <x:c r="D1061" s="18" t="n">
        <x:v>26</x:v>
      </x:c>
      <x:c r="E1061" s="18" t="n">
        <x:v>26</x:v>
      </x:c>
      <x:c r="F1061" s="24" t="n">
        <x:f>IFERROR('各站彙總來源'!F1061/'各站彙總來源'!G1061,"")</x:f>
        <x:v>13.538461538461538</x:v>
      </x:c>
      <x:c r="G1061" s="19" t="n">
        <x:f>'各站彙總來源'!G1061</x:f>
        <x:v>26</x:v>
      </x:c>
      <x:c r="H1061" s="24" t="n">
        <x:f>IFERROR('各站彙總來源'!H1061/'各站彙總來源'!I1061,"")</x:f>
        <x:v>2.8461538461538463</x:v>
      </x:c>
      <x:c r="I1061" s="19" t="n">
        <x:f>'各站彙總來源'!I1061</x:f>
        <x:v>26</x:v>
      </x:c>
      <x:c r="J1061" s="24" t="n">
        <x:f>IFERROR('各站彙總來源'!J1061/'各站彙總來源'!K1061,"")</x:f>
        <x:v>3.576923076923077</x:v>
      </x:c>
      <x:c r="K1061" s="19" t="n">
        <x:f>'各站彙總來源'!K1061</x:f>
        <x:v>26</x:v>
      </x:c>
      <x:c r="L1061" s="24" t="n">
        <x:f>IFERROR('各站彙總來源'!L1061/'各站彙總來源'!M1061,"")</x:f>
        <x:v>1.5384615384615385</x:v>
      </x:c>
      <x:c r="M1061" s="19" t="n">
        <x:f>'各站彙總來源'!M1061</x:f>
        <x:v>26</x:v>
      </x:c>
      <x:c r="N1061" s="24" t="n">
        <x:f>F1061+H1061</x:f>
        <x:v>16.384615384615383</x:v>
      </x:c>
      <x:c r="O1061" s="24" t="n">
        <x:f>J1061+L1061</x:f>
        <x:v>5.115384615384616</x:v>
      </x:c>
    </x:row>
    <x:row r="1062">
      <x:c r="A1062" s="22" t="str">
        <x:v>500108089</x:v>
      </x:c>
      <x:c r="B1062" s="17" t="str">
        <x:v>內湖區</x:v>
      </x:c>
      <x:c r="C1062" s="17" t="str">
        <x:v>康湖二號公園(康寧醫院)</x:v>
      </x:c>
      <x:c r="D1062" s="18" t="n">
        <x:v>26</x:v>
      </x:c>
      <x:c r="E1062" s="18" t="n">
        <x:v>26</x:v>
      </x:c>
      <x:c r="F1062" s="24" t="n">
        <x:f>IFERROR('各站彙總來源'!F1062/'各站彙總來源'!G1062,"")</x:f>
        <x:v>10.038461538461538</x:v>
      </x:c>
      <x:c r="G1062" s="19" t="n">
        <x:f>'各站彙總來源'!G1062</x:f>
        <x:v>26</x:v>
      </x:c>
      <x:c r="H1062" s="24" t="n">
        <x:f>IFERROR('各站彙總來源'!H1062/'各站彙總來源'!I1062,"")</x:f>
        <x:v>2</x:v>
      </x:c>
      <x:c r="I1062" s="19" t="n">
        <x:f>'各站彙總來源'!I1062</x:f>
        <x:v>26</x:v>
      </x:c>
      <x:c r="J1062" s="24" t="n">
        <x:f>IFERROR('各站彙總來源'!J1062/'各站彙總來源'!K1062,"")</x:f>
        <x:v>11.615384615384615</x:v>
      </x:c>
      <x:c r="K1062" s="19" t="n">
        <x:f>'各站彙總來源'!K1062</x:f>
        <x:v>26</x:v>
      </x:c>
      <x:c r="L1062" s="24" t="n">
        <x:f>IFERROR('各站彙總來源'!L1062/'各站彙總來源'!M1062,"")</x:f>
        <x:v>2.8461538461538463</x:v>
      </x:c>
      <x:c r="M1062" s="19" t="n">
        <x:f>'各站彙總來源'!M1062</x:f>
        <x:v>26</x:v>
      </x:c>
      <x:c r="N1062" s="24" t="n">
        <x:f>F1062+H1062</x:f>
        <x:v>12.038461538461538</x:v>
      </x:c>
      <x:c r="O1062" s="24" t="n">
        <x:f>J1062+L1062</x:f>
        <x:v>14.461538461538462</x:v>
      </x:c>
    </x:row>
    <x:row r="1063">
      <x:c r="A1063" s="22" t="str">
        <x:v>500108090</x:v>
      </x:c>
      <x:c r="B1063" s="17" t="str">
        <x:v>內湖區</x:v>
      </x:c>
      <x:c r="C1063" s="17" t="str">
        <x:v>堤頂大道新湖一路口</x:v>
      </x:c>
      <x:c r="D1063" s="18" t="n">
        <x:v>26</x:v>
      </x:c>
      <x:c r="E1063" s="18" t="n">
        <x:v>26</x:v>
      </x:c>
      <x:c r="F1063" s="24" t="n">
        <x:f>IFERROR('各站彙總來源'!F1063/'各站彙總來源'!G1063,"")</x:f>
        <x:v>4.923076923076923</x:v>
      </x:c>
      <x:c r="G1063" s="19" t="n">
        <x:f>'各站彙總來源'!G1063</x:f>
        <x:v>26</x:v>
      </x:c>
      <x:c r="H1063" s="24" t="n">
        <x:f>IFERROR('各站彙總來源'!H1063/'各站彙總來源'!I1063,"")</x:f>
        <x:v>0.5769230769230769</x:v>
      </x:c>
      <x:c r="I1063" s="19" t="n">
        <x:f>'各站彙總來源'!I1063</x:f>
        <x:v>26</x:v>
      </x:c>
      <x:c r="J1063" s="24" t="n">
        <x:f>IFERROR('各站彙總來源'!J1063/'各站彙總來源'!K1063,"")</x:f>
        <x:v>17.807692307692307</x:v>
      </x:c>
      <x:c r="K1063" s="19" t="n">
        <x:f>'各站彙總來源'!K1063</x:f>
        <x:v>26</x:v>
      </x:c>
      <x:c r="L1063" s="24" t="n">
        <x:f>IFERROR('各站彙總來源'!L1063/'各站彙總來源'!M1063,"")</x:f>
        <x:v>3.730769230769231</x:v>
      </x:c>
      <x:c r="M1063" s="19" t="n">
        <x:f>'各站彙總來源'!M1063</x:f>
        <x:v>26</x:v>
      </x:c>
      <x:c r="N1063" s="24" t="n">
        <x:f>F1063+H1063</x:f>
        <x:v>5.5</x:v>
      </x:c>
      <x:c r="O1063" s="24" t="n">
        <x:f>J1063+L1063</x:f>
        <x:v>21.538461538461537</x:v>
      </x:c>
    </x:row>
    <x:row r="1064">
      <x:c r="A1064" s="22" t="str">
        <x:v>500108091</x:v>
      </x:c>
      <x:c r="B1064" s="17" t="str">
        <x:v>內湖區</x:v>
      </x:c>
      <x:c r="C1064" s="17" t="str">
        <x:v>下灣公園(成功路)</x:v>
      </x:c>
      <x:c r="D1064" s="18" t="n">
        <x:v>26</x:v>
      </x:c>
      <x:c r="E1064" s="18" t="n">
        <x:v>26</x:v>
      </x:c>
      <x:c r="F1064" s="24" t="n">
        <x:f>IFERROR('各站彙總來源'!F1064/'各站彙總來源'!G1064,"")</x:f>
        <x:v>9.076923076923077</x:v>
      </x:c>
      <x:c r="G1064" s="19" t="n">
        <x:f>'各站彙總來源'!G1064</x:f>
        <x:v>26</x:v>
      </x:c>
      <x:c r="H1064" s="24" t="n">
        <x:f>IFERROR('各站彙總來源'!H1064/'各站彙總來源'!I1064,"")</x:f>
        <x:v>1.6153846153846154</x:v>
      </x:c>
      <x:c r="I1064" s="19" t="n">
        <x:f>'各站彙總來源'!I1064</x:f>
        <x:v>26</x:v>
      </x:c>
      <x:c r="J1064" s="24" t="n">
        <x:f>IFERROR('各站彙總來源'!J1064/'各站彙總來源'!K1064,"")</x:f>
        <x:v>5</x:v>
      </x:c>
      <x:c r="K1064" s="19" t="n">
        <x:f>'各站彙總來源'!K1064</x:f>
        <x:v>26</x:v>
      </x:c>
      <x:c r="L1064" s="24" t="n">
        <x:f>IFERROR('各站彙總來源'!L1064/'各站彙總來源'!M1064,"")</x:f>
        <x:v>0.9615384615384616</x:v>
      </x:c>
      <x:c r="M1064" s="19" t="n">
        <x:f>'各站彙總來源'!M1064</x:f>
        <x:v>26</x:v>
      </x:c>
      <x:c r="N1064" s="24" t="n">
        <x:f>F1064+H1064</x:f>
        <x:v>10.692307692307692</x:v>
      </x:c>
      <x:c r="O1064" s="24" t="n">
        <x:f>J1064+L1064</x:f>
        <x:v>5.961538461538462</x:v>
      </x:c>
    </x:row>
    <x:row r="1065">
      <x:c r="A1065" s="22" t="str">
        <x:v>500108092</x:v>
      </x:c>
      <x:c r="B1065" s="17" t="str">
        <x:v>內湖區</x:v>
      </x:c>
      <x:c r="C1065" s="17" t="str">
        <x:v>舊宗行善路口</x:v>
      </x:c>
      <x:c r="D1065" s="18" t="n">
        <x:v>26</x:v>
      </x:c>
      <x:c r="E1065" s="18" t="n">
        <x:v>26</x:v>
      </x:c>
      <x:c r="F1065" s="24" t="n">
        <x:f>IFERROR('各站彙總來源'!F1065/'各站彙總來源'!G1065,"")</x:f>
        <x:v>6.153846153846154</x:v>
      </x:c>
      <x:c r="G1065" s="19" t="n">
        <x:f>'各站彙總來源'!G1065</x:f>
        <x:v>26</x:v>
      </x:c>
      <x:c r="H1065" s="24" t="n">
        <x:f>IFERROR('各站彙總來源'!H1065/'各站彙總來源'!I1065,"")</x:f>
        <x:v>0.7692307692307693</x:v>
      </x:c>
      <x:c r="I1065" s="19" t="n">
        <x:f>'各站彙總來源'!I1065</x:f>
        <x:v>26</x:v>
      </x:c>
      <x:c r="J1065" s="24" t="n">
        <x:f>IFERROR('各站彙總來源'!J1065/'各站彙總來源'!K1065,"")</x:f>
        <x:v>6.230769230769231</x:v>
      </x:c>
      <x:c r="K1065" s="19" t="n">
        <x:f>'各站彙總來源'!K1065</x:f>
        <x:v>26</x:v>
      </x:c>
      <x:c r="L1065" s="24" t="n">
        <x:f>IFERROR('各站彙總來源'!L1065/'各站彙總來源'!M1065,"")</x:f>
        <x:v>1.3076923076923077</x:v>
      </x:c>
      <x:c r="M1065" s="19" t="n">
        <x:f>'各站彙總來源'!M1065</x:f>
        <x:v>26</x:v>
      </x:c>
      <x:c r="N1065" s="24" t="n">
        <x:f>F1065+H1065</x:f>
        <x:v>6.923076923076923</x:v>
      </x:c>
      <x:c r="O1065" s="24" t="n">
        <x:f>J1065+L1065</x:f>
        <x:v>7.538461538461538</x:v>
      </x:c>
    </x:row>
    <x:row r="1066">
      <x:c r="A1066" s="22" t="str">
        <x:v>500108093</x:v>
      </x:c>
      <x:c r="B1066" s="17" t="str">
        <x:v>內湖區</x:v>
      </x:c>
      <x:c r="C1066" s="17" t="str">
        <x:v>新湖二路250巷口</x:v>
      </x:c>
      <x:c r="D1066" s="18" t="n">
        <x:v>26</x:v>
      </x:c>
      <x:c r="E1066" s="18" t="n">
        <x:v>26</x:v>
      </x:c>
      <x:c r="F1066" s="24" t="n">
        <x:f>IFERROR('各站彙總來源'!F1066/'各站彙總來源'!G1066,"")</x:f>
        <x:v>5.346153846153846</x:v>
      </x:c>
      <x:c r="G1066" s="19" t="n">
        <x:f>'各站彙總來源'!G1066</x:f>
        <x:v>26</x:v>
      </x:c>
      <x:c r="H1066" s="24" t="n">
        <x:f>IFERROR('各站彙總來源'!H1066/'各站彙總來源'!I1066,"")</x:f>
        <x:v>1.1923076923076923</x:v>
      </x:c>
      <x:c r="I1066" s="19" t="n">
        <x:f>'各站彙總來源'!I1066</x:f>
        <x:v>26</x:v>
      </x:c>
      <x:c r="J1066" s="24" t="n">
        <x:f>IFERROR('各站彙總來源'!J1066/'各站彙總來源'!K1066,"")</x:f>
        <x:v>50.53846153846154</x:v>
      </x:c>
      <x:c r="K1066" s="19" t="n">
        <x:f>'各站彙總來源'!K1066</x:f>
        <x:v>26</x:v>
      </x:c>
      <x:c r="L1066" s="24" t="n">
        <x:f>IFERROR('各站彙總來源'!L1066/'各站彙總來源'!M1066,"")</x:f>
        <x:v>1.5384615384615385</x:v>
      </x:c>
      <x:c r="M1066" s="19" t="n">
        <x:f>'各站彙總來源'!M1066</x:f>
        <x:v>26</x:v>
      </x:c>
      <x:c r="N1066" s="24" t="n">
        <x:f>F1066+H1066</x:f>
        <x:v>6.538461538461538</x:v>
      </x:c>
      <x:c r="O1066" s="24" t="n">
        <x:f>J1066+L1066</x:f>
        <x:v>52.07692307692308</x:v>
      </x:c>
    </x:row>
    <x:row r="1067">
      <x:c r="A1067" s="22" t="str">
        <x:v>500108094</x:v>
      </x:c>
      <x:c r="B1067" s="17" t="str">
        <x:v>內湖區</x:v>
      </x:c>
      <x:c r="C1067" s="17" t="str">
        <x:v>成功路四段41巷口</x:v>
      </x:c>
      <x:c r="D1067" s="18" t="n">
        <x:v>26</x:v>
      </x:c>
      <x:c r="E1067" s="18" t="n">
        <x:v>26</x:v>
      </x:c>
      <x:c r="F1067" s="24" t="n">
        <x:f>IFERROR('各站彙總來源'!F1067/'各站彙總來源'!G1067,"")</x:f>
        <x:v>5.8076923076923075</x:v>
      </x:c>
      <x:c r="G1067" s="19" t="n">
        <x:f>'各站彙總來源'!G1067</x:f>
        <x:v>26</x:v>
      </x:c>
      <x:c r="H1067" s="24" t="n">
        <x:f>IFERROR('各站彙總來源'!H1067/'各站彙總來源'!I1067,"")</x:f>
        <x:v>0.8846153846153846</x:v>
      </x:c>
      <x:c r="I1067" s="19" t="n">
        <x:f>'各站彙總來源'!I1067</x:f>
        <x:v>26</x:v>
      </x:c>
      <x:c r="J1067" s="24" t="n">
        <x:f>IFERROR('各站彙總來源'!J1067/'各站彙總來源'!K1067,"")</x:f>
        <x:v>4.730769230769231</x:v>
      </x:c>
      <x:c r="K1067" s="19" t="n">
        <x:f>'各站彙總來源'!K1067</x:f>
        <x:v>26</x:v>
      </x:c>
      <x:c r="L1067" s="24" t="n">
        <x:f>IFERROR('各站彙總來源'!L1067/'各站彙總來源'!M1067,"")</x:f>
        <x:v>0.6923076923076923</x:v>
      </x:c>
      <x:c r="M1067" s="19" t="n">
        <x:f>'各站彙總來源'!M1067</x:f>
        <x:v>26</x:v>
      </x:c>
      <x:c r="N1067" s="24" t="n">
        <x:f>F1067+H1067</x:f>
        <x:v>6.692307692307692</x:v>
      </x:c>
      <x:c r="O1067" s="24" t="n">
        <x:f>J1067+L1067</x:f>
        <x:v>5.423076923076923</x:v>
      </x:c>
    </x:row>
    <x:row r="1068">
      <x:c r="A1068" s="22" t="str">
        <x:v>500108095</x:v>
      </x:c>
      <x:c r="B1068" s="17" t="str">
        <x:v>內湖區</x:v>
      </x:c>
      <x:c r="C1068" s="17" t="str">
        <x:v>金湖星雲街口</x:v>
      </x:c>
      <x:c r="D1068" s="18" t="n">
        <x:v>26</x:v>
      </x:c>
      <x:c r="E1068" s="18" t="n">
        <x:v>26</x:v>
      </x:c>
      <x:c r="F1068" s="24" t="n">
        <x:f>IFERROR('各站彙總來源'!F1068/'各站彙總來源'!G1068,"")</x:f>
        <x:v>11.692307692307692</x:v>
      </x:c>
      <x:c r="G1068" s="19" t="n">
        <x:f>'各站彙總來源'!G1068</x:f>
        <x:v>26</x:v>
      </x:c>
      <x:c r="H1068" s="24" t="n">
        <x:f>IFERROR('各站彙總來源'!H1068/'各站彙總來源'!I1068,"")</x:f>
        <x:v>3.769230769230769</x:v>
      </x:c>
      <x:c r="I1068" s="19" t="n">
        <x:f>'各站彙總來源'!I1068</x:f>
        <x:v>26</x:v>
      </x:c>
      <x:c r="J1068" s="24" t="n">
        <x:f>IFERROR('各站彙總來源'!J1068/'各站彙總來源'!K1068,"")</x:f>
        <x:v>7.653846153846154</x:v>
      </x:c>
      <x:c r="K1068" s="19" t="n">
        <x:f>'各站彙總來源'!K1068</x:f>
        <x:v>26</x:v>
      </x:c>
      <x:c r="L1068" s="24" t="n">
        <x:f>IFERROR('各站彙總來源'!L1068/'各站彙總來源'!M1068,"")</x:f>
        <x:v>6</x:v>
      </x:c>
      <x:c r="M1068" s="19" t="n">
        <x:f>'各站彙總來源'!M1068</x:f>
        <x:v>26</x:v>
      </x:c>
      <x:c r="N1068" s="24" t="n">
        <x:f>F1068+H1068</x:f>
        <x:v>15.46153846153846</x:v>
      </x:c>
      <x:c r="O1068" s="24" t="n">
        <x:f>J1068+L1068</x:f>
        <x:v>13.653846153846153</x:v>
      </x:c>
    </x:row>
    <x:row r="1069">
      <x:c r="A1069" s="22" t="str">
        <x:v>500108096</x:v>
      </x:c>
      <x:c r="B1069" s="17" t="str">
        <x:v>內湖區</x:v>
      </x:c>
      <x:c r="C1069" s="17" t="str">
        <x:v>國防醫學院</x:v>
      </x:c>
      <x:c r="D1069" s="18" t="n">
        <x:v>26</x:v>
      </x:c>
      <x:c r="E1069" s="18" t="n">
        <x:v>26</x:v>
      </x:c>
      <x:c r="F1069" s="24" t="n">
        <x:f>IFERROR('各站彙總來源'!F1069/'各站彙總來源'!G1069,"")</x:f>
        <x:v>9.192307692307692</x:v>
      </x:c>
      <x:c r="G1069" s="19" t="n">
        <x:f>'各站彙總來源'!G1069</x:f>
        <x:v>26</x:v>
      </x:c>
      <x:c r="H1069" s="24" t="n">
        <x:f>IFERROR('各站彙總來源'!H1069/'各站彙總來源'!I1069,"")</x:f>
        <x:v>2.3846153846153846</x:v>
      </x:c>
      <x:c r="I1069" s="19" t="n">
        <x:f>'各站彙總來源'!I1069</x:f>
        <x:v>26</x:v>
      </x:c>
      <x:c r="J1069" s="24" t="n">
        <x:f>IFERROR('各站彙總來源'!J1069/'各站彙總來源'!K1069,"")</x:f>
        <x:v>12.23076923076923</x:v>
      </x:c>
      <x:c r="K1069" s="19" t="n">
        <x:f>'各站彙總來源'!K1069</x:f>
        <x:v>26</x:v>
      </x:c>
      <x:c r="L1069" s="24" t="n">
        <x:f>IFERROR('各站彙總來源'!L1069/'各站彙總來源'!M1069,"")</x:f>
        <x:v>1.9230769230769231</x:v>
      </x:c>
      <x:c r="M1069" s="19" t="n">
        <x:f>'各站彙總來源'!M1069</x:f>
        <x:v>26</x:v>
      </x:c>
      <x:c r="N1069" s="24" t="n">
        <x:f>F1069+H1069</x:f>
        <x:v>11.576923076923077</x:v>
      </x:c>
      <x:c r="O1069" s="24" t="n">
        <x:f>J1069+L1069</x:f>
        <x:v>14.153846153846153</x:v>
      </x:c>
    </x:row>
    <x:row r="1070">
      <x:c r="A1070" s="22" t="str">
        <x:v>500108097</x:v>
      </x:c>
      <x:c r="B1070" s="17" t="str">
        <x:v>內湖區</x:v>
      </x:c>
      <x:c r="C1070" s="17" t="str">
        <x:v>民權東路六段190巷117弄口</x:v>
      </x:c>
      <x:c r="D1070" s="18" t="n">
        <x:v>26</x:v>
      </x:c>
      <x:c r="E1070" s="18" t="n">
        <x:v>26</x:v>
      </x:c>
      <x:c r="F1070" s="24" t="n">
        <x:f>IFERROR('各站彙總來源'!F1070/'各站彙總來源'!G1070,"")</x:f>
        <x:v>7.653846153846154</x:v>
      </x:c>
      <x:c r="G1070" s="19" t="n">
        <x:f>'各站彙總來源'!G1070</x:f>
        <x:v>26</x:v>
      </x:c>
      <x:c r="H1070" s="24" t="n">
        <x:f>IFERROR('各站彙總來源'!H1070/'各站彙總來源'!I1070,"")</x:f>
        <x:v>0.8461538461538461</x:v>
      </x:c>
      <x:c r="I1070" s="19" t="n">
        <x:f>'各站彙總來源'!I1070</x:f>
        <x:v>26</x:v>
      </x:c>
      <x:c r="J1070" s="24" t="n">
        <x:f>IFERROR('各站彙總來源'!J1070/'各站彙總來源'!K1070,"")</x:f>
        <x:v>6.5</x:v>
      </x:c>
      <x:c r="K1070" s="19" t="n">
        <x:f>'各站彙總來源'!K1070</x:f>
        <x:v>26</x:v>
      </x:c>
      <x:c r="L1070" s="24" t="n">
        <x:f>IFERROR('各站彙總來源'!L1070/'各站彙總來源'!M1070,"")</x:f>
        <x:v>0.6923076923076923</x:v>
      </x:c>
      <x:c r="M1070" s="19" t="n">
        <x:f>'各站彙總來源'!M1070</x:f>
        <x:v>26</x:v>
      </x:c>
      <x:c r="N1070" s="24" t="n">
        <x:f>F1070+H1070</x:f>
        <x:v>8.5</x:v>
      </x:c>
      <x:c r="O1070" s="24" t="n">
        <x:f>J1070+L1070</x:f>
        <x:v>7.1923076923076925</x:v>
      </x:c>
    </x:row>
    <x:row r="1071">
      <x:c r="A1071" s="22" t="str">
        <x:v>500108098</x:v>
      </x:c>
      <x:c r="B1071" s="17" t="str">
        <x:v>內湖區</x:v>
      </x:c>
      <x:c r="C1071" s="17" t="str">
        <x:v>內湖運動中心</x:v>
      </x:c>
      <x:c r="D1071" s="18" t="n">
        <x:v>26</x:v>
      </x:c>
      <x:c r="E1071" s="18" t="n">
        <x:v>26</x:v>
      </x:c>
      <x:c r="F1071" s="24" t="n">
        <x:f>IFERROR('各站彙總來源'!F1071/'各站彙總來源'!G1071,"")</x:f>
        <x:v>9.038461538461538</x:v>
      </x:c>
      <x:c r="G1071" s="19" t="n">
        <x:f>'各站彙總來源'!G1071</x:f>
        <x:v>26</x:v>
      </x:c>
      <x:c r="H1071" s="24" t="n">
        <x:f>IFERROR('各站彙總來源'!H1071/'各站彙總來源'!I1071,"")</x:f>
        <x:v>1.4615384615384615</x:v>
      </x:c>
      <x:c r="I1071" s="19" t="n">
        <x:f>'各站彙總來源'!I1071</x:f>
        <x:v>26</x:v>
      </x:c>
      <x:c r="J1071" s="24" t="n">
        <x:f>IFERROR('各站彙總來源'!J1071/'各站彙總來源'!K1071,"")</x:f>
        <x:v>10.076923076923077</x:v>
      </x:c>
      <x:c r="K1071" s="19" t="n">
        <x:f>'各站彙總來源'!K1071</x:f>
        <x:v>26</x:v>
      </x:c>
      <x:c r="L1071" s="24" t="n">
        <x:f>IFERROR('各站彙總來源'!L1071/'各站彙總來源'!M1071,"")</x:f>
        <x:v>5.230769230769231</x:v>
      </x:c>
      <x:c r="M1071" s="19" t="n">
        <x:f>'各站彙總來源'!M1071</x:f>
        <x:v>26</x:v>
      </x:c>
      <x:c r="N1071" s="24" t="n">
        <x:f>F1071+H1071</x:f>
        <x:v>10.5</x:v>
      </x:c>
      <x:c r="O1071" s="24" t="n">
        <x:f>J1071+L1071</x:f>
        <x:v>15.307692307692307</x:v>
      </x:c>
    </x:row>
    <x:row r="1072">
      <x:c r="A1072" s="22" t="str">
        <x:v>500108099</x:v>
      </x:c>
      <x:c r="B1072" s="17" t="str">
        <x:v>內湖區</x:v>
      </x:c>
      <x:c r="C1072" s="17" t="str">
        <x:v>九華公園</x:v>
      </x:c>
      <x:c r="D1072" s="18" t="n">
        <x:v>26</x:v>
      </x:c>
      <x:c r="E1072" s="18" t="n">
        <x:v>26</x:v>
      </x:c>
      <x:c r="F1072" s="24" t="n">
        <x:f>IFERROR('各站彙總來源'!F1072/'各站彙總來源'!G1072,"")</x:f>
        <x:v>26.46153846153846</x:v>
      </x:c>
      <x:c r="G1072" s="19" t="n">
        <x:f>'各站彙總來源'!G1072</x:f>
        <x:v>26</x:v>
      </x:c>
      <x:c r="H1072" s="24" t="n">
        <x:f>IFERROR('各站彙總來源'!H1072/'各站彙總來源'!I1072,"")</x:f>
        <x:v>3.3846153846153846</x:v>
      </x:c>
      <x:c r="I1072" s="19" t="n">
        <x:f>'各站彙總來源'!I1072</x:f>
        <x:v>26</x:v>
      </x:c>
      <x:c r="J1072" s="24" t="n">
        <x:f>IFERROR('各站彙總來源'!J1072/'各站彙總來源'!K1072,"")</x:f>
        <x:v>3.923076923076923</x:v>
      </x:c>
      <x:c r="K1072" s="19" t="n">
        <x:f>'各站彙總來源'!K1072</x:f>
        <x:v>26</x:v>
      </x:c>
      <x:c r="L1072" s="24" t="n">
        <x:f>IFERROR('各站彙總來源'!L1072/'各站彙總來源'!M1072,"")</x:f>
        <x:v>1.5769230769230769</x:v>
      </x:c>
      <x:c r="M1072" s="19" t="n">
        <x:f>'各站彙總來源'!M1072</x:f>
        <x:v>26</x:v>
      </x:c>
      <x:c r="N1072" s="24" t="n">
        <x:f>F1072+H1072</x:f>
        <x:v>29.846153846153843</x:v>
      </x:c>
      <x:c r="O1072" s="24" t="n">
        <x:f>J1072+L1072</x:f>
        <x:v>5.5</x:v>
      </x:c>
    </x:row>
    <x:row r="1073">
      <x:c r="A1073" s="22" t="str">
        <x:v>500108100</x:v>
      </x:c>
      <x:c r="B1073" s="17" t="str">
        <x:v>內湖區</x:v>
      </x:c>
      <x:c r="C1073" s="17" t="str">
        <x:v>內湖路二段179巷口</x:v>
      </x:c>
      <x:c r="D1073" s="18" t="n">
        <x:v>26</x:v>
      </x:c>
      <x:c r="E1073" s="18" t="n">
        <x:v>26</x:v>
      </x:c>
      <x:c r="F1073" s="24" t="n">
        <x:f>IFERROR('各站彙總來源'!F1073/'各站彙總來源'!G1073,"")</x:f>
        <x:v>8.26923076923077</x:v>
      </x:c>
      <x:c r="G1073" s="19" t="n">
        <x:f>'各站彙總來源'!G1073</x:f>
        <x:v>26</x:v>
      </x:c>
      <x:c r="H1073" s="24" t="n">
        <x:f>IFERROR('各站彙總來源'!H1073/'各站彙總來源'!I1073,"")</x:f>
        <x:v>3.3076923076923075</x:v>
      </x:c>
      <x:c r="I1073" s="19" t="n">
        <x:f>'各站彙總來源'!I1073</x:f>
        <x:v>26</x:v>
      </x:c>
      <x:c r="J1073" s="24" t="n">
        <x:f>IFERROR('各站彙總來源'!J1073/'各站彙總來源'!K1073,"")</x:f>
        <x:v>5.730769230769231</x:v>
      </x:c>
      <x:c r="K1073" s="19" t="n">
        <x:f>'各站彙總來源'!K1073</x:f>
        <x:v>26</x:v>
      </x:c>
      <x:c r="L1073" s="24" t="n">
        <x:f>IFERROR('各站彙總來源'!L1073/'各站彙總來源'!M1073,"")</x:f>
        <x:v>2.0384615384615383</x:v>
      </x:c>
      <x:c r="M1073" s="19" t="n">
        <x:f>'各站彙總來源'!M1073</x:f>
        <x:v>26</x:v>
      </x:c>
      <x:c r="N1073" s="24" t="n">
        <x:f>F1073+H1073</x:f>
        <x:v>11.576923076923077</x:v>
      </x:c>
      <x:c r="O1073" s="24" t="n">
        <x:f>J1073+L1073</x:f>
        <x:v>7.769230769230769</x:v>
      </x:c>
    </x:row>
    <x:row r="1074">
      <x:c r="A1074" s="22" t="str">
        <x:v>500108101</x:v>
      </x:c>
      <x:c r="B1074" s="17" t="str">
        <x:v>內湖區</x:v>
      </x:c>
      <x:c r="C1074" s="17" t="str">
        <x:v>民權東路六段423巷口</x:v>
      </x:c>
      <x:c r="D1074" s="18" t="n">
        <x:v>26</x:v>
      </x:c>
      <x:c r="E1074" s="18" t="n">
        <x:v>26</x:v>
      </x:c>
      <x:c r="F1074" s="24" t="n">
        <x:f>IFERROR('各站彙總來源'!F1074/'各站彙總來源'!G1074,"")</x:f>
        <x:v>0</x:v>
      </x:c>
      <x:c r="G1074" s="19" t="n">
        <x:f>'各站彙總來源'!G1074</x:f>
        <x:v>26</x:v>
      </x:c>
      <x:c r="H1074" s="24" t="n">
        <x:f>IFERROR('各站彙總來源'!H1074/'各站彙總來源'!I1074,"")</x:f>
        <x:v>0</x:v>
      </x:c>
      <x:c r="I1074" s="19" t="n">
        <x:f>'各站彙總來源'!I1074</x:f>
        <x:v>26</x:v>
      </x:c>
      <x:c r="J1074" s="24" t="n">
        <x:f>IFERROR('各站彙總來源'!J1074/'各站彙總來源'!K1074,"")</x:f>
        <x:v>0</x:v>
      </x:c>
      <x:c r="K1074" s="19" t="n">
        <x:f>'各站彙總來源'!K1074</x:f>
        <x:v>26</x:v>
      </x:c>
      <x:c r="L1074" s="24" t="n">
        <x:f>IFERROR('各站彙總來源'!L1074/'各站彙總來源'!M1074,"")</x:f>
        <x:v>0</x:v>
      </x:c>
      <x:c r="M1074" s="19" t="n">
        <x:f>'各站彙總來源'!M1074</x:f>
        <x:v>26</x:v>
      </x:c>
      <x:c r="N1074" s="24" t="n">
        <x:f>F1074+H1074</x:f>
        <x:v>0</x:v>
      </x:c>
      <x:c r="O1074" s="24" t="n">
        <x:f>J1074+L1074</x:f>
        <x:v>0</x:v>
      </x:c>
    </x:row>
    <x:row r="1075">
      <x:c r="A1075" s="22" t="str">
        <x:v>500108102</x:v>
      </x:c>
      <x:c r="B1075" s="17" t="str">
        <x:v>內湖區</x:v>
      </x:c>
      <x:c r="C1075" s="17" t="str">
        <x:v>行善行愛路口</x:v>
      </x:c>
      <x:c r="D1075" s="18" t="n">
        <x:v>26</x:v>
      </x:c>
      <x:c r="E1075" s="18" t="n">
        <x:v>26</x:v>
      </x:c>
      <x:c r="F1075" s="24" t="n">
        <x:f>IFERROR('各站彙總來源'!F1075/'各站彙總來源'!G1075,"")</x:f>
        <x:v>6.384615384615385</x:v>
      </x:c>
      <x:c r="G1075" s="19" t="n">
        <x:f>'各站彙總來源'!G1075</x:f>
        <x:v>26</x:v>
      </x:c>
      <x:c r="H1075" s="24" t="n">
        <x:f>IFERROR('各站彙總來源'!H1075/'各站彙總來源'!I1075,"")</x:f>
        <x:v>1.0384615384615385</x:v>
      </x:c>
      <x:c r="I1075" s="19" t="n">
        <x:f>'各站彙總來源'!I1075</x:f>
        <x:v>26</x:v>
      </x:c>
      <x:c r="J1075" s="24" t="n">
        <x:f>IFERROR('各站彙總來源'!J1075/'各站彙總來源'!K1075,"")</x:f>
        <x:v>3.9615384615384617</x:v>
      </x:c>
      <x:c r="K1075" s="19" t="n">
        <x:f>'各站彙總來源'!K1075</x:f>
        <x:v>26</x:v>
      </x:c>
      <x:c r="L1075" s="24" t="n">
        <x:f>IFERROR('各站彙總來源'!L1075/'各站彙總來源'!M1075,"")</x:f>
        <x:v>1</x:v>
      </x:c>
      <x:c r="M1075" s="19" t="n">
        <x:f>'各站彙總來源'!M1075</x:f>
        <x:v>26</x:v>
      </x:c>
      <x:c r="N1075" s="24" t="n">
        <x:f>F1075+H1075</x:f>
        <x:v>7.423076923076923</x:v>
      </x:c>
      <x:c r="O1075" s="24" t="n">
        <x:f>J1075+L1075</x:f>
        <x:v>4.961538461538462</x:v>
      </x:c>
    </x:row>
    <x:row r="1076">
      <x:c r="A1076" s="22" t="str">
        <x:v>500108103</x:v>
      </x:c>
      <x:c r="B1076" s="17" t="str">
        <x:v>內湖區</x:v>
      </x:c>
      <x:c r="C1076" s="17" t="str">
        <x:v>民善新湖二路口(家樂福內湖店)</x:v>
      </x:c>
      <x:c r="D1076" s="18" t="n">
        <x:v>26</x:v>
      </x:c>
      <x:c r="E1076" s="18" t="n">
        <x:v>26</x:v>
      </x:c>
      <x:c r="F1076" s="24" t="n">
        <x:f>IFERROR('各站彙總來源'!F1076/'各站彙總來源'!G1076,"")</x:f>
        <x:v>4.615384615384615</x:v>
      </x:c>
      <x:c r="G1076" s="19" t="n">
        <x:f>'各站彙總來源'!G1076</x:f>
        <x:v>26</x:v>
      </x:c>
      <x:c r="H1076" s="24" t="n">
        <x:f>IFERROR('各站彙總來源'!H1076/'各站彙總來源'!I1076,"")</x:f>
        <x:v>1.6153846153846154</x:v>
      </x:c>
      <x:c r="I1076" s="19" t="n">
        <x:f>'各站彙總來源'!I1076</x:f>
        <x:v>26</x:v>
      </x:c>
      <x:c r="J1076" s="24" t="n">
        <x:f>IFERROR('各站彙總來源'!J1076/'各站彙總來源'!K1076,"")</x:f>
        <x:v>30</x:v>
      </x:c>
      <x:c r="K1076" s="19" t="n">
        <x:f>'各站彙總來源'!K1076</x:f>
        <x:v>26</x:v>
      </x:c>
      <x:c r="L1076" s="24" t="n">
        <x:f>IFERROR('各站彙總來源'!L1076/'各站彙總來源'!M1076,"")</x:f>
        <x:v>2.576923076923077</x:v>
      </x:c>
      <x:c r="M1076" s="19" t="n">
        <x:f>'各站彙總來源'!M1076</x:f>
        <x:v>26</x:v>
      </x:c>
      <x:c r="N1076" s="24" t="n">
        <x:f>F1076+H1076</x:f>
        <x:v>6.23076923076923</x:v>
      </x:c>
      <x:c r="O1076" s="24" t="n">
        <x:f>J1076+L1076</x:f>
        <x:v>32.57692307692308</x:v>
      </x:c>
    </x:row>
    <x:row r="1077">
      <x:c r="A1077" s="22" t="str">
        <x:v>500108104</x:v>
      </x:c>
      <x:c r="B1077" s="17" t="str">
        <x:v>內湖區</x:v>
      </x:c>
      <x:c r="C1077" s="17" t="str">
        <x:v>統振大樓</x:v>
      </x:c>
      <x:c r="D1077" s="18" t="n">
        <x:v>26</x:v>
      </x:c>
      <x:c r="E1077" s="18" t="n">
        <x:v>26</x:v>
      </x:c>
      <x:c r="F1077" s="24" t="n">
        <x:f>IFERROR('各站彙總來源'!F1077/'各站彙總來源'!G1077,"")</x:f>
        <x:v>5.538461538461538</x:v>
      </x:c>
      <x:c r="G1077" s="19" t="n">
        <x:f>'各站彙總來源'!G1077</x:f>
        <x:v>26</x:v>
      </x:c>
      <x:c r="H1077" s="24" t="n">
        <x:f>IFERROR('各站彙總來源'!H1077/'各站彙總來源'!I1077,"")</x:f>
        <x:v>1</x:v>
      </x:c>
      <x:c r="I1077" s="19" t="n">
        <x:f>'各站彙總來源'!I1077</x:f>
        <x:v>26</x:v>
      </x:c>
      <x:c r="J1077" s="24" t="n">
        <x:f>IFERROR('各站彙總來源'!J1077/'各站彙總來源'!K1077,"")</x:f>
        <x:v>10.461538461538462</x:v>
      </x:c>
      <x:c r="K1077" s="19" t="n">
        <x:f>'各站彙總來源'!K1077</x:f>
        <x:v>26</x:v>
      </x:c>
      <x:c r="L1077" s="24" t="n">
        <x:f>IFERROR('各站彙總來源'!L1077/'各站彙總來源'!M1077,"")</x:f>
        <x:v>2</x:v>
      </x:c>
      <x:c r="M1077" s="19" t="n">
        <x:f>'各站彙總來源'!M1077</x:f>
        <x:v>26</x:v>
      </x:c>
      <x:c r="N1077" s="24" t="n">
        <x:f>F1077+H1077</x:f>
        <x:v>6.538461538461538</x:v>
      </x:c>
      <x:c r="O1077" s="24" t="n">
        <x:f>J1077+L1077</x:f>
        <x:v>12.461538461538462</x:v>
      </x:c>
    </x:row>
    <x:row r="1078">
      <x:c r="A1078" s="22" t="str">
        <x:v>500108105</x:v>
      </x:c>
      <x:c r="B1078" s="17" t="str">
        <x:v>內湖區</x:v>
      </x:c>
      <x:c r="C1078" s="17" t="str">
        <x:v>陽光街161巷口</x:v>
      </x:c>
      <x:c r="D1078" s="18" t="n">
        <x:v>26</x:v>
      </x:c>
      <x:c r="E1078" s="18" t="n">
        <x:v>26</x:v>
      </x:c>
      <x:c r="F1078" s="24" t="n">
        <x:f>IFERROR('各站彙總來源'!F1078/'各站彙總來源'!G1078,"")</x:f>
        <x:v>14.307692307692308</x:v>
      </x:c>
      <x:c r="G1078" s="19" t="n">
        <x:f>'各站彙總來源'!G1078</x:f>
        <x:v>26</x:v>
      </x:c>
      <x:c r="H1078" s="24" t="n">
        <x:f>IFERROR('各站彙總來源'!H1078/'各站彙總來源'!I1078,"")</x:f>
        <x:v>2.0384615384615383</x:v>
      </x:c>
      <x:c r="I1078" s="19" t="n">
        <x:f>'各站彙總來源'!I1078</x:f>
        <x:v>26</x:v>
      </x:c>
      <x:c r="J1078" s="24" t="n">
        <x:f>IFERROR('各站彙總來源'!J1078/'各站彙總來源'!K1078,"")</x:f>
        <x:v>2.269230769230769</x:v>
      </x:c>
      <x:c r="K1078" s="19" t="n">
        <x:f>'各站彙總來源'!K1078</x:f>
        <x:v>26</x:v>
      </x:c>
      <x:c r="L1078" s="24" t="n">
        <x:f>IFERROR('各站彙總來源'!L1078/'各站彙總來源'!M1078,"")</x:f>
        <x:v>1.2307692307692308</x:v>
      </x:c>
      <x:c r="M1078" s="19" t="n">
        <x:f>'各站彙總來源'!M1078</x:f>
        <x:v>26</x:v>
      </x:c>
      <x:c r="N1078" s="24" t="n">
        <x:f>F1078+H1078</x:f>
        <x:v>16.346153846153847</x:v>
      </x:c>
      <x:c r="O1078" s="24" t="n">
        <x:f>J1078+L1078</x:f>
        <x:v>3.5</x:v>
      </x:c>
    </x:row>
    <x:row r="1079">
      <x:c r="A1079" s="22" t="str">
        <x:v>500108106</x:v>
      </x:c>
      <x:c r="B1079" s="17" t="str">
        <x:v>內湖區</x:v>
      </x:c>
      <x:c r="C1079" s="17" t="str">
        <x:v>潭美公園(南京東路六段368巷)</x:v>
      </x:c>
      <x:c r="D1079" s="18" t="n">
        <x:v>26</x:v>
      </x:c>
      <x:c r="E1079" s="18" t="n">
        <x:v>26</x:v>
      </x:c>
      <x:c r="F1079" s="24" t="n">
        <x:f>IFERROR('各站彙總來源'!F1079/'各站彙總來源'!G1079,"")</x:f>
        <x:v>5.653846153846154</x:v>
      </x:c>
      <x:c r="G1079" s="19" t="n">
        <x:f>'各站彙總來源'!G1079</x:f>
        <x:v>26</x:v>
      </x:c>
      <x:c r="H1079" s="24" t="n">
        <x:f>IFERROR('各站彙總來源'!H1079/'各站彙總來源'!I1079,"")</x:f>
        <x:v>2.076923076923077</x:v>
      </x:c>
      <x:c r="I1079" s="19" t="n">
        <x:f>'各站彙總來源'!I1079</x:f>
        <x:v>26</x:v>
      </x:c>
      <x:c r="J1079" s="24" t="n">
        <x:f>IFERROR('各站彙總來源'!J1079/'各站彙總來源'!K1079,"")</x:f>
        <x:v>6.346153846153846</x:v>
      </x:c>
      <x:c r="K1079" s="19" t="n">
        <x:f>'各站彙總來源'!K1079</x:f>
        <x:v>26</x:v>
      </x:c>
      <x:c r="L1079" s="24" t="n">
        <x:f>IFERROR('各站彙總來源'!L1079/'各站彙總來源'!M1079,"")</x:f>
        <x:v>1.6923076923076923</x:v>
      </x:c>
      <x:c r="M1079" s="19" t="n">
        <x:f>'各站彙總來源'!M1079</x:f>
        <x:v>26</x:v>
      </x:c>
      <x:c r="N1079" s="24" t="n">
        <x:f>F1079+H1079</x:f>
        <x:v>7.730769230769232</x:v>
      </x:c>
      <x:c r="O1079" s="24" t="n">
        <x:f>J1079+L1079</x:f>
        <x:v>8.038461538461538</x:v>
      </x:c>
    </x:row>
    <x:row r="1080">
      <x:c r="A1080" s="22" t="str">
        <x:v>500108107</x:v>
      </x:c>
      <x:c r="B1080" s="17" t="str">
        <x:v>內湖區</x:v>
      </x:c>
      <x:c r="C1080" s="17" t="str">
        <x:v>西康二號公園</x:v>
      </x:c>
      <x:c r="D1080" s="18" t="n">
        <x:v>26</x:v>
      </x:c>
      <x:c r="E1080" s="18" t="n">
        <x:v>26</x:v>
      </x:c>
      <x:c r="F1080" s="24" t="n">
        <x:f>IFERROR('各站彙總來源'!F1080/'各站彙總來源'!G1080,"")</x:f>
        <x:v>13.846153846153847</x:v>
      </x:c>
      <x:c r="G1080" s="19" t="n">
        <x:f>'各站彙總來源'!G1080</x:f>
        <x:v>26</x:v>
      </x:c>
      <x:c r="H1080" s="24" t="n">
        <x:f>IFERROR('各站彙總來源'!H1080/'各站彙總來源'!I1080,"")</x:f>
        <x:v>1.5384615384615385</x:v>
      </x:c>
      <x:c r="I1080" s="19" t="n">
        <x:f>'各站彙總來源'!I1080</x:f>
        <x:v>26</x:v>
      </x:c>
      <x:c r="J1080" s="24" t="n">
        <x:f>IFERROR('各站彙總來源'!J1080/'各站彙總來源'!K1080,"")</x:f>
        <x:v>4.269230769230769</x:v>
      </x:c>
      <x:c r="K1080" s="19" t="n">
        <x:f>'各站彙總來源'!K1080</x:f>
        <x:v>26</x:v>
      </x:c>
      <x:c r="L1080" s="24" t="n">
        <x:f>IFERROR('各站彙總來源'!L1080/'各站彙總來源'!M1080,"")</x:f>
        <x:v>0.8461538461538461</x:v>
      </x:c>
      <x:c r="M1080" s="19" t="n">
        <x:f>'各站彙總來源'!M1080</x:f>
        <x:v>26</x:v>
      </x:c>
      <x:c r="N1080" s="24" t="n">
        <x:f>F1080+H1080</x:f>
        <x:v>15.384615384615385</x:v>
      </x:c>
      <x:c r="O1080" s="24" t="n">
        <x:f>J1080+L1080</x:f>
        <x:v>5.115384615384615</x:v>
      </x:c>
    </x:row>
    <x:row r="1081">
      <x:c r="A1081" s="22" t="str">
        <x:v>500108108</x:v>
      </x:c>
      <x:c r="B1081" s="17" t="str">
        <x:v>內湖區</x:v>
      </x:c>
      <x:c r="C1081" s="17" t="str">
        <x:v>三民國中(民權東路六段47巷)</x:v>
      </x:c>
      <x:c r="D1081" s="18" t="n">
        <x:v>26</x:v>
      </x:c>
      <x:c r="E1081" s="18" t="n">
        <x:v>26</x:v>
      </x:c>
      <x:c r="F1081" s="24" t="n">
        <x:f>IFERROR('各站彙總來源'!F1081/'各站彙總來源'!G1081,"")</x:f>
        <x:v>6.230769230769231</x:v>
      </x:c>
      <x:c r="G1081" s="19" t="n">
        <x:f>'各站彙總來源'!G1081</x:f>
        <x:v>26</x:v>
      </x:c>
      <x:c r="H1081" s="24" t="n">
        <x:f>IFERROR('各站彙總來源'!H1081/'各站彙總來源'!I1081,"")</x:f>
        <x:v>0.7692307692307693</x:v>
      </x:c>
      <x:c r="I1081" s="19" t="n">
        <x:f>'各站彙總來源'!I1081</x:f>
        <x:v>26</x:v>
      </x:c>
      <x:c r="J1081" s="24" t="n">
        <x:f>IFERROR('各站彙總來源'!J1081/'各站彙總來源'!K1081,"")</x:f>
        <x:v>4.115384615384615</x:v>
      </x:c>
      <x:c r="K1081" s="19" t="n">
        <x:f>'各站彙總來源'!K1081</x:f>
        <x:v>26</x:v>
      </x:c>
      <x:c r="L1081" s="24" t="n">
        <x:f>IFERROR('各站彙總來源'!L1081/'各站彙總來源'!M1081,"")</x:f>
        <x:v>0.7307692307692307</x:v>
      </x:c>
      <x:c r="M1081" s="19" t="n">
        <x:f>'各站彙總來源'!M1081</x:f>
        <x:v>26</x:v>
      </x:c>
      <x:c r="N1081" s="24" t="n">
        <x:f>F1081+H1081</x:f>
        <x:v>7</x:v>
      </x:c>
      <x:c r="O1081" s="24" t="n">
        <x:f>J1081+L1081</x:f>
        <x:v>4.846153846153846</x:v>
      </x:c>
    </x:row>
    <x:row r="1082">
      <x:c r="A1082" s="22" t="str">
        <x:v>500108109</x:v>
      </x:c>
      <x:c r="B1082" s="17" t="str">
        <x:v>內湖區</x:v>
      </x:c>
      <x:c r="C1082" s="17" t="str">
        <x:v>瑞光路76巷口</x:v>
      </x:c>
      <x:c r="D1082" s="18" t="n">
        <x:v>26</x:v>
      </x:c>
      <x:c r="E1082" s="18" t="n">
        <x:v>26</x:v>
      </x:c>
      <x:c r="F1082" s="24" t="n">
        <x:f>IFERROR('各站彙總來源'!F1082/'各站彙總來源'!G1082,"")</x:f>
        <x:v>3.269230769230769</x:v>
      </x:c>
      <x:c r="G1082" s="19" t="n">
        <x:f>'各站彙總來源'!G1082</x:f>
        <x:v>26</x:v>
      </x:c>
      <x:c r="H1082" s="24" t="n">
        <x:f>IFERROR('各站彙總來源'!H1082/'各站彙總來源'!I1082,"")</x:f>
        <x:v>2.230769230769231</x:v>
      </x:c>
      <x:c r="I1082" s="19" t="n">
        <x:f>'各站彙總來源'!I1082</x:f>
        <x:v>26</x:v>
      </x:c>
      <x:c r="J1082" s="24" t="n">
        <x:f>IFERROR('各站彙總來源'!J1082/'各站彙總來源'!K1082,"")</x:f>
        <x:v>5.884615384615385</x:v>
      </x:c>
      <x:c r="K1082" s="19" t="n">
        <x:f>'各站彙總來源'!K1082</x:f>
        <x:v>26</x:v>
      </x:c>
      <x:c r="L1082" s="24" t="n">
        <x:f>IFERROR('各站彙總來源'!L1082/'各站彙總來源'!M1082,"")</x:f>
        <x:v>3.3846153846153846</x:v>
      </x:c>
      <x:c r="M1082" s="19" t="n">
        <x:f>'各站彙總來源'!M1082</x:f>
        <x:v>26</x:v>
      </x:c>
      <x:c r="N1082" s="24" t="n">
        <x:f>F1082+H1082</x:f>
        <x:v>5.5</x:v>
      </x:c>
      <x:c r="O1082" s="24" t="n">
        <x:f>J1082+L1082</x:f>
        <x:v>9.26923076923077</x:v>
      </x:c>
    </x:row>
    <x:row r="1083">
      <x:c r="A1083" s="22" t="str">
        <x:v>500108110</x:v>
      </x:c>
      <x:c r="B1083" s="17" t="str">
        <x:v>內湖區</x:v>
      </x:c>
      <x:c r="C1083" s="17" t="str">
        <x:v>捷運東湖站</x:v>
      </x:c>
      <x:c r="D1083" s="18" t="n">
        <x:v>26</x:v>
      </x:c>
      <x:c r="E1083" s="18" t="n">
        <x:v>26</x:v>
      </x:c>
      <x:c r="F1083" s="24" t="n">
        <x:f>IFERROR('各站彙總來源'!F1083/'各站彙總來源'!G1083,"")</x:f>
        <x:v>10.346153846153847</x:v>
      </x:c>
      <x:c r="G1083" s="19" t="n">
        <x:f>'各站彙總來源'!G1083</x:f>
        <x:v>26</x:v>
      </x:c>
      <x:c r="H1083" s="24" t="n">
        <x:f>IFERROR('各站彙總來源'!H1083/'各站彙總來源'!I1083,"")</x:f>
        <x:v>0.8846153846153846</x:v>
      </x:c>
      <x:c r="I1083" s="19" t="n">
        <x:f>'各站彙總來源'!I1083</x:f>
        <x:v>26</x:v>
      </x:c>
      <x:c r="J1083" s="24" t="n">
        <x:f>IFERROR('各站彙總來源'!J1083/'各站彙總來源'!K1083,"")</x:f>
        <x:v>28.692307692307693</x:v>
      </x:c>
      <x:c r="K1083" s="19" t="n">
        <x:f>'各站彙總來源'!K1083</x:f>
        <x:v>26</x:v>
      </x:c>
      <x:c r="L1083" s="24" t="n">
        <x:f>IFERROR('各站彙總來源'!L1083/'各站彙總來源'!M1083,"")</x:f>
        <x:v>2.230769230769231</x:v>
      </x:c>
      <x:c r="M1083" s="19" t="n">
        <x:f>'各站彙總來源'!M1083</x:f>
        <x:v>26</x:v>
      </x:c>
      <x:c r="N1083" s="24" t="n">
        <x:f>F1083+H1083</x:f>
        <x:v>11.230769230769232</x:v>
      </x:c>
      <x:c r="O1083" s="24" t="n">
        <x:f>J1083+L1083</x:f>
        <x:v>30.923076923076923</x:v>
      </x:c>
    </x:row>
    <x:row r="1084">
      <x:c r="A1084" s="22" t="str">
        <x:v>500108111</x:v>
      </x:c>
      <x:c r="B1084" s="17" t="str">
        <x:v>內湖區</x:v>
      </x:c>
      <x:c r="C1084" s="17" t="str">
        <x:v>新湖國小</x:v>
      </x:c>
      <x:c r="D1084" s="18" t="n">
        <x:v>26</x:v>
      </x:c>
      <x:c r="E1084" s="18" t="n">
        <x:v>26</x:v>
      </x:c>
      <x:c r="F1084" s="24" t="n">
        <x:f>IFERROR('各站彙總來源'!F1084/'各站彙總來源'!G1084,"")</x:f>
        <x:v>9.576923076923077</x:v>
      </x:c>
      <x:c r="G1084" s="19" t="n">
        <x:f>'各站彙總來源'!G1084</x:f>
        <x:v>26</x:v>
      </x:c>
      <x:c r="H1084" s="24" t="n">
        <x:f>IFERROR('各站彙總來源'!H1084/'各站彙總來源'!I1084,"")</x:f>
        <x:v>0.8846153846153846</x:v>
      </x:c>
      <x:c r="I1084" s="19" t="n">
        <x:f>'各站彙總來源'!I1084</x:f>
        <x:v>26</x:v>
      </x:c>
      <x:c r="J1084" s="24" t="n">
        <x:f>IFERROR('各站彙總來源'!J1084/'各站彙總來源'!K1084,"")</x:f>
        <x:v>5.076923076923077</x:v>
      </x:c>
      <x:c r="K1084" s="19" t="n">
        <x:f>'各站彙總來源'!K1084</x:f>
        <x:v>26</x:v>
      </x:c>
      <x:c r="L1084" s="24" t="n">
        <x:f>IFERROR('各站彙總來源'!L1084/'各站彙總來源'!M1084,"")</x:f>
        <x:v>1</x:v>
      </x:c>
      <x:c r="M1084" s="19" t="n">
        <x:f>'各站彙總來源'!M1084</x:f>
        <x:v>26</x:v>
      </x:c>
      <x:c r="N1084" s="24" t="n">
        <x:f>F1084+H1084</x:f>
        <x:v>10.461538461538462</x:v>
      </x:c>
      <x:c r="O1084" s="24" t="n">
        <x:f>J1084+L1084</x:f>
        <x:v>6.076923076923077</x:v>
      </x:c>
    </x:row>
    <x:row r="1085">
      <x:c r="A1085" s="22" t="str">
        <x:v>500108112</x:v>
      </x:c>
      <x:c r="B1085" s="17" t="str">
        <x:v>內湖區</x:v>
      </x:c>
      <x:c r="C1085" s="17" t="str">
        <x:v>碧山內湖路口</x:v>
      </x:c>
      <x:c r="D1085" s="18" t="n">
        <x:v>26</x:v>
      </x:c>
      <x:c r="E1085" s="18" t="n">
        <x:v>26</x:v>
      </x:c>
      <x:c r="F1085" s="24" t="n">
        <x:f>IFERROR('各站彙總來源'!F1085/'各站彙總來源'!G1085,"")</x:f>
        <x:v>14.23076923076923</x:v>
      </x:c>
      <x:c r="G1085" s="19" t="n">
        <x:f>'各站彙總來源'!G1085</x:f>
        <x:v>26</x:v>
      </x:c>
      <x:c r="H1085" s="24" t="n">
        <x:f>IFERROR('各站彙總來源'!H1085/'各站彙總來源'!I1085,"")</x:f>
        <x:v>1.8846153846153846</x:v>
      </x:c>
      <x:c r="I1085" s="19" t="n">
        <x:f>'各站彙總來源'!I1085</x:f>
        <x:v>26</x:v>
      </x:c>
      <x:c r="J1085" s="24" t="n">
        <x:f>IFERROR('各站彙總來源'!J1085/'各站彙總來源'!K1085,"")</x:f>
        <x:v>3.230769230769231</x:v>
      </x:c>
      <x:c r="K1085" s="19" t="n">
        <x:f>'各站彙總來源'!K1085</x:f>
        <x:v>26</x:v>
      </x:c>
      <x:c r="L1085" s="24" t="n">
        <x:f>IFERROR('各站彙總來源'!L1085/'各站彙總來源'!M1085,"")</x:f>
        <x:v>0.6538461538461539</x:v>
      </x:c>
      <x:c r="M1085" s="19" t="n">
        <x:f>'各站彙總來源'!M1085</x:f>
        <x:v>26</x:v>
      </x:c>
      <x:c r="N1085" s="24" t="n">
        <x:f>F1085+H1085</x:f>
        <x:v>16.115384615384613</x:v>
      </x:c>
      <x:c r="O1085" s="24" t="n">
        <x:f>J1085+L1085</x:f>
        <x:v>3.8846153846153846</x:v>
      </x:c>
    </x:row>
    <x:row r="1086">
      <x:c r="A1086" s="22" t="str">
        <x:v>500108114</x:v>
      </x:c>
      <x:c r="B1086" s="17" t="str">
        <x:v>內湖區</x:v>
      </x:c>
      <x:c r="C1086" s="17" t="str">
        <x:v>安康公園(康寧路三段70巷)</x:v>
      </x:c>
      <x:c r="D1086" s="18" t="n">
        <x:v>26</x:v>
      </x:c>
      <x:c r="E1086" s="18" t="n">
        <x:v>26</x:v>
      </x:c>
      <x:c r="F1086" s="24" t="n">
        <x:f>IFERROR('各站彙總來源'!F1086/'各站彙總來源'!G1086,"")</x:f>
        <x:v>0</x:v>
      </x:c>
      <x:c r="G1086" s="19" t="n">
        <x:f>'各站彙總來源'!G1086</x:f>
        <x:v>26</x:v>
      </x:c>
      <x:c r="H1086" s="24" t="n">
        <x:f>IFERROR('各站彙總來源'!H1086/'各站彙總來源'!I1086,"")</x:f>
        <x:v>0</x:v>
      </x:c>
      <x:c r="I1086" s="19" t="n">
        <x:f>'各站彙總來源'!I1086</x:f>
        <x:v>26</x:v>
      </x:c>
      <x:c r="J1086" s="24" t="n">
        <x:f>IFERROR('各站彙總來源'!J1086/'各站彙總來源'!K1086,"")</x:f>
        <x:v>0</x:v>
      </x:c>
      <x:c r="K1086" s="19" t="n">
        <x:f>'各站彙總來源'!K1086</x:f>
        <x:v>26</x:v>
      </x:c>
      <x:c r="L1086" s="24" t="n">
        <x:f>IFERROR('各站彙總來源'!L1086/'各站彙總來源'!M1086,"")</x:f>
        <x:v>0</x:v>
      </x:c>
      <x:c r="M1086" s="19" t="n">
        <x:f>'各站彙總來源'!M1086</x:f>
        <x:v>26</x:v>
      </x:c>
      <x:c r="N1086" s="24" t="n">
        <x:f>F1086+H1086</x:f>
        <x:v>0</x:v>
      </x:c>
      <x:c r="O1086" s="24" t="n">
        <x:f>J1086+L1086</x:f>
        <x:v>0</x:v>
      </x:c>
    </x:row>
    <x:row r="1087">
      <x:c r="A1087" s="22" t="str">
        <x:v>500108115</x:v>
      </x:c>
      <x:c r="B1087" s="17" t="str">
        <x:v>內湖區</x:v>
      </x:c>
      <x:c r="C1087" s="17" t="str">
        <x:v>民權東路六段413巷</x:v>
      </x:c>
      <x:c r="D1087" s="18" t="n">
        <x:v>26</x:v>
      </x:c>
      <x:c r="E1087" s="18" t="n">
        <x:v>26</x:v>
      </x:c>
      <x:c r="F1087" s="24" t="n">
        <x:f>IFERROR('各站彙總來源'!F1087/'各站彙總來源'!G1087,"")</x:f>
        <x:v>12.115384615384615</x:v>
      </x:c>
      <x:c r="G1087" s="19" t="n">
        <x:f>'各站彙總來源'!G1087</x:f>
        <x:v>26</x:v>
      </x:c>
      <x:c r="H1087" s="24" t="n">
        <x:f>IFERROR('各站彙總來源'!H1087/'各站彙總來源'!I1087,"")</x:f>
        <x:v>3.3461538461538463</x:v>
      </x:c>
      <x:c r="I1087" s="19" t="n">
        <x:f>'各站彙總來源'!I1087</x:f>
        <x:v>26</x:v>
      </x:c>
      <x:c r="J1087" s="24" t="n">
        <x:f>IFERROR('各站彙總來源'!J1087/'各站彙總來源'!K1087,"")</x:f>
        <x:v>6.115384615384615</x:v>
      </x:c>
      <x:c r="K1087" s="19" t="n">
        <x:f>'各站彙總來源'!K1087</x:f>
        <x:v>26</x:v>
      </x:c>
      <x:c r="L1087" s="24" t="n">
        <x:f>IFERROR('各站彙總來源'!L1087/'各站彙總來源'!M1087,"")</x:f>
        <x:v>2.5384615384615383</x:v>
      </x:c>
      <x:c r="M1087" s="19" t="n">
        <x:f>'各站彙總來源'!M1087</x:f>
        <x:v>26</x:v>
      </x:c>
      <x:c r="N1087" s="24" t="n">
        <x:f>F1087+H1087</x:f>
        <x:v>15.461538461538462</x:v>
      </x:c>
      <x:c r="O1087" s="24" t="n">
        <x:f>J1087+L1087</x:f>
        <x:v>8.653846153846153</x:v>
      </x:c>
    </x:row>
    <x:row r="1088">
      <x:c r="A1088" s="22" t="str">
        <x:v>500108116</x:v>
      </x:c>
      <x:c r="B1088" s="17" t="str">
        <x:v>內湖區</x:v>
      </x:c>
      <x:c r="C1088" s="17" t="str">
        <x:v>宏匯瑞光廣場(瑞光路)</x:v>
      </x:c>
      <x:c r="D1088" s="18" t="n">
        <x:v>26</x:v>
      </x:c>
      <x:c r="E1088" s="18" t="n">
        <x:v>26</x:v>
      </x:c>
      <x:c r="F1088" s="24" t="n">
        <x:f>IFERROR('各站彙總來源'!F1088/'各站彙總來源'!G1088,"")</x:f>
        <x:v>3.769230769230769</x:v>
      </x:c>
      <x:c r="G1088" s="19" t="n">
        <x:f>'各站彙總來源'!G1088</x:f>
        <x:v>26</x:v>
      </x:c>
      <x:c r="H1088" s="24" t="n">
        <x:f>IFERROR('各站彙總來源'!H1088/'各站彙總來源'!I1088,"")</x:f>
        <x:v>0.3076923076923077</x:v>
      </x:c>
      <x:c r="I1088" s="19" t="n">
        <x:f>'各站彙總來源'!I1088</x:f>
        <x:v>26</x:v>
      </x:c>
      <x:c r="J1088" s="24" t="n">
        <x:f>IFERROR('各站彙總來源'!J1088/'各站彙總來源'!K1088,"")</x:f>
        <x:v>13.423076923076923</x:v>
      </x:c>
      <x:c r="K1088" s="19" t="n">
        <x:f>'各站彙總來源'!K1088</x:f>
        <x:v>26</x:v>
      </x:c>
      <x:c r="L1088" s="24" t="n">
        <x:f>IFERROR('各站彙總來源'!L1088/'各站彙總來源'!M1088,"")</x:f>
        <x:v>2.1538461538461537</x:v>
      </x:c>
      <x:c r="M1088" s="19" t="n">
        <x:f>'各站彙總來源'!M1088</x:f>
        <x:v>26</x:v>
      </x:c>
      <x:c r="N1088" s="24" t="n">
        <x:f>F1088+H1088</x:f>
        <x:v>4.076923076923077</x:v>
      </x:c>
      <x:c r="O1088" s="24" t="n">
        <x:f>J1088+L1088</x:f>
        <x:v>15.576923076923077</x:v>
      </x:c>
    </x:row>
    <x:row r="1089">
      <x:c r="A1089" s="22" t="str">
        <x:v>500108117</x:v>
      </x:c>
      <x:c r="B1089" s="17" t="str">
        <x:v>內湖區</x:v>
      </x:c>
      <x:c r="C1089" s="17" t="str">
        <x:v>宏匯瑞光廣場(港墘路)</x:v>
      </x:c>
      <x:c r="D1089" s="18" t="n">
        <x:v>26</x:v>
      </x:c>
      <x:c r="E1089" s="18" t="n">
        <x:v>26</x:v>
      </x:c>
      <x:c r="F1089" s="24" t="n">
        <x:f>IFERROR('各站彙總來源'!F1089/'各站彙總來源'!G1089,"")</x:f>
        <x:v>10.576923076923077</x:v>
      </x:c>
      <x:c r="G1089" s="19" t="n">
        <x:f>'各站彙總來源'!G1089</x:f>
        <x:v>26</x:v>
      </x:c>
      <x:c r="H1089" s="24" t="n">
        <x:f>IFERROR('各站彙總來源'!H1089/'各站彙總來源'!I1089,"")</x:f>
        <x:v>0.8076923076923077</x:v>
      </x:c>
      <x:c r="I1089" s="19" t="n">
        <x:f>'各站彙總來源'!I1089</x:f>
        <x:v>26</x:v>
      </x:c>
      <x:c r="J1089" s="24" t="n">
        <x:f>IFERROR('各站彙總來源'!J1089/'各站彙總來源'!K1089,"")</x:f>
        <x:v>6.115384615384615</x:v>
      </x:c>
      <x:c r="K1089" s="19" t="n">
        <x:f>'各站彙總來源'!K1089</x:f>
        <x:v>26</x:v>
      </x:c>
      <x:c r="L1089" s="24" t="n">
        <x:f>IFERROR('各站彙總來源'!L1089/'各站彙總來源'!M1089,"")</x:f>
        <x:v>2.730769230769231</x:v>
      </x:c>
      <x:c r="M1089" s="19" t="n">
        <x:f>'各站彙總來源'!M1089</x:f>
        <x:v>26</x:v>
      </x:c>
      <x:c r="N1089" s="24" t="n">
        <x:f>F1089+H1089</x:f>
        <x:v>11.384615384615385</x:v>
      </x:c>
      <x:c r="O1089" s="24" t="n">
        <x:f>J1089+L1089</x:f>
        <x:v>8.846153846153847</x:v>
      </x:c>
    </x:row>
    <x:row r="1090">
      <x:c r="A1090" s="22" t="str">
        <x:v>500108118</x:v>
      </x:c>
      <x:c r="B1090" s="17" t="str">
        <x:v>內湖區</x:v>
      </x:c>
      <x:c r="C1090" s="17" t="str">
        <x:v>康樂街151巷</x:v>
      </x:c>
      <x:c r="D1090" s="18" t="n">
        <x:v>26</x:v>
      </x:c>
      <x:c r="E1090" s="18" t="n">
        <x:v>26</x:v>
      </x:c>
      <x:c r="F1090" s="24" t="n">
        <x:f>IFERROR('各站彙總來源'!F1090/'各站彙總來源'!G1090,"")</x:f>
        <x:v>11.461538461538462</x:v>
      </x:c>
      <x:c r="G1090" s="19" t="n">
        <x:f>'各站彙總來源'!G1090</x:f>
        <x:v>26</x:v>
      </x:c>
      <x:c r="H1090" s="24" t="n">
        <x:f>IFERROR('各站彙總來源'!H1090/'各站彙總來源'!I1090,"")</x:f>
        <x:v>1.3076923076923077</x:v>
      </x:c>
      <x:c r="I1090" s="19" t="n">
        <x:f>'各站彙總來源'!I1090</x:f>
        <x:v>26</x:v>
      </x:c>
      <x:c r="J1090" s="24" t="n">
        <x:f>IFERROR('各站彙總來源'!J1090/'各站彙總來源'!K1090,"")</x:f>
        <x:v>6.923076923076923</x:v>
      </x:c>
      <x:c r="K1090" s="19" t="n">
        <x:f>'各站彙總來源'!K1090</x:f>
        <x:v>26</x:v>
      </x:c>
      <x:c r="L1090" s="24" t="n">
        <x:f>IFERROR('各站彙總來源'!L1090/'各站彙總來源'!M1090,"")</x:f>
        <x:v>0.46153846153846156</x:v>
      </x:c>
      <x:c r="M1090" s="19" t="n">
        <x:f>'各站彙總來源'!M1090</x:f>
        <x:v>26</x:v>
      </x:c>
      <x:c r="N1090" s="24" t="n">
        <x:f>F1090+H1090</x:f>
        <x:v>12.76923076923077</x:v>
      </x:c>
      <x:c r="O1090" s="24" t="n">
        <x:f>J1090+L1090</x:f>
        <x:v>7.384615384615385</x:v>
      </x:c>
    </x:row>
    <x:row r="1091">
      <x:c r="A1091" s="22" t="str">
        <x:v>500108119</x:v>
      </x:c>
      <x:c r="B1091" s="17" t="str">
        <x:v>內湖區</x:v>
      </x:c>
      <x:c r="C1091" s="17" t="str">
        <x:v>內湖路一段360巷</x:v>
      </x:c>
      <x:c r="D1091" s="18" t="n">
        <x:v>26</x:v>
      </x:c>
      <x:c r="E1091" s="18" t="n">
        <x:v>26</x:v>
      </x:c>
      <x:c r="F1091" s="24" t="n">
        <x:f>IFERROR('各站彙總來源'!F1091/'各站彙總來源'!G1091,"")</x:f>
        <x:v>2.3846153846153846</x:v>
      </x:c>
      <x:c r="G1091" s="19" t="n">
        <x:f>'各站彙總來源'!G1091</x:f>
        <x:v>26</x:v>
      </x:c>
      <x:c r="H1091" s="24" t="n">
        <x:f>IFERROR('各站彙總來源'!H1091/'各站彙總來源'!I1091,"")</x:f>
        <x:v>0.8461538461538461</x:v>
      </x:c>
      <x:c r="I1091" s="19" t="n">
        <x:f>'各站彙總來源'!I1091</x:f>
        <x:v>26</x:v>
      </x:c>
      <x:c r="J1091" s="24" t="n">
        <x:f>IFERROR('各站彙總來源'!J1091/'各站彙總來源'!K1091,"")</x:f>
        <x:v>6.615384615384615</x:v>
      </x:c>
      <x:c r="K1091" s="19" t="n">
        <x:f>'各站彙總來源'!K1091</x:f>
        <x:v>26</x:v>
      </x:c>
      <x:c r="L1091" s="24" t="n">
        <x:f>IFERROR('各站彙總來源'!L1091/'各站彙總來源'!M1091,"")</x:f>
        <x:v>2.1923076923076925</x:v>
      </x:c>
      <x:c r="M1091" s="19" t="n">
        <x:f>'各站彙總來源'!M1091</x:f>
        <x:v>26</x:v>
      </x:c>
      <x:c r="N1091" s="24" t="n">
        <x:f>F1091+H1091</x:f>
        <x:v>3.230769230769231</x:v>
      </x:c>
      <x:c r="O1091" s="24" t="n">
        <x:f>J1091+L1091</x:f>
        <x:v>8.807692307692307</x:v>
      </x:c>
    </x:row>
    <x:row r="1092">
      <x:c r="A1092" s="22" t="str">
        <x:v>500108120</x:v>
      </x:c>
      <x:c r="B1092" s="17" t="str">
        <x:v>內湖區</x:v>
      </x:c>
      <x:c r="C1092" s="17" t="str">
        <x:v>成功路三段83號前</x:v>
      </x:c>
      <x:c r="D1092" s="18" t="n">
        <x:v>26</x:v>
      </x:c>
      <x:c r="E1092" s="18" t="n">
        <x:v>26</x:v>
      </x:c>
      <x:c r="F1092" s="24" t="n">
        <x:f>IFERROR('各站彙總來源'!F1092/'各站彙總來源'!G1092,"")</x:f>
        <x:v>7.269230769230769</x:v>
      </x:c>
      <x:c r="G1092" s="19" t="n">
        <x:f>'各站彙總來源'!G1092</x:f>
        <x:v>26</x:v>
      </x:c>
      <x:c r="H1092" s="24" t="n">
        <x:f>IFERROR('各站彙總來源'!H1092/'各站彙總來源'!I1092,"")</x:f>
        <x:v>2.269230769230769</x:v>
      </x:c>
      <x:c r="I1092" s="19" t="n">
        <x:f>'各站彙總來源'!I1092</x:f>
        <x:v>26</x:v>
      </x:c>
      <x:c r="J1092" s="24" t="n">
        <x:f>IFERROR('各站彙總來源'!J1092/'各站彙總來源'!K1092,"")</x:f>
        <x:v>4.115384615384615</x:v>
      </x:c>
      <x:c r="K1092" s="19" t="n">
        <x:f>'各站彙總來源'!K1092</x:f>
        <x:v>26</x:v>
      </x:c>
      <x:c r="L1092" s="24" t="n">
        <x:f>IFERROR('各站彙總來源'!L1092/'各站彙總來源'!M1092,"")</x:f>
        <x:v>1.5769230769230769</x:v>
      </x:c>
      <x:c r="M1092" s="19" t="n">
        <x:f>'各站彙總來源'!M1092</x:f>
        <x:v>26</x:v>
      </x:c>
      <x:c r="N1092" s="24" t="n">
        <x:f>F1092+H1092</x:f>
        <x:v>9.538461538461538</x:v>
      </x:c>
      <x:c r="O1092" s="24" t="n">
        <x:f>J1092+L1092</x:f>
        <x:v>5.692307692307692</x:v>
      </x:c>
    </x:row>
    <x:row r="1093">
      <x:c r="A1093" s="22" t="str">
        <x:v>500108121</x:v>
      </x:c>
      <x:c r="B1093" s="17" t="str">
        <x:v>內湖區</x:v>
      </x:c>
      <x:c r="C1093" s="17" t="str">
        <x:v>內湖路一段47巷</x:v>
      </x:c>
      <x:c r="D1093" s="18" t="n">
        <x:v>26</x:v>
      </x:c>
      <x:c r="E1093" s="18" t="n">
        <x:v>26</x:v>
      </x:c>
      <x:c r="F1093" s="24" t="n">
        <x:f>IFERROR('各站彙總來源'!F1093/'各站彙總來源'!G1093,"")</x:f>
        <x:v>10.346153846153847</x:v>
      </x:c>
      <x:c r="G1093" s="19" t="n">
        <x:f>'各站彙總來源'!G1093</x:f>
        <x:v>26</x:v>
      </x:c>
      <x:c r="H1093" s="24" t="n">
        <x:f>IFERROR('各站彙總來源'!H1093/'各站彙總來源'!I1093,"")</x:f>
        <x:v>6.6923076923076925</x:v>
      </x:c>
      <x:c r="I1093" s="19" t="n">
        <x:f>'各站彙總來源'!I1093</x:f>
        <x:v>26</x:v>
      </x:c>
      <x:c r="J1093" s="24" t="n">
        <x:f>IFERROR('各站彙總來源'!J1093/'各站彙總來源'!K1093,"")</x:f>
        <x:v>2.8076923076923075</x:v>
      </x:c>
      <x:c r="K1093" s="19" t="n">
        <x:f>'各站彙總來源'!K1093</x:f>
        <x:v>26</x:v>
      </x:c>
      <x:c r="L1093" s="24" t="n">
        <x:f>IFERROR('各站彙總來源'!L1093/'各站彙總來源'!M1093,"")</x:f>
        <x:v>1.5384615384615385</x:v>
      </x:c>
      <x:c r="M1093" s="19" t="n">
        <x:f>'各站彙總來源'!M1093</x:f>
        <x:v>26</x:v>
      </x:c>
      <x:c r="N1093" s="24" t="n">
        <x:f>F1093+H1093</x:f>
        <x:v>17.03846153846154</x:v>
      </x:c>
      <x:c r="O1093" s="24" t="n">
        <x:f>J1093+L1093</x:f>
        <x:v>4.346153846153846</x:v>
      </x:c>
    </x:row>
    <x:row r="1094">
      <x:c r="A1094" s="22" t="str">
        <x:v>500108122</x:v>
      </x:c>
      <x:c r="B1094" s="17" t="str">
        <x:v>內湖區</x:v>
      </x:c>
      <x:c r="C1094" s="17" t="str">
        <x:v>陽光舊宗路口</x:v>
      </x:c>
      <x:c r="D1094" s="18" t="n">
        <x:v>26</x:v>
      </x:c>
      <x:c r="E1094" s="18" t="n">
        <x:v>26</x:v>
      </x:c>
      <x:c r="F1094" s="24" t="n">
        <x:f>IFERROR('各站彙總來源'!F1094/'各站彙總來源'!G1094,"")</x:f>
        <x:v>2.923076923076923</x:v>
      </x:c>
      <x:c r="G1094" s="19" t="n">
        <x:f>'各站彙總來源'!G1094</x:f>
        <x:v>26</x:v>
      </x:c>
      <x:c r="H1094" s="24" t="n">
        <x:f>IFERROR('各站彙總來源'!H1094/'各站彙總來源'!I1094,"")</x:f>
        <x:v>0.46153846153846156</x:v>
      </x:c>
      <x:c r="I1094" s="19" t="n">
        <x:f>'各站彙總來源'!I1094</x:f>
        <x:v>26</x:v>
      </x:c>
      <x:c r="J1094" s="24" t="n">
        <x:f>IFERROR('各站彙總來源'!J1094/'各站彙總來源'!K1094,"")</x:f>
        <x:v>28.5</x:v>
      </x:c>
      <x:c r="K1094" s="19" t="n">
        <x:f>'各站彙總來源'!K1094</x:f>
        <x:v>26</x:v>
      </x:c>
      <x:c r="L1094" s="24" t="n">
        <x:f>IFERROR('各站彙總來源'!L1094/'各站彙總來源'!M1094,"")</x:f>
        <x:v>1.9615384615384615</x:v>
      </x:c>
      <x:c r="M1094" s="19" t="n">
        <x:f>'各站彙總來源'!M1094</x:f>
        <x:v>26</x:v>
      </x:c>
      <x:c r="N1094" s="24" t="n">
        <x:f>F1094+H1094</x:f>
        <x:v>3.3846153846153846</x:v>
      </x:c>
      <x:c r="O1094" s="24" t="n">
        <x:f>J1094+L1094</x:f>
        <x:v>30.46153846153846</x:v>
      </x:c>
    </x:row>
    <x:row r="1095">
      <x:c r="A1095" s="22" t="str">
        <x:v>500108123</x:v>
      </x:c>
      <x:c r="B1095" s="17" t="str">
        <x:v>內湖區</x:v>
      </x:c>
      <x:c r="C1095" s="17" t="str">
        <x:v>安湖公園</x:v>
      </x:c>
      <x:c r="D1095" s="18" t="n">
        <x:v>26</x:v>
      </x:c>
      <x:c r="E1095" s="18" t="n">
        <x:v>26</x:v>
      </x:c>
      <x:c r="F1095" s="24" t="n">
        <x:f>IFERROR('各站彙總來源'!F1095/'各站彙總來源'!G1095,"")</x:f>
        <x:v>4.8076923076923075</x:v>
      </x:c>
      <x:c r="G1095" s="19" t="n">
        <x:f>'各站彙總來源'!G1095</x:f>
        <x:v>26</x:v>
      </x:c>
      <x:c r="H1095" s="24" t="n">
        <x:f>IFERROR('各站彙總來源'!H1095/'各站彙總來源'!I1095,"")</x:f>
        <x:v>3.8076923076923075</x:v>
      </x:c>
      <x:c r="I1095" s="19" t="n">
        <x:f>'各站彙總來源'!I1095</x:f>
        <x:v>26</x:v>
      </x:c>
      <x:c r="J1095" s="24" t="n">
        <x:f>IFERROR('各站彙總來源'!J1095/'各站彙總來源'!K1095,"")</x:f>
        <x:v>3.230769230769231</x:v>
      </x:c>
      <x:c r="K1095" s="19" t="n">
        <x:f>'各站彙總來源'!K1095</x:f>
        <x:v>26</x:v>
      </x:c>
      <x:c r="L1095" s="24" t="n">
        <x:f>IFERROR('各站彙總來源'!L1095/'各站彙總來源'!M1095,"")</x:f>
        <x:v>1.6538461538461537</x:v>
      </x:c>
      <x:c r="M1095" s="19" t="n">
        <x:f>'各站彙總來源'!M1095</x:f>
        <x:v>26</x:v>
      </x:c>
      <x:c r="N1095" s="24" t="n">
        <x:f>F1095+H1095</x:f>
        <x:v>8.615384615384615</x:v>
      </x:c>
      <x:c r="O1095" s="24" t="n">
        <x:f>J1095+L1095</x:f>
        <x:v>4.884615384615385</x:v>
      </x:c>
    </x:row>
    <x:row r="1096">
      <x:c r="A1096" s="22" t="str">
        <x:v>500108124</x:v>
      </x:c>
      <x:c r="B1096" s="17" t="str">
        <x:v>內湖區</x:v>
      </x:c>
      <x:c r="C1096" s="17" t="str">
        <x:v>湖興公園</x:v>
      </x:c>
      <x:c r="D1096" s="18" t="n">
        <x:v>26</x:v>
      </x:c>
      <x:c r="E1096" s="18" t="n">
        <x:v>26</x:v>
      </x:c>
      <x:c r="F1096" s="24" t="n">
        <x:f>IFERROR('各站彙總來源'!F1096/'各站彙總來源'!G1096,"")</x:f>
        <x:v>9.923076923076923</x:v>
      </x:c>
      <x:c r="G1096" s="19" t="n">
        <x:f>'各站彙總來源'!G1096</x:f>
        <x:v>26</x:v>
      </x:c>
      <x:c r="H1096" s="24" t="n">
        <x:f>IFERROR('各站彙總來源'!H1096/'各站彙總來源'!I1096,"")</x:f>
        <x:v>3</x:v>
      </x:c>
      <x:c r="I1096" s="19" t="n">
        <x:f>'各站彙總來源'!I1096</x:f>
        <x:v>26</x:v>
      </x:c>
      <x:c r="J1096" s="24" t="n">
        <x:f>IFERROR('各站彙總來源'!J1096/'各站彙總來源'!K1096,"")</x:f>
        <x:v>3.0384615384615383</x:v>
      </x:c>
      <x:c r="K1096" s="19" t="n">
        <x:f>'各站彙總來源'!K1096</x:f>
        <x:v>26</x:v>
      </x:c>
      <x:c r="L1096" s="24" t="n">
        <x:f>IFERROR('各站彙總來源'!L1096/'各站彙總來源'!M1096,"")</x:f>
        <x:v>1</x:v>
      </x:c>
      <x:c r="M1096" s="19" t="n">
        <x:f>'各站彙總來源'!M1096</x:f>
        <x:v>26</x:v>
      </x:c>
      <x:c r="N1096" s="24" t="n">
        <x:f>F1096+H1096</x:f>
        <x:v>12.923076923076923</x:v>
      </x:c>
      <x:c r="O1096" s="24" t="n">
        <x:f>J1096+L1096</x:f>
        <x:v>4.038461538461538</x:v>
      </x:c>
    </x:row>
    <x:row r="1097">
      <x:c r="A1097" s="22" t="str">
        <x:v>500108125</x:v>
      </x:c>
      <x:c r="B1097" s="17" t="str">
        <x:v>內湖區</x:v>
      </x:c>
      <x:c r="C1097" s="17" t="str">
        <x:v>安泰公園</x:v>
      </x:c>
      <x:c r="D1097" s="18" t="n">
        <x:v>26</x:v>
      </x:c>
      <x:c r="E1097" s="18" t="n">
        <x:v>26</x:v>
      </x:c>
      <x:c r="F1097" s="24" t="n">
        <x:f>IFERROR('各站彙總來源'!F1097/'各站彙總來源'!G1097,"")</x:f>
        <x:v>6.076923076923077</x:v>
      </x:c>
      <x:c r="G1097" s="19" t="n">
        <x:f>'各站彙總來源'!G1097</x:f>
        <x:v>26</x:v>
      </x:c>
      <x:c r="H1097" s="24" t="n">
        <x:f>IFERROR('各站彙總來源'!H1097/'各站彙總來源'!I1097,"")</x:f>
        <x:v>1.8846153846153846</x:v>
      </x:c>
      <x:c r="I1097" s="19" t="n">
        <x:f>'各站彙總來源'!I1097</x:f>
        <x:v>26</x:v>
      </x:c>
      <x:c r="J1097" s="24" t="n">
        <x:f>IFERROR('各站彙總來源'!J1097/'各站彙總來源'!K1097,"")</x:f>
        <x:v>3.730769230769231</x:v>
      </x:c>
      <x:c r="K1097" s="19" t="n">
        <x:f>'各站彙總來源'!K1097</x:f>
        <x:v>26</x:v>
      </x:c>
      <x:c r="L1097" s="24" t="n">
        <x:f>IFERROR('各站彙總來源'!L1097/'各站彙總來源'!M1097,"")</x:f>
        <x:v>1.1153846153846154</x:v>
      </x:c>
      <x:c r="M1097" s="19" t="n">
        <x:f>'各站彙總來源'!M1097</x:f>
        <x:v>26</x:v>
      </x:c>
      <x:c r="N1097" s="24" t="n">
        <x:f>F1097+H1097</x:f>
        <x:v>7.961538461538462</x:v>
      </x:c>
      <x:c r="O1097" s="24" t="n">
        <x:f>J1097+L1097</x:f>
        <x:v>4.846153846153847</x:v>
      </x:c>
    </x:row>
    <x:row r="1098">
      <x:c r="A1098" s="22" t="str">
        <x:v>500108126</x:v>
      </x:c>
      <x:c r="B1098" s="17" t="str">
        <x:v>內湖區</x:v>
      </x:c>
      <x:c r="C1098" s="17" t="str">
        <x:v>安泰街(康樂橋下)</x:v>
      </x:c>
      <x:c r="D1098" s="18" t="n">
        <x:v>26</x:v>
      </x:c>
      <x:c r="E1098" s="18" t="n">
        <x:v>26</x:v>
      </x:c>
      <x:c r="F1098" s="24" t="n">
        <x:f>IFERROR('各站彙總來源'!F1098/'各站彙總來源'!G1098,"")</x:f>
        <x:v>9.23076923076923</x:v>
      </x:c>
      <x:c r="G1098" s="19" t="n">
        <x:f>'各站彙總來源'!G1098</x:f>
        <x:v>26</x:v>
      </x:c>
      <x:c r="H1098" s="24" t="n">
        <x:f>IFERROR('各站彙總來源'!H1098/'各站彙總來源'!I1098,"")</x:f>
        <x:v>2.923076923076923</x:v>
      </x:c>
      <x:c r="I1098" s="19" t="n">
        <x:f>'各站彙總來源'!I1098</x:f>
        <x:v>26</x:v>
      </x:c>
      <x:c r="J1098" s="24" t="n">
        <x:f>IFERROR('各站彙總來源'!J1098/'各站彙總來源'!K1098,"")</x:f>
        <x:v>7.461538461538462</x:v>
      </x:c>
      <x:c r="K1098" s="19" t="n">
        <x:f>'各站彙總來源'!K1098</x:f>
        <x:v>26</x:v>
      </x:c>
      <x:c r="L1098" s="24" t="n">
        <x:f>IFERROR('各站彙總來源'!L1098/'各站彙總來源'!M1098,"")</x:f>
        <x:v>1.7307692307692308</x:v>
      </x:c>
      <x:c r="M1098" s="19" t="n">
        <x:f>'各站彙總來源'!M1098</x:f>
        <x:v>26</x:v>
      </x:c>
      <x:c r="N1098" s="24" t="n">
        <x:f>F1098+H1098</x:f>
        <x:v>12.153846153846153</x:v>
      </x:c>
      <x:c r="O1098" s="24" t="n">
        <x:f>J1098+L1098</x:f>
        <x:v>9.192307692307693</x:v>
      </x:c>
    </x:row>
    <x:row r="1099">
      <x:c r="A1099" s="22" t="str">
        <x:v>500108127</x:v>
      </x:c>
      <x:c r="B1099" s="17" t="str">
        <x:v>內湖區</x:v>
      </x:c>
      <x:c r="C1099" s="17" t="str">
        <x:v>康樂綠地</x:v>
      </x:c>
      <x:c r="D1099" s="18" t="n">
        <x:v>26</x:v>
      </x:c>
      <x:c r="E1099" s="18" t="n">
        <x:v>26</x:v>
      </x:c>
      <x:c r="F1099" s="24" t="n">
        <x:f>IFERROR('各站彙總來源'!F1099/'各站彙總來源'!G1099,"")</x:f>
        <x:v>9.76923076923077</x:v>
      </x:c>
      <x:c r="G1099" s="19" t="n">
        <x:f>'各站彙總來源'!G1099</x:f>
        <x:v>26</x:v>
      </x:c>
      <x:c r="H1099" s="24" t="n">
        <x:f>IFERROR('各站彙總來源'!H1099/'各站彙總來源'!I1099,"")</x:f>
        <x:v>1.3461538461538463</x:v>
      </x:c>
      <x:c r="I1099" s="19" t="n">
        <x:f>'各站彙總來源'!I1099</x:f>
        <x:v>26</x:v>
      </x:c>
      <x:c r="J1099" s="24" t="n">
        <x:f>IFERROR('各站彙總來源'!J1099/'各站彙總來源'!K1099,"")</x:f>
        <x:v>6.884615384615385</x:v>
      </x:c>
      <x:c r="K1099" s="19" t="n">
        <x:f>'各站彙總來源'!K1099</x:f>
        <x:v>26</x:v>
      </x:c>
      <x:c r="L1099" s="24" t="n">
        <x:f>IFERROR('各站彙總來源'!L1099/'各站彙總來源'!M1099,"")</x:f>
        <x:v>0.9230769230769231</x:v>
      </x:c>
      <x:c r="M1099" s="19" t="n">
        <x:f>'各站彙總來源'!M1099</x:f>
        <x:v>26</x:v>
      </x:c>
      <x:c r="N1099" s="24" t="n">
        <x:f>F1099+H1099</x:f>
        <x:v>11.115384615384617</x:v>
      </x:c>
      <x:c r="O1099" s="24" t="n">
        <x:f>J1099+L1099</x:f>
        <x:v>7.807692307692308</x:v>
      </x:c>
    </x:row>
    <x:row r="1100">
      <x:c r="A1100" s="22" t="str">
        <x:v>500108128</x:v>
      </x:c>
      <x:c r="B1100" s="17" t="str">
        <x:v>內湖區</x:v>
      </x:c>
      <x:c r="C1100" s="17" t="str">
        <x:v>捷運港墘站(1號出口)</x:v>
      </x:c>
      <x:c r="D1100" s="18" t="n">
        <x:v>26</x:v>
      </x:c>
      <x:c r="E1100" s="18" t="n">
        <x:v>26</x:v>
      </x:c>
      <x:c r="F1100" s="24" t="n">
        <x:f>IFERROR('各站彙總來源'!F1100/'各站彙總來源'!G1100,"")</x:f>
        <x:v>7.576923076923077</x:v>
      </x:c>
      <x:c r="G1100" s="19" t="n">
        <x:f>'各站彙總來源'!G1100</x:f>
        <x:v>26</x:v>
      </x:c>
      <x:c r="H1100" s="24" t="n">
        <x:f>IFERROR('各站彙總來源'!H1100/'各站彙總來源'!I1100,"")</x:f>
        <x:v>1</x:v>
      </x:c>
      <x:c r="I1100" s="19" t="n">
        <x:f>'各站彙總來源'!I1100</x:f>
        <x:v>26</x:v>
      </x:c>
      <x:c r="J1100" s="24" t="n">
        <x:f>IFERROR('各站彙總來源'!J1100/'各站彙總來源'!K1100,"")</x:f>
        <x:v>9.807692307692308</x:v>
      </x:c>
      <x:c r="K1100" s="19" t="n">
        <x:f>'各站彙總來源'!K1100</x:f>
        <x:v>26</x:v>
      </x:c>
      <x:c r="L1100" s="24" t="n">
        <x:f>IFERROR('各站彙總來源'!L1100/'各站彙總來源'!M1100,"")</x:f>
        <x:v>1.9615384615384615</x:v>
      </x:c>
      <x:c r="M1100" s="19" t="n">
        <x:f>'各站彙總來源'!M1100</x:f>
        <x:v>26</x:v>
      </x:c>
      <x:c r="N1100" s="24" t="n">
        <x:f>F1100+H1100</x:f>
        <x:v>8.576923076923077</x:v>
      </x:c>
      <x:c r="O1100" s="24" t="n">
        <x:f>J1100+L1100</x:f>
        <x:v>11.76923076923077</x:v>
      </x:c>
    </x:row>
    <x:row r="1101">
      <x:c r="A1101" s="22" t="str">
        <x:v>500108129</x:v>
      </x:c>
      <x:c r="B1101" s="17" t="str">
        <x:v>內湖區</x:v>
      </x:c>
      <x:c r="C1101" s="17" t="str">
        <x:v>明美公園(行善路333巷)</x:v>
      </x:c>
      <x:c r="D1101" s="18" t="n">
        <x:v>26</x:v>
      </x:c>
      <x:c r="E1101" s="18" t="n">
        <x:v>26</x:v>
      </x:c>
      <x:c r="F1101" s="24" t="n">
        <x:f>IFERROR('各站彙總來源'!F1101/'各站彙總來源'!G1101,"")</x:f>
        <x:v>18.807692307692307</x:v>
      </x:c>
      <x:c r="G1101" s="19" t="n">
        <x:f>'各站彙總來源'!G1101</x:f>
        <x:v>26</x:v>
      </x:c>
      <x:c r="H1101" s="24" t="n">
        <x:f>IFERROR('各站彙總來源'!H1101/'各站彙總來源'!I1101,"")</x:f>
        <x:v>2.1923076923076925</x:v>
      </x:c>
      <x:c r="I1101" s="19" t="n">
        <x:f>'各站彙總來源'!I1101</x:f>
        <x:v>26</x:v>
      </x:c>
      <x:c r="J1101" s="24" t="n">
        <x:f>IFERROR('各站彙總來源'!J1101/'各站彙總來源'!K1101,"")</x:f>
        <x:v>3.769230769230769</x:v>
      </x:c>
      <x:c r="K1101" s="19" t="n">
        <x:f>'各站彙總來源'!K1101</x:f>
        <x:v>26</x:v>
      </x:c>
      <x:c r="L1101" s="24" t="n">
        <x:f>IFERROR('各站彙總來源'!L1101/'各站彙總來源'!M1101,"")</x:f>
        <x:v>1.5</x:v>
      </x:c>
      <x:c r="M1101" s="19" t="n">
        <x:f>'各站彙總來源'!M1101</x:f>
        <x:v>26</x:v>
      </x:c>
      <x:c r="N1101" s="24" t="n">
        <x:f>F1101+H1101</x:f>
        <x:v>21</x:v>
      </x:c>
      <x:c r="O1101" s="24" t="n">
        <x:f>J1101+L1101</x:f>
        <x:v>5.269230769230769</x:v>
      </x:c>
    </x:row>
    <x:row r="1102">
      <x:c r="A1102" s="22" t="str">
        <x:v>500108130</x:v>
      </x:c>
      <x:c r="B1102" s="17" t="str">
        <x:v>內湖區</x:v>
      </x:c>
      <x:c r="C1102" s="17" t="str">
        <x:v>行善路383巷</x:v>
      </x:c>
      <x:c r="D1102" s="18" t="n">
        <x:v>26</x:v>
      </x:c>
      <x:c r="E1102" s="18" t="n">
        <x:v>26</x:v>
      </x:c>
      <x:c r="F1102" s="24" t="n">
        <x:f>IFERROR('各站彙總來源'!F1102/'各站彙總來源'!G1102,"")</x:f>
        <x:v>0</x:v>
      </x:c>
      <x:c r="G1102" s="19" t="n">
        <x:f>'各站彙總來源'!G1102</x:f>
        <x:v>26</x:v>
      </x:c>
      <x:c r="H1102" s="24" t="n">
        <x:f>IFERROR('各站彙總來源'!H1102/'各站彙總來源'!I1102,"")</x:f>
        <x:v>0</x:v>
      </x:c>
      <x:c r="I1102" s="19" t="n">
        <x:f>'各站彙總來源'!I1102</x:f>
        <x:v>26</x:v>
      </x:c>
      <x:c r="J1102" s="24" t="n">
        <x:f>IFERROR('各站彙總來源'!J1102/'各站彙總來源'!K1102,"")</x:f>
        <x:v>0</x:v>
      </x:c>
      <x:c r="K1102" s="19" t="n">
        <x:f>'各站彙總來源'!K1102</x:f>
        <x:v>26</x:v>
      </x:c>
      <x:c r="L1102" s="24" t="n">
        <x:f>IFERROR('各站彙總來源'!L1102/'各站彙總來源'!M1102,"")</x:f>
        <x:v>0</x:v>
      </x:c>
      <x:c r="M1102" s="19" t="n">
        <x:f>'各站彙總來源'!M1102</x:f>
        <x:v>26</x:v>
      </x:c>
      <x:c r="N1102" s="24" t="n">
        <x:f>F1102+H1102</x:f>
        <x:v>0</x:v>
      </x:c>
      <x:c r="O1102" s="24" t="n">
        <x:f>J1102+L1102</x:f>
        <x:v>0</x:v>
      </x:c>
    </x:row>
    <x:row r="1103">
      <x:c r="A1103" s="22" t="str">
        <x:v>500108131</x:v>
      </x:c>
      <x:c r="B1103" s="17" t="str">
        <x:v>內湖區</x:v>
      </x:c>
      <x:c r="C1103" s="17" t="str">
        <x:v>舊宗新湖三路口</x:v>
      </x:c>
      <x:c r="D1103" s="18" t="n">
        <x:v>26</x:v>
      </x:c>
      <x:c r="E1103" s="18" t="n">
        <x:v>26</x:v>
      </x:c>
      <x:c r="F1103" s="24" t="n">
        <x:f>IFERROR('各站彙總來源'!F1103/'各站彙總來源'!G1103,"")</x:f>
        <x:v>8.423076923076923</x:v>
      </x:c>
      <x:c r="G1103" s="19" t="n">
        <x:f>'各站彙總來源'!G1103</x:f>
        <x:v>26</x:v>
      </x:c>
      <x:c r="H1103" s="24" t="n">
        <x:f>IFERROR('各站彙總來源'!H1103/'各站彙總來源'!I1103,"")</x:f>
        <x:v>0.46153846153846156</x:v>
      </x:c>
      <x:c r="I1103" s="19" t="n">
        <x:f>'各站彙總來源'!I1103</x:f>
        <x:v>26</x:v>
      </x:c>
      <x:c r="J1103" s="24" t="n">
        <x:f>IFERROR('各站彙總來源'!J1103/'各站彙總來源'!K1103,"")</x:f>
        <x:v>17.96153846153846</x:v>
      </x:c>
      <x:c r="K1103" s="19" t="n">
        <x:f>'各站彙總來源'!K1103</x:f>
        <x:v>26</x:v>
      </x:c>
      <x:c r="L1103" s="24" t="n">
        <x:f>IFERROR('各站彙總來源'!L1103/'各站彙總來源'!M1103,"")</x:f>
        <x:v>3.3076923076923075</x:v>
      </x:c>
      <x:c r="M1103" s="19" t="n">
        <x:f>'各站彙總來源'!M1103</x:f>
        <x:v>26</x:v>
      </x:c>
      <x:c r="N1103" s="24" t="n">
        <x:f>F1103+H1103</x:f>
        <x:v>8.884615384615385</x:v>
      </x:c>
      <x:c r="O1103" s="24" t="n">
        <x:f>J1103+L1103</x:f>
        <x:v>21.269230769230766</x:v>
      </x:c>
    </x:row>
    <x:row r="1104">
      <x:c r="A1104" s="22" t="str">
        <x:v>500108132</x:v>
      </x:c>
      <x:c r="B1104" s="17" t="str">
        <x:v>內湖區</x:v>
      </x:c>
      <x:c r="C1104" s="17" t="str">
        <x:v>內湖運動公園</x:v>
      </x:c>
      <x:c r="D1104" s="18" t="n">
        <x:v>26</x:v>
      </x:c>
      <x:c r="E1104" s="18" t="n">
        <x:v>26</x:v>
      </x:c>
      <x:c r="F1104" s="24" t="n">
        <x:f>IFERROR('各站彙總來源'!F1104/'各站彙總來源'!G1104,"")</x:f>
        <x:v>5.615384615384615</x:v>
      </x:c>
      <x:c r="G1104" s="19" t="n">
        <x:f>'各站彙總來源'!G1104</x:f>
        <x:v>26</x:v>
      </x:c>
      <x:c r="H1104" s="24" t="n">
        <x:f>IFERROR('各站彙總來源'!H1104/'各站彙總來源'!I1104,"")</x:f>
        <x:v>1.3461538461538463</x:v>
      </x:c>
      <x:c r="I1104" s="19" t="n">
        <x:f>'各站彙總來源'!I1104</x:f>
        <x:v>26</x:v>
      </x:c>
      <x:c r="J1104" s="24" t="n">
        <x:f>IFERROR('各站彙總來源'!J1104/'各站彙總來源'!K1104,"")</x:f>
        <x:v>16.115384615384617</x:v>
      </x:c>
      <x:c r="K1104" s="19" t="n">
        <x:f>'各站彙總來源'!K1104</x:f>
        <x:v>26</x:v>
      </x:c>
      <x:c r="L1104" s="24" t="n">
        <x:f>IFERROR('各站彙總來源'!L1104/'各站彙總來源'!M1104,"")</x:f>
        <x:v>2.6538461538461537</x:v>
      </x:c>
      <x:c r="M1104" s="19" t="n">
        <x:f>'各站彙總來源'!M1104</x:f>
        <x:v>26</x:v>
      </x:c>
      <x:c r="N1104" s="24" t="n">
        <x:f>F1104+H1104</x:f>
        <x:v>6.961538461538462</x:v>
      </x:c>
      <x:c r="O1104" s="24" t="n">
        <x:f>J1104+L1104</x:f>
        <x:v>18.76923076923077</x:v>
      </x:c>
    </x:row>
    <x:row r="1105">
      <x:c r="A1105" s="22" t="str">
        <x:v>500108133</x:v>
      </x:c>
      <x:c r="B1105" s="17" t="str">
        <x:v>內湖區</x:v>
      </x:c>
      <x:c r="C1105" s="17" t="str">
        <x:v>內湖路三段326巷口</x:v>
      </x:c>
      <x:c r="D1105" s="18" t="n">
        <x:v>26</x:v>
      </x:c>
      <x:c r="E1105" s="18" t="n">
        <x:v>26</x:v>
      </x:c>
      <x:c r="F1105" s="24" t="n">
        <x:f>IFERROR('各站彙總來源'!F1105/'各站彙總來源'!G1105,"")</x:f>
        <x:v>10.923076923076923</x:v>
      </x:c>
      <x:c r="G1105" s="19" t="n">
        <x:f>'各站彙總來源'!G1105</x:f>
        <x:v>26</x:v>
      </x:c>
      <x:c r="H1105" s="24" t="n">
        <x:f>IFERROR('各站彙總來源'!H1105/'各站彙總來源'!I1105,"")</x:f>
        <x:v>3.8846153846153846</x:v>
      </x:c>
      <x:c r="I1105" s="19" t="n">
        <x:f>'各站彙總來源'!I1105</x:f>
        <x:v>26</x:v>
      </x:c>
      <x:c r="J1105" s="24" t="n">
        <x:f>IFERROR('各站彙總來源'!J1105/'各站彙總來源'!K1105,"")</x:f>
        <x:v>3.0384615384615383</x:v>
      </x:c>
      <x:c r="K1105" s="19" t="n">
        <x:f>'各站彙總來源'!K1105</x:f>
        <x:v>26</x:v>
      </x:c>
      <x:c r="L1105" s="24" t="n">
        <x:f>IFERROR('各站彙總來源'!L1105/'各站彙總來源'!M1105,"")</x:f>
        <x:v>1.1923076923076923</x:v>
      </x:c>
      <x:c r="M1105" s="19" t="n">
        <x:f>'各站彙總來源'!M1105</x:f>
        <x:v>26</x:v>
      </x:c>
      <x:c r="N1105" s="24" t="n">
        <x:f>F1105+H1105</x:f>
        <x:v>14.807692307692308</x:v>
      </x:c>
      <x:c r="O1105" s="24" t="n">
        <x:f>J1105+L1105</x:f>
        <x:v>4.230769230769231</x:v>
      </x:c>
    </x:row>
    <x:row r="1106">
      <x:c r="A1106" s="22" t="str">
        <x:v>500108134</x:v>
      </x:c>
      <x:c r="B1106" s="17" t="str">
        <x:v>內湖區</x:v>
      </x:c>
      <x:c r="C1106" s="17" t="str">
        <x:v>成功公園</x:v>
      </x:c>
      <x:c r="D1106" s="18" t="n">
        <x:v>26</x:v>
      </x:c>
      <x:c r="E1106" s="18" t="n">
        <x:v>26</x:v>
      </x:c>
      <x:c r="F1106" s="24" t="n">
        <x:f>IFERROR('各站彙總來源'!F1106/'各站彙總來源'!G1106,"")</x:f>
        <x:v>5.8076923076923075</x:v>
      </x:c>
      <x:c r="G1106" s="19" t="n">
        <x:f>'各站彙總來源'!G1106</x:f>
        <x:v>26</x:v>
      </x:c>
      <x:c r="H1106" s="24" t="n">
        <x:f>IFERROR('各站彙總來源'!H1106/'各站彙總來源'!I1106,"")</x:f>
        <x:v>1.0384615384615385</x:v>
      </x:c>
      <x:c r="I1106" s="19" t="n">
        <x:f>'各站彙總來源'!I1106</x:f>
        <x:v>26</x:v>
      </x:c>
      <x:c r="J1106" s="24" t="n">
        <x:f>IFERROR('各站彙總來源'!J1106/'各站彙總來源'!K1106,"")</x:f>
        <x:v>3.269230769230769</x:v>
      </x:c>
      <x:c r="K1106" s="19" t="n">
        <x:f>'各站彙總來源'!K1106</x:f>
        <x:v>26</x:v>
      </x:c>
      <x:c r="L1106" s="24" t="n">
        <x:f>IFERROR('各站彙總來源'!L1106/'各站彙總來源'!M1106,"")</x:f>
        <x:v>1.3461538461538463</x:v>
      </x:c>
      <x:c r="M1106" s="19" t="n">
        <x:f>'各站彙總來源'!M1106</x:f>
        <x:v>26</x:v>
      </x:c>
      <x:c r="N1106" s="24" t="n">
        <x:f>F1106+H1106</x:f>
        <x:v>6.846153846153846</x:v>
      </x:c>
      <x:c r="O1106" s="24" t="n">
        <x:f>J1106+L1106</x:f>
        <x:v>4.615384615384615</x:v>
      </x:c>
    </x:row>
    <x:row r="1107">
      <x:c r="A1107" s="22" t="str">
        <x:v>500108135</x:v>
      </x:c>
      <x:c r="B1107" s="17" t="str">
        <x:v>內湖區</x:v>
      </x:c>
      <x:c r="C1107" s="17" t="str">
        <x:v>康寧路三段189巷93弄口</x:v>
      </x:c>
      <x:c r="D1107" s="18" t="n">
        <x:v>26</x:v>
      </x:c>
      <x:c r="E1107" s="18" t="n">
        <x:v>26</x:v>
      </x:c>
      <x:c r="F1107" s="24" t="n">
        <x:f>IFERROR('各站彙總來源'!F1107/'各站彙總來源'!G1107,"")</x:f>
        <x:v>12.615384615384615</x:v>
      </x:c>
      <x:c r="G1107" s="19" t="n">
        <x:f>'各站彙總來源'!G1107</x:f>
        <x:v>26</x:v>
      </x:c>
      <x:c r="H1107" s="24" t="n">
        <x:f>IFERROR('各站彙總來源'!H1107/'各站彙總來源'!I1107,"")</x:f>
        <x:v>2.8846153846153846</x:v>
      </x:c>
      <x:c r="I1107" s="19" t="n">
        <x:f>'各站彙總來源'!I1107</x:f>
        <x:v>26</x:v>
      </x:c>
      <x:c r="J1107" s="24" t="n">
        <x:f>IFERROR('各站彙總來源'!J1107/'各站彙總來源'!K1107,"")</x:f>
        <x:v>4.5</x:v>
      </x:c>
      <x:c r="K1107" s="19" t="n">
        <x:f>'各站彙總來源'!K1107</x:f>
        <x:v>26</x:v>
      </x:c>
      <x:c r="L1107" s="24" t="n">
        <x:f>IFERROR('各站彙總來源'!L1107/'各站彙總來源'!M1107,"")</x:f>
        <x:v>1.8461538461538463</x:v>
      </x:c>
      <x:c r="M1107" s="19" t="n">
        <x:f>'各站彙總來源'!M1107</x:f>
        <x:v>26</x:v>
      </x:c>
      <x:c r="N1107" s="24" t="n">
        <x:f>F1107+H1107</x:f>
        <x:v>15.5</x:v>
      </x:c>
      <x:c r="O1107" s="24" t="n">
        <x:f>J1107+L1107</x:f>
        <x:v>6.346153846153847</x:v>
      </x:c>
    </x:row>
    <x:row r="1108">
      <x:c r="A1108" s="22" t="str">
        <x:v>500108136</x:v>
      </x:c>
      <x:c r="B1108" s="17" t="str">
        <x:v>內湖區</x:v>
      </x:c>
      <x:c r="C1108" s="17" t="str">
        <x:v>中國醫藥大學附設醫院臺北分院</x:v>
      </x:c>
      <x:c r="D1108" s="18" t="n">
        <x:v>26</x:v>
      </x:c>
      <x:c r="E1108" s="18" t="n">
        <x:v>26</x:v>
      </x:c>
      <x:c r="F1108" s="24" t="n">
        <x:f>IFERROR('各站彙總來源'!F1108/'各站彙總來源'!G1108,"")</x:f>
        <x:v>6.384615384615385</x:v>
      </x:c>
      <x:c r="G1108" s="19" t="n">
        <x:f>'各站彙總來源'!G1108</x:f>
        <x:v>26</x:v>
      </x:c>
      <x:c r="H1108" s="24" t="n">
        <x:f>IFERROR('各站彙總來源'!H1108/'各站彙總來源'!I1108,"")</x:f>
        <x:v>1.0769230769230769</x:v>
      </x:c>
      <x:c r="I1108" s="19" t="n">
        <x:f>'各站彙總來源'!I1108</x:f>
        <x:v>26</x:v>
      </x:c>
      <x:c r="J1108" s="24" t="n">
        <x:f>IFERROR('各站彙總來源'!J1108/'各站彙總來源'!K1108,"")</x:f>
        <x:v>6.923076923076923</x:v>
      </x:c>
      <x:c r="K1108" s="19" t="n">
        <x:f>'各站彙總來源'!K1108</x:f>
        <x:v>26</x:v>
      </x:c>
      <x:c r="L1108" s="24" t="n">
        <x:f>IFERROR('各站彙總來源'!L1108/'各站彙總來源'!M1108,"")</x:f>
        <x:v>1.1923076923076923</x:v>
      </x:c>
      <x:c r="M1108" s="19" t="n">
        <x:f>'各站彙總來源'!M1108</x:f>
        <x:v>26</x:v>
      </x:c>
      <x:c r="N1108" s="24" t="n">
        <x:f>F1108+H1108</x:f>
        <x:v>7.461538461538462</x:v>
      </x:c>
      <x:c r="O1108" s="24" t="n">
        <x:f>J1108+L1108</x:f>
        <x:v>8.115384615384615</x:v>
      </x:c>
    </x:row>
    <x:row r="1109">
      <x:c r="A1109" s="22" t="str">
        <x:v>500108137</x:v>
      </x:c>
      <x:c r="B1109" s="17" t="str">
        <x:v>內湖區</x:v>
      </x:c>
      <x:c r="C1109" s="17" t="str">
        <x:v>康樂抽水站</x:v>
      </x:c>
      <x:c r="D1109" s="18" t="n">
        <x:v>26</x:v>
      </x:c>
      <x:c r="E1109" s="18" t="n">
        <x:v>26</x:v>
      </x:c>
      <x:c r="F1109" s="24" t="n">
        <x:f>IFERROR('各站彙總來源'!F1109/'各站彙總來源'!G1109,"")</x:f>
        <x:v>9.76923076923077</x:v>
      </x:c>
      <x:c r="G1109" s="19" t="n">
        <x:f>'各站彙總來源'!G1109</x:f>
        <x:v>26</x:v>
      </x:c>
      <x:c r="H1109" s="24" t="n">
        <x:f>IFERROR('各站彙總來源'!H1109/'各站彙總來源'!I1109,"")</x:f>
        <x:v>3.1153846153846154</x:v>
      </x:c>
      <x:c r="I1109" s="19" t="n">
        <x:f>'各站彙總來源'!I1109</x:f>
        <x:v>26</x:v>
      </x:c>
      <x:c r="J1109" s="24" t="n">
        <x:f>IFERROR('各站彙總來源'!J1109/'各站彙總來源'!K1109,"")</x:f>
        <x:v>3.9615384615384617</x:v>
      </x:c>
      <x:c r="K1109" s="19" t="n">
        <x:f>'各站彙總來源'!K1109</x:f>
        <x:v>26</x:v>
      </x:c>
      <x:c r="L1109" s="24" t="n">
        <x:f>IFERROR('各站彙總來源'!L1109/'各站彙總來源'!M1109,"")</x:f>
        <x:v>0.9615384615384616</x:v>
      </x:c>
      <x:c r="M1109" s="19" t="n">
        <x:f>'各站彙總來源'!M1109</x:f>
        <x:v>26</x:v>
      </x:c>
      <x:c r="N1109" s="24" t="n">
        <x:f>F1109+H1109</x:f>
        <x:v>12.884615384615385</x:v>
      </x:c>
      <x:c r="O1109" s="24" t="n">
        <x:f>J1109+L1109</x:f>
        <x:v>4.923076923076923</x:v>
      </x:c>
    </x:row>
    <x:row r="1110">
      <x:c r="A1110" s="22" t="str">
        <x:v>500108138</x:v>
      </x:c>
      <x:c r="B1110" s="17" t="str">
        <x:v>內湖區</x:v>
      </x:c>
      <x:c r="C1110" s="17" t="str">
        <x:v>環山路三段16巷口</x:v>
      </x:c>
      <x:c r="D1110" s="18" t="n">
        <x:v>26</x:v>
      </x:c>
      <x:c r="E1110" s="18" t="n">
        <x:v>26</x:v>
      </x:c>
      <x:c r="F1110" s="24" t="n">
        <x:f>IFERROR('各站彙總來源'!F1110/'各站彙總來源'!G1110,"")</x:f>
        <x:v>11.346153846153847</x:v>
      </x:c>
      <x:c r="G1110" s="19" t="n">
        <x:f>'各站彙總來源'!G1110</x:f>
        <x:v>26</x:v>
      </x:c>
      <x:c r="H1110" s="24" t="n">
        <x:f>IFERROR('各站彙總來源'!H1110/'各站彙總來源'!I1110,"")</x:f>
        <x:v>2.9615384615384617</x:v>
      </x:c>
      <x:c r="I1110" s="19" t="n">
        <x:f>'各站彙總來源'!I1110</x:f>
        <x:v>26</x:v>
      </x:c>
      <x:c r="J1110" s="24" t="n">
        <x:f>IFERROR('各站彙總來源'!J1110/'各站彙總來源'!K1110,"")</x:f>
        <x:v>8.115384615384615</x:v>
      </x:c>
      <x:c r="K1110" s="19" t="n">
        <x:f>'各站彙總來源'!K1110</x:f>
        <x:v>26</x:v>
      </x:c>
      <x:c r="L1110" s="24" t="n">
        <x:f>IFERROR('各站彙總來源'!L1110/'各站彙總來源'!M1110,"")</x:f>
        <x:v>1.3461538461538463</x:v>
      </x:c>
      <x:c r="M1110" s="19" t="n">
        <x:f>'各站彙總來源'!M1110</x:f>
        <x:v>26</x:v>
      </x:c>
      <x:c r="N1110" s="24" t="n">
        <x:f>F1110+H1110</x:f>
        <x:v>14.307692307692308</x:v>
      </x:c>
      <x:c r="O1110" s="24" t="n">
        <x:f>J1110+L1110</x:f>
        <x:v>9.461538461538462</x:v>
      </x:c>
    </x:row>
    <x:row r="1111">
      <x:c r="A1111" s="22" t="str">
        <x:v>500108139</x:v>
      </x:c>
      <x:c r="B1111" s="17" t="str">
        <x:v>內湖區</x:v>
      </x:c>
      <x:c r="C1111" s="17" t="str">
        <x:v>文德一號綠地</x:v>
      </x:c>
      <x:c r="D1111" s="18" t="n">
        <x:v>26</x:v>
      </x:c>
      <x:c r="E1111" s="18" t="n">
        <x:v>26</x:v>
      </x:c>
      <x:c r="F1111" s="24" t="n">
        <x:f>IFERROR('各站彙總來源'!F1111/'各站彙總來源'!G1111,"")</x:f>
        <x:v>8.307692307692308</x:v>
      </x:c>
      <x:c r="G1111" s="19" t="n">
        <x:f>'各站彙總來源'!G1111</x:f>
        <x:v>26</x:v>
      </x:c>
      <x:c r="H1111" s="24" t="n">
        <x:f>IFERROR('各站彙總來源'!H1111/'各站彙總來源'!I1111,"")</x:f>
        <x:v>0.9615384615384616</x:v>
      </x:c>
      <x:c r="I1111" s="19" t="n">
        <x:f>'各站彙總來源'!I1111</x:f>
        <x:v>26</x:v>
      </x:c>
      <x:c r="J1111" s="24" t="n">
        <x:f>IFERROR('各站彙總來源'!J1111/'各站彙總來源'!K1111,"")</x:f>
        <x:v>3.8076923076923075</x:v>
      </x:c>
      <x:c r="K1111" s="19" t="n">
        <x:f>'各站彙總來源'!K1111</x:f>
        <x:v>26</x:v>
      </x:c>
      <x:c r="L1111" s="24" t="n">
        <x:f>IFERROR('各站彙總來源'!L1111/'各站彙總來源'!M1111,"")</x:f>
        <x:v>0.5384615384615384</x:v>
      </x:c>
      <x:c r="M1111" s="19" t="n">
        <x:f>'各站彙總來源'!M1111</x:f>
        <x:v>26</x:v>
      </x:c>
      <x:c r="N1111" s="24" t="n">
        <x:f>F1111+H1111</x:f>
        <x:v>9.26923076923077</x:v>
      </x:c>
      <x:c r="O1111" s="24" t="n">
        <x:f>J1111+L1111</x:f>
        <x:v>4.346153846153846</x:v>
      </x:c>
    </x:row>
    <x:row r="1112">
      <x:c r="A1112" s="22" t="str">
        <x:v>500108140</x:v>
      </x:c>
      <x:c r="B1112" s="17" t="str">
        <x:v>內湖區</x:v>
      </x:c>
      <x:c r="C1112" s="17" t="str">
        <x:v>臺北花市</x:v>
      </x:c>
      <x:c r="D1112" s="18" t="n">
        <x:v>26</x:v>
      </x:c>
      <x:c r="E1112" s="18" t="n">
        <x:v>26</x:v>
      </x:c>
      <x:c r="F1112" s="24" t="n">
        <x:f>IFERROR('各站彙總來源'!F1112/'各站彙總來源'!G1112,"")</x:f>
        <x:v>5.038461538461538</x:v>
      </x:c>
      <x:c r="G1112" s="19" t="n">
        <x:f>'各站彙總來源'!G1112</x:f>
        <x:v>26</x:v>
      </x:c>
      <x:c r="H1112" s="24" t="n">
        <x:f>IFERROR('各站彙總來源'!H1112/'各站彙總來源'!I1112,"")</x:f>
        <x:v>2.1923076923076925</x:v>
      </x:c>
      <x:c r="I1112" s="19" t="n">
        <x:f>'各站彙總來源'!I1112</x:f>
        <x:v>26</x:v>
      </x:c>
      <x:c r="J1112" s="24" t="n">
        <x:f>IFERROR('各站彙總來源'!J1112/'各站彙總來源'!K1112,"")</x:f>
        <x:v>30.307692307692307</x:v>
      </x:c>
      <x:c r="K1112" s="19" t="n">
        <x:f>'各站彙總來源'!K1112</x:f>
        <x:v>26</x:v>
      </x:c>
      <x:c r="L1112" s="24" t="n">
        <x:f>IFERROR('各站彙總來源'!L1112/'各站彙總來源'!M1112,"")</x:f>
        <x:v>3.576923076923077</x:v>
      </x:c>
      <x:c r="M1112" s="19" t="n">
        <x:f>'各站彙總來源'!M1112</x:f>
        <x:v>26</x:v>
      </x:c>
      <x:c r="N1112" s="24" t="n">
        <x:f>F1112+H1112</x:f>
        <x:v>7.230769230769231</x:v>
      </x:c>
      <x:c r="O1112" s="24" t="n">
        <x:f>J1112+L1112</x:f>
        <x:v>33.88461538461539</x:v>
      </x:c>
    </x:row>
    <x:row r="1113">
      <x:c r="A1113" s="22" t="str">
        <x:v>500108141</x:v>
      </x:c>
      <x:c r="B1113" s="17" t="str">
        <x:v>內湖區</x:v>
      </x:c>
      <x:c r="C1113" s="17" t="str">
        <x:v>行善社會住宅</x:v>
      </x:c>
      <x:c r="D1113" s="18" t="n">
        <x:v>26</x:v>
      </x:c>
      <x:c r="E1113" s="18" t="n">
        <x:v>26</x:v>
      </x:c>
      <x:c r="F1113" s="24" t="n">
        <x:f>IFERROR('各站彙總來源'!F1113/'各站彙總來源'!G1113,"")</x:f>
        <x:v>9.153846153846153</x:v>
      </x:c>
      <x:c r="G1113" s="19" t="n">
        <x:f>'各站彙總來源'!G1113</x:f>
        <x:v>26</x:v>
      </x:c>
      <x:c r="H1113" s="24" t="n">
        <x:f>IFERROR('各站彙總來源'!H1113/'各站彙總來源'!I1113,"")</x:f>
        <x:v>0.9230769230769231</x:v>
      </x:c>
      <x:c r="I1113" s="19" t="n">
        <x:f>'各站彙總來源'!I1113</x:f>
        <x:v>26</x:v>
      </x:c>
      <x:c r="J1113" s="24" t="n">
        <x:f>IFERROR('各站彙總來源'!J1113/'各站彙總來源'!K1113,"")</x:f>
        <x:v>5.076923076923077</x:v>
      </x:c>
      <x:c r="K1113" s="19" t="n">
        <x:f>'各站彙總來源'!K1113</x:f>
        <x:v>26</x:v>
      </x:c>
      <x:c r="L1113" s="24" t="n">
        <x:f>IFERROR('各站彙總來源'!L1113/'各站彙總來源'!M1113,"")</x:f>
        <x:v>0.7692307692307693</x:v>
      </x:c>
      <x:c r="M1113" s="19" t="n">
        <x:f>'各站彙總來源'!M1113</x:f>
        <x:v>26</x:v>
      </x:c>
      <x:c r="N1113" s="24" t="n">
        <x:f>F1113+H1113</x:f>
        <x:v>10.076923076923077</x:v>
      </x:c>
      <x:c r="O1113" s="24" t="n">
        <x:f>J1113+L1113</x:f>
        <x:v>5.846153846153846</x:v>
      </x:c>
    </x:row>
    <x:row r="1114">
      <x:c r="A1114" s="22" t="str">
        <x:v>500108142</x:v>
      </x:c>
      <x:c r="B1114" s="17" t="str">
        <x:v>內湖區</x:v>
      </x:c>
      <x:c r="C1114" s="17" t="str">
        <x:v>康寧路三段99巷17弄口</x:v>
      </x:c>
      <x:c r="D1114" s="18" t="n">
        <x:v>26</x:v>
      </x:c>
      <x:c r="E1114" s="18" t="n">
        <x:v>26</x:v>
      </x:c>
      <x:c r="F1114" s="24" t="n">
        <x:f>IFERROR('各站彙總來源'!F1114/'各站彙總來源'!G1114,"")</x:f>
        <x:v>4.576923076923077</x:v>
      </x:c>
      <x:c r="G1114" s="19" t="n">
        <x:f>'各站彙總來源'!G1114</x:f>
        <x:v>26</x:v>
      </x:c>
      <x:c r="H1114" s="24" t="n">
        <x:f>IFERROR('各站彙總來源'!H1114/'各站彙總來源'!I1114,"")</x:f>
        <x:v>0.9615384615384616</x:v>
      </x:c>
      <x:c r="I1114" s="19" t="n">
        <x:f>'各站彙總來源'!I1114</x:f>
        <x:v>26</x:v>
      </x:c>
      <x:c r="J1114" s="24" t="n">
        <x:f>IFERROR('各站彙總來源'!J1114/'各站彙總來源'!K1114,"")</x:f>
        <x:v>5.3076923076923075</x:v>
      </x:c>
      <x:c r="K1114" s="19" t="n">
        <x:f>'各站彙總來源'!K1114</x:f>
        <x:v>26</x:v>
      </x:c>
      <x:c r="L1114" s="24" t="n">
        <x:f>IFERROR('各站彙總來源'!L1114/'各站彙總來源'!M1114,"")</x:f>
        <x:v>1.3846153846153846</x:v>
      </x:c>
      <x:c r="M1114" s="19" t="n">
        <x:f>'各站彙總來源'!M1114</x:f>
        <x:v>26</x:v>
      </x:c>
      <x:c r="N1114" s="24" t="n">
        <x:f>F1114+H1114</x:f>
        <x:v>5.538461538461538</x:v>
      </x:c>
      <x:c r="O1114" s="24" t="n">
        <x:f>J1114+L1114</x:f>
        <x:v>6.692307692307692</x:v>
      </x:c>
    </x:row>
    <x:row r="1115">
      <x:c r="A1115" s="22" t="str">
        <x:v>500108143</x:v>
      </x:c>
      <x:c r="B1115" s="17" t="str">
        <x:v>內湖區</x:v>
      </x:c>
      <x:c r="C1115" s="17" t="str">
        <x:v>堤頂大道二段407巷口</x:v>
      </x:c>
      <x:c r="D1115" s="18" t="n">
        <x:v>26</x:v>
      </x:c>
      <x:c r="E1115" s="18" t="n">
        <x:v>26</x:v>
      </x:c>
      <x:c r="F1115" s="24" t="n">
        <x:f>IFERROR('各站彙總來源'!F1115/'各站彙總來源'!G1115,"")</x:f>
        <x:v>1.6923076923076923</x:v>
      </x:c>
      <x:c r="G1115" s="19" t="n">
        <x:f>'各站彙總來源'!G1115</x:f>
        <x:v>26</x:v>
      </x:c>
      <x:c r="H1115" s="24" t="n">
        <x:f>IFERROR('各站彙總來源'!H1115/'各站彙總來源'!I1115,"")</x:f>
        <x:v>0.4230769230769231</x:v>
      </x:c>
      <x:c r="I1115" s="19" t="n">
        <x:f>'各站彙總來源'!I1115</x:f>
        <x:v>26</x:v>
      </x:c>
      <x:c r="J1115" s="24" t="n">
        <x:f>IFERROR('各站彙總來源'!J1115/'各站彙總來源'!K1115,"")</x:f>
        <x:v>7.884615384615385</x:v>
      </x:c>
      <x:c r="K1115" s="19" t="n">
        <x:f>'各站彙總來源'!K1115</x:f>
        <x:v>26</x:v>
      </x:c>
      <x:c r="L1115" s="24" t="n">
        <x:f>IFERROR('各站彙總來源'!L1115/'各站彙總來源'!M1115,"")</x:f>
        <x:v>1.4230769230769231</x:v>
      </x:c>
      <x:c r="M1115" s="19" t="n">
        <x:f>'各站彙總來源'!M1115</x:f>
        <x:v>26</x:v>
      </x:c>
      <x:c r="N1115" s="24" t="n">
        <x:f>F1115+H1115</x:f>
        <x:v>2.1153846153846154</x:v>
      </x:c>
      <x:c r="O1115" s="24" t="n">
        <x:f>J1115+L1115</x:f>
        <x:v>9.307692307692308</x:v>
      </x:c>
    </x:row>
    <x:row r="1116">
      <x:c r="A1116" s="22" t="str">
        <x:v>500108144</x:v>
      </x:c>
      <x:c r="B1116" s="17" t="str">
        <x:v>內湖區</x:v>
      </x:c>
      <x:c r="C1116" s="17" t="str">
        <x:v>海德堡科技大樓</x:v>
      </x:c>
      <x:c r="D1116" s="18" t="n">
        <x:v>26</x:v>
      </x:c>
      <x:c r="E1116" s="18" t="n">
        <x:v>26</x:v>
      </x:c>
      <x:c r="F1116" s="24" t="n">
        <x:f>IFERROR('各站彙總來源'!F1116/'各站彙總來源'!G1116,"")</x:f>
        <x:v>3</x:v>
      </x:c>
      <x:c r="G1116" s="19" t="n">
        <x:f>'各站彙總來源'!G1116</x:f>
        <x:v>26</x:v>
      </x:c>
      <x:c r="H1116" s="24" t="n">
        <x:f>IFERROR('各站彙總來源'!H1116/'各站彙總來源'!I1116,"")</x:f>
        <x:v>0.2692307692307692</x:v>
      </x:c>
      <x:c r="I1116" s="19" t="n">
        <x:f>'各站彙總來源'!I1116</x:f>
        <x:v>26</x:v>
      </x:c>
      <x:c r="J1116" s="24" t="n">
        <x:f>IFERROR('各站彙總來源'!J1116/'各站彙總來源'!K1116,"")</x:f>
        <x:v>12</x:v>
      </x:c>
      <x:c r="K1116" s="19" t="n">
        <x:f>'各站彙總來源'!K1116</x:f>
        <x:v>26</x:v>
      </x:c>
      <x:c r="L1116" s="24" t="n">
        <x:f>IFERROR('各站彙總來源'!L1116/'各站彙總來源'!M1116,"")</x:f>
        <x:v>1.1153846153846154</x:v>
      </x:c>
      <x:c r="M1116" s="19" t="n">
        <x:f>'各站彙總來源'!M1116</x:f>
        <x:v>26</x:v>
      </x:c>
      <x:c r="N1116" s="24" t="n">
        <x:f>F1116+H1116</x:f>
        <x:v>3.269230769230769</x:v>
      </x:c>
      <x:c r="O1116" s="24" t="n">
        <x:f>J1116+L1116</x:f>
        <x:v>13.115384615384615</x:v>
      </x:c>
    </x:row>
    <x:row r="1117">
      <x:c r="A1117" s="22" t="str">
        <x:v>500108145</x:v>
      </x:c>
      <x:c r="B1117" s="17" t="str">
        <x:v>內湖區</x:v>
      </x:c>
      <x:c r="C1117" s="17" t="str">
        <x:v>致伸科技大樓</x:v>
      </x:c>
      <x:c r="D1117" s="18" t="n">
        <x:v>26</x:v>
      </x:c>
      <x:c r="E1117" s="18" t="n">
        <x:v>26</x:v>
      </x:c>
      <x:c r="F1117" s="24" t="n">
        <x:f>IFERROR('各站彙總來源'!F1117/'各站彙總來源'!G1117,"")</x:f>
        <x:v>3.1538461538461537</x:v>
      </x:c>
      <x:c r="G1117" s="19" t="n">
        <x:f>'各站彙總來源'!G1117</x:f>
        <x:v>26</x:v>
      </x:c>
      <x:c r="H1117" s="24" t="n">
        <x:f>IFERROR('各站彙總來源'!H1117/'各站彙總來源'!I1117,"")</x:f>
        <x:v>0.6153846153846154</x:v>
      </x:c>
      <x:c r="I1117" s="19" t="n">
        <x:f>'各站彙總來源'!I1117</x:f>
        <x:v>26</x:v>
      </x:c>
      <x:c r="J1117" s="24" t="n">
        <x:f>IFERROR('各站彙總來源'!J1117/'各站彙總來源'!K1117,"")</x:f>
        <x:v>18.73076923076923</x:v>
      </x:c>
      <x:c r="K1117" s="19" t="n">
        <x:f>'各站彙總來源'!K1117</x:f>
        <x:v>26</x:v>
      </x:c>
      <x:c r="L1117" s="24" t="n">
        <x:f>IFERROR('各站彙總來源'!L1117/'各站彙總來源'!M1117,"")</x:f>
        <x:v>2.1153846153846154</x:v>
      </x:c>
      <x:c r="M1117" s="19" t="n">
        <x:f>'各站彙總來源'!M1117</x:f>
        <x:v>26</x:v>
      </x:c>
      <x:c r="N1117" s="24" t="n">
        <x:f>F1117+H1117</x:f>
        <x:v>3.769230769230769</x:v>
      </x:c>
      <x:c r="O1117" s="24" t="n">
        <x:f>J1117+L1117</x:f>
        <x:v>20.846153846153847</x:v>
      </x:c>
    </x:row>
    <x:row r="1118">
      <x:c r="A1118" s="22" t="str">
        <x:v>500108146</x:v>
      </x:c>
      <x:c r="B1118" s="17" t="str">
        <x:v>內湖區</x:v>
      </x:c>
      <x:c r="C1118" s="17" t="str">
        <x:v>內湖路一段288巷口</x:v>
      </x:c>
      <x:c r="D1118" s="18" t="n">
        <x:v>26</x:v>
      </x:c>
      <x:c r="E1118" s="18" t="n">
        <x:v>26</x:v>
      </x:c>
      <x:c r="F1118" s="24" t="n">
        <x:f>IFERROR('各站彙總來源'!F1118/'各站彙總來源'!G1118,"")</x:f>
        <x:v>12</x:v>
      </x:c>
      <x:c r="G1118" s="19" t="n">
        <x:f>'各站彙總來源'!G1118</x:f>
        <x:v>26</x:v>
      </x:c>
      <x:c r="H1118" s="24" t="n">
        <x:f>IFERROR('各站彙總來源'!H1118/'各站彙總來源'!I1118,"")</x:f>
        <x:v>1.7692307692307692</x:v>
      </x:c>
      <x:c r="I1118" s="19" t="n">
        <x:f>'各站彙總來源'!I1118</x:f>
        <x:v>26</x:v>
      </x:c>
      <x:c r="J1118" s="24" t="n">
        <x:f>IFERROR('各站彙總來源'!J1118/'各站彙總來源'!K1118,"")</x:f>
        <x:v>4.923076923076923</x:v>
      </x:c>
      <x:c r="K1118" s="19" t="n">
        <x:f>'各站彙總來源'!K1118</x:f>
        <x:v>26</x:v>
      </x:c>
      <x:c r="L1118" s="24" t="n">
        <x:f>IFERROR('各站彙總來源'!L1118/'各站彙總來源'!M1118,"")</x:f>
        <x:v>1.6153846153846154</x:v>
      </x:c>
      <x:c r="M1118" s="19" t="n">
        <x:f>'各站彙總來源'!M1118</x:f>
        <x:v>26</x:v>
      </x:c>
      <x:c r="N1118" s="24" t="n">
        <x:f>F1118+H1118</x:f>
        <x:v>13.76923076923077</x:v>
      </x:c>
      <x:c r="O1118" s="24" t="n">
        <x:f>J1118+L1118</x:f>
        <x:v>6.538461538461538</x:v>
      </x:c>
    </x:row>
    <x:row r="1119">
      <x:c r="A1119" s="22" t="str">
        <x:v>500108147</x:v>
      </x:c>
      <x:c r="B1119" s="17" t="str">
        <x:v>內湖區</x:v>
      </x:c>
      <x:c r="C1119" s="17" t="str">
        <x:v>大都會客運內湖站</x:v>
      </x:c>
      <x:c r="D1119" s="18" t="n">
        <x:v>26</x:v>
      </x:c>
      <x:c r="E1119" s="18" t="n">
        <x:v>26</x:v>
      </x:c>
      <x:c r="F1119" s="24" t="n">
        <x:f>IFERROR('各站彙總來源'!F1119/'各站彙總來源'!G1119,"")</x:f>
        <x:v>12</x:v>
      </x:c>
      <x:c r="G1119" s="19" t="n">
        <x:f>'各站彙總來源'!G1119</x:f>
        <x:v>26</x:v>
      </x:c>
      <x:c r="H1119" s="24" t="n">
        <x:f>IFERROR('各站彙總來源'!H1119/'各站彙總來源'!I1119,"")</x:f>
        <x:v>1.0384615384615385</x:v>
      </x:c>
      <x:c r="I1119" s="19" t="n">
        <x:f>'各站彙總來源'!I1119</x:f>
        <x:v>26</x:v>
      </x:c>
      <x:c r="J1119" s="24" t="n">
        <x:f>IFERROR('各站彙總來源'!J1119/'各站彙總來源'!K1119,"")</x:f>
        <x:v>8.538461538461538</x:v>
      </x:c>
      <x:c r="K1119" s="19" t="n">
        <x:f>'各站彙總來源'!K1119</x:f>
        <x:v>26</x:v>
      </x:c>
      <x:c r="L1119" s="24" t="n">
        <x:f>IFERROR('各站彙總來源'!L1119/'各站彙總來源'!M1119,"")</x:f>
        <x:v>1.4230769230769231</x:v>
      </x:c>
      <x:c r="M1119" s="19" t="n">
        <x:f>'各站彙總來源'!M1119</x:f>
        <x:v>26</x:v>
      </x:c>
      <x:c r="N1119" s="24" t="n">
        <x:f>F1119+H1119</x:f>
        <x:v>13.038461538461538</x:v>
      </x:c>
      <x:c r="O1119" s="24" t="n">
        <x:f>J1119+L1119</x:f>
        <x:v>9.961538461538462</x:v>
      </x:c>
    </x:row>
    <x:row r="1120">
      <x:c r="A1120" s="22" t="str">
        <x:v>500108148</x:v>
      </x:c>
      <x:c r="B1120" s="17" t="str">
        <x:v>內湖區</x:v>
      </x:c>
      <x:c r="C1120" s="17" t="str">
        <x:v>瑞湖公園</x:v>
      </x:c>
      <x:c r="D1120" s="18" t="n">
        <x:v>26</x:v>
      </x:c>
      <x:c r="E1120" s="18" t="n">
        <x:v>26</x:v>
      </x:c>
      <x:c r="F1120" s="24" t="n">
        <x:f>IFERROR('各站彙總來源'!F1120/'各站彙總來源'!G1120,"")</x:f>
        <x:v>3.3461538461538463</x:v>
      </x:c>
      <x:c r="G1120" s="19" t="n">
        <x:f>'各站彙總來源'!G1120</x:f>
        <x:v>26</x:v>
      </x:c>
      <x:c r="H1120" s="24" t="n">
        <x:f>IFERROR('各站彙總來源'!H1120/'各站彙總來源'!I1120,"")</x:f>
        <x:v>2</x:v>
      </x:c>
      <x:c r="I1120" s="19" t="n">
        <x:f>'各站彙總來源'!I1120</x:f>
        <x:v>26</x:v>
      </x:c>
      <x:c r="J1120" s="24" t="n">
        <x:f>IFERROR('各站彙總來源'!J1120/'各站彙總來源'!K1120,"")</x:f>
        <x:v>10.846153846153847</x:v>
      </x:c>
      <x:c r="K1120" s="19" t="n">
        <x:f>'各站彙總來源'!K1120</x:f>
        <x:v>26</x:v>
      </x:c>
      <x:c r="L1120" s="24" t="n">
        <x:f>IFERROR('各站彙總來源'!L1120/'各站彙總來源'!M1120,"")</x:f>
        <x:v>2.8076923076923075</x:v>
      </x:c>
      <x:c r="M1120" s="19" t="n">
        <x:f>'各站彙總來源'!M1120</x:f>
        <x:v>26</x:v>
      </x:c>
      <x:c r="N1120" s="24" t="n">
        <x:f>F1120+H1120</x:f>
        <x:v>5.346153846153847</x:v>
      </x:c>
      <x:c r="O1120" s="24" t="n">
        <x:f>J1120+L1120</x:f>
        <x:v>13.653846153846153</x:v>
      </x:c>
    </x:row>
    <x:row r="1121">
      <x:c r="A1121" s="22" t="str">
        <x:v>500108149</x:v>
      </x:c>
      <x:c r="B1121" s="17" t="str">
        <x:v>內湖區</x:v>
      </x:c>
      <x:c r="C1121" s="17" t="str">
        <x:v>瑞光公園(陽光街321巷)</x:v>
      </x:c>
      <x:c r="D1121" s="18" t="n">
        <x:v>26</x:v>
      </x:c>
      <x:c r="E1121" s="18" t="n">
        <x:v>26</x:v>
      </x:c>
      <x:c r="F1121" s="24" t="n">
        <x:f>IFERROR('各站彙總來源'!F1121/'各站彙總來源'!G1121,"")</x:f>
        <x:v>0</x:v>
      </x:c>
      <x:c r="G1121" s="19" t="n">
        <x:f>'各站彙總來源'!G1121</x:f>
        <x:v>26</x:v>
      </x:c>
      <x:c r="H1121" s="24" t="n">
        <x:f>IFERROR('各站彙總來源'!H1121/'各站彙總來源'!I1121,"")</x:f>
        <x:v>0</x:v>
      </x:c>
      <x:c r="I1121" s="19" t="n">
        <x:f>'各站彙總來源'!I1121</x:f>
        <x:v>26</x:v>
      </x:c>
      <x:c r="J1121" s="24" t="n">
        <x:f>IFERROR('各站彙總來源'!J1121/'各站彙總來源'!K1121,"")</x:f>
        <x:v>0</x:v>
      </x:c>
      <x:c r="K1121" s="19" t="n">
        <x:f>'各站彙總來源'!K1121</x:f>
        <x:v>26</x:v>
      </x:c>
      <x:c r="L1121" s="24" t="n">
        <x:f>IFERROR('各站彙總來源'!L1121/'各站彙總來源'!M1121,"")</x:f>
        <x:v>0</x:v>
      </x:c>
      <x:c r="M1121" s="19" t="n">
        <x:f>'各站彙總來源'!M1121</x:f>
        <x:v>26</x:v>
      </x:c>
      <x:c r="N1121" s="24" t="n">
        <x:f>F1121+H1121</x:f>
        <x:v>0</x:v>
      </x:c>
      <x:c r="O1121" s="24" t="n">
        <x:f>J1121+L1121</x:f>
        <x:v>0</x:v>
      </x:c>
    </x:row>
    <x:row r="1122">
      <x:c r="A1122" s="22" t="str">
        <x:v>500108150</x:v>
      </x:c>
      <x:c r="B1122" s="17" t="str">
        <x:v>內湖區</x:v>
      </x:c>
      <x:c r="C1122" s="17" t="str">
        <x:v>台灣世曦大樓</x:v>
      </x:c>
      <x:c r="D1122" s="18" t="n">
        <x:v>26</x:v>
      </x:c>
      <x:c r="E1122" s="18" t="n">
        <x:v>26</x:v>
      </x:c>
      <x:c r="F1122" s="24" t="n">
        <x:f>IFERROR('各站彙總來源'!F1122/'各站彙總來源'!G1122,"")</x:f>
        <x:v>3.769230769230769</x:v>
      </x:c>
      <x:c r="G1122" s="19" t="n">
        <x:f>'各站彙總來源'!G1122</x:f>
        <x:v>26</x:v>
      </x:c>
      <x:c r="H1122" s="24" t="n">
        <x:f>IFERROR('各站彙總來源'!H1122/'各站彙總來源'!I1122,"")</x:f>
        <x:v>0.46153846153846156</x:v>
      </x:c>
      <x:c r="I1122" s="19" t="n">
        <x:f>'各站彙總來源'!I1122</x:f>
        <x:v>26</x:v>
      </x:c>
      <x:c r="J1122" s="24" t="n">
        <x:f>IFERROR('各站彙總來源'!J1122/'各站彙總來源'!K1122,"")</x:f>
        <x:v>5.461538461538462</x:v>
      </x:c>
      <x:c r="K1122" s="19" t="n">
        <x:f>'各站彙總來源'!K1122</x:f>
        <x:v>26</x:v>
      </x:c>
      <x:c r="L1122" s="24" t="n">
        <x:f>IFERROR('各站彙總來源'!L1122/'各站彙總來源'!M1122,"")</x:f>
        <x:v>1.6153846153846154</x:v>
      </x:c>
      <x:c r="M1122" s="19" t="n">
        <x:f>'各站彙總來源'!M1122</x:f>
        <x:v>26</x:v>
      </x:c>
      <x:c r="N1122" s="24" t="n">
        <x:f>F1122+H1122</x:f>
        <x:v>4.230769230769231</x:v>
      </x:c>
      <x:c r="O1122" s="24" t="n">
        <x:f>J1122+L1122</x:f>
        <x:v>7.076923076923077</x:v>
      </x:c>
    </x:row>
    <x:row r="1123">
      <x:c r="A1123" s="22" t="str">
        <x:v>500108151</x:v>
      </x:c>
      <x:c r="B1123" s="17" t="str">
        <x:v>內湖區</x:v>
      </x:c>
      <x:c r="C1123" s="17" t="str">
        <x:v>遠雄時代總部</x:v>
      </x:c>
      <x:c r="D1123" s="18" t="n">
        <x:v>26</x:v>
      </x:c>
      <x:c r="E1123" s="18" t="n">
        <x:v>26</x:v>
      </x:c>
      <x:c r="F1123" s="24" t="n">
        <x:f>IFERROR('各站彙總來源'!F1123/'各站彙總來源'!G1123,"")</x:f>
        <x:v>3.1923076923076925</x:v>
      </x:c>
      <x:c r="G1123" s="19" t="n">
        <x:f>'各站彙總來源'!G1123</x:f>
        <x:v>26</x:v>
      </x:c>
      <x:c r="H1123" s="24" t="n">
        <x:f>IFERROR('各站彙總來源'!H1123/'各站彙總來源'!I1123,"")</x:f>
        <x:v>0.5</x:v>
      </x:c>
      <x:c r="I1123" s="19" t="n">
        <x:f>'各站彙總來源'!I1123</x:f>
        <x:v>26</x:v>
      </x:c>
      <x:c r="J1123" s="24" t="n">
        <x:f>IFERROR('各站彙總來源'!J1123/'各站彙總來源'!K1123,"")</x:f>
        <x:v>32.73076923076923</x:v>
      </x:c>
      <x:c r="K1123" s="19" t="n">
        <x:f>'各站彙總來源'!K1123</x:f>
        <x:v>26</x:v>
      </x:c>
      <x:c r="L1123" s="24" t="n">
        <x:f>IFERROR('各站彙總來源'!L1123/'各站彙總來源'!M1123,"")</x:f>
        <x:v>1.5384615384615385</x:v>
      </x:c>
      <x:c r="M1123" s="19" t="n">
        <x:f>'各站彙總來源'!M1123</x:f>
        <x:v>26</x:v>
      </x:c>
      <x:c r="N1123" s="24" t="n">
        <x:f>F1123+H1123</x:f>
        <x:v>3.6923076923076925</x:v>
      </x:c>
      <x:c r="O1123" s="24" t="n">
        <x:f>J1123+L1123</x:f>
        <x:v>34.269230769230774</x:v>
      </x:c>
    </x:row>
    <x:row r="1124">
      <x:c r="A1124" s="22" t="str">
        <x:v>500108152</x:v>
      </x:c>
      <x:c r="B1124" s="17" t="str">
        <x:v>內湖區</x:v>
      </x:c>
      <x:c r="C1124" s="17" t="str">
        <x:v>瑞光路358巷口</x:v>
      </x:c>
      <x:c r="D1124" s="18" t="n">
        <x:v>26</x:v>
      </x:c>
      <x:c r="E1124" s="18" t="n">
        <x:v>26</x:v>
      </x:c>
      <x:c r="F1124" s="24" t="n">
        <x:f>IFERROR('各站彙總來源'!F1124/'各站彙總來源'!G1124,"")</x:f>
        <x:v>4.346153846153846</x:v>
      </x:c>
      <x:c r="G1124" s="19" t="n">
        <x:f>'各站彙總來源'!G1124</x:f>
        <x:v>26</x:v>
      </x:c>
      <x:c r="H1124" s="24" t="n">
        <x:f>IFERROR('各站彙總來源'!H1124/'各站彙總來源'!I1124,"")</x:f>
        <x:v>0.5</x:v>
      </x:c>
      <x:c r="I1124" s="19" t="n">
        <x:f>'各站彙總來源'!I1124</x:f>
        <x:v>26</x:v>
      </x:c>
      <x:c r="J1124" s="24" t="n">
        <x:f>IFERROR('各站彙總來源'!J1124/'各站彙總來源'!K1124,"")</x:f>
        <x:v>25.192307692307693</x:v>
      </x:c>
      <x:c r="K1124" s="19" t="n">
        <x:f>'各站彙總來源'!K1124</x:f>
        <x:v>26</x:v>
      </x:c>
      <x:c r="L1124" s="24" t="n">
        <x:f>IFERROR('各站彙總來源'!L1124/'各站彙總來源'!M1124,"")</x:f>
        <x:v>2.576923076923077</x:v>
      </x:c>
      <x:c r="M1124" s="19" t="n">
        <x:f>'各站彙總來源'!M1124</x:f>
        <x:v>26</x:v>
      </x:c>
      <x:c r="N1124" s="24" t="n">
        <x:f>F1124+H1124</x:f>
        <x:v>4.846153846153846</x:v>
      </x:c>
      <x:c r="O1124" s="24" t="n">
        <x:f>J1124+L1124</x:f>
        <x:v>27.76923076923077</x:v>
      </x:c>
    </x:row>
    <x:row r="1125">
      <x:c r="A1125" s="22" t="str">
        <x:v>500108153</x:v>
      </x:c>
      <x:c r="B1125" s="17" t="str">
        <x:v>內湖區</x:v>
      </x:c>
      <x:c r="C1125" s="17" t="str">
        <x:v>大港墘公園(洲子街)</x:v>
      </x:c>
      <x:c r="D1125" s="18" t="n">
        <x:v>26</x:v>
      </x:c>
      <x:c r="E1125" s="18" t="n">
        <x:v>26</x:v>
      </x:c>
      <x:c r="F1125" s="24" t="n">
        <x:f>IFERROR('各站彙總來源'!F1125/'各站彙總來源'!G1125,"")</x:f>
        <x:v>4.384615384615385</x:v>
      </x:c>
      <x:c r="G1125" s="19" t="n">
        <x:f>'各站彙總來源'!G1125</x:f>
        <x:v>26</x:v>
      </x:c>
      <x:c r="H1125" s="24" t="n">
        <x:f>IFERROR('各站彙總來源'!H1125/'各站彙總來源'!I1125,"")</x:f>
        <x:v>1.6538461538461537</x:v>
      </x:c>
      <x:c r="I1125" s="19" t="n">
        <x:f>'各站彙總來源'!I1125</x:f>
        <x:v>26</x:v>
      </x:c>
      <x:c r="J1125" s="24" t="n">
        <x:f>IFERROR('各站彙總來源'!J1125/'各站彙總來源'!K1125,"")</x:f>
        <x:v>7.423076923076923</x:v>
      </x:c>
      <x:c r="K1125" s="19" t="n">
        <x:f>'各站彙總來源'!K1125</x:f>
        <x:v>26</x:v>
      </x:c>
      <x:c r="L1125" s="24" t="n">
        <x:f>IFERROR('各站彙總來源'!L1125/'各站彙總來源'!M1125,"")</x:f>
        <x:v>2.1153846153846154</x:v>
      </x:c>
      <x:c r="M1125" s="19" t="n">
        <x:f>'各站彙總來源'!M1125</x:f>
        <x:v>26</x:v>
      </x:c>
      <x:c r="N1125" s="24" t="n">
        <x:f>F1125+H1125</x:f>
        <x:v>6.038461538461538</x:v>
      </x:c>
      <x:c r="O1125" s="24" t="n">
        <x:f>J1125+L1125</x:f>
        <x:v>9.538461538461538</x:v>
      </x:c>
    </x:row>
    <x:row r="1126">
      <x:c r="A1126" s="22" t="str">
        <x:v>500108154</x:v>
      </x:c>
      <x:c r="B1126" s="17" t="str">
        <x:v>內湖區</x:v>
      </x:c>
      <x:c r="C1126" s="17" t="str">
        <x:v>世紀經貿</x:v>
      </x:c>
      <x:c r="D1126" s="18" t="n">
        <x:v>26</x:v>
      </x:c>
      <x:c r="E1126" s="18" t="n">
        <x:v>26</x:v>
      </x:c>
      <x:c r="F1126" s="24" t="n">
        <x:f>IFERROR('各站彙總來源'!F1126/'各站彙總來源'!G1126,"")</x:f>
        <x:v>8.307692307692308</x:v>
      </x:c>
      <x:c r="G1126" s="19" t="n">
        <x:f>'各站彙總來源'!G1126</x:f>
        <x:v>26</x:v>
      </x:c>
      <x:c r="H1126" s="24" t="n">
        <x:f>IFERROR('各站彙總來源'!H1126/'各站彙總來源'!I1126,"")</x:f>
        <x:v>0.8076923076923077</x:v>
      </x:c>
      <x:c r="I1126" s="19" t="n">
        <x:f>'各站彙總來源'!I1126</x:f>
        <x:v>26</x:v>
      </x:c>
      <x:c r="J1126" s="24" t="n">
        <x:f>IFERROR('各站彙總來源'!J1126/'各站彙總來源'!K1126,"")</x:f>
        <x:v>4</x:v>
      </x:c>
      <x:c r="K1126" s="19" t="n">
        <x:f>'各站彙總來源'!K1126</x:f>
        <x:v>26</x:v>
      </x:c>
      <x:c r="L1126" s="24" t="n">
        <x:f>IFERROR('各站彙總來源'!L1126/'各站彙總來源'!M1126,"")</x:f>
        <x:v>1.9230769230769231</x:v>
      </x:c>
      <x:c r="M1126" s="19" t="n">
        <x:f>'各站彙總來源'!M1126</x:f>
        <x:v>26</x:v>
      </x:c>
      <x:c r="N1126" s="24" t="n">
        <x:f>F1126+H1126</x:f>
        <x:v>9.115384615384617</x:v>
      </x:c>
      <x:c r="O1126" s="24" t="n">
        <x:f>J1126+L1126</x:f>
        <x:v>5.923076923076923</x:v>
      </x:c>
    </x:row>
    <x:row r="1127">
      <x:c r="A1127" s="22" t="str">
        <x:v>500108155</x:v>
      </x:c>
      <x:c r="B1127" s="17" t="str">
        <x:v>內湖區</x:v>
      </x:c>
      <x:c r="C1127" s="17" t="str">
        <x:v>臺北市立圖書館西湖分館</x:v>
      </x:c>
      <x:c r="D1127" s="18" t="n">
        <x:v>26</x:v>
      </x:c>
      <x:c r="E1127" s="18" t="n">
        <x:v>26</x:v>
      </x:c>
      <x:c r="F1127" s="24" t="n">
        <x:f>IFERROR('各站彙總來源'!F1127/'各站彙總來源'!G1127,"")</x:f>
        <x:v>0</x:v>
      </x:c>
      <x:c r="G1127" s="19" t="n">
        <x:f>'各站彙總來源'!G1127</x:f>
        <x:v>26</x:v>
      </x:c>
      <x:c r="H1127" s="24" t="n">
        <x:f>IFERROR('各站彙總來源'!H1127/'各站彙總來源'!I1127,"")</x:f>
        <x:v>0</x:v>
      </x:c>
      <x:c r="I1127" s="19" t="n">
        <x:f>'各站彙總來源'!I1127</x:f>
        <x:v>26</x:v>
      </x:c>
      <x:c r="J1127" s="24" t="n">
        <x:f>IFERROR('各站彙總來源'!J1127/'各站彙總來源'!K1127,"")</x:f>
        <x:v>0</x:v>
      </x:c>
      <x:c r="K1127" s="19" t="n">
        <x:f>'各站彙總來源'!K1127</x:f>
        <x:v>26</x:v>
      </x:c>
      <x:c r="L1127" s="24" t="n">
        <x:f>IFERROR('各站彙總來源'!L1127/'各站彙總來源'!M1127,"")</x:f>
        <x:v>0</x:v>
      </x:c>
      <x:c r="M1127" s="19" t="n">
        <x:f>'各站彙總來源'!M1127</x:f>
        <x:v>26</x:v>
      </x:c>
      <x:c r="N1127" s="24" t="n">
        <x:f>F1127+H1127</x:f>
        <x:v>0</x:v>
      </x:c>
      <x:c r="O1127" s="24" t="n">
        <x:f>J1127+L1127</x:f>
        <x:v>0</x:v>
      </x:c>
    </x:row>
    <x:row r="1128">
      <x:c r="A1128" s="22" t="str">
        <x:v>500108156</x:v>
      </x:c>
      <x:c r="B1128" s="17" t="str">
        <x:v>內湖區</x:v>
      </x:c>
      <x:c r="C1128" s="17" t="str">
        <x:v>民權東路六段56巷口</x:v>
      </x:c>
      <x:c r="D1128" s="18" t="n">
        <x:v>26</x:v>
      </x:c>
      <x:c r="E1128" s="18" t="n">
        <x:v>26</x:v>
      </x:c>
      <x:c r="F1128" s="24" t="n">
        <x:f>IFERROR('各站彙總來源'!F1128/'各站彙總來源'!G1128,"")</x:f>
        <x:v>7.538461538461538</x:v>
      </x:c>
      <x:c r="G1128" s="19" t="n">
        <x:f>'各站彙總來源'!G1128</x:f>
        <x:v>26</x:v>
      </x:c>
      <x:c r="H1128" s="24" t="n">
        <x:f>IFERROR('各站彙總來源'!H1128/'各站彙總來源'!I1128,"")</x:f>
        <x:v>1.4230769230769231</x:v>
      </x:c>
      <x:c r="I1128" s="19" t="n">
        <x:f>'各站彙總來源'!I1128</x:f>
        <x:v>26</x:v>
      </x:c>
      <x:c r="J1128" s="24" t="n">
        <x:f>IFERROR('各站彙總來源'!J1128/'各站彙總來源'!K1128,"")</x:f>
        <x:v>11.961538461538462</x:v>
      </x:c>
      <x:c r="K1128" s="19" t="n">
        <x:f>'各站彙總來源'!K1128</x:f>
        <x:v>26</x:v>
      </x:c>
      <x:c r="L1128" s="24" t="n">
        <x:f>IFERROR('各站彙總來源'!L1128/'各站彙總來源'!M1128,"")</x:f>
        <x:v>1.4615384615384615</x:v>
      </x:c>
      <x:c r="M1128" s="19" t="n">
        <x:f>'各站彙總來源'!M1128</x:f>
        <x:v>26</x:v>
      </x:c>
      <x:c r="N1128" s="24" t="n">
        <x:f>F1128+H1128</x:f>
        <x:v>8.961538461538462</x:v>
      </x:c>
      <x:c r="O1128" s="24" t="n">
        <x:f>J1128+L1128</x:f>
        <x:v>13.423076923076923</x:v>
      </x:c>
    </x:row>
    <x:row r="1129">
      <x:c r="A1129" s="22" t="str">
        <x:v>500108157</x:v>
      </x:c>
      <x:c r="B1129" s="17" t="str">
        <x:v>內湖區</x:v>
      </x:c>
      <x:c r="C1129" s="17" t="str">
        <x:v>新湖三行忠路72巷口</x:v>
      </x:c>
      <x:c r="D1129" s="18" t="n">
        <x:v>26</x:v>
      </x:c>
      <x:c r="E1129" s="18" t="n">
        <x:v>26</x:v>
      </x:c>
      <x:c r="F1129" s="24" t="n">
        <x:f>IFERROR('各站彙總來源'!F1129/'各站彙總來源'!G1129,"")</x:f>
        <x:v>5.653846153846154</x:v>
      </x:c>
      <x:c r="G1129" s="19" t="n">
        <x:f>'各站彙總來源'!G1129</x:f>
        <x:v>26</x:v>
      </x:c>
      <x:c r="H1129" s="24" t="n">
        <x:f>IFERROR('各站彙總來源'!H1129/'各站彙總來源'!I1129,"")</x:f>
        <x:v>0.8076923076923077</x:v>
      </x:c>
      <x:c r="I1129" s="19" t="n">
        <x:f>'各站彙總來源'!I1129</x:f>
        <x:v>26</x:v>
      </x:c>
      <x:c r="J1129" s="24" t="n">
        <x:f>IFERROR('各站彙總來源'!J1129/'各站彙總來源'!K1129,"")</x:f>
        <x:v>23.192307692307693</x:v>
      </x:c>
      <x:c r="K1129" s="19" t="n">
        <x:f>'各站彙總來源'!K1129</x:f>
        <x:v>26</x:v>
      </x:c>
      <x:c r="L1129" s="24" t="n">
        <x:f>IFERROR('各站彙總來源'!L1129/'各站彙總來源'!M1129,"")</x:f>
        <x:v>2.269230769230769</x:v>
      </x:c>
      <x:c r="M1129" s="19" t="n">
        <x:f>'各站彙總來源'!M1129</x:f>
        <x:v>26</x:v>
      </x:c>
      <x:c r="N1129" s="24" t="n">
        <x:f>F1129+H1129</x:f>
        <x:v>6.461538461538462</x:v>
      </x:c>
      <x:c r="O1129" s="24" t="n">
        <x:f>J1129+L1129</x:f>
        <x:v>25.461538461538463</x:v>
      </x:c>
    </x:row>
    <x:row r="1130">
      <x:c r="A1130" s="22" t="str">
        <x:v>500108158</x:v>
      </x:c>
      <x:c r="B1130" s="17" t="str">
        <x:v>內湖區</x:v>
      </x:c>
      <x:c r="C1130" s="17" t="str">
        <x:v>新湖三新湖二146巷口</x:v>
      </x:c>
      <x:c r="D1130" s="18" t="n">
        <x:v>26</x:v>
      </x:c>
      <x:c r="E1130" s="18" t="n">
        <x:v>26</x:v>
      </x:c>
      <x:c r="F1130" s="24" t="n">
        <x:f>IFERROR('各站彙總來源'!F1130/'各站彙總來源'!G1130,"")</x:f>
        <x:v>6.269230769230769</x:v>
      </x:c>
      <x:c r="G1130" s="19" t="n">
        <x:f>'各站彙總來源'!G1130</x:f>
        <x:v>26</x:v>
      </x:c>
      <x:c r="H1130" s="24" t="n">
        <x:f>IFERROR('各站彙總來源'!H1130/'各站彙總來源'!I1130,"")</x:f>
        <x:v>0.5769230769230769</x:v>
      </x:c>
      <x:c r="I1130" s="19" t="n">
        <x:f>'各站彙總來源'!I1130</x:f>
        <x:v>26</x:v>
      </x:c>
      <x:c r="J1130" s="24" t="n">
        <x:f>IFERROR('各站彙總來源'!J1130/'各站彙總來源'!K1130,"")</x:f>
        <x:v>18</x:v>
      </x:c>
      <x:c r="K1130" s="19" t="n">
        <x:f>'各站彙總來源'!K1130</x:f>
        <x:v>26</x:v>
      </x:c>
      <x:c r="L1130" s="24" t="n">
        <x:f>IFERROR('各站彙總來源'!L1130/'各站彙總來源'!M1130,"")</x:f>
        <x:v>3.230769230769231</x:v>
      </x:c>
      <x:c r="M1130" s="19" t="n">
        <x:f>'各站彙總來源'!M1130</x:f>
        <x:v>26</x:v>
      </x:c>
      <x:c r="N1130" s="24" t="n">
        <x:f>F1130+H1130</x:f>
        <x:v>6.846153846153846</x:v>
      </x:c>
      <x:c r="O1130" s="24" t="n">
        <x:f>J1130+L1130</x:f>
        <x:v>21.23076923076923</x:v>
      </x:c>
    </x:row>
    <x:row r="1131">
      <x:c r="A1131" s="22" t="str">
        <x:v>500108159</x:v>
      </x:c>
      <x:c r="B1131" s="17" t="str">
        <x:v>內湖區</x:v>
      </x:c>
      <x:c r="C1131" s="17" t="str">
        <x:v>舊宗新湖二路口</x:v>
      </x:c>
      <x:c r="D1131" s="18" t="n">
        <x:v>26</x:v>
      </x:c>
      <x:c r="E1131" s="18" t="n">
        <x:v>26</x:v>
      </x:c>
      <x:c r="F1131" s="24" t="n">
        <x:f>IFERROR('各站彙總來源'!F1131/'各站彙總來源'!G1131,"")</x:f>
        <x:v>6.653846153846154</x:v>
      </x:c>
      <x:c r="G1131" s="19" t="n">
        <x:f>'各站彙總來源'!G1131</x:f>
        <x:v>26</x:v>
      </x:c>
      <x:c r="H1131" s="24" t="n">
        <x:f>IFERROR('各站彙總來源'!H1131/'各站彙總來源'!I1131,"")</x:f>
        <x:v>0.7692307692307693</x:v>
      </x:c>
      <x:c r="I1131" s="19" t="n">
        <x:f>'各站彙總來源'!I1131</x:f>
        <x:v>26</x:v>
      </x:c>
      <x:c r="J1131" s="24" t="n">
        <x:f>IFERROR('各站彙總來源'!J1131/'各站彙總來源'!K1131,"")</x:f>
        <x:v>24.26923076923077</x:v>
      </x:c>
      <x:c r="K1131" s="19" t="n">
        <x:f>'各站彙總來源'!K1131</x:f>
        <x:v>26</x:v>
      </x:c>
      <x:c r="L1131" s="24" t="n">
        <x:f>IFERROR('各站彙總來源'!L1131/'各站彙總來源'!M1131,"")</x:f>
        <x:v>3.923076923076923</x:v>
      </x:c>
      <x:c r="M1131" s="19" t="n">
        <x:f>'各站彙總來源'!M1131</x:f>
        <x:v>26</x:v>
      </x:c>
      <x:c r="N1131" s="24" t="n">
        <x:f>F1131+H1131</x:f>
        <x:v>7.423076923076923</x:v>
      </x:c>
      <x:c r="O1131" s="24" t="n">
        <x:f>J1131+L1131</x:f>
        <x:v>28.192307692307693</x:v>
      </x:c>
    </x:row>
    <x:row r="1132">
      <x:c r="A1132" s="22" t="str">
        <x:v>500108160</x:v>
      </x:c>
      <x:c r="B1132" s="17" t="str">
        <x:v>內湖區</x:v>
      </x:c>
      <x:c r="C1132" s="17" t="str">
        <x:v>新光基湖大樓</x:v>
      </x:c>
      <x:c r="D1132" s="18" t="n">
        <x:v>26</x:v>
      </x:c>
      <x:c r="E1132" s="18" t="n">
        <x:v>26</x:v>
      </x:c>
      <x:c r="F1132" s="24" t="n">
        <x:f>IFERROR('各站彙總來源'!F1132/'各站彙總來源'!G1132,"")</x:f>
        <x:v>2.8846153846153846</x:v>
      </x:c>
      <x:c r="G1132" s="19" t="n">
        <x:f>'各站彙總來源'!G1132</x:f>
        <x:v>26</x:v>
      </x:c>
      <x:c r="H1132" s="24" t="n">
        <x:f>IFERROR('各站彙總來源'!H1132/'各站彙總來源'!I1132,"")</x:f>
        <x:v>1.4615384615384615</x:v>
      </x:c>
      <x:c r="I1132" s="19" t="n">
        <x:f>'各站彙總來源'!I1132</x:f>
        <x:v>26</x:v>
      </x:c>
      <x:c r="J1132" s="24" t="n">
        <x:f>IFERROR('各站彙總來源'!J1132/'各站彙總來源'!K1132,"")</x:f>
        <x:v>10.307692307692308</x:v>
      </x:c>
      <x:c r="K1132" s="19" t="n">
        <x:f>'各站彙總來源'!K1132</x:f>
        <x:v>26</x:v>
      </x:c>
      <x:c r="L1132" s="24" t="n">
        <x:f>IFERROR('各站彙總來源'!L1132/'各站彙總來源'!M1132,"")</x:f>
        <x:v>2.5384615384615383</x:v>
      </x:c>
      <x:c r="M1132" s="19" t="n">
        <x:f>'各站彙總來源'!M1132</x:f>
        <x:v>26</x:v>
      </x:c>
      <x:c r="N1132" s="24" t="n">
        <x:f>F1132+H1132</x:f>
        <x:v>4.346153846153846</x:v>
      </x:c>
      <x:c r="O1132" s="24" t="n">
        <x:f>J1132+L1132</x:f>
        <x:v>12.846153846153847</x:v>
      </x:c>
    </x:row>
    <x:row r="1133">
      <x:c r="A1133" s="22" t="str">
        <x:v>500108161</x:v>
      </x:c>
      <x:c r="B1133" s="17" t="str">
        <x:v>內湖區</x:v>
      </x:c>
      <x:c r="C1133" s="17" t="str">
        <x:v>內湖路一段120巷15弄</x:v>
      </x:c>
      <x:c r="D1133" s="18" t="n">
        <x:v>26</x:v>
      </x:c>
      <x:c r="E1133" s="18" t="n">
        <x:v>26</x:v>
      </x:c>
      <x:c r="F1133" s="24" t="n">
        <x:f>IFERROR('各站彙總來源'!F1133/'各站彙總來源'!G1133,"")</x:f>
        <x:v>3.5384615384615383</x:v>
      </x:c>
      <x:c r="G1133" s="19" t="n">
        <x:f>'各站彙總來源'!G1133</x:f>
        <x:v>26</x:v>
      </x:c>
      <x:c r="H1133" s="24" t="n">
        <x:f>IFERROR('各站彙總來源'!H1133/'各站彙總來源'!I1133,"")</x:f>
        <x:v>1.1923076923076923</x:v>
      </x:c>
      <x:c r="I1133" s="19" t="n">
        <x:f>'各站彙總來源'!I1133</x:f>
        <x:v>26</x:v>
      </x:c>
      <x:c r="J1133" s="24" t="n">
        <x:f>IFERROR('各站彙總來源'!J1133/'各站彙總來源'!K1133,"")</x:f>
        <x:v>22.115384615384617</x:v>
      </x:c>
      <x:c r="K1133" s="19" t="n">
        <x:f>'各站彙總來源'!K1133</x:f>
        <x:v>26</x:v>
      </x:c>
      <x:c r="L1133" s="24" t="n">
        <x:f>IFERROR('各站彙總來源'!L1133/'各站彙總來源'!M1133,"")</x:f>
        <x:v>2.8076923076923075</x:v>
      </x:c>
      <x:c r="M1133" s="19" t="n">
        <x:f>'各站彙總來源'!M1133</x:f>
        <x:v>26</x:v>
      </x:c>
      <x:c r="N1133" s="24" t="n">
        <x:f>F1133+H1133</x:f>
        <x:v>4.730769230769231</x:v>
      </x:c>
      <x:c r="O1133" s="24" t="n">
        <x:f>J1133+L1133</x:f>
        <x:v>24.923076923076923</x:v>
      </x:c>
    </x:row>
    <x:row r="1134">
      <x:c r="A1134" s="22" t="str">
        <x:v>500108162</x:v>
      </x:c>
      <x:c r="B1134" s="17" t="str">
        <x:v>內湖區</x:v>
      </x:c>
      <x:c r="C1134" s="17" t="str">
        <x:v>北勢湖環保公園(堤頂大道側)</x:v>
      </x:c>
      <x:c r="D1134" s="18" t="n">
        <x:v>26</x:v>
      </x:c>
      <x:c r="E1134" s="18" t="n">
        <x:v>26</x:v>
      </x:c>
      <x:c r="F1134" s="24" t="n">
        <x:f>IFERROR('各站彙總來源'!F1134/'各站彙總來源'!G1134,"")</x:f>
        <x:v>5.576923076923077</x:v>
      </x:c>
      <x:c r="G1134" s="19" t="n">
        <x:f>'各站彙總來源'!G1134</x:f>
        <x:v>26</x:v>
      </x:c>
      <x:c r="H1134" s="24" t="n">
        <x:f>IFERROR('各站彙總來源'!H1134/'各站彙總來源'!I1134,"")</x:f>
        <x:v>1.4230769230769231</x:v>
      </x:c>
      <x:c r="I1134" s="19" t="n">
        <x:f>'各站彙總來源'!I1134</x:f>
        <x:v>26</x:v>
      </x:c>
      <x:c r="J1134" s="24" t="n">
        <x:f>IFERROR('各站彙總來源'!J1134/'各站彙總來源'!K1134,"")</x:f>
        <x:v>10.307692307692308</x:v>
      </x:c>
      <x:c r="K1134" s="19" t="n">
        <x:f>'各站彙總來源'!K1134</x:f>
        <x:v>26</x:v>
      </x:c>
      <x:c r="L1134" s="24" t="n">
        <x:f>IFERROR('各站彙總來源'!L1134/'各站彙總來源'!M1134,"")</x:f>
        <x:v>1.6923076923076923</x:v>
      </x:c>
      <x:c r="M1134" s="19" t="n">
        <x:f>'各站彙總來源'!M1134</x:f>
        <x:v>26</x:v>
      </x:c>
      <x:c r="N1134" s="24" t="n">
        <x:f>F1134+H1134</x:f>
        <x:v>7</x:v>
      </x:c>
      <x:c r="O1134" s="24" t="n">
        <x:f>J1134+L1134</x:f>
        <x:v>12</x:v>
      </x:c>
    </x:row>
    <x:row r="1135">
      <x:c r="A1135" s="22" t="str">
        <x:v>500108163</x:v>
      </x:c>
      <x:c r="B1135" s="17" t="str">
        <x:v>內湖區</x:v>
      </x:c>
      <x:c r="C1135" s="17" t="str">
        <x:v>光寶科技大樓</x:v>
      </x:c>
      <x:c r="D1135" s="18" t="n">
        <x:v>26</x:v>
      </x:c>
      <x:c r="E1135" s="18" t="n">
        <x:v>26</x:v>
      </x:c>
      <x:c r="F1135" s="24" t="n">
        <x:f>IFERROR('各站彙總來源'!F1135/'各站彙總來源'!G1135,"")</x:f>
        <x:v>0</x:v>
      </x:c>
      <x:c r="G1135" s="19" t="n">
        <x:f>'各站彙總來源'!G1135</x:f>
        <x:v>26</x:v>
      </x:c>
      <x:c r="H1135" s="24" t="n">
        <x:f>IFERROR('各站彙總來源'!H1135/'各站彙總來源'!I1135,"")</x:f>
        <x:v>0</x:v>
      </x:c>
      <x:c r="I1135" s="19" t="n">
        <x:f>'各站彙總來源'!I1135</x:f>
        <x:v>26</x:v>
      </x:c>
      <x:c r="J1135" s="24" t="n">
        <x:f>IFERROR('各站彙總來源'!J1135/'各站彙總來源'!K1135,"")</x:f>
        <x:v>0</x:v>
      </x:c>
      <x:c r="K1135" s="19" t="n">
        <x:f>'各站彙總來源'!K1135</x:f>
        <x:v>26</x:v>
      </x:c>
      <x:c r="L1135" s="24" t="n">
        <x:f>IFERROR('各站彙總來源'!L1135/'各站彙總來源'!M1135,"")</x:f>
        <x:v>0</x:v>
      </x:c>
      <x:c r="M1135" s="19" t="n">
        <x:f>'各站彙總來源'!M1135</x:f>
        <x:v>26</x:v>
      </x:c>
      <x:c r="N1135" s="24" t="n">
        <x:f>F1135+H1135</x:f>
        <x:v>0</x:v>
      </x:c>
      <x:c r="O1135" s="24" t="n">
        <x:f>J1135+L1135</x:f>
        <x:v>0</x:v>
      </x:c>
    </x:row>
    <x:row r="1136">
      <x:c r="A1136" s="22" t="str">
        <x:v>500108164</x:v>
      </x:c>
      <x:c r="B1136" s="17" t="str">
        <x:v>內湖區</x:v>
      </x:c>
      <x:c r="C1136" s="17" t="str">
        <x:v>達爾文大樓</x:v>
      </x:c>
      <x:c r="D1136" s="18" t="n">
        <x:v>26</x:v>
      </x:c>
      <x:c r="E1136" s="18" t="n">
        <x:v>26</x:v>
      </x:c>
      <x:c r="F1136" s="24" t="n">
        <x:f>IFERROR('各站彙總來源'!F1136/'各站彙總來源'!G1136,"")</x:f>
        <x:v>2.5</x:v>
      </x:c>
      <x:c r="G1136" s="19" t="n">
        <x:f>'各站彙總來源'!G1136</x:f>
        <x:v>26</x:v>
      </x:c>
      <x:c r="H1136" s="24" t="n">
        <x:f>IFERROR('各站彙總來源'!H1136/'各站彙總來源'!I1136,"")</x:f>
        <x:v>0.7307692307692307</x:v>
      </x:c>
      <x:c r="I1136" s="19" t="n">
        <x:f>'各站彙總來源'!I1136</x:f>
        <x:v>26</x:v>
      </x:c>
      <x:c r="J1136" s="24" t="n">
        <x:f>IFERROR('各站彙總來源'!J1136/'各站彙總來源'!K1136,"")</x:f>
        <x:v>5.346153846153846</x:v>
      </x:c>
      <x:c r="K1136" s="19" t="n">
        <x:f>'各站彙總來源'!K1136</x:f>
        <x:v>26</x:v>
      </x:c>
      <x:c r="L1136" s="24" t="n">
        <x:f>IFERROR('各站彙總來源'!L1136/'各站彙總來源'!M1136,"")</x:f>
        <x:v>2.230769230769231</x:v>
      </x:c>
      <x:c r="M1136" s="19" t="n">
        <x:f>'各站彙總來源'!M1136</x:f>
        <x:v>26</x:v>
      </x:c>
      <x:c r="N1136" s="24" t="n">
        <x:f>F1136+H1136</x:f>
        <x:v>3.230769230769231</x:v>
      </x:c>
      <x:c r="O1136" s="24" t="n">
        <x:f>J1136+L1136</x:f>
        <x:v>7.576923076923077</x:v>
      </x:c>
    </x:row>
    <x:row r="1137">
      <x:c r="A1137" s="22" t="str">
        <x:v>500108165</x:v>
      </x:c>
      <x:c r="B1137" s="17" t="str">
        <x:v>內湖區</x:v>
      </x:c>
      <x:c r="C1137" s="17" t="str">
        <x:v>東湖四號公園</x:v>
      </x:c>
      <x:c r="D1137" s="18" t="n">
        <x:v>26</x:v>
      </x:c>
      <x:c r="E1137" s="18" t="n">
        <x:v>26</x:v>
      </x:c>
      <x:c r="F1137" s="24" t="n">
        <x:f>IFERROR('各站彙總來源'!F1137/'各站彙總來源'!G1137,"")</x:f>
        <x:v>16.076923076923077</x:v>
      </x:c>
      <x:c r="G1137" s="19" t="n">
        <x:f>'各站彙總來源'!G1137</x:f>
        <x:v>26</x:v>
      </x:c>
      <x:c r="H1137" s="24" t="n">
        <x:f>IFERROR('各站彙總來源'!H1137/'各站彙總來源'!I1137,"")</x:f>
        <x:v>2.4615384615384617</x:v>
      </x:c>
      <x:c r="I1137" s="19" t="n">
        <x:f>'各站彙總來源'!I1137</x:f>
        <x:v>26</x:v>
      </x:c>
      <x:c r="J1137" s="24" t="n">
        <x:f>IFERROR('各站彙總來源'!J1137/'各站彙總來源'!K1137,"")</x:f>
        <x:v>5.153846153846154</x:v>
      </x:c>
      <x:c r="K1137" s="19" t="n">
        <x:f>'各站彙總來源'!K1137</x:f>
        <x:v>26</x:v>
      </x:c>
      <x:c r="L1137" s="24" t="n">
        <x:f>IFERROR('各站彙總來源'!L1137/'各站彙總來源'!M1137,"")</x:f>
        <x:v>1.3461538461538463</x:v>
      </x:c>
      <x:c r="M1137" s="19" t="n">
        <x:f>'各站彙總來源'!M1137</x:f>
        <x:v>26</x:v>
      </x:c>
      <x:c r="N1137" s="24" t="n">
        <x:f>F1137+H1137</x:f>
        <x:v>18.53846153846154</x:v>
      </x:c>
      <x:c r="O1137" s="24" t="n">
        <x:f>J1137+L1137</x:f>
        <x:v>6.5</x:v>
      </x:c>
    </x:row>
    <x:row r="1138">
      <x:c r="A1138" s="22" t="str">
        <x:v>500108166</x:v>
      </x:c>
      <x:c r="B1138" s="17" t="str">
        <x:v>內湖區</x:v>
      </x:c>
      <x:c r="C1138" s="17" t="str">
        <x:v>加瑪科技中心</x:v>
      </x:c>
      <x:c r="D1138" s="18" t="n">
        <x:v>26</x:v>
      </x:c>
      <x:c r="E1138" s="18" t="n">
        <x:v>26</x:v>
      </x:c>
      <x:c r="F1138" s="24" t="n">
        <x:f>IFERROR('各站彙總來源'!F1138/'各站彙總來源'!G1138,"")</x:f>
        <x:v>2.576923076923077</x:v>
      </x:c>
      <x:c r="G1138" s="19" t="n">
        <x:f>'各站彙總來源'!G1138</x:f>
        <x:v>26</x:v>
      </x:c>
      <x:c r="H1138" s="24" t="n">
        <x:f>IFERROR('各站彙總來源'!H1138/'各站彙總來源'!I1138,"")</x:f>
        <x:v>0.23076923076923078</x:v>
      </x:c>
      <x:c r="I1138" s="19" t="n">
        <x:f>'各站彙總來源'!I1138</x:f>
        <x:v>26</x:v>
      </x:c>
      <x:c r="J1138" s="24" t="n">
        <x:f>IFERROR('各站彙總來源'!J1138/'各站彙總來源'!K1138,"")</x:f>
        <x:v>29.692307692307693</x:v>
      </x:c>
      <x:c r="K1138" s="19" t="n">
        <x:f>'各站彙總來源'!K1138</x:f>
        <x:v>26</x:v>
      </x:c>
      <x:c r="L1138" s="24" t="n">
        <x:f>IFERROR('各站彙總來源'!L1138/'各站彙總來源'!M1138,"")</x:f>
        <x:v>2.076923076923077</x:v>
      </x:c>
      <x:c r="M1138" s="19" t="n">
        <x:f>'各站彙總來源'!M1138</x:f>
        <x:v>26</x:v>
      </x:c>
      <x:c r="N1138" s="24" t="n">
        <x:f>F1138+H1138</x:f>
        <x:v>2.807692307692308</x:v>
      </x:c>
      <x:c r="O1138" s="24" t="n">
        <x:f>J1138+L1138</x:f>
        <x:v>31.76923076923077</x:v>
      </x:c>
    </x:row>
    <x:row r="1139">
      <x:c r="A1139" s="22" t="str">
        <x:v>500108167</x:v>
      </x:c>
      <x:c r="B1139" s="17" t="str">
        <x:v>內湖區</x:v>
      </x:c>
      <x:c r="C1139" s="17" t="str">
        <x:v>福壽公園</x:v>
      </x:c>
      <x:c r="D1139" s="18" t="n">
        <x:v>26</x:v>
      </x:c>
      <x:c r="E1139" s="18" t="n">
        <x:v>26</x:v>
      </x:c>
      <x:c r="F1139" s="24" t="n">
        <x:f>IFERROR('各站彙總來源'!F1139/'各站彙總來源'!G1139,"")</x:f>
        <x:v>8.23076923076923</x:v>
      </x:c>
      <x:c r="G1139" s="19" t="n">
        <x:f>'各站彙總來源'!G1139</x:f>
        <x:v>26</x:v>
      </x:c>
      <x:c r="H1139" s="24" t="n">
        <x:f>IFERROR('各站彙總來源'!H1139/'各站彙總來源'!I1139,"")</x:f>
        <x:v>2.730769230769231</x:v>
      </x:c>
      <x:c r="I1139" s="19" t="n">
        <x:f>'各站彙總來源'!I1139</x:f>
        <x:v>26</x:v>
      </x:c>
      <x:c r="J1139" s="24" t="n">
        <x:f>IFERROR('各站彙總來源'!J1139/'各站彙總來源'!K1139,"")</x:f>
        <x:v>2.5384615384615383</x:v>
      </x:c>
      <x:c r="K1139" s="19" t="n">
        <x:f>'各站彙總來源'!K1139</x:f>
        <x:v>26</x:v>
      </x:c>
      <x:c r="L1139" s="24" t="n">
        <x:f>IFERROR('各站彙總來源'!L1139/'各站彙總來源'!M1139,"")</x:f>
        <x:v>1.3076923076923077</x:v>
      </x:c>
      <x:c r="M1139" s="19" t="n">
        <x:f>'各站彙總來源'!M1139</x:f>
        <x:v>26</x:v>
      </x:c>
      <x:c r="N1139" s="24" t="n">
        <x:f>F1139+H1139</x:f>
        <x:v>10.96153846153846</x:v>
      </x:c>
      <x:c r="O1139" s="24" t="n">
        <x:f>J1139+L1139</x:f>
        <x:v>3.846153846153846</x:v>
      </x:c>
    </x:row>
    <x:row r="1140">
      <x:c r="A1140" s="22" t="str">
        <x:v>500108168</x:v>
      </x:c>
      <x:c r="B1140" s="17" t="str">
        <x:v>內湖區</x:v>
      </x:c>
      <x:c r="C1140" s="17" t="str">
        <x:v>捷運西湖站(1號出口)內湖路側</x:v>
      </x:c>
      <x:c r="D1140" s="18" t="n">
        <x:v>26</x:v>
      </x:c>
      <x:c r="E1140" s="18" t="n">
        <x:v>26</x:v>
      </x:c>
      <x:c r="F1140" s="24" t="n">
        <x:f>IFERROR('各站彙總來源'!F1140/'各站彙總來源'!G1140,"")</x:f>
        <x:v>5.461538461538462</x:v>
      </x:c>
      <x:c r="G1140" s="19" t="n">
        <x:f>'各站彙總來源'!G1140</x:f>
        <x:v>26</x:v>
      </x:c>
      <x:c r="H1140" s="24" t="n">
        <x:f>IFERROR('各站彙總來源'!H1140/'各站彙總來源'!I1140,"")</x:f>
        <x:v>0.7692307692307693</x:v>
      </x:c>
      <x:c r="I1140" s="19" t="n">
        <x:f>'各站彙總來源'!I1140</x:f>
        <x:v>26</x:v>
      </x:c>
      <x:c r="J1140" s="24" t="n">
        <x:f>IFERROR('各站彙總來源'!J1140/'各站彙總來源'!K1140,"")</x:f>
        <x:v>6.269230769230769</x:v>
      </x:c>
      <x:c r="K1140" s="19" t="n">
        <x:f>'各站彙總來源'!K1140</x:f>
        <x:v>26</x:v>
      </x:c>
      <x:c r="L1140" s="24" t="n">
        <x:f>IFERROR('各站彙總來源'!L1140/'各站彙總來源'!M1140,"")</x:f>
        <x:v>1.4230769230769231</x:v>
      </x:c>
      <x:c r="M1140" s="19" t="n">
        <x:f>'各站彙總來源'!M1140</x:f>
        <x:v>26</x:v>
      </x:c>
      <x:c r="N1140" s="24" t="n">
        <x:f>F1140+H1140</x:f>
        <x:v>6.230769230769231</x:v>
      </x:c>
      <x:c r="O1140" s="24" t="n">
        <x:f>J1140+L1140</x:f>
        <x:v>7.6923076923076925</x:v>
      </x:c>
    </x:row>
    <x:row r="1141">
      <x:c r="A1141" s="22" t="str">
        <x:v>500108169</x:v>
      </x:c>
      <x:c r="B1141" s="17" t="str">
        <x:v>內湖區</x:v>
      </x:c>
      <x:c r="C1141" s="17" t="str">
        <x:v>威剛科技總部</x:v>
      </x:c>
      <x:c r="D1141" s="18" t="n">
        <x:v>26</x:v>
      </x:c>
      <x:c r="E1141" s="18" t="n">
        <x:v>26</x:v>
      </x:c>
      <x:c r="F1141" s="24" t="n">
        <x:f>IFERROR('各站彙總來源'!F1141/'各站彙總來源'!G1141,"")</x:f>
        <x:v>7.961538461538462</x:v>
      </x:c>
      <x:c r="G1141" s="19" t="n">
        <x:f>'各站彙總來源'!G1141</x:f>
        <x:v>26</x:v>
      </x:c>
      <x:c r="H1141" s="24" t="n">
        <x:f>IFERROR('各站彙總來源'!H1141/'各站彙總來源'!I1141,"")</x:f>
        <x:v>2.8461538461538463</x:v>
      </x:c>
      <x:c r="I1141" s="19" t="n">
        <x:f>'各站彙總來源'!I1141</x:f>
        <x:v>26</x:v>
      </x:c>
      <x:c r="J1141" s="24" t="n">
        <x:f>IFERROR('各站彙總來源'!J1141/'各站彙總來源'!K1141,"")</x:f>
        <x:v>27.576923076923077</x:v>
      </x:c>
      <x:c r="K1141" s="19" t="n">
        <x:f>'各站彙總來源'!K1141</x:f>
        <x:v>26</x:v>
      </x:c>
      <x:c r="L1141" s="24" t="n">
        <x:f>IFERROR('各站彙總來源'!L1141/'各站彙總來源'!M1141,"")</x:f>
        <x:v>5.576923076923077</x:v>
      </x:c>
      <x:c r="M1141" s="19" t="n">
        <x:f>'各站彙總來源'!M1141</x:f>
        <x:v>26</x:v>
      </x:c>
      <x:c r="N1141" s="24" t="n">
        <x:f>F1141+H1141</x:f>
        <x:v>10.807692307692308</x:v>
      </x:c>
      <x:c r="O1141" s="24" t="n">
        <x:f>J1141+L1141</x:f>
        <x:v>33.15384615384615</x:v>
      </x:c>
    </x:row>
    <x:row r="1142">
      <x:c r="A1142" s="22" t="str">
        <x:v>500108170</x:v>
      </x:c>
      <x:c r="B1142" s="17" t="str">
        <x:v>內湖區</x:v>
      </x:c>
      <x:c r="C1142" s="17" t="str">
        <x:v>太陽科技廣場</x:v>
      </x:c>
      <x:c r="D1142" s="18" t="n">
        <x:v>26</x:v>
      </x:c>
      <x:c r="E1142" s="18" t="n">
        <x:v>26</x:v>
      </x:c>
      <x:c r="F1142" s="24" t="n">
        <x:f>IFERROR('各站彙總來源'!F1142/'各站彙總來源'!G1142,"")</x:f>
        <x:v>6.769230769230769</x:v>
      </x:c>
      <x:c r="G1142" s="19" t="n">
        <x:f>'各站彙總來源'!G1142</x:f>
        <x:v>26</x:v>
      </x:c>
      <x:c r="H1142" s="24" t="n">
        <x:f>IFERROR('各站彙總來源'!H1142/'各站彙總來源'!I1142,"")</x:f>
        <x:v>0.9230769230769231</x:v>
      </x:c>
      <x:c r="I1142" s="19" t="n">
        <x:f>'各站彙總來源'!I1142</x:f>
        <x:v>26</x:v>
      </x:c>
      <x:c r="J1142" s="24" t="n">
        <x:f>IFERROR('各站彙總來源'!J1142/'各站彙總來源'!K1142,"")</x:f>
        <x:v>4.615384615384615</x:v>
      </x:c>
      <x:c r="K1142" s="19" t="n">
        <x:f>'各站彙總來源'!K1142</x:f>
        <x:v>26</x:v>
      </x:c>
      <x:c r="L1142" s="24" t="n">
        <x:f>IFERROR('各站彙總來源'!L1142/'各站彙總來源'!M1142,"")</x:f>
        <x:v>1.0769230769230769</x:v>
      </x:c>
      <x:c r="M1142" s="19" t="n">
        <x:f>'各站彙總來源'!M1142</x:f>
        <x:v>26</x:v>
      </x:c>
      <x:c r="N1142" s="24" t="n">
        <x:f>F1142+H1142</x:f>
        <x:v>7.6923076923076925</x:v>
      </x:c>
      <x:c r="O1142" s="24" t="n">
        <x:f>J1142+L1142</x:f>
        <x:v>5.692307692307692</x:v>
      </x:c>
    </x:row>
    <x:row r="1143">
      <x:c r="A1143" s="22" t="str">
        <x:v>500108171</x:v>
      </x:c>
      <x:c r="B1143" s="17" t="str">
        <x:v>內湖區</x:v>
      </x:c>
      <x:c r="C1143" s="17" t="str">
        <x:v>瑞光路316巷</x:v>
      </x:c>
      <x:c r="D1143" s="18" t="n">
        <x:v>26</x:v>
      </x:c>
      <x:c r="E1143" s="18" t="n">
        <x:v>26</x:v>
      </x:c>
      <x:c r="F1143" s="24" t="n">
        <x:f>IFERROR('各站彙總來源'!F1143/'各站彙總來源'!G1143,"")</x:f>
        <x:v>3.3076923076923075</x:v>
      </x:c>
      <x:c r="G1143" s="19" t="n">
        <x:f>'各站彙總來源'!G1143</x:f>
        <x:v>26</x:v>
      </x:c>
      <x:c r="H1143" s="24" t="n">
        <x:f>IFERROR('各站彙總來源'!H1143/'各站彙總來源'!I1143,"")</x:f>
        <x:v>0.7307692307692307</x:v>
      </x:c>
      <x:c r="I1143" s="19" t="n">
        <x:f>'各站彙總來源'!I1143</x:f>
        <x:v>26</x:v>
      </x:c>
      <x:c r="J1143" s="24" t="n">
        <x:f>IFERROR('各站彙總來源'!J1143/'各站彙總來源'!K1143,"")</x:f>
        <x:v>20.615384615384617</x:v>
      </x:c>
      <x:c r="K1143" s="19" t="n">
        <x:f>'各站彙總來源'!K1143</x:f>
        <x:v>26</x:v>
      </x:c>
      <x:c r="L1143" s="24" t="n">
        <x:f>IFERROR('各站彙總來源'!L1143/'各站彙總來源'!M1143,"")</x:f>
        <x:v>2.9615384615384617</x:v>
      </x:c>
      <x:c r="M1143" s="19" t="n">
        <x:f>'各站彙總來源'!M1143</x:f>
        <x:v>26</x:v>
      </x:c>
      <x:c r="N1143" s="24" t="n">
        <x:f>F1143+H1143</x:f>
        <x:v>4.038461538461538</x:v>
      </x:c>
      <x:c r="O1143" s="24" t="n">
        <x:f>J1143+L1143</x:f>
        <x:v>23.57692307692308</x:v>
      </x:c>
    </x:row>
    <x:row r="1144">
      <x:c r="A1144" s="22" t="str">
        <x:v>500108172</x:v>
      </x:c>
      <x:c r="B1144" s="17" t="str">
        <x:v>內湖區</x:v>
      </x:c>
      <x:c r="C1144" s="17" t="str">
        <x:v>文德路220巷口</x:v>
      </x:c>
      <x:c r="D1144" s="18" t="n">
        <x:v>26</x:v>
      </x:c>
      <x:c r="E1144" s="18" t="n">
        <x:v>26</x:v>
      </x:c>
      <x:c r="F1144" s="24" t="n">
        <x:f>IFERROR('各站彙總來源'!F1144/'各站彙總來源'!G1144,"")</x:f>
        <x:v>10.576923076923077</x:v>
      </x:c>
      <x:c r="G1144" s="19" t="n">
        <x:f>'各站彙總來源'!G1144</x:f>
        <x:v>26</x:v>
      </x:c>
      <x:c r="H1144" s="24" t="n">
        <x:f>IFERROR('各站彙總來源'!H1144/'各站彙總來源'!I1144,"")</x:f>
        <x:v>1.3461538461538463</x:v>
      </x:c>
      <x:c r="I1144" s="19" t="n">
        <x:f>'各站彙總來源'!I1144</x:f>
        <x:v>26</x:v>
      </x:c>
      <x:c r="J1144" s="24" t="n">
        <x:f>IFERROR('各站彙總來源'!J1144/'各站彙總來源'!K1144,"")</x:f>
        <x:v>3.076923076923077</x:v>
      </x:c>
      <x:c r="K1144" s="19" t="n">
        <x:f>'各站彙總來源'!K1144</x:f>
        <x:v>26</x:v>
      </x:c>
      <x:c r="L1144" s="24" t="n">
        <x:f>IFERROR('各站彙總來源'!L1144/'各站彙總來源'!M1144,"")</x:f>
        <x:v>1.0769230769230769</x:v>
      </x:c>
      <x:c r="M1144" s="19" t="n">
        <x:f>'各站彙總來源'!M1144</x:f>
        <x:v>26</x:v>
      </x:c>
      <x:c r="N1144" s="24" t="n">
        <x:f>F1144+H1144</x:f>
        <x:v>11.923076923076923</x:v>
      </x:c>
      <x:c r="O1144" s="24" t="n">
        <x:f>J1144+L1144</x:f>
        <x:v>4.153846153846154</x:v>
      </x:c>
    </x:row>
    <x:row r="1145">
      <x:c r="A1145" s="22" t="str">
        <x:v>500108173</x:v>
      </x:c>
      <x:c r="B1145" s="17" t="str">
        <x:v>內湖區</x:v>
      </x:c>
      <x:c r="C1145" s="17" t="str">
        <x:v>長壽抽水站</x:v>
      </x:c>
      <x:c r="D1145" s="18" t="n">
        <x:v>26</x:v>
      </x:c>
      <x:c r="E1145" s="18" t="n">
        <x:v>26</x:v>
      </x:c>
      <x:c r="F1145" s="24" t="n">
        <x:f>IFERROR('各站彙總來源'!F1145/'各站彙總來源'!G1145,"")</x:f>
        <x:v>7.230769230769231</x:v>
      </x:c>
      <x:c r="G1145" s="19" t="n">
        <x:f>'各站彙總來源'!G1145</x:f>
        <x:v>26</x:v>
      </x:c>
      <x:c r="H1145" s="24" t="n">
        <x:f>IFERROR('各站彙總來源'!H1145/'各站彙總來源'!I1145,"")</x:f>
        <x:v>2.3076923076923075</x:v>
      </x:c>
      <x:c r="I1145" s="19" t="n">
        <x:f>'各站彙總來源'!I1145</x:f>
        <x:v>26</x:v>
      </x:c>
      <x:c r="J1145" s="24" t="n">
        <x:f>IFERROR('各站彙總來源'!J1145/'各站彙總來源'!K1145,"")</x:f>
        <x:v>8.576923076923077</x:v>
      </x:c>
      <x:c r="K1145" s="19" t="n">
        <x:f>'各站彙總來源'!K1145</x:f>
        <x:v>26</x:v>
      </x:c>
      <x:c r="L1145" s="24" t="n">
        <x:f>IFERROR('各站彙總來源'!L1145/'各站彙總來源'!M1145,"")</x:f>
        <x:v>2.8461538461538463</x:v>
      </x:c>
      <x:c r="M1145" s="19" t="n">
        <x:f>'各站彙總來源'!M1145</x:f>
        <x:v>26</x:v>
      </x:c>
      <x:c r="N1145" s="24" t="n">
        <x:f>F1145+H1145</x:f>
        <x:v>9.538461538461538</x:v>
      </x:c>
      <x:c r="O1145" s="24" t="n">
        <x:f>J1145+L1145</x:f>
        <x:v>11.423076923076923</x:v>
      </x:c>
    </x:row>
    <x:row r="1146">
      <x:c r="A1146" s="22" t="str">
        <x:v>500108174</x:v>
      </x:c>
      <x:c r="B1146" s="17" t="str">
        <x:v>內湖區</x:v>
      </x:c>
      <x:c r="C1146" s="17" t="str">
        <x:v>捷運葫洲站(2號出口)</x:v>
      </x:c>
      <x:c r="D1146" s="18" t="n">
        <x:v>26</x:v>
      </x:c>
      <x:c r="E1146" s="18" t="n">
        <x:v>26</x:v>
      </x:c>
      <x:c r="F1146" s="24" t="n">
        <x:f>IFERROR('各站彙總來源'!F1146/'各站彙總來源'!G1146,"")</x:f>
        <x:v>4.115384615384615</x:v>
      </x:c>
      <x:c r="G1146" s="19" t="n">
        <x:f>'各站彙總來源'!G1146</x:f>
        <x:v>26</x:v>
      </x:c>
      <x:c r="H1146" s="24" t="n">
        <x:f>IFERROR('各站彙總來源'!H1146/'各站彙總來源'!I1146,"")</x:f>
        <x:v>1.4615384615384615</x:v>
      </x:c>
      <x:c r="I1146" s="19" t="n">
        <x:f>'各站彙總來源'!I1146</x:f>
        <x:v>26</x:v>
      </x:c>
      <x:c r="J1146" s="24" t="n">
        <x:f>IFERROR('各站彙總來源'!J1146/'各站彙總來源'!K1146,"")</x:f>
        <x:v>10.307692307692308</x:v>
      </x:c>
      <x:c r="K1146" s="19" t="n">
        <x:f>'各站彙總來源'!K1146</x:f>
        <x:v>26</x:v>
      </x:c>
      <x:c r="L1146" s="24" t="n">
        <x:f>IFERROR('各站彙總來源'!L1146/'各站彙總來源'!M1146,"")</x:f>
        <x:v>2.6538461538461537</x:v>
      </x:c>
      <x:c r="M1146" s="19" t="n">
        <x:f>'各站彙總來源'!M1146</x:f>
        <x:v>26</x:v>
      </x:c>
      <x:c r="N1146" s="24" t="n">
        <x:f>F1146+H1146</x:f>
        <x:v>5.576923076923077</x:v>
      </x:c>
      <x:c r="O1146" s="24" t="n">
        <x:f>J1146+L1146</x:f>
        <x:v>12.961538461538462</x:v>
      </x:c>
    </x:row>
    <x:row r="1147">
      <x:c r="A1147" s="22" t="str">
        <x:v>500108175</x:v>
      </x:c>
      <x:c r="B1147" s="17" t="str">
        <x:v>內湖區</x:v>
      </x:c>
      <x:c r="C1147" s="17" t="str">
        <x:v>五分埤</x:v>
      </x:c>
      <x:c r="D1147" s="18" t="n">
        <x:v>26</x:v>
      </x:c>
      <x:c r="E1147" s="18" t="n">
        <x:v>26</x:v>
      </x:c>
      <x:c r="F1147" s="24" t="n">
        <x:f>IFERROR('各站彙總來源'!F1147/'各站彙總來源'!G1147,"")</x:f>
        <x:v>7</x:v>
      </x:c>
      <x:c r="G1147" s="19" t="n">
        <x:f>'各站彙總來源'!G1147</x:f>
        <x:v>26</x:v>
      </x:c>
      <x:c r="H1147" s="24" t="n">
        <x:f>IFERROR('各站彙總來源'!H1147/'各站彙總來源'!I1147,"")</x:f>
        <x:v>2.769230769230769</x:v>
      </x:c>
      <x:c r="I1147" s="19" t="n">
        <x:f>'各站彙總來源'!I1147</x:f>
        <x:v>26</x:v>
      </x:c>
      <x:c r="J1147" s="24" t="n">
        <x:f>IFERROR('各站彙總來源'!J1147/'各站彙總來源'!K1147,"")</x:f>
        <x:v>4.346153846153846</x:v>
      </x:c>
      <x:c r="K1147" s="19" t="n">
        <x:f>'各站彙總來源'!K1147</x:f>
        <x:v>26</x:v>
      </x:c>
      <x:c r="L1147" s="24" t="n">
        <x:f>IFERROR('各站彙總來源'!L1147/'各站彙總來源'!M1147,"")</x:f>
        <x:v>2.1923076923076925</x:v>
      </x:c>
      <x:c r="M1147" s="19" t="n">
        <x:f>'各站彙總來源'!M1147</x:f>
        <x:v>26</x:v>
      </x:c>
      <x:c r="N1147" s="24" t="n">
        <x:f>F1147+H1147</x:f>
        <x:v>9.76923076923077</x:v>
      </x:c>
      <x:c r="O1147" s="24" t="n">
        <x:f>J1147+L1147</x:f>
        <x:v>6.538461538461538</x:v>
      </x:c>
    </x:row>
    <x:row r="1148">
      <x:c r="A1148" s="22" t="str">
        <x:v>500108176</x:v>
      </x:c>
      <x:c r="B1148" s="17" t="str">
        <x:v>內湖區</x:v>
      </x:c>
      <x:c r="C1148" s="17" t="str">
        <x:v>環山路三段1巷(麗山高中)</x:v>
      </x:c>
      <x:c r="D1148" s="18" t="n">
        <x:v>26</x:v>
      </x:c>
      <x:c r="E1148" s="18" t="n">
        <x:v>26</x:v>
      </x:c>
      <x:c r="F1148" s="24" t="n">
        <x:f>IFERROR('各站彙總來源'!F1148/'各站彙總來源'!G1148,"")</x:f>
        <x:v>3.923076923076923</x:v>
      </x:c>
      <x:c r="G1148" s="19" t="n">
        <x:f>'各站彙總來源'!G1148</x:f>
        <x:v>26</x:v>
      </x:c>
      <x:c r="H1148" s="24" t="n">
        <x:f>IFERROR('各站彙總來源'!H1148/'各站彙總來源'!I1148,"")</x:f>
        <x:v>0.8846153846153846</x:v>
      </x:c>
      <x:c r="I1148" s="19" t="n">
        <x:f>'各站彙總來源'!I1148</x:f>
        <x:v>26</x:v>
      </x:c>
      <x:c r="J1148" s="24" t="n">
        <x:f>IFERROR('各站彙總來源'!J1148/'各站彙總來源'!K1148,"")</x:f>
        <x:v>10</x:v>
      </x:c>
      <x:c r="K1148" s="19" t="n">
        <x:f>'各站彙總來源'!K1148</x:f>
        <x:v>26</x:v>
      </x:c>
      <x:c r="L1148" s="24" t="n">
        <x:f>IFERROR('各站彙總來源'!L1148/'各站彙總來源'!M1148,"")</x:f>
        <x:v>0.8461538461538461</x:v>
      </x:c>
      <x:c r="M1148" s="19" t="n">
        <x:f>'各站彙總來源'!M1148</x:f>
        <x:v>26</x:v>
      </x:c>
      <x:c r="N1148" s="24" t="n">
        <x:f>F1148+H1148</x:f>
        <x:v>4.8076923076923075</x:v>
      </x:c>
      <x:c r="O1148" s="24" t="n">
        <x:f>J1148+L1148</x:f>
        <x:v>10.846153846153847</x:v>
      </x:c>
    </x:row>
    <x:row r="1149">
      <x:c r="A1149" s="22" t="str">
        <x:v>500108177</x:v>
      </x:c>
      <x:c r="B1149" s="17" t="str">
        <x:v>內湖區</x:v>
      </x:c>
      <x:c r="C1149" s="17" t="str">
        <x:v>潭美公園(南京東路六段482號)</x:v>
      </x:c>
      <x:c r="D1149" s="18" t="n">
        <x:v>26</x:v>
      </x:c>
      <x:c r="E1149" s="18" t="n">
        <x:v>26</x:v>
      </x:c>
      <x:c r="F1149" s="24" t="n">
        <x:f>IFERROR('各站彙總來源'!F1149/'各站彙總來源'!G1149,"")</x:f>
        <x:v>3.076923076923077</x:v>
      </x:c>
      <x:c r="G1149" s="19" t="n">
        <x:f>'各站彙總來源'!G1149</x:f>
        <x:v>26</x:v>
      </x:c>
      <x:c r="H1149" s="24" t="n">
        <x:f>IFERROR('各站彙總來源'!H1149/'各站彙總來源'!I1149,"")</x:f>
        <x:v>0.5</x:v>
      </x:c>
      <x:c r="I1149" s="19" t="n">
        <x:f>'各站彙總來源'!I1149</x:f>
        <x:v>26</x:v>
      </x:c>
      <x:c r="J1149" s="24" t="n">
        <x:f>IFERROR('各站彙總來源'!J1149/'各站彙總來源'!K1149,"")</x:f>
        <x:v>17.076923076923077</x:v>
      </x:c>
      <x:c r="K1149" s="19" t="n">
        <x:f>'各站彙總來源'!K1149</x:f>
        <x:v>26</x:v>
      </x:c>
      <x:c r="L1149" s="24" t="n">
        <x:f>IFERROR('各站彙總來源'!L1149/'各站彙總來源'!M1149,"")</x:f>
        <x:v>2</x:v>
      </x:c>
      <x:c r="M1149" s="19" t="n">
        <x:f>'各站彙總來源'!M1149</x:f>
        <x:v>26</x:v>
      </x:c>
      <x:c r="N1149" s="24" t="n">
        <x:f>F1149+H1149</x:f>
        <x:v>3.576923076923077</x:v>
      </x:c>
      <x:c r="O1149" s="24" t="n">
        <x:f>J1149+L1149</x:f>
        <x:v>19.076923076923077</x:v>
      </x:c>
    </x:row>
    <x:row r="1150">
      <x:c r="A1150" s="22" t="str">
        <x:v>500108178</x:v>
      </x:c>
      <x:c r="B1150" s="17" t="str">
        <x:v>內湖區</x:v>
      </x:c>
      <x:c r="C1150" s="17" t="str">
        <x:v>美善公園</x:v>
      </x:c>
      <x:c r="D1150" s="18" t="n">
        <x:v>26</x:v>
      </x:c>
      <x:c r="E1150" s="18" t="n">
        <x:v>26</x:v>
      </x:c>
      <x:c r="F1150" s="24" t="n">
        <x:f>IFERROR('各站彙總來源'!F1150/'各站彙總來源'!G1150,"")</x:f>
        <x:v>9.576923076923077</x:v>
      </x:c>
      <x:c r="G1150" s="19" t="n">
        <x:f>'各站彙總來源'!G1150</x:f>
        <x:v>26</x:v>
      </x:c>
      <x:c r="H1150" s="24" t="n">
        <x:f>IFERROR('各站彙總來源'!H1150/'各站彙總來源'!I1150,"")</x:f>
        <x:v>1.8846153846153846</x:v>
      </x:c>
      <x:c r="I1150" s="19" t="n">
        <x:f>'各站彙總來源'!I1150</x:f>
        <x:v>26</x:v>
      </x:c>
      <x:c r="J1150" s="24" t="n">
        <x:f>IFERROR('各站彙總來源'!J1150/'各站彙總來源'!K1150,"")</x:f>
        <x:v>10.653846153846153</x:v>
      </x:c>
      <x:c r="K1150" s="19" t="n">
        <x:f>'各站彙總來源'!K1150</x:f>
        <x:v>26</x:v>
      </x:c>
      <x:c r="L1150" s="24" t="n">
        <x:f>IFERROR('各站彙總來源'!L1150/'各站彙總來源'!M1150,"")</x:f>
        <x:v>2.076923076923077</x:v>
      </x:c>
      <x:c r="M1150" s="19" t="n">
        <x:f>'各站彙總來源'!M1150</x:f>
        <x:v>26</x:v>
      </x:c>
      <x:c r="N1150" s="24" t="n">
        <x:f>F1150+H1150</x:f>
        <x:v>11.461538461538462</x:v>
      </x:c>
      <x:c r="O1150" s="24" t="n">
        <x:f>J1150+L1150</x:f>
        <x:v>12.73076923076923</x:v>
      </x:c>
    </x:row>
    <x:row r="1151">
      <x:c r="A1151" s="22" t="str">
        <x:v>500108179</x:v>
      </x:c>
      <x:c r="B1151" s="17" t="str">
        <x:v>內湖區</x:v>
      </x:c>
      <x:c r="C1151" s="17" t="str">
        <x:v>潭美公園(新明路298巷)</x:v>
      </x:c>
      <x:c r="D1151" s="18" t="n">
        <x:v>26</x:v>
      </x:c>
      <x:c r="E1151" s="18" t="n">
        <x:v>26</x:v>
      </x:c>
      <x:c r="F1151" s="24" t="n">
        <x:f>IFERROR('各站彙總來源'!F1151/'各站彙總來源'!G1151,"")</x:f>
        <x:v>18.153846153846153</x:v>
      </x:c>
      <x:c r="G1151" s="19" t="n">
        <x:f>'各站彙總來源'!G1151</x:f>
        <x:v>26</x:v>
      </x:c>
      <x:c r="H1151" s="24" t="n">
        <x:f>IFERROR('各站彙總來源'!H1151/'各站彙總來源'!I1151,"")</x:f>
        <x:v>1.1538461538461537</x:v>
      </x:c>
      <x:c r="I1151" s="19" t="n">
        <x:f>'各站彙總來源'!I1151</x:f>
        <x:v>26</x:v>
      </x:c>
      <x:c r="J1151" s="24" t="n">
        <x:f>IFERROR('各站彙總來源'!J1151/'各站彙總來源'!K1151,"")</x:f>
        <x:v>4.384615384615385</x:v>
      </x:c>
      <x:c r="K1151" s="19" t="n">
        <x:f>'各站彙總來源'!K1151</x:f>
        <x:v>26</x:v>
      </x:c>
      <x:c r="L1151" s="24" t="n">
        <x:f>IFERROR('各站彙總來源'!L1151/'各站彙總來源'!M1151,"")</x:f>
        <x:v>0.8076923076923077</x:v>
      </x:c>
      <x:c r="M1151" s="19" t="n">
        <x:f>'各站彙總來源'!M1151</x:f>
        <x:v>26</x:v>
      </x:c>
      <x:c r="N1151" s="24" t="n">
        <x:f>F1151+H1151</x:f>
        <x:v>19.307692307692307</x:v>
      </x:c>
      <x:c r="O1151" s="24" t="n">
        <x:f>J1151+L1151</x:f>
        <x:v>5.1923076923076925</x:v>
      </x:c>
    </x:row>
    <x:row r="1152">
      <x:c r="A1152" s="22" t="str">
        <x:v>500108180</x:v>
      </x:c>
      <x:c r="B1152" s="17" t="str">
        <x:v>內湖區</x:v>
      </x:c>
      <x:c r="C1152" s="17" t="str">
        <x:v>康寧路三段189巷21弄口</x:v>
      </x:c>
      <x:c r="D1152" s="18" t="n">
        <x:v>26</x:v>
      </x:c>
      <x:c r="E1152" s="18" t="n">
        <x:v>26</x:v>
      </x:c>
      <x:c r="F1152" s="24" t="n">
        <x:f>IFERROR('各站彙總來源'!F1152/'各站彙總來源'!G1152,"")</x:f>
        <x:v>0</x:v>
      </x:c>
      <x:c r="G1152" s="19" t="n">
        <x:f>'各站彙總來源'!G1152</x:f>
        <x:v>26</x:v>
      </x:c>
      <x:c r="H1152" s="24" t="n">
        <x:f>IFERROR('各站彙總來源'!H1152/'各站彙總來源'!I1152,"")</x:f>
        <x:v>0</x:v>
      </x:c>
      <x:c r="I1152" s="19" t="n">
        <x:f>'各站彙總來源'!I1152</x:f>
        <x:v>26</x:v>
      </x:c>
      <x:c r="J1152" s="24" t="n">
        <x:f>IFERROR('各站彙總來源'!J1152/'各站彙總來源'!K1152,"")</x:f>
        <x:v>0</x:v>
      </x:c>
      <x:c r="K1152" s="19" t="n">
        <x:f>'各站彙總來源'!K1152</x:f>
        <x:v>26</x:v>
      </x:c>
      <x:c r="L1152" s="24" t="n">
        <x:f>IFERROR('各站彙總來源'!L1152/'各站彙總來源'!M1152,"")</x:f>
        <x:v>0</x:v>
      </x:c>
      <x:c r="M1152" s="19" t="n">
        <x:f>'各站彙總來源'!M1152</x:f>
        <x:v>26</x:v>
      </x:c>
      <x:c r="N1152" s="24" t="n">
        <x:f>F1152+H1152</x:f>
        <x:v>0</x:v>
      </x:c>
      <x:c r="O1152" s="24" t="n">
        <x:f>J1152+L1152</x:f>
        <x:v>0</x:v>
      </x:c>
    </x:row>
    <x:row r="1153">
      <x:c r="A1153" s="22" t="str">
        <x:v>500108181</x:v>
      </x:c>
      <x:c r="B1153" s="17" t="str">
        <x:v>內湖區</x:v>
      </x:c>
      <x:c r="C1153" s="17" t="str">
        <x:v>麗山國小(內湖路一段411巷)</x:v>
      </x:c>
      <x:c r="D1153" s="18" t="n">
        <x:v>26</x:v>
      </x:c>
      <x:c r="E1153" s="18" t="n">
        <x:v>26</x:v>
      </x:c>
      <x:c r="F1153" s="24" t="n">
        <x:f>IFERROR('各站彙總來源'!F1153/'各站彙總來源'!G1153,"")</x:f>
        <x:v>23.307692307692307</x:v>
      </x:c>
      <x:c r="G1153" s="19" t="n">
        <x:f>'各站彙總來源'!G1153</x:f>
        <x:v>26</x:v>
      </x:c>
      <x:c r="H1153" s="24" t="n">
        <x:f>IFERROR('各站彙總來源'!H1153/'各站彙總來源'!I1153,"")</x:f>
        <x:v>3.3461538461538463</x:v>
      </x:c>
      <x:c r="I1153" s="19" t="n">
        <x:f>'各站彙總來源'!I1153</x:f>
        <x:v>26</x:v>
      </x:c>
      <x:c r="J1153" s="24" t="n">
        <x:f>IFERROR('各站彙總來源'!J1153/'各站彙總來源'!K1153,"")</x:f>
        <x:v>3.3846153846153846</x:v>
      </x:c>
      <x:c r="K1153" s="19" t="n">
        <x:f>'各站彙總來源'!K1153</x:f>
        <x:v>26</x:v>
      </x:c>
      <x:c r="L1153" s="24" t="n">
        <x:f>IFERROR('各站彙總來源'!L1153/'各站彙總來源'!M1153,"")</x:f>
        <x:v>1.0769230769230769</x:v>
      </x:c>
      <x:c r="M1153" s="19" t="n">
        <x:f>'各站彙總來源'!M1153</x:f>
        <x:v>26</x:v>
      </x:c>
      <x:c r="N1153" s="24" t="n">
        <x:f>F1153+H1153</x:f>
        <x:v>26.653846153846153</x:v>
      </x:c>
      <x:c r="O1153" s="24" t="n">
        <x:f>J1153+L1153</x:f>
        <x:v>4.461538461538462</x:v>
      </x:c>
    </x:row>
    <x:row r="1154">
      <x:c r="A1154" s="22" t="str">
        <x:v>500108182</x:v>
      </x:c>
      <x:c r="B1154" s="17" t="str">
        <x:v>內湖區</x:v>
      </x:c>
      <x:c r="C1154" s="17" t="str">
        <x:v>行善路417巷</x:v>
      </x:c>
      <x:c r="D1154" s="18" t="n">
        <x:v>26</x:v>
      </x:c>
      <x:c r="E1154" s="18" t="n">
        <x:v>26</x:v>
      </x:c>
      <x:c r="F1154" s="24" t="n">
        <x:f>IFERROR('各站彙總來源'!F1154/'各站彙總來源'!G1154,"")</x:f>
        <x:v>3.8461538461538463</x:v>
      </x:c>
      <x:c r="G1154" s="19" t="n">
        <x:f>'各站彙總來源'!G1154</x:f>
        <x:v>26</x:v>
      </x:c>
      <x:c r="H1154" s="24" t="n">
        <x:f>IFERROR('各站彙總來源'!H1154/'各站彙總來源'!I1154,"")</x:f>
        <x:v>1.2692307692307692</x:v>
      </x:c>
      <x:c r="I1154" s="19" t="n">
        <x:f>'各站彙總來源'!I1154</x:f>
        <x:v>26</x:v>
      </x:c>
      <x:c r="J1154" s="24" t="n">
        <x:f>IFERROR('各站彙總來源'!J1154/'各站彙總來源'!K1154,"")</x:f>
        <x:v>20.96153846153846</x:v>
      </x:c>
      <x:c r="K1154" s="19" t="n">
        <x:f>'各站彙總來源'!K1154</x:f>
        <x:v>26</x:v>
      </x:c>
      <x:c r="L1154" s="24" t="n">
        <x:f>IFERROR('各站彙總來源'!L1154/'各站彙總來源'!M1154,"")</x:f>
        <x:v>2.9615384615384617</x:v>
      </x:c>
      <x:c r="M1154" s="19" t="n">
        <x:f>'各站彙總來源'!M1154</x:f>
        <x:v>26</x:v>
      </x:c>
      <x:c r="N1154" s="24" t="n">
        <x:f>F1154+H1154</x:f>
        <x:v>5.115384615384615</x:v>
      </x:c>
      <x:c r="O1154" s="24" t="n">
        <x:f>J1154+L1154</x:f>
        <x:v>23.92307692307692</x:v>
      </x:c>
    </x:row>
    <x:row r="1155">
      <x:c r="A1155" s="22" t="str">
        <x:v>500108183</x:v>
      </x:c>
      <x:c r="B1155" s="17" t="str">
        <x:v>內湖區</x:v>
      </x:c>
      <x:c r="C1155" s="17" t="str">
        <x:v>明湖國小(康寧路三段165巷23弄)</x:v>
      </x:c>
      <x:c r="D1155" s="18" t="n">
        <x:v>26</x:v>
      </x:c>
      <x:c r="E1155" s="18" t="n">
        <x:v>26</x:v>
      </x:c>
      <x:c r="F1155" s="24" t="n">
        <x:f>IFERROR('各站彙總來源'!F1155/'各站彙總來源'!G1155,"")</x:f>
        <x:v>6.538461538461538</x:v>
      </x:c>
      <x:c r="G1155" s="19" t="n">
        <x:f>'各站彙總來源'!G1155</x:f>
        <x:v>26</x:v>
      </x:c>
      <x:c r="H1155" s="24" t="n">
        <x:f>IFERROR('各站彙總來源'!H1155/'各站彙總來源'!I1155,"")</x:f>
        <x:v>1.6538461538461537</x:v>
      </x:c>
      <x:c r="I1155" s="19" t="n">
        <x:f>'各站彙總來源'!I1155</x:f>
        <x:v>26</x:v>
      </x:c>
      <x:c r="J1155" s="24" t="n">
        <x:f>IFERROR('各站彙總來源'!J1155/'各站彙總來源'!K1155,"")</x:f>
        <x:v>4.346153846153846</x:v>
      </x:c>
      <x:c r="K1155" s="19" t="n">
        <x:f>'各站彙總來源'!K1155</x:f>
        <x:v>26</x:v>
      </x:c>
      <x:c r="L1155" s="24" t="n">
        <x:f>IFERROR('各站彙總來源'!L1155/'各站彙總來源'!M1155,"")</x:f>
        <x:v>0.9615384615384616</x:v>
      </x:c>
      <x:c r="M1155" s="19" t="n">
        <x:f>'各站彙總來源'!M1155</x:f>
        <x:v>26</x:v>
      </x:c>
      <x:c r="N1155" s="24" t="n">
        <x:f>F1155+H1155</x:f>
        <x:v>8.192307692307692</x:v>
      </x:c>
      <x:c r="O1155" s="24" t="n">
        <x:f>J1155+L1155</x:f>
        <x:v>5.3076923076923075</x:v>
      </x:c>
    </x:row>
    <x:row r="1156">
      <x:c r="A1156" s="22" t="str">
        <x:v>500108184</x:v>
      </x:c>
      <x:c r="B1156" s="17" t="str">
        <x:v>內湖區</x:v>
      </x:c>
      <x:c r="C1156" s="17" t="str">
        <x:v>康寧路三段70巷153號</x:v>
      </x:c>
      <x:c r="D1156" s="18" t="n">
        <x:v>26</x:v>
      </x:c>
      <x:c r="E1156" s="18" t="n">
        <x:v>26</x:v>
      </x:c>
      <x:c r="F1156" s="24" t="n">
        <x:f>IFERROR('各站彙總來源'!F1156/'各站彙總來源'!G1156,"")</x:f>
        <x:v>1.5384615384615385</x:v>
      </x:c>
      <x:c r="G1156" s="19" t="n">
        <x:f>'各站彙總來源'!G1156</x:f>
        <x:v>26</x:v>
      </x:c>
      <x:c r="H1156" s="24" t="n">
        <x:f>IFERROR('各站彙總來源'!H1156/'各站彙總來源'!I1156,"")</x:f>
        <x:v>5.8076923076923075</x:v>
      </x:c>
      <x:c r="I1156" s="19" t="n">
        <x:f>'各站彙總來源'!I1156</x:f>
        <x:v>26</x:v>
      </x:c>
      <x:c r="J1156" s="24" t="n">
        <x:f>IFERROR('各站彙總來源'!J1156/'各站彙總來源'!K1156,"")</x:f>
        <x:v>1.3461538461538463</x:v>
      </x:c>
      <x:c r="K1156" s="19" t="n">
        <x:f>'各站彙總來源'!K1156</x:f>
        <x:v>26</x:v>
      </x:c>
      <x:c r="L1156" s="24" t="n">
        <x:f>IFERROR('各站彙總來源'!L1156/'各站彙總來源'!M1156,"")</x:f>
        <x:v>4.730769230769231</x:v>
      </x:c>
      <x:c r="M1156" s="19" t="n">
        <x:f>'各站彙總來源'!M1156</x:f>
        <x:v>26</x:v>
      </x:c>
      <x:c r="N1156" s="24" t="n">
        <x:f>F1156+H1156</x:f>
        <x:v>7.346153846153846</x:v>
      </x:c>
      <x:c r="O1156" s="24" t="n">
        <x:f>J1156+L1156</x:f>
        <x:v>6.076923076923077</x:v>
      </x:c>
    </x:row>
    <x:row r="1157">
      <x:c r="A1157" s="22" t="str">
        <x:v>500108185</x:v>
      </x:c>
      <x:c r="B1157" s="17" t="str">
        <x:v>內湖區</x:v>
      </x:c>
      <x:c r="C1157" s="17" t="str">
        <x:v>東湖立體停車場</x:v>
      </x:c>
      <x:c r="D1157" s="18" t="n">
        <x:v>26</x:v>
      </x:c>
      <x:c r="E1157" s="18" t="n">
        <x:v>26</x:v>
      </x:c>
      <x:c r="F1157" s="24" t="n">
        <x:f>IFERROR('各站彙總來源'!F1157/'各站彙總來源'!G1157,"")</x:f>
        <x:v>5.846153846153846</x:v>
      </x:c>
      <x:c r="G1157" s="19" t="n">
        <x:f>'各站彙總來源'!G1157</x:f>
        <x:v>26</x:v>
      </x:c>
      <x:c r="H1157" s="24" t="n">
        <x:f>IFERROR('各站彙總來源'!H1157/'各站彙總來源'!I1157,"")</x:f>
        <x:v>0.6153846153846154</x:v>
      </x:c>
      <x:c r="I1157" s="19" t="n">
        <x:f>'各站彙總來源'!I1157</x:f>
        <x:v>26</x:v>
      </x:c>
      <x:c r="J1157" s="24" t="n">
        <x:f>IFERROR('各站彙總來源'!J1157/'各站彙總來源'!K1157,"")</x:f>
        <x:v>8.653846153846153</x:v>
      </x:c>
      <x:c r="K1157" s="19" t="n">
        <x:f>'各站彙總來源'!K1157</x:f>
        <x:v>26</x:v>
      </x:c>
      <x:c r="L1157" s="24" t="n">
        <x:f>IFERROR('各站彙總來源'!L1157/'各站彙總來源'!M1157,"")</x:f>
        <x:v>1.7692307692307692</x:v>
      </x:c>
      <x:c r="M1157" s="19" t="n">
        <x:f>'各站彙總來源'!M1157</x:f>
        <x:v>26</x:v>
      </x:c>
      <x:c r="N1157" s="24" t="n">
        <x:f>F1157+H1157</x:f>
        <x:v>6.461538461538462</x:v>
      </x:c>
      <x:c r="O1157" s="24" t="n">
        <x:f>J1157+L1157</x:f>
        <x:v>10.423076923076923</x:v>
      </x:c>
    </x:row>
    <x:row r="1158">
      <x:c r="A1158" s="22" t="str">
        <x:v>500108186</x:v>
      </x:c>
      <x:c r="B1158" s="17" t="str">
        <x:v>內湖區</x:v>
      </x:c>
      <x:c r="C1158" s="17" t="str">
        <x:v>明美公園(南京東路六段451巷口)</x:v>
      </x:c>
      <x:c r="D1158" s="18" t="n">
        <x:v>26</x:v>
      </x:c>
      <x:c r="E1158" s="18" t="n">
        <x:v>26</x:v>
      </x:c>
      <x:c r="F1158" s="24" t="n">
        <x:f>IFERROR('各站彙總來源'!F1158/'各站彙總來源'!G1158,"")</x:f>
        <x:v>13.192307692307692</x:v>
      </x:c>
      <x:c r="G1158" s="19" t="n">
        <x:f>'各站彙總來源'!G1158</x:f>
        <x:v>26</x:v>
      </x:c>
      <x:c r="H1158" s="24" t="n">
        <x:f>IFERROR('各站彙總來源'!H1158/'各站彙總來源'!I1158,"")</x:f>
        <x:v>2.4615384615384617</x:v>
      </x:c>
      <x:c r="I1158" s="19" t="n">
        <x:f>'各站彙總來源'!I1158</x:f>
        <x:v>26</x:v>
      </x:c>
      <x:c r="J1158" s="24" t="n">
        <x:f>IFERROR('各站彙總來源'!J1158/'各站彙總來源'!K1158,"")</x:f>
        <x:v>13.153846153846153</x:v>
      </x:c>
      <x:c r="K1158" s="19" t="n">
        <x:f>'各站彙總來源'!K1158</x:f>
        <x:v>26</x:v>
      </x:c>
      <x:c r="L1158" s="24" t="n">
        <x:f>IFERROR('各站彙總來源'!L1158/'各站彙總來源'!M1158,"")</x:f>
        <x:v>2.769230769230769</x:v>
      </x:c>
      <x:c r="M1158" s="19" t="n">
        <x:f>'各站彙總來源'!M1158</x:f>
        <x:v>26</x:v>
      </x:c>
      <x:c r="N1158" s="24" t="n">
        <x:f>F1158+H1158</x:f>
        <x:v>15.653846153846153</x:v>
      </x:c>
      <x:c r="O1158" s="24" t="n">
        <x:f>J1158+L1158</x:f>
        <x:v>15.923076923076923</x:v>
      </x:c>
    </x:row>
    <x:row r="1159">
      <x:c r="A1159" s="22" t="str">
        <x:v>500108187</x:v>
      </x:c>
      <x:c r="B1159" s="17" t="str">
        <x:v>內湖區</x:v>
      </x:c>
      <x:c r="C1159" s="17" t="str">
        <x:v>文德路66巷14弄</x:v>
      </x:c>
      <x:c r="D1159" s="18" t="n">
        <x:v>26</x:v>
      </x:c>
      <x:c r="E1159" s="18" t="n">
        <x:v>26</x:v>
      </x:c>
      <x:c r="F1159" s="24" t="n">
        <x:f>IFERROR('各站彙總來源'!F1159/'各站彙總來源'!G1159,"")</x:f>
        <x:v>12.653846153846153</x:v>
      </x:c>
      <x:c r="G1159" s="19" t="n">
        <x:f>'各站彙總來源'!G1159</x:f>
        <x:v>26</x:v>
      </x:c>
      <x:c r="H1159" s="24" t="n">
        <x:f>IFERROR('各站彙總來源'!H1159/'各站彙總來源'!I1159,"")</x:f>
        <x:v>2.1153846153846154</x:v>
      </x:c>
      <x:c r="I1159" s="19" t="n">
        <x:f>'各站彙總來源'!I1159</x:f>
        <x:v>26</x:v>
      </x:c>
      <x:c r="J1159" s="24" t="n">
        <x:f>IFERROR('各站彙總來源'!J1159/'各站彙總來源'!K1159,"")</x:f>
        <x:v>3.6923076923076925</x:v>
      </x:c>
      <x:c r="K1159" s="19" t="n">
        <x:f>'各站彙總來源'!K1159</x:f>
        <x:v>26</x:v>
      </x:c>
      <x:c r="L1159" s="24" t="n">
        <x:f>IFERROR('各站彙總來源'!L1159/'各站彙總來源'!M1159,"")</x:f>
        <x:v>0.8076923076923077</x:v>
      </x:c>
      <x:c r="M1159" s="19" t="n">
        <x:f>'各站彙總來源'!M1159</x:f>
        <x:v>26</x:v>
      </x:c>
      <x:c r="N1159" s="24" t="n">
        <x:f>F1159+H1159</x:f>
        <x:v>14.769230769230768</x:v>
      </x:c>
      <x:c r="O1159" s="24" t="n">
        <x:f>J1159+L1159</x:f>
        <x:v>4.5</x:v>
      </x:c>
    </x:row>
    <x:row r="1160">
      <x:c r="A1160" s="22" t="str">
        <x:v>500108188</x:v>
      </x:c>
      <x:c r="B1160" s="17" t="str">
        <x:v>內湖區</x:v>
      </x:c>
      <x:c r="C1160" s="17" t="str">
        <x:v>捷運東湖站(3號出口)</x:v>
      </x:c>
      <x:c r="D1160" s="18" t="n">
        <x:v>26</x:v>
      </x:c>
      <x:c r="E1160" s="18" t="n">
        <x:v>26</x:v>
      </x:c>
      <x:c r="F1160" s="24" t="n">
        <x:f>IFERROR('各站彙總來源'!F1160/'各站彙總來源'!G1160,"")</x:f>
        <x:v>8.5</x:v>
      </x:c>
      <x:c r="G1160" s="19" t="n">
        <x:f>'各站彙總來源'!G1160</x:f>
        <x:v>26</x:v>
      </x:c>
      <x:c r="H1160" s="24" t="n">
        <x:f>IFERROR('各站彙總來源'!H1160/'各站彙總來源'!I1160,"")</x:f>
        <x:v>1</x:v>
      </x:c>
      <x:c r="I1160" s="19" t="n">
        <x:f>'各站彙總來源'!I1160</x:f>
        <x:v>26</x:v>
      </x:c>
      <x:c r="J1160" s="24" t="n">
        <x:f>IFERROR('各站彙總來源'!J1160/'各站彙總來源'!K1160,"")</x:f>
        <x:v>18.923076923076923</x:v>
      </x:c>
      <x:c r="K1160" s="19" t="n">
        <x:f>'各站彙總來源'!K1160</x:f>
        <x:v>26</x:v>
      </x:c>
      <x:c r="L1160" s="24" t="n">
        <x:f>IFERROR('各站彙總來源'!L1160/'各站彙總來源'!M1160,"")</x:f>
        <x:v>1</x:v>
      </x:c>
      <x:c r="M1160" s="19" t="n">
        <x:f>'各站彙總來源'!M1160</x:f>
        <x:v>26</x:v>
      </x:c>
      <x:c r="N1160" s="24" t="n">
        <x:f>F1160+H1160</x:f>
        <x:v>9.5</x:v>
      </x:c>
      <x:c r="O1160" s="24" t="n">
        <x:f>J1160+L1160</x:f>
        <x:v>19.923076923076923</x:v>
      </x:c>
    </x:row>
    <x:row r="1161">
      <x:c r="A1161" s="22" t="str">
        <x:v>500108189</x:v>
      </x:c>
      <x:c r="B1161" s="17" t="str">
        <x:v>內湖區</x:v>
      </x:c>
      <x:c r="C1161" s="17" t="str">
        <x:v>捷運大湖公園站(1號出口)</x:v>
      </x:c>
      <x:c r="D1161" s="18" t="n">
        <x:v>26</x:v>
      </x:c>
      <x:c r="E1161" s="18" t="n">
        <x:v>26</x:v>
      </x:c>
      <x:c r="F1161" s="24" t="n">
        <x:f>IFERROR('各站彙總來源'!F1161/'各站彙總來源'!G1161,"")</x:f>
        <x:v>6</x:v>
      </x:c>
      <x:c r="G1161" s="19" t="n">
        <x:f>'各站彙總來源'!G1161</x:f>
        <x:v>26</x:v>
      </x:c>
      <x:c r="H1161" s="24" t="n">
        <x:f>IFERROR('各站彙總來源'!H1161/'各站彙總來源'!I1161,"")</x:f>
        <x:v>1.1923076923076923</x:v>
      </x:c>
      <x:c r="I1161" s="19" t="n">
        <x:f>'各站彙總來源'!I1161</x:f>
        <x:v>26</x:v>
      </x:c>
      <x:c r="J1161" s="24" t="n">
        <x:f>IFERROR('各站彙總來源'!J1161/'各站彙總來源'!K1161,"")</x:f>
        <x:v>16.46153846153846</x:v>
      </x:c>
      <x:c r="K1161" s="19" t="n">
        <x:f>'各站彙總來源'!K1161</x:f>
        <x:v>26</x:v>
      </x:c>
      <x:c r="L1161" s="24" t="n">
        <x:f>IFERROR('各站彙總來源'!L1161/'各站彙總來源'!M1161,"")</x:f>
        <x:v>4.653846153846154</x:v>
      </x:c>
      <x:c r="M1161" s="19" t="n">
        <x:f>'各站彙總來源'!M1161</x:f>
        <x:v>26</x:v>
      </x:c>
      <x:c r="N1161" s="24" t="n">
        <x:f>F1161+H1161</x:f>
        <x:v>7.1923076923076925</x:v>
      </x:c>
      <x:c r="O1161" s="24" t="n">
        <x:f>J1161+L1161</x:f>
        <x:v>21.115384615384613</x:v>
      </x:c>
    </x:row>
    <x:row r="1162">
      <x:c r="A1162" s="22" t="str">
        <x:v>500108190</x:v>
      </x:c>
      <x:c r="B1162" s="17" t="str">
        <x:v>內湖區</x:v>
      </x:c>
      <x:c r="C1162" s="17" t="str">
        <x:v>內湖路一段1巷口</x:v>
      </x:c>
      <x:c r="D1162" s="18" t="n">
        <x:v>26</x:v>
      </x:c>
      <x:c r="E1162" s="18" t="n">
        <x:v>26</x:v>
      </x:c>
      <x:c r="F1162" s="24" t="n">
        <x:f>IFERROR('各站彙總來源'!F1162/'各站彙總來源'!G1162,"")</x:f>
        <x:v>9.653846153846153</x:v>
      </x:c>
      <x:c r="G1162" s="19" t="n">
        <x:f>'各站彙總來源'!G1162</x:f>
        <x:v>26</x:v>
      </x:c>
      <x:c r="H1162" s="24" t="n">
        <x:f>IFERROR('各站彙總來源'!H1162/'各站彙總來源'!I1162,"")</x:f>
        <x:v>1.0384615384615385</x:v>
      </x:c>
      <x:c r="I1162" s="19" t="n">
        <x:f>'各站彙總來源'!I1162</x:f>
        <x:v>26</x:v>
      </x:c>
      <x:c r="J1162" s="24" t="n">
        <x:f>IFERROR('各站彙總來源'!J1162/'各站彙總來源'!K1162,"")</x:f>
        <x:v>4.961538461538462</x:v>
      </x:c>
      <x:c r="K1162" s="19" t="n">
        <x:f>'各站彙總來源'!K1162</x:f>
        <x:v>26</x:v>
      </x:c>
      <x:c r="L1162" s="24" t="n">
        <x:f>IFERROR('各站彙總來源'!L1162/'各站彙總來源'!M1162,"")</x:f>
        <x:v>1.6153846153846154</x:v>
      </x:c>
      <x:c r="M1162" s="19" t="n">
        <x:f>'各站彙總來源'!M1162</x:f>
        <x:v>26</x:v>
      </x:c>
      <x:c r="N1162" s="24" t="n">
        <x:f>F1162+H1162</x:f>
        <x:v>10.692307692307692</x:v>
      </x:c>
      <x:c r="O1162" s="24" t="n">
        <x:f>J1162+L1162</x:f>
        <x:v>6.576923076923077</x:v>
      </x:c>
    </x:row>
    <x:row r="1163">
      <x:c r="A1163" s="22" t="str">
        <x:v>500108191</x:v>
      </x:c>
      <x:c r="B1163" s="17" t="str">
        <x:v>內湖區</x:v>
      </x:c>
      <x:c r="C1163" s="17" t="str">
        <x:v>環山路一段136巷口</x:v>
      </x:c>
      <x:c r="D1163" s="18" t="n">
        <x:v>26</x:v>
      </x:c>
      <x:c r="E1163" s="18" t="n">
        <x:v>26</x:v>
      </x:c>
      <x:c r="F1163" s="24" t="n">
        <x:f>IFERROR('各站彙總來源'!F1163/'各站彙總來源'!G1163,"")</x:f>
        <x:v>28.96153846153846</x:v>
      </x:c>
      <x:c r="G1163" s="19" t="n">
        <x:f>'各站彙總來源'!G1163</x:f>
        <x:v>26</x:v>
      </x:c>
      <x:c r="H1163" s="24" t="n">
        <x:f>IFERROR('各站彙總來源'!H1163/'各站彙總來源'!I1163,"")</x:f>
        <x:v>3.5</x:v>
      </x:c>
      <x:c r="I1163" s="19" t="n">
        <x:f>'各站彙總來源'!I1163</x:f>
        <x:v>26</x:v>
      </x:c>
      <x:c r="J1163" s="24" t="n">
        <x:f>IFERROR('各站彙總來源'!J1163/'各站彙總來源'!K1163,"")</x:f>
        <x:v>8.76923076923077</x:v>
      </x:c>
      <x:c r="K1163" s="19" t="n">
        <x:f>'各站彙總來源'!K1163</x:f>
        <x:v>26</x:v>
      </x:c>
      <x:c r="L1163" s="24" t="n">
        <x:f>IFERROR('各站彙總來源'!L1163/'各站彙總來源'!M1163,"")</x:f>
        <x:v>1.6923076923076923</x:v>
      </x:c>
      <x:c r="M1163" s="19" t="n">
        <x:f>'各站彙總來源'!M1163</x:f>
        <x:v>26</x:v>
      </x:c>
      <x:c r="N1163" s="24" t="n">
        <x:f>F1163+H1163</x:f>
        <x:v>32.46153846153846</x:v>
      </x:c>
      <x:c r="O1163" s="24" t="n">
        <x:f>J1163+L1163</x:f>
        <x:v>10.461538461538462</x:v>
      </x:c>
    </x:row>
    <x:row r="1164">
      <x:c r="A1164" s="22" t="str">
        <x:v>500108192</x:v>
      </x:c>
      <x:c r="B1164" s="17" t="str">
        <x:v>內湖區</x:v>
      </x:c>
      <x:c r="C1164" s="17" t="str">
        <x:v>上灣公園</x:v>
      </x:c>
      <x:c r="D1164" s="18" t="n">
        <x:v>26</x:v>
      </x:c>
      <x:c r="E1164" s="18" t="n">
        <x:v>26</x:v>
      </x:c>
      <x:c r="F1164" s="24" t="n">
        <x:f>IFERROR('各站彙總來源'!F1164/'各站彙總來源'!G1164,"")</x:f>
        <x:v>13</x:v>
      </x:c>
      <x:c r="G1164" s="19" t="n">
        <x:f>'各站彙總來源'!G1164</x:f>
        <x:v>26</x:v>
      </x:c>
      <x:c r="H1164" s="24" t="n">
        <x:f>IFERROR('各站彙總來源'!H1164/'各站彙總來源'!I1164,"")</x:f>
        <x:v>1.3461538461538463</x:v>
      </x:c>
      <x:c r="I1164" s="19" t="n">
        <x:f>'各站彙總來源'!I1164</x:f>
        <x:v>26</x:v>
      </x:c>
      <x:c r="J1164" s="24" t="n">
        <x:f>IFERROR('各站彙總來源'!J1164/'各站彙總來源'!K1164,"")</x:f>
        <x:v>9.384615384615385</x:v>
      </x:c>
      <x:c r="K1164" s="19" t="n">
        <x:f>'各站彙總來源'!K1164</x:f>
        <x:v>26</x:v>
      </x:c>
      <x:c r="L1164" s="24" t="n">
        <x:f>IFERROR('各站彙總來源'!L1164/'各站彙總來源'!M1164,"")</x:f>
        <x:v>0.6923076923076923</x:v>
      </x:c>
      <x:c r="M1164" s="19" t="n">
        <x:f>'各站彙總來源'!M1164</x:f>
        <x:v>26</x:v>
      </x:c>
      <x:c r="N1164" s="24" t="n">
        <x:f>F1164+H1164</x:f>
        <x:v>14.346153846153847</x:v>
      </x:c>
      <x:c r="O1164" s="24" t="n">
        <x:f>J1164+L1164</x:f>
        <x:v>10.076923076923077</x:v>
      </x:c>
    </x:row>
    <x:row r="1165">
      <x:c r="A1165" s="22" t="str">
        <x:v>500108193</x:v>
      </x:c>
      <x:c r="B1165" s="17" t="str">
        <x:v>內湖區</x:v>
      </x:c>
      <x:c r="C1165" s="17" t="str">
        <x:v>湖興公園(成功路)</x:v>
      </x:c>
      <x:c r="D1165" s="18" t="n">
        <x:v>26</x:v>
      </x:c>
      <x:c r="E1165" s="18" t="n">
        <x:v>26</x:v>
      </x:c>
      <x:c r="F1165" s="24" t="n">
        <x:f>IFERROR('各站彙總來源'!F1165/'各站彙總來源'!G1165,"")</x:f>
        <x:v>5.115384615384615</x:v>
      </x:c>
      <x:c r="G1165" s="19" t="n">
        <x:f>'各站彙總來源'!G1165</x:f>
        <x:v>26</x:v>
      </x:c>
      <x:c r="H1165" s="24" t="n">
        <x:f>IFERROR('各站彙總來源'!H1165/'各站彙總來源'!I1165,"")</x:f>
        <x:v>2.076923076923077</x:v>
      </x:c>
      <x:c r="I1165" s="19" t="n">
        <x:f>'各站彙總來源'!I1165</x:f>
        <x:v>26</x:v>
      </x:c>
      <x:c r="J1165" s="24" t="n">
        <x:f>IFERROR('各站彙總來源'!J1165/'各站彙總來源'!K1165,"")</x:f>
        <x:v>3.8076923076923075</x:v>
      </x:c>
      <x:c r="K1165" s="19" t="n">
        <x:f>'各站彙總來源'!K1165</x:f>
        <x:v>26</x:v>
      </x:c>
      <x:c r="L1165" s="24" t="n">
        <x:f>IFERROR('各站彙總來源'!L1165/'各站彙總來源'!M1165,"")</x:f>
        <x:v>0.8461538461538461</x:v>
      </x:c>
      <x:c r="M1165" s="19" t="n">
        <x:f>'各站彙總來源'!M1165</x:f>
        <x:v>26</x:v>
      </x:c>
      <x:c r="N1165" s="24" t="n">
        <x:f>F1165+H1165</x:f>
        <x:v>7.192307692307692</x:v>
      </x:c>
      <x:c r="O1165" s="24" t="n">
        <x:f>J1165+L1165</x:f>
        <x:v>4.653846153846153</x:v>
      </x:c>
    </x:row>
    <x:row r="1166">
      <x:c r="A1166" s="22" t="str">
        <x:v>500108194</x:v>
      </x:c>
      <x:c r="B1166" s="17" t="str">
        <x:v>內湖區</x:v>
      </x:c>
      <x:c r="C1166" s="17" t="str">
        <x:v>文德三號公園(文德路)</x:v>
      </x:c>
      <x:c r="D1166" s="18" t="n">
        <x:v>26</x:v>
      </x:c>
      <x:c r="E1166" s="18" t="n">
        <x:v>26</x:v>
      </x:c>
      <x:c r="F1166" s="24" t="n">
        <x:f>IFERROR('各站彙總來源'!F1166/'各站彙總來源'!G1166,"")</x:f>
        <x:v>9.5</x:v>
      </x:c>
      <x:c r="G1166" s="19" t="n">
        <x:f>'各站彙總來源'!G1166</x:f>
        <x:v>26</x:v>
      </x:c>
      <x:c r="H1166" s="24" t="n">
        <x:f>IFERROR('各站彙總來源'!H1166/'各站彙總來源'!I1166,"")</x:f>
        <x:v>1.2692307692307692</x:v>
      </x:c>
      <x:c r="I1166" s="19" t="n">
        <x:f>'各站彙總來源'!I1166</x:f>
        <x:v>26</x:v>
      </x:c>
      <x:c r="J1166" s="24" t="n">
        <x:f>IFERROR('各站彙總來源'!J1166/'各站彙總來源'!K1166,"")</x:f>
        <x:v>3.6923076923076925</x:v>
      </x:c>
      <x:c r="K1166" s="19" t="n">
        <x:f>'各站彙總來源'!K1166</x:f>
        <x:v>26</x:v>
      </x:c>
      <x:c r="L1166" s="24" t="n">
        <x:f>IFERROR('各站彙總來源'!L1166/'各站彙總來源'!M1166,"")</x:f>
        <x:v>0.8846153846153846</x:v>
      </x:c>
      <x:c r="M1166" s="19" t="n">
        <x:f>'各站彙總來源'!M1166</x:f>
        <x:v>26</x:v>
      </x:c>
      <x:c r="N1166" s="24" t="n">
        <x:f>F1166+H1166</x:f>
        <x:v>10.76923076923077</x:v>
      </x:c>
      <x:c r="O1166" s="24" t="n">
        <x:f>J1166+L1166</x:f>
        <x:v>4.576923076923077</x:v>
      </x:c>
    </x:row>
    <x:row r="1167">
      <x:c r="A1167" s="22" t="str">
        <x:v>500108195</x:v>
      </x:c>
      <x:c r="B1167" s="17" t="str">
        <x:v>內湖區</x:v>
      </x:c>
      <x:c r="C1167" s="17" t="str">
        <x:v>康寧路一段218巷2弄口</x:v>
      </x:c>
      <x:c r="D1167" s="18" t="n">
        <x:v>26</x:v>
      </x:c>
      <x:c r="E1167" s="18" t="n">
        <x:v>26</x:v>
      </x:c>
      <x:c r="F1167" s="24" t="n">
        <x:f>IFERROR('各站彙總來源'!F1167/'各站彙總來源'!G1167,"")</x:f>
        <x:v>10.73076923076923</x:v>
      </x:c>
      <x:c r="G1167" s="19" t="n">
        <x:f>'各站彙總來源'!G1167</x:f>
        <x:v>26</x:v>
      </x:c>
      <x:c r="H1167" s="24" t="n">
        <x:f>IFERROR('各站彙總來源'!H1167/'各站彙總來源'!I1167,"")</x:f>
        <x:v>2.6923076923076925</x:v>
      </x:c>
      <x:c r="I1167" s="19" t="n">
        <x:f>'各站彙總來源'!I1167</x:f>
        <x:v>26</x:v>
      </x:c>
      <x:c r="J1167" s="24" t="n">
        <x:f>IFERROR('各站彙總來源'!J1167/'各站彙總來源'!K1167,"")</x:f>
        <x:v>3.269230769230769</x:v>
      </x:c>
      <x:c r="K1167" s="19" t="n">
        <x:f>'各站彙總來源'!K1167</x:f>
        <x:v>26</x:v>
      </x:c>
      <x:c r="L1167" s="24" t="n">
        <x:f>IFERROR('各站彙總來源'!L1167/'各站彙總來源'!M1167,"")</x:f>
        <x:v>0.46153846153846156</x:v>
      </x:c>
      <x:c r="M1167" s="19" t="n">
        <x:f>'各站彙總來源'!M1167</x:f>
        <x:v>26</x:v>
      </x:c>
      <x:c r="N1167" s="24" t="n">
        <x:f>F1167+H1167</x:f>
        <x:v>13.423076923076923</x:v>
      </x:c>
      <x:c r="O1167" s="24" t="n">
        <x:f>J1167+L1167</x:f>
        <x:v>3.730769230769231</x:v>
      </x:c>
    </x:row>
    <x:row r="1168">
      <x:c r="A1168" s="22" t="str">
        <x:v>500108196</x:v>
      </x:c>
      <x:c r="B1168" s="17" t="str">
        <x:v>內湖區</x:v>
      </x:c>
      <x:c r="C1168" s="17" t="str">
        <x:v>星雲街210巷口</x:v>
      </x:c>
      <x:c r="D1168" s="18" t="n">
        <x:v>26</x:v>
      </x:c>
      <x:c r="E1168" s="18" t="n">
        <x:v>26</x:v>
      </x:c>
      <x:c r="F1168" s="24" t="n">
        <x:f>IFERROR('各站彙總來源'!F1168/'各站彙總來源'!G1168,"")</x:f>
        <x:v>9.76923076923077</x:v>
      </x:c>
      <x:c r="G1168" s="19" t="n">
        <x:f>'各站彙總來源'!G1168</x:f>
        <x:v>26</x:v>
      </x:c>
      <x:c r="H1168" s="24" t="n">
        <x:f>IFERROR('各站彙總來源'!H1168/'各站彙總來源'!I1168,"")</x:f>
        <x:v>2.0384615384615383</x:v>
      </x:c>
      <x:c r="I1168" s="19" t="n">
        <x:f>'各站彙總來源'!I1168</x:f>
        <x:v>26</x:v>
      </x:c>
      <x:c r="J1168" s="24" t="n">
        <x:f>IFERROR('各站彙總來源'!J1168/'各站彙總來源'!K1168,"")</x:f>
        <x:v>2.730769230769231</x:v>
      </x:c>
      <x:c r="K1168" s="19" t="n">
        <x:f>'各站彙總來源'!K1168</x:f>
        <x:v>26</x:v>
      </x:c>
      <x:c r="L1168" s="24" t="n">
        <x:f>IFERROR('各站彙總來源'!L1168/'各站彙總來源'!M1168,"")</x:f>
        <x:v>1.0769230769230769</x:v>
      </x:c>
      <x:c r="M1168" s="19" t="n">
        <x:f>'各站彙總來源'!M1168</x:f>
        <x:v>26</x:v>
      </x:c>
      <x:c r="N1168" s="24" t="n">
        <x:f>F1168+H1168</x:f>
        <x:v>11.807692307692308</x:v>
      </x:c>
      <x:c r="O1168" s="24" t="n">
        <x:f>J1168+L1168</x:f>
        <x:v>3.8076923076923075</x:v>
      </x:c>
    </x:row>
    <x:row r="1169">
      <x:c r="A1169" s="22" t="str">
        <x:v>500108197</x:v>
      </x:c>
      <x:c r="B1169" s="17" t="str">
        <x:v>內湖區</x:v>
      </x:c>
      <x:c r="C1169" s="17" t="str">
        <x:v>成功路二段406巷口</x:v>
      </x:c>
      <x:c r="D1169" s="18" t="n">
        <x:v>26</x:v>
      </x:c>
      <x:c r="E1169" s="18" t="n">
        <x:v>26</x:v>
      </x:c>
      <x:c r="F1169" s="24" t="n">
        <x:f>IFERROR('各站彙總來源'!F1169/'各站彙總來源'!G1169,"")</x:f>
        <x:v>8.115384615384615</x:v>
      </x:c>
      <x:c r="G1169" s="19" t="n">
        <x:f>'各站彙總來源'!G1169</x:f>
        <x:v>26</x:v>
      </x:c>
      <x:c r="H1169" s="24" t="n">
        <x:f>IFERROR('各站彙總來源'!H1169/'各站彙總來源'!I1169,"")</x:f>
        <x:v>1.5384615384615385</x:v>
      </x:c>
      <x:c r="I1169" s="19" t="n">
        <x:f>'各站彙總來源'!I1169</x:f>
        <x:v>26</x:v>
      </x:c>
      <x:c r="J1169" s="24" t="n">
        <x:f>IFERROR('各站彙總來源'!J1169/'各站彙總來源'!K1169,"")</x:f>
        <x:v>5.153846153846154</x:v>
      </x:c>
      <x:c r="K1169" s="19" t="n">
        <x:f>'各站彙總來源'!K1169</x:f>
        <x:v>26</x:v>
      </x:c>
      <x:c r="L1169" s="24" t="n">
        <x:f>IFERROR('各站彙總來源'!L1169/'各站彙總來源'!M1169,"")</x:f>
        <x:v>1.5769230769230769</x:v>
      </x:c>
      <x:c r="M1169" s="19" t="n">
        <x:f>'各站彙總來源'!M1169</x:f>
        <x:v>26</x:v>
      </x:c>
      <x:c r="N1169" s="24" t="n">
        <x:f>F1169+H1169</x:f>
        <x:v>9.653846153846153</x:v>
      </x:c>
      <x:c r="O1169" s="24" t="n">
        <x:f>J1169+L1169</x:f>
        <x:v>6.730769230769231</x:v>
      </x:c>
    </x:row>
    <x:row r="1170">
      <x:c r="A1170" s="22" t="str">
        <x:v>500108198</x:v>
      </x:c>
      <x:c r="B1170" s="17" t="str">
        <x:v>內湖區</x:v>
      </x:c>
      <x:c r="C1170" s="17" t="str">
        <x:v>民權東路六段280巷69弄</x:v>
      </x:c>
      <x:c r="D1170" s="18" t="n">
        <x:v>26</x:v>
      </x:c>
      <x:c r="E1170" s="18" t="n">
        <x:v>26</x:v>
      </x:c>
      <x:c r="F1170" s="24" t="n">
        <x:f>IFERROR('各站彙總來源'!F1170/'各站彙總來源'!G1170,"")</x:f>
        <x:v>0</x:v>
      </x:c>
      <x:c r="G1170" s="19" t="n">
        <x:f>'各站彙總來源'!G1170</x:f>
        <x:v>26</x:v>
      </x:c>
      <x:c r="H1170" s="24" t="n">
        <x:f>IFERROR('各站彙總來源'!H1170/'各站彙總來源'!I1170,"")</x:f>
        <x:v>0</x:v>
      </x:c>
      <x:c r="I1170" s="19" t="n">
        <x:f>'各站彙總來源'!I1170</x:f>
        <x:v>26</x:v>
      </x:c>
      <x:c r="J1170" s="24" t="n">
        <x:f>IFERROR('各站彙總來源'!J1170/'各站彙總來源'!K1170,"")</x:f>
        <x:v>0</x:v>
      </x:c>
      <x:c r="K1170" s="19" t="n">
        <x:f>'各站彙總來源'!K1170</x:f>
        <x:v>26</x:v>
      </x:c>
      <x:c r="L1170" s="24" t="n">
        <x:f>IFERROR('各站彙總來源'!L1170/'各站彙總來源'!M1170,"")</x:f>
        <x:v>0</x:v>
      </x:c>
      <x:c r="M1170" s="19" t="n">
        <x:f>'各站彙總來源'!M1170</x:f>
        <x:v>26</x:v>
      </x:c>
      <x:c r="N1170" s="24" t="n">
        <x:f>F1170+H1170</x:f>
        <x:v>0</x:v>
      </x:c>
      <x:c r="O1170" s="24" t="n">
        <x:f>J1170+L1170</x:f>
        <x:v>0</x:v>
      </x:c>
    </x:row>
    <x:row r="1171">
      <x:c r="A1171" s="22" t="str">
        <x:v>500108199</x:v>
      </x:c>
      <x:c r="B1171" s="17" t="str">
        <x:v>內湖區</x:v>
      </x:c>
      <x:c r="C1171" s="17" t="str">
        <x:v>捷運東湖站(2號出口)</x:v>
      </x:c>
      <x:c r="D1171" s="18" t="n">
        <x:v>26</x:v>
      </x:c>
      <x:c r="E1171" s="18" t="n">
        <x:v>26</x:v>
      </x:c>
      <x:c r="F1171" s="24" t="n">
        <x:f>IFERROR('各站彙總來源'!F1171/'各站彙總來源'!G1171,"")</x:f>
        <x:v>4.846153846153846</x:v>
      </x:c>
      <x:c r="G1171" s="19" t="n">
        <x:f>'各站彙總來源'!G1171</x:f>
        <x:v>26</x:v>
      </x:c>
      <x:c r="H1171" s="24" t="n">
        <x:f>IFERROR('各站彙總來源'!H1171/'各站彙總來源'!I1171,"")</x:f>
        <x:v>0.6538461538461539</x:v>
      </x:c>
      <x:c r="I1171" s="19" t="n">
        <x:f>'各站彙總來源'!I1171</x:f>
        <x:v>26</x:v>
      </x:c>
      <x:c r="J1171" s="24" t="n">
        <x:f>IFERROR('各站彙總來源'!J1171/'各站彙總來源'!K1171,"")</x:f>
        <x:v>11.153846153846153</x:v>
      </x:c>
      <x:c r="K1171" s="19" t="n">
        <x:f>'各站彙總來源'!K1171</x:f>
        <x:v>26</x:v>
      </x:c>
      <x:c r="L1171" s="24" t="n">
        <x:f>IFERROR('各站彙總來源'!L1171/'各站彙總來源'!M1171,"")</x:f>
        <x:v>1.4615384615384615</x:v>
      </x:c>
      <x:c r="M1171" s="19" t="n">
        <x:f>'各站彙總來源'!M1171</x:f>
        <x:v>26</x:v>
      </x:c>
      <x:c r="N1171" s="24" t="n">
        <x:f>F1171+H1171</x:f>
        <x:v>5.5</x:v>
      </x:c>
      <x:c r="O1171" s="24" t="n">
        <x:f>J1171+L1171</x:f>
        <x:v>12.615384615384615</x:v>
      </x:c>
    </x:row>
    <x:row r="1172">
      <x:c r="A1172" s="22" t="str">
        <x:v>500108200</x:v>
      </x:c>
      <x:c r="B1172" s="17" t="str">
        <x:v>內湖區</x:v>
      </x:c>
      <x:c r="C1172" s="17" t="str">
        <x:v>民權東路六段280巷155弄口</x:v>
      </x:c>
      <x:c r="D1172" s="18" t="n">
        <x:v>26</x:v>
      </x:c>
      <x:c r="E1172" s="18" t="n">
        <x:v>26</x:v>
      </x:c>
      <x:c r="F1172" s="24" t="n">
        <x:f>IFERROR('各站彙總來源'!F1172/'各站彙總來源'!G1172,"")</x:f>
        <x:v>6.961538461538462</x:v>
      </x:c>
      <x:c r="G1172" s="19" t="n">
        <x:f>'各站彙總來源'!G1172</x:f>
        <x:v>26</x:v>
      </x:c>
      <x:c r="H1172" s="24" t="n">
        <x:f>IFERROR('各站彙總來源'!H1172/'各站彙總來源'!I1172,"")</x:f>
        <x:v>4.961538461538462</x:v>
      </x:c>
      <x:c r="I1172" s="19" t="n">
        <x:f>'各站彙總來源'!I1172</x:f>
        <x:v>26</x:v>
      </x:c>
      <x:c r="J1172" s="24" t="n">
        <x:f>IFERROR('各站彙總來源'!J1172/'各站彙總來源'!K1172,"")</x:f>
        <x:v>4.384615384615385</x:v>
      </x:c>
      <x:c r="K1172" s="19" t="n">
        <x:f>'各站彙總來源'!K1172</x:f>
        <x:v>26</x:v>
      </x:c>
      <x:c r="L1172" s="24" t="n">
        <x:f>IFERROR('各站彙總來源'!L1172/'各站彙總來源'!M1172,"")</x:f>
        <x:v>3.0384615384615383</x:v>
      </x:c>
      <x:c r="M1172" s="19" t="n">
        <x:f>'各站彙總來源'!M1172</x:f>
        <x:v>26</x:v>
      </x:c>
      <x:c r="N1172" s="24" t="n">
        <x:f>F1172+H1172</x:f>
        <x:v>11.923076923076923</x:v>
      </x:c>
      <x:c r="O1172" s="24" t="n">
        <x:f>J1172+L1172</x:f>
        <x:v>7.423076923076923</x:v>
      </x:c>
    </x:row>
    <x:row r="1173">
      <x:c r="A1173" s="22" t="str">
        <x:v>500108201</x:v>
      </x:c>
      <x:c r="B1173" s="17" t="str">
        <x:v>內湖區</x:v>
      </x:c>
      <x:c r="C1173" s="17" t="str">
        <x:v>將軍嶺</x:v>
      </x:c>
      <x:c r="D1173" s="18" t="n">
        <x:v>26</x:v>
      </x:c>
      <x:c r="E1173" s="18" t="n">
        <x:v>26</x:v>
      </x:c>
      <x:c r="F1173" s="24" t="n">
        <x:f>IFERROR('各站彙總來源'!F1173/'各站彙總來源'!G1173,"")</x:f>
        <x:v>11.115384615384615</x:v>
      </x:c>
      <x:c r="G1173" s="19" t="n">
        <x:f>'各站彙總來源'!G1173</x:f>
        <x:v>26</x:v>
      </x:c>
      <x:c r="H1173" s="24" t="n">
        <x:f>IFERROR('各站彙總來源'!H1173/'各站彙總來源'!I1173,"")</x:f>
        <x:v>2.0384615384615383</x:v>
      </x:c>
      <x:c r="I1173" s="19" t="n">
        <x:f>'各站彙總來源'!I1173</x:f>
        <x:v>26</x:v>
      </x:c>
      <x:c r="J1173" s="24" t="n">
        <x:f>IFERROR('各站彙總來源'!J1173/'各站彙總來源'!K1173,"")</x:f>
        <x:v>14.423076923076923</x:v>
      </x:c>
      <x:c r="K1173" s="19" t="n">
        <x:f>'各站彙總來源'!K1173</x:f>
        <x:v>26</x:v>
      </x:c>
      <x:c r="L1173" s="24" t="n">
        <x:f>IFERROR('各站彙總來源'!L1173/'各站彙總來源'!M1173,"")</x:f>
        <x:v>2.1923076923076925</x:v>
      </x:c>
      <x:c r="M1173" s="19" t="n">
        <x:f>'各站彙總來源'!M1173</x:f>
        <x:v>26</x:v>
      </x:c>
      <x:c r="N1173" s="24" t="n">
        <x:f>F1173+H1173</x:f>
        <x:v>13.153846153846153</x:v>
      </x:c>
      <x:c r="O1173" s="24" t="n">
        <x:f>J1173+L1173</x:f>
        <x:v>16.615384615384617</x:v>
      </x:c>
    </x:row>
    <x:row r="1174">
      <x:c r="A1174" s="22" t="str">
        <x:v>500108202</x:v>
      </x:c>
      <x:c r="B1174" s="17" t="str">
        <x:v>內湖區</x:v>
      </x:c>
      <x:c r="C1174" s="17" t="str">
        <x:v>文湖街21巷82弄口</x:v>
      </x:c>
      <x:c r="D1174" s="18" t="n">
        <x:v>26</x:v>
      </x:c>
      <x:c r="E1174" s="18" t="n">
        <x:v>26</x:v>
      </x:c>
      <x:c r="F1174" s="24" t="n">
        <x:f>IFERROR('各站彙總來源'!F1174/'各站彙總來源'!G1174,"")</x:f>
        <x:v>14.76923076923077</x:v>
      </x:c>
      <x:c r="G1174" s="19" t="n">
        <x:f>'各站彙總來源'!G1174</x:f>
        <x:v>26</x:v>
      </x:c>
      <x:c r="H1174" s="24" t="n">
        <x:f>IFERROR('各站彙總來源'!H1174/'各站彙總來源'!I1174,"")</x:f>
        <x:v>3.8846153846153846</x:v>
      </x:c>
      <x:c r="I1174" s="19" t="n">
        <x:f>'各站彙總來源'!I1174</x:f>
        <x:v>26</x:v>
      </x:c>
      <x:c r="J1174" s="24" t="n">
        <x:f>IFERROR('各站彙總來源'!J1174/'各站彙總來源'!K1174,"")</x:f>
        <x:v>3.076923076923077</x:v>
      </x:c>
      <x:c r="K1174" s="19" t="n">
        <x:f>'各站彙總來源'!K1174</x:f>
        <x:v>26</x:v>
      </x:c>
      <x:c r="L1174" s="24" t="n">
        <x:f>IFERROR('各站彙總來源'!L1174/'各站彙總來源'!M1174,"")</x:f>
        <x:v>1.2307692307692308</x:v>
      </x:c>
      <x:c r="M1174" s="19" t="n">
        <x:f>'各站彙總來源'!M1174</x:f>
        <x:v>26</x:v>
      </x:c>
      <x:c r="N1174" s="24" t="n">
        <x:f>F1174+H1174</x:f>
        <x:v>18.653846153846153</x:v>
      </x:c>
      <x:c r="O1174" s="24" t="n">
        <x:f>J1174+L1174</x:f>
        <x:v>4.307692307692308</x:v>
      </x:c>
    </x:row>
    <x:row r="1175">
      <x:c r="A1175" s="22" t="str">
        <x:v>500108203</x:v>
      </x:c>
      <x:c r="B1175" s="17" t="str">
        <x:v>內湖區</x:v>
      </x:c>
      <x:c r="C1175" s="17" t="str">
        <x:v>西湖公園(內湖路一段387巷)</x:v>
      </x:c>
      <x:c r="D1175" s="18" t="n">
        <x:v>26</x:v>
      </x:c>
      <x:c r="E1175" s="18" t="n">
        <x:v>26</x:v>
      </x:c>
      <x:c r="F1175" s="24" t="n">
        <x:f>IFERROR('各站彙總來源'!F1175/'各站彙總來源'!G1175,"")</x:f>
        <x:v>14.153846153846153</x:v>
      </x:c>
      <x:c r="G1175" s="19" t="n">
        <x:f>'各站彙總來源'!G1175</x:f>
        <x:v>26</x:v>
      </x:c>
      <x:c r="H1175" s="24" t="n">
        <x:f>IFERROR('各站彙總來源'!H1175/'各站彙總來源'!I1175,"")</x:f>
        <x:v>1.5384615384615385</x:v>
      </x:c>
      <x:c r="I1175" s="19" t="n">
        <x:f>'各站彙總來源'!I1175</x:f>
        <x:v>26</x:v>
      </x:c>
      <x:c r="J1175" s="24" t="n">
        <x:f>IFERROR('各站彙總來源'!J1175/'各站彙總來源'!K1175,"")</x:f>
        <x:v>6.076923076923077</x:v>
      </x:c>
      <x:c r="K1175" s="19" t="n">
        <x:f>'各站彙總來源'!K1175</x:f>
        <x:v>26</x:v>
      </x:c>
      <x:c r="L1175" s="24" t="n">
        <x:f>IFERROR('各站彙總來源'!L1175/'各站彙總來源'!M1175,"")</x:f>
        <x:v>1.4230769230769231</x:v>
      </x:c>
      <x:c r="M1175" s="19" t="n">
        <x:f>'各站彙總來源'!M1175</x:f>
        <x:v>26</x:v>
      </x:c>
      <x:c r="N1175" s="24" t="n">
        <x:f>F1175+H1175</x:f>
        <x:v>15.692307692307692</x:v>
      </x:c>
      <x:c r="O1175" s="24" t="n">
        <x:f>J1175+L1175</x:f>
        <x:v>7.5</x:v>
      </x:c>
    </x:row>
    <x:row r="1176">
      <x:c r="A1176" s="22" t="str">
        <x:v>500108204</x:v>
      </x:c>
      <x:c r="B1176" s="17" t="str">
        <x:v>內湖區</x:v>
      </x:c>
      <x:c r="C1176" s="17" t="str">
        <x:v>國立臺灣戲曲學院(內湖校區)</x:v>
      </x:c>
      <x:c r="D1176" s="18" t="n">
        <x:v>26</x:v>
      </x:c>
      <x:c r="E1176" s="18" t="n">
        <x:v>26</x:v>
      </x:c>
      <x:c r="F1176" s="24" t="n">
        <x:f>IFERROR('各站彙總來源'!F1176/'各站彙總來源'!G1176,"")</x:f>
        <x:v>10.192307692307692</x:v>
      </x:c>
      <x:c r="G1176" s="19" t="n">
        <x:f>'各站彙總來源'!G1176</x:f>
        <x:v>26</x:v>
      </x:c>
      <x:c r="H1176" s="24" t="n">
        <x:f>IFERROR('各站彙總來源'!H1176/'各站彙總來源'!I1176,"")</x:f>
        <x:v>1.3076923076923077</x:v>
      </x:c>
      <x:c r="I1176" s="19" t="n">
        <x:f>'各站彙總來源'!I1176</x:f>
        <x:v>26</x:v>
      </x:c>
      <x:c r="J1176" s="24" t="n">
        <x:f>IFERROR('各站彙總來源'!J1176/'各站彙總來源'!K1176,"")</x:f>
        <x:v>7.5</x:v>
      </x:c>
      <x:c r="K1176" s="19" t="n">
        <x:f>'各站彙總來源'!K1176</x:f>
        <x:v>26</x:v>
      </x:c>
      <x:c r="L1176" s="24" t="n">
        <x:f>IFERROR('各站彙總來源'!L1176/'各站彙總來源'!M1176,"")</x:f>
        <x:v>1.8846153846153846</x:v>
      </x:c>
      <x:c r="M1176" s="19" t="n">
        <x:f>'各站彙總來源'!M1176</x:f>
        <x:v>26</x:v>
      </x:c>
      <x:c r="N1176" s="24" t="n">
        <x:f>F1176+H1176</x:f>
        <x:v>11.5</x:v>
      </x:c>
      <x:c r="O1176" s="24" t="n">
        <x:f>J1176+L1176</x:f>
        <x:v>9.384615384615385</x:v>
      </x:c>
    </x:row>
    <x:row r="1177">
      <x:c r="A1177" s="22" t="str">
        <x:v>500108205</x:v>
      </x:c>
      <x:c r="B1177" s="17" t="str">
        <x:v>內湖區</x:v>
      </x:c>
      <x:c r="C1177" s="17" t="str">
        <x:v>內湖路一段285巷65弄</x:v>
      </x:c>
      <x:c r="D1177" s="18" t="n">
        <x:v>26</x:v>
      </x:c>
      <x:c r="E1177" s="18" t="n">
        <x:v>26</x:v>
      </x:c>
      <x:c r="F1177" s="24" t="n">
        <x:f>IFERROR('各站彙總來源'!F1177/'各站彙總來源'!G1177,"")</x:f>
        <x:v>16.846153846153847</x:v>
      </x:c>
      <x:c r="G1177" s="19" t="n">
        <x:f>'各站彙總來源'!G1177</x:f>
        <x:v>26</x:v>
      </x:c>
      <x:c r="H1177" s="24" t="n">
        <x:f>IFERROR('各站彙總來源'!H1177/'各站彙總來源'!I1177,"")</x:f>
        <x:v>3.576923076923077</x:v>
      </x:c>
      <x:c r="I1177" s="19" t="n">
        <x:f>'各站彙總來源'!I1177</x:f>
        <x:v>26</x:v>
      </x:c>
      <x:c r="J1177" s="24" t="n">
        <x:f>IFERROR('各站彙總來源'!J1177/'各站彙總來源'!K1177,"")</x:f>
        <x:v>4.538461538461538</x:v>
      </x:c>
      <x:c r="K1177" s="19" t="n">
        <x:f>'各站彙總來源'!K1177</x:f>
        <x:v>26</x:v>
      </x:c>
      <x:c r="L1177" s="24" t="n">
        <x:f>IFERROR('各站彙總來源'!L1177/'各站彙總來源'!M1177,"")</x:f>
        <x:v>1.6153846153846154</x:v>
      </x:c>
      <x:c r="M1177" s="19" t="n">
        <x:f>'各站彙總來源'!M1177</x:f>
        <x:v>26</x:v>
      </x:c>
      <x:c r="N1177" s="24" t="n">
        <x:f>F1177+H1177</x:f>
        <x:v>20.423076923076923</x:v>
      </x:c>
      <x:c r="O1177" s="24" t="n">
        <x:f>J1177+L1177</x:f>
        <x:v>6.153846153846153</x:v>
      </x:c>
    </x:row>
    <x:row r="1178">
      <x:c r="A1178" s="22" t="str">
        <x:v>500108206</x:v>
      </x:c>
      <x:c r="B1178" s="17" t="str">
        <x:v>內湖區</x:v>
      </x:c>
      <x:c r="C1178" s="17" t="str">
        <x:v>西湖國中</x:v>
      </x:c>
      <x:c r="D1178" s="18" t="n">
        <x:v>26</x:v>
      </x:c>
      <x:c r="E1178" s="18" t="n">
        <x:v>26</x:v>
      </x:c>
      <x:c r="F1178" s="24" t="n">
        <x:f>IFERROR('各站彙總來源'!F1178/'各站彙總來源'!G1178,"")</x:f>
        <x:v>5.423076923076923</x:v>
      </x:c>
      <x:c r="G1178" s="19" t="n">
        <x:f>'各站彙總來源'!G1178</x:f>
        <x:v>26</x:v>
      </x:c>
      <x:c r="H1178" s="24" t="n">
        <x:f>IFERROR('各站彙總來源'!H1178/'各站彙總來源'!I1178,"")</x:f>
        <x:v>1.3846153846153846</x:v>
      </x:c>
      <x:c r="I1178" s="19" t="n">
        <x:f>'各站彙總來源'!I1178</x:f>
        <x:v>26</x:v>
      </x:c>
      <x:c r="J1178" s="24" t="n">
        <x:f>IFERROR('各站彙總來源'!J1178/'各站彙總來源'!K1178,"")</x:f>
        <x:v>4.3076923076923075</x:v>
      </x:c>
      <x:c r="K1178" s="19" t="n">
        <x:f>'各站彙總來源'!K1178</x:f>
        <x:v>26</x:v>
      </x:c>
      <x:c r="L1178" s="24" t="n">
        <x:f>IFERROR('各站彙總來源'!L1178/'各站彙總來源'!M1178,"")</x:f>
        <x:v>0.5384615384615384</x:v>
      </x:c>
      <x:c r="M1178" s="19" t="n">
        <x:f>'各站彙總來源'!M1178</x:f>
        <x:v>26</x:v>
      </x:c>
      <x:c r="N1178" s="24" t="n">
        <x:f>F1178+H1178</x:f>
        <x:v>6.807692307692308</x:v>
      </x:c>
      <x:c r="O1178" s="24" t="n">
        <x:f>J1178+L1178</x:f>
        <x:v>4.846153846153846</x:v>
      </x:c>
    </x:row>
    <x:row r="1179">
      <x:c r="A1179" s="22" t="str">
        <x:v>500108207</x:v>
      </x:c>
      <x:c r="B1179" s="17" t="str">
        <x:v>內湖區</x:v>
      </x:c>
      <x:c r="C1179" s="17" t="str">
        <x:v>成美疏散門</x:v>
      </x:c>
      <x:c r="D1179" s="18" t="n">
        <x:v>26</x:v>
      </x:c>
      <x:c r="E1179" s="18" t="n">
        <x:v>26</x:v>
      </x:c>
      <x:c r="F1179" s="24" t="n">
        <x:f>IFERROR('各站彙總來源'!F1179/'各站彙總來源'!G1179,"")</x:f>
        <x:v>5.576923076923077</x:v>
      </x:c>
      <x:c r="G1179" s="19" t="n">
        <x:f>'各站彙總來源'!G1179</x:f>
        <x:v>26</x:v>
      </x:c>
      <x:c r="H1179" s="24" t="n">
        <x:f>IFERROR('各站彙總來源'!H1179/'各站彙總來源'!I1179,"")</x:f>
        <x:v>2.3076923076923075</x:v>
      </x:c>
      <x:c r="I1179" s="19" t="n">
        <x:f>'各站彙總來源'!I1179</x:f>
        <x:v>26</x:v>
      </x:c>
      <x:c r="J1179" s="24" t="n">
        <x:f>IFERROR('各站彙總來源'!J1179/'各站彙總來源'!K1179,"")</x:f>
        <x:v>13.692307692307692</x:v>
      </x:c>
      <x:c r="K1179" s="19" t="n">
        <x:f>'各站彙總來源'!K1179</x:f>
        <x:v>26</x:v>
      </x:c>
      <x:c r="L1179" s="24" t="n">
        <x:f>IFERROR('各站彙總來源'!L1179/'各站彙總來源'!M1179,"")</x:f>
        <x:v>1.7307692307692308</x:v>
      </x:c>
      <x:c r="M1179" s="19" t="n">
        <x:f>'各站彙總來源'!M1179</x:f>
        <x:v>26</x:v>
      </x:c>
      <x:c r="N1179" s="24" t="n">
        <x:f>F1179+H1179</x:f>
        <x:v>7.884615384615384</x:v>
      </x:c>
      <x:c r="O1179" s="24" t="n">
        <x:f>J1179+L1179</x:f>
        <x:v>15.423076923076923</x:v>
      </x:c>
    </x:row>
    <x:row r="1180">
      <x:c r="A1180" s="22" t="str">
        <x:v>500108208</x:v>
      </x:c>
      <x:c r="B1180" s="17" t="str">
        <x:v>內湖區</x:v>
      </x:c>
      <x:c r="C1180" s="17" t="str">
        <x:v>大湖國小(大湖山莊街173巷口)</x:v>
      </x:c>
      <x:c r="D1180" s="18" t="n">
        <x:v>26</x:v>
      </x:c>
      <x:c r="E1180" s="18" t="n">
        <x:v>26</x:v>
      </x:c>
      <x:c r="F1180" s="24" t="n">
        <x:f>IFERROR('各站彙總來源'!F1180/'各站彙總來源'!G1180,"")</x:f>
        <x:v>9.5</x:v>
      </x:c>
      <x:c r="G1180" s="19" t="n">
        <x:f>'各站彙總來源'!G1180</x:f>
        <x:v>26</x:v>
      </x:c>
      <x:c r="H1180" s="24" t="n">
        <x:f>IFERROR('各站彙總來源'!H1180/'各站彙總來源'!I1180,"")</x:f>
        <x:v>3.3846153846153846</x:v>
      </x:c>
      <x:c r="I1180" s="19" t="n">
        <x:f>'各站彙總來源'!I1180</x:f>
        <x:v>26</x:v>
      </x:c>
      <x:c r="J1180" s="24" t="n">
        <x:f>IFERROR('各站彙總來源'!J1180/'各站彙總來源'!K1180,"")</x:f>
        <x:v>2.3076923076923075</x:v>
      </x:c>
      <x:c r="K1180" s="19" t="n">
        <x:f>'各站彙總來源'!K1180</x:f>
        <x:v>26</x:v>
      </x:c>
      <x:c r="L1180" s="24" t="n">
        <x:f>IFERROR('各站彙總來源'!L1180/'各站彙總來源'!M1180,"")</x:f>
        <x:v>1.3076923076923077</x:v>
      </x:c>
      <x:c r="M1180" s="19" t="n">
        <x:f>'各站彙總來源'!M1180</x:f>
        <x:v>26</x:v>
      </x:c>
      <x:c r="N1180" s="24" t="n">
        <x:f>F1180+H1180</x:f>
        <x:v>12.884615384615385</x:v>
      </x:c>
      <x:c r="O1180" s="24" t="n">
        <x:f>J1180+L1180</x:f>
        <x:v>3.615384615384615</x:v>
      </x:c>
    </x:row>
    <x:row r="1181">
      <x:c r="A1181" s="22" t="str">
        <x:v>500108209</x:v>
      </x:c>
      <x:c r="B1181" s="17" t="str">
        <x:v>內湖區</x:v>
      </x:c>
      <x:c r="C1181" s="17" t="str">
        <x:v>成功路五段450巷口</x:v>
      </x:c>
      <x:c r="D1181" s="18" t="n">
        <x:v>26</x:v>
      </x:c>
      <x:c r="E1181" s="18" t="n">
        <x:v>26</x:v>
      </x:c>
      <x:c r="F1181" s="24" t="n">
        <x:f>IFERROR('各站彙總來源'!F1181/'各站彙總來源'!G1181,"")</x:f>
        <x:v>5.461538461538462</x:v>
      </x:c>
      <x:c r="G1181" s="19" t="n">
        <x:f>'各站彙總來源'!G1181</x:f>
        <x:v>26</x:v>
      </x:c>
      <x:c r="H1181" s="24" t="n">
        <x:f>IFERROR('各站彙總來源'!H1181/'各站彙總來源'!I1181,"")</x:f>
        <x:v>0.4230769230769231</x:v>
      </x:c>
      <x:c r="I1181" s="19" t="n">
        <x:f>'各站彙總來源'!I1181</x:f>
        <x:v>26</x:v>
      </x:c>
      <x:c r="J1181" s="24" t="n">
        <x:f>IFERROR('各站彙總來源'!J1181/'各站彙總來源'!K1181,"")</x:f>
        <x:v>7.6923076923076925</x:v>
      </x:c>
      <x:c r="K1181" s="19" t="n">
        <x:f>'各站彙總來源'!K1181</x:f>
        <x:v>26</x:v>
      </x:c>
      <x:c r="L1181" s="24" t="n">
        <x:f>IFERROR('各站彙總來源'!L1181/'各站彙總來源'!M1181,"")</x:f>
        <x:v>1.6538461538461537</x:v>
      </x:c>
      <x:c r="M1181" s="19" t="n">
        <x:f>'各站彙總來源'!M1181</x:f>
        <x:v>26</x:v>
      </x:c>
      <x:c r="N1181" s="24" t="n">
        <x:f>F1181+H1181</x:f>
        <x:v>5.884615384615385</x:v>
      </x:c>
      <x:c r="O1181" s="24" t="n">
        <x:f>J1181+L1181</x:f>
        <x:v>9.346153846153847</x:v>
      </x:c>
    </x:row>
    <x:row r="1182">
      <x:c r="A1182" s="22" t="str">
        <x:v>500108210</x:v>
      </x:c>
      <x:c r="B1182" s="17" t="str">
        <x:v>內湖區</x:v>
      </x:c>
      <x:c r="C1182" s="17" t="str">
        <x:v>新湖二堤頂大道</x:v>
      </x:c>
      <x:c r="D1182" s="18" t="n">
        <x:v>26</x:v>
      </x:c>
      <x:c r="E1182" s="18" t="n">
        <x:v>26</x:v>
      </x:c>
      <x:c r="F1182" s="24" t="n">
        <x:f>IFERROR('各站彙總來源'!F1182/'各站彙總來源'!G1182,"")</x:f>
        <x:v>0</x:v>
      </x:c>
      <x:c r="G1182" s="19" t="n">
        <x:f>'各站彙總來源'!G1182</x:f>
        <x:v>26</x:v>
      </x:c>
      <x:c r="H1182" s="24" t="n">
        <x:f>IFERROR('各站彙總來源'!H1182/'各站彙總來源'!I1182,"")</x:f>
        <x:v>0</x:v>
      </x:c>
      <x:c r="I1182" s="19" t="n">
        <x:f>'各站彙總來源'!I1182</x:f>
        <x:v>26</x:v>
      </x:c>
      <x:c r="J1182" s="24" t="n">
        <x:f>IFERROR('各站彙總來源'!J1182/'各站彙總來源'!K1182,"")</x:f>
        <x:v>0</x:v>
      </x:c>
      <x:c r="K1182" s="19" t="n">
        <x:f>'各站彙總來源'!K1182</x:f>
        <x:v>26</x:v>
      </x:c>
      <x:c r="L1182" s="24" t="n">
        <x:f>IFERROR('各站彙總來源'!L1182/'各站彙總來源'!M1182,"")</x:f>
        <x:v>0</x:v>
      </x:c>
      <x:c r="M1182" s="19" t="n">
        <x:f>'各站彙總來源'!M1182</x:f>
        <x:v>26</x:v>
      </x:c>
      <x:c r="N1182" s="24" t="n">
        <x:f>F1182+H1182</x:f>
        <x:v>0</x:v>
      </x:c>
      <x:c r="O1182" s="24" t="n">
        <x:f>J1182+L1182</x:f>
        <x:v>0</x:v>
      </x:c>
    </x:row>
    <x:row r="1183">
      <x:c r="A1183" s="22" t="str">
        <x:v>500108211</x:v>
      </x:c>
      <x:c r="B1183" s="17" t="str">
        <x:v>內湖區</x:v>
      </x:c>
      <x:c r="C1183" s="17" t="str">
        <x:v>金湖路401巷</x:v>
      </x:c>
      <x:c r="D1183" s="18" t="n">
        <x:v>26</x:v>
      </x:c>
      <x:c r="E1183" s="18" t="n">
        <x:v>26</x:v>
      </x:c>
      <x:c r="F1183" s="24" t="n">
        <x:f>IFERROR('各站彙總來源'!F1183/'各站彙總來源'!G1183,"")</x:f>
        <x:v>8.884615384615385</x:v>
      </x:c>
      <x:c r="G1183" s="19" t="n">
        <x:f>'各站彙總來源'!G1183</x:f>
        <x:v>26</x:v>
      </x:c>
      <x:c r="H1183" s="24" t="n">
        <x:f>IFERROR('各站彙總來源'!H1183/'各站彙總來源'!I1183,"")</x:f>
        <x:v>1.6923076923076923</x:v>
      </x:c>
      <x:c r="I1183" s="19" t="n">
        <x:f>'各站彙總來源'!I1183</x:f>
        <x:v>26</x:v>
      </x:c>
      <x:c r="J1183" s="24" t="n">
        <x:f>IFERROR('各站彙總來源'!J1183/'各站彙總來源'!K1183,"")</x:f>
        <x:v>7.384615384615385</x:v>
      </x:c>
      <x:c r="K1183" s="19" t="n">
        <x:f>'各站彙總來源'!K1183</x:f>
        <x:v>26</x:v>
      </x:c>
      <x:c r="L1183" s="24" t="n">
        <x:f>IFERROR('各站彙總來源'!L1183/'各站彙總來源'!M1183,"")</x:f>
        <x:v>1.6538461538461537</x:v>
      </x:c>
      <x:c r="M1183" s="19" t="n">
        <x:f>'各站彙總來源'!M1183</x:f>
        <x:v>26</x:v>
      </x:c>
      <x:c r="N1183" s="24" t="n">
        <x:f>F1183+H1183</x:f>
        <x:v>10.576923076923077</x:v>
      </x:c>
      <x:c r="O1183" s="24" t="n">
        <x:f>J1183+L1183</x:f>
        <x:v>9.038461538461538</x:v>
      </x:c>
    </x:row>
    <x:row r="1184">
      <x:c r="A1184" s="22" t="str">
        <x:v>500108212</x:v>
      </x:c>
      <x:c r="B1184" s="17" t="str">
        <x:v>內湖區</x:v>
      </x:c>
      <x:c r="C1184" s="17" t="str">
        <x:v>內湖國小(內湖路一段737巷51弄)</x:v>
      </x:c>
      <x:c r="D1184" s="18" t="n">
        <x:v>26</x:v>
      </x:c>
      <x:c r="E1184" s="18" t="n">
        <x:v>26</x:v>
      </x:c>
      <x:c r="F1184" s="24" t="n">
        <x:f>IFERROR('各站彙總來源'!F1184/'各站彙總來源'!G1184,"")</x:f>
        <x:v>12.384615384615385</x:v>
      </x:c>
      <x:c r="G1184" s="19" t="n">
        <x:f>'各站彙總來源'!G1184</x:f>
        <x:v>26</x:v>
      </x:c>
      <x:c r="H1184" s="24" t="n">
        <x:f>IFERROR('各站彙總來源'!H1184/'各站彙總來源'!I1184,"")</x:f>
        <x:v>2.6538461538461537</x:v>
      </x:c>
      <x:c r="I1184" s="19" t="n">
        <x:f>'各站彙總來源'!I1184</x:f>
        <x:v>26</x:v>
      </x:c>
      <x:c r="J1184" s="24" t="n">
        <x:f>IFERROR('各站彙總來源'!J1184/'各站彙總來源'!K1184,"")</x:f>
        <x:v>4.846153846153846</x:v>
      </x:c>
      <x:c r="K1184" s="19" t="n">
        <x:f>'各站彙總來源'!K1184</x:f>
        <x:v>26</x:v>
      </x:c>
      <x:c r="L1184" s="24" t="n">
        <x:f>IFERROR('各站彙總來源'!L1184/'各站彙總來源'!M1184,"")</x:f>
        <x:v>1.4230769230769231</x:v>
      </x:c>
      <x:c r="M1184" s="19" t="n">
        <x:f>'各站彙總來源'!M1184</x:f>
        <x:v>26</x:v>
      </x:c>
      <x:c r="N1184" s="24" t="n">
        <x:f>F1184+H1184</x:f>
        <x:v>15.038461538461538</x:v>
      </x:c>
      <x:c r="O1184" s="24" t="n">
        <x:f>J1184+L1184</x:f>
        <x:v>6.269230769230769</x:v>
      </x:c>
    </x:row>
    <x:row r="1185">
      <x:c r="A1185" s="22" t="str">
        <x:v>500108213</x:v>
      </x:c>
      <x:c r="B1185" s="17" t="str">
        <x:v>內湖區</x:v>
      </x:c>
      <x:c r="C1185" s="17" t="str">
        <x:v>黃石公廟</x:v>
      </x:c>
      <x:c r="D1185" s="18" t="n">
        <x:v>26</x:v>
      </x:c>
      <x:c r="E1185" s="18" t="n">
        <x:v>26</x:v>
      </x:c>
      <x:c r="F1185" s="24" t="n">
        <x:f>IFERROR('各站彙總來源'!F1185/'各站彙總來源'!G1185,"")</x:f>
        <x:v>4.961538461538462</x:v>
      </x:c>
      <x:c r="G1185" s="19" t="n">
        <x:f>'各站彙總來源'!G1185</x:f>
        <x:v>26</x:v>
      </x:c>
      <x:c r="H1185" s="24" t="n">
        <x:f>IFERROR('各站彙總來源'!H1185/'各站彙總來源'!I1185,"")</x:f>
        <x:v>1.3846153846153846</x:v>
      </x:c>
      <x:c r="I1185" s="19" t="n">
        <x:f>'各站彙總來源'!I1185</x:f>
        <x:v>26</x:v>
      </x:c>
      <x:c r="J1185" s="24" t="n">
        <x:f>IFERROR('各站彙總來源'!J1185/'各站彙總來源'!K1185,"")</x:f>
        <x:v>6.461538461538462</x:v>
      </x:c>
      <x:c r="K1185" s="19" t="n">
        <x:f>'各站彙總來源'!K1185</x:f>
        <x:v>26</x:v>
      </x:c>
      <x:c r="L1185" s="24" t="n">
        <x:f>IFERROR('各站彙總來源'!L1185/'各站彙總來源'!M1185,"")</x:f>
        <x:v>1.7692307692307692</x:v>
      </x:c>
      <x:c r="M1185" s="19" t="n">
        <x:f>'各站彙總來源'!M1185</x:f>
        <x:v>26</x:v>
      </x:c>
      <x:c r="N1185" s="24" t="n">
        <x:f>F1185+H1185</x:f>
        <x:v>6.346153846153847</x:v>
      </x:c>
      <x:c r="O1185" s="24" t="n">
        <x:f>J1185+L1185</x:f>
        <x:v>8.23076923076923</x:v>
      </x:c>
    </x:row>
    <x:row r="1186">
      <x:c r="A1186" s="22" t="str">
        <x:v>500108214</x:v>
      </x:c>
      <x:c r="B1186" s="17" t="str">
        <x:v>內湖區</x:v>
      </x:c>
      <x:c r="C1186" s="17" t="str">
        <x:v>內湖路一段737巷/麗山街口</x:v>
      </x:c>
      <x:c r="D1186" s="18" t="n">
        <x:v>26</x:v>
      </x:c>
      <x:c r="E1186" s="18" t="n">
        <x:v>26</x:v>
      </x:c>
      <x:c r="F1186" s="24" t="n">
        <x:f>IFERROR('各站彙總來源'!F1186/'各站彙總來源'!G1186,"")</x:f>
        <x:v>17.76923076923077</x:v>
      </x:c>
      <x:c r="G1186" s="19" t="n">
        <x:f>'各站彙總來源'!G1186</x:f>
        <x:v>26</x:v>
      </x:c>
      <x:c r="H1186" s="24" t="n">
        <x:f>IFERROR('各站彙總來源'!H1186/'各站彙總來源'!I1186,"")</x:f>
        <x:v>2.769230769230769</x:v>
      </x:c>
      <x:c r="I1186" s="19" t="n">
        <x:f>'各站彙總來源'!I1186</x:f>
        <x:v>26</x:v>
      </x:c>
      <x:c r="J1186" s="24" t="n">
        <x:f>IFERROR('各站彙總來源'!J1186/'各站彙總來源'!K1186,"")</x:f>
        <x:v>3.6923076923076925</x:v>
      </x:c>
      <x:c r="K1186" s="19" t="n">
        <x:f>'各站彙總來源'!K1186</x:f>
        <x:v>26</x:v>
      </x:c>
      <x:c r="L1186" s="24" t="n">
        <x:f>IFERROR('各站彙總來源'!L1186/'各站彙總來源'!M1186,"")</x:f>
        <x:v>1.4230769230769231</x:v>
      </x:c>
      <x:c r="M1186" s="19" t="n">
        <x:f>'各站彙總來源'!M1186</x:f>
        <x:v>26</x:v>
      </x:c>
      <x:c r="N1186" s="24" t="n">
        <x:f>F1186+H1186</x:f>
        <x:v>20.53846153846154</x:v>
      </x:c>
      <x:c r="O1186" s="24" t="n">
        <x:f>J1186+L1186</x:f>
        <x:v>5.115384615384616</x:v>
      </x:c>
    </x:row>
    <x:row r="1187">
      <x:c r="A1187" s="22" t="str">
        <x:v>500108215</x:v>
      </x:c>
      <x:c r="B1187" s="17" t="str">
        <x:v>內湖區</x:v>
      </x:c>
      <x:c r="C1187" s="17" t="str">
        <x:v>行愛路78巷</x:v>
      </x:c>
      <x:c r="D1187" s="18" t="n">
        <x:v>26</x:v>
      </x:c>
      <x:c r="E1187" s="18" t="n">
        <x:v>26</x:v>
      </x:c>
      <x:c r="F1187" s="24" t="n">
        <x:f>IFERROR('各站彙總來源'!F1187/'各站彙總來源'!G1187,"")</x:f>
        <x:v>4.961538461538462</x:v>
      </x:c>
      <x:c r="G1187" s="19" t="n">
        <x:f>'各站彙總來源'!G1187</x:f>
        <x:v>26</x:v>
      </x:c>
      <x:c r="H1187" s="24" t="n">
        <x:f>IFERROR('各站彙總來源'!H1187/'各站彙總來源'!I1187,"")</x:f>
        <x:v>0.5</x:v>
      </x:c>
      <x:c r="I1187" s="19" t="n">
        <x:f>'各站彙總來源'!I1187</x:f>
        <x:v>26</x:v>
      </x:c>
      <x:c r="J1187" s="24" t="n">
        <x:f>IFERROR('各站彙總來源'!J1187/'各站彙總來源'!K1187,"")</x:f>
        <x:v>15.576923076923077</x:v>
      </x:c>
      <x:c r="K1187" s="19" t="n">
        <x:f>'各站彙總來源'!K1187</x:f>
        <x:v>26</x:v>
      </x:c>
      <x:c r="L1187" s="24" t="n">
        <x:f>IFERROR('各站彙總來源'!L1187/'各站彙總來源'!M1187,"")</x:f>
        <x:v>2.923076923076923</x:v>
      </x:c>
      <x:c r="M1187" s="19" t="n">
        <x:f>'各站彙總來源'!M1187</x:f>
        <x:v>26</x:v>
      </x:c>
      <x:c r="N1187" s="24" t="n">
        <x:f>F1187+H1187</x:f>
        <x:v>5.461538461538462</x:v>
      </x:c>
      <x:c r="O1187" s="24" t="n">
        <x:f>J1187+L1187</x:f>
        <x:v>18.5</x:v>
      </x:c>
    </x:row>
    <x:row r="1188">
      <x:c r="A1188" s="22" t="str">
        <x:v>500108216</x:v>
      </x:c>
      <x:c r="B1188" s="17" t="str">
        <x:v>內湖區</x:v>
      </x:c>
      <x:c r="C1188" s="17" t="str">
        <x:v>港墘路1巷口</x:v>
      </x:c>
      <x:c r="D1188" s="18" t="n">
        <x:v>26</x:v>
      </x:c>
      <x:c r="E1188" s="18" t="n">
        <x:v>26</x:v>
      </x:c>
      <x:c r="F1188" s="24" t="n">
        <x:f>IFERROR('各站彙總來源'!F1188/'各站彙總來源'!G1188,"")</x:f>
        <x:v>11.76923076923077</x:v>
      </x:c>
      <x:c r="G1188" s="19" t="n">
        <x:f>'各站彙總來源'!G1188</x:f>
        <x:v>26</x:v>
      </x:c>
      <x:c r="H1188" s="24" t="n">
        <x:f>IFERROR('各站彙總來源'!H1188/'各站彙總來源'!I1188,"")</x:f>
        <x:v>2.230769230769231</x:v>
      </x:c>
      <x:c r="I1188" s="19" t="n">
        <x:f>'各站彙總來源'!I1188</x:f>
        <x:v>26</x:v>
      </x:c>
      <x:c r="J1188" s="24" t="n">
        <x:f>IFERROR('各站彙總來源'!J1188/'各站彙總來源'!K1188,"")</x:f>
        <x:v>3.5384615384615383</x:v>
      </x:c>
      <x:c r="K1188" s="19" t="n">
        <x:f>'各站彙總來源'!K1188</x:f>
        <x:v>26</x:v>
      </x:c>
      <x:c r="L1188" s="24" t="n">
        <x:f>IFERROR('各站彙總來源'!L1188/'各站彙總來源'!M1188,"")</x:f>
        <x:v>1.1538461538461537</x:v>
      </x:c>
      <x:c r="M1188" s="19" t="n">
        <x:f>'各站彙總來源'!M1188</x:f>
        <x:v>26</x:v>
      </x:c>
      <x:c r="N1188" s="24" t="n">
        <x:f>F1188+H1188</x:f>
        <x:v>14</x:v>
      </x:c>
      <x:c r="O1188" s="24" t="n">
        <x:f>J1188+L1188</x:f>
        <x:v>4.692307692307692</x:v>
      </x:c>
    </x:row>
    <x:row r="1189">
      <x:c r="A1189" s="22" t="str">
        <x:v>500108217</x:v>
      </x:c>
      <x:c r="B1189" s="17" t="str">
        <x:v>內湖區</x:v>
      </x:c>
      <x:c r="C1189" s="17" t="str">
        <x:v>民權東路六段280巷69弄</x:v>
      </x:c>
      <x:c r="D1189" s="18" t="n">
        <x:v>26</x:v>
      </x:c>
      <x:c r="E1189" s="18" t="n">
        <x:v>26</x:v>
      </x:c>
      <x:c r="F1189" s="24" t="n">
        <x:f>IFERROR('各站彙總來源'!F1189/'各站彙總來源'!G1189,"")</x:f>
        <x:v>5.846153846153846</x:v>
      </x:c>
      <x:c r="G1189" s="19" t="n">
        <x:f>'各站彙總來源'!G1189</x:f>
        <x:v>26</x:v>
      </x:c>
      <x:c r="H1189" s="24" t="n">
        <x:f>IFERROR('各站彙總來源'!H1189/'各站彙總來源'!I1189,"")</x:f>
        <x:v>2.769230769230769</x:v>
      </x:c>
      <x:c r="I1189" s="19" t="n">
        <x:f>'各站彙總來源'!I1189</x:f>
        <x:v>26</x:v>
      </x:c>
      <x:c r="J1189" s="24" t="n">
        <x:f>IFERROR('各站彙總來源'!J1189/'各站彙總來源'!K1189,"")</x:f>
        <x:v>3.3461538461538463</x:v>
      </x:c>
      <x:c r="K1189" s="19" t="n">
        <x:f>'各站彙總來源'!K1189</x:f>
        <x:v>26</x:v>
      </x:c>
      <x:c r="L1189" s="24" t="n">
        <x:f>IFERROR('各站彙總來源'!L1189/'各站彙總來源'!M1189,"")</x:f>
        <x:v>1.9615384615384615</x:v>
      </x:c>
      <x:c r="M1189" s="19" t="n">
        <x:f>'各站彙總來源'!M1189</x:f>
        <x:v>26</x:v>
      </x:c>
      <x:c r="N1189" s="24" t="n">
        <x:f>F1189+H1189</x:f>
        <x:v>8.615384615384615</x:v>
      </x:c>
      <x:c r="O1189" s="24" t="n">
        <x:f>J1189+L1189</x:f>
        <x:v>5.3076923076923075</x:v>
      </x:c>
    </x:row>
    <x:row r="1190">
      <x:c r="A1190" s="22" t="str">
        <x:v>500108218</x:v>
      </x:c>
      <x:c r="B1190" s="17" t="str">
        <x:v>內湖區</x:v>
      </x:c>
      <x:c r="C1190" s="17" t="str">
        <x:v>瑞光路548巷</x:v>
      </x:c>
      <x:c r="D1190" s="18" t="n">
        <x:v>26</x:v>
      </x:c>
      <x:c r="E1190" s="18" t="n">
        <x:v>26</x:v>
      </x:c>
      <x:c r="F1190" s="24" t="n">
        <x:f>IFERROR('各站彙總來源'!F1190/'各站彙總來源'!G1190,"")</x:f>
        <x:v>4.461538461538462</x:v>
      </x:c>
      <x:c r="G1190" s="19" t="n">
        <x:f>'各站彙總來源'!G1190</x:f>
        <x:v>26</x:v>
      </x:c>
      <x:c r="H1190" s="24" t="n">
        <x:f>IFERROR('各站彙總來源'!H1190/'各站彙總來源'!I1190,"")</x:f>
        <x:v>0.8461538461538461</x:v>
      </x:c>
      <x:c r="I1190" s="19" t="n">
        <x:f>'各站彙總來源'!I1190</x:f>
        <x:v>26</x:v>
      </x:c>
      <x:c r="J1190" s="24" t="n">
        <x:f>IFERROR('各站彙總來源'!J1190/'各站彙總來源'!K1190,"")</x:f>
        <x:v>67.92307692307692</x:v>
      </x:c>
      <x:c r="K1190" s="19" t="n">
        <x:f>'各站彙總來源'!K1190</x:f>
        <x:v>26</x:v>
      </x:c>
      <x:c r="L1190" s="24" t="n">
        <x:f>IFERROR('各站彙總來源'!L1190/'各站彙總來源'!M1190,"")</x:f>
        <x:v>4.384615384615385</x:v>
      </x:c>
      <x:c r="M1190" s="19" t="n">
        <x:f>'各站彙總來源'!M1190</x:f>
        <x:v>26</x:v>
      </x:c>
      <x:c r="N1190" s="24" t="n">
        <x:f>F1190+H1190</x:f>
        <x:v>5.3076923076923075</x:v>
      </x:c>
      <x:c r="O1190" s="24" t="n">
        <x:f>J1190+L1190</x:f>
        <x:v>72.3076923076923</x:v>
      </x:c>
    </x:row>
    <x:row r="1191">
      <x:c r="A1191" s="22" t="str">
        <x:v>500108219</x:v>
      </x:c>
      <x:c r="B1191" s="17" t="str">
        <x:v>內湖區</x:v>
      </x:c>
      <x:c r="C1191" s="17" t="str">
        <x:v>內湖國小(內湖路二段76巷)</x:v>
      </x:c>
      <x:c r="D1191" s="18" t="n">
        <x:v>26</x:v>
      </x:c>
      <x:c r="E1191" s="18" t="n">
        <x:v>26</x:v>
      </x:c>
      <x:c r="F1191" s="24" t="n">
        <x:f>IFERROR('各站彙總來源'!F1191/'各站彙總來源'!G1191,"")</x:f>
        <x:v>7.846153846153846</x:v>
      </x:c>
      <x:c r="G1191" s="19" t="n">
        <x:f>'各站彙總來源'!G1191</x:f>
        <x:v>26</x:v>
      </x:c>
      <x:c r="H1191" s="24" t="n">
        <x:f>IFERROR('各站彙總來源'!H1191/'各站彙總來源'!I1191,"")</x:f>
        <x:v>1.5</x:v>
      </x:c>
      <x:c r="I1191" s="19" t="n">
        <x:f>'各站彙總來源'!I1191</x:f>
        <x:v>26</x:v>
      </x:c>
      <x:c r="J1191" s="24" t="n">
        <x:f>IFERROR('各站彙總來源'!J1191/'各站彙總來源'!K1191,"")</x:f>
        <x:v>3.076923076923077</x:v>
      </x:c>
      <x:c r="K1191" s="19" t="n">
        <x:f>'各站彙總來源'!K1191</x:f>
        <x:v>26</x:v>
      </x:c>
      <x:c r="L1191" s="24" t="n">
        <x:f>IFERROR('各站彙總來源'!L1191/'各站彙總來源'!M1191,"")</x:f>
        <x:v>0.9230769230769231</x:v>
      </x:c>
      <x:c r="M1191" s="19" t="n">
        <x:f>'各站彙總來源'!M1191</x:f>
        <x:v>26</x:v>
      </x:c>
      <x:c r="N1191" s="24" t="n">
        <x:f>F1191+H1191</x:f>
        <x:v>9.346153846153847</x:v>
      </x:c>
      <x:c r="O1191" s="24" t="n">
        <x:f>J1191+L1191</x:f>
        <x:v>4</x:v>
      </x:c>
    </x:row>
    <x:row r="1192">
      <x:c r="A1192" s="22" t="str">
        <x:v>500108220</x:v>
      </x:c>
      <x:c r="B1192" s="17" t="str">
        <x:v>內湖區</x:v>
      </x:c>
      <x:c r="C1192" s="17" t="str">
        <x:v>三民國中(民權東路)</x:v>
      </x:c>
      <x:c r="D1192" s="18" t="n">
        <x:v>26</x:v>
      </x:c>
      <x:c r="E1192" s="18" t="n">
        <x:v>26</x:v>
      </x:c>
      <x:c r="F1192" s="24" t="n">
        <x:f>IFERROR('各站彙總來源'!F1192/'各站彙總來源'!G1192,"")</x:f>
        <x:v>9.73076923076923</x:v>
      </x:c>
      <x:c r="G1192" s="19" t="n">
        <x:f>'各站彙總來源'!G1192</x:f>
        <x:v>26</x:v>
      </x:c>
      <x:c r="H1192" s="24" t="n">
        <x:f>IFERROR('各站彙總來源'!H1192/'各站彙總來源'!I1192,"")</x:f>
        <x:v>1.1538461538461537</x:v>
      </x:c>
      <x:c r="I1192" s="19" t="n">
        <x:f>'各站彙總來源'!I1192</x:f>
        <x:v>26</x:v>
      </x:c>
      <x:c r="J1192" s="24" t="n">
        <x:f>IFERROR('各站彙總來源'!J1192/'各站彙總來源'!K1192,"")</x:f>
        <x:v>12.192307692307692</x:v>
      </x:c>
      <x:c r="K1192" s="19" t="n">
        <x:f>'各站彙總來源'!K1192</x:f>
        <x:v>26</x:v>
      </x:c>
      <x:c r="L1192" s="24" t="n">
        <x:f>IFERROR('各站彙總來源'!L1192/'各站彙總來源'!M1192,"")</x:f>
        <x:v>1.1923076923076923</x:v>
      </x:c>
      <x:c r="M1192" s="19" t="n">
        <x:f>'各站彙總來源'!M1192</x:f>
        <x:v>26</x:v>
      </x:c>
      <x:c r="N1192" s="24" t="n">
        <x:f>F1192+H1192</x:f>
        <x:v>10.884615384615383</x:v>
      </x:c>
      <x:c r="O1192" s="24" t="n">
        <x:f>J1192+L1192</x:f>
        <x:v>13.384615384615383</x:v>
      </x:c>
    </x:row>
    <x:row r="1193">
      <x:c r="A1193" s="22" t="str">
        <x:v>500108221</x:v>
      </x:c>
      <x:c r="B1193" s="17" t="str">
        <x:v>內湖區</x:v>
      </x:c>
      <x:c r="C1193" s="17" t="str">
        <x:v>內湖大坑公園</x:v>
      </x:c>
      <x:c r="D1193" s="18" t="n">
        <x:v>26</x:v>
      </x:c>
      <x:c r="E1193" s="18" t="n">
        <x:v>26</x:v>
      </x:c>
      <x:c r="F1193" s="24" t="n">
        <x:f>IFERROR('各站彙總來源'!F1193/'各站彙總來源'!G1193,"")</x:f>
        <x:v>8.615384615384615</x:v>
      </x:c>
      <x:c r="G1193" s="19" t="n">
        <x:f>'各站彙總來源'!G1193</x:f>
        <x:v>26</x:v>
      </x:c>
      <x:c r="H1193" s="24" t="n">
        <x:f>IFERROR('各站彙總來源'!H1193/'各站彙總來源'!I1193,"")</x:f>
        <x:v>2.076923076923077</x:v>
      </x:c>
      <x:c r="I1193" s="19" t="n">
        <x:f>'各站彙總來源'!I1193</x:f>
        <x:v>26</x:v>
      </x:c>
      <x:c r="J1193" s="24" t="n">
        <x:f>IFERROR('各站彙總來源'!J1193/'各站彙總來源'!K1193,"")</x:f>
        <x:v>5.230769230769231</x:v>
      </x:c>
      <x:c r="K1193" s="19" t="n">
        <x:f>'各站彙總來源'!K1193</x:f>
        <x:v>26</x:v>
      </x:c>
      <x:c r="L1193" s="24" t="n">
        <x:f>IFERROR('各站彙總來源'!L1193/'各站彙總來源'!M1193,"")</x:f>
        <x:v>1.8846153846153846</x:v>
      </x:c>
      <x:c r="M1193" s="19" t="n">
        <x:f>'各站彙總來源'!M1193</x:f>
        <x:v>26</x:v>
      </x:c>
      <x:c r="N1193" s="24" t="n">
        <x:f>F1193+H1193</x:f>
        <x:v>10.692307692307692</x:v>
      </x:c>
      <x:c r="O1193" s="24" t="n">
        <x:f>J1193+L1193</x:f>
        <x:v>7.115384615384615</x:v>
      </x:c>
    </x:row>
    <x:row r="1194">
      <x:c r="A1194" s="22" t="str">
        <x:v>500108222</x:v>
      </x:c>
      <x:c r="B1194" s="17" t="str">
        <x:v>內湖區</x:v>
      </x:c>
      <x:c r="C1194" s="17" t="str">
        <x:v>金湖康寧路口(白鷺鷥山登山步道)</x:v>
      </x:c>
      <x:c r="D1194" s="18" t="n">
        <x:v>26</x:v>
      </x:c>
      <x:c r="E1194" s="18" t="n">
        <x:v>26</x:v>
      </x:c>
      <x:c r="F1194" s="24" t="n">
        <x:f>IFERROR('各站彙總來源'!F1194/'各站彙總來源'!G1194,"")</x:f>
        <x:v>6.3076923076923075</x:v>
      </x:c>
      <x:c r="G1194" s="19" t="n">
        <x:f>'各站彙總來源'!G1194</x:f>
        <x:v>26</x:v>
      </x:c>
      <x:c r="H1194" s="24" t="n">
        <x:f>IFERROR('各站彙總來源'!H1194/'各站彙總來源'!I1194,"")</x:f>
        <x:v>1.9230769230769231</x:v>
      </x:c>
      <x:c r="I1194" s="19" t="n">
        <x:f>'各站彙總來源'!I1194</x:f>
        <x:v>26</x:v>
      </x:c>
      <x:c r="J1194" s="24" t="n">
        <x:f>IFERROR('各站彙總來源'!J1194/'各站彙總來源'!K1194,"")</x:f>
        <x:v>7.846153846153846</x:v>
      </x:c>
      <x:c r="K1194" s="19" t="n">
        <x:f>'各站彙總來源'!K1194</x:f>
        <x:v>26</x:v>
      </x:c>
      <x:c r="L1194" s="24" t="n">
        <x:f>IFERROR('各站彙總來源'!L1194/'各站彙總來源'!M1194,"")</x:f>
        <x:v>1.8846153846153846</x:v>
      </x:c>
      <x:c r="M1194" s="19" t="n">
        <x:f>'各站彙總來源'!M1194</x:f>
        <x:v>26</x:v>
      </x:c>
      <x:c r="N1194" s="24" t="n">
        <x:f>F1194+H1194</x:f>
        <x:v>8.23076923076923</x:v>
      </x:c>
      <x:c r="O1194" s="24" t="n">
        <x:f>J1194+L1194</x:f>
        <x:v>9.73076923076923</x:v>
      </x:c>
    </x:row>
    <x:row r="1195">
      <x:c r="A1195" s="22" t="str">
        <x:v>500108223</x:v>
      </x:c>
      <x:c r="B1195" s="17" t="str">
        <x:v>內湖區</x:v>
      </x:c>
      <x:c r="C1195" s="17" t="str">
        <x:v>成功路四段61巷35弄口</x:v>
      </x:c>
      <x:c r="D1195" s="18" t="n">
        <x:v>26</x:v>
      </x:c>
      <x:c r="E1195" s="18" t="n">
        <x:v>26</x:v>
      </x:c>
      <x:c r="F1195" s="24" t="n">
        <x:f>IFERROR('各站彙總來源'!F1195/'各站彙總來源'!G1195,"")</x:f>
        <x:v>9.192307692307692</x:v>
      </x:c>
      <x:c r="G1195" s="19" t="n">
        <x:f>'各站彙總來源'!G1195</x:f>
        <x:v>26</x:v>
      </x:c>
      <x:c r="H1195" s="24" t="n">
        <x:f>IFERROR('各站彙總來源'!H1195/'各站彙總來源'!I1195,"")</x:f>
        <x:v>1.3846153846153846</x:v>
      </x:c>
      <x:c r="I1195" s="19" t="n">
        <x:f>'各站彙總來源'!I1195</x:f>
        <x:v>26</x:v>
      </x:c>
      <x:c r="J1195" s="24" t="n">
        <x:f>IFERROR('各站彙總來源'!J1195/'各站彙總來源'!K1195,"")</x:f>
        <x:v>4.5</x:v>
      </x:c>
      <x:c r="K1195" s="19" t="n">
        <x:f>'各站彙總來源'!K1195</x:f>
        <x:v>26</x:v>
      </x:c>
      <x:c r="L1195" s="24" t="n">
        <x:f>IFERROR('各站彙總來源'!L1195/'各站彙總來源'!M1195,"")</x:f>
        <x:v>0.3076923076923077</x:v>
      </x:c>
      <x:c r="M1195" s="19" t="n">
        <x:f>'各站彙總來源'!M1195</x:f>
        <x:v>26</x:v>
      </x:c>
      <x:c r="N1195" s="24" t="n">
        <x:f>F1195+H1195</x:f>
        <x:v>10.576923076923077</x:v>
      </x:c>
      <x:c r="O1195" s="24" t="n">
        <x:f>J1195+L1195</x:f>
        <x:v>4.8076923076923075</x:v>
      </x:c>
    </x:row>
    <x:row r="1196">
      <x:c r="A1196" s="22" t="str">
        <x:v>500108224</x:v>
      </x:c>
      <x:c r="B1196" s="17" t="str">
        <x:v>內湖區</x:v>
      </x:c>
      <x:c r="C1196" s="17" t="str">
        <x:v>成美抽水站</x:v>
      </x:c>
      <x:c r="D1196" s="18" t="n">
        <x:v>26</x:v>
      </x:c>
      <x:c r="E1196" s="18" t="n">
        <x:v>26</x:v>
      </x:c>
      <x:c r="F1196" s="24" t="n">
        <x:f>IFERROR('各站彙總來源'!F1196/'各站彙總來源'!G1196,"")</x:f>
        <x:v>10.192307692307692</x:v>
      </x:c>
      <x:c r="G1196" s="19" t="n">
        <x:f>'各站彙總來源'!G1196</x:f>
        <x:v>26</x:v>
      </x:c>
      <x:c r="H1196" s="24" t="n">
        <x:f>IFERROR('各站彙總來源'!H1196/'各站彙總來源'!I1196,"")</x:f>
        <x:v>1</x:v>
      </x:c>
      <x:c r="I1196" s="19" t="n">
        <x:f>'各站彙總來源'!I1196</x:f>
        <x:v>26</x:v>
      </x:c>
      <x:c r="J1196" s="24" t="n">
        <x:f>IFERROR('各站彙總來源'!J1196/'各站彙總來源'!K1196,"")</x:f>
        <x:v>12.846153846153847</x:v>
      </x:c>
      <x:c r="K1196" s="19" t="n">
        <x:f>'各站彙總來源'!K1196</x:f>
        <x:v>26</x:v>
      </x:c>
      <x:c r="L1196" s="24" t="n">
        <x:f>IFERROR('各站彙總來源'!L1196/'各站彙總來源'!M1196,"")</x:f>
        <x:v>1.3076923076923077</x:v>
      </x:c>
      <x:c r="M1196" s="19" t="n">
        <x:f>'各站彙總來源'!M1196</x:f>
        <x:v>26</x:v>
      </x:c>
      <x:c r="N1196" s="24" t="n">
        <x:f>F1196+H1196</x:f>
        <x:v>11.192307692307692</x:v>
      </x:c>
      <x:c r="O1196" s="24" t="n">
        <x:f>J1196+L1196</x:f>
        <x:v>14.153846153846155</x:v>
      </x:c>
    </x:row>
    <x:row r="1197">
      <x:c r="A1197" s="22" t="str">
        <x:v>500108225</x:v>
      </x:c>
      <x:c r="B1197" s="17" t="str">
        <x:v>內湖區</x:v>
      </x:c>
      <x:c r="C1197" s="17" t="str">
        <x:v>文湖公園</x:v>
      </x:c>
      <x:c r="D1197" s="18" t="n">
        <x:v>26</x:v>
      </x:c>
      <x:c r="E1197" s="18" t="n">
        <x:v>26</x:v>
      </x:c>
      <x:c r="F1197" s="24" t="n">
        <x:f>IFERROR('各站彙總來源'!F1197/'各站彙總來源'!G1197,"")</x:f>
        <x:v>16.23076923076923</x:v>
      </x:c>
      <x:c r="G1197" s="19" t="n">
        <x:f>'各站彙總來源'!G1197</x:f>
        <x:v>26</x:v>
      </x:c>
      <x:c r="H1197" s="24" t="n">
        <x:f>IFERROR('各站彙總來源'!H1197/'各站彙總來源'!I1197,"")</x:f>
        <x:v>1.5384615384615385</x:v>
      </x:c>
      <x:c r="I1197" s="19" t="n">
        <x:f>'各站彙總來源'!I1197</x:f>
        <x:v>26</x:v>
      </x:c>
      <x:c r="J1197" s="24" t="n">
        <x:f>IFERROR('各站彙總來源'!J1197/'各站彙總來源'!K1197,"")</x:f>
        <x:v>2.6153846153846154</x:v>
      </x:c>
      <x:c r="K1197" s="19" t="n">
        <x:f>'各站彙總來源'!K1197</x:f>
        <x:v>26</x:v>
      </x:c>
      <x:c r="L1197" s="24" t="n">
        <x:f>IFERROR('各站彙總來源'!L1197/'各站彙總來源'!M1197,"")</x:f>
        <x:v>0.8846153846153846</x:v>
      </x:c>
      <x:c r="M1197" s="19" t="n">
        <x:f>'各站彙總來源'!M1197</x:f>
        <x:v>26</x:v>
      </x:c>
      <x:c r="N1197" s="24" t="n">
        <x:f>F1197+H1197</x:f>
        <x:v>17.76923076923077</x:v>
      </x:c>
      <x:c r="O1197" s="24" t="n">
        <x:f>J1197+L1197</x:f>
        <x:v>3.5</x:v>
      </x:c>
    </x:row>
    <x:row r="1198">
      <x:c r="A1198" s="22" t="str">
        <x:v>500108226</x:v>
      </x:c>
      <x:c r="B1198" s="17" t="str">
        <x:v>內湖區</x:v>
      </x:c>
      <x:c r="C1198" s="17" t="str">
        <x:v>成功路二段/石潭路(西南側)</x:v>
      </x:c>
      <x:c r="D1198" s="18" t="n">
        <x:v>26</x:v>
      </x:c>
      <x:c r="E1198" s="18" t="n">
        <x:v>26</x:v>
      </x:c>
      <x:c r="F1198" s="24" t="n">
        <x:f>IFERROR('各站彙總來源'!F1198/'各站彙總來源'!G1198,"")</x:f>
        <x:v>5.769230769230769</x:v>
      </x:c>
      <x:c r="G1198" s="19" t="n">
        <x:f>'各站彙總來源'!G1198</x:f>
        <x:v>26</x:v>
      </x:c>
      <x:c r="H1198" s="24" t="n">
        <x:f>IFERROR('各站彙總來源'!H1198/'各站彙總來源'!I1198,"")</x:f>
        <x:v>1.0769230769230769</x:v>
      </x:c>
      <x:c r="I1198" s="19" t="n">
        <x:f>'各站彙總來源'!I1198</x:f>
        <x:v>26</x:v>
      </x:c>
      <x:c r="J1198" s="24" t="n">
        <x:f>IFERROR('各站彙總來源'!J1198/'各站彙總來源'!K1198,"")</x:f>
        <x:v>26.884615384615383</x:v>
      </x:c>
      <x:c r="K1198" s="19" t="n">
        <x:f>'各站彙總來源'!K1198</x:f>
        <x:v>26</x:v>
      </x:c>
      <x:c r="L1198" s="24" t="n">
        <x:f>IFERROR('各站彙總來源'!L1198/'各站彙總來源'!M1198,"")</x:f>
        <x:v>4.038461538461538</x:v>
      </x:c>
      <x:c r="M1198" s="19" t="n">
        <x:f>'各站彙總來源'!M1198</x:f>
        <x:v>26</x:v>
      </x:c>
      <x:c r="N1198" s="24" t="n">
        <x:f>F1198+H1198</x:f>
        <x:v>6.846153846153846</x:v>
      </x:c>
      <x:c r="O1198" s="24" t="n">
        <x:f>J1198+L1198</x:f>
        <x:v>30.92307692307692</x:v>
      </x:c>
    </x:row>
    <x:row r="1199">
      <x:c r="A1199" s="22" t="str">
        <x:v>500108227</x:v>
      </x:c>
      <x:c r="B1199" s="17" t="str">
        <x:v>內湖區</x:v>
      </x:c>
      <x:c r="C1199" s="17" t="str">
        <x:v>華城橋(東湖)</x:v>
      </x:c>
      <x:c r="D1199" s="18" t="n">
        <x:v>26</x:v>
      </x:c>
      <x:c r="E1199" s="18" t="n">
        <x:v>26</x:v>
      </x:c>
      <x:c r="F1199" s="24" t="n">
        <x:f>IFERROR('各站彙總來源'!F1199/'各站彙總來源'!G1199,"")</x:f>
        <x:v>8.153846153846153</x:v>
      </x:c>
      <x:c r="G1199" s="19" t="n">
        <x:f>'各站彙總來源'!G1199</x:f>
        <x:v>26</x:v>
      </x:c>
      <x:c r="H1199" s="24" t="n">
        <x:f>IFERROR('各站彙總來源'!H1199/'各站彙總來源'!I1199,"")</x:f>
        <x:v>1.9230769230769231</x:v>
      </x:c>
      <x:c r="I1199" s="19" t="n">
        <x:f>'各站彙總來源'!I1199</x:f>
        <x:v>26</x:v>
      </x:c>
      <x:c r="J1199" s="24" t="n">
        <x:f>IFERROR('各站彙總來源'!J1199/'各站彙總來源'!K1199,"")</x:f>
        <x:v>4.3076923076923075</x:v>
      </x:c>
      <x:c r="K1199" s="19" t="n">
        <x:f>'各站彙總來源'!K1199</x:f>
        <x:v>26</x:v>
      </x:c>
      <x:c r="L1199" s="24" t="n">
        <x:f>IFERROR('各站彙總來源'!L1199/'各站彙總來源'!M1199,"")</x:f>
        <x:v>0.5</x:v>
      </x:c>
      <x:c r="M1199" s="19" t="n">
        <x:f>'各站彙總來源'!M1199</x:f>
        <x:v>26</x:v>
      </x:c>
      <x:c r="N1199" s="24" t="n">
        <x:f>F1199+H1199</x:f>
        <x:v>10.076923076923077</x:v>
      </x:c>
      <x:c r="O1199" s="24" t="n">
        <x:f>J1199+L1199</x:f>
        <x:v>4.8076923076923075</x:v>
      </x:c>
    </x:row>
    <x:row r="1200">
      <x:c r="A1200" s="22" t="str">
        <x:v>500108228</x:v>
      </x:c>
      <x:c r="B1200" s="17" t="str">
        <x:v>內湖區</x:v>
      </x:c>
      <x:c r="C1200" s="17" t="str">
        <x:v>成功路二段115巷口(國道一號)</x:v>
      </x:c>
      <x:c r="D1200" s="18" t="n">
        <x:v>26</x:v>
      </x:c>
      <x:c r="E1200" s="18" t="n">
        <x:v>26</x:v>
      </x:c>
      <x:c r="F1200" s="24" t="n">
        <x:f>IFERROR('各站彙總來源'!F1200/'各站彙總來源'!G1200,"")</x:f>
        <x:v>14.538461538461538</x:v>
      </x:c>
      <x:c r="G1200" s="19" t="n">
        <x:f>'各站彙總來源'!G1200</x:f>
        <x:v>26</x:v>
      </x:c>
      <x:c r="H1200" s="24" t="n">
        <x:f>IFERROR('各站彙總來源'!H1200/'各站彙總來源'!I1200,"")</x:f>
        <x:v>0.9230769230769231</x:v>
      </x:c>
      <x:c r="I1200" s="19" t="n">
        <x:f>'各站彙總來源'!I1200</x:f>
        <x:v>26</x:v>
      </x:c>
      <x:c r="J1200" s="24" t="n">
        <x:f>IFERROR('各站彙總來源'!J1200/'各站彙總來源'!K1200,"")</x:f>
        <x:v>17.307692307692307</x:v>
      </x:c>
      <x:c r="K1200" s="19" t="n">
        <x:f>'各站彙總來源'!K1200</x:f>
        <x:v>26</x:v>
      </x:c>
      <x:c r="L1200" s="24" t="n">
        <x:f>IFERROR('各站彙總來源'!L1200/'各站彙總來源'!M1200,"")</x:f>
        <x:v>1.1153846153846154</x:v>
      </x:c>
      <x:c r="M1200" s="19" t="n">
        <x:f>'各站彙總來源'!M1200</x:f>
        <x:v>26</x:v>
      </x:c>
      <x:c r="N1200" s="24" t="n">
        <x:f>F1200+H1200</x:f>
        <x:v>15.461538461538462</x:v>
      </x:c>
      <x:c r="O1200" s="24" t="n">
        <x:f>J1200+L1200</x:f>
        <x:v>18.423076923076923</x:v>
      </x:c>
    </x:row>
    <x:row r="1201">
      <x:c r="A1201" s="22" t="str">
        <x:v>500108229</x:v>
      </x:c>
      <x:c r="B1201" s="17" t="str">
        <x:v>內湖區</x:v>
      </x:c>
      <x:c r="C1201" s="17" t="str">
        <x:v>康寧路三段56巷198號</x:v>
      </x:c>
      <x:c r="D1201" s="18" t="n">
        <x:v>26</x:v>
      </x:c>
      <x:c r="E1201" s="18" t="n">
        <x:v>26</x:v>
      </x:c>
      <x:c r="F1201" s="24" t="n">
        <x:f>IFERROR('各站彙總來源'!F1201/'各站彙總來源'!G1201,"")</x:f>
        <x:v>2.6923076923076925</x:v>
      </x:c>
      <x:c r="G1201" s="19" t="n">
        <x:f>'各站彙總來源'!G1201</x:f>
        <x:v>26</x:v>
      </x:c>
      <x:c r="H1201" s="24" t="n">
        <x:f>IFERROR('各站彙總來源'!H1201/'各站彙總來源'!I1201,"")</x:f>
        <x:v>2.1538461538461537</x:v>
      </x:c>
      <x:c r="I1201" s="19" t="n">
        <x:f>'各站彙總來源'!I1201</x:f>
        <x:v>26</x:v>
      </x:c>
      <x:c r="J1201" s="24" t="n">
        <x:f>IFERROR('各站彙總來源'!J1201/'各站彙總來源'!K1201,"")</x:f>
        <x:v>3</x:v>
      </x:c>
      <x:c r="K1201" s="19" t="n">
        <x:f>'各站彙總來源'!K1201</x:f>
        <x:v>26</x:v>
      </x:c>
      <x:c r="L1201" s="24" t="n">
        <x:f>IFERROR('各站彙總來源'!L1201/'各站彙總來源'!M1201,"")</x:f>
        <x:v>1.8076923076923077</x:v>
      </x:c>
      <x:c r="M1201" s="19" t="n">
        <x:f>'各站彙總來源'!M1201</x:f>
        <x:v>26</x:v>
      </x:c>
      <x:c r="N1201" s="24" t="n">
        <x:f>F1201+H1201</x:f>
        <x:v>4.846153846153847</x:v>
      </x:c>
      <x:c r="O1201" s="24" t="n">
        <x:f>J1201+L1201</x:f>
        <x:v>4.8076923076923075</x:v>
      </x:c>
    </x:row>
    <x:row r="1202">
      <x:c r="A1202" s="22" t="str">
        <x:v>500108230</x:v>
      </x:c>
      <x:c r="B1202" s="17" t="str">
        <x:v>內湖區</x:v>
      </x:c>
      <x:c r="C1202" s="17" t="str">
        <x:v>內湖路一段715巷口</x:v>
      </x:c>
      <x:c r="D1202" s="18" t="n">
        <x:v>26</x:v>
      </x:c>
      <x:c r="E1202" s="18" t="n">
        <x:v>26</x:v>
      </x:c>
      <x:c r="F1202" s="24" t="n">
        <x:f>IFERROR('各站彙總來源'!F1202/'各站彙總來源'!G1202,"")</x:f>
        <x:v>7</x:v>
      </x:c>
      <x:c r="G1202" s="19" t="n">
        <x:f>'各站彙總來源'!G1202</x:f>
        <x:v>26</x:v>
      </x:c>
      <x:c r="H1202" s="24" t="n">
        <x:f>IFERROR('各站彙總來源'!H1202/'各站彙總來源'!I1202,"")</x:f>
        <x:v>1.0769230769230769</x:v>
      </x:c>
      <x:c r="I1202" s="19" t="n">
        <x:f>'各站彙總來源'!I1202</x:f>
        <x:v>26</x:v>
      </x:c>
      <x:c r="J1202" s="24" t="n">
        <x:f>IFERROR('各站彙總來源'!J1202/'各站彙總來源'!K1202,"")</x:f>
        <x:v>3.1538461538461537</x:v>
      </x:c>
      <x:c r="K1202" s="19" t="n">
        <x:f>'各站彙總來源'!K1202</x:f>
        <x:v>26</x:v>
      </x:c>
      <x:c r="L1202" s="24" t="n">
        <x:f>IFERROR('各站彙總來源'!L1202/'各站彙總來源'!M1202,"")</x:f>
        <x:v>0.6538461538461539</x:v>
      </x:c>
      <x:c r="M1202" s="19" t="n">
        <x:f>'各站彙總來源'!M1202</x:f>
        <x:v>26</x:v>
      </x:c>
      <x:c r="N1202" s="24" t="n">
        <x:f>F1202+H1202</x:f>
        <x:v>8.076923076923077</x:v>
      </x:c>
      <x:c r="O1202" s="24" t="n">
        <x:f>J1202+L1202</x:f>
        <x:v>3.8076923076923075</x:v>
      </x:c>
    </x:row>
    <x:row r="1203">
      <x:c r="A1203" s="22" t="str">
        <x:v>500108231</x:v>
      </x:c>
      <x:c r="B1203" s="17" t="str">
        <x:v>內湖區</x:v>
      </x:c>
      <x:c r="C1203" s="17" t="str">
        <x:v>成功路三段187巷口</x:v>
      </x:c>
      <x:c r="D1203" s="18" t="n">
        <x:v>26</x:v>
      </x:c>
      <x:c r="E1203" s="18" t="n">
        <x:v>26</x:v>
      </x:c>
      <x:c r="F1203" s="24" t="n">
        <x:f>IFERROR('各站彙總來源'!F1203/'各站彙總來源'!G1203,"")</x:f>
        <x:v>8.115384615384615</x:v>
      </x:c>
      <x:c r="G1203" s="19" t="n">
        <x:f>'各站彙總來源'!G1203</x:f>
        <x:v>26</x:v>
      </x:c>
      <x:c r="H1203" s="24" t="n">
        <x:f>IFERROR('各站彙總來源'!H1203/'各站彙總來源'!I1203,"")</x:f>
        <x:v>0.9615384615384616</x:v>
      </x:c>
      <x:c r="I1203" s="19" t="n">
        <x:f>'各站彙總來源'!I1203</x:f>
        <x:v>26</x:v>
      </x:c>
      <x:c r="J1203" s="24" t="n">
        <x:f>IFERROR('各站彙總來源'!J1203/'各站彙總來源'!K1203,"")</x:f>
        <x:v>6.346153846153846</x:v>
      </x:c>
      <x:c r="K1203" s="19" t="n">
        <x:f>'各站彙總來源'!K1203</x:f>
        <x:v>26</x:v>
      </x:c>
      <x:c r="L1203" s="24" t="n">
        <x:f>IFERROR('各站彙總來源'!L1203/'各站彙總來源'!M1203,"")</x:f>
        <x:v>1.5</x:v>
      </x:c>
      <x:c r="M1203" s="19" t="n">
        <x:f>'各站彙總來源'!M1203</x:f>
        <x:v>26</x:v>
      </x:c>
      <x:c r="N1203" s="24" t="n">
        <x:f>F1203+H1203</x:f>
        <x:v>9.076923076923077</x:v>
      </x:c>
      <x:c r="O1203" s="24" t="n">
        <x:f>J1203+L1203</x:f>
        <x:v>7.846153846153846</x:v>
      </x:c>
    </x:row>
    <x:row r="1204">
      <x:c r="A1204" s="22" t="str">
        <x:v>500108232</x:v>
      </x:c>
      <x:c r="B1204" s="17" t="str">
        <x:v>內湖區</x:v>
      </x:c>
      <x:c r="C1204" s="17" t="str">
        <x:v>民權東路六段280巷45弄底</x:v>
      </x:c>
      <x:c r="D1204" s="18" t="n">
        <x:v>26</x:v>
      </x:c>
      <x:c r="E1204" s="18" t="n">
        <x:v>26</x:v>
      </x:c>
      <x:c r="F1204" s="24" t="n">
        <x:f>IFERROR('各站彙總來源'!F1204/'各站彙總來源'!G1204,"")</x:f>
        <x:v>0</x:v>
      </x:c>
      <x:c r="G1204" s="19" t="n">
        <x:f>'各站彙總來源'!G1204</x:f>
        <x:v>26</x:v>
      </x:c>
      <x:c r="H1204" s="24" t="n">
        <x:f>IFERROR('各站彙總來源'!H1204/'各站彙總來源'!I1204,"")</x:f>
        <x:v>0</x:v>
      </x:c>
      <x:c r="I1204" s="19" t="n">
        <x:f>'各站彙總來源'!I1204</x:f>
        <x:v>26</x:v>
      </x:c>
      <x:c r="J1204" s="24" t="n">
        <x:f>IFERROR('各站彙總來源'!J1204/'各站彙總來源'!K1204,"")</x:f>
        <x:v>0</x:v>
      </x:c>
      <x:c r="K1204" s="19" t="n">
        <x:f>'各站彙總來源'!K1204</x:f>
        <x:v>26</x:v>
      </x:c>
      <x:c r="L1204" s="24" t="n">
        <x:f>IFERROR('各站彙總來源'!L1204/'各站彙總來源'!M1204,"")</x:f>
        <x:v>0</x:v>
      </x:c>
      <x:c r="M1204" s="19" t="n">
        <x:f>'各站彙總來源'!M1204</x:f>
        <x:v>26</x:v>
      </x:c>
      <x:c r="N1204" s="24" t="n">
        <x:f>F1204+H1204</x:f>
        <x:v>0</x:v>
      </x:c>
      <x:c r="O1204" s="24" t="n">
        <x:f>J1204+L1204</x:f>
        <x:v>0</x:v>
      </x:c>
    </x:row>
    <x:row r="1205">
      <x:c r="A1205" s="22" t="str">
        <x:v>500108233</x:v>
      </x:c>
      <x:c r="B1205" s="17" t="str">
        <x:v>內湖區</x:v>
      </x:c>
      <x:c r="C1205" s="17" t="str">
        <x:v>江南街41巷3弄</x:v>
      </x:c>
      <x:c r="D1205" s="18" t="n">
        <x:v>26</x:v>
      </x:c>
      <x:c r="E1205" s="18" t="n">
        <x:v>26</x:v>
      </x:c>
      <x:c r="F1205" s="24" t="n">
        <x:f>IFERROR('各站彙總來源'!F1205/'各站彙總來源'!G1205,"")</x:f>
        <x:v>8.576923076923077</x:v>
      </x:c>
      <x:c r="G1205" s="19" t="n">
        <x:f>'各站彙總來源'!G1205</x:f>
        <x:v>26</x:v>
      </x:c>
      <x:c r="H1205" s="24" t="n">
        <x:f>IFERROR('各站彙總來源'!H1205/'各站彙總來源'!I1205,"")</x:f>
        <x:v>2.423076923076923</x:v>
      </x:c>
      <x:c r="I1205" s="19" t="n">
        <x:f>'各站彙總來源'!I1205</x:f>
        <x:v>26</x:v>
      </x:c>
      <x:c r="J1205" s="24" t="n">
        <x:f>IFERROR('各站彙總來源'!J1205/'各站彙總來源'!K1205,"")</x:f>
        <x:v>4.3076923076923075</x:v>
      </x:c>
      <x:c r="K1205" s="19" t="n">
        <x:f>'各站彙總來源'!K1205</x:f>
        <x:v>26</x:v>
      </x:c>
      <x:c r="L1205" s="24" t="n">
        <x:f>IFERROR('各站彙總來源'!L1205/'各站彙總來源'!M1205,"")</x:f>
        <x:v>1.4615384615384615</x:v>
      </x:c>
      <x:c r="M1205" s="19" t="n">
        <x:f>'各站彙總來源'!M1205</x:f>
        <x:v>26</x:v>
      </x:c>
      <x:c r="N1205" s="24" t="n">
        <x:f>F1205+H1205</x:f>
        <x:v>11</x:v>
      </x:c>
      <x:c r="O1205" s="24" t="n">
        <x:f>J1205+L1205</x:f>
        <x:v>5.769230769230769</x:v>
      </x:c>
    </x:row>
    <x:row r="1206">
      <x:c r="A1206" s="22" t="str">
        <x:v>500108234</x:v>
      </x:c>
      <x:c r="B1206" s="17" t="str">
        <x:v>內湖區</x:v>
      </x:c>
      <x:c r="C1206" s="17" t="str">
        <x:v>民權東路六段280巷45弄口</x:v>
      </x:c>
      <x:c r="D1206" s="18" t="n">
        <x:v>26</x:v>
      </x:c>
      <x:c r="E1206" s="18" t="n">
        <x:v>26</x:v>
      </x:c>
      <x:c r="F1206" s="24" t="n">
        <x:f>IFERROR('各站彙總來源'!F1206/'各站彙總來源'!G1206,"")</x:f>
        <x:v>3.8461538461538463</x:v>
      </x:c>
      <x:c r="G1206" s="19" t="n">
        <x:f>'各站彙總來源'!G1206</x:f>
        <x:v>26</x:v>
      </x:c>
      <x:c r="H1206" s="24" t="n">
        <x:f>IFERROR('各站彙總來源'!H1206/'各站彙總來源'!I1206,"")</x:f>
        <x:v>1.3846153846153846</x:v>
      </x:c>
      <x:c r="I1206" s="19" t="n">
        <x:f>'各站彙總來源'!I1206</x:f>
        <x:v>26</x:v>
      </x:c>
      <x:c r="J1206" s="24" t="n">
        <x:f>IFERROR('各站彙總來源'!J1206/'各站彙總來源'!K1206,"")</x:f>
        <x:v>3.3846153846153846</x:v>
      </x:c>
      <x:c r="K1206" s="19" t="n">
        <x:f>'各站彙總來源'!K1206</x:f>
        <x:v>26</x:v>
      </x:c>
      <x:c r="L1206" s="24" t="n">
        <x:f>IFERROR('各站彙總來源'!L1206/'各站彙總來源'!M1206,"")</x:f>
        <x:v>2.1153846153846154</x:v>
      </x:c>
      <x:c r="M1206" s="19" t="n">
        <x:f>'各站彙總來源'!M1206</x:f>
        <x:v>26</x:v>
      </x:c>
      <x:c r="N1206" s="24" t="n">
        <x:f>F1206+H1206</x:f>
        <x:v>5.230769230769231</x:v>
      </x:c>
      <x:c r="O1206" s="24" t="n">
        <x:f>J1206+L1206</x:f>
        <x:v>5.5</x:v>
      </x:c>
    </x:row>
    <x:row r="1207">
      <x:c r="A1207" s="22" t="str">
        <x:v>500108235</x:v>
      </x:c>
      <x:c r="B1207" s="17" t="str">
        <x:v>內湖區</x:v>
      </x:c>
      <x:c r="C1207" s="17" t="str">
        <x:v>成功路三段12巷口</x:v>
      </x:c>
      <x:c r="D1207" s="18" t="n">
        <x:v>26</x:v>
      </x:c>
      <x:c r="E1207" s="18" t="n">
        <x:v>26</x:v>
      </x:c>
      <x:c r="F1207" s="24" t="n">
        <x:f>IFERROR('各站彙總來源'!F1207/'各站彙總來源'!G1207,"")</x:f>
        <x:v>7.653846153846154</x:v>
      </x:c>
      <x:c r="G1207" s="19" t="n">
        <x:f>'各站彙總來源'!G1207</x:f>
        <x:v>26</x:v>
      </x:c>
      <x:c r="H1207" s="24" t="n">
        <x:f>IFERROR('各站彙總來源'!H1207/'各站彙總來源'!I1207,"")</x:f>
        <x:v>2.576923076923077</x:v>
      </x:c>
      <x:c r="I1207" s="19" t="n">
        <x:f>'各站彙總來源'!I1207</x:f>
        <x:v>26</x:v>
      </x:c>
      <x:c r="J1207" s="24" t="n">
        <x:f>IFERROR('各站彙總來源'!J1207/'各站彙總來源'!K1207,"")</x:f>
        <x:v>5.346153846153846</x:v>
      </x:c>
      <x:c r="K1207" s="19" t="n">
        <x:f>'各站彙總來源'!K1207</x:f>
        <x:v>26</x:v>
      </x:c>
      <x:c r="L1207" s="24" t="n">
        <x:f>IFERROR('各站彙總來源'!L1207/'各站彙總來源'!M1207,"")</x:f>
        <x:v>1.2307692307692308</x:v>
      </x:c>
      <x:c r="M1207" s="19" t="n">
        <x:f>'各站彙總來源'!M1207</x:f>
        <x:v>26</x:v>
      </x:c>
      <x:c r="N1207" s="24" t="n">
        <x:f>F1207+H1207</x:f>
        <x:v>10.230769230769232</x:v>
      </x:c>
      <x:c r="O1207" s="24" t="n">
        <x:f>J1207+L1207</x:f>
        <x:v>6.576923076923077</x:v>
      </x:c>
    </x:row>
    <x:row r="1208">
      <x:c r="A1208" s="22" t="str">
        <x:v>500108236</x:v>
      </x:c>
      <x:c r="B1208" s="17" t="str">
        <x:v>內湖區</x:v>
      </x:c>
      <x:c r="C1208" s="17" t="str">
        <x:v>民權東路六段191巷口</x:v>
      </x:c>
      <x:c r="D1208" s="18" t="n">
        <x:v>26</x:v>
      </x:c>
      <x:c r="E1208" s="18" t="n">
        <x:v>26</x:v>
      </x:c>
      <x:c r="F1208" s="24" t="n">
        <x:f>IFERROR('各站彙總來源'!F1208/'各站彙總來源'!G1208,"")</x:f>
        <x:v>8.538461538461538</x:v>
      </x:c>
      <x:c r="G1208" s="19" t="n">
        <x:f>'各站彙總來源'!G1208</x:f>
        <x:v>26</x:v>
      </x:c>
      <x:c r="H1208" s="24" t="n">
        <x:f>IFERROR('各站彙總來源'!H1208/'各站彙總來源'!I1208,"")</x:f>
        <x:v>3.9615384615384617</x:v>
      </x:c>
      <x:c r="I1208" s="19" t="n">
        <x:f>'各站彙總來源'!I1208</x:f>
        <x:v>26</x:v>
      </x:c>
      <x:c r="J1208" s="24" t="n">
        <x:f>IFERROR('各站彙總來源'!J1208/'各站彙總來源'!K1208,"")</x:f>
        <x:v>7.8076923076923075</x:v>
      </x:c>
      <x:c r="K1208" s="19" t="n">
        <x:f>'各站彙總來源'!K1208</x:f>
        <x:v>26</x:v>
      </x:c>
      <x:c r="L1208" s="24" t="n">
        <x:f>IFERROR('各站彙總來源'!L1208/'各站彙總來源'!M1208,"")</x:f>
        <x:v>3.423076923076923</x:v>
      </x:c>
      <x:c r="M1208" s="19" t="n">
        <x:f>'各站彙總來源'!M1208</x:f>
        <x:v>26</x:v>
      </x:c>
      <x:c r="N1208" s="24" t="n">
        <x:f>F1208+H1208</x:f>
        <x:v>12.5</x:v>
      </x:c>
      <x:c r="O1208" s="24" t="n">
        <x:f>J1208+L1208</x:f>
        <x:v>11.23076923076923</x:v>
      </x:c>
    </x:row>
    <x:row r="1209">
      <x:c r="A1209" s="22" t="str">
        <x:v>500108237</x:v>
      </x:c>
      <x:c r="B1209" s="17" t="str">
        <x:v>內湖區</x:v>
      </x:c>
      <x:c r="C1209" s="17" t="str">
        <x:v>石潭公園(安康路)南側</x:v>
      </x:c>
      <x:c r="D1209" s="18" t="n">
        <x:v>26</x:v>
      </x:c>
      <x:c r="E1209" s="18" t="n">
        <x:v>26</x:v>
      </x:c>
      <x:c r="F1209" s="24" t="n">
        <x:f>IFERROR('各站彙總來源'!F1209/'各站彙總來源'!G1209,"")</x:f>
        <x:v>5.653846153846154</x:v>
      </x:c>
      <x:c r="G1209" s="19" t="n">
        <x:f>'各站彙總來源'!G1209</x:f>
        <x:v>26</x:v>
      </x:c>
      <x:c r="H1209" s="24" t="n">
        <x:f>IFERROR('各站彙總來源'!H1209/'各站彙總來源'!I1209,"")</x:f>
        <x:v>2.3461538461538463</x:v>
      </x:c>
      <x:c r="I1209" s="19" t="n">
        <x:f>'各站彙總來源'!I1209</x:f>
        <x:v>26</x:v>
      </x:c>
      <x:c r="J1209" s="24" t="n">
        <x:f>IFERROR('各站彙總來源'!J1209/'各站彙總來源'!K1209,"")</x:f>
        <x:v>22.5</x:v>
      </x:c>
      <x:c r="K1209" s="19" t="n">
        <x:f>'各站彙總來源'!K1209</x:f>
        <x:v>26</x:v>
      </x:c>
      <x:c r="L1209" s="24" t="n">
        <x:f>IFERROR('各站彙總來源'!L1209/'各站彙總來源'!M1209,"")</x:f>
        <x:v>5.6923076923076925</x:v>
      </x:c>
      <x:c r="M1209" s="19" t="n">
        <x:f>'各站彙總來源'!M1209</x:f>
        <x:v>26</x:v>
      </x:c>
      <x:c r="N1209" s="24" t="n">
        <x:f>F1209+H1209</x:f>
        <x:v>8</x:v>
      </x:c>
      <x:c r="O1209" s="24" t="n">
        <x:f>J1209+L1209</x:f>
        <x:v>28.192307692307693</x:v>
      </x:c>
    </x:row>
    <x:row r="1210">
      <x:c r="A1210" s="22" t="str">
        <x:v>500108238</x:v>
      </x:c>
      <x:c r="B1210" s="17" t="str">
        <x:v>內湖區</x:v>
      </x:c>
      <x:c r="C1210" s="17" t="str">
        <x:v>金豐金莊路口</x:v>
      </x:c>
      <x:c r="D1210" s="18" t="n">
        <x:v>26</x:v>
      </x:c>
      <x:c r="E1210" s="18" t="n">
        <x:v>26</x:v>
      </x:c>
      <x:c r="F1210" s="24" t="n">
        <x:f>IFERROR('各站彙總來源'!F1210/'各站彙總來源'!G1210,"")</x:f>
        <x:v>6.115384615384615</x:v>
      </x:c>
      <x:c r="G1210" s="19" t="n">
        <x:f>'各站彙總來源'!G1210</x:f>
        <x:v>26</x:v>
      </x:c>
      <x:c r="H1210" s="24" t="n">
        <x:f>IFERROR('各站彙總來源'!H1210/'各站彙總來源'!I1210,"")</x:f>
        <x:v>0.7307692307692307</x:v>
      </x:c>
      <x:c r="I1210" s="19" t="n">
        <x:f>'各站彙總來源'!I1210</x:f>
        <x:v>26</x:v>
      </x:c>
      <x:c r="J1210" s="24" t="n">
        <x:f>IFERROR('各站彙總來源'!J1210/'各站彙總來源'!K1210,"")</x:f>
        <x:v>9.576923076923077</x:v>
      </x:c>
      <x:c r="K1210" s="19" t="n">
        <x:f>'各站彙總來源'!K1210</x:f>
        <x:v>26</x:v>
      </x:c>
      <x:c r="L1210" s="24" t="n">
        <x:f>IFERROR('各站彙總來源'!L1210/'各站彙總來源'!M1210,"")</x:f>
        <x:v>1.2307692307692308</x:v>
      </x:c>
      <x:c r="M1210" s="19" t="n">
        <x:f>'各站彙總來源'!M1210</x:f>
        <x:v>26</x:v>
      </x:c>
      <x:c r="N1210" s="24" t="n">
        <x:f>F1210+H1210</x:f>
        <x:v>6.846153846153846</x:v>
      </x:c>
      <x:c r="O1210" s="24" t="n">
        <x:f>J1210+L1210</x:f>
        <x:v>10.807692307692307</x:v>
      </x:c>
    </x:row>
    <x:row r="1211">
      <x:c r="A1211" s="22" t="str">
        <x:v>500108239</x:v>
      </x:c>
      <x:c r="B1211" s="17" t="str">
        <x:v>內湖區</x:v>
      </x:c>
      <x:c r="C1211" s="17" t="str">
        <x:v>康寧路三段99巷</x:v>
      </x:c>
      <x:c r="D1211" s="18" t="n">
        <x:v>26</x:v>
      </x:c>
      <x:c r="E1211" s="18" t="n">
        <x:v>26</x:v>
      </x:c>
      <x:c r="F1211" s="24" t="n">
        <x:f>IFERROR('各站彙總來源'!F1211/'各站彙總來源'!G1211,"")</x:f>
        <x:v>6.6923076923076925</x:v>
      </x:c>
      <x:c r="G1211" s="19" t="n">
        <x:f>'各站彙總來源'!G1211</x:f>
        <x:v>26</x:v>
      </x:c>
      <x:c r="H1211" s="24" t="n">
        <x:f>IFERROR('各站彙總來源'!H1211/'各站彙總來源'!I1211,"")</x:f>
        <x:v>2.1153846153846154</x:v>
      </x:c>
      <x:c r="I1211" s="19" t="n">
        <x:f>'各站彙總來源'!I1211</x:f>
        <x:v>26</x:v>
      </x:c>
      <x:c r="J1211" s="24" t="n">
        <x:f>IFERROR('各站彙總來源'!J1211/'各站彙總來源'!K1211,"")</x:f>
        <x:v>2.8846153846153846</x:v>
      </x:c>
      <x:c r="K1211" s="19" t="n">
        <x:f>'各站彙總來源'!K1211</x:f>
        <x:v>26</x:v>
      </x:c>
      <x:c r="L1211" s="24" t="n">
        <x:f>IFERROR('各站彙總來源'!L1211/'各站彙總來源'!M1211,"")</x:f>
        <x:v>0.9615384615384616</x:v>
      </x:c>
      <x:c r="M1211" s="19" t="n">
        <x:f>'各站彙總來源'!M1211</x:f>
        <x:v>26</x:v>
      </x:c>
      <x:c r="N1211" s="24" t="n">
        <x:f>F1211+H1211</x:f>
        <x:v>8.807692307692308</x:v>
      </x:c>
      <x:c r="O1211" s="24" t="n">
        <x:f>J1211+L1211</x:f>
        <x:v>3.8461538461538463</x:v>
      </x:c>
    </x:row>
    <x:row r="1212">
      <x:c r="A1212" s="22" t="str">
        <x:v>500108240</x:v>
      </x:c>
      <x:c r="B1212" s="17" t="str">
        <x:v>內湖區</x:v>
      </x:c>
      <x:c r="C1212" s="17" t="str">
        <x:v>康寧安康路口(國道一號)</x:v>
      </x:c>
      <x:c r="D1212" s="18" t="n">
        <x:v>26</x:v>
      </x:c>
      <x:c r="E1212" s="18" t="n">
        <x:v>26</x:v>
      </x:c>
      <x:c r="F1212" s="24" t="n">
        <x:f>IFERROR('各站彙總來源'!F1212/'各站彙總來源'!G1212,"")</x:f>
        <x:v>8.884615384615385</x:v>
      </x:c>
      <x:c r="G1212" s="19" t="n">
        <x:f>'各站彙總來源'!G1212</x:f>
        <x:v>26</x:v>
      </x:c>
      <x:c r="H1212" s="24" t="n">
        <x:f>IFERROR('各站彙總來源'!H1212/'各站彙總來源'!I1212,"")</x:f>
        <x:v>0.46153846153846156</x:v>
      </x:c>
      <x:c r="I1212" s="19" t="n">
        <x:f>'各站彙總來源'!I1212</x:f>
        <x:v>26</x:v>
      </x:c>
      <x:c r="J1212" s="24" t="n">
        <x:f>IFERROR('各站彙總來源'!J1212/'各站彙總來源'!K1212,"")</x:f>
        <x:v>8.26923076923077</x:v>
      </x:c>
      <x:c r="K1212" s="19" t="n">
        <x:f>'各站彙總來源'!K1212</x:f>
        <x:v>26</x:v>
      </x:c>
      <x:c r="L1212" s="24" t="n">
        <x:f>IFERROR('各站彙總來源'!L1212/'各站彙總來源'!M1212,"")</x:f>
        <x:v>1.0769230769230769</x:v>
      </x:c>
      <x:c r="M1212" s="19" t="n">
        <x:f>'各站彙總來源'!M1212</x:f>
        <x:v>26</x:v>
      </x:c>
      <x:c r="N1212" s="24" t="n">
        <x:f>F1212+H1212</x:f>
        <x:v>9.346153846153847</x:v>
      </x:c>
      <x:c r="O1212" s="24" t="n">
        <x:f>J1212+L1212</x:f>
        <x:v>9.346153846153847</x:v>
      </x:c>
    </x:row>
    <x:row r="1213">
      <x:c r="A1213" s="22" t="str">
        <x:v>500108241</x:v>
      </x:c>
      <x:c r="B1213" s="17" t="str">
        <x:v>內湖區</x:v>
      </x:c>
      <x:c r="C1213" s="17" t="str">
        <x:v>捷運文德站(1號出口)</x:v>
      </x:c>
      <x:c r="D1213" s="18" t="n">
        <x:v>26</x:v>
      </x:c>
      <x:c r="E1213" s="18" t="n">
        <x:v>26</x:v>
      </x:c>
      <x:c r="F1213" s="24" t="n">
        <x:f>IFERROR('各站彙總來源'!F1213/'各站彙總來源'!G1213,"")</x:f>
        <x:v>7.115384615384615</x:v>
      </x:c>
      <x:c r="G1213" s="19" t="n">
        <x:f>'各站彙總來源'!G1213</x:f>
        <x:v>26</x:v>
      </x:c>
      <x:c r="H1213" s="24" t="n">
        <x:f>IFERROR('各站彙總來源'!H1213/'各站彙總來源'!I1213,"")</x:f>
        <x:v>0.5769230769230769</x:v>
      </x:c>
      <x:c r="I1213" s="19" t="n">
        <x:f>'各站彙總來源'!I1213</x:f>
        <x:v>26</x:v>
      </x:c>
      <x:c r="J1213" s="24" t="n">
        <x:f>IFERROR('各站彙總來源'!J1213/'各站彙總來源'!K1213,"")</x:f>
        <x:v>8.846153846153847</x:v>
      </x:c>
      <x:c r="K1213" s="19" t="n">
        <x:f>'各站彙總來源'!K1213</x:f>
        <x:v>26</x:v>
      </x:c>
      <x:c r="L1213" s="24" t="n">
        <x:f>IFERROR('各站彙總來源'!L1213/'各站彙總來源'!M1213,"")</x:f>
        <x:v>2.0384615384615383</x:v>
      </x:c>
      <x:c r="M1213" s="19" t="n">
        <x:f>'各站彙總來源'!M1213</x:f>
        <x:v>26</x:v>
      </x:c>
      <x:c r="N1213" s="24" t="n">
        <x:f>F1213+H1213</x:f>
        <x:v>7.692307692307692</x:v>
      </x:c>
      <x:c r="O1213" s="24" t="n">
        <x:f>J1213+L1213</x:f>
        <x:v>10.884615384615385</x:v>
      </x:c>
    </x:row>
    <x:row r="1214">
      <x:c r="A1214" s="22" t="str">
        <x:v>500108242</x:v>
      </x:c>
      <x:c r="B1214" s="17" t="str">
        <x:v>內湖區</x:v>
      </x:c>
      <x:c r="C1214" s="17" t="str">
        <x:v>港華6號公園</x:v>
      </x:c>
      <x:c r="D1214" s="18" t="n">
        <x:v>26</x:v>
      </x:c>
      <x:c r="E1214" s="18" t="n">
        <x:v>14</x:v>
      </x:c>
      <x:c r="F1214" s="24" t="n">
        <x:f>IFERROR('各站彙總來源'!F1214/'各站彙總來源'!G1214,"")</x:f>
        <x:v>9.307692307692308</x:v>
      </x:c>
      <x:c r="G1214" s="19" t="n">
        <x:f>'各站彙總來源'!G1214</x:f>
        <x:v>13</x:v>
      </x:c>
      <x:c r="H1214" s="24" t="n">
        <x:f>IFERROR('各站彙總來源'!H1214/'各站彙總來源'!I1214,"")</x:f>
        <x:v>2.230769230769231</x:v>
      </x:c>
      <x:c r="I1214" s="19" t="n">
        <x:f>'各站彙總來源'!I1214</x:f>
        <x:v>13</x:v>
      </x:c>
      <x:c r="J1214" s="24" t="n">
        <x:f>IFERROR('各站彙總來源'!J1214/'各站彙總來源'!K1214,"")</x:f>
        <x:v>2.142857142857143</x:v>
      </x:c>
      <x:c r="K1214" s="19" t="n">
        <x:f>'各站彙總來源'!K1214</x:f>
        <x:v>14</x:v>
      </x:c>
      <x:c r="L1214" s="24" t="n">
        <x:f>IFERROR('各站彙總來源'!L1214/'各站彙總來源'!M1214,"")</x:f>
        <x:v>1.2857142857142858</x:v>
      </x:c>
      <x:c r="M1214" s="19" t="n">
        <x:f>'各站彙總來源'!M1214</x:f>
        <x:v>14</x:v>
      </x:c>
      <x:c r="N1214" s="24" t="n">
        <x:f>F1214+H1214</x:f>
        <x:v>11.53846153846154</x:v>
      </x:c>
      <x:c r="O1214" s="24" t="n">
        <x:f>J1214+L1214</x:f>
        <x:v>3.428571428571429</x:v>
      </x:c>
    </x:row>
    <x:row r="1215">
      <x:c r="A1215" s="22" t="str">
        <x:v>500108243</x:v>
      </x:c>
      <x:c r="B1215" s="17" t="str">
        <x:v>內湖區</x:v>
      </x:c>
      <x:c r="C1215" s="17" t="str">
        <x:v>港墘路26巷</x:v>
      </x:c>
      <x:c r="D1215" s="18" t="n">
        <x:v>26</x:v>
      </x:c>
      <x:c r="E1215" s="18" t="n">
        <x:v>14</x:v>
      </x:c>
      <x:c r="F1215" s="24" t="n">
        <x:f>IFERROR('各站彙總來源'!F1215/'各站彙總來源'!G1215,"")</x:f>
        <x:v>8.538461538461538</x:v>
      </x:c>
      <x:c r="G1215" s="19" t="n">
        <x:f>'各站彙總來源'!G1215</x:f>
        <x:v>13</x:v>
      </x:c>
      <x:c r="H1215" s="24" t="n">
        <x:f>IFERROR('各站彙總來源'!H1215/'各站彙總來源'!I1215,"")</x:f>
        <x:v>1.7692307692307692</x:v>
      </x:c>
      <x:c r="I1215" s="19" t="n">
        <x:f>'各站彙總來源'!I1215</x:f>
        <x:v>13</x:v>
      </x:c>
      <x:c r="J1215" s="24" t="n">
        <x:f>IFERROR('各站彙總來源'!J1215/'各站彙總來源'!K1215,"")</x:f>
        <x:v>2.642857142857143</x:v>
      </x:c>
      <x:c r="K1215" s="19" t="n">
        <x:f>'各站彙總來源'!K1215</x:f>
        <x:v>14</x:v>
      </x:c>
      <x:c r="L1215" s="24" t="n">
        <x:f>IFERROR('各站彙總來源'!L1215/'各站彙總來源'!M1215,"")</x:f>
        <x:v>0.6428571428571429</x:v>
      </x:c>
      <x:c r="M1215" s="19" t="n">
        <x:f>'各站彙總來源'!M1215</x:f>
        <x:v>14</x:v>
      </x:c>
      <x:c r="N1215" s="24" t="n">
        <x:f>F1215+H1215</x:f>
        <x:v>10.307692307692307</x:v>
      </x:c>
      <x:c r="O1215" s="24" t="n">
        <x:f>J1215+L1215</x:f>
        <x:v>3.2857142857142856</x:v>
      </x:c>
    </x:row>
    <x:row r="1216">
      <x:c r="A1216" s="22" t="str">
        <x:v>500109001</x:v>
      </x:c>
      <x:c r="B1216" s="17" t="str">
        <x:v>北投區</x:v>
      </x:c>
      <x:c r="C1216" s="17" t="str">
        <x:v>承德路七段304巷口</x:v>
      </x:c>
      <x:c r="D1216" s="18" t="n">
        <x:v>26</x:v>
      </x:c>
      <x:c r="E1216" s="18" t="n">
        <x:v>26</x:v>
      </x:c>
      <x:c r="F1216" s="24" t="n">
        <x:f>IFERROR('各站彙總來源'!F1216/'各站彙總來源'!G1216,"")</x:f>
        <x:v>18.115384615384617</x:v>
      </x:c>
      <x:c r="G1216" s="19" t="n">
        <x:f>'各站彙總來源'!G1216</x:f>
        <x:v>26</x:v>
      </x:c>
      <x:c r="H1216" s="24" t="n">
        <x:f>IFERROR('各站彙總來源'!H1216/'各站彙總來源'!I1216,"")</x:f>
        <x:v>1.1923076923076923</x:v>
      </x:c>
      <x:c r="I1216" s="19" t="n">
        <x:f>'各站彙總來源'!I1216</x:f>
        <x:v>26</x:v>
      </x:c>
      <x:c r="J1216" s="24" t="n">
        <x:f>IFERROR('各站彙總來源'!J1216/'各站彙總來源'!K1216,"")</x:f>
        <x:v>6.384615384615385</x:v>
      </x:c>
      <x:c r="K1216" s="19" t="n">
        <x:f>'各站彙總來源'!K1216</x:f>
        <x:v>26</x:v>
      </x:c>
      <x:c r="L1216" s="24" t="n">
        <x:f>IFERROR('各站彙總來源'!L1216/'各站彙總來源'!M1216,"")</x:f>
        <x:v>1.0384615384615385</x:v>
      </x:c>
      <x:c r="M1216" s="19" t="n">
        <x:f>'各站彙總來源'!M1216</x:f>
        <x:v>26</x:v>
      </x:c>
      <x:c r="N1216" s="24" t="n">
        <x:f>F1216+H1216</x:f>
        <x:v>19.30769230769231</x:v>
      </x:c>
      <x:c r="O1216" s="24" t="n">
        <x:f>J1216+L1216</x:f>
        <x:v>7.423076923076923</x:v>
      </x:c>
    </x:row>
    <x:row r="1217">
      <x:c r="A1217" s="22" t="str">
        <x:v>500109002</x:v>
      </x:c>
      <x:c r="B1217" s="17" t="str">
        <x:v>北投區</x:v>
      </x:c>
      <x:c r="C1217" s="17" t="str">
        <x:v>洲美運動公園</x:v>
      </x:c>
      <x:c r="D1217" s="18" t="n">
        <x:v>26</x:v>
      </x:c>
      <x:c r="E1217" s="18" t="n">
        <x:v>26</x:v>
      </x:c>
      <x:c r="F1217" s="24" t="n">
        <x:f>IFERROR('各站彙總來源'!F1217/'各站彙總來源'!G1217,"")</x:f>
        <x:v>11.73076923076923</x:v>
      </x:c>
      <x:c r="G1217" s="19" t="n">
        <x:f>'各站彙總來源'!G1217</x:f>
        <x:v>26</x:v>
      </x:c>
      <x:c r="H1217" s="24" t="n">
        <x:f>IFERROR('各站彙總來源'!H1217/'各站彙總來源'!I1217,"")</x:f>
        <x:v>3.1153846153846154</x:v>
      </x:c>
      <x:c r="I1217" s="19" t="n">
        <x:f>'各站彙總來源'!I1217</x:f>
        <x:v>26</x:v>
      </x:c>
      <x:c r="J1217" s="24" t="n">
        <x:f>IFERROR('各站彙總來源'!J1217/'各站彙總來源'!K1217,"")</x:f>
        <x:v>15.115384615384615</x:v>
      </x:c>
      <x:c r="K1217" s="19" t="n">
        <x:f>'各站彙總來源'!K1217</x:f>
        <x:v>26</x:v>
      </x:c>
      <x:c r="L1217" s="24" t="n">
        <x:f>IFERROR('各站彙總來源'!L1217/'各站彙總來源'!M1217,"")</x:f>
        <x:v>2.3076923076923075</x:v>
      </x:c>
      <x:c r="M1217" s="19" t="n">
        <x:f>'各站彙總來源'!M1217</x:f>
        <x:v>26</x:v>
      </x:c>
      <x:c r="N1217" s="24" t="n">
        <x:f>F1217+H1217</x:f>
        <x:v>14.846153846153845</x:v>
      </x:c>
      <x:c r="O1217" s="24" t="n">
        <x:f>J1217+L1217</x:f>
        <x:v>17.423076923076923</x:v>
      </x:c>
    </x:row>
    <x:row r="1218">
      <x:c r="A1218" s="22" t="str">
        <x:v>500109003</x:v>
      </x:c>
      <x:c r="B1218" s="17" t="str">
        <x:v>北投區</x:v>
      </x:c>
      <x:c r="C1218" s="17" t="str">
        <x:v>榮華二明德路口</x:v>
      </x:c>
      <x:c r="D1218" s="18" t="n">
        <x:v>26</x:v>
      </x:c>
      <x:c r="E1218" s="18" t="n">
        <x:v>26</x:v>
      </x:c>
      <x:c r="F1218" s="24" t="n">
        <x:f>IFERROR('各站彙總來源'!F1218/'各站彙總來源'!G1218,"")</x:f>
        <x:v>22.076923076923077</x:v>
      </x:c>
      <x:c r="G1218" s="19" t="n">
        <x:f>'各站彙總來源'!G1218</x:f>
        <x:v>26</x:v>
      </x:c>
      <x:c r="H1218" s="24" t="n">
        <x:f>IFERROR('各站彙總來源'!H1218/'各站彙總來源'!I1218,"")</x:f>
        <x:v>3.576923076923077</x:v>
      </x:c>
      <x:c r="I1218" s="19" t="n">
        <x:f>'各站彙總來源'!I1218</x:f>
        <x:v>26</x:v>
      </x:c>
      <x:c r="J1218" s="24" t="n">
        <x:f>IFERROR('各站彙總來源'!J1218/'各站彙總來源'!K1218,"")</x:f>
        <x:v>4.3076923076923075</x:v>
      </x:c>
      <x:c r="K1218" s="19" t="n">
        <x:f>'各站彙總來源'!K1218</x:f>
        <x:v>26</x:v>
      </x:c>
      <x:c r="L1218" s="24" t="n">
        <x:f>IFERROR('各站彙總來源'!L1218/'各站彙總來源'!M1218,"")</x:f>
        <x:v>1.5384615384615385</x:v>
      </x:c>
      <x:c r="M1218" s="19" t="n">
        <x:f>'各站彙總來源'!M1218</x:f>
        <x:v>26</x:v>
      </x:c>
      <x:c r="N1218" s="24" t="n">
        <x:f>F1218+H1218</x:f>
        <x:v>25.653846153846153</x:v>
      </x:c>
      <x:c r="O1218" s="24" t="n">
        <x:f>J1218+L1218</x:f>
        <x:v>5.846153846153846</x:v>
      </x:c>
    </x:row>
    <x:row r="1219">
      <x:c r="A1219" s="22" t="str">
        <x:v>500109004</x:v>
      </x:c>
      <x:c r="B1219" s="17" t="str">
        <x:v>北投區</x:v>
      </x:c>
      <x:c r="C1219" s="17" t="str">
        <x:v>捷運明德站(1號出口)</x:v>
      </x:c>
      <x:c r="D1219" s="18" t="n">
        <x:v>26</x:v>
      </x:c>
      <x:c r="E1219" s="18" t="n">
        <x:v>26</x:v>
      </x:c>
      <x:c r="F1219" s="24" t="n">
        <x:f>IFERROR('各站彙總來源'!F1219/'各站彙總來源'!G1219,"")</x:f>
        <x:v>5.230769230769231</x:v>
      </x:c>
      <x:c r="G1219" s="19" t="n">
        <x:f>'各站彙總來源'!G1219</x:f>
        <x:v>26</x:v>
      </x:c>
      <x:c r="H1219" s="24" t="n">
        <x:f>IFERROR('各站彙總來源'!H1219/'各站彙總來源'!I1219,"")</x:f>
        <x:v>1.0384615384615385</x:v>
      </x:c>
      <x:c r="I1219" s="19" t="n">
        <x:f>'各站彙總來源'!I1219</x:f>
        <x:v>26</x:v>
      </x:c>
      <x:c r="J1219" s="24" t="n">
        <x:f>IFERROR('各站彙總來源'!J1219/'各站彙總來源'!K1219,"")</x:f>
        <x:v>6.384615384615385</x:v>
      </x:c>
      <x:c r="K1219" s="19" t="n">
        <x:f>'各站彙總來源'!K1219</x:f>
        <x:v>26</x:v>
      </x:c>
      <x:c r="L1219" s="24" t="n">
        <x:f>IFERROR('各站彙總來源'!L1219/'各站彙總來源'!M1219,"")</x:f>
        <x:v>1.3846153846153846</x:v>
      </x:c>
      <x:c r="M1219" s="19" t="n">
        <x:f>'各站彙總來源'!M1219</x:f>
        <x:v>26</x:v>
      </x:c>
      <x:c r="N1219" s="24" t="n">
        <x:f>F1219+H1219</x:f>
        <x:v>6.269230769230769</x:v>
      </x:c>
      <x:c r="O1219" s="24" t="n">
        <x:f>J1219+L1219</x:f>
        <x:v>7.76923076923077</x:v>
      </x:c>
    </x:row>
    <x:row r="1220">
      <x:c r="A1220" s="22" t="str">
        <x:v>500109005</x:v>
      </x:c>
      <x:c r="B1220" s="17" t="str">
        <x:v>北投區</x:v>
      </x:c>
      <x:c r="C1220" s="17" t="str">
        <x:v>文林建民路口</x:v>
      </x:c>
      <x:c r="D1220" s="18" t="n">
        <x:v>26</x:v>
      </x:c>
      <x:c r="E1220" s="18" t="n">
        <x:v>26</x:v>
      </x:c>
      <x:c r="F1220" s="24" t="n">
        <x:f>IFERROR('各站彙總來源'!F1220/'各站彙總來源'!G1220,"")</x:f>
        <x:v>19</x:v>
      </x:c>
      <x:c r="G1220" s="19" t="n">
        <x:f>'各站彙總來源'!G1220</x:f>
        <x:v>26</x:v>
      </x:c>
      <x:c r="H1220" s="24" t="n">
        <x:f>IFERROR('各站彙總來源'!H1220/'各站彙總來源'!I1220,"")</x:f>
        <x:v>1.6153846153846154</x:v>
      </x:c>
      <x:c r="I1220" s="19" t="n">
        <x:f>'各站彙總來源'!I1220</x:f>
        <x:v>26</x:v>
      </x:c>
      <x:c r="J1220" s="24" t="n">
        <x:f>IFERROR('各站彙總來源'!J1220/'各站彙總來源'!K1220,"")</x:f>
        <x:v>11.615384615384615</x:v>
      </x:c>
      <x:c r="K1220" s="19" t="n">
        <x:f>'各站彙總來源'!K1220</x:f>
        <x:v>26</x:v>
      </x:c>
      <x:c r="L1220" s="24" t="n">
        <x:f>IFERROR('各站彙總來源'!L1220/'各站彙總來源'!M1220,"")</x:f>
        <x:v>0.9615384615384616</x:v>
      </x:c>
      <x:c r="M1220" s="19" t="n">
        <x:f>'各站彙總來源'!M1220</x:f>
        <x:v>26</x:v>
      </x:c>
      <x:c r="N1220" s="24" t="n">
        <x:f>F1220+H1220</x:f>
        <x:v>20.615384615384617</x:v>
      </x:c>
      <x:c r="O1220" s="24" t="n">
        <x:f>J1220+L1220</x:f>
        <x:v>12.576923076923077</x:v>
      </x:c>
    </x:row>
    <x:row r="1221">
      <x:c r="A1221" s="22" t="str">
        <x:v>500109006</x:v>
      </x:c>
      <x:c r="B1221" s="17" t="str">
        <x:v>北投區</x:v>
      </x:c>
      <x:c r="C1221" s="17" t="str">
        <x:v>永欣綠地</x:v>
      </x:c>
      <x:c r="D1221" s="18" t="n">
        <x:v>26</x:v>
      </x:c>
      <x:c r="E1221" s="18" t="n">
        <x:v>26</x:v>
      </x:c>
      <x:c r="F1221" s="24" t="n">
        <x:f>IFERROR('各站彙總來源'!F1221/'各站彙總來源'!G1221,"")</x:f>
        <x:v>18.46153846153846</x:v>
      </x:c>
      <x:c r="G1221" s="19" t="n">
        <x:f>'各站彙總來源'!G1221</x:f>
        <x:v>26</x:v>
      </x:c>
      <x:c r="H1221" s="24" t="n">
        <x:f>IFERROR('各站彙總來源'!H1221/'各站彙總來源'!I1221,"")</x:f>
        <x:v>7.461538461538462</x:v>
      </x:c>
      <x:c r="I1221" s="19" t="n">
        <x:f>'各站彙總來源'!I1221</x:f>
        <x:v>26</x:v>
      </x:c>
      <x:c r="J1221" s="24" t="n">
        <x:f>IFERROR('各站彙總來源'!J1221/'各站彙總來源'!K1221,"")</x:f>
        <x:v>6.6923076923076925</x:v>
      </x:c>
      <x:c r="K1221" s="19" t="n">
        <x:f>'各站彙總來源'!K1221</x:f>
        <x:v>26</x:v>
      </x:c>
      <x:c r="L1221" s="24" t="n">
        <x:f>IFERROR('各站彙總來源'!L1221/'各站彙總來源'!M1221,"")</x:f>
        <x:v>2.076923076923077</x:v>
      </x:c>
      <x:c r="M1221" s="19" t="n">
        <x:f>'各站彙總來源'!M1221</x:f>
        <x:v>26</x:v>
      </x:c>
      <x:c r="N1221" s="24" t="n">
        <x:f>F1221+H1221</x:f>
        <x:v>25.92307692307692</x:v>
      </x:c>
      <x:c r="O1221" s="24" t="n">
        <x:f>J1221+L1221</x:f>
        <x:v>8.76923076923077</x:v>
      </x:c>
    </x:row>
    <x:row r="1222">
      <x:c r="A1222" s="22" t="str">
        <x:v>500109007</x:v>
      </x:c>
      <x:c r="B1222" s="17" t="str">
        <x:v>北投區</x:v>
      </x:c>
      <x:c r="C1222" s="17" t="str">
        <x:v>關渡宮</x:v>
      </x:c>
      <x:c r="D1222" s="18" t="n">
        <x:v>26</x:v>
      </x:c>
      <x:c r="E1222" s="18" t="n">
        <x:v>26</x:v>
      </x:c>
      <x:c r="F1222" s="24" t="n">
        <x:f>IFERROR('各站彙總來源'!F1222/'各站彙總來源'!G1222,"")</x:f>
        <x:v>31.153846153846153</x:v>
      </x:c>
      <x:c r="G1222" s="19" t="n">
        <x:f>'各站彙總來源'!G1222</x:f>
        <x:v>26</x:v>
      </x:c>
      <x:c r="H1222" s="24" t="n">
        <x:f>IFERROR('各站彙總來源'!H1222/'各站彙總來源'!I1222,"")</x:f>
        <x:v>5.115384615384615</x:v>
      </x:c>
      <x:c r="I1222" s="19" t="n">
        <x:f>'各站彙總來源'!I1222</x:f>
        <x:v>26</x:v>
      </x:c>
      <x:c r="J1222" s="24" t="n">
        <x:f>IFERROR('各站彙總來源'!J1222/'各站彙總來源'!K1222,"")</x:f>
        <x:v>28.96153846153846</x:v>
      </x:c>
      <x:c r="K1222" s="19" t="n">
        <x:f>'各站彙總來源'!K1222</x:f>
        <x:v>26</x:v>
      </x:c>
      <x:c r="L1222" s="24" t="n">
        <x:f>IFERROR('各站彙總來源'!L1222/'各站彙總來源'!M1222,"")</x:f>
        <x:v>4.846153846153846</x:v>
      </x:c>
      <x:c r="M1222" s="19" t="n">
        <x:f>'各站彙總來源'!M1222</x:f>
        <x:v>26</x:v>
      </x:c>
      <x:c r="N1222" s="24" t="n">
        <x:f>F1222+H1222</x:f>
        <x:v>36.26923076923077</x:v>
      </x:c>
      <x:c r="O1222" s="24" t="n">
        <x:f>J1222+L1222</x:f>
        <x:v>33.80769230769231</x:v>
      </x:c>
    </x:row>
    <x:row r="1223">
      <x:c r="A1223" s="22" t="str">
        <x:v>500109008</x:v>
      </x:c>
      <x:c r="B1223" s="17" t="str">
        <x:v>北投區</x:v>
      </x:c>
      <x:c r="C1223" s="17" t="str">
        <x:v>關渡自然公園</x:v>
      </x:c>
      <x:c r="D1223" s="18" t="n">
        <x:v>26</x:v>
      </x:c>
      <x:c r="E1223" s="18" t="n">
        <x:v>26</x:v>
      </x:c>
      <x:c r="F1223" s="24" t="n">
        <x:f>IFERROR('各站彙總來源'!F1223/'各站彙總來源'!G1223,"")</x:f>
        <x:v>29.73076923076923</x:v>
      </x:c>
      <x:c r="G1223" s="19" t="n">
        <x:f>'各站彙總來源'!G1223</x:f>
        <x:v>26</x:v>
      </x:c>
      <x:c r="H1223" s="24" t="n">
        <x:f>IFERROR('各站彙總來源'!H1223/'各站彙總來源'!I1223,"")</x:f>
        <x:v>4.8076923076923075</x:v>
      </x:c>
      <x:c r="I1223" s="19" t="n">
        <x:f>'各站彙總來源'!I1223</x:f>
        <x:v>26</x:v>
      </x:c>
      <x:c r="J1223" s="24" t="n">
        <x:f>IFERROR('各站彙總來源'!J1223/'各站彙總來源'!K1223,"")</x:f>
        <x:v>9.538461538461538</x:v>
      </x:c>
      <x:c r="K1223" s="19" t="n">
        <x:f>'各站彙總來源'!K1223</x:f>
        <x:v>26</x:v>
      </x:c>
      <x:c r="L1223" s="24" t="n">
        <x:f>IFERROR('各站彙總來源'!L1223/'各站彙總來源'!M1223,"")</x:f>
        <x:v>2.8846153846153846</x:v>
      </x:c>
      <x:c r="M1223" s="19" t="n">
        <x:f>'各站彙總來源'!M1223</x:f>
        <x:v>26</x:v>
      </x:c>
      <x:c r="N1223" s="24" t="n">
        <x:f>F1223+H1223</x:f>
        <x:v>34.53846153846154</x:v>
      </x:c>
      <x:c r="O1223" s="24" t="n">
        <x:f>J1223+L1223</x:f>
        <x:v>12.423076923076923</x:v>
      </x:c>
    </x:row>
    <x:row r="1224">
      <x:c r="A1224" s="22" t="str">
        <x:v>500109009</x:v>
      </x:c>
      <x:c r="B1224" s="17" t="str">
        <x:v>北投區</x:v>
      </x:c>
      <x:c r="C1224" s="17" t="str">
        <x:v>關渡醫院</x:v>
      </x:c>
      <x:c r="D1224" s="18" t="n">
        <x:v>26</x:v>
      </x:c>
      <x:c r="E1224" s="18" t="n">
        <x:v>26</x:v>
      </x:c>
      <x:c r="F1224" s="24" t="n">
        <x:f>IFERROR('各站彙總來源'!F1224/'各站彙總來源'!G1224,"")</x:f>
        <x:v>17.46153846153846</x:v>
      </x:c>
      <x:c r="G1224" s="19" t="n">
        <x:f>'各站彙總來源'!G1224</x:f>
        <x:v>26</x:v>
      </x:c>
      <x:c r="H1224" s="24" t="n">
        <x:f>IFERROR('各站彙總來源'!H1224/'各站彙總來源'!I1224,"")</x:f>
        <x:v>4.038461538461538</x:v>
      </x:c>
      <x:c r="I1224" s="19" t="n">
        <x:f>'各站彙總來源'!I1224</x:f>
        <x:v>26</x:v>
      </x:c>
      <x:c r="J1224" s="24" t="n">
        <x:f>IFERROR('各站彙總來源'!J1224/'各站彙總來源'!K1224,"")</x:f>
        <x:v>11.76923076923077</x:v>
      </x:c>
      <x:c r="K1224" s="19" t="n">
        <x:f>'各站彙總來源'!K1224</x:f>
        <x:v>26</x:v>
      </x:c>
      <x:c r="L1224" s="24" t="n">
        <x:f>IFERROR('各站彙總來源'!L1224/'各站彙總來源'!M1224,"")</x:f>
        <x:v>2.5384615384615383</x:v>
      </x:c>
      <x:c r="M1224" s="19" t="n">
        <x:f>'各站彙總來源'!M1224</x:f>
        <x:v>26</x:v>
      </x:c>
      <x:c r="N1224" s="24" t="n">
        <x:f>F1224+H1224</x:f>
        <x:v>21.5</x:v>
      </x:c>
      <x:c r="O1224" s="24" t="n">
        <x:f>J1224+L1224</x:f>
        <x:v>14.307692307692308</x:v>
      </x:c>
    </x:row>
    <x:row r="1225">
      <x:c r="A1225" s="22" t="str">
        <x:v>500109010</x:v>
      </x:c>
      <x:c r="B1225" s="17" t="str">
        <x:v>北投區</x:v>
      </x:c>
      <x:c r="C1225" s="17" t="str">
        <x:v>捷運忠義站(1號出口)</x:v>
      </x:c>
      <x:c r="D1225" s="18" t="n">
        <x:v>26</x:v>
      </x:c>
      <x:c r="E1225" s="18" t="n">
        <x:v>26</x:v>
      </x:c>
      <x:c r="F1225" s="24" t="n">
        <x:f>IFERROR('各站彙總來源'!F1225/'各站彙總來源'!G1225,"")</x:f>
        <x:v>12.653846153846153</x:v>
      </x:c>
      <x:c r="G1225" s="19" t="n">
        <x:f>'各站彙總來源'!G1225</x:f>
        <x:v>26</x:v>
      </x:c>
      <x:c r="H1225" s="24" t="n">
        <x:f>IFERROR('各站彙總來源'!H1225/'各站彙總來源'!I1225,"")</x:f>
        <x:v>1.4615384615384615</x:v>
      </x:c>
      <x:c r="I1225" s="19" t="n">
        <x:f>'各站彙總來源'!I1225</x:f>
        <x:v>26</x:v>
      </x:c>
      <x:c r="J1225" s="24" t="n">
        <x:f>IFERROR('各站彙總來源'!J1225/'各站彙總來源'!K1225,"")</x:f>
        <x:v>10.538461538461538</x:v>
      </x:c>
      <x:c r="K1225" s="19" t="n">
        <x:f>'各站彙總來源'!K1225</x:f>
        <x:v>26</x:v>
      </x:c>
      <x:c r="L1225" s="24" t="n">
        <x:f>IFERROR('各站彙總來源'!L1225/'各站彙總來源'!M1225,"")</x:f>
        <x:v>1.2307692307692308</x:v>
      </x:c>
      <x:c r="M1225" s="19" t="n">
        <x:f>'各站彙總來源'!M1225</x:f>
        <x:v>26</x:v>
      </x:c>
      <x:c r="N1225" s="24" t="n">
        <x:f>F1225+H1225</x:f>
        <x:v>14.115384615384615</x:v>
      </x:c>
      <x:c r="O1225" s="24" t="n">
        <x:f>J1225+L1225</x:f>
        <x:v>11.76923076923077</x:v>
      </x:c>
    </x:row>
    <x:row r="1226">
      <x:c r="A1226" s="22" t="str">
        <x:v>500109011</x:v>
      </x:c>
      <x:c r="B1226" s="17" t="str">
        <x:v>北投區</x:v>
      </x:c>
      <x:c r="C1226" s="17" t="str">
        <x:v>捷運關渡站(1號出口)</x:v>
      </x:c>
      <x:c r="D1226" s="18" t="n">
        <x:v>26</x:v>
      </x:c>
      <x:c r="E1226" s="18" t="n">
        <x:v>26</x:v>
      </x:c>
      <x:c r="F1226" s="24" t="n">
        <x:f>IFERROR('各站彙總來源'!F1226/'各站彙總來源'!G1226,"")</x:f>
        <x:v>31.576923076923077</x:v>
      </x:c>
      <x:c r="G1226" s="19" t="n">
        <x:f>'各站彙總來源'!G1226</x:f>
        <x:v>26</x:v>
      </x:c>
      <x:c r="H1226" s="24" t="n">
        <x:f>IFERROR('各站彙總來源'!H1226/'各站彙總來源'!I1226,"")</x:f>
        <x:v>8.153846153846153</x:v>
      </x:c>
      <x:c r="I1226" s="19" t="n">
        <x:f>'各站彙總來源'!I1226</x:f>
        <x:v>26</x:v>
      </x:c>
      <x:c r="J1226" s="24" t="n">
        <x:f>IFERROR('各站彙總來源'!J1226/'各站彙總來源'!K1226,"")</x:f>
        <x:v>25.53846153846154</x:v>
      </x:c>
      <x:c r="K1226" s="19" t="n">
        <x:f>'各站彙總來源'!K1226</x:f>
        <x:v>26</x:v>
      </x:c>
      <x:c r="L1226" s="24" t="n">
        <x:f>IFERROR('各站彙總來源'!L1226/'各站彙總來源'!M1226,"")</x:f>
        <x:v>8.192307692307692</x:v>
      </x:c>
      <x:c r="M1226" s="19" t="n">
        <x:f>'各站彙總來源'!M1226</x:f>
        <x:v>26</x:v>
      </x:c>
      <x:c r="N1226" s="24" t="n">
        <x:f>F1226+H1226</x:f>
        <x:v>39.730769230769226</x:v>
      </x:c>
      <x:c r="O1226" s="24" t="n">
        <x:f>J1226+L1226</x:f>
        <x:v>33.73076923076923</x:v>
      </x:c>
    </x:row>
    <x:row r="1227">
      <x:c r="A1227" s="22" t="str">
        <x:v>500109012</x:v>
      </x:c>
      <x:c r="B1227" s="17" t="str">
        <x:v>北投區</x:v>
      </x:c>
      <x:c r="C1227" s="17" t="str">
        <x:v>捷運關渡站(2號出口)</x:v>
      </x:c>
      <x:c r="D1227" s="18" t="n">
        <x:v>26</x:v>
      </x:c>
      <x:c r="E1227" s="18" t="n">
        <x:v>26</x:v>
      </x:c>
      <x:c r="F1227" s="24" t="n">
        <x:f>IFERROR('各站彙總來源'!F1227/'各站彙總來源'!G1227,"")</x:f>
        <x:v>7.461538461538462</x:v>
      </x:c>
      <x:c r="G1227" s="19" t="n">
        <x:f>'各站彙總來源'!G1227</x:f>
        <x:v>26</x:v>
      </x:c>
      <x:c r="H1227" s="24" t="n">
        <x:f>IFERROR('各站彙總來源'!H1227/'各站彙總來源'!I1227,"")</x:f>
        <x:v>0.8846153846153846</x:v>
      </x:c>
      <x:c r="I1227" s="19" t="n">
        <x:f>'各站彙總來源'!I1227</x:f>
        <x:v>26</x:v>
      </x:c>
      <x:c r="J1227" s="24" t="n">
        <x:f>IFERROR('各站彙總來源'!J1227/'各站彙總來源'!K1227,"")</x:f>
        <x:v>9</x:v>
      </x:c>
      <x:c r="K1227" s="19" t="n">
        <x:f>'各站彙總來源'!K1227</x:f>
        <x:v>26</x:v>
      </x:c>
      <x:c r="L1227" s="24" t="n">
        <x:f>IFERROR('各站彙總來源'!L1227/'各站彙總來源'!M1227,"")</x:f>
        <x:v>0.7692307692307693</x:v>
      </x:c>
      <x:c r="M1227" s="19" t="n">
        <x:f>'各站彙總來源'!M1227</x:f>
        <x:v>26</x:v>
      </x:c>
      <x:c r="N1227" s="24" t="n">
        <x:f>F1227+H1227</x:f>
        <x:v>8.346153846153847</x:v>
      </x:c>
      <x:c r="O1227" s="24" t="n">
        <x:f>J1227+L1227</x:f>
        <x:v>9.76923076923077</x:v>
      </x:c>
    </x:row>
    <x:row r="1228">
      <x:c r="A1228" s="22" t="str">
        <x:v>500109013</x:v>
      </x:c>
      <x:c r="B1228" s="17" t="str">
        <x:v>北投區</x:v>
      </x:c>
      <x:c r="C1228" s="17" t="str">
        <x:v>中央北路四段540巷口</x:v>
      </x:c>
      <x:c r="D1228" s="18" t="n">
        <x:v>26</x:v>
      </x:c>
      <x:c r="E1228" s="18" t="n">
        <x:v>26</x:v>
      </x:c>
      <x:c r="F1228" s="24" t="n">
        <x:f>IFERROR('各站彙總來源'!F1228/'各站彙總來源'!G1228,"")</x:f>
        <x:v>16.23076923076923</x:v>
      </x:c>
      <x:c r="G1228" s="19" t="n">
        <x:f>'各站彙總來源'!G1228</x:f>
        <x:v>26</x:v>
      </x:c>
      <x:c r="H1228" s="24" t="n">
        <x:f>IFERROR('各站彙總來源'!H1228/'各站彙總來源'!I1228,"")</x:f>
        <x:v>2.923076923076923</x:v>
      </x:c>
      <x:c r="I1228" s="19" t="n">
        <x:f>'各站彙總來源'!I1228</x:f>
        <x:v>26</x:v>
      </x:c>
      <x:c r="J1228" s="24" t="n">
        <x:f>IFERROR('各站彙總來源'!J1228/'各站彙總來源'!K1228,"")</x:f>
        <x:v>11.615384615384615</x:v>
      </x:c>
      <x:c r="K1228" s="19" t="n">
        <x:f>'各站彙總來源'!K1228</x:f>
        <x:v>26</x:v>
      </x:c>
      <x:c r="L1228" s="24" t="n">
        <x:f>IFERROR('各站彙總來源'!L1228/'各站彙總來源'!M1228,"")</x:f>
        <x:v>2.9615384615384617</x:v>
      </x:c>
      <x:c r="M1228" s="19" t="n">
        <x:f>'各站彙總來源'!M1228</x:f>
        <x:v>26</x:v>
      </x:c>
      <x:c r="N1228" s="24" t="n">
        <x:f>F1228+H1228</x:f>
        <x:v>19.153846153846153</x:v>
      </x:c>
      <x:c r="O1228" s="24" t="n">
        <x:f>J1228+L1228</x:f>
        <x:v>14.576923076923077</x:v>
      </x:c>
    </x:row>
    <x:row r="1229">
      <x:c r="A1229" s="22" t="str">
        <x:v>500109014</x:v>
      </x:c>
      <x:c r="B1229" s="17" t="str">
        <x:v>北投區</x:v>
      </x:c>
      <x:c r="C1229" s="17" t="str">
        <x:v>大度立德路口</x:v>
      </x:c>
      <x:c r="D1229" s="18" t="n">
        <x:v>26</x:v>
      </x:c>
      <x:c r="E1229" s="18" t="n">
        <x:v>26</x:v>
      </x:c>
      <x:c r="F1229" s="24" t="n">
        <x:f>IFERROR('各站彙總來源'!F1229/'各站彙總來源'!G1229,"")</x:f>
        <x:v>5.461538461538462</x:v>
      </x:c>
      <x:c r="G1229" s="19" t="n">
        <x:f>'各站彙總來源'!G1229</x:f>
        <x:v>26</x:v>
      </x:c>
      <x:c r="H1229" s="24" t="n">
        <x:f>IFERROR('各站彙總來源'!H1229/'各站彙總來源'!I1229,"")</x:f>
        <x:v>1.4615384615384615</x:v>
      </x:c>
      <x:c r="I1229" s="19" t="n">
        <x:f>'各站彙總來源'!I1229</x:f>
        <x:v>26</x:v>
      </x:c>
      <x:c r="J1229" s="24" t="n">
        <x:f>IFERROR('各站彙總來源'!J1229/'各站彙總來源'!K1229,"")</x:f>
        <x:v>16.346153846153847</x:v>
      </x:c>
      <x:c r="K1229" s="19" t="n">
        <x:f>'各站彙總來源'!K1229</x:f>
        <x:v>26</x:v>
      </x:c>
      <x:c r="L1229" s="24" t="n">
        <x:f>IFERROR('各站彙總來源'!L1229/'各站彙總來源'!M1229,"")</x:f>
        <x:v>3.0384615384615383</x:v>
      </x:c>
      <x:c r="M1229" s="19" t="n">
        <x:f>'各站彙總來源'!M1229</x:f>
        <x:v>26</x:v>
      </x:c>
      <x:c r="N1229" s="24" t="n">
        <x:f>F1229+H1229</x:f>
        <x:v>6.923076923076923</x:v>
      </x:c>
      <x:c r="O1229" s="24" t="n">
        <x:f>J1229+L1229</x:f>
        <x:v>19.384615384615387</x:v>
      </x:c>
    </x:row>
    <x:row r="1230">
      <x:c r="A1230" s="22" t="str">
        <x:v>500109015</x:v>
      </x:c>
      <x:c r="B1230" s="17" t="str">
        <x:v>北投區</x:v>
      </x:c>
      <x:c r="C1230" s="17" t="str">
        <x:v>捷運復興崗站(1號出口)</x:v>
      </x:c>
      <x:c r="D1230" s="18" t="n">
        <x:v>26</x:v>
      </x:c>
      <x:c r="E1230" s="18" t="n">
        <x:v>26</x:v>
      </x:c>
      <x:c r="F1230" s="24" t="n">
        <x:f>IFERROR('各站彙總來源'!F1230/'各站彙總來源'!G1230,"")</x:f>
        <x:v>10.538461538461538</x:v>
      </x:c>
      <x:c r="G1230" s="19" t="n">
        <x:f>'各站彙總來源'!G1230</x:f>
        <x:v>26</x:v>
      </x:c>
      <x:c r="H1230" s="24" t="n">
        <x:f>IFERROR('各站彙總來源'!H1230/'各站彙總來源'!I1230,"")</x:f>
        <x:v>1.2307692307692308</x:v>
      </x:c>
      <x:c r="I1230" s="19" t="n">
        <x:f>'各站彙總來源'!I1230</x:f>
        <x:v>26</x:v>
      </x:c>
      <x:c r="J1230" s="24" t="n">
        <x:f>IFERROR('各站彙總來源'!J1230/'各站彙總來源'!K1230,"")</x:f>
        <x:v>25.115384615384617</x:v>
      </x:c>
      <x:c r="K1230" s="19" t="n">
        <x:f>'各站彙總來源'!K1230</x:f>
        <x:v>26</x:v>
      </x:c>
      <x:c r="L1230" s="24" t="n">
        <x:f>IFERROR('各站彙總來源'!L1230/'各站彙總來源'!M1230,"")</x:f>
        <x:v>4.653846153846154</x:v>
      </x:c>
      <x:c r="M1230" s="19" t="n">
        <x:f>'各站彙總來源'!M1230</x:f>
        <x:v>26</x:v>
      </x:c>
      <x:c r="N1230" s="24" t="n">
        <x:f>F1230+H1230</x:f>
        <x:v>11.76923076923077</x:v>
      </x:c>
      <x:c r="O1230" s="24" t="n">
        <x:f>J1230+L1230</x:f>
        <x:v>29.76923076923077</x:v>
      </x:c>
    </x:row>
    <x:row r="1231">
      <x:c r="A1231" s="22" t="str">
        <x:v>500109016</x:v>
      </x:c>
      <x:c r="B1231" s="17" t="str">
        <x:v>北投區</x:v>
      </x:c>
      <x:c r="C1231" s="17" t="str">
        <x:v>捷運復興崗站旅客服務中心</x:v>
      </x:c>
      <x:c r="D1231" s="18" t="n">
        <x:v>26</x:v>
      </x:c>
      <x:c r="E1231" s="18" t="n">
        <x:v>26</x:v>
      </x:c>
      <x:c r="F1231" s="24" t="n">
        <x:f>IFERROR('各站彙總來源'!F1231/'各站彙總來源'!G1231,"")</x:f>
        <x:v>13.576923076923077</x:v>
      </x:c>
      <x:c r="G1231" s="19" t="n">
        <x:f>'各站彙總來源'!G1231</x:f>
        <x:v>26</x:v>
      </x:c>
      <x:c r="H1231" s="24" t="n">
        <x:f>IFERROR('各站彙總來源'!H1231/'各站彙總來源'!I1231,"")</x:f>
        <x:v>1.1153846153846154</x:v>
      </x:c>
      <x:c r="I1231" s="19" t="n">
        <x:f>'各站彙總來源'!I1231</x:f>
        <x:v>26</x:v>
      </x:c>
      <x:c r="J1231" s="24" t="n">
        <x:f>IFERROR('各站彙總來源'!J1231/'各站彙總來源'!K1231,"")</x:f>
        <x:v>3.8076923076923075</x:v>
      </x:c>
      <x:c r="K1231" s="19" t="n">
        <x:f>'各站彙總來源'!K1231</x:f>
        <x:v>26</x:v>
      </x:c>
      <x:c r="L1231" s="24" t="n">
        <x:f>IFERROR('各站彙總來源'!L1231/'各站彙總來源'!M1231,"")</x:f>
        <x:v>0.7692307692307693</x:v>
      </x:c>
      <x:c r="M1231" s="19" t="n">
        <x:f>'各站彙總來源'!M1231</x:f>
        <x:v>26</x:v>
      </x:c>
      <x:c r="N1231" s="24" t="n">
        <x:f>F1231+H1231</x:f>
        <x:v>14.692307692307692</x:v>
      </x:c>
      <x:c r="O1231" s="24" t="n">
        <x:f>J1231+L1231</x:f>
        <x:v>4.576923076923077</x:v>
      </x:c>
    </x:row>
    <x:row r="1232">
      <x:c r="A1232" s="22" t="str">
        <x:v>500109017</x:v>
      </x:c>
      <x:c r="B1232" s="17" t="str">
        <x:v>北投區</x:v>
      </x:c>
      <x:c r="C1232" s="17" t="str">
        <x:v>豐年公園</x:v>
      </x:c>
      <x:c r="D1232" s="18" t="n">
        <x:v>26</x:v>
      </x:c>
      <x:c r="E1232" s="18" t="n">
        <x:v>26</x:v>
      </x:c>
      <x:c r="F1232" s="24" t="n">
        <x:f>IFERROR('各站彙總來源'!F1232/'各站彙總來源'!G1232,"")</x:f>
        <x:v>12</x:v>
      </x:c>
      <x:c r="G1232" s="19" t="n">
        <x:f>'各站彙總來源'!G1232</x:f>
        <x:v>26</x:v>
      </x:c>
      <x:c r="H1232" s="24" t="n">
        <x:f>IFERROR('各站彙總來源'!H1232/'各站彙總來源'!I1232,"")</x:f>
        <x:v>0.8461538461538461</x:v>
      </x:c>
      <x:c r="I1232" s="19" t="n">
        <x:f>'各站彙總來源'!I1232</x:f>
        <x:v>26</x:v>
      </x:c>
      <x:c r="J1232" s="24" t="n">
        <x:f>IFERROR('各站彙總來源'!J1232/'各站彙總來源'!K1232,"")</x:f>
        <x:v>5.923076923076923</x:v>
      </x:c>
      <x:c r="K1232" s="19" t="n">
        <x:f>'各站彙總來源'!K1232</x:f>
        <x:v>26</x:v>
      </x:c>
      <x:c r="L1232" s="24" t="n">
        <x:f>IFERROR('各站彙總來源'!L1232/'各站彙總來源'!M1232,"")</x:f>
        <x:v>0.5</x:v>
      </x:c>
      <x:c r="M1232" s="19" t="n">
        <x:f>'各站彙總來源'!M1232</x:f>
        <x:v>26</x:v>
      </x:c>
      <x:c r="N1232" s="24" t="n">
        <x:f>F1232+H1232</x:f>
        <x:v>12.846153846153847</x:v>
      </x:c>
      <x:c r="O1232" s="24" t="n">
        <x:f>J1232+L1232</x:f>
        <x:v>6.423076923076923</x:v>
      </x:c>
    </x:row>
    <x:row r="1233">
      <x:c r="A1233" s="22" t="str">
        <x:v>500109018</x:v>
      </x:c>
      <x:c r="B1233" s="17" t="str">
        <x:v>北投區</x:v>
      </x:c>
      <x:c r="C1233" s="17" t="str">
        <x:v>稻香重三路口</x:v>
      </x:c>
      <x:c r="D1233" s="18" t="n">
        <x:v>26</x:v>
      </x:c>
      <x:c r="E1233" s="18" t="n">
        <x:v>26</x:v>
      </x:c>
      <x:c r="F1233" s="24" t="n">
        <x:f>IFERROR('各站彙總來源'!F1233/'各站彙總來源'!G1233,"")</x:f>
        <x:v>12.923076923076923</x:v>
      </x:c>
      <x:c r="G1233" s="19" t="n">
        <x:f>'各站彙總來源'!G1233</x:f>
        <x:v>26</x:v>
      </x:c>
      <x:c r="H1233" s="24" t="n">
        <x:f>IFERROR('各站彙總來源'!H1233/'各站彙總來源'!I1233,"")</x:f>
        <x:v>2.423076923076923</x:v>
      </x:c>
      <x:c r="I1233" s="19" t="n">
        <x:f>'各站彙總來源'!I1233</x:f>
        <x:v>26</x:v>
      </x:c>
      <x:c r="J1233" s="24" t="n">
        <x:f>IFERROR('各站彙總來源'!J1233/'各站彙總來源'!K1233,"")</x:f>
        <x:v>9.26923076923077</x:v>
      </x:c>
      <x:c r="K1233" s="19" t="n">
        <x:f>'各站彙總來源'!K1233</x:f>
        <x:v>26</x:v>
      </x:c>
      <x:c r="L1233" s="24" t="n">
        <x:f>IFERROR('各站彙總來源'!L1233/'各站彙總來源'!M1233,"")</x:f>
        <x:v>1.7692307692307692</x:v>
      </x:c>
      <x:c r="M1233" s="19" t="n">
        <x:f>'各站彙總來源'!M1233</x:f>
        <x:v>26</x:v>
      </x:c>
      <x:c r="N1233" s="24" t="n">
        <x:f>F1233+H1233</x:f>
        <x:v>15.346153846153847</x:v>
      </x:c>
      <x:c r="O1233" s="24" t="n">
        <x:f>J1233+L1233</x:f>
        <x:v>11.03846153846154</x:v>
      </x:c>
    </x:row>
    <x:row r="1234">
      <x:c r="A1234" s="22" t="str">
        <x:v>500109019</x:v>
      </x:c>
      <x:c r="B1234" s="17" t="str">
        <x:v>北投區</x:v>
      </x:c>
      <x:c r="C1234" s="17" t="str">
        <x:v>國防大學政治作戰學院</x:v>
      </x:c>
      <x:c r="D1234" s="18" t="n">
        <x:v>26</x:v>
      </x:c>
      <x:c r="E1234" s="18" t="n">
        <x:v>26</x:v>
      </x:c>
      <x:c r="F1234" s="24" t="n">
        <x:f>IFERROR('各站彙總來源'!F1234/'各站彙總來源'!G1234,"")</x:f>
        <x:v>32.73076923076923</x:v>
      </x:c>
      <x:c r="G1234" s="19" t="n">
        <x:f>'各站彙總來源'!G1234</x:f>
        <x:v>26</x:v>
      </x:c>
      <x:c r="H1234" s="24" t="n">
        <x:f>IFERROR('各站彙總來源'!H1234/'各站彙總來源'!I1234,"")</x:f>
        <x:v>2.1923076923076925</x:v>
      </x:c>
      <x:c r="I1234" s="19" t="n">
        <x:f>'各站彙總來源'!I1234</x:f>
        <x:v>26</x:v>
      </x:c>
      <x:c r="J1234" s="24" t="n">
        <x:f>IFERROR('各站彙總來源'!J1234/'各站彙總來源'!K1234,"")</x:f>
        <x:v>28.03846153846154</x:v>
      </x:c>
      <x:c r="K1234" s="19" t="n">
        <x:f>'各站彙總來源'!K1234</x:f>
        <x:v>26</x:v>
      </x:c>
      <x:c r="L1234" s="24" t="n">
        <x:f>IFERROR('各站彙總來源'!L1234/'各站彙總來源'!M1234,"")</x:f>
        <x:v>2.3076923076923075</x:v>
      </x:c>
      <x:c r="M1234" s="19" t="n">
        <x:f>'各站彙總來源'!M1234</x:f>
        <x:v>26</x:v>
      </x:c>
      <x:c r="N1234" s="24" t="n">
        <x:f>F1234+H1234</x:f>
        <x:v>34.92307692307693</x:v>
      </x:c>
      <x:c r="O1234" s="24" t="n">
        <x:f>J1234+L1234</x:f>
        <x:v>30.346153846153847</x:v>
      </x:c>
    </x:row>
    <x:row r="1235">
      <x:c r="A1235" s="22" t="str">
        <x:v>500109020</x:v>
      </x:c>
      <x:c r="B1235" s="17" t="str">
        <x:v>北投區</x:v>
      </x:c>
      <x:c r="C1235" s="17" t="str">
        <x:v>秀山區民活動中心</x:v>
      </x:c>
      <x:c r="D1235" s="18" t="n">
        <x:v>26</x:v>
      </x:c>
      <x:c r="E1235" s="18" t="n">
        <x:v>26</x:v>
      </x:c>
      <x:c r="F1235" s="24" t="n">
        <x:f>IFERROR('各站彙總來源'!F1235/'各站彙總來源'!G1235,"")</x:f>
        <x:v>10.384615384615385</x:v>
      </x:c>
      <x:c r="G1235" s="19" t="n">
        <x:f>'各站彙總來源'!G1235</x:f>
        <x:v>26</x:v>
      </x:c>
      <x:c r="H1235" s="24" t="n">
        <x:f>IFERROR('各站彙總來源'!H1235/'各站彙總來源'!I1235,"")</x:f>
        <x:v>5.3076923076923075</x:v>
      </x:c>
      <x:c r="I1235" s="19" t="n">
        <x:f>'各站彙總來源'!I1235</x:f>
        <x:v>26</x:v>
      </x:c>
      <x:c r="J1235" s="24" t="n">
        <x:f>IFERROR('各站彙總來源'!J1235/'各站彙總來源'!K1235,"")</x:f>
        <x:v>9.73076923076923</x:v>
      </x:c>
      <x:c r="K1235" s="19" t="n">
        <x:f>'各站彙總來源'!K1235</x:f>
        <x:v>26</x:v>
      </x:c>
      <x:c r="L1235" s="24" t="n">
        <x:f>IFERROR('各站彙總來源'!L1235/'各站彙總來源'!M1235,"")</x:f>
        <x:v>3.1153846153846154</x:v>
      </x:c>
      <x:c r="M1235" s="19" t="n">
        <x:f>'各站彙總來源'!M1235</x:f>
        <x:v>26</x:v>
      </x:c>
      <x:c r="N1235" s="24" t="n">
        <x:f>F1235+H1235</x:f>
        <x:v>15.692307692307693</x:v>
      </x:c>
      <x:c r="O1235" s="24" t="n">
        <x:f>J1235+L1235</x:f>
        <x:v>12.846153846153845</x:v>
      </x:c>
    </x:row>
    <x:row r="1236">
      <x:c r="A1236" s="22" t="str">
        <x:v>500109021</x:v>
      </x:c>
      <x:c r="B1236" s="17" t="str">
        <x:v>北投區</x:v>
      </x:c>
      <x:c r="C1236" s="17" t="str">
        <x:v>復興四中和街口</x:v>
      </x:c>
      <x:c r="D1236" s="18" t="n">
        <x:v>26</x:v>
      </x:c>
      <x:c r="E1236" s="18" t="n">
        <x:v>26</x:v>
      </x:c>
      <x:c r="F1236" s="24" t="n">
        <x:f>IFERROR('各站彙總來源'!F1236/'各站彙總來源'!G1236,"")</x:f>
        <x:v>0</x:v>
      </x:c>
      <x:c r="G1236" s="19" t="n">
        <x:f>'各站彙總來源'!G1236</x:f>
        <x:v>26</x:v>
      </x:c>
      <x:c r="H1236" s="24" t="n">
        <x:f>IFERROR('各站彙總來源'!H1236/'各站彙總來源'!I1236,"")</x:f>
        <x:v>0</x:v>
      </x:c>
      <x:c r="I1236" s="19" t="n">
        <x:f>'各站彙總來源'!I1236</x:f>
        <x:v>26</x:v>
      </x:c>
      <x:c r="J1236" s="24" t="n">
        <x:f>IFERROR('各站彙總來源'!J1236/'各站彙總來源'!K1236,"")</x:f>
        <x:v>0</x:v>
      </x:c>
      <x:c r="K1236" s="19" t="n">
        <x:f>'各站彙總來源'!K1236</x:f>
        <x:v>26</x:v>
      </x:c>
      <x:c r="L1236" s="24" t="n">
        <x:f>IFERROR('各站彙總來源'!L1236/'各站彙總來源'!M1236,"")</x:f>
        <x:v>0</x:v>
      </x:c>
      <x:c r="M1236" s="19" t="n">
        <x:f>'各站彙總來源'!M1236</x:f>
        <x:v>26</x:v>
      </x:c>
      <x:c r="N1236" s="24" t="n">
        <x:f>F1236+H1236</x:f>
        <x:v>0</x:v>
      </x:c>
      <x:c r="O1236" s="24" t="n">
        <x:f>J1236+L1236</x:f>
        <x:v>0</x:v>
      </x:c>
    </x:row>
    <x:row r="1237">
      <x:c r="A1237" s="22" t="str">
        <x:v>500109022</x:v>
      </x:c>
      <x:c r="B1237" s="17" t="str">
        <x:v>北投區</x:v>
      </x:c>
      <x:c r="C1237" s="17" t="str">
        <x:v>大業大同街口</x:v>
      </x:c>
      <x:c r="D1237" s="18" t="n">
        <x:v>26</x:v>
      </x:c>
      <x:c r="E1237" s="18" t="n">
        <x:v>26</x:v>
      </x:c>
      <x:c r="F1237" s="24" t="n">
        <x:f>IFERROR('各站彙總來源'!F1237/'各站彙總來源'!G1237,"")</x:f>
        <x:v>35.53846153846154</x:v>
      </x:c>
      <x:c r="G1237" s="19" t="n">
        <x:f>'各站彙總來源'!G1237</x:f>
        <x:v>26</x:v>
      </x:c>
      <x:c r="H1237" s="24" t="n">
        <x:f>IFERROR('各站彙總來源'!H1237/'各站彙總來源'!I1237,"")</x:f>
        <x:v>2.9615384615384617</x:v>
      </x:c>
      <x:c r="I1237" s="19" t="n">
        <x:f>'各站彙總來源'!I1237</x:f>
        <x:v>26</x:v>
      </x:c>
      <x:c r="J1237" s="24" t="n">
        <x:f>IFERROR('各站彙總來源'!J1237/'各站彙總來源'!K1237,"")</x:f>
        <x:v>6.230769230769231</x:v>
      </x:c>
      <x:c r="K1237" s="19" t="n">
        <x:f>'各站彙總來源'!K1237</x:f>
        <x:v>26</x:v>
      </x:c>
      <x:c r="L1237" s="24" t="n">
        <x:f>IFERROR('各站彙總來源'!L1237/'各站彙總來源'!M1237,"")</x:f>
        <x:v>1.3076923076923077</x:v>
      </x:c>
      <x:c r="M1237" s="19" t="n">
        <x:f>'各站彙總來源'!M1237</x:f>
        <x:v>26</x:v>
      </x:c>
      <x:c r="N1237" s="24" t="n">
        <x:f>F1237+H1237</x:f>
        <x:v>38.5</x:v>
      </x:c>
      <x:c r="O1237" s="24" t="n">
        <x:f>J1237+L1237</x:f>
        <x:v>7.538461538461538</x:v>
      </x:c>
    </x:row>
    <x:row r="1238">
      <x:c r="A1238" s="22" t="str">
        <x:v>500109023</x:v>
      </x:c>
      <x:c r="B1238" s="17" t="str">
        <x:v>北投區</x:v>
      </x:c>
      <x:c r="C1238" s="17" t="str">
        <x:v>捷運新北投站</x:v>
      </x:c>
      <x:c r="D1238" s="18" t="n">
        <x:v>26</x:v>
      </x:c>
      <x:c r="E1238" s="18" t="n">
        <x:v>26</x:v>
      </x:c>
      <x:c r="F1238" s="24" t="n">
        <x:f>IFERROR('各站彙總來源'!F1238/'各站彙總來源'!G1238,"")</x:f>
        <x:v>27.26923076923077</x:v>
      </x:c>
      <x:c r="G1238" s="19" t="n">
        <x:f>'各站彙總來源'!G1238</x:f>
        <x:v>26</x:v>
      </x:c>
      <x:c r="H1238" s="24" t="n">
        <x:f>IFERROR('各站彙總來源'!H1238/'各站彙總來源'!I1238,"")</x:f>
        <x:v>3.6153846153846154</x:v>
      </x:c>
      <x:c r="I1238" s="19" t="n">
        <x:f>'各站彙總來源'!I1238</x:f>
        <x:v>26</x:v>
      </x:c>
      <x:c r="J1238" s="24" t="n">
        <x:f>IFERROR('各站彙總來源'!J1238/'各站彙總來源'!K1238,"")</x:f>
        <x:v>22.23076923076923</x:v>
      </x:c>
      <x:c r="K1238" s="19" t="n">
        <x:f>'各站彙總來源'!K1238</x:f>
        <x:v>26</x:v>
      </x:c>
      <x:c r="L1238" s="24" t="n">
        <x:f>IFERROR('各站彙總來源'!L1238/'各站彙總來源'!M1238,"")</x:f>
        <x:v>9.038461538461538</x:v>
      </x:c>
      <x:c r="M1238" s="19" t="n">
        <x:f>'各站彙總來源'!M1238</x:f>
        <x:v>26</x:v>
      </x:c>
      <x:c r="N1238" s="24" t="n">
        <x:f>F1238+H1238</x:f>
        <x:v>30.884615384615387</x:v>
      </x:c>
      <x:c r="O1238" s="24" t="n">
        <x:f>J1238+L1238</x:f>
        <x:v>31.269230769230766</x:v>
      </x:c>
    </x:row>
    <x:row r="1239">
      <x:c r="A1239" s="22" t="str">
        <x:v>500109024</x:v>
      </x:c>
      <x:c r="B1239" s="17" t="str">
        <x:v>北投區</x:v>
      </x:c>
      <x:c r="C1239" s="17" t="str">
        <x:v>捷運北投站</x:v>
      </x:c>
      <x:c r="D1239" s="18" t="n">
        <x:v>26</x:v>
      </x:c>
      <x:c r="E1239" s="18" t="n">
        <x:v>26</x:v>
      </x:c>
      <x:c r="F1239" s="24" t="n">
        <x:f>IFERROR('各站彙總來源'!F1239/'各站彙總來源'!G1239,"")</x:f>
        <x:v>4.769230769230769</x:v>
      </x:c>
      <x:c r="G1239" s="19" t="n">
        <x:f>'各站彙總來源'!G1239</x:f>
        <x:v>26</x:v>
      </x:c>
      <x:c r="H1239" s="24" t="n">
        <x:f>IFERROR('各站彙總來源'!H1239/'各站彙總來源'!I1239,"")</x:f>
        <x:v>0.5</x:v>
      </x:c>
      <x:c r="I1239" s="19" t="n">
        <x:f>'各站彙總來源'!I1239</x:f>
        <x:v>26</x:v>
      </x:c>
      <x:c r="J1239" s="24" t="n">
        <x:f>IFERROR('各站彙總來源'!J1239/'各站彙總來源'!K1239,"")</x:f>
        <x:v>24.307692307692307</x:v>
      </x:c>
      <x:c r="K1239" s="19" t="n">
        <x:f>'各站彙總來源'!K1239</x:f>
        <x:v>26</x:v>
      </x:c>
      <x:c r="L1239" s="24" t="n">
        <x:f>IFERROR('各站彙總來源'!L1239/'各站彙總來源'!M1239,"")</x:f>
        <x:v>1.9230769230769231</x:v>
      </x:c>
      <x:c r="M1239" s="19" t="n">
        <x:f>'各站彙總來源'!M1239</x:f>
        <x:v>26</x:v>
      </x:c>
      <x:c r="N1239" s="24" t="n">
        <x:f>F1239+H1239</x:f>
        <x:v>5.269230769230769</x:v>
      </x:c>
      <x:c r="O1239" s="24" t="n">
        <x:f>J1239+L1239</x:f>
        <x:v>26.23076923076923</x:v>
      </x:c>
    </x:row>
    <x:row r="1240">
      <x:c r="A1240" s="22" t="str">
        <x:v>500109025</x:v>
      </x:c>
      <x:c r="B1240" s="17" t="str">
        <x:v>北投區</x:v>
      </x:c>
      <x:c r="C1240" s="17" t="str">
        <x:v>捷運奇岩站(三合街)</x:v>
      </x:c>
      <x:c r="D1240" s="18" t="n">
        <x:v>26</x:v>
      </x:c>
      <x:c r="E1240" s="18" t="n">
        <x:v>26</x:v>
      </x:c>
      <x:c r="F1240" s="24" t="n">
        <x:f>IFERROR('各站彙總來源'!F1240/'各站彙總來源'!G1240,"")</x:f>
        <x:v>17.73076923076923</x:v>
      </x:c>
      <x:c r="G1240" s="19" t="n">
        <x:f>'各站彙總來源'!G1240</x:f>
        <x:v>26</x:v>
      </x:c>
      <x:c r="H1240" s="24" t="n">
        <x:f>IFERROR('各站彙總來源'!H1240/'各站彙總來源'!I1240,"")</x:f>
        <x:v>2.8461538461538463</x:v>
      </x:c>
      <x:c r="I1240" s="19" t="n">
        <x:f>'各站彙總來源'!I1240</x:f>
        <x:v>26</x:v>
      </x:c>
      <x:c r="J1240" s="24" t="n">
        <x:f>IFERROR('各站彙總來源'!J1240/'各站彙總來源'!K1240,"")</x:f>
        <x:v>97.84615384615384</x:v>
      </x:c>
      <x:c r="K1240" s="19" t="n">
        <x:f>'各站彙總來源'!K1240</x:f>
        <x:v>26</x:v>
      </x:c>
      <x:c r="L1240" s="24" t="n">
        <x:f>IFERROR('各站彙總來源'!L1240/'各站彙總來源'!M1240,"")</x:f>
        <x:v>4.615384615384615</x:v>
      </x:c>
      <x:c r="M1240" s="19" t="n">
        <x:f>'各站彙總來源'!M1240</x:f>
        <x:v>26</x:v>
      </x:c>
      <x:c r="N1240" s="24" t="n">
        <x:f>F1240+H1240</x:f>
        <x:v>20.576923076923077</x:v>
      </x:c>
      <x:c r="O1240" s="24" t="n">
        <x:f>J1240+L1240</x:f>
        <x:v>102.46153846153845</x:v>
      </x:c>
    </x:row>
    <x:row r="1241">
      <x:c r="A1241" s="22" t="str">
        <x:v>500109026</x:v>
      </x:c>
      <x:c r="B1241" s="17" t="str">
        <x:v>北投區</x:v>
      </x:c>
      <x:c r="C1241" s="17" t="str">
        <x:v>八仙里辦公處</x:v>
      </x:c>
      <x:c r="D1241" s="18" t="n">
        <x:v>26</x:v>
      </x:c>
      <x:c r="E1241" s="18" t="n">
        <x:v>26</x:v>
      </x:c>
      <x:c r="F1241" s="24" t="n">
        <x:f>IFERROR('各站彙總來源'!F1241/'各站彙總來源'!G1241,"")</x:f>
        <x:v>0</x:v>
      </x:c>
      <x:c r="G1241" s="19" t="n">
        <x:f>'各站彙總來源'!G1241</x:f>
        <x:v>26</x:v>
      </x:c>
      <x:c r="H1241" s="24" t="n">
        <x:f>IFERROR('各站彙總來源'!H1241/'各站彙總來源'!I1241,"")</x:f>
        <x:v>0</x:v>
      </x:c>
      <x:c r="I1241" s="19" t="n">
        <x:f>'各站彙總來源'!I1241</x:f>
        <x:v>26</x:v>
      </x:c>
      <x:c r="J1241" s="24" t="n">
        <x:f>IFERROR('各站彙總來源'!J1241/'各站彙總來源'!K1241,"")</x:f>
        <x:v>0</x:v>
      </x:c>
      <x:c r="K1241" s="19" t="n">
        <x:f>'各站彙總來源'!K1241</x:f>
        <x:v>26</x:v>
      </x:c>
      <x:c r="L1241" s="24" t="n">
        <x:f>IFERROR('各站彙總來源'!L1241/'各站彙總來源'!M1241,"")</x:f>
        <x:v>0</x:v>
      </x:c>
      <x:c r="M1241" s="19" t="n">
        <x:f>'各站彙總來源'!M1241</x:f>
        <x:v>26</x:v>
      </x:c>
      <x:c r="N1241" s="24" t="n">
        <x:f>F1241+H1241</x:f>
        <x:v>0</x:v>
      </x:c>
      <x:c r="O1241" s="24" t="n">
        <x:f>J1241+L1241</x:f>
        <x:v>0</x:v>
      </x:c>
    </x:row>
    <x:row r="1242">
      <x:c r="A1242" s="22" t="str">
        <x:v>500109027</x:v>
      </x:c>
      <x:c r="B1242" s="17" t="str">
        <x:v>北投區</x:v>
      </x:c>
      <x:c r="C1242" s="17" t="str">
        <x:v>清江國小</x:v>
      </x:c>
      <x:c r="D1242" s="18" t="n">
        <x:v>26</x:v>
      </x:c>
      <x:c r="E1242" s="18" t="n">
        <x:v>26</x:v>
      </x:c>
      <x:c r="F1242" s="24" t="n">
        <x:f>IFERROR('各站彙總來源'!F1242/'各站彙總來源'!G1242,"")</x:f>
        <x:v>54.96153846153846</x:v>
      </x:c>
      <x:c r="G1242" s="19" t="n">
        <x:f>'各站彙總來源'!G1242</x:f>
        <x:v>26</x:v>
      </x:c>
      <x:c r="H1242" s="24" t="n">
        <x:f>IFERROR('各站彙總來源'!H1242/'各站彙總來源'!I1242,"")</x:f>
        <x:v>4.961538461538462</x:v>
      </x:c>
      <x:c r="I1242" s="19" t="n">
        <x:f>'各站彙總來源'!I1242</x:f>
        <x:v>26</x:v>
      </x:c>
      <x:c r="J1242" s="24" t="n">
        <x:f>IFERROR('各站彙總來源'!J1242/'各站彙總來源'!K1242,"")</x:f>
        <x:v>13.615384615384615</x:v>
      </x:c>
      <x:c r="K1242" s="19" t="n">
        <x:f>'各站彙總來源'!K1242</x:f>
        <x:v>26</x:v>
      </x:c>
      <x:c r="L1242" s="24" t="n">
        <x:f>IFERROR('各站彙總來源'!L1242/'各站彙總來源'!M1242,"")</x:f>
        <x:v>3.269230769230769</x:v>
      </x:c>
      <x:c r="M1242" s="19" t="n">
        <x:f>'各站彙總來源'!M1242</x:f>
        <x:v>26</x:v>
      </x:c>
      <x:c r="N1242" s="24" t="n">
        <x:f>F1242+H1242</x:f>
        <x:v>59.92307692307692</x:v>
      </x:c>
      <x:c r="O1242" s="24" t="n">
        <x:f>J1242+L1242</x:f>
        <x:v>16.884615384615383</x:v>
      </x:c>
    </x:row>
    <x:row r="1243">
      <x:c r="A1243" s="22" t="str">
        <x:v>500109028</x:v>
      </x:c>
      <x:c r="B1243" s="17" t="str">
        <x:v>北投區</x:v>
      </x:c>
      <x:c r="C1243" s="17" t="str">
        <x:v>大業路300巷口</x:v>
      </x:c>
      <x:c r="D1243" s="18" t="n">
        <x:v>26</x:v>
      </x:c>
      <x:c r="E1243" s="18" t="n">
        <x:v>26</x:v>
      </x:c>
      <x:c r="F1243" s="24" t="n">
        <x:f>IFERROR('各站彙總來源'!F1243/'各站彙總來源'!G1243,"")</x:f>
        <x:v>16.23076923076923</x:v>
      </x:c>
      <x:c r="G1243" s="19" t="n">
        <x:f>'各站彙總來源'!G1243</x:f>
        <x:v>26</x:v>
      </x:c>
      <x:c r="H1243" s="24" t="n">
        <x:f>IFERROR('各站彙總來源'!H1243/'各站彙總來源'!I1243,"")</x:f>
        <x:v>2.5</x:v>
      </x:c>
      <x:c r="I1243" s="19" t="n">
        <x:f>'各站彙總來源'!I1243</x:f>
        <x:v>26</x:v>
      </x:c>
      <x:c r="J1243" s="24" t="n">
        <x:f>IFERROR('各站彙總來源'!J1243/'各站彙總來源'!K1243,"")</x:f>
        <x:v>14.461538461538462</x:v>
      </x:c>
      <x:c r="K1243" s="19" t="n">
        <x:f>'各站彙總來源'!K1243</x:f>
        <x:v>26</x:v>
      </x:c>
      <x:c r="L1243" s="24" t="n">
        <x:f>IFERROR('各站彙總來源'!L1243/'各站彙總來源'!M1243,"")</x:f>
        <x:v>2.3846153846153846</x:v>
      </x:c>
      <x:c r="M1243" s="19" t="n">
        <x:f>'各站彙總來源'!M1243</x:f>
        <x:v>26</x:v>
      </x:c>
      <x:c r="N1243" s="24" t="n">
        <x:f>F1243+H1243</x:f>
        <x:v>18.73076923076923</x:v>
      </x:c>
      <x:c r="O1243" s="24" t="n">
        <x:f>J1243+L1243</x:f>
        <x:v>16.846153846153847</x:v>
      </x:c>
    </x:row>
    <x:row r="1244">
      <x:c r="A1244" s="22" t="str">
        <x:v>500109029</x:v>
      </x:c>
      <x:c r="B1244" s="17" t="str">
        <x:v>北投區</x:v>
      </x:c>
      <x:c r="C1244" s="17" t="str">
        <x:v>立農公園</x:v>
      </x:c>
      <x:c r="D1244" s="18" t="n">
        <x:v>26</x:v>
      </x:c>
      <x:c r="E1244" s="18" t="n">
        <x:v>26</x:v>
      </x:c>
      <x:c r="F1244" s="24" t="n">
        <x:f>IFERROR('各站彙總來源'!F1244/'各站彙總來源'!G1244,"")</x:f>
        <x:v>11.5</x:v>
      </x:c>
      <x:c r="G1244" s="19" t="n">
        <x:f>'各站彙總來源'!G1244</x:f>
        <x:v>26</x:v>
      </x:c>
      <x:c r="H1244" s="24" t="n">
        <x:f>IFERROR('各站彙總來源'!H1244/'各站彙總來源'!I1244,"")</x:f>
        <x:v>1.3076923076923077</x:v>
      </x:c>
      <x:c r="I1244" s="19" t="n">
        <x:f>'各站彙總來源'!I1244</x:f>
        <x:v>26</x:v>
      </x:c>
      <x:c r="J1244" s="24" t="n">
        <x:f>IFERROR('各站彙總來源'!J1244/'各站彙總來源'!K1244,"")</x:f>
        <x:v>7.923076923076923</x:v>
      </x:c>
      <x:c r="K1244" s="19" t="n">
        <x:f>'各站彙總來源'!K1244</x:f>
        <x:v>26</x:v>
      </x:c>
      <x:c r="L1244" s="24" t="n">
        <x:f>IFERROR('各站彙總來源'!L1244/'各站彙總來源'!M1244,"")</x:f>
        <x:v>1.3076923076923077</x:v>
      </x:c>
      <x:c r="M1244" s="19" t="n">
        <x:f>'各站彙總來源'!M1244</x:f>
        <x:v>26</x:v>
      </x:c>
      <x:c r="N1244" s="24" t="n">
        <x:f>F1244+H1244</x:f>
        <x:v>12.807692307692308</x:v>
      </x:c>
      <x:c r="O1244" s="24" t="n">
        <x:f>J1244+L1244</x:f>
        <x:v>9.230769230769232</x:v>
      </x:c>
    </x:row>
    <x:row r="1245">
      <x:c r="A1245" s="22" t="str">
        <x:v>500109030</x:v>
      </x:c>
      <x:c r="B1245" s="17" t="str">
        <x:v>北投區</x:v>
      </x:c>
      <x:c r="C1245" s="17" t="str">
        <x:v>北投奇岩長青樂活大樓</x:v>
      </x:c>
      <x:c r="D1245" s="18" t="n">
        <x:v>26</x:v>
      </x:c>
      <x:c r="E1245" s="18" t="n">
        <x:v>26</x:v>
      </x:c>
      <x:c r="F1245" s="24" t="n">
        <x:f>IFERROR('各站彙總來源'!F1245/'各站彙總來源'!G1245,"")</x:f>
        <x:v>9.153846153846153</x:v>
      </x:c>
      <x:c r="G1245" s="19" t="n">
        <x:f>'各站彙總來源'!G1245</x:f>
        <x:v>26</x:v>
      </x:c>
      <x:c r="H1245" s="24" t="n">
        <x:f>IFERROR('各站彙總來源'!H1245/'各站彙總來源'!I1245,"")</x:f>
        <x:v>2.269230769230769</x:v>
      </x:c>
      <x:c r="I1245" s="19" t="n">
        <x:f>'各站彙總來源'!I1245</x:f>
        <x:v>26</x:v>
      </x:c>
      <x:c r="J1245" s="24" t="n">
        <x:f>IFERROR('各站彙總來源'!J1245/'各站彙總來源'!K1245,"")</x:f>
        <x:v>7.230769230769231</x:v>
      </x:c>
      <x:c r="K1245" s="19" t="n">
        <x:f>'各站彙總來源'!K1245</x:f>
        <x:v>26</x:v>
      </x:c>
      <x:c r="L1245" s="24" t="n">
        <x:f>IFERROR('各站彙總來源'!L1245/'各站彙總來源'!M1245,"")</x:f>
        <x:v>2.3461538461538463</x:v>
      </x:c>
      <x:c r="M1245" s="19" t="n">
        <x:f>'各站彙總來源'!M1245</x:f>
        <x:v>26</x:v>
      </x:c>
      <x:c r="N1245" s="24" t="n">
        <x:f>F1245+H1245</x:f>
        <x:v>11.423076923076923</x:v>
      </x:c>
      <x:c r="O1245" s="24" t="n">
        <x:f>J1245+L1245</x:f>
        <x:v>9.576923076923077</x:v>
      </x:c>
    </x:row>
    <x:row r="1246">
      <x:c r="A1246" s="22" t="str">
        <x:v>500109031</x:v>
      </x:c>
      <x:c r="B1246" s="17" t="str">
        <x:v>北投區</x:v>
      </x:c>
      <x:c r="C1246" s="17" t="str">
        <x:v>捷運唭哩岸站(2號出口)</x:v>
      </x:c>
      <x:c r="D1246" s="18" t="n">
        <x:v>26</x:v>
      </x:c>
      <x:c r="E1246" s="18" t="n">
        <x:v>26</x:v>
      </x:c>
      <x:c r="F1246" s="24" t="n">
        <x:f>IFERROR('各站彙總來源'!F1246/'各站彙總來源'!G1246,"")</x:f>
        <x:v>18.923076923076923</x:v>
      </x:c>
      <x:c r="G1246" s="19" t="n">
        <x:f>'各站彙總來源'!G1246</x:f>
        <x:v>26</x:v>
      </x:c>
      <x:c r="H1246" s="24" t="n">
        <x:f>IFERROR('各站彙總來源'!H1246/'各站彙總來源'!I1246,"")</x:f>
        <x:v>3.8076923076923075</x:v>
      </x:c>
      <x:c r="I1246" s="19" t="n">
        <x:f>'各站彙總來源'!I1246</x:f>
        <x:v>26</x:v>
      </x:c>
      <x:c r="J1246" s="24" t="n">
        <x:f>IFERROR('各站彙總來源'!J1246/'各站彙總來源'!K1246,"")</x:f>
        <x:v>20.692307692307693</x:v>
      </x:c>
      <x:c r="K1246" s="19" t="n">
        <x:f>'各站彙總來源'!K1246</x:f>
        <x:v>26</x:v>
      </x:c>
      <x:c r="L1246" s="24" t="n">
        <x:f>IFERROR('各站彙總來源'!L1246/'各站彙總來源'!M1246,"")</x:f>
        <x:v>1.6923076923076923</x:v>
      </x:c>
      <x:c r="M1246" s="19" t="n">
        <x:f>'各站彙總來源'!M1246</x:f>
        <x:v>26</x:v>
      </x:c>
      <x:c r="N1246" s="24" t="n">
        <x:f>F1246+H1246</x:f>
        <x:v>22.73076923076923</x:v>
      </x:c>
      <x:c r="O1246" s="24" t="n">
        <x:f>J1246+L1246</x:f>
        <x:v>22.384615384615387</x:v>
      </x:c>
    </x:row>
    <x:row r="1247">
      <x:c r="A1247" s="22" t="str">
        <x:v>500109032</x:v>
      </x:c>
      <x:c r="B1247" s="17" t="str">
        <x:v>北投區</x:v>
      </x:c>
      <x:c r="C1247" s="17" t="str">
        <x:v>北投運動中心</x:v>
      </x:c>
      <x:c r="D1247" s="18" t="n">
        <x:v>26</x:v>
      </x:c>
      <x:c r="E1247" s="18" t="n">
        <x:v>26</x:v>
      </x:c>
      <x:c r="F1247" s="24" t="n">
        <x:f>IFERROR('各站彙總來源'!F1247/'各站彙總來源'!G1247,"")</x:f>
        <x:v>65.6923076923077</x:v>
      </x:c>
      <x:c r="G1247" s="19" t="n">
        <x:f>'各站彙總來源'!G1247</x:f>
        <x:v>26</x:v>
      </x:c>
      <x:c r="H1247" s="24" t="n">
        <x:f>IFERROR('各站彙總來源'!H1247/'各站彙總來源'!I1247,"")</x:f>
        <x:v>6</x:v>
      </x:c>
      <x:c r="I1247" s="19" t="n">
        <x:f>'各站彙總來源'!I1247</x:f>
        <x:v>26</x:v>
      </x:c>
      <x:c r="J1247" s="24" t="n">
        <x:f>IFERROR('各站彙總來源'!J1247/'各站彙總來源'!K1247,"")</x:f>
        <x:v>12.192307692307692</x:v>
      </x:c>
      <x:c r="K1247" s="19" t="n">
        <x:f>'各站彙總來源'!K1247</x:f>
        <x:v>26</x:v>
      </x:c>
      <x:c r="L1247" s="24" t="n">
        <x:f>IFERROR('各站彙總來源'!L1247/'各站彙總來源'!M1247,"")</x:f>
        <x:v>4.346153846153846</x:v>
      </x:c>
      <x:c r="M1247" s="19" t="n">
        <x:f>'各站彙總來源'!M1247</x:f>
        <x:v>26</x:v>
      </x:c>
      <x:c r="N1247" s="24" t="n">
        <x:f>F1247+H1247</x:f>
        <x:v>71.6923076923077</x:v>
      </x:c>
      <x:c r="O1247" s="24" t="n">
        <x:f>J1247+L1247</x:f>
        <x:v>16.538461538461537</x:v>
      </x:c>
    </x:row>
    <x:row r="1248">
      <x:c r="A1248" s="22" t="str">
        <x:v>500109033</x:v>
      </x:c>
      <x:c r="B1248" s="17" t="str">
        <x:v>北投區</x:v>
      </x:c>
      <x:c r="C1248" s="17" t="str">
        <x:v>陽明大學</x:v>
      </x:c>
      <x:c r="D1248" s="18" t="n">
        <x:v>26</x:v>
      </x:c>
      <x:c r="E1248" s="18" t="n">
        <x:v>26</x:v>
      </x:c>
      <x:c r="F1248" s="24" t="n">
        <x:f>IFERROR('各站彙總來源'!F1248/'各站彙總來源'!G1248,"")</x:f>
        <x:v>21.076923076923077</x:v>
      </x:c>
      <x:c r="G1248" s="19" t="n">
        <x:f>'各站彙總來源'!G1248</x:f>
        <x:v>26</x:v>
      </x:c>
      <x:c r="H1248" s="24" t="n">
        <x:f>IFERROR('各站彙總來源'!H1248/'各站彙總來源'!I1248,"")</x:f>
        <x:v>2.6538461538461537</x:v>
      </x:c>
      <x:c r="I1248" s="19" t="n">
        <x:f>'各站彙總來源'!I1248</x:f>
        <x:v>26</x:v>
      </x:c>
      <x:c r="J1248" s="24" t="n">
        <x:f>IFERROR('各站彙總來源'!J1248/'各站彙總來源'!K1248,"")</x:f>
        <x:v>7.653846153846154</x:v>
      </x:c>
      <x:c r="K1248" s="19" t="n">
        <x:f>'各站彙總來源'!K1248</x:f>
        <x:v>26</x:v>
      </x:c>
      <x:c r="L1248" s="24" t="n">
        <x:f>IFERROR('各站彙總來源'!L1248/'各站彙總來源'!M1248,"")</x:f>
        <x:v>1.5</x:v>
      </x:c>
      <x:c r="M1248" s="19" t="n">
        <x:f>'各站彙總來源'!M1248</x:f>
        <x:v>26</x:v>
      </x:c>
      <x:c r="N1248" s="24" t="n">
        <x:f>F1248+H1248</x:f>
        <x:v>23.73076923076923</x:v>
      </x:c>
      <x:c r="O1248" s="24" t="n">
        <x:f>J1248+L1248</x:f>
        <x:v>9.153846153846153</x:v>
      </x:c>
    </x:row>
    <x:row r="1249">
      <x:c r="A1249" s="22" t="str">
        <x:v>500109034</x:v>
      </x:c>
      <x:c r="B1249" s="17" t="str">
        <x:v>北投區</x:v>
      </x:c>
      <x:c r="C1249" s="17" t="str">
        <x:v>捷運石牌站(2號出口)</x:v>
      </x:c>
      <x:c r="D1249" s="18" t="n">
        <x:v>26</x:v>
      </x:c>
      <x:c r="E1249" s="18" t="n">
        <x:v>26</x:v>
      </x:c>
      <x:c r="F1249" s="24" t="n">
        <x:f>IFERROR('各站彙總來源'!F1249/'各站彙總來源'!G1249,"")</x:f>
        <x:v>27.115384615384617</x:v>
      </x:c>
      <x:c r="G1249" s="19" t="n">
        <x:f>'各站彙總來源'!G1249</x:f>
        <x:v>26</x:v>
      </x:c>
      <x:c r="H1249" s="24" t="n">
        <x:f>IFERROR('各站彙總來源'!H1249/'各站彙總來源'!I1249,"")</x:f>
        <x:v>4.153846153846154</x:v>
      </x:c>
      <x:c r="I1249" s="19" t="n">
        <x:f>'各站彙總來源'!I1249</x:f>
        <x:v>26</x:v>
      </x:c>
      <x:c r="J1249" s="24" t="n">
        <x:f>IFERROR('各站彙總來源'!J1249/'各站彙總來源'!K1249,"")</x:f>
        <x:v>20</x:v>
      </x:c>
      <x:c r="K1249" s="19" t="n">
        <x:f>'各站彙總來源'!K1249</x:f>
        <x:v>26</x:v>
      </x:c>
      <x:c r="L1249" s="24" t="n">
        <x:f>IFERROR('各站彙總來源'!L1249/'各站彙總來源'!M1249,"")</x:f>
        <x:v>2.923076923076923</x:v>
      </x:c>
      <x:c r="M1249" s="19" t="n">
        <x:f>'各站彙總來源'!M1249</x:f>
        <x:v>26</x:v>
      </x:c>
      <x:c r="N1249" s="24" t="n">
        <x:f>F1249+H1249</x:f>
        <x:v>31.26923076923077</x:v>
      </x:c>
      <x:c r="O1249" s="24" t="n">
        <x:f>J1249+L1249</x:f>
        <x:v>22.923076923076923</x:v>
      </x:c>
    </x:row>
    <x:row r="1250">
      <x:c r="A1250" s="22" t="str">
        <x:v>500109035</x:v>
      </x:c>
      <x:c r="B1250" s="17" t="str">
        <x:v>北投區</x:v>
      </x:c>
      <x:c r="C1250" s="17" t="str">
        <x:v>台北護理大學</x:v>
      </x:c>
      <x:c r="D1250" s="18" t="n">
        <x:v>26</x:v>
      </x:c>
      <x:c r="E1250" s="18" t="n">
        <x:v>26</x:v>
      </x:c>
      <x:c r="F1250" s="24" t="n">
        <x:f>IFERROR('各站彙總來源'!F1250/'各站彙總來源'!G1250,"")</x:f>
        <x:v>3.9615384615384617</x:v>
      </x:c>
      <x:c r="G1250" s="19" t="n">
        <x:f>'各站彙總來源'!G1250</x:f>
        <x:v>26</x:v>
      </x:c>
      <x:c r="H1250" s="24" t="n">
        <x:f>IFERROR('各站彙總來源'!H1250/'各站彙總來源'!I1250,"")</x:f>
        <x:v>0.8461538461538461</x:v>
      </x:c>
      <x:c r="I1250" s="19" t="n">
        <x:f>'各站彙總來源'!I1250</x:f>
        <x:v>26</x:v>
      </x:c>
      <x:c r="J1250" s="24" t="n">
        <x:f>IFERROR('各站彙總來源'!J1250/'各站彙總來源'!K1250,"")</x:f>
        <x:v>24.423076923076923</x:v>
      </x:c>
      <x:c r="K1250" s="19" t="n">
        <x:f>'各站彙總來源'!K1250</x:f>
        <x:v>26</x:v>
      </x:c>
      <x:c r="L1250" s="24" t="n">
        <x:f>IFERROR('各站彙總來源'!L1250/'各站彙總來源'!M1250,"")</x:f>
        <x:v>2.923076923076923</x:v>
      </x:c>
      <x:c r="M1250" s="19" t="n">
        <x:f>'各站彙總來源'!M1250</x:f>
        <x:v>26</x:v>
      </x:c>
      <x:c r="N1250" s="24" t="n">
        <x:f>F1250+H1250</x:f>
        <x:v>4.8076923076923075</x:v>
      </x:c>
      <x:c r="O1250" s="24" t="n">
        <x:f>J1250+L1250</x:f>
        <x:v>27.346153846153847</x:v>
      </x:c>
    </x:row>
    <x:row r="1251">
      <x:c r="A1251" s="22" t="str">
        <x:v>500109036</x:v>
      </x:c>
      <x:c r="B1251" s="17" t="str">
        <x:v>北投區</x:v>
      </x:c>
      <x:c r="C1251" s="17" t="str">
        <x:v>捷運石牌站(1號出口)</x:v>
      </x:c>
      <x:c r="D1251" s="18" t="n">
        <x:v>26</x:v>
      </x:c>
      <x:c r="E1251" s="18" t="n">
        <x:v>26</x:v>
      </x:c>
      <x:c r="F1251" s="24" t="n">
        <x:f>IFERROR('各站彙總來源'!F1251/'各站彙總來源'!G1251,"")</x:f>
        <x:v>7.423076923076923</x:v>
      </x:c>
      <x:c r="G1251" s="19" t="n">
        <x:f>'各站彙總來源'!G1251</x:f>
        <x:v>26</x:v>
      </x:c>
      <x:c r="H1251" s="24" t="n">
        <x:f>IFERROR('各站彙總來源'!H1251/'各站彙總來源'!I1251,"")</x:f>
        <x:v>1.4230769230769231</x:v>
      </x:c>
      <x:c r="I1251" s="19" t="n">
        <x:f>'各站彙總來源'!I1251</x:f>
        <x:v>26</x:v>
      </x:c>
      <x:c r="J1251" s="24" t="n">
        <x:f>IFERROR('各站彙總來源'!J1251/'各站彙總來源'!K1251,"")</x:f>
        <x:v>21.96153846153846</x:v>
      </x:c>
      <x:c r="K1251" s="19" t="n">
        <x:f>'各站彙總來源'!K1251</x:f>
        <x:v>26</x:v>
      </x:c>
      <x:c r="L1251" s="24" t="n">
        <x:f>IFERROR('各站彙總來源'!L1251/'各站彙總來源'!M1251,"")</x:f>
        <x:v>2.923076923076923</x:v>
      </x:c>
      <x:c r="M1251" s="19" t="n">
        <x:f>'各站彙總來源'!M1251</x:f>
        <x:v>26</x:v>
      </x:c>
      <x:c r="N1251" s="24" t="n">
        <x:f>F1251+H1251</x:f>
        <x:v>8.846153846153847</x:v>
      </x:c>
      <x:c r="O1251" s="24" t="n">
        <x:f>J1251+L1251</x:f>
        <x:v>24.884615384615383</x:v>
      </x:c>
    </x:row>
    <x:row r="1252">
      <x:c r="A1252" s="22" t="str">
        <x:v>500109037</x:v>
      </x:c>
      <x:c r="B1252" s="17" t="str">
        <x:v>北投區</x:v>
      </x:c>
      <x:c r="C1252" s="17" t="str">
        <x:v>振興醫院</x:v>
      </x:c>
      <x:c r="D1252" s="18" t="n">
        <x:v>26</x:v>
      </x:c>
      <x:c r="E1252" s="18" t="n">
        <x:v>26</x:v>
      </x:c>
      <x:c r="F1252" s="24" t="n">
        <x:f>IFERROR('各站彙總來源'!F1252/'各站彙總來源'!G1252,"")</x:f>
        <x:v>4.346153846153846</x:v>
      </x:c>
      <x:c r="G1252" s="19" t="n">
        <x:f>'各站彙總來源'!G1252</x:f>
        <x:v>26</x:v>
      </x:c>
      <x:c r="H1252" s="24" t="n">
        <x:f>IFERROR('各站彙總來源'!H1252/'各站彙總來源'!I1252,"")</x:f>
        <x:v>1.9615384615384615</x:v>
      </x:c>
      <x:c r="I1252" s="19" t="n">
        <x:f>'各站彙總來源'!I1252</x:f>
        <x:v>26</x:v>
      </x:c>
      <x:c r="J1252" s="24" t="n">
        <x:f>IFERROR('各站彙總來源'!J1252/'各站彙總來源'!K1252,"")</x:f>
        <x:v>24.46153846153846</x:v>
      </x:c>
      <x:c r="K1252" s="19" t="n">
        <x:f>'各站彙總來源'!K1252</x:f>
        <x:v>26</x:v>
      </x:c>
      <x:c r="L1252" s="24" t="n">
        <x:f>IFERROR('各站彙總來源'!L1252/'各站彙總來源'!M1252,"")</x:f>
        <x:v>5.923076923076923</x:v>
      </x:c>
      <x:c r="M1252" s="19" t="n">
        <x:f>'各站彙總來源'!M1252</x:f>
        <x:v>26</x:v>
      </x:c>
      <x:c r="N1252" s="24" t="n">
        <x:f>F1252+H1252</x:f>
        <x:v>6.3076923076923075</x:v>
      </x:c>
      <x:c r="O1252" s="24" t="n">
        <x:f>J1252+L1252</x:f>
        <x:v>30.384615384615383</x:v>
      </x:c>
    </x:row>
    <x:row r="1253">
      <x:c r="A1253" s="22" t="str">
        <x:v>500109038</x:v>
      </x:c>
      <x:c r="B1253" s="17" t="str">
        <x:v>北投區</x:v>
      </x:c>
      <x:c r="C1253" s="17" t="str">
        <x:v>臺北榮民總醫院</x:v>
      </x:c>
      <x:c r="D1253" s="18" t="n">
        <x:v>26</x:v>
      </x:c>
      <x:c r="E1253" s="18" t="n">
        <x:v>26</x:v>
      </x:c>
      <x:c r="F1253" s="24" t="n">
        <x:f>IFERROR('各站彙總來源'!F1253/'各站彙總來源'!G1253,"")</x:f>
        <x:v>0</x:v>
      </x:c>
      <x:c r="G1253" s="19" t="n">
        <x:f>'各站彙總來源'!G1253</x:f>
        <x:v>26</x:v>
      </x:c>
      <x:c r="H1253" s="24" t="n">
        <x:f>IFERROR('各站彙總來源'!H1253/'各站彙總來源'!I1253,"")</x:f>
        <x:v>0</x:v>
      </x:c>
      <x:c r="I1253" s="19" t="n">
        <x:f>'各站彙總來源'!I1253</x:f>
        <x:v>26</x:v>
      </x:c>
      <x:c r="J1253" s="24" t="n">
        <x:f>IFERROR('各站彙總來源'!J1253/'各站彙總來源'!K1253,"")</x:f>
        <x:v>0</x:v>
      </x:c>
      <x:c r="K1253" s="19" t="n">
        <x:f>'各站彙總來源'!K1253</x:f>
        <x:v>26</x:v>
      </x:c>
      <x:c r="L1253" s="24" t="n">
        <x:f>IFERROR('各站彙總來源'!L1253/'各站彙總來源'!M1253,"")</x:f>
        <x:v>0</x:v>
      </x:c>
      <x:c r="M1253" s="19" t="n">
        <x:f>'各站彙總來源'!M1253</x:f>
        <x:v>26</x:v>
      </x:c>
      <x:c r="N1253" s="24" t="n">
        <x:f>F1253+H1253</x:f>
        <x:v>0</x:v>
      </x:c>
      <x:c r="O1253" s="24" t="n">
        <x:f>J1253+L1253</x:f>
        <x:v>0</x:v>
      </x:c>
    </x:row>
    <x:row r="1254">
      <x:c r="A1254" s="22" t="str">
        <x:v>500109039</x:v>
      </x:c>
      <x:c r="B1254" s="17" t="str">
        <x:v>北投區</x:v>
      </x:c>
      <x:c r="C1254" s="17" t="str">
        <x:v>石牌國小</x:v>
      </x:c>
      <x:c r="D1254" s="18" t="n">
        <x:v>26</x:v>
      </x:c>
      <x:c r="E1254" s="18" t="n">
        <x:v>26</x:v>
      </x:c>
      <x:c r="F1254" s="24" t="n">
        <x:f>IFERROR('各站彙總來源'!F1254/'各站彙總來源'!G1254,"")</x:f>
        <x:v>10.346153846153847</x:v>
      </x:c>
      <x:c r="G1254" s="19" t="n">
        <x:f>'各站彙總來源'!G1254</x:f>
        <x:v>26</x:v>
      </x:c>
      <x:c r="H1254" s="24" t="n">
        <x:f>IFERROR('各站彙總來源'!H1254/'各站彙總來源'!I1254,"")</x:f>
        <x:v>1.3461538461538463</x:v>
      </x:c>
      <x:c r="I1254" s="19" t="n">
        <x:f>'各站彙總來源'!I1254</x:f>
        <x:v>26</x:v>
      </x:c>
      <x:c r="J1254" s="24" t="n">
        <x:f>IFERROR('各站彙總來源'!J1254/'各站彙總來源'!K1254,"")</x:f>
        <x:v>16.76923076923077</x:v>
      </x:c>
      <x:c r="K1254" s="19" t="n">
        <x:f>'各站彙總來源'!K1254</x:f>
        <x:v>26</x:v>
      </x:c>
      <x:c r="L1254" s="24" t="n">
        <x:f>IFERROR('各站彙總來源'!L1254/'各站彙總來源'!M1254,"")</x:f>
        <x:v>1.5769230769230769</x:v>
      </x:c>
      <x:c r="M1254" s="19" t="n">
        <x:f>'各站彙總來源'!M1254</x:f>
        <x:v>26</x:v>
      </x:c>
      <x:c r="N1254" s="24" t="n">
        <x:f>F1254+H1254</x:f>
        <x:v>11.692307692307693</x:v>
      </x:c>
      <x:c r="O1254" s="24" t="n">
        <x:f>J1254+L1254</x:f>
        <x:v>18.346153846153847</x:v>
      </x:c>
    </x:row>
    <x:row r="1255">
      <x:c r="A1255" s="22" t="str">
        <x:v>500109040</x:v>
      </x:c>
      <x:c r="B1255" s="17" t="str">
        <x:v>北投區</x:v>
      </x:c>
      <x:c r="C1255" s="17" t="str">
        <x:v>振興公園</x:v>
      </x:c>
      <x:c r="D1255" s="18" t="n">
        <x:v>26</x:v>
      </x:c>
      <x:c r="E1255" s="18" t="n">
        <x:v>26</x:v>
      </x:c>
      <x:c r="F1255" s="24" t="n">
        <x:f>IFERROR('各站彙總來源'!F1255/'各站彙總來源'!G1255,"")</x:f>
        <x:v>3.0384615384615383</x:v>
      </x:c>
      <x:c r="G1255" s="19" t="n">
        <x:f>'各站彙總來源'!G1255</x:f>
        <x:v>26</x:v>
      </x:c>
      <x:c r="H1255" s="24" t="n">
        <x:f>IFERROR('各站彙總來源'!H1255/'各站彙總來源'!I1255,"")</x:f>
        <x:v>1.3076923076923077</x:v>
      </x:c>
      <x:c r="I1255" s="19" t="n">
        <x:f>'各站彙總來源'!I1255</x:f>
        <x:v>26</x:v>
      </x:c>
      <x:c r="J1255" s="24" t="n">
        <x:f>IFERROR('各站彙總來源'!J1255/'各站彙總來源'!K1255,"")</x:f>
        <x:v>5.1923076923076925</x:v>
      </x:c>
      <x:c r="K1255" s="19" t="n">
        <x:f>'各站彙總來源'!K1255</x:f>
        <x:v>26</x:v>
      </x:c>
      <x:c r="L1255" s="24" t="n">
        <x:f>IFERROR('各站彙總來源'!L1255/'各站彙總來源'!M1255,"")</x:f>
        <x:v>3.076923076923077</x:v>
      </x:c>
      <x:c r="M1255" s="19" t="n">
        <x:f>'各站彙總來源'!M1255</x:f>
        <x:v>26</x:v>
      </x:c>
      <x:c r="N1255" s="24" t="n">
        <x:f>F1255+H1255</x:f>
        <x:v>4.346153846153846</x:v>
      </x:c>
      <x:c r="O1255" s="24" t="n">
        <x:f>J1255+L1255</x:f>
        <x:v>8.26923076923077</x:v>
      </x:c>
    </x:row>
    <x:row r="1256">
      <x:c r="A1256" s="22" t="str">
        <x:v>500109041</x:v>
      </x:c>
      <x:c r="B1256" s="17" t="str">
        <x:v>北投區</x:v>
      </x:c>
      <x:c r="C1256" s="17" t="str">
        <x:v>立農國小</x:v>
      </x:c>
      <x:c r="D1256" s="18" t="n">
        <x:v>26</x:v>
      </x:c>
      <x:c r="E1256" s="18" t="n">
        <x:v>26</x:v>
      </x:c>
      <x:c r="F1256" s="24" t="n">
        <x:f>IFERROR('各站彙總來源'!F1256/'各站彙總來源'!G1256,"")</x:f>
        <x:v>12</x:v>
      </x:c>
      <x:c r="G1256" s="19" t="n">
        <x:f>'各站彙總來源'!G1256</x:f>
        <x:v>26</x:v>
      </x:c>
      <x:c r="H1256" s="24" t="n">
        <x:f>IFERROR('各站彙總來源'!H1256/'各站彙總來源'!I1256,"")</x:f>
        <x:v>2.1538461538461537</x:v>
      </x:c>
      <x:c r="I1256" s="19" t="n">
        <x:f>'各站彙總來源'!I1256</x:f>
        <x:v>26</x:v>
      </x:c>
      <x:c r="J1256" s="24" t="n">
        <x:f>IFERROR('各站彙總來源'!J1256/'各站彙總來源'!K1256,"")</x:f>
        <x:v>7.038461538461538</x:v>
      </x:c>
      <x:c r="K1256" s="19" t="n">
        <x:f>'各站彙總來源'!K1256</x:f>
        <x:v>26</x:v>
      </x:c>
      <x:c r="L1256" s="24" t="n">
        <x:f>IFERROR('各站彙總來源'!L1256/'各站彙總來源'!M1256,"")</x:f>
        <x:v>0.9230769230769231</x:v>
      </x:c>
      <x:c r="M1256" s="19" t="n">
        <x:f>'各站彙總來源'!M1256</x:f>
        <x:v>26</x:v>
      </x:c>
      <x:c r="N1256" s="24" t="n">
        <x:f>F1256+H1256</x:f>
        <x:v>14.153846153846153</x:v>
      </x:c>
      <x:c r="O1256" s="24" t="n">
        <x:f>J1256+L1256</x:f>
        <x:v>7.961538461538462</x:v>
      </x:c>
    </x:row>
    <x:row r="1257">
      <x:c r="A1257" s="22" t="str">
        <x:v>500109042</x:v>
      </x:c>
      <x:c r="B1257" s="17" t="str">
        <x:v>北投區</x:v>
      </x:c>
      <x:c r="C1257" s="17" t="str">
        <x:v>承德路七段280巷口</x:v>
      </x:c>
      <x:c r="D1257" s="18" t="n">
        <x:v>26</x:v>
      </x:c>
      <x:c r="E1257" s="18" t="n">
        <x:v>26</x:v>
      </x:c>
      <x:c r="F1257" s="24" t="n">
        <x:f>IFERROR('各站彙總來源'!F1257/'各站彙總來源'!G1257,"")</x:f>
        <x:v>16.576923076923077</x:v>
      </x:c>
      <x:c r="G1257" s="19" t="n">
        <x:f>'各站彙總來源'!G1257</x:f>
        <x:v>26</x:v>
      </x:c>
      <x:c r="H1257" s="24" t="n">
        <x:f>IFERROR('各站彙總來源'!H1257/'各站彙總來源'!I1257,"")</x:f>
        <x:v>2.076923076923077</x:v>
      </x:c>
      <x:c r="I1257" s="19" t="n">
        <x:f>'各站彙總來源'!I1257</x:f>
        <x:v>26</x:v>
      </x:c>
      <x:c r="J1257" s="24" t="n">
        <x:f>IFERROR('各站彙總來源'!J1257/'各站彙總來源'!K1257,"")</x:f>
        <x:v>5.615384615384615</x:v>
      </x:c>
      <x:c r="K1257" s="19" t="n">
        <x:f>'各站彙總來源'!K1257</x:f>
        <x:v>26</x:v>
      </x:c>
      <x:c r="L1257" s="24" t="n">
        <x:f>IFERROR('各站彙總來源'!L1257/'各站彙總來源'!M1257,"")</x:f>
        <x:v>0.9615384615384616</x:v>
      </x:c>
      <x:c r="M1257" s="19" t="n">
        <x:f>'各站彙總來源'!M1257</x:f>
        <x:v>26</x:v>
      </x:c>
      <x:c r="N1257" s="24" t="n">
        <x:f>F1257+H1257</x:f>
        <x:v>18.653846153846153</x:v>
      </x:c>
      <x:c r="O1257" s="24" t="n">
        <x:f>J1257+L1257</x:f>
        <x:v>6.576923076923077</x:v>
      </x:c>
    </x:row>
    <x:row r="1258">
      <x:c r="A1258" s="22" t="str">
        <x:v>500109043</x:v>
      </x:c>
      <x:c r="B1258" s="17" t="str">
        <x:v>北投區</x:v>
      </x:c>
      <x:c r="C1258" s="17" t="str">
        <x:v>致遠一路二段11巷</x:v>
      </x:c>
      <x:c r="D1258" s="18" t="n">
        <x:v>26</x:v>
      </x:c>
      <x:c r="E1258" s="18" t="n">
        <x:v>26</x:v>
      </x:c>
      <x:c r="F1258" s="24" t="n">
        <x:f>IFERROR('各站彙總來源'!F1258/'各站彙總來源'!G1258,"")</x:f>
        <x:v>30.53846153846154</x:v>
      </x:c>
      <x:c r="G1258" s="19" t="n">
        <x:f>'各站彙總來源'!G1258</x:f>
        <x:v>26</x:v>
      </x:c>
      <x:c r="H1258" s="24" t="n">
        <x:f>IFERROR('各站彙總來源'!H1258/'各站彙總來源'!I1258,"")</x:f>
        <x:v>1.5384615384615385</x:v>
      </x:c>
      <x:c r="I1258" s="19" t="n">
        <x:f>'各站彙總來源'!I1258</x:f>
        <x:v>26</x:v>
      </x:c>
      <x:c r="J1258" s="24" t="n">
        <x:f>IFERROR('各站彙總來源'!J1258/'各站彙總來源'!K1258,"")</x:f>
        <x:v>8.538461538461538</x:v>
      </x:c>
      <x:c r="K1258" s="19" t="n">
        <x:f>'各站彙總來源'!K1258</x:f>
        <x:v>26</x:v>
      </x:c>
      <x:c r="L1258" s="24" t="n">
        <x:f>IFERROR('各站彙總來源'!L1258/'各站彙總來源'!M1258,"")</x:f>
        <x:v>1.2307692307692308</x:v>
      </x:c>
      <x:c r="M1258" s="19" t="n">
        <x:f>'各站彙總來源'!M1258</x:f>
        <x:v>26</x:v>
      </x:c>
      <x:c r="N1258" s="24" t="n">
        <x:f>F1258+H1258</x:f>
        <x:v>32.07692307692308</x:v>
      </x:c>
      <x:c r="O1258" s="24" t="n">
        <x:f>J1258+L1258</x:f>
        <x:v>9.76923076923077</x:v>
      </x:c>
    </x:row>
    <x:row r="1259">
      <x:c r="A1259" s="22" t="str">
        <x:v>500109044</x:v>
      </x:c>
      <x:c r="B1259" s="17" t="str">
        <x:v>北投區</x:v>
      </x:c>
      <x:c r="C1259" s="17" t="str">
        <x:v>榮富公園</x:v>
      </x:c>
      <x:c r="D1259" s="18" t="n">
        <x:v>26</x:v>
      </x:c>
      <x:c r="E1259" s="18" t="n">
        <x:v>26</x:v>
      </x:c>
      <x:c r="F1259" s="24" t="n">
        <x:f>IFERROR('各站彙總來源'!F1259/'各站彙總來源'!G1259,"")</x:f>
        <x:v>9.038461538461538</x:v>
      </x:c>
      <x:c r="G1259" s="19" t="n">
        <x:f>'各站彙總來源'!G1259</x:f>
        <x:v>26</x:v>
      </x:c>
      <x:c r="H1259" s="24" t="n">
        <x:f>IFERROR('各站彙總來源'!H1259/'各站彙總來源'!I1259,"")</x:f>
        <x:v>2.6923076923076925</x:v>
      </x:c>
      <x:c r="I1259" s="19" t="n">
        <x:f>'各站彙總來源'!I1259</x:f>
        <x:v>26</x:v>
      </x:c>
      <x:c r="J1259" s="24" t="n">
        <x:f>IFERROR('各站彙總來源'!J1259/'各站彙總來源'!K1259,"")</x:f>
        <x:v>2.5</x:v>
      </x:c>
      <x:c r="K1259" s="19" t="n">
        <x:f>'各站彙總來源'!K1259</x:f>
        <x:v>26</x:v>
      </x:c>
      <x:c r="L1259" s="24" t="n">
        <x:f>IFERROR('各站彙總來源'!L1259/'各站彙總來源'!M1259,"")</x:f>
        <x:v>1</x:v>
      </x:c>
      <x:c r="M1259" s="19" t="n">
        <x:f>'各站彙總來源'!M1259</x:f>
        <x:v>26</x:v>
      </x:c>
      <x:c r="N1259" s="24" t="n">
        <x:f>F1259+H1259</x:f>
        <x:v>11.73076923076923</x:v>
      </x:c>
      <x:c r="O1259" s="24" t="n">
        <x:f>J1259+L1259</x:f>
        <x:v>3.5</x:v>
      </x:c>
    </x:row>
    <x:row r="1260">
      <x:c r="A1260" s="22" t="str">
        <x:v>500109045</x:v>
      </x:c>
      <x:c r="B1260" s="17" t="str">
        <x:v>北投區</x:v>
      </x:c>
      <x:c r="C1260" s="17" t="str">
        <x:v>中正高中</x:v>
      </x:c>
      <x:c r="D1260" s="18" t="n">
        <x:v>26</x:v>
      </x:c>
      <x:c r="E1260" s="18" t="n">
        <x:v>26</x:v>
      </x:c>
      <x:c r="F1260" s="24" t="n">
        <x:f>IFERROR('各站彙總來源'!F1260/'各站彙總來源'!G1260,"")</x:f>
        <x:v>4</x:v>
      </x:c>
      <x:c r="G1260" s="19" t="n">
        <x:f>'各站彙總來源'!G1260</x:f>
        <x:v>26</x:v>
      </x:c>
      <x:c r="H1260" s="24" t="n">
        <x:f>IFERROR('各站彙總來源'!H1260/'各站彙總來源'!I1260,"")</x:f>
        <x:v>1.2307692307692308</x:v>
      </x:c>
      <x:c r="I1260" s="19" t="n">
        <x:f>'各站彙總來源'!I1260</x:f>
        <x:v>26</x:v>
      </x:c>
      <x:c r="J1260" s="24" t="n">
        <x:f>IFERROR('各站彙總來源'!J1260/'各站彙總來源'!K1260,"")</x:f>
        <x:v>107.61538461538461</x:v>
      </x:c>
      <x:c r="K1260" s="19" t="n">
        <x:f>'各站彙總來源'!K1260</x:f>
        <x:v>26</x:v>
      </x:c>
      <x:c r="L1260" s="24" t="n">
        <x:f>IFERROR('各站彙總來源'!L1260/'各站彙總來源'!M1260,"")</x:f>
        <x:v>3.076923076923077</x:v>
      </x:c>
      <x:c r="M1260" s="19" t="n">
        <x:f>'各站彙總來源'!M1260</x:f>
        <x:v>26</x:v>
      </x:c>
      <x:c r="N1260" s="24" t="n">
        <x:f>F1260+H1260</x:f>
        <x:v>5.230769230769231</x:v>
      </x:c>
      <x:c r="O1260" s="24" t="n">
        <x:f>J1260+L1260</x:f>
        <x:v>110.6923076923077</x:v>
      </x:c>
    </x:row>
    <x:row r="1261">
      <x:c r="A1261" s="22" t="str">
        <x:v>500109046</x:v>
      </x:c>
      <x:c r="B1261" s="17" t="str">
        <x:v>北投區</x:v>
      </x:c>
      <x:c r="C1261" s="17" t="str">
        <x:v>立功立德路口</x:v>
      </x:c>
      <x:c r="D1261" s="18" t="n">
        <x:v>26</x:v>
      </x:c>
      <x:c r="E1261" s="18" t="n">
        <x:v>26</x:v>
      </x:c>
      <x:c r="F1261" s="24" t="n">
        <x:f>IFERROR('各站彙總來源'!F1261/'各站彙總來源'!G1261,"")</x:f>
        <x:v>9.26923076923077</x:v>
      </x:c>
      <x:c r="G1261" s="19" t="n">
        <x:f>'各站彙總來源'!G1261</x:f>
        <x:v>26</x:v>
      </x:c>
      <x:c r="H1261" s="24" t="n">
        <x:f>IFERROR('各站彙總來源'!H1261/'各站彙總來源'!I1261,"")</x:f>
        <x:v>2.769230769230769</x:v>
      </x:c>
      <x:c r="I1261" s="19" t="n">
        <x:f>'各站彙總來源'!I1261</x:f>
        <x:v>26</x:v>
      </x:c>
      <x:c r="J1261" s="24" t="n">
        <x:f>IFERROR('各站彙總來源'!J1261/'各站彙總來源'!K1261,"")</x:f>
        <x:v>47.65384615384615</x:v>
      </x:c>
      <x:c r="K1261" s="19" t="n">
        <x:f>'各站彙總來源'!K1261</x:f>
        <x:v>26</x:v>
      </x:c>
      <x:c r="L1261" s="24" t="n">
        <x:f>IFERROR('各站彙總來源'!L1261/'各站彙總來源'!M1261,"")</x:f>
        <x:v>6.269230769230769</x:v>
      </x:c>
      <x:c r="M1261" s="19" t="n">
        <x:f>'各站彙總來源'!M1261</x:f>
        <x:v>26</x:v>
      </x:c>
      <x:c r="N1261" s="24" t="n">
        <x:f>F1261+H1261</x:f>
        <x:v>12.03846153846154</x:v>
      </x:c>
      <x:c r="O1261" s="24" t="n">
        <x:f>J1261+L1261</x:f>
        <x:v>53.92307692307692</x:v>
      </x:c>
    </x:row>
    <x:row r="1262">
      <x:c r="A1262" s="22" t="str">
        <x:v>500109047</x:v>
      </x:c>
      <x:c r="B1262" s="17" t="str">
        <x:v>北投區</x:v>
      </x:c>
      <x:c r="C1262" s="17" t="str">
        <x:v>桃源國中</x:v>
      </x:c>
      <x:c r="D1262" s="18" t="n">
        <x:v>26</x:v>
      </x:c>
      <x:c r="E1262" s="18" t="n">
        <x:v>26</x:v>
      </x:c>
      <x:c r="F1262" s="24" t="n">
        <x:f>IFERROR('各站彙總來源'!F1262/'各站彙總來源'!G1262,"")</x:f>
        <x:v>19.76923076923077</x:v>
      </x:c>
      <x:c r="G1262" s="19" t="n">
        <x:f>'各站彙總來源'!G1262</x:f>
        <x:v>26</x:v>
      </x:c>
      <x:c r="H1262" s="24" t="n">
        <x:f>IFERROR('各站彙總來源'!H1262/'各站彙總來源'!I1262,"")</x:f>
        <x:v>1.0769230769230769</x:v>
      </x:c>
      <x:c r="I1262" s="19" t="n">
        <x:f>'各站彙總來源'!I1262</x:f>
        <x:v>26</x:v>
      </x:c>
      <x:c r="J1262" s="24" t="n">
        <x:f>IFERROR('各站彙總來源'!J1262/'各站彙總來源'!K1262,"")</x:f>
        <x:v>35.34615384615385</x:v>
      </x:c>
      <x:c r="K1262" s="19" t="n">
        <x:f>'各站彙總來源'!K1262</x:f>
        <x:v>26</x:v>
      </x:c>
      <x:c r="L1262" s="24" t="n">
        <x:f>IFERROR('各站彙總來源'!L1262/'各站彙總來源'!M1262,"")</x:f>
        <x:v>1.6538461538461537</x:v>
      </x:c>
      <x:c r="M1262" s="19" t="n">
        <x:f>'各站彙總來源'!M1262</x:f>
        <x:v>26</x:v>
      </x:c>
      <x:c r="N1262" s="24" t="n">
        <x:f>F1262+H1262</x:f>
        <x:v>20.846153846153847</x:v>
      </x:c>
      <x:c r="O1262" s="24" t="n">
        <x:f>J1262+L1262</x:f>
        <x:v>37</x:v>
      </x:c>
    </x:row>
    <x:row r="1263">
      <x:c r="A1263" s="22" t="str">
        <x:v>500109048</x:v>
      </x:c>
      <x:c r="B1263" s="17" t="str">
        <x:v>北投區</x:v>
      </x:c>
      <x:c r="C1263" s="17" t="str">
        <x:v>陽明交大圖書館</x:v>
      </x:c>
      <x:c r="D1263" s="18" t="n">
        <x:v>26</x:v>
      </x:c>
      <x:c r="E1263" s="18" t="n">
        <x:v>26</x:v>
      </x:c>
      <x:c r="F1263" s="24" t="n">
        <x:f>IFERROR('各站彙總來源'!F1263/'各站彙總來源'!G1263,"")</x:f>
        <x:v>12.653846153846153</x:v>
      </x:c>
      <x:c r="G1263" s="19" t="n">
        <x:f>'各站彙總來源'!G1263</x:f>
        <x:v>26</x:v>
      </x:c>
      <x:c r="H1263" s="24" t="n">
        <x:f>IFERROR('各站彙總來源'!H1263/'各站彙總來源'!I1263,"")</x:f>
        <x:v>1.0384615384615385</x:v>
      </x:c>
      <x:c r="I1263" s="19" t="n">
        <x:f>'各站彙總來源'!I1263</x:f>
        <x:v>26</x:v>
      </x:c>
      <x:c r="J1263" s="24" t="n">
        <x:f>IFERROR('各站彙總來源'!J1263/'各站彙總來源'!K1263,"")</x:f>
        <x:v>29.923076923076923</x:v>
      </x:c>
      <x:c r="K1263" s="19" t="n">
        <x:f>'各站彙總來源'!K1263</x:f>
        <x:v>26</x:v>
      </x:c>
      <x:c r="L1263" s="24" t="n">
        <x:f>IFERROR('各站彙總來源'!L1263/'各站彙總來源'!M1263,"")</x:f>
        <x:v>2.1153846153846154</x:v>
      </x:c>
      <x:c r="M1263" s="19" t="n">
        <x:f>'各站彙總來源'!M1263</x:f>
        <x:v>26</x:v>
      </x:c>
      <x:c r="N1263" s="24" t="n">
        <x:f>F1263+H1263</x:f>
        <x:v>13.692307692307692</x:v>
      </x:c>
      <x:c r="O1263" s="24" t="n">
        <x:f>J1263+L1263</x:f>
        <x:v>32.03846153846154</x:v>
      </x:c>
    </x:row>
    <x:row r="1264">
      <x:c r="A1264" s="22" t="str">
        <x:v>500109049</x:v>
      </x:c>
      <x:c r="B1264" s="17" t="str">
        <x:v>北投區</x:v>
      </x:c>
      <x:c r="C1264" s="17" t="str">
        <x:v>捷運新北投站(2號出口)</x:v>
      </x:c>
      <x:c r="D1264" s="18" t="n">
        <x:v>26</x:v>
      </x:c>
      <x:c r="E1264" s="18" t="n">
        <x:v>26</x:v>
      </x:c>
      <x:c r="F1264" s="24" t="n">
        <x:f>IFERROR('各站彙總來源'!F1264/'各站彙總來源'!G1264,"")</x:f>
        <x:v>6.423076923076923</x:v>
      </x:c>
      <x:c r="G1264" s="19" t="n">
        <x:f>'各站彙總來源'!G1264</x:f>
        <x:v>26</x:v>
      </x:c>
      <x:c r="H1264" s="24" t="n">
        <x:f>IFERROR('各站彙總來源'!H1264/'各站彙總來源'!I1264,"")</x:f>
        <x:v>1.9615384615384615</x:v>
      </x:c>
      <x:c r="I1264" s="19" t="n">
        <x:f>'各站彙總來源'!I1264</x:f>
        <x:v>26</x:v>
      </x:c>
      <x:c r="J1264" s="24" t="n">
        <x:f>IFERROR('各站彙總來源'!J1264/'各站彙總來源'!K1264,"")</x:f>
        <x:v>7.346153846153846</x:v>
      </x:c>
      <x:c r="K1264" s="19" t="n">
        <x:f>'各站彙總來源'!K1264</x:f>
        <x:v>26</x:v>
      </x:c>
      <x:c r="L1264" s="24" t="n">
        <x:f>IFERROR('各站彙總來源'!L1264/'各站彙總來源'!M1264,"")</x:f>
        <x:v>1.7692307692307692</x:v>
      </x:c>
      <x:c r="M1264" s="19" t="n">
        <x:f>'各站彙總來源'!M1264</x:f>
        <x:v>26</x:v>
      </x:c>
      <x:c r="N1264" s="24" t="n">
        <x:f>F1264+H1264</x:f>
        <x:v>8.384615384615385</x:v>
      </x:c>
      <x:c r="O1264" s="24" t="n">
        <x:f>J1264+L1264</x:f>
        <x:v>9.115384615384615</x:v>
      </x:c>
    </x:row>
    <x:row r="1265">
      <x:c r="A1265" s="22" t="str">
        <x:v>500109050</x:v>
      </x:c>
      <x:c r="B1265" s="17" t="str">
        <x:v>北投區</x:v>
      </x:c>
      <x:c r="C1265" s="17" t="str">
        <x:v>復興公園</x:v>
      </x:c>
      <x:c r="D1265" s="18" t="n">
        <x:v>26</x:v>
      </x:c>
      <x:c r="E1265" s="18" t="n">
        <x:v>26</x:v>
      </x:c>
      <x:c r="F1265" s="24" t="n">
        <x:f>IFERROR('各站彙總來源'!F1265/'各站彙總來源'!G1265,"")</x:f>
        <x:v>6.346153846153846</x:v>
      </x:c>
      <x:c r="G1265" s="19" t="n">
        <x:f>'各站彙總來源'!G1265</x:f>
        <x:v>26</x:v>
      </x:c>
      <x:c r="H1265" s="24" t="n">
        <x:f>IFERROR('各站彙總來源'!H1265/'各站彙總來源'!I1265,"")</x:f>
        <x:v>2.5384615384615383</x:v>
      </x:c>
      <x:c r="I1265" s="19" t="n">
        <x:f>'各站彙總來源'!I1265</x:f>
        <x:v>26</x:v>
      </x:c>
      <x:c r="J1265" s="24" t="n">
        <x:f>IFERROR('各站彙總來源'!J1265/'各站彙總來源'!K1265,"")</x:f>
        <x:v>3.076923076923077</x:v>
      </x:c>
      <x:c r="K1265" s="19" t="n">
        <x:f>'各站彙總來源'!K1265</x:f>
        <x:v>26</x:v>
      </x:c>
      <x:c r="L1265" s="24" t="n">
        <x:f>IFERROR('各站彙總來源'!L1265/'各站彙總來源'!M1265,"")</x:f>
        <x:v>2.1538461538461537</x:v>
      </x:c>
      <x:c r="M1265" s="19" t="n">
        <x:f>'各站彙總來源'!M1265</x:f>
        <x:v>26</x:v>
      </x:c>
      <x:c r="N1265" s="24" t="n">
        <x:f>F1265+H1265</x:f>
        <x:v>8.884615384615383</x:v>
      </x:c>
      <x:c r="O1265" s="24" t="n">
        <x:f>J1265+L1265</x:f>
        <x:v>5.230769230769231</x:v>
      </x:c>
    </x:row>
    <x:row r="1266">
      <x:c r="A1266" s="22" t="str">
        <x:v>500109051</x:v>
      </x:c>
      <x:c r="B1266" s="17" t="str">
        <x:v>北投區</x:v>
      </x:c>
      <x:c r="C1266" s="17" t="str">
        <x:v>承德石牌路口</x:v>
      </x:c>
      <x:c r="D1266" s="18" t="n">
        <x:v>26</x:v>
      </x:c>
      <x:c r="E1266" s="18" t="n">
        <x:v>26</x:v>
      </x:c>
      <x:c r="F1266" s="24" t="n">
        <x:f>IFERROR('各站彙總來源'!F1266/'各站彙總來源'!G1266,"")</x:f>
        <x:v>11.115384615384615</x:v>
      </x:c>
      <x:c r="G1266" s="19" t="n">
        <x:f>'各站彙總來源'!G1266</x:f>
        <x:v>26</x:v>
      </x:c>
      <x:c r="H1266" s="24" t="n">
        <x:f>IFERROR('各站彙總來源'!H1266/'各站彙總來源'!I1266,"")</x:f>
        <x:v>1.5769230769230769</x:v>
      </x:c>
      <x:c r="I1266" s="19" t="n">
        <x:f>'各站彙總來源'!I1266</x:f>
        <x:v>26</x:v>
      </x:c>
      <x:c r="J1266" s="24" t="n">
        <x:f>IFERROR('各站彙總來源'!J1266/'各站彙總來源'!K1266,"")</x:f>
        <x:v>5.8076923076923075</x:v>
      </x:c>
      <x:c r="K1266" s="19" t="n">
        <x:f>'各站彙總來源'!K1266</x:f>
        <x:v>26</x:v>
      </x:c>
      <x:c r="L1266" s="24" t="n">
        <x:f>IFERROR('各站彙總來源'!L1266/'各站彙總來源'!M1266,"")</x:f>
        <x:v>1.0384615384615385</x:v>
      </x:c>
      <x:c r="M1266" s="19" t="n">
        <x:f>'各站彙總來源'!M1266</x:f>
        <x:v>26</x:v>
      </x:c>
      <x:c r="N1266" s="24" t="n">
        <x:f>F1266+H1266</x:f>
        <x:v>12.692307692307692</x:v>
      </x:c>
      <x:c r="O1266" s="24" t="n">
        <x:f>J1266+L1266</x:f>
        <x:v>6.846153846153846</x:v>
      </x:c>
    </x:row>
    <x:row r="1267">
      <x:c r="A1267" s="22" t="str">
        <x:v>500109052</x:v>
      </x:c>
      <x:c r="B1267" s="17" t="str">
        <x:v>北投區</x:v>
      </x:c>
      <x:c r="C1267" s="17" t="str">
        <x:v>承德路七段188巷口</x:v>
      </x:c>
      <x:c r="D1267" s="18" t="n">
        <x:v>26</x:v>
      </x:c>
      <x:c r="E1267" s="18" t="n">
        <x:v>26</x:v>
      </x:c>
      <x:c r="F1267" s="24" t="n">
        <x:f>IFERROR('各站彙總來源'!F1267/'各站彙總來源'!G1267,"")</x:f>
        <x:v>17.307692307692307</x:v>
      </x:c>
      <x:c r="G1267" s="19" t="n">
        <x:f>'各站彙總來源'!G1267</x:f>
        <x:v>26</x:v>
      </x:c>
      <x:c r="H1267" s="24" t="n">
        <x:f>IFERROR('各站彙總來源'!H1267/'各站彙總來源'!I1267,"")</x:f>
        <x:v>0.9615384615384616</x:v>
      </x:c>
      <x:c r="I1267" s="19" t="n">
        <x:f>'各站彙總來源'!I1267</x:f>
        <x:v>26</x:v>
      </x:c>
      <x:c r="J1267" s="24" t="n">
        <x:f>IFERROR('各站彙總來源'!J1267/'各站彙總來源'!K1267,"")</x:f>
        <x:v>5.076923076923077</x:v>
      </x:c>
      <x:c r="K1267" s="19" t="n">
        <x:f>'各站彙總來源'!K1267</x:f>
        <x:v>26</x:v>
      </x:c>
      <x:c r="L1267" s="24" t="n">
        <x:f>IFERROR('各站彙總來源'!L1267/'各站彙總來源'!M1267,"")</x:f>
        <x:v>0.5384615384615384</x:v>
      </x:c>
      <x:c r="M1267" s="19" t="n">
        <x:f>'各站彙總來源'!M1267</x:f>
        <x:v>26</x:v>
      </x:c>
      <x:c r="N1267" s="24" t="n">
        <x:f>F1267+H1267</x:f>
        <x:v>18.269230769230766</x:v>
      </x:c>
      <x:c r="O1267" s="24" t="n">
        <x:f>J1267+L1267</x:f>
        <x:v>5.615384615384615</x:v>
      </x:c>
    </x:row>
    <x:row r="1268">
      <x:c r="A1268" s="22" t="str">
        <x:v>500109053</x:v>
      </x:c>
      <x:c r="B1268" s="17" t="str">
        <x:v>北投區</x:v>
      </x:c>
      <x:c r="C1268" s="17" t="str">
        <x:v>捷運明德站(3號出口)</x:v>
      </x:c>
      <x:c r="D1268" s="18" t="n">
        <x:v>26</x:v>
      </x:c>
      <x:c r="E1268" s="18" t="n">
        <x:v>26</x:v>
      </x:c>
      <x:c r="F1268" s="24" t="n">
        <x:f>IFERROR('各站彙總來源'!F1268/'各站彙總來源'!G1268,"")</x:f>
        <x:v>23.76923076923077</x:v>
      </x:c>
      <x:c r="G1268" s="19" t="n">
        <x:f>'各站彙總來源'!G1268</x:f>
        <x:v>26</x:v>
      </x:c>
      <x:c r="H1268" s="24" t="n">
        <x:f>IFERROR('各站彙總來源'!H1268/'各站彙總來源'!I1268,"")</x:f>
        <x:v>3.269230769230769</x:v>
      </x:c>
      <x:c r="I1268" s="19" t="n">
        <x:f>'各站彙總來源'!I1268</x:f>
        <x:v>26</x:v>
      </x:c>
      <x:c r="J1268" s="24" t="n">
        <x:f>IFERROR('各站彙總來源'!J1268/'各站彙總來源'!K1268,"")</x:f>
        <x:v>7.346153846153846</x:v>
      </x:c>
      <x:c r="K1268" s="19" t="n">
        <x:f>'各站彙總來源'!K1268</x:f>
        <x:v>26</x:v>
      </x:c>
      <x:c r="L1268" s="24" t="n">
        <x:f>IFERROR('各站彙總來源'!L1268/'各站彙總來源'!M1268,"")</x:f>
        <x:v>1.4615384615384615</x:v>
      </x:c>
      <x:c r="M1268" s="19" t="n">
        <x:f>'各站彙總來源'!M1268</x:f>
        <x:v>26</x:v>
      </x:c>
      <x:c r="N1268" s="24" t="n">
        <x:f>F1268+H1268</x:f>
        <x:v>27.03846153846154</x:v>
      </x:c>
      <x:c r="O1268" s="24" t="n">
        <x:f>J1268+L1268</x:f>
        <x:v>8.807692307692307</x:v>
      </x:c>
    </x:row>
    <x:row r="1269">
      <x:c r="A1269" s="22" t="str">
        <x:v>500109054</x:v>
      </x:c>
      <x:c r="B1269" s="17" t="str">
        <x:v>北投區</x:v>
      </x:c>
      <x:c r="C1269" s="17" t="str">
        <x:v>大豐公園</x:v>
      </x:c>
      <x:c r="D1269" s="18" t="n">
        <x:v>26</x:v>
      </x:c>
      <x:c r="E1269" s="18" t="n">
        <x:v>26</x:v>
      </x:c>
      <x:c r="F1269" s="24" t="n">
        <x:f>IFERROR('各站彙總來源'!F1269/'各站彙總來源'!G1269,"")</x:f>
        <x:v>24.653846153846153</x:v>
      </x:c>
      <x:c r="G1269" s="19" t="n">
        <x:f>'各站彙總來源'!G1269</x:f>
        <x:v>26</x:v>
      </x:c>
      <x:c r="H1269" s="24" t="n">
        <x:f>IFERROR('各站彙總來源'!H1269/'各站彙總來源'!I1269,"")</x:f>
        <x:v>1.6538461538461537</x:v>
      </x:c>
      <x:c r="I1269" s="19" t="n">
        <x:f>'各站彙總來源'!I1269</x:f>
        <x:v>26</x:v>
      </x:c>
      <x:c r="J1269" s="24" t="n">
        <x:f>IFERROR('各站彙總來源'!J1269/'各站彙總來源'!K1269,"")</x:f>
        <x:v>15.384615384615385</x:v>
      </x:c>
      <x:c r="K1269" s="19" t="n">
        <x:f>'各站彙總來源'!K1269</x:f>
        <x:v>26</x:v>
      </x:c>
      <x:c r="L1269" s="24" t="n">
        <x:f>IFERROR('各站彙總來源'!L1269/'各站彙總來源'!M1269,"")</x:f>
        <x:v>1.5769230769230769</x:v>
      </x:c>
      <x:c r="M1269" s="19" t="n">
        <x:f>'各站彙總來源'!M1269</x:f>
        <x:v>26</x:v>
      </x:c>
      <x:c r="N1269" s="24" t="n">
        <x:f>F1269+H1269</x:f>
        <x:v>26.307692307692307</x:v>
      </x:c>
      <x:c r="O1269" s="24" t="n">
        <x:f>J1269+L1269</x:f>
        <x:v>16.961538461538463</x:v>
      </x:c>
    </x:row>
    <x:row r="1270">
      <x:c r="A1270" s="22" t="str">
        <x:v>500109055</x:v>
      </x:c>
      <x:c r="B1270" s="17" t="str">
        <x:v>北投區</x:v>
      </x:c>
      <x:c r="C1270" s="17" t="str">
        <x:v>洲美公園</x:v>
      </x:c>
      <x:c r="D1270" s="18" t="n">
        <x:v>26</x:v>
      </x:c>
      <x:c r="E1270" s="18" t="n">
        <x:v>26</x:v>
      </x:c>
      <x:c r="F1270" s="24" t="n">
        <x:f>IFERROR('各站彙總來源'!F1270/'各站彙總來源'!G1270,"")</x:f>
        <x:v>14.192307692307692</x:v>
      </x:c>
      <x:c r="G1270" s="19" t="n">
        <x:f>'各站彙總來源'!G1270</x:f>
        <x:v>26</x:v>
      </x:c>
      <x:c r="H1270" s="24" t="n">
        <x:f>IFERROR('各站彙總來源'!H1270/'各站彙總來源'!I1270,"")</x:f>
        <x:v>5.730769230769231</x:v>
      </x:c>
      <x:c r="I1270" s="19" t="n">
        <x:f>'各站彙總來源'!I1270</x:f>
        <x:v>26</x:v>
      </x:c>
      <x:c r="J1270" s="24" t="n">
        <x:f>IFERROR('各站彙總來源'!J1270/'各站彙總來源'!K1270,"")</x:f>
        <x:v>10.384615384615385</x:v>
      </x:c>
      <x:c r="K1270" s="19" t="n">
        <x:f>'各站彙總來源'!K1270</x:f>
        <x:v>26</x:v>
      </x:c>
      <x:c r="L1270" s="24" t="n">
        <x:f>IFERROR('各站彙總來源'!L1270/'各站彙總來源'!M1270,"")</x:f>
        <x:v>6.846153846153846</x:v>
      </x:c>
      <x:c r="M1270" s="19" t="n">
        <x:f>'各站彙總來源'!M1270</x:f>
        <x:v>26</x:v>
      </x:c>
      <x:c r="N1270" s="24" t="n">
        <x:f>F1270+H1270</x:f>
        <x:v>19.923076923076923</x:v>
      </x:c>
      <x:c r="O1270" s="24" t="n">
        <x:f>J1270+L1270</x:f>
        <x:v>17.23076923076923</x:v>
      </x:c>
    </x:row>
    <x:row r="1271">
      <x:c r="A1271" s="22" t="str">
        <x:v>500109056</x:v>
      </x:c>
      <x:c r="B1271" s="17" t="str">
        <x:v>北投區</x:v>
      </x:c>
      <x:c r="C1271" s="17" t="str">
        <x:v>中和街455巷11弄</x:v>
      </x:c>
      <x:c r="D1271" s="18" t="n">
        <x:v>26</x:v>
      </x:c>
      <x:c r="E1271" s="18" t="n">
        <x:v>26</x:v>
      </x:c>
      <x:c r="F1271" s="24" t="n">
        <x:f>IFERROR('各站彙總來源'!F1271/'各站彙總來源'!G1271,"")</x:f>
        <x:v>13.576923076923077</x:v>
      </x:c>
      <x:c r="G1271" s="19" t="n">
        <x:f>'各站彙總來源'!G1271</x:f>
        <x:v>26</x:v>
      </x:c>
      <x:c r="H1271" s="24" t="n">
        <x:f>IFERROR('各站彙總來源'!H1271/'各站彙總來源'!I1271,"")</x:f>
        <x:v>2.1923076923076925</x:v>
      </x:c>
      <x:c r="I1271" s="19" t="n">
        <x:f>'各站彙總來源'!I1271</x:f>
        <x:v>26</x:v>
      </x:c>
      <x:c r="J1271" s="24" t="n">
        <x:f>IFERROR('各站彙總來源'!J1271/'各站彙總來源'!K1271,"")</x:f>
        <x:v>7.038461538461538</x:v>
      </x:c>
      <x:c r="K1271" s="19" t="n">
        <x:f>'各站彙總來源'!K1271</x:f>
        <x:v>26</x:v>
      </x:c>
      <x:c r="L1271" s="24" t="n">
        <x:f>IFERROR('各站彙總來源'!L1271/'各站彙總來源'!M1271,"")</x:f>
        <x:v>1.9615384615384615</x:v>
      </x:c>
      <x:c r="M1271" s="19" t="n">
        <x:f>'各站彙總來源'!M1271</x:f>
        <x:v>26</x:v>
      </x:c>
      <x:c r="N1271" s="24" t="n">
        <x:f>F1271+H1271</x:f>
        <x:v>15.76923076923077</x:v>
      </x:c>
      <x:c r="O1271" s="24" t="n">
        <x:f>J1271+L1271</x:f>
        <x:v>9</x:v>
      </x:c>
    </x:row>
    <x:row r="1272">
      <x:c r="A1272" s="22" t="str">
        <x:v>500109057</x:v>
      </x:c>
      <x:c r="B1272" s="17" t="str">
        <x:v>北投區</x:v>
      </x:c>
      <x:c r="C1272" s="17" t="str">
        <x:v>洲美蜆仔港公園</x:v>
      </x:c>
      <x:c r="D1272" s="18" t="n">
        <x:v>26</x:v>
      </x:c>
      <x:c r="E1272" s="18" t="n">
        <x:v>26</x:v>
      </x:c>
      <x:c r="F1272" s="24" t="n">
        <x:f>IFERROR('各站彙總來源'!F1272/'各站彙總來源'!G1272,"")</x:f>
        <x:v>7.846153846153846</x:v>
      </x:c>
      <x:c r="G1272" s="19" t="n">
        <x:f>'各站彙總來源'!G1272</x:f>
        <x:v>26</x:v>
      </x:c>
      <x:c r="H1272" s="24" t="n">
        <x:f>IFERROR('各站彙總來源'!H1272/'各站彙總來源'!I1272,"")</x:f>
        <x:v>1.7692307692307692</x:v>
      </x:c>
      <x:c r="I1272" s="19" t="n">
        <x:f>'各站彙總來源'!I1272</x:f>
        <x:v>26</x:v>
      </x:c>
      <x:c r="J1272" s="24" t="n">
        <x:f>IFERROR('各站彙總來源'!J1272/'各站彙總來源'!K1272,"")</x:f>
        <x:v>19.73076923076923</x:v>
      </x:c>
      <x:c r="K1272" s="19" t="n">
        <x:f>'各站彙總來源'!K1272</x:f>
        <x:v>26</x:v>
      </x:c>
      <x:c r="L1272" s="24" t="n">
        <x:f>IFERROR('各站彙總來源'!L1272/'各站彙總來源'!M1272,"")</x:f>
        <x:v>4.576923076923077</x:v>
      </x:c>
      <x:c r="M1272" s="19" t="n">
        <x:f>'各站彙總來源'!M1272</x:f>
        <x:v>26</x:v>
      </x:c>
      <x:c r="N1272" s="24" t="n">
        <x:f>F1272+H1272</x:f>
        <x:v>9.615384615384615</x:v>
      </x:c>
      <x:c r="O1272" s="24" t="n">
        <x:f>J1272+L1272</x:f>
        <x:v>24.307692307692307</x:v>
      </x:c>
    </x:row>
    <x:row r="1273">
      <x:c r="A1273" s="22" t="str">
        <x:v>500109058</x:v>
      </x:c>
      <x:c r="B1273" s="17" t="str">
        <x:v>北投區</x:v>
      </x:c>
      <x:c r="C1273" s="17" t="str">
        <x:v>文化三杏林一路口</x:v>
      </x:c>
      <x:c r="D1273" s="18" t="n">
        <x:v>26</x:v>
      </x:c>
      <x:c r="E1273" s="18" t="n">
        <x:v>26</x:v>
      </x:c>
      <x:c r="F1273" s="24" t="n">
        <x:f>IFERROR('各站彙總來源'!F1273/'各站彙總來源'!G1273,"")</x:f>
        <x:v>21.96153846153846</x:v>
      </x:c>
      <x:c r="G1273" s="19" t="n">
        <x:f>'各站彙總來源'!G1273</x:f>
        <x:v>26</x:v>
      </x:c>
      <x:c r="H1273" s="24" t="n">
        <x:f>IFERROR('各站彙總來源'!H1273/'各站彙總來源'!I1273,"")</x:f>
        <x:v>2.230769230769231</x:v>
      </x:c>
      <x:c r="I1273" s="19" t="n">
        <x:f>'各站彙總來源'!I1273</x:f>
        <x:v>26</x:v>
      </x:c>
      <x:c r="J1273" s="24" t="n">
        <x:f>IFERROR('各站彙總來源'!J1273/'各站彙總來源'!K1273,"")</x:f>
        <x:v>3.3846153846153846</x:v>
      </x:c>
      <x:c r="K1273" s="19" t="n">
        <x:f>'各站彙總來源'!K1273</x:f>
        <x:v>26</x:v>
      </x:c>
      <x:c r="L1273" s="24" t="n">
        <x:f>IFERROR('各站彙總來源'!L1273/'各站彙總來源'!M1273,"")</x:f>
        <x:v>1.3461538461538463</x:v>
      </x:c>
      <x:c r="M1273" s="19" t="n">
        <x:f>'各站彙總來源'!M1273</x:f>
        <x:v>26</x:v>
      </x:c>
      <x:c r="N1273" s="24" t="n">
        <x:f>F1273+H1273</x:f>
        <x:v>24.19230769230769</x:v>
      </x:c>
      <x:c r="O1273" s="24" t="n">
        <x:f>J1273+L1273</x:f>
        <x:v>4.730769230769231</x:v>
      </x:c>
    </x:row>
    <x:row r="1274">
      <x:c r="A1274" s="22" t="str">
        <x:v>500109059</x:v>
      </x:c>
      <x:c r="B1274" s="17" t="str">
        <x:v>北投區</x:v>
      </x:c>
      <x:c r="C1274" s="17" t="str">
        <x:v>珠海復興一路口</x:v>
      </x:c>
      <x:c r="D1274" s="18" t="n">
        <x:v>26</x:v>
      </x:c>
      <x:c r="E1274" s="18" t="n">
        <x:v>26</x:v>
      </x:c>
      <x:c r="F1274" s="24" t="n">
        <x:f>IFERROR('各站彙總來源'!F1274/'各站彙總來源'!G1274,"")</x:f>
        <x:v>6.346153846153846</x:v>
      </x:c>
      <x:c r="G1274" s="19" t="n">
        <x:f>'各站彙總來源'!G1274</x:f>
        <x:v>26</x:v>
      </x:c>
      <x:c r="H1274" s="24" t="n">
        <x:f>IFERROR('各站彙總來源'!H1274/'各站彙總來源'!I1274,"")</x:f>
        <x:v>3.1153846153846154</x:v>
      </x:c>
      <x:c r="I1274" s="19" t="n">
        <x:f>'各站彙總來源'!I1274</x:f>
        <x:v>26</x:v>
      </x:c>
      <x:c r="J1274" s="24" t="n">
        <x:f>IFERROR('各站彙總來源'!J1274/'各站彙總來源'!K1274,"")</x:f>
        <x:v>8.846153846153847</x:v>
      </x:c>
      <x:c r="K1274" s="19" t="n">
        <x:f>'各站彙總來源'!K1274</x:f>
        <x:v>26</x:v>
      </x:c>
      <x:c r="L1274" s="24" t="n">
        <x:f>IFERROR('各站彙總來源'!L1274/'各站彙總來源'!M1274,"")</x:f>
        <x:v>2.8076923076923075</x:v>
      </x:c>
      <x:c r="M1274" s="19" t="n">
        <x:f>'各站彙總來源'!M1274</x:f>
        <x:v>26</x:v>
      </x:c>
      <x:c r="N1274" s="24" t="n">
        <x:f>F1274+H1274</x:f>
        <x:v>9.461538461538462</x:v>
      </x:c>
      <x:c r="O1274" s="24" t="n">
        <x:f>J1274+L1274</x:f>
        <x:v>11.653846153846153</x:v>
      </x:c>
    </x:row>
    <x:row r="1275">
      <x:c r="A1275" s="22" t="str">
        <x:v>500109060</x:v>
      </x:c>
      <x:c r="B1275" s="17" t="str">
        <x:v>北投區</x:v>
      </x:c>
      <x:c r="C1275" s="17" t="str">
        <x:v>裕民二路33巷</x:v>
      </x:c>
      <x:c r="D1275" s="18" t="n">
        <x:v>26</x:v>
      </x:c>
      <x:c r="E1275" s="18" t="n">
        <x:v>26</x:v>
      </x:c>
      <x:c r="F1275" s="24" t="n">
        <x:f>IFERROR('各站彙總來源'!F1275/'各站彙總來源'!G1275,"")</x:f>
        <x:v>9.961538461538462</x:v>
      </x:c>
      <x:c r="G1275" s="19" t="n">
        <x:f>'各站彙總來源'!G1275</x:f>
        <x:v>26</x:v>
      </x:c>
      <x:c r="H1275" s="24" t="n">
        <x:f>IFERROR('各站彙總來源'!H1275/'各站彙總來源'!I1275,"")</x:f>
        <x:v>1.2692307692307692</x:v>
      </x:c>
      <x:c r="I1275" s="19" t="n">
        <x:f>'各站彙總來源'!I1275</x:f>
        <x:v>26</x:v>
      </x:c>
      <x:c r="J1275" s="24" t="n">
        <x:f>IFERROR('各站彙總來源'!J1275/'各站彙總來源'!K1275,"")</x:f>
        <x:v>8.692307692307692</x:v>
      </x:c>
      <x:c r="K1275" s="19" t="n">
        <x:f>'各站彙總來源'!K1275</x:f>
        <x:v>26</x:v>
      </x:c>
      <x:c r="L1275" s="24" t="n">
        <x:f>IFERROR('各站彙總來源'!L1275/'各站彙總來源'!M1275,"")</x:f>
        <x:v>1.2307692307692308</x:v>
      </x:c>
      <x:c r="M1275" s="19" t="n">
        <x:f>'各站彙總來源'!M1275</x:f>
        <x:v>26</x:v>
      </x:c>
      <x:c r="N1275" s="24" t="n">
        <x:f>F1275+H1275</x:f>
        <x:v>11.23076923076923</x:v>
      </x:c>
      <x:c r="O1275" s="24" t="n">
        <x:f>J1275+L1275</x:f>
        <x:v>9.923076923076923</x:v>
      </x:c>
    </x:row>
    <x:row r="1276">
      <x:c r="A1276" s="22" t="str">
        <x:v>500109061</x:v>
      </x:c>
      <x:c r="B1276" s="17" t="str">
        <x:v>北投區</x:v>
      </x:c>
      <x:c r="C1276" s="17" t="str">
        <x:v>新奇岩社會住宅</x:v>
      </x:c>
      <x:c r="D1276" s="18" t="n">
        <x:v>26</x:v>
      </x:c>
      <x:c r="E1276" s="18" t="n">
        <x:v>26</x:v>
      </x:c>
      <x:c r="F1276" s="24" t="n">
        <x:f>IFERROR('各站彙總來源'!F1276/'各站彙總來源'!G1276,"")</x:f>
        <x:v>12.115384615384615</x:v>
      </x:c>
      <x:c r="G1276" s="19" t="n">
        <x:f>'各站彙總來源'!G1276</x:f>
        <x:v>26</x:v>
      </x:c>
      <x:c r="H1276" s="24" t="n">
        <x:f>IFERROR('各站彙總來源'!H1276/'各站彙總來源'!I1276,"")</x:f>
        <x:v>3.230769230769231</x:v>
      </x:c>
      <x:c r="I1276" s="19" t="n">
        <x:f>'各站彙總來源'!I1276</x:f>
        <x:v>26</x:v>
      </x:c>
      <x:c r="J1276" s="24" t="n">
        <x:f>IFERROR('各站彙總來源'!J1276/'各站彙總來源'!K1276,"")</x:f>
        <x:v>5.153846153846154</x:v>
      </x:c>
      <x:c r="K1276" s="19" t="n">
        <x:f>'各站彙總來源'!K1276</x:f>
        <x:v>26</x:v>
      </x:c>
      <x:c r="L1276" s="24" t="n">
        <x:f>IFERROR('各站彙總來源'!L1276/'各站彙總來源'!M1276,"")</x:f>
        <x:v>1.3076923076923077</x:v>
      </x:c>
      <x:c r="M1276" s="19" t="n">
        <x:f>'各站彙總來源'!M1276</x:f>
        <x:v>26</x:v>
      </x:c>
      <x:c r="N1276" s="24" t="n">
        <x:f>F1276+H1276</x:f>
        <x:v>15.346153846153847</x:v>
      </x:c>
      <x:c r="O1276" s="24" t="n">
        <x:f>J1276+L1276</x:f>
        <x:v>6.461538461538462</x:v>
      </x:c>
    </x:row>
    <x:row r="1277">
      <x:c r="A1277" s="22" t="str">
        <x:v>500109062</x:v>
      </x:c>
      <x:c r="B1277" s="17" t="str">
        <x:v>北投區</x:v>
      </x:c>
      <x:c r="C1277" s="17" t="str">
        <x:v>泉源公園</x:v>
      </x:c>
      <x:c r="D1277" s="18" t="n">
        <x:v>26</x:v>
      </x:c>
      <x:c r="E1277" s="18" t="n">
        <x:v>26</x:v>
      </x:c>
      <x:c r="F1277" s="24" t="n">
        <x:f>IFERROR('各站彙總來源'!F1277/'各站彙總來源'!G1277,"")</x:f>
        <x:v>4.153846153846154</x:v>
      </x:c>
      <x:c r="G1277" s="19" t="n">
        <x:f>'各站彙總來源'!G1277</x:f>
        <x:v>26</x:v>
      </x:c>
      <x:c r="H1277" s="24" t="n">
        <x:f>IFERROR('各站彙總來源'!H1277/'各站彙總來源'!I1277,"")</x:f>
        <x:v>4.461538461538462</x:v>
      </x:c>
      <x:c r="I1277" s="19" t="n">
        <x:f>'各站彙總來源'!I1277</x:f>
        <x:v>26</x:v>
      </x:c>
      <x:c r="J1277" s="24" t="n">
        <x:f>IFERROR('各站彙總來源'!J1277/'各站彙總來源'!K1277,"")</x:f>
        <x:v>5.884615384615385</x:v>
      </x:c>
      <x:c r="K1277" s="19" t="n">
        <x:f>'各站彙總來源'!K1277</x:f>
        <x:v>26</x:v>
      </x:c>
      <x:c r="L1277" s="24" t="n">
        <x:f>IFERROR('各站彙總來源'!L1277/'各站彙總來源'!M1277,"")</x:f>
        <x:v>4.346153846153846</x:v>
      </x:c>
      <x:c r="M1277" s="19" t="n">
        <x:f>'各站彙總來源'!M1277</x:f>
        <x:v>26</x:v>
      </x:c>
      <x:c r="N1277" s="24" t="n">
        <x:f>F1277+H1277</x:f>
        <x:v>8.615384615384617</x:v>
      </x:c>
      <x:c r="O1277" s="24" t="n">
        <x:f>J1277+L1277</x:f>
        <x:v>10.23076923076923</x:v>
      </x:c>
    </x:row>
    <x:row r="1278">
      <x:c r="A1278" s="22" t="str">
        <x:v>500109063</x:v>
      </x:c>
      <x:c r="B1278" s="17" t="str">
        <x:v>北投區</x:v>
      </x:c>
      <x:c r="C1278" s="17" t="str">
        <x:v>奇岩4號綠地</x:v>
      </x:c>
      <x:c r="D1278" s="18" t="n">
        <x:v>26</x:v>
      </x:c>
      <x:c r="E1278" s="18" t="n">
        <x:v>26</x:v>
      </x:c>
      <x:c r="F1278" s="24" t="n">
        <x:f>IFERROR('各站彙總來源'!F1278/'各站彙總來源'!G1278,"")</x:f>
        <x:v>30.73076923076923</x:v>
      </x:c>
      <x:c r="G1278" s="19" t="n">
        <x:f>'各站彙總來源'!G1278</x:f>
        <x:v>26</x:v>
      </x:c>
      <x:c r="H1278" s="24" t="n">
        <x:f>IFERROR('各站彙總來源'!H1278/'各站彙總來源'!I1278,"")</x:f>
        <x:v>3.230769230769231</x:v>
      </x:c>
      <x:c r="I1278" s="19" t="n">
        <x:f>'各站彙總來源'!I1278</x:f>
        <x:v>26</x:v>
      </x:c>
      <x:c r="J1278" s="24" t="n">
        <x:f>IFERROR('各站彙總來源'!J1278/'各站彙總來源'!K1278,"")</x:f>
        <x:v>8.384615384615385</x:v>
      </x:c>
      <x:c r="K1278" s="19" t="n">
        <x:f>'各站彙總來源'!K1278</x:f>
        <x:v>26</x:v>
      </x:c>
      <x:c r="L1278" s="24" t="n">
        <x:f>IFERROR('各站彙總來源'!L1278/'各站彙總來源'!M1278,"")</x:f>
        <x:v>1.7307692307692308</x:v>
      </x:c>
      <x:c r="M1278" s="19" t="n">
        <x:f>'各站彙總來源'!M1278</x:f>
        <x:v>26</x:v>
      </x:c>
      <x:c r="N1278" s="24" t="n">
        <x:f>F1278+H1278</x:f>
        <x:v>33.96153846153846</x:v>
      </x:c>
      <x:c r="O1278" s="24" t="n">
        <x:f>J1278+L1278</x:f>
        <x:v>10.115384615384617</x:v>
      </x:c>
    </x:row>
    <x:row r="1279">
      <x:c r="A1279" s="22" t="str">
        <x:v>500109064</x:v>
      </x:c>
      <x:c r="B1279" s="17" t="str">
        <x:v>北投區</x:v>
      </x:c>
      <x:c r="C1279" s="17" t="str">
        <x:v>臺北健康護理大學(教研大樓)</x:v>
      </x:c>
      <x:c r="D1279" s="18" t="n">
        <x:v>26</x:v>
      </x:c>
      <x:c r="E1279" s="18" t="n">
        <x:v>26</x:v>
      </x:c>
      <x:c r="F1279" s="24" t="n">
        <x:f>IFERROR('各站彙總來源'!F1279/'各站彙總來源'!G1279,"")</x:f>
        <x:v>6.384615384615385</x:v>
      </x:c>
      <x:c r="G1279" s="19" t="n">
        <x:f>'各站彙總來源'!G1279</x:f>
        <x:v>26</x:v>
      </x:c>
      <x:c r="H1279" s="24" t="n">
        <x:f>IFERROR('各站彙總來源'!H1279/'各站彙總來源'!I1279,"")</x:f>
        <x:v>1.5</x:v>
      </x:c>
      <x:c r="I1279" s="19" t="n">
        <x:f>'各站彙總來源'!I1279</x:f>
        <x:v>26</x:v>
      </x:c>
      <x:c r="J1279" s="24" t="n">
        <x:f>IFERROR('各站彙總來源'!J1279/'各站彙總來源'!K1279,"")</x:f>
        <x:v>59.42307692307692</x:v>
      </x:c>
      <x:c r="K1279" s="19" t="n">
        <x:f>'各站彙總來源'!K1279</x:f>
        <x:v>26</x:v>
      </x:c>
      <x:c r="L1279" s="24" t="n">
        <x:f>IFERROR('各站彙總來源'!L1279/'各站彙總來源'!M1279,"")</x:f>
        <x:v>5.461538461538462</x:v>
      </x:c>
      <x:c r="M1279" s="19" t="n">
        <x:f>'各站彙總來源'!M1279</x:f>
        <x:v>26</x:v>
      </x:c>
      <x:c r="N1279" s="24" t="n">
        <x:f>F1279+H1279</x:f>
        <x:v>7.884615384615385</x:v>
      </x:c>
      <x:c r="O1279" s="24" t="n">
        <x:f>J1279+L1279</x:f>
        <x:v>64.88461538461539</x:v>
      </x:c>
    </x:row>
    <x:row r="1280">
      <x:c r="A1280" s="22" t="str">
        <x:v>500109065</x:v>
      </x:c>
      <x:c r="B1280" s="17" t="str">
        <x:v>北投區</x:v>
      </x:c>
      <x:c r="C1280" s="17" t="str">
        <x:v>奇岩一號公園</x:v>
      </x:c>
      <x:c r="D1280" s="18" t="n">
        <x:v>26</x:v>
      </x:c>
      <x:c r="E1280" s="18" t="n">
        <x:v>26</x:v>
      </x:c>
      <x:c r="F1280" s="24" t="n">
        <x:f>IFERROR('各站彙總來源'!F1280/'各站彙總來源'!G1280,"")</x:f>
        <x:v>19.53846153846154</x:v>
      </x:c>
      <x:c r="G1280" s="19" t="n">
        <x:f>'各站彙總來源'!G1280</x:f>
        <x:v>26</x:v>
      </x:c>
      <x:c r="H1280" s="24" t="n">
        <x:f>IFERROR('各站彙總來源'!H1280/'各站彙總來源'!I1280,"")</x:f>
        <x:v>2.5</x:v>
      </x:c>
      <x:c r="I1280" s="19" t="n">
        <x:f>'各站彙總來源'!I1280</x:f>
        <x:v>26</x:v>
      </x:c>
      <x:c r="J1280" s="24" t="n">
        <x:f>IFERROR('各站彙總來源'!J1280/'各站彙總來源'!K1280,"")</x:f>
        <x:v>7.038461538461538</x:v>
      </x:c>
      <x:c r="K1280" s="19" t="n">
        <x:f>'各站彙總來源'!K1280</x:f>
        <x:v>26</x:v>
      </x:c>
      <x:c r="L1280" s="24" t="n">
        <x:f>IFERROR('各站彙總來源'!L1280/'各站彙總來源'!M1280,"")</x:f>
        <x:v>1.2692307692307692</x:v>
      </x:c>
      <x:c r="M1280" s="19" t="n">
        <x:f>'各站彙總來源'!M1280</x:f>
        <x:v>26</x:v>
      </x:c>
      <x:c r="N1280" s="24" t="n">
        <x:f>F1280+H1280</x:f>
        <x:v>22.03846153846154</x:v>
      </x:c>
      <x:c r="O1280" s="24" t="n">
        <x:f>J1280+L1280</x:f>
        <x:v>8.307692307692307</x:v>
      </x:c>
    </x:row>
    <x:row r="1281">
      <x:c r="A1281" s="22" t="str">
        <x:v>500109066</x:v>
      </x:c>
      <x:c r="B1281" s="17" t="str">
        <x:v>北投區</x:v>
      </x:c>
      <x:c r="C1281" s="17" t="str">
        <x:v>福星公園</x:v>
      </x:c>
      <x:c r="D1281" s="18" t="n">
        <x:v>26</x:v>
      </x:c>
      <x:c r="E1281" s="18" t="n">
        <x:v>26</x:v>
      </x:c>
      <x:c r="F1281" s="24" t="n">
        <x:f>IFERROR('各站彙總來源'!F1281/'各站彙總來源'!G1281,"")</x:f>
        <x:v>30.653846153846153</x:v>
      </x:c>
      <x:c r="G1281" s="19" t="n">
        <x:f>'各站彙總來源'!G1281</x:f>
        <x:v>26</x:v>
      </x:c>
      <x:c r="H1281" s="24" t="n">
        <x:f>IFERROR('各站彙總來源'!H1281/'各站彙總來源'!I1281,"")</x:f>
        <x:v>3</x:v>
      </x:c>
      <x:c r="I1281" s="19" t="n">
        <x:f>'各站彙總來源'!I1281</x:f>
        <x:v>26</x:v>
      </x:c>
      <x:c r="J1281" s="24" t="n">
        <x:f>IFERROR('各站彙總來源'!J1281/'各站彙總來源'!K1281,"")</x:f>
        <x:v>14.807692307692308</x:v>
      </x:c>
      <x:c r="K1281" s="19" t="n">
        <x:f>'各站彙總來源'!K1281</x:f>
        <x:v>26</x:v>
      </x:c>
      <x:c r="L1281" s="24" t="n">
        <x:f>IFERROR('各站彙總來源'!L1281/'各站彙總來源'!M1281,"")</x:f>
        <x:v>2.6153846153846154</x:v>
      </x:c>
      <x:c r="M1281" s="19" t="n">
        <x:f>'各站彙總來源'!M1281</x:f>
        <x:v>26</x:v>
      </x:c>
      <x:c r="N1281" s="24" t="n">
        <x:f>F1281+H1281</x:f>
        <x:v>33.65384615384615</x:v>
      </x:c>
      <x:c r="O1281" s="24" t="n">
        <x:f>J1281+L1281</x:f>
        <x:v>17.423076923076923</x:v>
      </x:c>
    </x:row>
    <x:row r="1282">
      <x:c r="A1282" s="22" t="str">
        <x:v>500109067</x:v>
      </x:c>
      <x:c r="B1282" s="17" t="str">
        <x:v>北投區</x:v>
      </x:c>
      <x:c r="C1282" s="17" t="str">
        <x:v>中庸公園</x:v>
      </x:c>
      <x:c r="D1282" s="18" t="n">
        <x:v>26</x:v>
      </x:c>
      <x:c r="E1282" s="18" t="n">
        <x:v>26</x:v>
      </x:c>
      <x:c r="F1282" s="24" t="n">
        <x:f>IFERROR('各站彙總來源'!F1282/'各站彙總來源'!G1282,"")</x:f>
        <x:v>14.384615384615385</x:v>
      </x:c>
      <x:c r="G1282" s="19" t="n">
        <x:f>'各站彙總來源'!G1282</x:f>
        <x:v>26</x:v>
      </x:c>
      <x:c r="H1282" s="24" t="n">
        <x:f>IFERROR('各站彙總來源'!H1282/'各站彙總來源'!I1282,"")</x:f>
        <x:v>1.3461538461538463</x:v>
      </x:c>
      <x:c r="I1282" s="19" t="n">
        <x:f>'各站彙總來源'!I1282</x:f>
        <x:v>26</x:v>
      </x:c>
      <x:c r="J1282" s="24" t="n">
        <x:f>IFERROR('各站彙總來源'!J1282/'各站彙總來源'!K1282,"")</x:f>
        <x:v>4.730769230769231</x:v>
      </x:c>
      <x:c r="K1282" s="19" t="n">
        <x:f>'各站彙總來源'!K1282</x:f>
        <x:v>26</x:v>
      </x:c>
      <x:c r="L1282" s="24" t="n">
        <x:f>IFERROR('各站彙總來源'!L1282/'各站彙總來源'!M1282,"")</x:f>
        <x:v>0.6538461538461539</x:v>
      </x:c>
      <x:c r="M1282" s="19" t="n">
        <x:f>'各站彙總來源'!M1282</x:f>
        <x:v>26</x:v>
      </x:c>
      <x:c r="N1282" s="24" t="n">
        <x:f>F1282+H1282</x:f>
        <x:v>15.730769230769232</x:v>
      </x:c>
      <x:c r="O1282" s="24" t="n">
        <x:f>J1282+L1282</x:f>
        <x:v>5.384615384615385</x:v>
      </x:c>
    </x:row>
    <x:row r="1283">
      <x:c r="A1283" s="22" t="str">
        <x:v>500109068</x:v>
      </x:c>
      <x:c r="B1283" s="17" t="str">
        <x:v>北投區</x:v>
      </x:c>
      <x:c r="C1283" s="17" t="str">
        <x:v>豐年公園_1</x:v>
      </x:c>
      <x:c r="D1283" s="18" t="n">
        <x:v>26</x:v>
      </x:c>
      <x:c r="E1283" s="18" t="n">
        <x:v>26</x:v>
      </x:c>
      <x:c r="F1283" s="24" t="n">
        <x:f>IFERROR('各站彙總來源'!F1283/'各站彙總來源'!G1283,"")</x:f>
        <x:v>29.96153846153846</x:v>
      </x:c>
      <x:c r="G1283" s="19" t="n">
        <x:f>'各站彙總來源'!G1283</x:f>
        <x:v>26</x:v>
      </x:c>
      <x:c r="H1283" s="24" t="n">
        <x:f>IFERROR('各站彙總來源'!H1283/'各站彙總來源'!I1283,"")</x:f>
        <x:v>1.7307692307692308</x:v>
      </x:c>
      <x:c r="I1283" s="19" t="n">
        <x:f>'各站彙總來源'!I1283</x:f>
        <x:v>26</x:v>
      </x:c>
      <x:c r="J1283" s="24" t="n">
        <x:f>IFERROR('各站彙總來源'!J1283/'各站彙總來源'!K1283,"")</x:f>
        <x:v>6</x:v>
      </x:c>
      <x:c r="K1283" s="19" t="n">
        <x:f>'各站彙總來源'!K1283</x:f>
        <x:v>26</x:v>
      </x:c>
      <x:c r="L1283" s="24" t="n">
        <x:f>IFERROR('各站彙總來源'!L1283/'各站彙總來源'!M1283,"")</x:f>
        <x:v>1.8076923076923077</x:v>
      </x:c>
      <x:c r="M1283" s="19" t="n">
        <x:f>'各站彙總來源'!M1283</x:f>
        <x:v>26</x:v>
      </x:c>
      <x:c r="N1283" s="24" t="n">
        <x:f>F1283+H1283</x:f>
        <x:v>31.69230769230769</x:v>
      </x:c>
      <x:c r="O1283" s="24" t="n">
        <x:f>J1283+L1283</x:f>
        <x:v>7.8076923076923075</x:v>
      </x:c>
    </x:row>
    <x:row r="1284">
      <x:c r="A1284" s="22" t="str">
        <x:v>500109069</x:v>
      </x:c>
      <x:c r="B1284" s="17" t="str">
        <x:v>北投區</x:v>
      </x:c>
      <x:c r="C1284" s="17" t="str">
        <x:v>榮華公園(舊)</x:v>
      </x:c>
      <x:c r="D1284" s="18" t="n">
        <x:v>26</x:v>
      </x:c>
      <x:c r="E1284" s="18" t="n">
        <x:v>26</x:v>
      </x:c>
      <x:c r="F1284" s="24" t="n">
        <x:f>IFERROR('各站彙總來源'!F1284/'各站彙總來源'!G1284,"")</x:f>
        <x:v>0</x:v>
      </x:c>
      <x:c r="G1284" s="19" t="n">
        <x:f>'各站彙總來源'!G1284</x:f>
        <x:v>26</x:v>
      </x:c>
      <x:c r="H1284" s="24" t="n">
        <x:f>IFERROR('各站彙總來源'!H1284/'各站彙總來源'!I1284,"")</x:f>
        <x:v>0</x:v>
      </x:c>
      <x:c r="I1284" s="19" t="n">
        <x:f>'各站彙總來源'!I1284</x:f>
        <x:v>26</x:v>
      </x:c>
      <x:c r="J1284" s="24" t="n">
        <x:f>IFERROR('各站彙總來源'!J1284/'各站彙總來源'!K1284,"")</x:f>
        <x:v>0</x:v>
      </x:c>
      <x:c r="K1284" s="19" t="n">
        <x:f>'各站彙總來源'!K1284</x:f>
        <x:v>26</x:v>
      </x:c>
      <x:c r="L1284" s="24" t="n">
        <x:f>IFERROR('各站彙總來源'!L1284/'各站彙總來源'!M1284,"")</x:f>
        <x:v>0</x:v>
      </x:c>
      <x:c r="M1284" s="19" t="n">
        <x:f>'各站彙總來源'!M1284</x:f>
        <x:v>26</x:v>
      </x:c>
      <x:c r="N1284" s="24" t="n">
        <x:f>F1284+H1284</x:f>
        <x:v>0</x:v>
      </x:c>
      <x:c r="O1284" s="24" t="n">
        <x:f>J1284+L1284</x:f>
        <x:v>0</x:v>
      </x:c>
    </x:row>
    <x:row r="1285">
      <x:c r="A1285" s="22" t="str">
        <x:v>500109070</x:v>
      </x:c>
      <x:c r="B1285" s="17" t="str">
        <x:v>北投區</x:v>
      </x:c>
      <x:c r="C1285" s="17" t="str">
        <x:v>光明溫泉路口</x:v>
      </x:c>
      <x:c r="D1285" s="18" t="n">
        <x:v>26</x:v>
      </x:c>
      <x:c r="E1285" s="18" t="n">
        <x:v>26</x:v>
      </x:c>
      <x:c r="F1285" s="24" t="n">
        <x:f>IFERROR('各站彙總來源'!F1285/'各站彙總來源'!G1285,"")</x:f>
        <x:v>18.73076923076923</x:v>
      </x:c>
      <x:c r="G1285" s="19" t="n">
        <x:f>'各站彙總來源'!G1285</x:f>
        <x:v>26</x:v>
      </x:c>
      <x:c r="H1285" s="24" t="n">
        <x:f>IFERROR('各站彙總來源'!H1285/'各站彙總來源'!I1285,"")</x:f>
        <x:v>1.6538461538461537</x:v>
      </x:c>
      <x:c r="I1285" s="19" t="n">
        <x:f>'各站彙總來源'!I1285</x:f>
        <x:v>26</x:v>
      </x:c>
      <x:c r="J1285" s="24" t="n">
        <x:f>IFERROR('各站彙總來源'!J1285/'各站彙總來源'!K1285,"")</x:f>
        <x:v>7.730769230769231</x:v>
      </x:c>
      <x:c r="K1285" s="19" t="n">
        <x:f>'各站彙總來源'!K1285</x:f>
        <x:v>26</x:v>
      </x:c>
      <x:c r="L1285" s="24" t="n">
        <x:f>IFERROR('各站彙總來源'!L1285/'各站彙總來源'!M1285,"")</x:f>
        <x:v>1.6923076923076923</x:v>
      </x:c>
      <x:c r="M1285" s="19" t="n">
        <x:f>'各站彙總來源'!M1285</x:f>
        <x:v>26</x:v>
      </x:c>
      <x:c r="N1285" s="24" t="n">
        <x:f>F1285+H1285</x:f>
        <x:v>20.384615384615383</x:v>
      </x:c>
      <x:c r="O1285" s="24" t="n">
        <x:f>J1285+L1285</x:f>
        <x:v>9.423076923076923</x:v>
      </x:c>
    </x:row>
    <x:row r="1286">
      <x:c r="A1286" s="22" t="str">
        <x:v>500109071</x:v>
      </x:c>
      <x:c r="B1286" s="17" t="str">
        <x:v>北投區</x:v>
      </x:c>
      <x:c r="C1286" s="17" t="str">
        <x:v>和信治癌中心醫院</x:v>
      </x:c>
      <x:c r="D1286" s="18" t="n">
        <x:v>26</x:v>
      </x:c>
      <x:c r="E1286" s="18" t="n">
        <x:v>26</x:v>
      </x:c>
      <x:c r="F1286" s="24" t="n">
        <x:f>IFERROR('各站彙總來源'!F1286/'各站彙總來源'!G1286,"")</x:f>
        <x:v>5.923076923076923</x:v>
      </x:c>
      <x:c r="G1286" s="19" t="n">
        <x:f>'各站彙總來源'!G1286</x:f>
        <x:v>26</x:v>
      </x:c>
      <x:c r="H1286" s="24" t="n">
        <x:f>IFERROR('各站彙總來源'!H1286/'各站彙總來源'!I1286,"")</x:f>
        <x:v>1.7692307692307692</x:v>
      </x:c>
      <x:c r="I1286" s="19" t="n">
        <x:f>'各站彙總來源'!I1286</x:f>
        <x:v>26</x:v>
      </x:c>
      <x:c r="J1286" s="24" t="n">
        <x:f>IFERROR('各站彙總來源'!J1286/'各站彙總來源'!K1286,"")</x:f>
        <x:v>30.307692307692307</x:v>
      </x:c>
      <x:c r="K1286" s="19" t="n">
        <x:f>'各站彙總來源'!K1286</x:f>
        <x:v>26</x:v>
      </x:c>
      <x:c r="L1286" s="24" t="n">
        <x:f>IFERROR('各站彙總來源'!L1286/'各站彙總來源'!M1286,"")</x:f>
        <x:v>5.1923076923076925</x:v>
      </x:c>
      <x:c r="M1286" s="19" t="n">
        <x:f>'各站彙總來源'!M1286</x:f>
        <x:v>26</x:v>
      </x:c>
      <x:c r="N1286" s="24" t="n">
        <x:f>F1286+H1286</x:f>
        <x:v>7.6923076923076925</x:v>
      </x:c>
      <x:c r="O1286" s="24" t="n">
        <x:f>J1286+L1286</x:f>
        <x:v>35.5</x:v>
      </x:c>
    </x:row>
    <x:row r="1287">
      <x:c r="A1287" s="22" t="str">
        <x:v>500109072</x:v>
      </x:c>
      <x:c r="B1287" s="17" t="str">
        <x:v>北投區</x:v>
      </x:c>
      <x:c r="C1287" s="17" t="str">
        <x:v>致遠新村</x:v>
      </x:c>
      <x:c r="D1287" s="18" t="n">
        <x:v>26</x:v>
      </x:c>
      <x:c r="E1287" s="18" t="n">
        <x:v>26</x:v>
      </x:c>
      <x:c r="F1287" s="24" t="n">
        <x:f>IFERROR('各站彙總來源'!F1287/'各站彙總來源'!G1287,"")</x:f>
        <x:v>7.423076923076923</x:v>
      </x:c>
      <x:c r="G1287" s="19" t="n">
        <x:f>'各站彙總來源'!G1287</x:f>
        <x:v>26</x:v>
      </x:c>
      <x:c r="H1287" s="24" t="n">
        <x:f>IFERROR('各站彙總來源'!H1287/'各站彙總來源'!I1287,"")</x:f>
        <x:v>2.576923076923077</x:v>
      </x:c>
      <x:c r="I1287" s="19" t="n">
        <x:f>'各站彙總來源'!I1287</x:f>
        <x:v>26</x:v>
      </x:c>
      <x:c r="J1287" s="24" t="n">
        <x:f>IFERROR('各站彙總來源'!J1287/'各站彙總來源'!K1287,"")</x:f>
        <x:v>5.8076923076923075</x:v>
      </x:c>
      <x:c r="K1287" s="19" t="n">
        <x:f>'各站彙總來源'!K1287</x:f>
        <x:v>26</x:v>
      </x:c>
      <x:c r="L1287" s="24" t="n">
        <x:f>IFERROR('各站彙總來源'!L1287/'各站彙總來源'!M1287,"")</x:f>
        <x:v>2.3076923076923075</x:v>
      </x:c>
      <x:c r="M1287" s="19" t="n">
        <x:f>'各站彙總來源'!M1287</x:f>
        <x:v>26</x:v>
      </x:c>
      <x:c r="N1287" s="24" t="n">
        <x:f>F1287+H1287</x:f>
        <x:v>10</x:v>
      </x:c>
      <x:c r="O1287" s="24" t="n">
        <x:f>J1287+L1287</x:f>
        <x:v>8.115384615384615</x:v>
      </x:c>
    </x:row>
    <x:row r="1288">
      <x:c r="A1288" s="22" t="str">
        <x:v>500109073</x:v>
      </x:c>
      <x:c r="B1288" s="17" t="str">
        <x:v>北投區</x:v>
      </x:c>
      <x:c r="C1288" s="17" t="str">
        <x:v>北投公園露天溫泉</x:v>
      </x:c>
      <x:c r="D1288" s="18" t="n">
        <x:v>26</x:v>
      </x:c>
      <x:c r="E1288" s="18" t="n">
        <x:v>26</x:v>
      </x:c>
      <x:c r="F1288" s="24" t="n">
        <x:f>IFERROR('各站彙總來源'!F1288/'各站彙總來源'!G1288,"")</x:f>
        <x:v>4.038461538461538</x:v>
      </x:c>
      <x:c r="G1288" s="19" t="n">
        <x:f>'各站彙總來源'!G1288</x:f>
        <x:v>26</x:v>
      </x:c>
      <x:c r="H1288" s="24" t="n">
        <x:f>IFERROR('各站彙總來源'!H1288/'各站彙總來源'!I1288,"")</x:f>
        <x:v>1.5769230769230769</x:v>
      </x:c>
      <x:c r="I1288" s="19" t="n">
        <x:f>'各站彙總來源'!I1288</x:f>
        <x:v>26</x:v>
      </x:c>
      <x:c r="J1288" s="24" t="n">
        <x:f>IFERROR('各站彙總來源'!J1288/'各站彙總來源'!K1288,"")</x:f>
        <x:v>2.8461538461538463</x:v>
      </x:c>
      <x:c r="K1288" s="19" t="n">
        <x:f>'各站彙總來源'!K1288</x:f>
        <x:v>26</x:v>
      </x:c>
      <x:c r="L1288" s="24" t="n">
        <x:f>IFERROR('各站彙總來源'!L1288/'各站彙總來源'!M1288,"")</x:f>
        <x:v>1.7692307692307692</x:v>
      </x:c>
      <x:c r="M1288" s="19" t="n">
        <x:f>'各站彙總來源'!M1288</x:f>
        <x:v>26</x:v>
      </x:c>
      <x:c r="N1288" s="24" t="n">
        <x:f>F1288+H1288</x:f>
        <x:v>5.615384615384615</x:v>
      </x:c>
      <x:c r="O1288" s="24" t="n">
        <x:f>J1288+L1288</x:f>
        <x:v>4.615384615384615</x:v>
      </x:c>
    </x:row>
    <x:row r="1289">
      <x:c r="A1289" s="22" t="str">
        <x:v>500109074</x:v>
      </x:c>
      <x:c r="B1289" s="17" t="str">
        <x:v>北投區</x:v>
      </x:c>
      <x:c r="C1289" s="17" t="str">
        <x:v>中和街493巷9弄口</x:v>
      </x:c>
      <x:c r="D1289" s="18" t="n">
        <x:v>26</x:v>
      </x:c>
      <x:c r="E1289" s="18" t="n">
        <x:v>26</x:v>
      </x:c>
      <x:c r="F1289" s="24" t="n">
        <x:f>IFERROR('各站彙總來源'!F1289/'各站彙總來源'!G1289,"")</x:f>
        <x:v>13.807692307692308</x:v>
      </x:c>
      <x:c r="G1289" s="19" t="n">
        <x:f>'各站彙總來源'!G1289</x:f>
        <x:v>26</x:v>
      </x:c>
      <x:c r="H1289" s="24" t="n">
        <x:f>IFERROR('各站彙總來源'!H1289/'各站彙總來源'!I1289,"")</x:f>
        <x:v>2.0384615384615383</x:v>
      </x:c>
      <x:c r="I1289" s="19" t="n">
        <x:f>'各站彙總來源'!I1289</x:f>
        <x:v>26</x:v>
      </x:c>
      <x:c r="J1289" s="24" t="n">
        <x:f>IFERROR('各站彙總來源'!J1289/'各站彙總來源'!K1289,"")</x:f>
        <x:v>3.1923076923076925</x:v>
      </x:c>
      <x:c r="K1289" s="19" t="n">
        <x:f>'各站彙總來源'!K1289</x:f>
        <x:v>26</x:v>
      </x:c>
      <x:c r="L1289" s="24" t="n">
        <x:f>IFERROR('各站彙總來源'!L1289/'各站彙總來源'!M1289,"")</x:f>
        <x:v>1.1153846153846154</x:v>
      </x:c>
      <x:c r="M1289" s="19" t="n">
        <x:f>'各站彙總來源'!M1289</x:f>
        <x:v>26</x:v>
      </x:c>
      <x:c r="N1289" s="24" t="n">
        <x:f>F1289+H1289</x:f>
        <x:v>15.846153846153847</x:v>
      </x:c>
      <x:c r="O1289" s="24" t="n">
        <x:f>J1289+L1289</x:f>
        <x:v>4.307692307692308</x:v>
      </x:c>
    </x:row>
    <x:row r="1290">
      <x:c r="A1290" s="22" t="str">
        <x:v>500109075</x:v>
      </x:c>
      <x:c r="B1290" s="17" t="str">
        <x:v>北投區</x:v>
      </x:c>
      <x:c r="C1290" s="17" t="str">
        <x:v>捷運北投站(1號出口)</x:v>
      </x:c>
      <x:c r="D1290" s="18" t="n">
        <x:v>26</x:v>
      </x:c>
      <x:c r="E1290" s="18" t="n">
        <x:v>26</x:v>
      </x:c>
      <x:c r="F1290" s="24" t="n">
        <x:f>IFERROR('各站彙總來源'!F1290/'各站彙總來源'!G1290,"")</x:f>
        <x:v>30.26923076923077</x:v>
      </x:c>
      <x:c r="G1290" s="19" t="n">
        <x:f>'各站彙總來源'!G1290</x:f>
        <x:v>26</x:v>
      </x:c>
      <x:c r="H1290" s="24" t="n">
        <x:f>IFERROR('各站彙總來源'!H1290/'各站彙總來源'!I1290,"")</x:f>
        <x:v>2.1153846153846154</x:v>
      </x:c>
      <x:c r="I1290" s="19" t="n">
        <x:f>'各站彙總來源'!I1290</x:f>
        <x:v>26</x:v>
      </x:c>
      <x:c r="J1290" s="24" t="n">
        <x:f>IFERROR('各站彙總來源'!J1290/'各站彙總來源'!K1290,"")</x:f>
        <x:v>136.92307692307693</x:v>
      </x:c>
      <x:c r="K1290" s="19" t="n">
        <x:f>'各站彙總來源'!K1290</x:f>
        <x:v>26</x:v>
      </x:c>
      <x:c r="L1290" s="24" t="n">
        <x:f>IFERROR('各站彙總來源'!L1290/'各站彙總來源'!M1290,"")</x:f>
        <x:v>5.1923076923076925</x:v>
      </x:c>
      <x:c r="M1290" s="19" t="n">
        <x:f>'各站彙總來源'!M1290</x:f>
        <x:v>26</x:v>
      </x:c>
      <x:c r="N1290" s="24" t="n">
        <x:f>F1290+H1290</x:f>
        <x:v>32.38461538461539</x:v>
      </x:c>
      <x:c r="O1290" s="24" t="n">
        <x:f>J1290+L1290</x:f>
        <x:v>142.1153846153846</x:v>
      </x:c>
    </x:row>
    <x:row r="1291">
      <x:c r="A1291" s="22" t="str">
        <x:v>500109076</x:v>
      </x:c>
      <x:c r="B1291" s="17" t="str">
        <x:v>北投區</x:v>
      </x:c>
      <x:c r="C1291" s="17" t="str">
        <x:v>石牌立農街口</x:v>
      </x:c>
      <x:c r="D1291" s="18" t="n">
        <x:v>26</x:v>
      </x:c>
      <x:c r="E1291" s="18" t="n">
        <x:v>26</x:v>
      </x:c>
      <x:c r="F1291" s="24" t="n">
        <x:f>IFERROR('各站彙總來源'!F1291/'各站彙總來源'!G1291,"")</x:f>
        <x:v>5.423076923076923</x:v>
      </x:c>
      <x:c r="G1291" s="19" t="n">
        <x:f>'各站彙總來源'!G1291</x:f>
        <x:v>26</x:v>
      </x:c>
      <x:c r="H1291" s="24" t="n">
        <x:f>IFERROR('各站彙總來源'!H1291/'各站彙總來源'!I1291,"")</x:f>
        <x:v>1.5</x:v>
      </x:c>
      <x:c r="I1291" s="19" t="n">
        <x:f>'各站彙總來源'!I1291</x:f>
        <x:v>26</x:v>
      </x:c>
      <x:c r="J1291" s="24" t="n">
        <x:f>IFERROR('各站彙總來源'!J1291/'各站彙總來源'!K1291,"")</x:f>
        <x:v>12.076923076923077</x:v>
      </x:c>
      <x:c r="K1291" s="19" t="n">
        <x:f>'各站彙總來源'!K1291</x:f>
        <x:v>26</x:v>
      </x:c>
      <x:c r="L1291" s="24" t="n">
        <x:f>IFERROR('各站彙總來源'!L1291/'各站彙總來源'!M1291,"")</x:f>
        <x:v>2.3846153846153846</x:v>
      </x:c>
      <x:c r="M1291" s="19" t="n">
        <x:f>'各站彙總來源'!M1291</x:f>
        <x:v>26</x:v>
      </x:c>
      <x:c r="N1291" s="24" t="n">
        <x:f>F1291+H1291</x:f>
        <x:v>6.923076923076923</x:v>
      </x:c>
      <x:c r="O1291" s="24" t="n">
        <x:f>J1291+L1291</x:f>
        <x:v>14.461538461538462</x:v>
      </x:c>
    </x:row>
    <x:row r="1292">
      <x:c r="A1292" s="22" t="str">
        <x:v>500109077</x:v>
      </x:c>
      <x:c r="B1292" s="17" t="str">
        <x:v>北投區</x:v>
      </x:c>
      <x:c r="C1292" s="17" t="str">
        <x:v>捷運唭哩岸站(1號出口)</x:v>
      </x:c>
      <x:c r="D1292" s="18" t="n">
        <x:v>26</x:v>
      </x:c>
      <x:c r="E1292" s="18" t="n">
        <x:v>26</x:v>
      </x:c>
      <x:c r="F1292" s="24" t="n">
        <x:f>IFERROR('各站彙總來源'!F1292/'各站彙總來源'!G1292,"")</x:f>
        <x:v>6.346153846153846</x:v>
      </x:c>
      <x:c r="G1292" s="19" t="n">
        <x:f>'各站彙總來源'!G1292</x:f>
        <x:v>26</x:v>
      </x:c>
      <x:c r="H1292" s="24" t="n">
        <x:f>IFERROR('各站彙總來源'!H1292/'各站彙總來源'!I1292,"")</x:f>
        <x:v>1.6923076923076923</x:v>
      </x:c>
      <x:c r="I1292" s="19" t="n">
        <x:f>'各站彙總來源'!I1292</x:f>
        <x:v>26</x:v>
      </x:c>
      <x:c r="J1292" s="24" t="n">
        <x:f>IFERROR('各站彙總來源'!J1292/'各站彙總來源'!K1292,"")</x:f>
        <x:v>12.346153846153847</x:v>
      </x:c>
      <x:c r="K1292" s="19" t="n">
        <x:f>'各站彙總來源'!K1292</x:f>
        <x:v>26</x:v>
      </x:c>
      <x:c r="L1292" s="24" t="n">
        <x:f>IFERROR('各站彙總來源'!L1292/'各站彙總來源'!M1292,"")</x:f>
        <x:v>1.3076923076923077</x:v>
      </x:c>
      <x:c r="M1292" s="19" t="n">
        <x:f>'各站彙總來源'!M1292</x:f>
        <x:v>26</x:v>
      </x:c>
      <x:c r="N1292" s="24" t="n">
        <x:f>F1292+H1292</x:f>
        <x:v>8.038461538461538</x:v>
      </x:c>
      <x:c r="O1292" s="24" t="n">
        <x:f>J1292+L1292</x:f>
        <x:v>13.653846153846155</x:v>
      </x:c>
    </x:row>
    <x:row r="1293">
      <x:c r="A1293" s="22" t="str">
        <x:v>500109078</x:v>
      </x:c>
      <x:c r="B1293" s="17" t="str">
        <x:v>北投區</x:v>
      </x:c>
      <x:c r="C1293" s="17" t="str">
        <x:v>大興光明路2巷口</x:v>
      </x:c>
      <x:c r="D1293" s="18" t="n">
        <x:v>26</x:v>
      </x:c>
      <x:c r="E1293" s="18" t="n">
        <x:v>26</x:v>
      </x:c>
      <x:c r="F1293" s="24" t="n">
        <x:f>IFERROR('各站彙總來源'!F1293/'各站彙總來源'!G1293,"")</x:f>
        <x:v>6.115384615384615</x:v>
      </x:c>
      <x:c r="G1293" s="19" t="n">
        <x:f>'各站彙總來源'!G1293</x:f>
        <x:v>26</x:v>
      </x:c>
      <x:c r="H1293" s="24" t="n">
        <x:f>IFERROR('各站彙總來源'!H1293/'各站彙總來源'!I1293,"")</x:f>
        <x:v>0.7692307692307693</x:v>
      </x:c>
      <x:c r="I1293" s="19" t="n">
        <x:f>'各站彙總來源'!I1293</x:f>
        <x:v>26</x:v>
      </x:c>
      <x:c r="J1293" s="24" t="n">
        <x:f>IFERROR('各站彙總來源'!J1293/'各站彙總來源'!K1293,"")</x:f>
        <x:v>10.76923076923077</x:v>
      </x:c>
      <x:c r="K1293" s="19" t="n">
        <x:f>'各站彙總來源'!K1293</x:f>
        <x:v>26</x:v>
      </x:c>
      <x:c r="L1293" s="24" t="n">
        <x:f>IFERROR('各站彙總來源'!L1293/'各站彙總來源'!M1293,"")</x:f>
        <x:v>1.5384615384615385</x:v>
      </x:c>
      <x:c r="M1293" s="19" t="n">
        <x:f>'各站彙總來源'!M1293</x:f>
        <x:v>26</x:v>
      </x:c>
      <x:c r="N1293" s="24" t="n">
        <x:f>F1293+H1293</x:f>
        <x:v>6.884615384615384</x:v>
      </x:c>
      <x:c r="O1293" s="24" t="n">
        <x:f>J1293+L1293</x:f>
        <x:v>12.307692307692308</x:v>
      </x:c>
    </x:row>
    <x:row r="1294">
      <x:c r="A1294" s="22" t="str">
        <x:v>500109079</x:v>
      </x:c>
      <x:c r="B1294" s="17" t="str">
        <x:v>北投區</x:v>
      </x:c>
      <x:c r="C1294" s="17" t="str">
        <x:v>捷運忠義站(2號出口)</x:v>
      </x:c>
      <x:c r="D1294" s="18" t="n">
        <x:v>26</x:v>
      </x:c>
      <x:c r="E1294" s="18" t="n">
        <x:v>26</x:v>
      </x:c>
      <x:c r="F1294" s="24" t="n">
        <x:f>IFERROR('各站彙總來源'!F1294/'各站彙總來源'!G1294,"")</x:f>
        <x:v>24.615384615384617</x:v>
      </x:c>
      <x:c r="G1294" s="19" t="n">
        <x:f>'各站彙總來源'!G1294</x:f>
        <x:v>26</x:v>
      </x:c>
      <x:c r="H1294" s="24" t="n">
        <x:f>IFERROR('各站彙總來源'!H1294/'各站彙總來源'!I1294,"")</x:f>
        <x:v>3.1923076923076925</x:v>
      </x:c>
      <x:c r="I1294" s="19" t="n">
        <x:f>'各站彙總來源'!I1294</x:f>
        <x:v>26</x:v>
      </x:c>
      <x:c r="J1294" s="24" t="n">
        <x:f>IFERROR('各站彙總來源'!J1294/'各站彙總來源'!K1294,"")</x:f>
        <x:v>4.384615384615385</x:v>
      </x:c>
      <x:c r="K1294" s="19" t="n">
        <x:f>'各站彙總來源'!K1294</x:f>
        <x:v>26</x:v>
      </x:c>
      <x:c r="L1294" s="24" t="n">
        <x:f>IFERROR('各站彙總來源'!L1294/'各站彙總來源'!M1294,"")</x:f>
        <x:v>1.7307692307692308</x:v>
      </x:c>
      <x:c r="M1294" s="19" t="n">
        <x:f>'各站彙總來源'!M1294</x:f>
        <x:v>26</x:v>
      </x:c>
      <x:c r="N1294" s="24" t="n">
        <x:f>F1294+H1294</x:f>
        <x:v>27.80769230769231</x:v>
      </x:c>
      <x:c r="O1294" s="24" t="n">
        <x:f>J1294+L1294</x:f>
        <x:v>6.115384615384616</x:v>
      </x:c>
    </x:row>
    <x:row r="1295">
      <x:c r="A1295" s="22" t="str">
        <x:v>500109080</x:v>
      </x:c>
      <x:c r="B1295" s="17" t="str">
        <x:v>北投區</x:v>
      </x:c>
      <x:c r="C1295" s="17" t="str">
        <x:v>福國承德路口</x:v>
      </x:c>
      <x:c r="D1295" s="18" t="n">
        <x:v>26</x:v>
      </x:c>
      <x:c r="E1295" s="18" t="n">
        <x:v>26</x:v>
      </x:c>
      <x:c r="F1295" s="24" t="n">
        <x:f>IFERROR('各站彙總來源'!F1295/'各站彙總來源'!G1295,"")</x:f>
        <x:v>5.153846153846154</x:v>
      </x:c>
      <x:c r="G1295" s="19" t="n">
        <x:f>'各站彙總來源'!G1295</x:f>
        <x:v>26</x:v>
      </x:c>
      <x:c r="H1295" s="24" t="n">
        <x:f>IFERROR('各站彙總來源'!H1295/'各站彙總來源'!I1295,"")</x:f>
        <x:v>0.38461538461538464</x:v>
      </x:c>
      <x:c r="I1295" s="19" t="n">
        <x:f>'各站彙總來源'!I1295</x:f>
        <x:v>26</x:v>
      </x:c>
      <x:c r="J1295" s="24" t="n">
        <x:f>IFERROR('各站彙總來源'!J1295/'各站彙總來源'!K1295,"")</x:f>
        <x:v>10.153846153846153</x:v>
      </x:c>
      <x:c r="K1295" s="19" t="n">
        <x:f>'各站彙總來源'!K1295</x:f>
        <x:v>26</x:v>
      </x:c>
      <x:c r="L1295" s="24" t="n">
        <x:f>IFERROR('各站彙總來源'!L1295/'各站彙總來源'!M1295,"")</x:f>
        <x:v>1.5384615384615385</x:v>
      </x:c>
      <x:c r="M1295" s="19" t="n">
        <x:f>'各站彙總來源'!M1295</x:f>
        <x:v>26</x:v>
      </x:c>
      <x:c r="N1295" s="24" t="n">
        <x:f>F1295+H1295</x:f>
        <x:v>5.538461538461539</x:v>
      </x:c>
      <x:c r="O1295" s="24" t="n">
        <x:f>J1295+L1295</x:f>
        <x:v>11.692307692307692</x:v>
      </x:c>
    </x:row>
    <x:row r="1296">
      <x:c r="A1296" s="22" t="str">
        <x:v>500109081</x:v>
      </x:c>
      <x:c r="B1296" s="17" t="str">
        <x:v>北投區</x:v>
      </x:c>
      <x:c r="C1296" s="17" t="str">
        <x:v>捷運北投站(1號出口)(北投路側)</x:v>
      </x:c>
      <x:c r="D1296" s="18" t="n">
        <x:v>26</x:v>
      </x:c>
      <x:c r="E1296" s="18" t="n">
        <x:v>26</x:v>
      </x:c>
      <x:c r="F1296" s="24" t="n">
        <x:f>IFERROR('各站彙總來源'!F1296/'各站彙總來源'!G1296,"")</x:f>
        <x:v>16.346153846153847</x:v>
      </x:c>
      <x:c r="G1296" s="19" t="n">
        <x:f>'各站彙總來源'!G1296</x:f>
        <x:v>26</x:v>
      </x:c>
      <x:c r="H1296" s="24" t="n">
        <x:f>IFERROR('各站彙總來源'!H1296/'各站彙總來源'!I1296,"")</x:f>
        <x:v>0.8461538461538461</x:v>
      </x:c>
      <x:c r="I1296" s="19" t="n">
        <x:f>'各站彙總來源'!I1296</x:f>
        <x:v>26</x:v>
      </x:c>
      <x:c r="J1296" s="24" t="n">
        <x:f>IFERROR('各站彙總來源'!J1296/'各站彙總來源'!K1296,"")</x:f>
        <x:v>37.19230769230769</x:v>
      </x:c>
      <x:c r="K1296" s="19" t="n">
        <x:f>'各站彙總來源'!K1296</x:f>
        <x:v>26</x:v>
      </x:c>
      <x:c r="L1296" s="24" t="n">
        <x:f>IFERROR('各站彙總來源'!L1296/'各站彙總來源'!M1296,"")</x:f>
        <x:v>2.3846153846153846</x:v>
      </x:c>
      <x:c r="M1296" s="19" t="n">
        <x:f>'各站彙總來源'!M1296</x:f>
        <x:v>26</x:v>
      </x:c>
      <x:c r="N1296" s="24" t="n">
        <x:f>F1296+H1296</x:f>
        <x:v>17.192307692307693</x:v>
      </x:c>
      <x:c r="O1296" s="24" t="n">
        <x:f>J1296+L1296</x:f>
        <x:v>39.57692307692308</x:v>
      </x:c>
    </x:row>
    <x:row r="1297">
      <x:c r="A1297" s="22" t="str">
        <x:v>500109082</x:v>
      </x:c>
      <x:c r="B1297" s="17" t="str">
        <x:v>北投區</x:v>
      </x:c>
      <x:c r="C1297" s="17" t="str">
        <x:v>華固創富中心</x:v>
      </x:c>
      <x:c r="D1297" s="18" t="n">
        <x:v>26</x:v>
      </x:c>
      <x:c r="E1297" s="18" t="n">
        <x:v>26</x:v>
      </x:c>
      <x:c r="F1297" s="24" t="n">
        <x:f>IFERROR('各站彙總來源'!F1297/'各站彙總來源'!G1297,"")</x:f>
        <x:v>3.6923076923076925</x:v>
      </x:c>
      <x:c r="G1297" s="19" t="n">
        <x:f>'各站彙總來源'!G1297</x:f>
        <x:v>26</x:v>
      </x:c>
      <x:c r="H1297" s="24" t="n">
        <x:f>IFERROR('各站彙總來源'!H1297/'各站彙總來源'!I1297,"")</x:f>
        <x:v>0.5769230769230769</x:v>
      </x:c>
      <x:c r="I1297" s="19" t="n">
        <x:f>'各站彙總來源'!I1297</x:f>
        <x:v>26</x:v>
      </x:c>
      <x:c r="J1297" s="24" t="n">
        <x:f>IFERROR('各站彙總來源'!J1297/'各站彙總來源'!K1297,"")</x:f>
        <x:v>9.461538461538462</x:v>
      </x:c>
      <x:c r="K1297" s="19" t="n">
        <x:f>'各站彙總來源'!K1297</x:f>
        <x:v>26</x:v>
      </x:c>
      <x:c r="L1297" s="24" t="n">
        <x:f>IFERROR('各站彙總來源'!L1297/'各站彙總來源'!M1297,"")</x:f>
        <x:v>2.3461538461538463</x:v>
      </x:c>
      <x:c r="M1297" s="19" t="n">
        <x:f>'各站彙總來源'!M1297</x:f>
        <x:v>26</x:v>
      </x:c>
      <x:c r="N1297" s="24" t="n">
        <x:f>F1297+H1297</x:f>
        <x:v>4.269230769230769</x:v>
      </x:c>
      <x:c r="O1297" s="24" t="n">
        <x:f>J1297+L1297</x:f>
        <x:v>11.807692307692308</x:v>
      </x:c>
    </x:row>
    <x:row r="1298">
      <x:c r="A1298" s="22" t="str">
        <x:v>500109083</x:v>
      </x:c>
      <x:c r="B1298" s="17" t="str">
        <x:v>北投區</x:v>
      </x:c>
      <x:c r="C1298" s="17" t="str">
        <x:v>知行路316巷關渡路口</x:v>
      </x:c>
      <x:c r="D1298" s="18" t="n">
        <x:v>26</x:v>
      </x:c>
      <x:c r="E1298" s="18" t="n">
        <x:v>26</x:v>
      </x:c>
      <x:c r="F1298" s="24" t="n">
        <x:f>IFERROR('各站彙總來源'!F1298/'各站彙總來源'!G1298,"")</x:f>
        <x:v>0</x:v>
      </x:c>
      <x:c r="G1298" s="19" t="n">
        <x:f>'各站彙總來源'!G1298</x:f>
        <x:v>26</x:v>
      </x:c>
      <x:c r="H1298" s="24" t="n">
        <x:f>IFERROR('各站彙總來源'!H1298/'各站彙總來源'!I1298,"")</x:f>
        <x:v>0</x:v>
      </x:c>
      <x:c r="I1298" s="19" t="n">
        <x:f>'各站彙總來源'!I1298</x:f>
        <x:v>26</x:v>
      </x:c>
      <x:c r="J1298" s="24" t="n">
        <x:f>IFERROR('各站彙總來源'!J1298/'各站彙總來源'!K1298,"")</x:f>
        <x:v>0</x:v>
      </x:c>
      <x:c r="K1298" s="19" t="n">
        <x:f>'各站彙總來源'!K1298</x:f>
        <x:v>26</x:v>
      </x:c>
      <x:c r="L1298" s="24" t="n">
        <x:f>IFERROR('各站彙總來源'!L1298/'各站彙總來源'!M1298,"")</x:f>
        <x:v>0</x:v>
      </x:c>
      <x:c r="M1298" s="19" t="n">
        <x:f>'各站彙總來源'!M1298</x:f>
        <x:v>26</x:v>
      </x:c>
      <x:c r="N1298" s="24" t="n">
        <x:f>F1298+H1298</x:f>
        <x:v>0</x:v>
      </x:c>
      <x:c r="O1298" s="24" t="n">
        <x:f>J1298+L1298</x:f>
        <x:v>0</x:v>
      </x:c>
    </x:row>
    <x:row r="1299">
      <x:c r="A1299" s="22" t="str">
        <x:v>500109084</x:v>
      </x:c>
      <x:c r="B1299" s="17" t="str">
        <x:v>北投區</x:v>
      </x:c>
      <x:c r="C1299" s="17" t="str">
        <x:v>崇仰公園(公舘路255巷)</x:v>
      </x:c>
      <x:c r="D1299" s="18" t="n">
        <x:v>26</x:v>
      </x:c>
      <x:c r="E1299" s="18" t="n">
        <x:v>26</x:v>
      </x:c>
      <x:c r="F1299" s="24" t="n">
        <x:f>IFERROR('各站彙總來源'!F1299/'各站彙總來源'!G1299,"")</x:f>
        <x:v>16.884615384615383</x:v>
      </x:c>
      <x:c r="G1299" s="19" t="n">
        <x:f>'各站彙總來源'!G1299</x:f>
        <x:v>26</x:v>
      </x:c>
      <x:c r="H1299" s="24" t="n">
        <x:f>IFERROR('各站彙總來源'!H1299/'各站彙總來源'!I1299,"")</x:f>
        <x:v>2.076923076923077</x:v>
      </x:c>
      <x:c r="I1299" s="19" t="n">
        <x:f>'各站彙總來源'!I1299</x:f>
        <x:v>26</x:v>
      </x:c>
      <x:c r="J1299" s="24" t="n">
        <x:f>IFERROR('各站彙總來源'!J1299/'各站彙總來源'!K1299,"")</x:f>
        <x:v>15</x:v>
      </x:c>
      <x:c r="K1299" s="19" t="n">
        <x:f>'各站彙總來源'!K1299</x:f>
        <x:v>26</x:v>
      </x:c>
      <x:c r="L1299" s="24" t="n">
        <x:f>IFERROR('各站彙總來源'!L1299/'各站彙總來源'!M1299,"")</x:f>
        <x:v>1.8461538461538463</x:v>
      </x:c>
      <x:c r="M1299" s="19" t="n">
        <x:f>'各站彙總來源'!M1299</x:f>
        <x:v>26</x:v>
      </x:c>
      <x:c r="N1299" s="24" t="n">
        <x:f>F1299+H1299</x:f>
        <x:v>18.96153846153846</x:v>
      </x:c>
      <x:c r="O1299" s="24" t="n">
        <x:f>J1299+L1299</x:f>
        <x:v>16.846153846153847</x:v>
      </x:c>
    </x:row>
    <x:row r="1300">
      <x:c r="A1300" s="22" t="str">
        <x:v>500109085</x:v>
      </x:c>
      <x:c r="B1300" s="17" t="str">
        <x:v>北投區</x:v>
      </x:c>
      <x:c r="C1300" s="17" t="str">
        <x:v>北投文化公園(北側)</x:v>
      </x:c>
      <x:c r="D1300" s="18" t="n">
        <x:v>26</x:v>
      </x:c>
      <x:c r="E1300" s="18" t="n">
        <x:v>26</x:v>
      </x:c>
      <x:c r="F1300" s="24" t="n">
        <x:f>IFERROR('各站彙總來源'!F1300/'各站彙總來源'!G1300,"")</x:f>
        <x:v>24.03846153846154</x:v>
      </x:c>
      <x:c r="G1300" s="19" t="n">
        <x:f>'各站彙總來源'!G1300</x:f>
        <x:v>26</x:v>
      </x:c>
      <x:c r="H1300" s="24" t="n">
        <x:f>IFERROR('各站彙總來源'!H1300/'各站彙總來源'!I1300,"")</x:f>
        <x:v>2.076923076923077</x:v>
      </x:c>
      <x:c r="I1300" s="19" t="n">
        <x:f>'各站彙總來源'!I1300</x:f>
        <x:v>26</x:v>
      </x:c>
      <x:c r="J1300" s="24" t="n">
        <x:f>IFERROR('各站彙總來源'!J1300/'各站彙總來源'!K1300,"")</x:f>
        <x:v>6.423076923076923</x:v>
      </x:c>
      <x:c r="K1300" s="19" t="n">
        <x:f>'各站彙總來源'!K1300</x:f>
        <x:v>26</x:v>
      </x:c>
      <x:c r="L1300" s="24" t="n">
        <x:f>IFERROR('各站彙總來源'!L1300/'各站彙總來源'!M1300,"")</x:f>
        <x:v>1.1923076923076923</x:v>
      </x:c>
      <x:c r="M1300" s="19" t="n">
        <x:f>'各站彙總來源'!M1300</x:f>
        <x:v>26</x:v>
      </x:c>
      <x:c r="N1300" s="24" t="n">
        <x:f>F1300+H1300</x:f>
        <x:v>26.115384615384617</x:v>
      </x:c>
      <x:c r="O1300" s="24" t="n">
        <x:f>J1300+L1300</x:f>
        <x:v>7.615384615384616</x:v>
      </x:c>
    </x:row>
    <x:row r="1301">
      <x:c r="A1301" s="22" t="str">
        <x:v>500109086</x:v>
      </x:c>
      <x:c r="B1301" s="17" t="str">
        <x:v>北投區</x:v>
      </x:c>
      <x:c r="C1301" s="17" t="str">
        <x:v>中和綠地</x:v>
      </x:c>
      <x:c r="D1301" s="18" t="n">
        <x:v>26</x:v>
      </x:c>
      <x:c r="E1301" s="18" t="n">
        <x:v>26</x:v>
      </x:c>
      <x:c r="F1301" s="24" t="n">
        <x:f>IFERROR('各站彙總來源'!F1301/'各站彙總來源'!G1301,"")</x:f>
        <x:v>15.26923076923077</x:v>
      </x:c>
      <x:c r="G1301" s="19" t="n">
        <x:f>'各站彙總來源'!G1301</x:f>
        <x:v>26</x:v>
      </x:c>
      <x:c r="H1301" s="24" t="n">
        <x:f>IFERROR('各站彙總來源'!H1301/'各站彙總來源'!I1301,"")</x:f>
        <x:v>6.230769230769231</x:v>
      </x:c>
      <x:c r="I1301" s="19" t="n">
        <x:f>'各站彙總來源'!I1301</x:f>
        <x:v>26</x:v>
      </x:c>
      <x:c r="J1301" s="24" t="n">
        <x:f>IFERROR('各站彙總來源'!J1301/'各站彙總來源'!K1301,"")</x:f>
        <x:v>4.230769230769231</x:v>
      </x:c>
      <x:c r="K1301" s="19" t="n">
        <x:f>'各站彙總來源'!K1301</x:f>
        <x:v>26</x:v>
      </x:c>
      <x:c r="L1301" s="24" t="n">
        <x:f>IFERROR('各站彙總來源'!L1301/'各站彙總來源'!M1301,"")</x:f>
        <x:v>2.3076923076923075</x:v>
      </x:c>
      <x:c r="M1301" s="19" t="n">
        <x:f>'各站彙總來源'!M1301</x:f>
        <x:v>26</x:v>
      </x:c>
      <x:c r="N1301" s="24" t="n">
        <x:f>F1301+H1301</x:f>
        <x:v>21.5</x:v>
      </x:c>
      <x:c r="O1301" s="24" t="n">
        <x:f>J1301+L1301</x:f>
        <x:v>6.538461538461538</x:v>
      </x:c>
    </x:row>
    <x:row r="1302">
      <x:c r="A1302" s="22" t="str">
        <x:v>500109087</x:v>
      </x:c>
      <x:c r="B1302" s="17" t="str">
        <x:v>北投區</x:v>
      </x:c>
      <x:c r="C1302" s="17" t="str">
        <x:v>大業路65巷口</x:v>
      </x:c>
      <x:c r="D1302" s="18" t="n">
        <x:v>26</x:v>
      </x:c>
      <x:c r="E1302" s="18" t="n">
        <x:v>26</x:v>
      </x:c>
      <x:c r="F1302" s="24" t="n">
        <x:f>IFERROR('各站彙總來源'!F1302/'各站彙總來源'!G1302,"")</x:f>
        <x:v>11.423076923076923</x:v>
      </x:c>
      <x:c r="G1302" s="19" t="n">
        <x:f>'各站彙總來源'!G1302</x:f>
        <x:v>26</x:v>
      </x:c>
      <x:c r="H1302" s="24" t="n">
        <x:f>IFERROR('各站彙總來源'!H1302/'各站彙總來源'!I1302,"")</x:f>
        <x:v>0.7307692307692307</x:v>
      </x:c>
      <x:c r="I1302" s="19" t="n">
        <x:f>'各站彙總來源'!I1302</x:f>
        <x:v>26</x:v>
      </x:c>
      <x:c r="J1302" s="24" t="n">
        <x:f>IFERROR('各站彙總來源'!J1302/'各站彙總來源'!K1302,"")</x:f>
        <x:v>16.807692307692307</x:v>
      </x:c>
      <x:c r="K1302" s="19" t="n">
        <x:f>'各站彙總來源'!K1302</x:f>
        <x:v>26</x:v>
      </x:c>
      <x:c r="L1302" s="24" t="n">
        <x:f>IFERROR('各站彙總來源'!L1302/'各站彙總來源'!M1302,"")</x:f>
        <x:v>1.8846153846153846</x:v>
      </x:c>
      <x:c r="M1302" s="19" t="n">
        <x:f>'各站彙總來源'!M1302</x:f>
        <x:v>26</x:v>
      </x:c>
      <x:c r="N1302" s="24" t="n">
        <x:f>F1302+H1302</x:f>
        <x:v>12.153846153846153</x:v>
      </x:c>
      <x:c r="O1302" s="24" t="n">
        <x:f>J1302+L1302</x:f>
        <x:v>18.69230769230769</x:v>
      </x:c>
    </x:row>
    <x:row r="1303">
      <x:c r="A1303" s="22" t="str">
        <x:v>500109088</x:v>
      </x:c>
      <x:c r="B1303" s="17" t="str">
        <x:v>北投區</x:v>
      </x:c>
      <x:c r="C1303" s="17" t="str">
        <x:v>公舘承德路口</x:v>
      </x:c>
      <x:c r="D1303" s="18" t="n">
        <x:v>26</x:v>
      </x:c>
      <x:c r="E1303" s="18" t="n">
        <x:v>26</x:v>
      </x:c>
      <x:c r="F1303" s="24" t="n">
        <x:f>IFERROR('各站彙總來源'!F1303/'各站彙總來源'!G1303,"")</x:f>
        <x:v>4.576923076923077</x:v>
      </x:c>
      <x:c r="G1303" s="19" t="n">
        <x:f>'各站彙總來源'!G1303</x:f>
        <x:v>26</x:v>
      </x:c>
      <x:c r="H1303" s="24" t="n">
        <x:f>IFERROR('各站彙總來源'!H1303/'各站彙總來源'!I1303,"")</x:f>
        <x:v>1.9615384615384615</x:v>
      </x:c>
      <x:c r="I1303" s="19" t="n">
        <x:f>'各站彙總來源'!I1303</x:f>
        <x:v>26</x:v>
      </x:c>
      <x:c r="J1303" s="24" t="n">
        <x:f>IFERROR('各站彙總來源'!J1303/'各站彙總來源'!K1303,"")</x:f>
        <x:v>7.8076923076923075</x:v>
      </x:c>
      <x:c r="K1303" s="19" t="n">
        <x:f>'各站彙總來源'!K1303</x:f>
        <x:v>26</x:v>
      </x:c>
      <x:c r="L1303" s="24" t="n">
        <x:f>IFERROR('各站彙總來源'!L1303/'各站彙總來源'!M1303,"")</x:f>
        <x:v>1.2692307692307692</x:v>
      </x:c>
      <x:c r="M1303" s="19" t="n">
        <x:f>'各站彙總來源'!M1303</x:f>
        <x:v>26</x:v>
      </x:c>
      <x:c r="N1303" s="24" t="n">
        <x:f>F1303+H1303</x:f>
        <x:v>6.538461538461538</x:v>
      </x:c>
      <x:c r="O1303" s="24" t="n">
        <x:f>J1303+L1303</x:f>
        <x:v>9.076923076923077</x:v>
      </x:c>
    </x:row>
    <x:row r="1304">
      <x:c r="A1304" s="22" t="str">
        <x:v>500109089</x:v>
      </x:c>
      <x:c r="B1304" s="17" t="str">
        <x:v>北投區</x:v>
      </x:c>
      <x:c r="C1304" s="17" t="str">
        <x:v>文林北明德路口(東北側)</x:v>
      </x:c>
      <x:c r="D1304" s="18" t="n">
        <x:v>26</x:v>
      </x:c>
      <x:c r="E1304" s="18" t="n">
        <x:v>26</x:v>
      </x:c>
      <x:c r="F1304" s="24" t="n">
        <x:f>IFERROR('各站彙總來源'!F1304/'各站彙總來源'!G1304,"")</x:f>
        <x:v>5.269230769230769</x:v>
      </x:c>
      <x:c r="G1304" s="19" t="n">
        <x:f>'各站彙總來源'!G1304</x:f>
        <x:v>26</x:v>
      </x:c>
      <x:c r="H1304" s="24" t="n">
        <x:f>IFERROR('各站彙總來源'!H1304/'各站彙總來源'!I1304,"")</x:f>
        <x:v>1.5769230769230769</x:v>
      </x:c>
      <x:c r="I1304" s="19" t="n">
        <x:f>'各站彙總來源'!I1304</x:f>
        <x:v>26</x:v>
      </x:c>
      <x:c r="J1304" s="24" t="n">
        <x:f>IFERROR('各站彙總來源'!J1304/'各站彙總來源'!K1304,"")</x:f>
        <x:v>6.6923076923076925</x:v>
      </x:c>
      <x:c r="K1304" s="19" t="n">
        <x:f>'各站彙總來源'!K1304</x:f>
        <x:v>26</x:v>
      </x:c>
      <x:c r="L1304" s="24" t="n">
        <x:f>IFERROR('各站彙總來源'!L1304/'各站彙總來源'!M1304,"")</x:f>
        <x:v>2.269230769230769</x:v>
      </x:c>
      <x:c r="M1304" s="19" t="n">
        <x:f>'各站彙總來源'!M1304</x:f>
        <x:v>26</x:v>
      </x:c>
      <x:c r="N1304" s="24" t="n">
        <x:f>F1304+H1304</x:f>
        <x:v>6.846153846153846</x:v>
      </x:c>
      <x:c r="O1304" s="24" t="n">
        <x:f>J1304+L1304</x:f>
        <x:v>8.961538461538462</x:v>
      </x:c>
    </x:row>
    <x:row r="1305">
      <x:c r="A1305" s="22" t="str">
        <x:v>500109091</x:v>
      </x:c>
      <x:c r="B1305" s="17" t="str">
        <x:v>北投區</x:v>
      </x:c>
      <x:c r="C1305" s="17" t="str">
        <x:v>永興路一段32巷口</x:v>
      </x:c>
      <x:c r="D1305" s="18" t="n">
        <x:v>26</x:v>
      </x:c>
      <x:c r="E1305" s="18" t="n">
        <x:v>26</x:v>
      </x:c>
      <x:c r="F1305" s="24" t="n">
        <x:f>IFERROR('各站彙總來源'!F1305/'各站彙總來源'!G1305,"")</x:f>
        <x:v>17.26923076923077</x:v>
      </x:c>
      <x:c r="G1305" s="19" t="n">
        <x:f>'各站彙總來源'!G1305</x:f>
        <x:v>26</x:v>
      </x:c>
      <x:c r="H1305" s="24" t="n">
        <x:f>IFERROR('各站彙總來源'!H1305/'各站彙總來源'!I1305,"")</x:f>
        <x:v>2.4615384615384617</x:v>
      </x:c>
      <x:c r="I1305" s="19" t="n">
        <x:f>'各站彙總來源'!I1305</x:f>
        <x:v>26</x:v>
      </x:c>
      <x:c r="J1305" s="24" t="n">
        <x:f>IFERROR('各站彙總來源'!J1305/'各站彙總來源'!K1305,"")</x:f>
        <x:v>3.1923076923076925</x:v>
      </x:c>
      <x:c r="K1305" s="19" t="n">
        <x:f>'各站彙總來源'!K1305</x:f>
        <x:v>26</x:v>
      </x:c>
      <x:c r="L1305" s="24" t="n">
        <x:f>IFERROR('各站彙總來源'!L1305/'各站彙總來源'!M1305,"")</x:f>
        <x:v>1.1153846153846154</x:v>
      </x:c>
      <x:c r="M1305" s="19" t="n">
        <x:f>'各站彙總來源'!M1305</x:f>
        <x:v>26</x:v>
      </x:c>
      <x:c r="N1305" s="24" t="n">
        <x:f>F1305+H1305</x:f>
        <x:v>19.730769230769234</x:v>
      </x:c>
      <x:c r="O1305" s="24" t="n">
        <x:f>J1305+L1305</x:f>
        <x:v>4.307692307692308</x:v>
      </x:c>
    </x:row>
    <x:row r="1306">
      <x:c r="A1306" s="22" t="str">
        <x:v>500109092</x:v>
      </x:c>
      <x:c r="B1306" s="17" t="str">
        <x:v>北投區</x:v>
      </x:c>
      <x:c r="C1306" s="17" t="str">
        <x:v>國立陽明交通大學(甲棟)</x:v>
      </x:c>
      <x:c r="D1306" s="18" t="n">
        <x:v>26</x:v>
      </x:c>
      <x:c r="E1306" s="18" t="n">
        <x:v>26</x:v>
      </x:c>
      <x:c r="F1306" s="24" t="n">
        <x:f>IFERROR('各站彙總來源'!F1306/'各站彙總來源'!G1306,"")</x:f>
        <x:v>4.3076923076923075</x:v>
      </x:c>
      <x:c r="G1306" s="19" t="n">
        <x:f>'各站彙總來源'!G1306</x:f>
        <x:v>26</x:v>
      </x:c>
      <x:c r="H1306" s="24" t="n">
        <x:f>IFERROR('各站彙總來源'!H1306/'各站彙總來源'!I1306,"")</x:f>
        <x:v>0.8846153846153846</x:v>
      </x:c>
      <x:c r="I1306" s="19" t="n">
        <x:f>'各站彙總來源'!I1306</x:f>
        <x:v>26</x:v>
      </x:c>
      <x:c r="J1306" s="24" t="n">
        <x:f>IFERROR('各站彙總來源'!J1306/'各站彙總來源'!K1306,"")</x:f>
        <x:v>37.61538461538461</x:v>
      </x:c>
      <x:c r="K1306" s="19" t="n">
        <x:f>'各站彙總來源'!K1306</x:f>
        <x:v>26</x:v>
      </x:c>
      <x:c r="L1306" s="24" t="n">
        <x:f>IFERROR('各站彙總來源'!L1306/'各站彙總來源'!M1306,"")</x:f>
        <x:v>2.1153846153846154</x:v>
      </x:c>
      <x:c r="M1306" s="19" t="n">
        <x:f>'各站彙總來源'!M1306</x:f>
        <x:v>26</x:v>
      </x:c>
      <x:c r="N1306" s="24" t="n">
        <x:f>F1306+H1306</x:f>
        <x:v>5.192307692307692</x:v>
      </x:c>
      <x:c r="O1306" s="24" t="n">
        <x:f>J1306+L1306</x:f>
        <x:v>39.730769230769226</x:v>
      </x:c>
    </x:row>
    <x:row r="1307">
      <x:c r="A1307" s="22" t="str">
        <x:v>500109093</x:v>
      </x:c>
      <x:c r="B1307" s="17" t="str">
        <x:v>北投區</x:v>
      </x:c>
      <x:c r="C1307" s="17" t="str">
        <x:v>關渡國中</x:v>
      </x:c>
      <x:c r="D1307" s="18" t="n">
        <x:v>26</x:v>
      </x:c>
      <x:c r="E1307" s="18" t="n">
        <x:v>26</x:v>
      </x:c>
      <x:c r="F1307" s="24" t="n">
        <x:f>IFERROR('各站彙總來源'!F1307/'各站彙總來源'!G1307,"")</x:f>
        <x:v>27.115384615384617</x:v>
      </x:c>
      <x:c r="G1307" s="19" t="n">
        <x:f>'各站彙總來源'!G1307</x:f>
        <x:v>26</x:v>
      </x:c>
      <x:c r="H1307" s="24" t="n">
        <x:f>IFERROR('各站彙總來源'!H1307/'各站彙總來源'!I1307,"")</x:f>
        <x:v>4.961538461538462</x:v>
      </x:c>
      <x:c r="I1307" s="19" t="n">
        <x:f>'各站彙總來源'!I1307</x:f>
        <x:v>26</x:v>
      </x:c>
      <x:c r="J1307" s="24" t="n">
        <x:f>IFERROR('各站彙總來源'!J1307/'各站彙總來源'!K1307,"")</x:f>
        <x:v>12</x:v>
      </x:c>
      <x:c r="K1307" s="19" t="n">
        <x:f>'各站彙總來源'!K1307</x:f>
        <x:v>26</x:v>
      </x:c>
      <x:c r="L1307" s="24" t="n">
        <x:f>IFERROR('各站彙總來源'!L1307/'各站彙總來源'!M1307,"")</x:f>
        <x:v>2.3076923076923075</x:v>
      </x:c>
      <x:c r="M1307" s="19" t="n">
        <x:f>'各站彙總來源'!M1307</x:f>
        <x:v>26</x:v>
      </x:c>
      <x:c r="N1307" s="24" t="n">
        <x:f>F1307+H1307</x:f>
        <x:v>32.07692307692308</x:v>
      </x:c>
      <x:c r="O1307" s="24" t="n">
        <x:f>J1307+L1307</x:f>
        <x:v>14.307692307692307</x:v>
      </x:c>
    </x:row>
    <x:row r="1308">
      <x:c r="A1308" s="22" t="str">
        <x:v>500109094</x:v>
      </x:c>
      <x:c r="B1308" s="17" t="str">
        <x:v>北投區</x:v>
      </x:c>
      <x:c r="C1308" s="17" t="str">
        <x:v>立功街55巷口</x:v>
      </x:c>
      <x:c r="D1308" s="18" t="n">
        <x:v>26</x:v>
      </x:c>
      <x:c r="E1308" s="18" t="n">
        <x:v>26</x:v>
      </x:c>
      <x:c r="F1308" s="24" t="n">
        <x:f>IFERROR('各站彙總來源'!F1308/'各站彙總來源'!G1308,"")</x:f>
        <x:v>5.346153846153846</x:v>
      </x:c>
      <x:c r="G1308" s="19" t="n">
        <x:f>'各站彙總來源'!G1308</x:f>
        <x:v>26</x:v>
      </x:c>
      <x:c r="H1308" s="24" t="n">
        <x:f>IFERROR('各站彙總來源'!H1308/'各站彙總來源'!I1308,"")</x:f>
        <x:v>1.1153846153846154</x:v>
      </x:c>
      <x:c r="I1308" s="19" t="n">
        <x:f>'各站彙總來源'!I1308</x:f>
        <x:v>26</x:v>
      </x:c>
      <x:c r="J1308" s="24" t="n">
        <x:f>IFERROR('各站彙總來源'!J1308/'各站彙總來源'!K1308,"")</x:f>
        <x:v>17.26923076923077</x:v>
      </x:c>
      <x:c r="K1308" s="19" t="n">
        <x:f>'各站彙總來源'!K1308</x:f>
        <x:v>26</x:v>
      </x:c>
      <x:c r="L1308" s="24" t="n">
        <x:f>IFERROR('各站彙總來源'!L1308/'各站彙總來源'!M1308,"")</x:f>
        <x:v>2.0384615384615383</x:v>
      </x:c>
      <x:c r="M1308" s="19" t="n">
        <x:f>'各站彙總來源'!M1308</x:f>
        <x:v>26</x:v>
      </x:c>
      <x:c r="N1308" s="24" t="n">
        <x:f>F1308+H1308</x:f>
        <x:v>6.461538461538462</x:v>
      </x:c>
      <x:c r="O1308" s="24" t="n">
        <x:f>J1308+L1308</x:f>
        <x:v>19.307692307692307</x:v>
      </x:c>
    </x:row>
    <x:row r="1309">
      <x:c r="A1309" s="22" t="str">
        <x:v>500109095</x:v>
      </x:c>
      <x:c r="B1309" s="17" t="str">
        <x:v>北投區</x:v>
      </x:c>
      <x:c r="C1309" s="17" t="str">
        <x:v>承德路七段401巷(洲美橋下)</x:v>
      </x:c>
      <x:c r="D1309" s="18" t="n">
        <x:v>26</x:v>
      </x:c>
      <x:c r="E1309" s="18" t="n">
        <x:v>26</x:v>
      </x:c>
      <x:c r="F1309" s="24" t="n">
        <x:f>IFERROR('各站彙總來源'!F1309/'各站彙總來源'!G1309,"")</x:f>
        <x:v>9.23076923076923</x:v>
      </x:c>
      <x:c r="G1309" s="19" t="n">
        <x:f>'各站彙總來源'!G1309</x:f>
        <x:v>26</x:v>
      </x:c>
      <x:c r="H1309" s="24" t="n">
        <x:f>IFERROR('各站彙總來源'!H1309/'各站彙總來源'!I1309,"")</x:f>
        <x:v>1.5</x:v>
      </x:c>
      <x:c r="I1309" s="19" t="n">
        <x:f>'各站彙總來源'!I1309</x:f>
        <x:v>26</x:v>
      </x:c>
      <x:c r="J1309" s="24" t="n">
        <x:f>IFERROR('各站彙總來源'!J1309/'各站彙總來源'!K1309,"")</x:f>
        <x:v>8.23076923076923</x:v>
      </x:c>
      <x:c r="K1309" s="19" t="n">
        <x:f>'各站彙總來源'!K1309</x:f>
        <x:v>26</x:v>
      </x:c>
      <x:c r="L1309" s="24" t="n">
        <x:f>IFERROR('各站彙總來源'!L1309/'各站彙總來源'!M1309,"")</x:f>
        <x:v>2.1153846153846154</x:v>
      </x:c>
      <x:c r="M1309" s="19" t="n">
        <x:f>'各站彙總來源'!M1309</x:f>
        <x:v>26</x:v>
      </x:c>
      <x:c r="N1309" s="24" t="n">
        <x:f>F1309+H1309</x:f>
        <x:v>10.73076923076923</x:v>
      </x:c>
      <x:c r="O1309" s="24" t="n">
        <x:f>J1309+L1309</x:f>
        <x:v>10.346153846153845</x:v>
      </x:c>
    </x:row>
    <x:row r="1310">
      <x:c r="A1310" s="22" t="str">
        <x:v>500109096</x:v>
      </x:c>
      <x:c r="B1310" s="17" t="str">
        <x:v>北投區</x:v>
      </x:c>
      <x:c r="C1310" s="17" t="str">
        <x:v>大業路(農禪寺)</x:v>
      </x:c>
      <x:c r="D1310" s="18" t="n">
        <x:v>26</x:v>
      </x:c>
      <x:c r="E1310" s="18" t="n">
        <x:v>26</x:v>
      </x:c>
      <x:c r="F1310" s="24" t="n">
        <x:f>IFERROR('各站彙總來源'!F1310/'各站彙總來源'!G1310,"")</x:f>
        <x:v>6.153846153846154</x:v>
      </x:c>
      <x:c r="G1310" s="19" t="n">
        <x:f>'各站彙總來源'!G1310</x:f>
        <x:v>26</x:v>
      </x:c>
      <x:c r="H1310" s="24" t="n">
        <x:f>IFERROR('各站彙總來源'!H1310/'各站彙總來源'!I1310,"")</x:f>
        <x:v>0.6153846153846154</x:v>
      </x:c>
      <x:c r="I1310" s="19" t="n">
        <x:f>'各站彙總來源'!I1310</x:f>
        <x:v>26</x:v>
      </x:c>
      <x:c r="J1310" s="24" t="n">
        <x:f>IFERROR('各站彙總來源'!J1310/'各站彙總來源'!K1310,"")</x:f>
        <x:v>12.5</x:v>
      </x:c>
      <x:c r="K1310" s="19" t="n">
        <x:f>'各站彙總來源'!K1310</x:f>
        <x:v>26</x:v>
      </x:c>
      <x:c r="L1310" s="24" t="n">
        <x:f>IFERROR('各站彙總來源'!L1310/'各站彙總來源'!M1310,"")</x:f>
        <x:v>1.5</x:v>
      </x:c>
      <x:c r="M1310" s="19" t="n">
        <x:f>'各站彙總來源'!M1310</x:f>
        <x:v>26</x:v>
      </x:c>
      <x:c r="N1310" s="24" t="n">
        <x:f>F1310+H1310</x:f>
        <x:v>6.76923076923077</x:v>
      </x:c>
      <x:c r="O1310" s="24" t="n">
        <x:f>J1310+L1310</x:f>
        <x:v>14</x:v>
      </x:c>
    </x:row>
    <x:row r="1311">
      <x:c r="A1311" s="22" t="str">
        <x:v>500109097</x:v>
      </x:c>
      <x:c r="B1311" s="17" t="str">
        <x:v>北投區</x:v>
      </x:c>
      <x:c r="C1311" s="17" t="str">
        <x:v>中國電影製片廠</x:v>
      </x:c>
      <x:c r="D1311" s="18" t="n">
        <x:v>26</x:v>
      </x:c>
      <x:c r="E1311" s="18" t="n">
        <x:v>26</x:v>
      </x:c>
      <x:c r="F1311" s="24" t="n">
        <x:f>IFERROR('各站彙總來源'!F1311/'各站彙總來源'!G1311,"")</x:f>
        <x:v>10.923076923076923</x:v>
      </x:c>
      <x:c r="G1311" s="19" t="n">
        <x:f>'各站彙總來源'!G1311</x:f>
        <x:v>26</x:v>
      </x:c>
      <x:c r="H1311" s="24" t="n">
        <x:f>IFERROR('各站彙總來源'!H1311/'各站彙總來源'!I1311,"")</x:f>
        <x:v>3</x:v>
      </x:c>
      <x:c r="I1311" s="19" t="n">
        <x:f>'各站彙總來源'!I1311</x:f>
        <x:v>26</x:v>
      </x:c>
      <x:c r="J1311" s="24" t="n">
        <x:f>IFERROR('各站彙總來源'!J1311/'各站彙總來源'!K1311,"")</x:f>
        <x:v>8.961538461538462</x:v>
      </x:c>
      <x:c r="K1311" s="19" t="n">
        <x:f>'各站彙總來源'!K1311</x:f>
        <x:v>26</x:v>
      </x:c>
      <x:c r="L1311" s="24" t="n">
        <x:f>IFERROR('各站彙總來源'!L1311/'各站彙總來源'!M1311,"")</x:f>
        <x:v>1.8846153846153846</x:v>
      </x:c>
      <x:c r="M1311" s="19" t="n">
        <x:f>'各站彙總來源'!M1311</x:f>
        <x:v>26</x:v>
      </x:c>
      <x:c r="N1311" s="24" t="n">
        <x:f>F1311+H1311</x:f>
        <x:v>13.923076923076923</x:v>
      </x:c>
      <x:c r="O1311" s="24" t="n">
        <x:f>J1311+L1311</x:f>
        <x:v>10.846153846153847</x:v>
      </x:c>
    </x:row>
    <x:row r="1312">
      <x:c r="A1312" s="22" t="str">
        <x:v>500109098</x:v>
      </x:c>
      <x:c r="B1312" s="17" t="str">
        <x:v>北投區</x:v>
      </x:c>
      <x:c r="C1312" s="17" t="str">
        <x:v>北投新興公園</x:v>
      </x:c>
      <x:c r="D1312" s="18" t="n">
        <x:v>26</x:v>
      </x:c>
      <x:c r="E1312" s="18" t="n">
        <x:v>26</x:v>
      </x:c>
      <x:c r="F1312" s="24" t="n">
        <x:f>IFERROR('各站彙總來源'!F1312/'各站彙總來源'!G1312,"")</x:f>
        <x:v>18.884615384615383</x:v>
      </x:c>
      <x:c r="G1312" s="19" t="n">
        <x:f>'各站彙總來源'!G1312</x:f>
        <x:v>26</x:v>
      </x:c>
      <x:c r="H1312" s="24" t="n">
        <x:f>IFERROR('各站彙總來源'!H1312/'各站彙總來源'!I1312,"")</x:f>
        <x:v>1.8076923076923077</x:v>
      </x:c>
      <x:c r="I1312" s="19" t="n">
        <x:f>'各站彙總來源'!I1312</x:f>
        <x:v>26</x:v>
      </x:c>
      <x:c r="J1312" s="24" t="n">
        <x:f>IFERROR('各站彙總來源'!J1312/'各站彙總來源'!K1312,"")</x:f>
        <x:v>7.846153846153846</x:v>
      </x:c>
      <x:c r="K1312" s="19" t="n">
        <x:f>'各站彙總來源'!K1312</x:f>
        <x:v>26</x:v>
      </x:c>
      <x:c r="L1312" s="24" t="n">
        <x:f>IFERROR('各站彙總來源'!L1312/'各站彙總來源'!M1312,"")</x:f>
        <x:v>1.4230769230769231</x:v>
      </x:c>
      <x:c r="M1312" s="19" t="n">
        <x:f>'各站彙總來源'!M1312</x:f>
        <x:v>26</x:v>
      </x:c>
      <x:c r="N1312" s="24" t="n">
        <x:f>F1312+H1312</x:f>
        <x:v>20.69230769230769</x:v>
      </x:c>
      <x:c r="O1312" s="24" t="n">
        <x:f>J1312+L1312</x:f>
        <x:v>9.269230769230768</x:v>
      </x:c>
    </x:row>
    <x:row r="1313">
      <x:c r="A1313" s="22" t="str">
        <x:v>500109099</x:v>
      </x:c>
      <x:c r="B1313" s="17" t="str">
        <x:v>北投區</x:v>
      </x:c>
      <x:c r="C1313" s="17" t="str">
        <x:v>捷運石牌站(2號出口)(西安街一段)</x:v>
      </x:c>
      <x:c r="D1313" s="18" t="n">
        <x:v>26</x:v>
      </x:c>
      <x:c r="E1313" s="18" t="n">
        <x:v>26</x:v>
      </x:c>
      <x:c r="F1313" s="24" t="n">
        <x:f>IFERROR('各站彙總來源'!F1313/'各站彙總來源'!G1313,"")</x:f>
        <x:v>13.153846153846153</x:v>
      </x:c>
      <x:c r="G1313" s="19" t="n">
        <x:f>'各站彙總來源'!G1313</x:f>
        <x:v>26</x:v>
      </x:c>
      <x:c r="H1313" s="24" t="n">
        <x:f>IFERROR('各站彙總來源'!H1313/'各站彙總來源'!I1313,"")</x:f>
        <x:v>1.3076923076923077</x:v>
      </x:c>
      <x:c r="I1313" s="19" t="n">
        <x:f>'各站彙總來源'!I1313</x:f>
        <x:v>26</x:v>
      </x:c>
      <x:c r="J1313" s="24" t="n">
        <x:f>IFERROR('各站彙總來源'!J1313/'各站彙總來源'!K1313,"")</x:f>
        <x:v>11.23076923076923</x:v>
      </x:c>
      <x:c r="K1313" s="19" t="n">
        <x:f>'各站彙總來源'!K1313</x:f>
        <x:v>26</x:v>
      </x:c>
      <x:c r="L1313" s="24" t="n">
        <x:f>IFERROR('各站彙總來源'!L1313/'各站彙總來源'!M1313,"")</x:f>
        <x:v>1.6538461538461537</x:v>
      </x:c>
      <x:c r="M1313" s="19" t="n">
        <x:f>'各站彙總來源'!M1313</x:f>
        <x:v>26</x:v>
      </x:c>
      <x:c r="N1313" s="24" t="n">
        <x:f>F1313+H1313</x:f>
        <x:v>14.461538461538462</x:v>
      </x:c>
      <x:c r="O1313" s="24" t="n">
        <x:f>J1313+L1313</x:f>
        <x:v>12.884615384615383</x:v>
      </x:c>
    </x:row>
    <x:row r="1314">
      <x:c r="A1314" s="22" t="str">
        <x:v>500109100</x:v>
      </x:c>
      <x:c r="B1314" s="17" t="str">
        <x:v>北投區</x:v>
      </x:c>
      <x:c r="C1314" s="17" t="str">
        <x:v>華碩立功大樓</x:v>
      </x:c>
      <x:c r="D1314" s="18" t="n">
        <x:v>26</x:v>
      </x:c>
      <x:c r="E1314" s="18" t="n">
        <x:v>26</x:v>
      </x:c>
      <x:c r="F1314" s="24" t="n">
        <x:f>IFERROR('各站彙總來源'!F1314/'各站彙總來源'!G1314,"")</x:f>
        <x:v>4.269230769230769</x:v>
      </x:c>
      <x:c r="G1314" s="19" t="n">
        <x:f>'各站彙總來源'!G1314</x:f>
        <x:v>26</x:v>
      </x:c>
      <x:c r="H1314" s="24" t="n">
        <x:f>IFERROR('各站彙總來源'!H1314/'各站彙總來源'!I1314,"")</x:f>
        <x:v>1.1153846153846154</x:v>
      </x:c>
      <x:c r="I1314" s="19" t="n">
        <x:f>'各站彙總來源'!I1314</x:f>
        <x:v>26</x:v>
      </x:c>
      <x:c r="J1314" s="24" t="n">
        <x:f>IFERROR('各站彙總來源'!J1314/'各站彙總來源'!K1314,"")</x:f>
        <x:v>14.038461538461538</x:v>
      </x:c>
      <x:c r="K1314" s="19" t="n">
        <x:f>'各站彙總來源'!K1314</x:f>
        <x:v>26</x:v>
      </x:c>
      <x:c r="L1314" s="24" t="n">
        <x:f>IFERROR('各站彙總來源'!L1314/'各站彙總來源'!M1314,"")</x:f>
        <x:v>2.4615384615384617</x:v>
      </x:c>
      <x:c r="M1314" s="19" t="n">
        <x:f>'各站彙總來源'!M1314</x:f>
        <x:v>26</x:v>
      </x:c>
      <x:c r="N1314" s="24" t="n">
        <x:f>F1314+H1314</x:f>
        <x:v>5.384615384615385</x:v>
      </x:c>
      <x:c r="O1314" s="24" t="n">
        <x:f>J1314+L1314</x:f>
        <x:v>16.5</x:v>
      </x:c>
    </x:row>
    <x:row r="1315">
      <x:c r="A1315" s="22" t="str">
        <x:v>500109101</x:v>
      </x:c>
      <x:c r="B1315" s="17" t="str">
        <x:v>北投區</x:v>
      </x:c>
      <x:c r="C1315" s="17" t="str">
        <x:v>關渡碼頭</x:v>
      </x:c>
      <x:c r="D1315" s="18" t="n">
        <x:v>26</x:v>
      </x:c>
      <x:c r="E1315" s="18" t="n">
        <x:v>26</x:v>
      </x:c>
      <x:c r="F1315" s="24" t="n">
        <x:f>IFERROR('各站彙總來源'!F1315/'各站彙總來源'!G1315,"")</x:f>
        <x:v>24.576923076923077</x:v>
      </x:c>
      <x:c r="G1315" s="19" t="n">
        <x:f>'各站彙總來源'!G1315</x:f>
        <x:v>26</x:v>
      </x:c>
      <x:c r="H1315" s="24" t="n">
        <x:f>IFERROR('各站彙總來源'!H1315/'各站彙總來源'!I1315,"")</x:f>
        <x:v>4.6923076923076925</x:v>
      </x:c>
      <x:c r="I1315" s="19" t="n">
        <x:f>'各站彙總來源'!I1315</x:f>
        <x:v>26</x:v>
      </x:c>
      <x:c r="J1315" s="24" t="n">
        <x:f>IFERROR('各站彙總來源'!J1315/'各站彙總來源'!K1315,"")</x:f>
        <x:v>25.346153846153847</x:v>
      </x:c>
      <x:c r="K1315" s="19" t="n">
        <x:f>'各站彙總來源'!K1315</x:f>
        <x:v>26</x:v>
      </x:c>
      <x:c r="L1315" s="24" t="n">
        <x:f>IFERROR('各站彙總來源'!L1315/'各站彙總來源'!M1315,"")</x:f>
        <x:v>2.5384615384615383</x:v>
      </x:c>
      <x:c r="M1315" s="19" t="n">
        <x:f>'各站彙總來源'!M1315</x:f>
        <x:v>26</x:v>
      </x:c>
      <x:c r="N1315" s="24" t="n">
        <x:f>F1315+H1315</x:f>
        <x:v>29.26923076923077</x:v>
      </x:c>
      <x:c r="O1315" s="24" t="n">
        <x:f>J1315+L1315</x:f>
        <x:v>27.884615384615387</x:v>
      </x:c>
    </x:row>
    <x:row r="1316">
      <x:c r="A1316" s="22" t="str">
        <x:v>500109102</x:v>
      </x:c>
      <x:c r="B1316" s="17" t="str">
        <x:v>北投區</x:v>
      </x:c>
      <x:c r="C1316" s="17" t="str">
        <x:v>珠海路(48號公園)</x:v>
      </x:c>
      <x:c r="D1316" s="18" t="n">
        <x:v>26</x:v>
      </x:c>
      <x:c r="E1316" s="18" t="n">
        <x:v>26</x:v>
      </x:c>
      <x:c r="F1316" s="24" t="n">
        <x:f>IFERROR('各站彙總來源'!F1316/'各站彙總來源'!G1316,"")</x:f>
        <x:v>4.384615384615385</x:v>
      </x:c>
      <x:c r="G1316" s="19" t="n">
        <x:f>'各站彙總來源'!G1316</x:f>
        <x:v>26</x:v>
      </x:c>
      <x:c r="H1316" s="24" t="n">
        <x:f>IFERROR('各站彙總來源'!H1316/'各站彙總來源'!I1316,"")</x:f>
        <x:v>1.7692307692307692</x:v>
      </x:c>
      <x:c r="I1316" s="19" t="n">
        <x:f>'各站彙總來源'!I1316</x:f>
        <x:v>26</x:v>
      </x:c>
      <x:c r="J1316" s="24" t="n">
        <x:f>IFERROR('各站彙總來源'!J1316/'各站彙總來源'!K1316,"")</x:f>
        <x:v>4.6923076923076925</x:v>
      </x:c>
      <x:c r="K1316" s="19" t="n">
        <x:f>'各站彙總來源'!K1316</x:f>
        <x:v>26</x:v>
      </x:c>
      <x:c r="L1316" s="24" t="n">
        <x:f>IFERROR('各站彙總來源'!L1316/'各站彙總來源'!M1316,"")</x:f>
        <x:v>1.6153846153846154</x:v>
      </x:c>
      <x:c r="M1316" s="19" t="n">
        <x:f>'各站彙總來源'!M1316</x:f>
        <x:v>26</x:v>
      </x:c>
      <x:c r="N1316" s="24" t="n">
        <x:f>F1316+H1316</x:f>
        <x:v>6.153846153846154</x:v>
      </x:c>
      <x:c r="O1316" s="24" t="n">
        <x:f>J1316+L1316</x:f>
        <x:v>6.307692307692308</x:v>
      </x:c>
    </x:row>
    <x:row r="1317">
      <x:c r="A1317" s="22" t="str">
        <x:v>500109103</x:v>
      </x:c>
      <x:c r="B1317" s="17" t="str">
        <x:v>北投區</x:v>
      </x:c>
      <x:c r="C1317" s="17" t="str">
        <x:v>承德文林北路口(西側)</x:v>
      </x:c>
      <x:c r="D1317" s="18" t="n">
        <x:v>26</x:v>
      </x:c>
      <x:c r="E1317" s="18" t="n">
        <x:v>26</x:v>
      </x:c>
      <x:c r="F1317" s="24" t="n">
        <x:f>IFERROR('各站彙總來源'!F1317/'各站彙總來源'!G1317,"")</x:f>
        <x:v>9.153846153846153</x:v>
      </x:c>
      <x:c r="G1317" s="19" t="n">
        <x:f>'各站彙總來源'!G1317</x:f>
        <x:v>26</x:v>
      </x:c>
      <x:c r="H1317" s="24" t="n">
        <x:f>IFERROR('各站彙總來源'!H1317/'各站彙總來源'!I1317,"")</x:f>
        <x:v>1.3076923076923077</x:v>
      </x:c>
      <x:c r="I1317" s="19" t="n">
        <x:f>'各站彙總來源'!I1317</x:f>
        <x:v>26</x:v>
      </x:c>
      <x:c r="J1317" s="24" t="n">
        <x:f>IFERROR('各站彙總來源'!J1317/'各站彙總來源'!K1317,"")</x:f>
        <x:v>15.692307692307692</x:v>
      </x:c>
      <x:c r="K1317" s="19" t="n">
        <x:f>'各站彙總來源'!K1317</x:f>
        <x:v>26</x:v>
      </x:c>
      <x:c r="L1317" s="24" t="n">
        <x:f>IFERROR('各站彙總來源'!L1317/'各站彙總來源'!M1317,"")</x:f>
        <x:v>1.9230769230769231</x:v>
      </x:c>
      <x:c r="M1317" s="19" t="n">
        <x:f>'各站彙總來源'!M1317</x:f>
        <x:v>26</x:v>
      </x:c>
      <x:c r="N1317" s="24" t="n">
        <x:f>F1317+H1317</x:f>
        <x:v>10.461538461538462</x:v>
      </x:c>
      <x:c r="O1317" s="24" t="n">
        <x:f>J1317+L1317</x:f>
        <x:v>17.615384615384613</x:v>
      </x:c>
    </x:row>
    <x:row r="1318">
      <x:c r="A1318" s="22" t="str">
        <x:v>500109104</x:v>
      </x:c>
      <x:c r="B1318" s="17" t="str">
        <x:v>北投區</x:v>
      </x:c>
      <x:c r="C1318" s="17" t="str">
        <x:v>石牌路二段324巷口</x:v>
      </x:c>
      <x:c r="D1318" s="18" t="n">
        <x:v>26</x:v>
      </x:c>
      <x:c r="E1318" s="18" t="n">
        <x:v>26</x:v>
      </x:c>
      <x:c r="F1318" s="24" t="n">
        <x:f>IFERROR('各站彙總來源'!F1318/'各站彙總來源'!G1318,"")</x:f>
        <x:v>6.769230769230769</x:v>
      </x:c>
      <x:c r="G1318" s="19" t="n">
        <x:f>'各站彙總來源'!G1318</x:f>
        <x:v>26</x:v>
      </x:c>
      <x:c r="H1318" s="24" t="n">
        <x:f>IFERROR('各站彙總來源'!H1318/'各站彙總來源'!I1318,"")</x:f>
        <x:v>4.730769230769231</x:v>
      </x:c>
      <x:c r="I1318" s="19" t="n">
        <x:f>'各站彙總來源'!I1318</x:f>
        <x:v>26</x:v>
      </x:c>
      <x:c r="J1318" s="24" t="n">
        <x:f>IFERROR('各站彙總來源'!J1318/'各站彙總來源'!K1318,"")</x:f>
        <x:v>2.3461538461538463</x:v>
      </x:c>
      <x:c r="K1318" s="19" t="n">
        <x:f>'各站彙總來源'!K1318</x:f>
        <x:v>26</x:v>
      </x:c>
      <x:c r="L1318" s="24" t="n">
        <x:f>IFERROR('各站彙總來源'!L1318/'各站彙總來源'!M1318,"")</x:f>
        <x:v>1.5</x:v>
      </x:c>
      <x:c r="M1318" s="19" t="n">
        <x:f>'各站彙總來源'!M1318</x:f>
        <x:v>26</x:v>
      </x:c>
      <x:c r="N1318" s="24" t="n">
        <x:f>F1318+H1318</x:f>
        <x:v>11.5</x:v>
      </x:c>
      <x:c r="O1318" s="24" t="n">
        <x:f>J1318+L1318</x:f>
        <x:v>3.8461538461538463</x:v>
      </x:c>
    </x:row>
    <x:row r="1319">
      <x:c r="A1319" s="22" t="str">
        <x:v>500109105</x:v>
      </x:c>
      <x:c r="B1319" s="17" t="str">
        <x:v>北投區</x:v>
      </x:c>
      <x:c r="C1319" s="17" t="str">
        <x:v>北投文化公園(中央北路)</x:v>
      </x:c>
      <x:c r="D1319" s="18" t="n">
        <x:v>26</x:v>
      </x:c>
      <x:c r="E1319" s="18" t="n">
        <x:v>26</x:v>
      </x:c>
      <x:c r="F1319" s="24" t="n">
        <x:f>IFERROR('各站彙總來源'!F1319/'各站彙總來源'!G1319,"")</x:f>
        <x:v>12.538461538461538</x:v>
      </x:c>
      <x:c r="G1319" s="19" t="n">
        <x:f>'各站彙總來源'!G1319</x:f>
        <x:v>26</x:v>
      </x:c>
      <x:c r="H1319" s="24" t="n">
        <x:f>IFERROR('各站彙總來源'!H1319/'各站彙總來源'!I1319,"")</x:f>
        <x:v>1.0384615384615385</x:v>
      </x:c>
      <x:c r="I1319" s="19" t="n">
        <x:f>'各站彙總來源'!I1319</x:f>
        <x:v>26</x:v>
      </x:c>
      <x:c r="J1319" s="24" t="n">
        <x:f>IFERROR('各站彙總來源'!J1319/'各站彙總來源'!K1319,"")</x:f>
        <x:v>3.769230769230769</x:v>
      </x:c>
      <x:c r="K1319" s="19" t="n">
        <x:f>'各站彙總來源'!K1319</x:f>
        <x:v>26</x:v>
      </x:c>
      <x:c r="L1319" s="24" t="n">
        <x:f>IFERROR('各站彙總來源'!L1319/'各站彙總來源'!M1319,"")</x:f>
        <x:v>0.5769230769230769</x:v>
      </x:c>
      <x:c r="M1319" s="19" t="n">
        <x:f>'各站彙總來源'!M1319</x:f>
        <x:v>26</x:v>
      </x:c>
      <x:c r="N1319" s="24" t="n">
        <x:f>F1319+H1319</x:f>
        <x:v>13.576923076923077</x:v>
      </x:c>
      <x:c r="O1319" s="24" t="n">
        <x:f>J1319+L1319</x:f>
        <x:v>4.346153846153846</x:v>
      </x:c>
    </x:row>
    <x:row r="1320">
      <x:c r="A1320" s="22" t="str">
        <x:v>500109106</x:v>
      </x:c>
      <x:c r="B1320" s="17" t="str">
        <x:v>北投區</x:v>
      </x:c>
      <x:c r="C1320" s="17" t="str">
        <x:v>泉源路23巷口</x:v>
      </x:c>
      <x:c r="D1320" s="18" t="n">
        <x:v>26</x:v>
      </x:c>
      <x:c r="E1320" s="18" t="n">
        <x:v>26</x:v>
      </x:c>
      <x:c r="F1320" s="24" t="n">
        <x:f>IFERROR('各站彙總來源'!F1320/'各站彙總來源'!G1320,"")</x:f>
        <x:v>6.1923076923076925</x:v>
      </x:c>
      <x:c r="G1320" s="19" t="n">
        <x:f>'各站彙總來源'!G1320</x:f>
        <x:v>26</x:v>
      </x:c>
      <x:c r="H1320" s="24" t="n">
        <x:f>IFERROR('各站彙總來源'!H1320/'各站彙總來源'!I1320,"")</x:f>
        <x:v>3.076923076923077</x:v>
      </x:c>
      <x:c r="I1320" s="19" t="n">
        <x:f>'各站彙總來源'!I1320</x:f>
        <x:v>26</x:v>
      </x:c>
      <x:c r="J1320" s="24" t="n">
        <x:f>IFERROR('各站彙總來源'!J1320/'各站彙總來源'!K1320,"")</x:f>
        <x:v>7.961538461538462</x:v>
      </x:c>
      <x:c r="K1320" s="19" t="n">
        <x:f>'各站彙總來源'!K1320</x:f>
        <x:v>26</x:v>
      </x:c>
      <x:c r="L1320" s="24" t="n">
        <x:f>IFERROR('各站彙總來源'!L1320/'各站彙總來源'!M1320,"")</x:f>
        <x:v>1.3846153846153846</x:v>
      </x:c>
      <x:c r="M1320" s="19" t="n">
        <x:f>'各站彙總來源'!M1320</x:f>
        <x:v>26</x:v>
      </x:c>
      <x:c r="N1320" s="24" t="n">
        <x:f>F1320+H1320</x:f>
        <x:v>9.26923076923077</x:v>
      </x:c>
      <x:c r="O1320" s="24" t="n">
        <x:f>J1320+L1320</x:f>
        <x:v>9.346153846153847</x:v>
      </x:c>
    </x:row>
    <x:row r="1321">
      <x:c r="A1321" s="22" t="str">
        <x:v>500109107</x:v>
      </x:c>
      <x:c r="B1321" s="17" t="str">
        <x:v>北投區</x:v>
      </x:c>
      <x:c r="C1321" s="17" t="str">
        <x:v>大業路667巷口</x:v>
      </x:c>
      <x:c r="D1321" s="18" t="n">
        <x:v>26</x:v>
      </x:c>
      <x:c r="E1321" s="18" t="n">
        <x:v>26</x:v>
      </x:c>
      <x:c r="F1321" s="24" t="n">
        <x:f>IFERROR('各站彙總來源'!F1321/'各站彙總來源'!G1321,"")</x:f>
        <x:v>7.230769230769231</x:v>
      </x:c>
      <x:c r="G1321" s="19" t="n">
        <x:f>'各站彙總來源'!G1321</x:f>
        <x:v>26</x:v>
      </x:c>
      <x:c r="H1321" s="24" t="n">
        <x:f>IFERROR('各站彙總來源'!H1321/'各站彙總來源'!I1321,"")</x:f>
        <x:v>1.3846153846153846</x:v>
      </x:c>
      <x:c r="I1321" s="19" t="n">
        <x:f>'各站彙總來源'!I1321</x:f>
        <x:v>26</x:v>
      </x:c>
      <x:c r="J1321" s="24" t="n">
        <x:f>IFERROR('各站彙總來源'!J1321/'各站彙總來源'!K1321,"")</x:f>
        <x:v>4.769230769230769</x:v>
      </x:c>
      <x:c r="K1321" s="19" t="n">
        <x:f>'各站彙總來源'!K1321</x:f>
        <x:v>26</x:v>
      </x:c>
      <x:c r="L1321" s="24" t="n">
        <x:f>IFERROR('各站彙總來源'!L1321/'各站彙總來源'!M1321,"")</x:f>
        <x:v>1.2692307692307692</x:v>
      </x:c>
      <x:c r="M1321" s="19" t="n">
        <x:f>'各站彙總來源'!M1321</x:f>
        <x:v>26</x:v>
      </x:c>
      <x:c r="N1321" s="24" t="n">
        <x:f>F1321+H1321</x:f>
        <x:v>8.615384615384615</x:v>
      </x:c>
      <x:c r="O1321" s="24" t="n">
        <x:f>J1321+L1321</x:f>
        <x:v>6.038461538461538</x:v>
      </x:c>
    </x:row>
    <x:row r="1322">
      <x:c r="A1322" s="22" t="str">
        <x:v>500109108</x:v>
      </x:c>
      <x:c r="B1322" s="17" t="str">
        <x:v>北投區</x:v>
      </x:c>
      <x:c r="C1322" s="17" t="str">
        <x:v>幼華中學(大業路)</x:v>
      </x:c>
      <x:c r="D1322" s="18" t="n">
        <x:v>26</x:v>
      </x:c>
      <x:c r="E1322" s="18" t="n">
        <x:v>26</x:v>
      </x:c>
      <x:c r="F1322" s="24" t="n">
        <x:f>IFERROR('各站彙總來源'!F1322/'各站彙總來源'!G1322,"")</x:f>
        <x:v>6.6923076923076925</x:v>
      </x:c>
      <x:c r="G1322" s="19" t="n">
        <x:f>'各站彙總來源'!G1322</x:f>
        <x:v>26</x:v>
      </x:c>
      <x:c r="H1322" s="24" t="n">
        <x:f>IFERROR('各站彙總來源'!H1322/'各站彙總來源'!I1322,"")</x:f>
        <x:v>1.5</x:v>
      </x:c>
      <x:c r="I1322" s="19" t="n">
        <x:f>'各站彙總來源'!I1322</x:f>
        <x:v>26</x:v>
      </x:c>
      <x:c r="J1322" s="24" t="n">
        <x:f>IFERROR('各站彙總來源'!J1322/'各站彙總來源'!K1322,"")</x:f>
        <x:v>6.576923076923077</x:v>
      </x:c>
      <x:c r="K1322" s="19" t="n">
        <x:f>'各站彙總來源'!K1322</x:f>
        <x:v>26</x:v>
      </x:c>
      <x:c r="L1322" s="24" t="n">
        <x:f>IFERROR('各站彙總來源'!L1322/'各站彙總來源'!M1322,"")</x:f>
        <x:v>1.4230769230769231</x:v>
      </x:c>
      <x:c r="M1322" s="19" t="n">
        <x:f>'各站彙總來源'!M1322</x:f>
        <x:v>26</x:v>
      </x:c>
      <x:c r="N1322" s="24" t="n">
        <x:f>F1322+H1322</x:f>
        <x:v>8.192307692307693</x:v>
      </x:c>
      <x:c r="O1322" s="24" t="n">
        <x:f>J1322+L1322</x:f>
        <x:v>8</x:v>
      </x:c>
    </x:row>
    <x:row r="1323">
      <x:c r="A1323" s="22" t="str">
        <x:v>500109109</x:v>
      </x:c>
      <x:c r="B1323" s="17" t="str">
        <x:v>北投區</x:v>
      </x:c>
      <x:c r="C1323" s="17" t="str">
        <x:v>溫泉路68巷6弄口</x:v>
      </x:c>
      <x:c r="D1323" s="18" t="n">
        <x:v>26</x:v>
      </x:c>
      <x:c r="E1323" s="18" t="n">
        <x:v>26</x:v>
      </x:c>
      <x:c r="F1323" s="24" t="n">
        <x:f>IFERROR('各站彙總來源'!F1323/'各站彙總來源'!G1323,"")</x:f>
        <x:v>6.038461538461538</x:v>
      </x:c>
      <x:c r="G1323" s="19" t="n">
        <x:f>'各站彙總來源'!G1323</x:f>
        <x:v>26</x:v>
      </x:c>
      <x:c r="H1323" s="24" t="n">
        <x:f>IFERROR('各站彙總來源'!H1323/'各站彙總來源'!I1323,"")</x:f>
        <x:v>4.461538461538462</x:v>
      </x:c>
      <x:c r="I1323" s="19" t="n">
        <x:f>'各站彙總來源'!I1323</x:f>
        <x:v>26</x:v>
      </x:c>
      <x:c r="J1323" s="24" t="n">
        <x:f>IFERROR('各站彙總來源'!J1323/'各站彙總來源'!K1323,"")</x:f>
        <x:v>3.6538461538461537</x:v>
      </x:c>
      <x:c r="K1323" s="19" t="n">
        <x:f>'各站彙總來源'!K1323</x:f>
        <x:v>26</x:v>
      </x:c>
      <x:c r="L1323" s="24" t="n">
        <x:f>IFERROR('各站彙總來源'!L1323/'各站彙總來源'!M1323,"")</x:f>
        <x:v>2</x:v>
      </x:c>
      <x:c r="M1323" s="19" t="n">
        <x:f>'各站彙總來源'!M1323</x:f>
        <x:v>26</x:v>
      </x:c>
      <x:c r="N1323" s="24" t="n">
        <x:f>F1323+H1323</x:f>
        <x:v>10.5</x:v>
      </x:c>
      <x:c r="O1323" s="24" t="n">
        <x:f>J1323+L1323</x:f>
        <x:v>5.653846153846153</x:v>
      </x:c>
    </x:row>
    <x:row r="1324">
      <x:c r="A1324" s="22" t="str">
        <x:v>500109110</x:v>
      </x:c>
      <x:c r="B1324" s="17" t="str">
        <x:v>北投區</x:v>
      </x:c>
      <x:c r="C1324" s="17" t="str">
        <x:v>親水公園</x:v>
      </x:c>
      <x:c r="D1324" s="18" t="n">
        <x:v>26</x:v>
      </x:c>
      <x:c r="E1324" s="18" t="n">
        <x:v>26</x:v>
      </x:c>
      <x:c r="F1324" s="24" t="n">
        <x:f>IFERROR('各站彙總來源'!F1324/'各站彙總來源'!G1324,"")</x:f>
        <x:v>11.23076923076923</x:v>
      </x:c>
      <x:c r="G1324" s="19" t="n">
        <x:f>'各站彙總來源'!G1324</x:f>
        <x:v>26</x:v>
      </x:c>
      <x:c r="H1324" s="24" t="n">
        <x:f>IFERROR('各站彙總來源'!H1324/'各站彙總來源'!I1324,"")</x:f>
        <x:v>2.1538461538461537</x:v>
      </x:c>
      <x:c r="I1324" s="19" t="n">
        <x:f>'各站彙總來源'!I1324</x:f>
        <x:v>26</x:v>
      </x:c>
      <x:c r="J1324" s="24" t="n">
        <x:f>IFERROR('各站彙總來源'!J1324/'各站彙總來源'!K1324,"")</x:f>
        <x:v>11.23076923076923</x:v>
      </x:c>
      <x:c r="K1324" s="19" t="n">
        <x:f>'各站彙總來源'!K1324</x:f>
        <x:v>26</x:v>
      </x:c>
      <x:c r="L1324" s="24" t="n">
        <x:f>IFERROR('各站彙總來源'!L1324/'各站彙總來源'!M1324,"")</x:f>
        <x:v>1.9230769230769231</x:v>
      </x:c>
      <x:c r="M1324" s="19" t="n">
        <x:f>'各站彙總來源'!M1324</x:f>
        <x:v>26</x:v>
      </x:c>
      <x:c r="N1324" s="24" t="n">
        <x:f>F1324+H1324</x:f>
        <x:v>13.384615384615383</x:v>
      </x:c>
      <x:c r="O1324" s="24" t="n">
        <x:f>J1324+L1324</x:f>
        <x:v>13.153846153846153</x:v>
      </x:c>
    </x:row>
    <x:row r="1325">
      <x:c r="A1325" s="22" t="str">
        <x:v>500109111</x:v>
      </x:c>
      <x:c r="B1325" s="17" t="str">
        <x:v>北投區</x:v>
      </x:c>
      <x:c r="C1325" s="17" t="str">
        <x:v>文林橋(文林北路75巷)</x:v>
      </x:c>
      <x:c r="D1325" s="18" t="n">
        <x:v>26</x:v>
      </x:c>
      <x:c r="E1325" s="18" t="n">
        <x:v>26</x:v>
      </x:c>
      <x:c r="F1325" s="24" t="n">
        <x:f>IFERROR('各站彙總來源'!F1325/'各站彙總來源'!G1325,"")</x:f>
        <x:v>7.3076923076923075</x:v>
      </x:c>
      <x:c r="G1325" s="19" t="n">
        <x:f>'各站彙總來源'!G1325</x:f>
        <x:v>26</x:v>
      </x:c>
      <x:c r="H1325" s="24" t="n">
        <x:f>IFERROR('各站彙總來源'!H1325/'各站彙總來源'!I1325,"")</x:f>
        <x:v>1.3076923076923077</x:v>
      </x:c>
      <x:c r="I1325" s="19" t="n">
        <x:f>'各站彙總來源'!I1325</x:f>
        <x:v>26</x:v>
      </x:c>
      <x:c r="J1325" s="24" t="n">
        <x:f>IFERROR('各站彙總來源'!J1325/'各站彙總來源'!K1325,"")</x:f>
        <x:v>15.5</x:v>
      </x:c>
      <x:c r="K1325" s="19" t="n">
        <x:f>'各站彙總來源'!K1325</x:f>
        <x:v>26</x:v>
      </x:c>
      <x:c r="L1325" s="24" t="n">
        <x:f>IFERROR('各站彙總來源'!L1325/'各站彙總來源'!M1325,"")</x:f>
        <x:v>1.4615384615384615</x:v>
      </x:c>
      <x:c r="M1325" s="19" t="n">
        <x:f>'各站彙總來源'!M1325</x:f>
        <x:v>26</x:v>
      </x:c>
      <x:c r="N1325" s="24" t="n">
        <x:f>F1325+H1325</x:f>
        <x:v>8.615384615384615</x:v>
      </x:c>
      <x:c r="O1325" s="24" t="n">
        <x:f>J1325+L1325</x:f>
        <x:v>16.96153846153846</x:v>
      </x:c>
    </x:row>
    <x:row r="1326">
      <x:c r="A1326" s="22" t="str">
        <x:v>500109112</x:v>
      </x:c>
      <x:c r="B1326" s="17" t="str">
        <x:v>北投區</x:v>
      </x:c>
      <x:c r="C1326" s="17" t="str">
        <x:v>榮華公園</x:v>
      </x:c>
      <x:c r="D1326" s="18" t="n">
        <x:v>26</x:v>
      </x:c>
      <x:c r="E1326" s="18" t="n">
        <x:v>26</x:v>
      </x:c>
      <x:c r="F1326" s="24" t="n">
        <x:f>IFERROR('各站彙總來源'!F1326/'各站彙總來源'!G1326,"")</x:f>
        <x:v>13.884615384615385</x:v>
      </x:c>
      <x:c r="G1326" s="19" t="n">
        <x:f>'各站彙總來源'!G1326</x:f>
        <x:v>26</x:v>
      </x:c>
      <x:c r="H1326" s="24" t="n">
        <x:f>IFERROR('各站彙總來源'!H1326/'各站彙總來源'!I1326,"")</x:f>
        <x:v>2.1923076923076925</x:v>
      </x:c>
      <x:c r="I1326" s="19" t="n">
        <x:f>'各站彙總來源'!I1326</x:f>
        <x:v>26</x:v>
      </x:c>
      <x:c r="J1326" s="24" t="n">
        <x:f>IFERROR('各站彙總來源'!J1326/'各站彙總來源'!K1326,"")</x:f>
        <x:v>4.653846153846154</x:v>
      </x:c>
      <x:c r="K1326" s="19" t="n">
        <x:f>'各站彙總來源'!K1326</x:f>
        <x:v>26</x:v>
      </x:c>
      <x:c r="L1326" s="24" t="n">
        <x:f>IFERROR('各站彙總來源'!L1326/'各站彙總來源'!M1326,"")</x:f>
        <x:v>1.1923076923076923</x:v>
      </x:c>
      <x:c r="M1326" s="19" t="n">
        <x:f>'各站彙總來源'!M1326</x:f>
        <x:v>26</x:v>
      </x:c>
      <x:c r="N1326" s="24" t="n">
        <x:f>F1326+H1326</x:f>
        <x:v>16.076923076923077</x:v>
      </x:c>
      <x:c r="O1326" s="24" t="n">
        <x:f>J1326+L1326</x:f>
        <x:v>5.846153846153847</x:v>
      </x:c>
    </x:row>
    <x:row r="1327">
      <x:c r="A1327" s="22" t="str">
        <x:v>500109113</x:v>
      </x:c>
      <x:c r="B1327" s="17" t="str">
        <x:v>北投區</x:v>
      </x:c>
      <x:c r="C1327" s="17" t="str">
        <x:v>北投市場(民族街口)</x:v>
      </x:c>
      <x:c r="D1327" s="18" t="n">
        <x:v>26</x:v>
      </x:c>
      <x:c r="E1327" s="18" t="n">
        <x:v>26</x:v>
      </x:c>
      <x:c r="F1327" s="24" t="n">
        <x:f>IFERROR('各站彙總來源'!F1327/'各站彙總來源'!G1327,"")</x:f>
        <x:v>18.76923076923077</x:v>
      </x:c>
      <x:c r="G1327" s="19" t="n">
        <x:f>'各站彙總來源'!G1327</x:f>
        <x:v>26</x:v>
      </x:c>
      <x:c r="H1327" s="24" t="n">
        <x:f>IFERROR('各站彙總來源'!H1327/'各站彙總來源'!I1327,"")</x:f>
        <x:v>0.8846153846153846</x:v>
      </x:c>
      <x:c r="I1327" s="19" t="n">
        <x:f>'各站彙總來源'!I1327</x:f>
        <x:v>26</x:v>
      </x:c>
      <x:c r="J1327" s="24" t="n">
        <x:f>IFERROR('各站彙總來源'!J1327/'各站彙總來源'!K1327,"")</x:f>
        <x:v>5.346153846153846</x:v>
      </x:c>
      <x:c r="K1327" s="19" t="n">
        <x:f>'各站彙總來源'!K1327</x:f>
        <x:v>26</x:v>
      </x:c>
      <x:c r="L1327" s="24" t="n">
        <x:f>IFERROR('各站彙總來源'!L1327/'各站彙總來源'!M1327,"")</x:f>
        <x:v>0.8076923076923077</x:v>
      </x:c>
      <x:c r="M1327" s="19" t="n">
        <x:f>'各站彙總來源'!M1327</x:f>
        <x:v>26</x:v>
      </x:c>
      <x:c r="N1327" s="24" t="n">
        <x:f>F1327+H1327</x:f>
        <x:v>19.653846153846153</x:v>
      </x:c>
      <x:c r="O1327" s="24" t="n">
        <x:f>J1327+L1327</x:f>
        <x:v>6.153846153846153</x:v>
      </x:c>
    </x:row>
    <x:row r="1328">
      <x:c r="A1328" s="22" t="str">
        <x:v>500109114</x:v>
      </x:c>
      <x:c r="B1328" s="17" t="str">
        <x:v>北投區</x:v>
      </x:c>
      <x:c r="C1328" s="17" t="str">
        <x:v>奇岩抽水站</x:v>
      </x:c>
      <x:c r="D1328" s="18" t="n">
        <x:v>26</x:v>
      </x:c>
      <x:c r="E1328" s="18" t="n">
        <x:v>26</x:v>
      </x:c>
      <x:c r="F1328" s="24" t="n">
        <x:f>IFERROR('各站彙總來源'!F1328/'各站彙總來源'!G1328,"")</x:f>
        <x:v>20.807692307692307</x:v>
      </x:c>
      <x:c r="G1328" s="19" t="n">
        <x:f>'各站彙總來源'!G1328</x:f>
        <x:v>26</x:v>
      </x:c>
      <x:c r="H1328" s="24" t="n">
        <x:f>IFERROR('各站彙總來源'!H1328/'各站彙總來源'!I1328,"")</x:f>
        <x:v>1.1538461538461537</x:v>
      </x:c>
      <x:c r="I1328" s="19" t="n">
        <x:f>'各站彙總來源'!I1328</x:f>
        <x:v>26</x:v>
      </x:c>
      <x:c r="J1328" s="24" t="n">
        <x:f>IFERROR('各站彙總來源'!J1328/'各站彙總來源'!K1328,"")</x:f>
        <x:v>9</x:v>
      </x:c>
      <x:c r="K1328" s="19" t="n">
        <x:f>'各站彙總來源'!K1328</x:f>
        <x:v>26</x:v>
      </x:c>
      <x:c r="L1328" s="24" t="n">
        <x:f>IFERROR('各站彙總來源'!L1328/'各站彙總來源'!M1328,"")</x:f>
        <x:v>0.8461538461538461</x:v>
      </x:c>
      <x:c r="M1328" s="19" t="n">
        <x:f>'各站彙總來源'!M1328</x:f>
        <x:v>26</x:v>
      </x:c>
      <x:c r="N1328" s="24" t="n">
        <x:f>F1328+H1328</x:f>
        <x:v>21.96153846153846</x:v>
      </x:c>
      <x:c r="O1328" s="24" t="n">
        <x:f>J1328+L1328</x:f>
        <x:v>9.846153846153847</x:v>
      </x:c>
    </x:row>
    <x:row r="1329">
      <x:c r="A1329" s="22" t="str">
        <x:v>500109115</x:v>
      </x:c>
      <x:c r="B1329" s="17" t="str">
        <x:v>北投區</x:v>
      </x:c>
      <x:c r="C1329" s="17" t="str">
        <x:v>溫泉路81號</x:v>
      </x:c>
      <x:c r="D1329" s="18" t="n">
        <x:v>26</x:v>
      </x:c>
      <x:c r="E1329" s="18" t="n">
        <x:v>26</x:v>
      </x:c>
      <x:c r="F1329" s="24" t="n">
        <x:f>IFERROR('各站彙總來源'!F1329/'各站彙總來源'!G1329,"")</x:f>
        <x:v>5.6923076923076925</x:v>
      </x:c>
      <x:c r="G1329" s="19" t="n">
        <x:f>'各站彙總來源'!G1329</x:f>
        <x:v>26</x:v>
      </x:c>
      <x:c r="H1329" s="24" t="n">
        <x:f>IFERROR('各站彙總來源'!H1329/'各站彙總來源'!I1329,"")</x:f>
        <x:v>2.5384615384615383</x:v>
      </x:c>
      <x:c r="I1329" s="19" t="n">
        <x:f>'各站彙總來源'!I1329</x:f>
        <x:v>26</x:v>
      </x:c>
      <x:c r="J1329" s="24" t="n">
        <x:f>IFERROR('各站彙總來源'!J1329/'各站彙總來源'!K1329,"")</x:f>
        <x:v>6</x:v>
      </x:c>
      <x:c r="K1329" s="19" t="n">
        <x:f>'各站彙總來源'!K1329</x:f>
        <x:v>26</x:v>
      </x:c>
      <x:c r="L1329" s="24" t="n">
        <x:f>IFERROR('各站彙總來源'!L1329/'各站彙總來源'!M1329,"")</x:f>
        <x:v>2.576923076923077</x:v>
      </x:c>
      <x:c r="M1329" s="19" t="n">
        <x:f>'各站彙總來源'!M1329</x:f>
        <x:v>26</x:v>
      </x:c>
      <x:c r="N1329" s="24" t="n">
        <x:f>F1329+H1329</x:f>
        <x:v>8.23076923076923</x:v>
      </x:c>
      <x:c r="O1329" s="24" t="n">
        <x:f>J1329+L1329</x:f>
        <x:v>8.576923076923077</x:v>
      </x:c>
    </x:row>
    <x:row r="1330">
      <x:c r="A1330" s="22" t="str">
        <x:v>500109116</x:v>
      </x:c>
      <x:c r="B1330" s="17" t="str">
        <x:v>北投區</x:v>
      </x:c>
      <x:c r="C1330" s="17" t="str">
        <x:v>北投公園噴泉</x:v>
      </x:c>
      <x:c r="D1330" s="18" t="n">
        <x:v>26</x:v>
      </x:c>
      <x:c r="E1330" s="18" t="n">
        <x:v>26</x:v>
      </x:c>
      <x:c r="F1330" s="24" t="n">
        <x:f>IFERROR('各站彙總來源'!F1330/'各站彙總來源'!G1330,"")</x:f>
        <x:v>6.269230769230769</x:v>
      </x:c>
      <x:c r="G1330" s="19" t="n">
        <x:f>'各站彙總來源'!G1330</x:f>
        <x:v>26</x:v>
      </x:c>
      <x:c r="H1330" s="24" t="n">
        <x:f>IFERROR('各站彙總來源'!H1330/'各站彙總來源'!I1330,"")</x:f>
        <x:v>1.2307692307692308</x:v>
      </x:c>
      <x:c r="I1330" s="19" t="n">
        <x:f>'各站彙總來源'!I1330</x:f>
        <x:v>26</x:v>
      </x:c>
      <x:c r="J1330" s="24" t="n">
        <x:f>IFERROR('各站彙總來源'!J1330/'各站彙總來源'!K1330,"")</x:f>
        <x:v>8.23076923076923</x:v>
      </x:c>
      <x:c r="K1330" s="19" t="n">
        <x:f>'各站彙總來源'!K1330</x:f>
        <x:v>26</x:v>
      </x:c>
      <x:c r="L1330" s="24" t="n">
        <x:f>IFERROR('各站彙總來源'!L1330/'各站彙總來源'!M1330,"")</x:f>
        <x:v>2.6923076923076925</x:v>
      </x:c>
      <x:c r="M1330" s="19" t="n">
        <x:f>'各站彙總來源'!M1330</x:f>
        <x:v>26</x:v>
      </x:c>
      <x:c r="N1330" s="24" t="n">
        <x:f>F1330+H1330</x:f>
        <x:v>7.5</x:v>
      </x:c>
      <x:c r="O1330" s="24" t="n">
        <x:f>J1330+L1330</x:f>
        <x:v>10.923076923076923</x:v>
      </x:c>
    </x:row>
    <x:row r="1331">
      <x:c r="A1331" s="22" t="str">
        <x:v>500109117</x:v>
      </x:c>
      <x:c r="B1331" s="17" t="str">
        <x:v>北投區</x:v>
      </x:c>
      <x:c r="C1331" s="17" t="str">
        <x:v>振華公園</x:v>
      </x:c>
      <x:c r="D1331" s="18" t="n">
        <x:v>26</x:v>
      </x:c>
      <x:c r="E1331" s="18" t="n">
        <x:v>26</x:v>
      </x:c>
      <x:c r="F1331" s="24" t="n">
        <x:f>IFERROR('各站彙總來源'!F1331/'各站彙總來源'!G1331,"")</x:f>
        <x:v>12.23076923076923</x:v>
      </x:c>
      <x:c r="G1331" s="19" t="n">
        <x:f>'各站彙總來源'!G1331</x:f>
        <x:v>26</x:v>
      </x:c>
      <x:c r="H1331" s="24" t="n">
        <x:f>IFERROR('各站彙總來源'!H1331/'各站彙總來源'!I1331,"")</x:f>
        <x:v>2.6538461538461537</x:v>
      </x:c>
      <x:c r="I1331" s="19" t="n">
        <x:f>'各站彙總來源'!I1331</x:f>
        <x:v>26</x:v>
      </x:c>
      <x:c r="J1331" s="24" t="n">
        <x:f>IFERROR('各站彙總來源'!J1331/'各站彙總來源'!K1331,"")</x:f>
        <x:v>6.346153846153846</x:v>
      </x:c>
      <x:c r="K1331" s="19" t="n">
        <x:f>'各站彙總來源'!K1331</x:f>
        <x:v>26</x:v>
      </x:c>
      <x:c r="L1331" s="24" t="n">
        <x:f>IFERROR('各站彙總來源'!L1331/'各站彙總來源'!M1331,"")</x:f>
        <x:v>1.7307692307692308</x:v>
      </x:c>
      <x:c r="M1331" s="19" t="n">
        <x:f>'各站彙總來源'!M1331</x:f>
        <x:v>26</x:v>
      </x:c>
      <x:c r="N1331" s="24" t="n">
        <x:f>F1331+H1331</x:f>
        <x:v>14.884615384615383</x:v>
      </x:c>
      <x:c r="O1331" s="24" t="n">
        <x:f>J1331+L1331</x:f>
        <x:v>8.076923076923077</x:v>
      </x:c>
    </x:row>
    <x:row r="1332">
      <x:c r="A1332" s="22" t="str">
        <x:v>500109118</x:v>
      </x:c>
      <x:c r="B1332" s="17" t="str">
        <x:v>北投區</x:v>
      </x:c>
      <x:c r="C1332" s="17" t="str">
        <x:v>三合街一段82巷62弄口</x:v>
      </x:c>
      <x:c r="D1332" s="18" t="n">
        <x:v>26</x:v>
      </x:c>
      <x:c r="E1332" s="18" t="n">
        <x:v>26</x:v>
      </x:c>
      <x:c r="F1332" s="24" t="n">
        <x:f>IFERROR('各站彙總來源'!F1332/'各站彙總來源'!G1332,"")</x:f>
        <x:v>18.23076923076923</x:v>
      </x:c>
      <x:c r="G1332" s="19" t="n">
        <x:f>'各站彙總來源'!G1332</x:f>
        <x:v>26</x:v>
      </x:c>
      <x:c r="H1332" s="24" t="n">
        <x:f>IFERROR('各站彙總來源'!H1332/'各站彙總來源'!I1332,"")</x:f>
        <x:v>2.1923076923076925</x:v>
      </x:c>
      <x:c r="I1332" s="19" t="n">
        <x:f>'各站彙總來源'!I1332</x:f>
        <x:v>26</x:v>
      </x:c>
      <x:c r="J1332" s="24" t="n">
        <x:f>IFERROR('各站彙總來源'!J1332/'各站彙總來源'!K1332,"")</x:f>
        <x:v>6.1923076923076925</x:v>
      </x:c>
      <x:c r="K1332" s="19" t="n">
        <x:f>'各站彙總來源'!K1332</x:f>
        <x:v>26</x:v>
      </x:c>
      <x:c r="L1332" s="24" t="n">
        <x:f>IFERROR('各站彙總來源'!L1332/'各站彙總來源'!M1332,"")</x:f>
        <x:v>0.8076923076923077</x:v>
      </x:c>
      <x:c r="M1332" s="19" t="n">
        <x:f>'各站彙總來源'!M1332</x:f>
        <x:v>26</x:v>
      </x:c>
      <x:c r="N1332" s="24" t="n">
        <x:f>F1332+H1332</x:f>
        <x:v>20.423076923076923</x:v>
      </x:c>
      <x:c r="O1332" s="24" t="n">
        <x:f>J1332+L1332</x:f>
        <x:v>7</x:v>
      </x:c>
    </x:row>
    <x:row r="1333">
      <x:c r="A1333" s="22" t="str">
        <x:v>500109119</x:v>
      </x:c>
      <x:c r="B1333" s="17" t="str">
        <x:v>北投區</x:v>
      </x:c>
      <x:c r="C1333" s="17" t="str">
        <x:v>公舘西安街二段口</x:v>
      </x:c>
      <x:c r="D1333" s="18" t="n">
        <x:v>26</x:v>
      </x:c>
      <x:c r="E1333" s="18" t="n">
        <x:v>26</x:v>
      </x:c>
      <x:c r="F1333" s="24" t="n">
        <x:f>IFERROR('各站彙總來源'!F1333/'各站彙總來源'!G1333,"")</x:f>
        <x:v>7.3076923076923075</x:v>
      </x:c>
      <x:c r="G1333" s="19" t="n">
        <x:f>'各站彙總來源'!G1333</x:f>
        <x:v>26</x:v>
      </x:c>
      <x:c r="H1333" s="24" t="n">
        <x:f>IFERROR('各站彙總來源'!H1333/'各站彙總來源'!I1333,"")</x:f>
        <x:v>1.5</x:v>
      </x:c>
      <x:c r="I1333" s="19" t="n">
        <x:f>'各站彙總來源'!I1333</x:f>
        <x:v>26</x:v>
      </x:c>
      <x:c r="J1333" s="24" t="n">
        <x:f>IFERROR('各站彙總來源'!J1333/'各站彙總來源'!K1333,"")</x:f>
        <x:v>3.076923076923077</x:v>
      </x:c>
      <x:c r="K1333" s="19" t="n">
        <x:f>'各站彙總來源'!K1333</x:f>
        <x:v>26</x:v>
      </x:c>
      <x:c r="L1333" s="24" t="n">
        <x:f>IFERROR('各站彙總來源'!L1333/'各站彙總來源'!M1333,"")</x:f>
        <x:v>1.1538461538461537</x:v>
      </x:c>
      <x:c r="M1333" s="19" t="n">
        <x:f>'各站彙總來源'!M1333</x:f>
        <x:v>26</x:v>
      </x:c>
      <x:c r="N1333" s="24" t="n">
        <x:f>F1333+H1333</x:f>
        <x:v>8.807692307692307</x:v>
      </x:c>
      <x:c r="O1333" s="24" t="n">
        <x:f>J1333+L1333</x:f>
        <x:v>4.230769230769231</x:v>
      </x:c>
    </x:row>
    <x:row r="1334">
      <x:c r="A1334" s="22" t="str">
        <x:v>500109120</x:v>
      </x:c>
      <x:c r="B1334" s="17" t="str">
        <x:v>北投區</x:v>
      </x:c>
      <x:c r="C1334" s="17" t="str">
        <x:v>好市多北投店</x:v>
      </x:c>
      <x:c r="D1334" s="18" t="n">
        <x:v>26</x:v>
      </x:c>
      <x:c r="E1334" s="18" t="n">
        <x:v>26</x:v>
      </x:c>
      <x:c r="F1334" s="24" t="n">
        <x:f>IFERROR('各站彙總來源'!F1334/'各站彙總來源'!G1334,"")</x:f>
        <x:v>29.115384615384617</x:v>
      </x:c>
      <x:c r="G1334" s="19" t="n">
        <x:f>'各站彙總來源'!G1334</x:f>
        <x:v>26</x:v>
      </x:c>
      <x:c r="H1334" s="24" t="n">
        <x:f>IFERROR('各站彙總來源'!H1334/'各站彙總來源'!I1334,"")</x:f>
        <x:v>2.5384615384615383</x:v>
      </x:c>
      <x:c r="I1334" s="19" t="n">
        <x:f>'各站彙總來源'!I1334</x:f>
        <x:v>26</x:v>
      </x:c>
      <x:c r="J1334" s="24" t="n">
        <x:f>IFERROR('各站彙總來源'!J1334/'各站彙總來源'!K1334,"")</x:f>
        <x:v>31.846153846153847</x:v>
      </x:c>
      <x:c r="K1334" s="19" t="n">
        <x:f>'各站彙總來源'!K1334</x:f>
        <x:v>26</x:v>
      </x:c>
      <x:c r="L1334" s="24" t="n">
        <x:f>IFERROR('各站彙總來源'!L1334/'各站彙總來源'!M1334,"")</x:f>
        <x:v>3.076923076923077</x:v>
      </x:c>
      <x:c r="M1334" s="19" t="n">
        <x:f>'各站彙總來源'!M1334</x:f>
        <x:v>26</x:v>
      </x:c>
      <x:c r="N1334" s="24" t="n">
        <x:f>F1334+H1334</x:f>
        <x:v>31.653846153846153</x:v>
      </x:c>
      <x:c r="O1334" s="24" t="n">
        <x:f>J1334+L1334</x:f>
        <x:v>34.92307692307693</x:v>
      </x:c>
    </x:row>
    <x:row r="1335">
      <x:c r="A1335" s="22" t="str">
        <x:v>500109121</x:v>
      </x:c>
      <x:c r="B1335" s="17" t="str">
        <x:v>北投區</x:v>
      </x:c>
      <x:c r="C1335" s="17" t="str">
        <x:v>薇閣高中</x:v>
      </x:c>
      <x:c r="D1335" s="18" t="n">
        <x:v>26</x:v>
      </x:c>
      <x:c r="E1335" s="18" t="n">
        <x:v>26</x:v>
      </x:c>
      <x:c r="F1335" s="24" t="n">
        <x:f>IFERROR('各站彙總來源'!F1335/'各站彙總來源'!G1335,"")</x:f>
        <x:v>0</x:v>
      </x:c>
      <x:c r="G1335" s="19" t="n">
        <x:f>'各站彙總來源'!G1335</x:f>
        <x:v>26</x:v>
      </x:c>
      <x:c r="H1335" s="24" t="n">
        <x:f>IFERROR('各站彙總來源'!H1335/'各站彙總來源'!I1335,"")</x:f>
        <x:v>0</x:v>
      </x:c>
      <x:c r="I1335" s="19" t="n">
        <x:f>'各站彙總來源'!I1335</x:f>
        <x:v>26</x:v>
      </x:c>
      <x:c r="J1335" s="24" t="n">
        <x:f>IFERROR('各站彙總來源'!J1335/'各站彙總來源'!K1335,"")</x:f>
        <x:v>0</x:v>
      </x:c>
      <x:c r="K1335" s="19" t="n">
        <x:f>'各站彙總來源'!K1335</x:f>
        <x:v>26</x:v>
      </x:c>
      <x:c r="L1335" s="24" t="n">
        <x:f>IFERROR('各站彙總來源'!L1335/'各站彙總來源'!M1335,"")</x:f>
        <x:v>0</x:v>
      </x:c>
      <x:c r="M1335" s="19" t="n">
        <x:f>'各站彙總來源'!M1335</x:f>
        <x:v>26</x:v>
      </x:c>
      <x:c r="N1335" s="24" t="n">
        <x:f>F1335+H1335</x:f>
        <x:v>0</x:v>
      </x:c>
      <x:c r="O1335" s="24" t="n">
        <x:f>J1335+L1335</x:f>
        <x:v>0</x:v>
      </x:c>
    </x:row>
    <x:row r="1336">
      <x:c r="A1336" s="22" t="str">
        <x:v>500109122</x:v>
      </x:c>
      <x:c r="B1336" s="17" t="str">
        <x:v>北投區</x:v>
      </x:c>
      <x:c r="C1336" s="17" t="str">
        <x:v>彰化銀行北投分行</x:v>
      </x:c>
      <x:c r="D1336" s="18" t="n">
        <x:v>26</x:v>
      </x:c>
      <x:c r="E1336" s="18" t="n">
        <x:v>26</x:v>
      </x:c>
      <x:c r="F1336" s="24" t="n">
        <x:f>IFERROR('各站彙總來源'!F1336/'各站彙總來源'!G1336,"")</x:f>
        <x:v>7.8076923076923075</x:v>
      </x:c>
      <x:c r="G1336" s="19" t="n">
        <x:f>'各站彙總來源'!G1336</x:f>
        <x:v>26</x:v>
      </x:c>
      <x:c r="H1336" s="24" t="n">
        <x:f>IFERROR('各站彙總來源'!H1336/'各站彙總來源'!I1336,"")</x:f>
        <x:v>0.8076923076923077</x:v>
      </x:c>
      <x:c r="I1336" s="19" t="n">
        <x:f>'各站彙總來源'!I1336</x:f>
        <x:v>26</x:v>
      </x:c>
      <x:c r="J1336" s="24" t="n">
        <x:f>IFERROR('各站彙總來源'!J1336/'各站彙總來源'!K1336,"")</x:f>
        <x:v>9.461538461538462</x:v>
      </x:c>
      <x:c r="K1336" s="19" t="n">
        <x:f>'各站彙總來源'!K1336</x:f>
        <x:v>26</x:v>
      </x:c>
      <x:c r="L1336" s="24" t="n">
        <x:f>IFERROR('各站彙總來源'!L1336/'各站彙總來源'!M1336,"")</x:f>
        <x:v>2.076923076923077</x:v>
      </x:c>
      <x:c r="M1336" s="19" t="n">
        <x:f>'各站彙總來源'!M1336</x:f>
        <x:v>26</x:v>
      </x:c>
      <x:c r="N1336" s="24" t="n">
        <x:f>F1336+H1336</x:f>
        <x:v>8.615384615384615</x:v>
      </x:c>
      <x:c r="O1336" s="24" t="n">
        <x:f>J1336+L1336</x:f>
        <x:v>11.538461538461538</x:v>
      </x:c>
    </x:row>
    <x:row r="1337">
      <x:c r="A1337" s="22" t="str">
        <x:v>500109123</x:v>
      </x:c>
      <x:c r="B1337" s="17" t="str">
        <x:v>北投區</x:v>
      </x:c>
      <x:c r="C1337" s="17" t="str">
        <x:v>中央北路一段197巷口</x:v>
      </x:c>
      <x:c r="D1337" s="18" t="n">
        <x:v>26</x:v>
      </x:c>
      <x:c r="E1337" s="18" t="n">
        <x:v>26</x:v>
      </x:c>
      <x:c r="F1337" s="24" t="n">
        <x:f>IFERROR('各站彙總來源'!F1337/'各站彙總來源'!G1337,"")</x:f>
        <x:v>11.23076923076923</x:v>
      </x:c>
      <x:c r="G1337" s="19" t="n">
        <x:f>'各站彙總來源'!G1337</x:f>
        <x:v>26</x:v>
      </x:c>
      <x:c r="H1337" s="24" t="n">
        <x:f>IFERROR('各站彙總來源'!H1337/'各站彙總來源'!I1337,"")</x:f>
        <x:v>2.076923076923077</x:v>
      </x:c>
      <x:c r="I1337" s="19" t="n">
        <x:f>'各站彙總來源'!I1337</x:f>
        <x:v>26</x:v>
      </x:c>
      <x:c r="J1337" s="24" t="n">
        <x:f>IFERROR('各站彙總來源'!J1337/'各站彙總來源'!K1337,"")</x:f>
        <x:v>5.615384615384615</x:v>
      </x:c>
      <x:c r="K1337" s="19" t="n">
        <x:f>'各站彙總來源'!K1337</x:f>
        <x:v>26</x:v>
      </x:c>
      <x:c r="L1337" s="24" t="n">
        <x:f>IFERROR('各站彙總來源'!L1337/'各站彙總來源'!M1337,"")</x:f>
        <x:v>1.7692307692307692</x:v>
      </x:c>
      <x:c r="M1337" s="19" t="n">
        <x:f>'各站彙總來源'!M1337</x:f>
        <x:v>26</x:v>
      </x:c>
      <x:c r="N1337" s="24" t="n">
        <x:f>F1337+H1337</x:f>
        <x:v>13.307692307692307</x:v>
      </x:c>
      <x:c r="O1337" s="24" t="n">
        <x:f>J1337+L1337</x:f>
        <x:v>7.384615384615384</x:v>
      </x:c>
    </x:row>
    <x:row r="1338">
      <x:c r="A1338" s="22" t="str">
        <x:v>500109124</x:v>
      </x:c>
      <x:c r="B1338" s="17" t="str">
        <x:v>北投區</x:v>
      </x:c>
      <x:c r="C1338" s="17" t="str">
        <x:v>福星公園地下停車場(出入口B)</x:v>
      </x:c>
      <x:c r="D1338" s="18" t="n">
        <x:v>26</x:v>
      </x:c>
      <x:c r="E1338" s="18" t="n">
        <x:v>26</x:v>
      </x:c>
      <x:c r="F1338" s="24" t="n">
        <x:f>IFERROR('各站彙總來源'!F1338/'各站彙總來源'!G1338,"")</x:f>
        <x:v>5.115384615384615</x:v>
      </x:c>
      <x:c r="G1338" s="19" t="n">
        <x:f>'各站彙總來源'!G1338</x:f>
        <x:v>26</x:v>
      </x:c>
      <x:c r="H1338" s="24" t="n">
        <x:f>IFERROR('各站彙總來源'!H1338/'各站彙總來源'!I1338,"")</x:f>
        <x:v>1.0384615384615385</x:v>
      </x:c>
      <x:c r="I1338" s="19" t="n">
        <x:f>'各站彙總來源'!I1338</x:f>
        <x:v>26</x:v>
      </x:c>
      <x:c r="J1338" s="24" t="n">
        <x:f>IFERROR('各站彙總來源'!J1338/'各站彙總來源'!K1338,"")</x:f>
        <x:v>10.115384615384615</x:v>
      </x:c>
      <x:c r="K1338" s="19" t="n">
        <x:f>'各站彙總來源'!K1338</x:f>
        <x:v>26</x:v>
      </x:c>
      <x:c r="L1338" s="24" t="n">
        <x:f>IFERROR('各站彙總來源'!L1338/'各站彙總來源'!M1338,"")</x:f>
        <x:v>1.8461538461538463</x:v>
      </x:c>
      <x:c r="M1338" s="19" t="n">
        <x:f>'各站彙總來源'!M1338</x:f>
        <x:v>26</x:v>
      </x:c>
      <x:c r="N1338" s="24" t="n">
        <x:f>F1338+H1338</x:f>
        <x:v>6.153846153846153</x:v>
      </x:c>
      <x:c r="O1338" s="24" t="n">
        <x:f>J1338+L1338</x:f>
        <x:v>11.961538461538462</x:v>
      </x:c>
    </x:row>
    <x:row r="1339">
      <x:c r="A1339" s="22" t="str">
        <x:v>500109125</x:v>
      </x:c>
      <x:c r="B1339" s="17" t="str">
        <x:v>北投區</x:v>
      </x:c>
      <x:c r="C1339" s="17" t="str">
        <x:v>民族街36巷口</x:v>
      </x:c>
      <x:c r="D1339" s="18" t="n">
        <x:v>26</x:v>
      </x:c>
      <x:c r="E1339" s="18" t="n">
        <x:v>26</x:v>
      </x:c>
      <x:c r="F1339" s="24" t="n">
        <x:f>IFERROR('各站彙總來源'!F1339/'各站彙總來源'!G1339,"")</x:f>
        <x:v>15.076923076923077</x:v>
      </x:c>
      <x:c r="G1339" s="19" t="n">
        <x:f>'各站彙總來源'!G1339</x:f>
        <x:v>26</x:v>
      </x:c>
      <x:c r="H1339" s="24" t="n">
        <x:f>IFERROR('各站彙總來源'!H1339/'各站彙總來源'!I1339,"")</x:f>
        <x:v>1.9615384615384615</x:v>
      </x:c>
      <x:c r="I1339" s="19" t="n">
        <x:f>'各站彙總來源'!I1339</x:f>
        <x:v>26</x:v>
      </x:c>
      <x:c r="J1339" s="24" t="n">
        <x:f>IFERROR('各站彙總來源'!J1339/'各站彙總來源'!K1339,"")</x:f>
        <x:v>4.538461538461538</x:v>
      </x:c>
      <x:c r="K1339" s="19" t="n">
        <x:f>'各站彙總來源'!K1339</x:f>
        <x:v>26</x:v>
      </x:c>
      <x:c r="L1339" s="24" t="n">
        <x:f>IFERROR('各站彙總來源'!L1339/'各站彙總來源'!M1339,"")</x:f>
        <x:v>1.3846153846153846</x:v>
      </x:c>
      <x:c r="M1339" s="19" t="n">
        <x:f>'各站彙總來源'!M1339</x:f>
        <x:v>26</x:v>
      </x:c>
      <x:c r="N1339" s="24" t="n">
        <x:f>F1339+H1339</x:f>
        <x:v>17.038461538461537</x:v>
      </x:c>
      <x:c r="O1339" s="24" t="n">
        <x:f>J1339+L1339</x:f>
        <x:v>5.923076923076923</x:v>
      </x:c>
    </x:row>
    <x:row r="1340">
      <x:c r="A1340" s="22" t="str">
        <x:v>500109126</x:v>
      </x:c>
      <x:c r="B1340" s="17" t="str">
        <x:v>北投區</x:v>
      </x:c>
      <x:c r="C1340" s="17" t="str">
        <x:v>承德文承路口</x:v>
      </x:c>
      <x:c r="D1340" s="18" t="n">
        <x:v>26</x:v>
      </x:c>
      <x:c r="E1340" s="18" t="n">
        <x:v>26</x:v>
      </x:c>
      <x:c r="F1340" s="24" t="n">
        <x:f>IFERROR('各站彙總來源'!F1340/'各站彙總來源'!G1340,"")</x:f>
        <x:v>7.423076923076923</x:v>
      </x:c>
      <x:c r="G1340" s="19" t="n">
        <x:f>'各站彙總來源'!G1340</x:f>
        <x:v>26</x:v>
      </x:c>
      <x:c r="H1340" s="24" t="n">
        <x:f>IFERROR('各站彙總來源'!H1340/'各站彙總來源'!I1340,"")</x:f>
        <x:v>0.8076923076923077</x:v>
      </x:c>
      <x:c r="I1340" s="19" t="n">
        <x:f>'各站彙總來源'!I1340</x:f>
        <x:v>26</x:v>
      </x:c>
      <x:c r="J1340" s="24" t="n">
        <x:f>IFERROR('各站彙總來源'!J1340/'各站彙總來源'!K1340,"")</x:f>
        <x:v>8.23076923076923</x:v>
      </x:c>
      <x:c r="K1340" s="19" t="n">
        <x:f>'各站彙總來源'!K1340</x:f>
        <x:v>26</x:v>
      </x:c>
      <x:c r="L1340" s="24" t="n">
        <x:f>IFERROR('各站彙總來源'!L1340/'各站彙總來源'!M1340,"")</x:f>
        <x:v>1.5</x:v>
      </x:c>
      <x:c r="M1340" s="19" t="n">
        <x:f>'各站彙總來源'!M1340</x:f>
        <x:v>26</x:v>
      </x:c>
      <x:c r="N1340" s="24" t="n">
        <x:f>F1340+H1340</x:f>
        <x:v>8.230769230769232</x:v>
      </x:c>
      <x:c r="O1340" s="24" t="n">
        <x:f>J1340+L1340</x:f>
        <x:v>9.73076923076923</x:v>
      </x:c>
    </x:row>
    <x:row r="1341">
      <x:c r="A1341" s="22" t="str">
        <x:v>500109127</x:v>
      </x:c>
      <x:c r="B1341" s="17" t="str">
        <x:v>北投區</x:v>
      </x:c>
      <x:c r="C1341" s="17" t="str">
        <x:v>承平福美路口</x:v>
      </x:c>
      <x:c r="D1341" s="18" t="n">
        <x:v>26</x:v>
      </x:c>
      <x:c r="E1341" s="18" t="n">
        <x:v>26</x:v>
      </x:c>
      <x:c r="F1341" s="24" t="n">
        <x:f>IFERROR('各站彙總來源'!F1341/'各站彙總來源'!G1341,"")</x:f>
        <x:v>6.230769230769231</x:v>
      </x:c>
      <x:c r="G1341" s="19" t="n">
        <x:f>'各站彙總來源'!G1341</x:f>
        <x:v>26</x:v>
      </x:c>
      <x:c r="H1341" s="24" t="n">
        <x:f>IFERROR('各站彙總來源'!H1341/'各站彙總來源'!I1341,"")</x:f>
        <x:v>1.3846153846153846</x:v>
      </x:c>
      <x:c r="I1341" s="19" t="n">
        <x:f>'各站彙總來源'!I1341</x:f>
        <x:v>26</x:v>
      </x:c>
      <x:c r="J1341" s="24" t="n">
        <x:f>IFERROR('各站彙總來源'!J1341/'各站彙總來源'!K1341,"")</x:f>
        <x:v>9.5</x:v>
      </x:c>
      <x:c r="K1341" s="19" t="n">
        <x:f>'各站彙總來源'!K1341</x:f>
        <x:v>26</x:v>
      </x:c>
      <x:c r="L1341" s="24" t="n">
        <x:f>IFERROR('各站彙總來源'!L1341/'各站彙總來源'!M1341,"")</x:f>
        <x:v>2.269230769230769</x:v>
      </x:c>
      <x:c r="M1341" s="19" t="n">
        <x:f>'各站彙總來源'!M1341</x:f>
        <x:v>26</x:v>
      </x:c>
      <x:c r="N1341" s="24" t="n">
        <x:f>F1341+H1341</x:f>
        <x:v>7.615384615384615</x:v>
      </x:c>
      <x:c r="O1341" s="24" t="n">
        <x:f>J1341+L1341</x:f>
        <x:v>11.76923076923077</x:v>
      </x:c>
    </x:row>
    <x:row r="1342">
      <x:c r="A1342" s="22" t="str">
        <x:v>500109128</x:v>
      </x:c>
      <x:c r="B1342" s="17" t="str">
        <x:v>北投區</x:v>
      </x:c>
      <x:c r="C1342" s="17" t="str">
        <x:v>承美福國路口</x:v>
      </x:c>
      <x:c r="D1342" s="18" t="n">
        <x:v>26</x:v>
      </x:c>
      <x:c r="E1342" s="18" t="n">
        <x:v>26</x:v>
      </x:c>
      <x:c r="F1342" s="24" t="n">
        <x:f>IFERROR('各站彙總來源'!F1342/'各站彙總來源'!G1342,"")</x:f>
        <x:v>15.884615384615385</x:v>
      </x:c>
      <x:c r="G1342" s="19" t="n">
        <x:f>'各站彙總來源'!G1342</x:f>
        <x:v>26</x:v>
      </x:c>
      <x:c r="H1342" s="24" t="n">
        <x:f>IFERROR('各站彙總來源'!H1342/'各站彙總來源'!I1342,"")</x:f>
        <x:v>2.230769230769231</x:v>
      </x:c>
      <x:c r="I1342" s="19" t="n">
        <x:f>'各站彙總來源'!I1342</x:f>
        <x:v>26</x:v>
      </x:c>
      <x:c r="J1342" s="24" t="n">
        <x:f>IFERROR('各站彙總來源'!J1342/'各站彙總來源'!K1342,"")</x:f>
        <x:v>14</x:v>
      </x:c>
      <x:c r="K1342" s="19" t="n">
        <x:f>'各站彙總來源'!K1342</x:f>
        <x:v>26</x:v>
      </x:c>
      <x:c r="L1342" s="24" t="n">
        <x:f>IFERROR('各站彙總來源'!L1342/'各站彙總來源'!M1342,"")</x:f>
        <x:v>3.269230769230769</x:v>
      </x:c>
      <x:c r="M1342" s="19" t="n">
        <x:f>'各站彙總來源'!M1342</x:f>
        <x:v>26</x:v>
      </x:c>
      <x:c r="N1342" s="24" t="n">
        <x:f>F1342+H1342</x:f>
        <x:v>18.115384615384617</x:v>
      </x:c>
      <x:c r="O1342" s="24" t="n">
        <x:f>J1342+L1342</x:f>
        <x:v>17.26923076923077</x:v>
      </x:c>
    </x:row>
    <x:row r="1343">
      <x:c r="A1343" s="22" t="str">
        <x:v>500109129</x:v>
      </x:c>
      <x:c r="B1343" s="17" t="str">
        <x:v>北投區</x:v>
      </x:c>
      <x:c r="C1343" s="17" t="str">
        <x:v>北投22號線形公園共融遊戲場</x:v>
      </x:c>
      <x:c r="D1343" s="18" t="n">
        <x:v>26</x:v>
      </x:c>
      <x:c r="E1343" s="18" t="n">
        <x:v>26</x:v>
      </x:c>
      <x:c r="F1343" s="24" t="n">
        <x:f>IFERROR('各站彙總來源'!F1343/'各站彙總來源'!G1343,"")</x:f>
        <x:v>32.46153846153846</x:v>
      </x:c>
      <x:c r="G1343" s="19" t="n">
        <x:f>'各站彙總來源'!G1343</x:f>
        <x:v>26</x:v>
      </x:c>
      <x:c r="H1343" s="24" t="n">
        <x:f>IFERROR('各站彙總來源'!H1343/'各站彙總來源'!I1343,"")</x:f>
        <x:v>1.8846153846153846</x:v>
      </x:c>
      <x:c r="I1343" s="19" t="n">
        <x:f>'各站彙總來源'!I1343</x:f>
        <x:v>26</x:v>
      </x:c>
      <x:c r="J1343" s="24" t="n">
        <x:f>IFERROR('各站彙總來源'!J1343/'各站彙總來源'!K1343,"")</x:f>
        <x:v>7.538461538461538</x:v>
      </x:c>
      <x:c r="K1343" s="19" t="n">
        <x:f>'各站彙總來源'!K1343</x:f>
        <x:v>26</x:v>
      </x:c>
      <x:c r="L1343" s="24" t="n">
        <x:f>IFERROR('各站彙總來源'!L1343/'各站彙總來源'!M1343,"")</x:f>
        <x:v>0.6538461538461539</x:v>
      </x:c>
      <x:c r="M1343" s="19" t="n">
        <x:f>'各站彙總來源'!M1343</x:f>
        <x:v>26</x:v>
      </x:c>
      <x:c r="N1343" s="24" t="n">
        <x:f>F1343+H1343</x:f>
        <x:v>34.34615384615385</x:v>
      </x:c>
      <x:c r="O1343" s="24" t="n">
        <x:f>J1343+L1343</x:f>
        <x:v>8.192307692307692</x:v>
      </x:c>
    </x:row>
    <x:row r="1344">
      <x:c r="A1344" s="22" t="str">
        <x:v>500109130</x:v>
      </x:c>
      <x:c r="B1344" s="17" t="str">
        <x:v>北投區</x:v>
      </x:c>
      <x:c r="C1344" s="17" t="str">
        <x:v>承德路七段164巷口</x:v>
      </x:c>
      <x:c r="D1344" s="18" t="n">
        <x:v>26</x:v>
      </x:c>
      <x:c r="E1344" s="18" t="n">
        <x:v>26</x:v>
      </x:c>
      <x:c r="F1344" s="24" t="n">
        <x:f>IFERROR('各站彙總來源'!F1344/'各站彙總來源'!G1344,"")</x:f>
        <x:v>7.884615384615385</x:v>
      </x:c>
      <x:c r="G1344" s="19" t="n">
        <x:f>'各站彙總來源'!G1344</x:f>
        <x:v>26</x:v>
      </x:c>
      <x:c r="H1344" s="24" t="n">
        <x:f>IFERROR('各站彙總來源'!H1344/'各站彙總來源'!I1344,"")</x:f>
        <x:v>1.9230769230769231</x:v>
      </x:c>
      <x:c r="I1344" s="19" t="n">
        <x:f>'各站彙總來源'!I1344</x:f>
        <x:v>26</x:v>
      </x:c>
      <x:c r="J1344" s="24" t="n">
        <x:f>IFERROR('各站彙總來源'!J1344/'各站彙總來源'!K1344,"")</x:f>
        <x:v>5.5</x:v>
      </x:c>
      <x:c r="K1344" s="19" t="n">
        <x:f>'各站彙總來源'!K1344</x:f>
        <x:v>26</x:v>
      </x:c>
      <x:c r="L1344" s="24" t="n">
        <x:f>IFERROR('各站彙總來源'!L1344/'各站彙總來源'!M1344,"")</x:f>
        <x:v>0.7307692307692307</x:v>
      </x:c>
      <x:c r="M1344" s="19" t="n">
        <x:f>'各站彙總來源'!M1344</x:f>
        <x:v>26</x:v>
      </x:c>
      <x:c r="N1344" s="24" t="n">
        <x:f>F1344+H1344</x:f>
        <x:v>9.807692307692308</x:v>
      </x:c>
      <x:c r="O1344" s="24" t="n">
        <x:f>J1344+L1344</x:f>
        <x:v>6.230769230769231</x:v>
      </x:c>
    </x:row>
    <x:row r="1345">
      <x:c r="A1345" s="22" t="str">
        <x:v>500109131</x:v>
      </x:c>
      <x:c r="B1345" s="17" t="str">
        <x:v>北投區</x:v>
      </x:c>
      <x:c r="C1345" s="17" t="str">
        <x:v>福國社會住宅</x:v>
      </x:c>
      <x:c r="D1345" s="18" t="n">
        <x:v>26</x:v>
      </x:c>
      <x:c r="E1345" s="18" t="n">
        <x:v>26</x:v>
      </x:c>
      <x:c r="F1345" s="24" t="n">
        <x:f>IFERROR('各站彙總來源'!F1345/'各站彙總來源'!G1345,"")</x:f>
        <x:v>0</x:v>
      </x:c>
      <x:c r="G1345" s="19" t="n">
        <x:f>'各站彙總來源'!G1345</x:f>
        <x:v>26</x:v>
      </x:c>
      <x:c r="H1345" s="24" t="n">
        <x:f>IFERROR('各站彙總來源'!H1345/'各站彙總來源'!I1345,"")</x:f>
        <x:v>0</x:v>
      </x:c>
      <x:c r="I1345" s="19" t="n">
        <x:f>'各站彙總來源'!I1345</x:f>
        <x:v>26</x:v>
      </x:c>
      <x:c r="J1345" s="24" t="n">
        <x:f>IFERROR('各站彙總來源'!J1345/'各站彙總來源'!K1345,"")</x:f>
        <x:v>0</x:v>
      </x:c>
      <x:c r="K1345" s="19" t="n">
        <x:f>'各站彙總來源'!K1345</x:f>
        <x:v>26</x:v>
      </x:c>
      <x:c r="L1345" s="24" t="n">
        <x:f>IFERROR('各站彙總來源'!L1345/'各站彙總來源'!M1345,"")</x:f>
        <x:v>0</x:v>
      </x:c>
      <x:c r="M1345" s="19" t="n">
        <x:f>'各站彙總來源'!M1345</x:f>
        <x:v>26</x:v>
      </x:c>
      <x:c r="N1345" s="24" t="n">
        <x:f>F1345+H1345</x:f>
        <x:v>0</x:v>
      </x:c>
      <x:c r="O1345" s="24" t="n">
        <x:f>J1345+L1345</x:f>
        <x:v>0</x:v>
      </x:c>
    </x:row>
    <x:row r="1346">
      <x:c r="A1346" s="22" t="str">
        <x:v>500109132</x:v>
      </x:c>
      <x:c r="B1346" s="17" t="str">
        <x:v>北投區</x:v>
      </x:c>
      <x:c r="C1346" s="17" t="str">
        <x:v>光明路266號前</x:v>
      </x:c>
      <x:c r="D1346" s="18" t="n">
        <x:v>26</x:v>
      </x:c>
      <x:c r="E1346" s="18" t="n">
        <x:v>26</x:v>
      </x:c>
      <x:c r="F1346" s="24" t="n">
        <x:f>IFERROR('各站彙總來源'!F1346/'各站彙總來源'!G1346,"")</x:f>
        <x:v>5.884615384615385</x:v>
      </x:c>
      <x:c r="G1346" s="19" t="n">
        <x:f>'各站彙總來源'!G1346</x:f>
        <x:v>26</x:v>
      </x:c>
      <x:c r="H1346" s="24" t="n">
        <x:f>IFERROR('各站彙總來源'!H1346/'各站彙總來源'!I1346,"")</x:f>
        <x:v>3.3461538461538463</x:v>
      </x:c>
      <x:c r="I1346" s="19" t="n">
        <x:f>'各站彙總來源'!I1346</x:f>
        <x:v>26</x:v>
      </x:c>
      <x:c r="J1346" s="24" t="n">
        <x:f>IFERROR('各站彙總來源'!J1346/'各站彙總來源'!K1346,"")</x:f>
        <x:v>6.115384615384615</x:v>
      </x:c>
      <x:c r="K1346" s="19" t="n">
        <x:f>'各站彙總來源'!K1346</x:f>
        <x:v>26</x:v>
      </x:c>
      <x:c r="L1346" s="24" t="n">
        <x:f>IFERROR('各站彙總來源'!L1346/'各站彙總來源'!M1346,"")</x:f>
        <x:v>3.0384615384615383</x:v>
      </x:c>
      <x:c r="M1346" s="19" t="n">
        <x:f>'各站彙總來源'!M1346</x:f>
        <x:v>26</x:v>
      </x:c>
      <x:c r="N1346" s="24" t="n">
        <x:f>F1346+H1346</x:f>
        <x:v>9.230769230769232</x:v>
      </x:c>
      <x:c r="O1346" s="24" t="n">
        <x:f>J1346+L1346</x:f>
        <x:v>9.153846153846153</x:v>
      </x:c>
    </x:row>
    <x:row r="1347">
      <x:c r="A1347" s="22" t="str">
        <x:v>500109133</x:v>
      </x:c>
      <x:c r="B1347" s="17" t="str">
        <x:v>北投區</x:v>
      </x:c>
      <x:c r="C1347" s="17" t="str">
        <x:v>中和街493巷1弄口</x:v>
      </x:c>
      <x:c r="D1347" s="18" t="n">
        <x:v>26</x:v>
      </x:c>
      <x:c r="E1347" s="18" t="n">
        <x:v>26</x:v>
      </x:c>
      <x:c r="F1347" s="24" t="n">
        <x:f>IFERROR('各站彙總來源'!F1347/'各站彙總來源'!G1347,"")</x:f>
        <x:v>6.576923076923077</x:v>
      </x:c>
      <x:c r="G1347" s="19" t="n">
        <x:f>'各站彙總來源'!G1347</x:f>
        <x:v>26</x:v>
      </x:c>
      <x:c r="H1347" s="24" t="n">
        <x:f>IFERROR('各站彙總來源'!H1347/'各站彙總來源'!I1347,"")</x:f>
        <x:v>2.1538461538461537</x:v>
      </x:c>
      <x:c r="I1347" s="19" t="n">
        <x:f>'各站彙總來源'!I1347</x:f>
        <x:v>26</x:v>
      </x:c>
      <x:c r="J1347" s="24" t="n">
        <x:f>IFERROR('各站彙總來源'!J1347/'各站彙總來源'!K1347,"")</x:f>
        <x:v>4.961538461538462</x:v>
      </x:c>
      <x:c r="K1347" s="19" t="n">
        <x:f>'各站彙總來源'!K1347</x:f>
        <x:v>26</x:v>
      </x:c>
      <x:c r="L1347" s="24" t="n">
        <x:f>IFERROR('各站彙總來源'!L1347/'各站彙總來源'!M1347,"")</x:f>
        <x:v>0.8461538461538461</x:v>
      </x:c>
      <x:c r="M1347" s="19" t="n">
        <x:f>'各站彙總來源'!M1347</x:f>
        <x:v>26</x:v>
      </x:c>
      <x:c r="N1347" s="24" t="n">
        <x:f>F1347+H1347</x:f>
        <x:v>8.73076923076923</x:v>
      </x:c>
      <x:c r="O1347" s="24" t="n">
        <x:f>J1347+L1347</x:f>
        <x:v>5.8076923076923075</x:v>
      </x:c>
    </x:row>
    <x:row r="1348">
      <x:c r="A1348" s="22" t="str">
        <x:v>500109134</x:v>
      </x:c>
      <x:c r="B1348" s="17" t="str">
        <x:v>北投區</x:v>
      </x:c>
      <x:c r="C1348" s="17" t="str">
        <x:v>共月橋</x:v>
      </x:c>
      <x:c r="D1348" s="18" t="n">
        <x:v>26</x:v>
      </x:c>
      <x:c r="E1348" s="18" t="n">
        <x:v>26</x:v>
      </x:c>
      <x:c r="F1348" s="24" t="n">
        <x:f>IFERROR('各站彙總來源'!F1348/'各站彙總來源'!G1348,"")</x:f>
        <x:v>13.807692307692308</x:v>
      </x:c>
      <x:c r="G1348" s="19" t="n">
        <x:f>'各站彙總來源'!G1348</x:f>
        <x:v>26</x:v>
      </x:c>
      <x:c r="H1348" s="24" t="n">
        <x:f>IFERROR('各站彙總來源'!H1348/'各站彙總來源'!I1348,"")</x:f>
        <x:v>0.8076923076923077</x:v>
      </x:c>
      <x:c r="I1348" s="19" t="n">
        <x:f>'各站彙總來源'!I1348</x:f>
        <x:v>26</x:v>
      </x:c>
      <x:c r="J1348" s="24" t="n">
        <x:f>IFERROR('各站彙總來源'!J1348/'各站彙總來源'!K1348,"")</x:f>
        <x:v>6.769230769230769</x:v>
      </x:c>
      <x:c r="K1348" s="19" t="n">
        <x:f>'各站彙總來源'!K1348</x:f>
        <x:v>26</x:v>
      </x:c>
      <x:c r="L1348" s="24" t="n">
        <x:f>IFERROR('各站彙總來源'!L1348/'各站彙總來源'!M1348,"")</x:f>
        <x:v>0.6538461538461539</x:v>
      </x:c>
      <x:c r="M1348" s="19" t="n">
        <x:f>'各站彙總來源'!M1348</x:f>
        <x:v>26</x:v>
      </x:c>
      <x:c r="N1348" s="24" t="n">
        <x:f>F1348+H1348</x:f>
        <x:v>14.615384615384617</x:v>
      </x:c>
      <x:c r="O1348" s="24" t="n">
        <x:f>J1348+L1348</x:f>
        <x:v>7.423076923076923</x:v>
      </x:c>
    </x:row>
    <x:row r="1349">
      <x:c r="A1349" s="22" t="str">
        <x:v>500109135</x:v>
      </x:c>
      <x:c r="B1349" s="17" t="str">
        <x:v>北投區</x:v>
      </x:c>
      <x:c r="C1349" s="17" t="str">
        <x:v>東華兒童遊戲賽車場</x:v>
      </x:c>
      <x:c r="D1349" s="18" t="n">
        <x:v>26</x:v>
      </x:c>
      <x:c r="E1349" s="18" t="n">
        <x:v>26</x:v>
      </x:c>
      <x:c r="F1349" s="24" t="n">
        <x:f>IFERROR('各站彙總來源'!F1349/'各站彙總來源'!G1349,"")</x:f>
        <x:v>14.807692307692308</x:v>
      </x:c>
      <x:c r="G1349" s="19" t="n">
        <x:f>'各站彙總來源'!G1349</x:f>
        <x:v>26</x:v>
      </x:c>
      <x:c r="H1349" s="24" t="n">
        <x:f>IFERROR('各站彙總來源'!H1349/'各站彙總來源'!I1349,"")</x:f>
        <x:v>1.2692307692307692</x:v>
      </x:c>
      <x:c r="I1349" s="19" t="n">
        <x:f>'各站彙總來源'!I1349</x:f>
        <x:v>26</x:v>
      </x:c>
      <x:c r="J1349" s="24" t="n">
        <x:f>IFERROR('各站彙總來源'!J1349/'各站彙總來源'!K1349,"")</x:f>
        <x:v>7.6923076923076925</x:v>
      </x:c>
      <x:c r="K1349" s="19" t="n">
        <x:f>'各站彙總來源'!K1349</x:f>
        <x:v>26</x:v>
      </x:c>
      <x:c r="L1349" s="24" t="n">
        <x:f>IFERROR('各站彙總來源'!L1349/'各站彙總來源'!M1349,"")</x:f>
        <x:v>1.5384615384615385</x:v>
      </x:c>
      <x:c r="M1349" s="19" t="n">
        <x:f>'各站彙總來源'!M1349</x:f>
        <x:v>26</x:v>
      </x:c>
      <x:c r="N1349" s="24" t="n">
        <x:f>F1349+H1349</x:f>
        <x:v>16.076923076923077</x:v>
      </x:c>
      <x:c r="O1349" s="24" t="n">
        <x:f>J1349+L1349</x:f>
        <x:v>9.230769230769232</x:v>
      </x:c>
    </x:row>
    <x:row r="1350">
      <x:c r="A1350" s="22" t="str">
        <x:v>500109136</x:v>
      </x:c>
      <x:c r="B1350" s="17" t="str">
        <x:v>北投區</x:v>
      </x:c>
      <x:c r="C1350" s="17" t="str">
        <x:v>懷德建民路口</x:v>
      </x:c>
      <x:c r="D1350" s="18" t="n">
        <x:v>26</x:v>
      </x:c>
      <x:c r="E1350" s="18" t="n">
        <x:v>26</x:v>
      </x:c>
      <x:c r="F1350" s="24" t="n">
        <x:f>IFERROR('各站彙總來源'!F1350/'各站彙總來源'!G1350,"")</x:f>
        <x:v>7.730769230769231</x:v>
      </x:c>
      <x:c r="G1350" s="19" t="n">
        <x:f>'各站彙總來源'!G1350</x:f>
        <x:v>26</x:v>
      </x:c>
      <x:c r="H1350" s="24" t="n">
        <x:f>IFERROR('各站彙總來源'!H1350/'各站彙總來源'!I1350,"")</x:f>
        <x:v>1.9230769230769231</x:v>
      </x:c>
      <x:c r="I1350" s="19" t="n">
        <x:f>'各站彙總來源'!I1350</x:f>
        <x:v>26</x:v>
      </x:c>
      <x:c r="J1350" s="24" t="n">
        <x:f>IFERROR('各站彙總來源'!J1350/'各站彙總來源'!K1350,"")</x:f>
        <x:v>4.3076923076923075</x:v>
      </x:c>
      <x:c r="K1350" s="19" t="n">
        <x:f>'各站彙總來源'!K1350</x:f>
        <x:v>26</x:v>
      </x:c>
      <x:c r="L1350" s="24" t="n">
        <x:f>IFERROR('各站彙總來源'!L1350/'各站彙總來源'!M1350,"")</x:f>
        <x:v>1.3846153846153846</x:v>
      </x:c>
      <x:c r="M1350" s="19" t="n">
        <x:f>'各站彙總來源'!M1350</x:f>
        <x:v>26</x:v>
      </x:c>
      <x:c r="N1350" s="24" t="n">
        <x:f>F1350+H1350</x:f>
        <x:v>9.653846153846153</x:v>
      </x:c>
      <x:c r="O1350" s="24" t="n">
        <x:f>J1350+L1350</x:f>
        <x:v>5.692307692307692</x:v>
      </x:c>
    </x:row>
    <x:row r="1351">
      <x:c r="A1351" s="22" t="str">
        <x:v>500109137</x:v>
      </x:c>
      <x:c r="B1351" s="17" t="str">
        <x:v>北投區</x:v>
      </x:c>
      <x:c r="C1351" s="17" t="str">
        <x:v>懷德55巷停車場</x:v>
      </x:c>
      <x:c r="D1351" s="18" t="n">
        <x:v>26</x:v>
      </x:c>
      <x:c r="E1351" s="18" t="n">
        <x:v>26</x:v>
      </x:c>
      <x:c r="F1351" s="24" t="n">
        <x:f>IFERROR('各站彙總來源'!F1351/'各站彙總來源'!G1351,"")</x:f>
        <x:v>15.884615384615385</x:v>
      </x:c>
      <x:c r="G1351" s="19" t="n">
        <x:f>'各站彙總來源'!G1351</x:f>
        <x:v>26</x:v>
      </x:c>
      <x:c r="H1351" s="24" t="n">
        <x:f>IFERROR('各站彙總來源'!H1351/'各站彙總來源'!I1351,"")</x:f>
        <x:v>2.730769230769231</x:v>
      </x:c>
      <x:c r="I1351" s="19" t="n">
        <x:f>'各站彙總來源'!I1351</x:f>
        <x:v>26</x:v>
      </x:c>
      <x:c r="J1351" s="24" t="n">
        <x:f>IFERROR('各站彙總來源'!J1351/'各站彙總來源'!K1351,"")</x:f>
        <x:v>7.269230769230769</x:v>
      </x:c>
      <x:c r="K1351" s="19" t="n">
        <x:f>'各站彙總來源'!K1351</x:f>
        <x:v>26</x:v>
      </x:c>
      <x:c r="L1351" s="24" t="n">
        <x:f>IFERROR('各站彙總來源'!L1351/'各站彙總來源'!M1351,"")</x:f>
        <x:v>0.9615384615384616</x:v>
      </x:c>
      <x:c r="M1351" s="19" t="n">
        <x:f>'各站彙總來源'!M1351</x:f>
        <x:v>26</x:v>
      </x:c>
      <x:c r="N1351" s="24" t="n">
        <x:f>F1351+H1351</x:f>
        <x:v>18.615384615384617</x:v>
      </x:c>
      <x:c r="O1351" s="24" t="n">
        <x:f>J1351+L1351</x:f>
        <x:v>8.23076923076923</x:v>
      </x:c>
    </x:row>
    <x:row r="1352">
      <x:c r="A1352" s="22" t="str">
        <x:v>500109138</x:v>
      </x:c>
      <x:c r="B1352" s="17" t="str">
        <x:v>北投區</x:v>
      </x:c>
      <x:c r="C1352" s="17" t="str">
        <x:v>石牌公園</x:v>
      </x:c>
      <x:c r="D1352" s="18" t="n">
        <x:v>26</x:v>
      </x:c>
      <x:c r="E1352" s="18" t="n">
        <x:v>26</x:v>
      </x:c>
      <x:c r="F1352" s="24" t="n">
        <x:f>IFERROR('各站彙總來源'!F1352/'各站彙總來源'!G1352,"")</x:f>
        <x:v>13.961538461538462</x:v>
      </x:c>
      <x:c r="G1352" s="19" t="n">
        <x:f>'各站彙總來源'!G1352</x:f>
        <x:v>26</x:v>
      </x:c>
      <x:c r="H1352" s="24" t="n">
        <x:f>IFERROR('各站彙總來源'!H1352/'各站彙總來源'!I1352,"")</x:f>
        <x:v>1.6923076923076923</x:v>
      </x:c>
      <x:c r="I1352" s="19" t="n">
        <x:f>'各站彙總來源'!I1352</x:f>
        <x:v>26</x:v>
      </x:c>
      <x:c r="J1352" s="24" t="n">
        <x:f>IFERROR('各站彙總來源'!J1352/'各站彙總來源'!K1352,"")</x:f>
        <x:v>4</x:v>
      </x:c>
      <x:c r="K1352" s="19" t="n">
        <x:f>'各站彙總來源'!K1352</x:f>
        <x:v>26</x:v>
      </x:c>
      <x:c r="L1352" s="24" t="n">
        <x:f>IFERROR('各站彙總來源'!L1352/'各站彙總來源'!M1352,"")</x:f>
        <x:v>0.5384615384615384</x:v>
      </x:c>
      <x:c r="M1352" s="19" t="n">
        <x:f>'各站彙總來源'!M1352</x:f>
        <x:v>26</x:v>
      </x:c>
      <x:c r="N1352" s="24" t="n">
        <x:f>F1352+H1352</x:f>
        <x:v>15.653846153846153</x:v>
      </x:c>
      <x:c r="O1352" s="24" t="n">
        <x:f>J1352+L1352</x:f>
        <x:v>4.538461538461538</x:v>
      </x:c>
    </x:row>
    <x:row r="1353">
      <x:c r="A1353" s="22" t="str">
        <x:v>500109139</x:v>
      </x:c>
      <x:c r="B1353" s="17" t="str">
        <x:v>北投區</x:v>
      </x:c>
      <x:c r="C1353" s="17" t="str">
        <x:v>復興一路45巷</x:v>
      </x:c>
      <x:c r="D1353" s="18" t="n">
        <x:v>26</x:v>
      </x:c>
      <x:c r="E1353" s="18" t="n">
        <x:v>26</x:v>
      </x:c>
      <x:c r="F1353" s="24" t="n">
        <x:f>IFERROR('各站彙總來源'!F1353/'各站彙總來源'!G1353,"")</x:f>
        <x:v>5.6923076923076925</x:v>
      </x:c>
      <x:c r="G1353" s="19" t="n">
        <x:f>'各站彙總來源'!G1353</x:f>
        <x:v>26</x:v>
      </x:c>
      <x:c r="H1353" s="24" t="n">
        <x:f>IFERROR('各站彙總來源'!H1353/'各站彙總來源'!I1353,"")</x:f>
        <x:v>1.1923076923076923</x:v>
      </x:c>
      <x:c r="I1353" s="19" t="n">
        <x:f>'各站彙總來源'!I1353</x:f>
        <x:v>26</x:v>
      </x:c>
      <x:c r="J1353" s="24" t="n">
        <x:f>IFERROR('各站彙總來源'!J1353/'各站彙總來源'!K1353,"")</x:f>
        <x:v>5.038461538461538</x:v>
      </x:c>
      <x:c r="K1353" s="19" t="n">
        <x:f>'各站彙總來源'!K1353</x:f>
        <x:v>26</x:v>
      </x:c>
      <x:c r="L1353" s="24" t="n">
        <x:f>IFERROR('各站彙總來源'!L1353/'各站彙總來源'!M1353,"")</x:f>
        <x:v>1.5</x:v>
      </x:c>
      <x:c r="M1353" s="19" t="n">
        <x:f>'各站彙總來源'!M1353</x:f>
        <x:v>26</x:v>
      </x:c>
      <x:c r="N1353" s="24" t="n">
        <x:f>F1353+H1353</x:f>
        <x:v>6.884615384615385</x:v>
      </x:c>
      <x:c r="O1353" s="24" t="n">
        <x:f>J1353+L1353</x:f>
        <x:v>6.538461538461538</x:v>
      </x:c>
    </x:row>
    <x:row r="1354">
      <x:c r="A1354" s="22" t="str">
        <x:v>500109140</x:v>
      </x:c>
      <x:c r="B1354" s="17" t="str">
        <x:v>北投區</x:v>
      </x:c>
      <x:c r="C1354" s="17" t="str">
        <x:v>東華致遠路口</x:v>
      </x:c>
      <x:c r="D1354" s="18" t="n">
        <x:v>26</x:v>
      </x:c>
      <x:c r="E1354" s="18" t="n">
        <x:v>7</x:v>
      </x:c>
      <x:c r="F1354" s="24" t="n">
        <x:f>IFERROR('各站彙總來源'!F1354/'各站彙總來源'!G1354,"")</x:f>
        <x:v>6.5</x:v>
      </x:c>
      <x:c r="G1354" s="19" t="n">
        <x:f>'各站彙總來源'!G1354</x:f>
        <x:v>6</x:v>
      </x:c>
      <x:c r="H1354" s="24" t="n">
        <x:f>IFERROR('各站彙總來源'!H1354/'各站彙總來源'!I1354,"")</x:f>
        <x:v>1</x:v>
      </x:c>
      <x:c r="I1354" s="19" t="n">
        <x:f>'各站彙總來源'!I1354</x:f>
        <x:v>6</x:v>
      </x:c>
      <x:c r="J1354" s="24" t="n">
        <x:f>IFERROR('各站彙總來源'!J1354/'各站彙總來源'!K1354,"")</x:f>
        <x:v>3.5714285714285716</x:v>
      </x:c>
      <x:c r="K1354" s="19" t="n">
        <x:f>'各站彙總來源'!K1354</x:f>
        <x:v>7</x:v>
      </x:c>
      <x:c r="L1354" s="24" t="n">
        <x:f>IFERROR('各站彙總來源'!L1354/'各站彙總來源'!M1354,"")</x:f>
        <x:v>0.8571428571428571</x:v>
      </x:c>
      <x:c r="M1354" s="19" t="n">
        <x:f>'各站彙總來源'!M1354</x:f>
        <x:v>7</x:v>
      </x:c>
      <x:c r="N1354" s="24" t="n">
        <x:f>F1354+H1354</x:f>
        <x:v>7.5</x:v>
      </x:c>
      <x:c r="O1354" s="24" t="n">
        <x:f>J1354+L1354</x:f>
        <x:v>4.428571428571429</x:v>
      </x:c>
    </x:row>
    <x:row r="1355">
      <x:c r="A1355" s="22" t="str">
        <x:v>500110001</x:v>
      </x:c>
      <x:c r="B1355" s="17" t="str">
        <x:v>松山區</x:v>
      </x:c>
      <x:c r="C1355" s="17" t="str">
        <x:v>捷運松山站(5號出口)</x:v>
      </x:c>
      <x:c r="D1355" s="18" t="n">
        <x:v>26</x:v>
      </x:c>
      <x:c r="E1355" s="18" t="n">
        <x:v>26</x:v>
      </x:c>
      <x:c r="F1355" s="24" t="n">
        <x:f>IFERROR('各站彙總來源'!F1355/'各站彙總來源'!G1355,"")</x:f>
        <x:v>0</x:v>
      </x:c>
      <x:c r="G1355" s="19" t="n">
        <x:f>'各站彙總來源'!G1355</x:f>
        <x:v>26</x:v>
      </x:c>
      <x:c r="H1355" s="24" t="n">
        <x:f>IFERROR('各站彙總來源'!H1355/'各站彙總來源'!I1355,"")</x:f>
        <x:v>0</x:v>
      </x:c>
      <x:c r="I1355" s="19" t="n">
        <x:f>'各站彙總來源'!I1355</x:f>
        <x:v>26</x:v>
      </x:c>
      <x:c r="J1355" s="24" t="n">
        <x:f>IFERROR('各站彙總來源'!J1355/'各站彙總來源'!K1355,"")</x:f>
        <x:v>0</x:v>
      </x:c>
      <x:c r="K1355" s="19" t="n">
        <x:f>'各站彙總來源'!K1355</x:f>
        <x:v>26</x:v>
      </x:c>
      <x:c r="L1355" s="24" t="n">
        <x:f>IFERROR('各站彙總來源'!L1355/'各站彙總來源'!M1355,"")</x:f>
        <x:v>0</x:v>
      </x:c>
      <x:c r="M1355" s="19" t="n">
        <x:f>'各站彙總來源'!M1355</x:f>
        <x:v>26</x:v>
      </x:c>
      <x:c r="N1355" s="24" t="n">
        <x:f>F1355+H1355</x:f>
        <x:v>0</x:v>
      </x:c>
      <x:c r="O1355" s="24" t="n">
        <x:f>J1355+L1355</x:f>
        <x:v>0</x:v>
      </x:c>
    </x:row>
    <x:row r="1356">
      <x:c r="A1356" s="22" t="str">
        <x:v>500110002</x:v>
      </x:c>
      <x:c r="B1356" s="17" t="str">
        <x:v>松山區</x:v>
      </x:c>
      <x:c r="C1356" s="17" t="str">
        <x:v>捷運松山站(4號出口)</x:v>
      </x:c>
      <x:c r="D1356" s="18" t="n">
        <x:v>26</x:v>
      </x:c>
      <x:c r="E1356" s="18" t="n">
        <x:v>26</x:v>
      </x:c>
      <x:c r="F1356" s="24" t="n">
        <x:f>IFERROR('各站彙總來源'!F1356/'各站彙總來源'!G1356,"")</x:f>
        <x:v>9.538461538461538</x:v>
      </x:c>
      <x:c r="G1356" s="19" t="n">
        <x:f>'各站彙總來源'!G1356</x:f>
        <x:v>26</x:v>
      </x:c>
      <x:c r="H1356" s="24" t="n">
        <x:f>IFERROR('各站彙總來源'!H1356/'各站彙總來源'!I1356,"")</x:f>
        <x:v>2.3846153846153846</x:v>
      </x:c>
      <x:c r="I1356" s="19" t="n">
        <x:f>'各站彙總來源'!I1356</x:f>
        <x:v>26</x:v>
      </x:c>
      <x:c r="J1356" s="24" t="n">
        <x:f>IFERROR('各站彙總來源'!J1356/'各站彙總來源'!K1356,"")</x:f>
        <x:v>5.8076923076923075</x:v>
      </x:c>
      <x:c r="K1356" s="19" t="n">
        <x:f>'各站彙總來源'!K1356</x:f>
        <x:v>26</x:v>
      </x:c>
      <x:c r="L1356" s="24" t="n">
        <x:f>IFERROR('各站彙總來源'!L1356/'各站彙總來源'!M1356,"")</x:f>
        <x:v>1.9230769230769231</x:v>
      </x:c>
      <x:c r="M1356" s="19" t="n">
        <x:f>'各站彙總來源'!M1356</x:f>
        <x:v>26</x:v>
      </x:c>
      <x:c r="N1356" s="24" t="n">
        <x:f>F1356+H1356</x:f>
        <x:v>11.923076923076923</x:v>
      </x:c>
      <x:c r="O1356" s="24" t="n">
        <x:f>J1356+L1356</x:f>
        <x:v>7.730769230769231</x:v>
      </x:c>
    </x:row>
    <x:row r="1357">
      <x:c r="A1357" s="22" t="str">
        <x:v>500110003</x:v>
      </x:c>
      <x:c r="B1357" s="17" t="str">
        <x:v>松山區</x:v>
      </x:c>
      <x:c r="C1357" s="17" t="str">
        <x:v>塔悠八德路口</x:v>
      </x:c>
      <x:c r="D1357" s="18" t="n">
        <x:v>26</x:v>
      </x:c>
      <x:c r="E1357" s="18" t="n">
        <x:v>26</x:v>
      </x:c>
      <x:c r="F1357" s="24" t="n">
        <x:f>IFERROR('各站彙總來源'!F1357/'各站彙總來源'!G1357,"")</x:f>
        <x:v>17.23076923076923</x:v>
      </x:c>
      <x:c r="G1357" s="19" t="n">
        <x:f>'各站彙總來源'!G1357</x:f>
        <x:v>26</x:v>
      </x:c>
      <x:c r="H1357" s="24" t="n">
        <x:f>IFERROR('各站彙總來源'!H1357/'各站彙總來源'!I1357,"")</x:f>
        <x:v>1.6923076923076923</x:v>
      </x:c>
      <x:c r="I1357" s="19" t="n">
        <x:f>'各站彙總來源'!I1357</x:f>
        <x:v>26</x:v>
      </x:c>
      <x:c r="J1357" s="24" t="n">
        <x:f>IFERROR('各站彙總來源'!J1357/'各站彙總來源'!K1357,"")</x:f>
        <x:v>5.576923076923077</x:v>
      </x:c>
      <x:c r="K1357" s="19" t="n">
        <x:f>'各站彙總來源'!K1357</x:f>
        <x:v>26</x:v>
      </x:c>
      <x:c r="L1357" s="24" t="n">
        <x:f>IFERROR('各站彙總來源'!L1357/'各站彙總來源'!M1357,"")</x:f>
        <x:v>0.8846153846153846</x:v>
      </x:c>
      <x:c r="M1357" s="19" t="n">
        <x:f>'各站彙總來源'!M1357</x:f>
        <x:v>26</x:v>
      </x:c>
      <x:c r="N1357" s="24" t="n">
        <x:f>F1357+H1357</x:f>
        <x:v>18.923076923076923</x:v>
      </x:c>
      <x:c r="O1357" s="24" t="n">
        <x:f>J1357+L1357</x:f>
        <x:v>6.461538461538462</x:v>
      </x:c>
    </x:row>
    <x:row r="1358">
      <x:c r="A1358" s="22" t="str">
        <x:v>500110004</x:v>
      </x:c>
      <x:c r="B1358" s="17" t="str">
        <x:v>松山區</x:v>
      </x:c>
      <x:c r="C1358" s="17" t="str">
        <x:v>鵬程公園</x:v>
      </x:c>
      <x:c r="D1358" s="18" t="n">
        <x:v>26</x:v>
      </x:c>
      <x:c r="E1358" s="18" t="n">
        <x:v>26</x:v>
      </x:c>
      <x:c r="F1358" s="24" t="n">
        <x:f>IFERROR('各站彙總來源'!F1358/'各站彙總來源'!G1358,"")</x:f>
        <x:v>21.115384615384617</x:v>
      </x:c>
      <x:c r="G1358" s="19" t="n">
        <x:f>'各站彙總來源'!G1358</x:f>
        <x:v>26</x:v>
      </x:c>
      <x:c r="H1358" s="24" t="n">
        <x:f>IFERROR('各站彙總來源'!H1358/'各站彙總來源'!I1358,"")</x:f>
        <x:v>2.0384615384615383</x:v>
      </x:c>
      <x:c r="I1358" s="19" t="n">
        <x:f>'各站彙總來源'!I1358</x:f>
        <x:v>26</x:v>
      </x:c>
      <x:c r="J1358" s="24" t="n">
        <x:f>IFERROR('各站彙總來源'!J1358/'各站彙總來源'!K1358,"")</x:f>
        <x:v>6.615384615384615</x:v>
      </x:c>
      <x:c r="K1358" s="19" t="n">
        <x:f>'各站彙總來源'!K1358</x:f>
        <x:v>26</x:v>
      </x:c>
      <x:c r="L1358" s="24" t="n">
        <x:f>IFERROR('各站彙總來源'!L1358/'各站彙總來源'!M1358,"")</x:f>
        <x:v>0.6923076923076923</x:v>
      </x:c>
      <x:c r="M1358" s="19" t="n">
        <x:f>'各站彙總來源'!M1358</x:f>
        <x:v>26</x:v>
      </x:c>
      <x:c r="N1358" s="24" t="n">
        <x:f>F1358+H1358</x:f>
        <x:v>23.153846153846153</x:v>
      </x:c>
      <x:c r="O1358" s="24" t="n">
        <x:f>J1358+L1358</x:f>
        <x:v>7.3076923076923075</x:v>
      </x:c>
    </x:row>
    <x:row r="1359">
      <x:c r="A1359" s="22" t="str">
        <x:v>500110005</x:v>
      </x:c>
      <x:c r="B1359" s="17" t="str">
        <x:v>松山區</x:v>
      </x:c>
      <x:c r="C1359" s="17" t="str">
        <x:v>中崙高中</x:v>
      </x:c>
      <x:c r="D1359" s="18" t="n">
        <x:v>26</x:v>
      </x:c>
      <x:c r="E1359" s="18" t="n">
        <x:v>26</x:v>
      </x:c>
      <x:c r="F1359" s="24" t="n">
        <x:f>IFERROR('各站彙總來源'!F1359/'各站彙總來源'!G1359,"")</x:f>
        <x:v>11.5</x:v>
      </x:c>
      <x:c r="G1359" s="19" t="n">
        <x:f>'各站彙總來源'!G1359</x:f>
        <x:v>26</x:v>
      </x:c>
      <x:c r="H1359" s="24" t="n">
        <x:f>IFERROR('各站彙總來源'!H1359/'各站彙總來源'!I1359,"")</x:f>
        <x:v>2.6923076923076925</x:v>
      </x:c>
      <x:c r="I1359" s="19" t="n">
        <x:f>'各站彙總來源'!I1359</x:f>
        <x:v>26</x:v>
      </x:c>
      <x:c r="J1359" s="24" t="n">
        <x:f>IFERROR('各站彙總來源'!J1359/'各站彙總來源'!K1359,"")</x:f>
        <x:v>47.88461538461539</x:v>
      </x:c>
      <x:c r="K1359" s="19" t="n">
        <x:f>'各站彙總來源'!K1359</x:f>
        <x:v>26</x:v>
      </x:c>
      <x:c r="L1359" s="24" t="n">
        <x:f>IFERROR('各站彙總來源'!L1359/'各站彙總來源'!M1359,"")</x:f>
        <x:v>4.653846153846154</x:v>
      </x:c>
      <x:c r="M1359" s="19" t="n">
        <x:f>'各站彙總來源'!M1359</x:f>
        <x:v>26</x:v>
      </x:c>
      <x:c r="N1359" s="24" t="n">
        <x:f>F1359+H1359</x:f>
        <x:v>14.192307692307693</x:v>
      </x:c>
      <x:c r="O1359" s="24" t="n">
        <x:f>J1359+L1359</x:f>
        <x:v>52.53846153846154</x:v>
      </x:c>
    </x:row>
    <x:row r="1360">
      <x:c r="A1360" s="22" t="str">
        <x:v>500110006</x:v>
      </x:c>
      <x:c r="B1360" s="17" t="str">
        <x:v>松山區</x:v>
      </x:c>
      <x:c r="C1360" s="17" t="str">
        <x:v>捷運南京三民站(2號出口)</x:v>
      </x:c>
      <x:c r="D1360" s="18" t="n">
        <x:v>26</x:v>
      </x:c>
      <x:c r="E1360" s="18" t="n">
        <x:v>26</x:v>
      </x:c>
      <x:c r="F1360" s="24" t="n">
        <x:f>IFERROR('各站彙總來源'!F1360/'各站彙總來源'!G1360,"")</x:f>
        <x:v>5.6923076923076925</x:v>
      </x:c>
      <x:c r="G1360" s="19" t="n">
        <x:f>'各站彙總來源'!G1360</x:f>
        <x:v>26</x:v>
      </x:c>
      <x:c r="H1360" s="24" t="n">
        <x:f>IFERROR('各站彙總來源'!H1360/'各站彙總來源'!I1360,"")</x:f>
        <x:v>1.6923076923076923</x:v>
      </x:c>
      <x:c r="I1360" s="19" t="n">
        <x:f>'各站彙總來源'!I1360</x:f>
        <x:v>26</x:v>
      </x:c>
      <x:c r="J1360" s="24" t="n">
        <x:f>IFERROR('各站彙總來源'!J1360/'各站彙總來源'!K1360,"")</x:f>
        <x:v>5.653846153846154</x:v>
      </x:c>
      <x:c r="K1360" s="19" t="n">
        <x:f>'各站彙總來源'!K1360</x:f>
        <x:v>26</x:v>
      </x:c>
      <x:c r="L1360" s="24" t="n">
        <x:f>IFERROR('各站彙總來源'!L1360/'各站彙總來源'!M1360,"")</x:f>
        <x:v>1.6153846153846154</x:v>
      </x:c>
      <x:c r="M1360" s="19" t="n">
        <x:f>'各站彙總來源'!M1360</x:f>
        <x:v>26</x:v>
      </x:c>
      <x:c r="N1360" s="24" t="n">
        <x:f>F1360+H1360</x:f>
        <x:v>7.384615384615385</x:v>
      </x:c>
      <x:c r="O1360" s="24" t="n">
        <x:f>J1360+L1360</x:f>
        <x:v>7.26923076923077</x:v>
      </x:c>
    </x:row>
    <x:row r="1361">
      <x:c r="A1361" s="22" t="str">
        <x:v>500110007</x:v>
      </x:c>
      <x:c r="B1361" s="17" t="str">
        <x:v>松山區</x:v>
      </x:c>
      <x:c r="C1361" s="17" t="str">
        <x:v>捷運南京三民站(1號出口)</x:v>
      </x:c>
      <x:c r="D1361" s="18" t="n">
        <x:v>26</x:v>
      </x:c>
      <x:c r="E1361" s="18" t="n">
        <x:v>26</x:v>
      </x:c>
      <x:c r="F1361" s="24" t="n">
        <x:f>IFERROR('各站彙總來源'!F1361/'各站彙總來源'!G1361,"")</x:f>
        <x:v>9.115384615384615</x:v>
      </x:c>
      <x:c r="G1361" s="19" t="n">
        <x:f>'各站彙總來源'!G1361</x:f>
        <x:v>26</x:v>
      </x:c>
      <x:c r="H1361" s="24" t="n">
        <x:f>IFERROR('各站彙總來源'!H1361/'各站彙總來源'!I1361,"")</x:f>
        <x:v>1.5</x:v>
      </x:c>
      <x:c r="I1361" s="19" t="n">
        <x:f>'各站彙總來源'!I1361</x:f>
        <x:v>26</x:v>
      </x:c>
      <x:c r="J1361" s="24" t="n">
        <x:f>IFERROR('各站彙總來源'!J1361/'各站彙總來源'!K1361,"")</x:f>
        <x:v>8.076923076923077</x:v>
      </x:c>
      <x:c r="K1361" s="19" t="n">
        <x:f>'各站彙總來源'!K1361</x:f>
        <x:v>26</x:v>
      </x:c>
      <x:c r="L1361" s="24" t="n">
        <x:f>IFERROR('各站彙總來源'!L1361/'各站彙總來源'!M1361,"")</x:f>
        <x:v>1.9230769230769231</x:v>
      </x:c>
      <x:c r="M1361" s="19" t="n">
        <x:f>'各站彙總來源'!M1361</x:f>
        <x:v>26</x:v>
      </x:c>
      <x:c r="N1361" s="24" t="n">
        <x:f>F1361+H1361</x:f>
        <x:v>10.615384615384615</x:v>
      </x:c>
      <x:c r="O1361" s="24" t="n">
        <x:f>J1361+L1361</x:f>
        <x:v>10</x:v>
      </x:c>
    </x:row>
    <x:row r="1362">
      <x:c r="A1362" s="22" t="str">
        <x:v>500110008</x:v>
      </x:c>
      <x:c r="B1362" s="17" t="str">
        <x:v>松山區</x:v>
      </x:c>
      <x:c r="C1362" s="17" t="str">
        <x:v>光復北路11巷口</x:v>
      </x:c>
      <x:c r="D1362" s="18" t="n">
        <x:v>26</x:v>
      </x:c>
      <x:c r="E1362" s="18" t="n">
        <x:v>26</x:v>
      </x:c>
      <x:c r="F1362" s="24" t="n">
        <x:f>IFERROR('各站彙總來源'!F1362/'各站彙總來源'!G1362,"")</x:f>
        <x:v>9.26923076923077</x:v>
      </x:c>
      <x:c r="G1362" s="19" t="n">
        <x:f>'各站彙總來源'!G1362</x:f>
        <x:v>26</x:v>
      </x:c>
      <x:c r="H1362" s="24" t="n">
        <x:f>IFERROR('各站彙總來源'!H1362/'各站彙總來源'!I1362,"")</x:f>
        <x:v>2.1923076923076925</x:v>
      </x:c>
      <x:c r="I1362" s="19" t="n">
        <x:f>'各站彙總來源'!I1362</x:f>
        <x:v>26</x:v>
      </x:c>
      <x:c r="J1362" s="24" t="n">
        <x:f>IFERROR('各站彙總來源'!J1362/'各站彙總來源'!K1362,"")</x:f>
        <x:v>17.576923076923077</x:v>
      </x:c>
      <x:c r="K1362" s="19" t="n">
        <x:f>'各站彙總來源'!K1362</x:f>
        <x:v>26</x:v>
      </x:c>
      <x:c r="L1362" s="24" t="n">
        <x:f>IFERROR('各站彙總來源'!L1362/'各站彙總來源'!M1362,"")</x:f>
        <x:v>4.5</x:v>
      </x:c>
      <x:c r="M1362" s="19" t="n">
        <x:f>'各站彙總來源'!M1362</x:f>
        <x:v>26</x:v>
      </x:c>
      <x:c r="N1362" s="24" t="n">
        <x:f>F1362+H1362</x:f>
        <x:v>11.461538461538463</x:v>
      </x:c>
      <x:c r="O1362" s="24" t="n">
        <x:f>J1362+L1362</x:f>
        <x:v>22.076923076923077</x:v>
      </x:c>
    </x:row>
    <x:row r="1363">
      <x:c r="A1363" s="22" t="str">
        <x:v>500110009</x:v>
      </x:c>
      <x:c r="B1363" s="17" t="str">
        <x:v>松山區</x:v>
      </x:c>
      <x:c r="C1363" s="17" t="str">
        <x:v>捷運南京三民站(4號出口)</x:v>
      </x:c>
      <x:c r="D1363" s="18" t="n">
        <x:v>26</x:v>
      </x:c>
      <x:c r="E1363" s="18" t="n">
        <x:v>26</x:v>
      </x:c>
      <x:c r="F1363" s="24" t="n">
        <x:f>IFERROR('各站彙總來源'!F1363/'各站彙總來源'!G1363,"")</x:f>
        <x:v>4.076923076923077</x:v>
      </x:c>
      <x:c r="G1363" s="19" t="n">
        <x:f>'各站彙總來源'!G1363</x:f>
        <x:v>26</x:v>
      </x:c>
      <x:c r="H1363" s="24" t="n">
        <x:f>IFERROR('各站彙總來源'!H1363/'各站彙總來源'!I1363,"")</x:f>
        <x:v>1</x:v>
      </x:c>
      <x:c r="I1363" s="19" t="n">
        <x:f>'各站彙總來源'!I1363</x:f>
        <x:v>26</x:v>
      </x:c>
      <x:c r="J1363" s="24" t="n">
        <x:f>IFERROR('各站彙總來源'!J1363/'各站彙總來源'!K1363,"")</x:f>
        <x:v>2.4615384615384617</x:v>
      </x:c>
      <x:c r="K1363" s="19" t="n">
        <x:f>'各站彙總來源'!K1363</x:f>
        <x:v>26</x:v>
      </x:c>
      <x:c r="L1363" s="24" t="n">
        <x:f>IFERROR('各站彙總來源'!L1363/'各站彙總來源'!M1363,"")</x:f>
        <x:v>0.4230769230769231</x:v>
      </x:c>
      <x:c r="M1363" s="19" t="n">
        <x:f>'各站彙總來源'!M1363</x:f>
        <x:v>26</x:v>
      </x:c>
      <x:c r="N1363" s="24" t="n">
        <x:f>F1363+H1363</x:f>
        <x:v>5.076923076923077</x:v>
      </x:c>
      <x:c r="O1363" s="24" t="n">
        <x:f>J1363+L1363</x:f>
        <x:v>2.8846153846153846</x:v>
      </x:c>
    </x:row>
    <x:row r="1364">
      <x:c r="A1364" s="22" t="str">
        <x:v>500110010</x:v>
      </x:c>
      <x:c r="B1364" s="17" t="str">
        <x:v>松山區</x:v>
      </x:c>
      <x:c r="C1364" s="17" t="str">
        <x:v>西松高中</x:v>
      </x:c>
      <x:c r="D1364" s="18" t="n">
        <x:v>26</x:v>
      </x:c>
      <x:c r="E1364" s="18" t="n">
        <x:v>26</x:v>
      </x:c>
      <x:c r="F1364" s="24" t="n">
        <x:f>IFERROR('各站彙總來源'!F1364/'各站彙總來源'!G1364,"")</x:f>
        <x:v>5.3076923076923075</x:v>
      </x:c>
      <x:c r="G1364" s="19" t="n">
        <x:f>'各站彙總來源'!G1364</x:f>
        <x:v>26</x:v>
      </x:c>
      <x:c r="H1364" s="24" t="n">
        <x:f>IFERROR('各站彙總來源'!H1364/'各站彙總來源'!I1364,"")</x:f>
        <x:v>1.3461538461538463</x:v>
      </x:c>
      <x:c r="I1364" s="19" t="n">
        <x:f>'各站彙總來源'!I1364</x:f>
        <x:v>26</x:v>
      </x:c>
      <x:c r="J1364" s="24" t="n">
        <x:f>IFERROR('各站彙總來源'!J1364/'各站彙總來源'!K1364,"")</x:f>
        <x:v>2.076923076923077</x:v>
      </x:c>
      <x:c r="K1364" s="19" t="n">
        <x:f>'各站彙總來源'!K1364</x:f>
        <x:v>26</x:v>
      </x:c>
      <x:c r="L1364" s="24" t="n">
        <x:f>IFERROR('各站彙總來源'!L1364/'各站彙總來源'!M1364,"")</x:f>
        <x:v>0.6923076923076923</x:v>
      </x:c>
      <x:c r="M1364" s="19" t="n">
        <x:f>'各站彙總來源'!M1364</x:f>
        <x:v>26</x:v>
      </x:c>
      <x:c r="N1364" s="24" t="n">
        <x:f>F1364+H1364</x:f>
        <x:v>6.653846153846153</x:v>
      </x:c>
      <x:c r="O1364" s="24" t="n">
        <x:f>J1364+L1364</x:f>
        <x:v>2.769230769230769</x:v>
      </x:c>
    </x:row>
    <x:row r="1365">
      <x:c r="A1365" s="22" t="str">
        <x:v>500110011</x:v>
      </x:c>
      <x:c r="B1365" s="17" t="str">
        <x:v>松山區</x:v>
      </x:c>
      <x:c r="C1365" s="17" t="str">
        <x:v>民權復興路口</x:v>
      </x:c>
      <x:c r="D1365" s="18" t="n">
        <x:v>26</x:v>
      </x:c>
      <x:c r="E1365" s="18" t="n">
        <x:v>26</x:v>
      </x:c>
      <x:c r="F1365" s="24" t="n">
        <x:f>IFERROR('各站彙總來源'!F1365/'各站彙總來源'!G1365,"")</x:f>
        <x:v>18.423076923076923</x:v>
      </x:c>
      <x:c r="G1365" s="19" t="n">
        <x:f>'各站彙總來源'!G1365</x:f>
        <x:v>26</x:v>
      </x:c>
      <x:c r="H1365" s="24" t="n">
        <x:f>IFERROR('各站彙總來源'!H1365/'各站彙總來源'!I1365,"")</x:f>
        <x:v>3.1153846153846154</x:v>
      </x:c>
      <x:c r="I1365" s="19" t="n">
        <x:f>'各站彙總來源'!I1365</x:f>
        <x:v>26</x:v>
      </x:c>
      <x:c r="J1365" s="24" t="n">
        <x:f>IFERROR('各站彙總來源'!J1365/'各站彙總來源'!K1365,"")</x:f>
        <x:v>14.576923076923077</x:v>
      </x:c>
      <x:c r="K1365" s="19" t="n">
        <x:f>'各站彙總來源'!K1365</x:f>
        <x:v>26</x:v>
      </x:c>
      <x:c r="L1365" s="24" t="n">
        <x:f>IFERROR('各站彙總來源'!L1365/'各站彙總來源'!M1365,"")</x:f>
        <x:v>2.1153846153846154</x:v>
      </x:c>
      <x:c r="M1365" s="19" t="n">
        <x:f>'各站彙總來源'!M1365</x:f>
        <x:v>26</x:v>
      </x:c>
      <x:c r="N1365" s="24" t="n">
        <x:f>F1365+H1365</x:f>
        <x:v>21.53846153846154</x:v>
      </x:c>
      <x:c r="O1365" s="24" t="n">
        <x:f>J1365+L1365</x:f>
        <x:v>16.692307692307693</x:v>
      </x:c>
    </x:row>
    <x:row r="1366">
      <x:c r="A1366" s="22" t="str">
        <x:v>500110012</x:v>
      </x:c>
      <x:c r="B1366" s="17" t="str">
        <x:v>松山區</x:v>
      </x:c>
      <x:c r="C1366" s="17" t="str">
        <x:v>民福三號綠地</x:v>
      </x:c>
      <x:c r="D1366" s="18" t="n">
        <x:v>26</x:v>
      </x:c>
      <x:c r="E1366" s="18" t="n">
        <x:v>26</x:v>
      </x:c>
      <x:c r="F1366" s="24" t="n">
        <x:f>IFERROR('各站彙總來源'!F1366/'各站彙總來源'!G1366,"")</x:f>
        <x:v>10.884615384615385</x:v>
      </x:c>
      <x:c r="G1366" s="19" t="n">
        <x:f>'各站彙總來源'!G1366</x:f>
        <x:v>26</x:v>
      </x:c>
      <x:c r="H1366" s="24" t="n">
        <x:f>IFERROR('各站彙總來源'!H1366/'各站彙總來源'!I1366,"")</x:f>
        <x:v>3.076923076923077</x:v>
      </x:c>
      <x:c r="I1366" s="19" t="n">
        <x:f>'各站彙總來源'!I1366</x:f>
        <x:v>26</x:v>
      </x:c>
      <x:c r="J1366" s="24" t="n">
        <x:f>IFERROR('各站彙總來源'!J1366/'各站彙總來源'!K1366,"")</x:f>
        <x:v>3.730769230769231</x:v>
      </x:c>
      <x:c r="K1366" s="19" t="n">
        <x:f>'各站彙總來源'!K1366</x:f>
        <x:v>26</x:v>
      </x:c>
      <x:c r="L1366" s="24" t="n">
        <x:f>IFERROR('各站彙總來源'!L1366/'各站彙總來源'!M1366,"")</x:f>
        <x:v>1.3461538461538463</x:v>
      </x:c>
      <x:c r="M1366" s="19" t="n">
        <x:f>'各站彙總來源'!M1366</x:f>
        <x:v>26</x:v>
      </x:c>
      <x:c r="N1366" s="24" t="n">
        <x:f>F1366+H1366</x:f>
        <x:v>13.961538461538462</x:v>
      </x:c>
      <x:c r="O1366" s="24" t="n">
        <x:f>J1366+L1366</x:f>
        <x:v>5.076923076923077</x:v>
      </x:c>
    </x:row>
    <x:row r="1367">
      <x:c r="A1367" s="22" t="str">
        <x:v>500110013</x:v>
      </x:c>
      <x:c r="B1367" s="17" t="str">
        <x:v>松山區</x:v>
      </x:c>
      <x:c r="C1367" s="17" t="str">
        <x:v>民有一號公園</x:v>
      </x:c>
      <x:c r="D1367" s="18" t="n">
        <x:v>26</x:v>
      </x:c>
      <x:c r="E1367" s="18" t="n">
        <x:v>26</x:v>
      </x:c>
      <x:c r="F1367" s="24" t="n">
        <x:f>IFERROR('各站彙總來源'!F1367/'各站彙總來源'!G1367,"")</x:f>
        <x:v>16.115384615384617</x:v>
      </x:c>
      <x:c r="G1367" s="19" t="n">
        <x:f>'各站彙總來源'!G1367</x:f>
        <x:v>26</x:v>
      </x:c>
      <x:c r="H1367" s="24" t="n">
        <x:f>IFERROR('各站彙總來源'!H1367/'各站彙總來源'!I1367,"")</x:f>
        <x:v>3.1923076923076925</x:v>
      </x:c>
      <x:c r="I1367" s="19" t="n">
        <x:f>'各站彙總來源'!I1367</x:f>
        <x:v>26</x:v>
      </x:c>
      <x:c r="J1367" s="24" t="n">
        <x:f>IFERROR('各站彙總來源'!J1367/'各站彙總來源'!K1367,"")</x:f>
        <x:v>22.653846153846153</x:v>
      </x:c>
      <x:c r="K1367" s="19" t="n">
        <x:f>'各站彙總來源'!K1367</x:f>
        <x:v>26</x:v>
      </x:c>
      <x:c r="L1367" s="24" t="n">
        <x:f>IFERROR('各站彙總來源'!L1367/'各站彙總來源'!M1367,"")</x:f>
        <x:v>5.730769230769231</x:v>
      </x:c>
      <x:c r="M1367" s="19" t="n">
        <x:f>'各站彙總來源'!M1367</x:f>
        <x:v>26</x:v>
      </x:c>
      <x:c r="N1367" s="24" t="n">
        <x:f>F1367+H1367</x:f>
        <x:v>19.30769230769231</x:v>
      </x:c>
      <x:c r="O1367" s="24" t="n">
        <x:f>J1367+L1367</x:f>
        <x:v>28.384615384615383</x:v>
      </x:c>
    </x:row>
    <x:row r="1368">
      <x:c r="A1368" s="22" t="str">
        <x:v>500110014</x:v>
      </x:c>
      <x:c r="B1368" s="17" t="str">
        <x:v>松山區</x:v>
      </x:c>
      <x:c r="C1368" s="17" t="str">
        <x:v>民生敦化路口</x:v>
      </x:c>
      <x:c r="D1368" s="18" t="n">
        <x:v>26</x:v>
      </x:c>
      <x:c r="E1368" s="18" t="n">
        <x:v>26</x:v>
      </x:c>
      <x:c r="F1368" s="24" t="n">
        <x:f>IFERROR('各站彙總來源'!F1368/'各站彙總來源'!G1368,"")</x:f>
        <x:v>6.923076923076923</x:v>
      </x:c>
      <x:c r="G1368" s="19" t="n">
        <x:f>'各站彙總來源'!G1368</x:f>
        <x:v>26</x:v>
      </x:c>
      <x:c r="H1368" s="24" t="n">
        <x:f>IFERROR('各站彙總來源'!H1368/'各站彙總來源'!I1368,"")</x:f>
        <x:v>1.2307692307692308</x:v>
      </x:c>
      <x:c r="I1368" s="19" t="n">
        <x:f>'各站彙總來源'!I1368</x:f>
        <x:v>26</x:v>
      </x:c>
      <x:c r="J1368" s="24" t="n">
        <x:f>IFERROR('各站彙總來源'!J1368/'各站彙總來源'!K1368,"")</x:f>
        <x:v>73.26923076923077</x:v>
      </x:c>
      <x:c r="K1368" s="19" t="n">
        <x:f>'各站彙總來源'!K1368</x:f>
        <x:v>26</x:v>
      </x:c>
      <x:c r="L1368" s="24" t="n">
        <x:f>IFERROR('各站彙總來源'!L1368/'各站彙總來源'!M1368,"")</x:f>
        <x:v>5.615384615384615</x:v>
      </x:c>
      <x:c r="M1368" s="19" t="n">
        <x:f>'各站彙總來源'!M1368</x:f>
        <x:v>26</x:v>
      </x:c>
      <x:c r="N1368" s="24" t="n">
        <x:f>F1368+H1368</x:f>
        <x:v>8.153846153846153</x:v>
      </x:c>
      <x:c r="O1368" s="24" t="n">
        <x:f>J1368+L1368</x:f>
        <x:v>78.88461538461539</x:v>
      </x:c>
    </x:row>
    <x:row r="1369">
      <x:c r="A1369" s="22" t="str">
        <x:v>500110015</x:v>
      </x:c>
      <x:c r="B1369" s="17" t="str">
        <x:v>松山區</x:v>
      </x:c>
      <x:c r="C1369" s="17" t="str">
        <x:v>松基公園</x:v>
      </x:c>
      <x:c r="D1369" s="18" t="n">
        <x:v>26</x:v>
      </x:c>
      <x:c r="E1369" s="18" t="n">
        <x:v>26</x:v>
      </x:c>
      <x:c r="F1369" s="24" t="n">
        <x:f>IFERROR('各站彙總來源'!F1369/'各站彙總來源'!G1369,"")</x:f>
        <x:v>3.730769230769231</x:v>
      </x:c>
      <x:c r="G1369" s="19" t="n">
        <x:f>'各站彙總來源'!G1369</x:f>
        <x:v>26</x:v>
      </x:c>
      <x:c r="H1369" s="24" t="n">
        <x:f>IFERROR('各站彙總來源'!H1369/'各站彙總來源'!I1369,"")</x:f>
        <x:v>0.6153846153846154</x:v>
      </x:c>
      <x:c r="I1369" s="19" t="n">
        <x:f>'各站彙總來源'!I1369</x:f>
        <x:v>26</x:v>
      </x:c>
      <x:c r="J1369" s="24" t="n">
        <x:f>IFERROR('各站彙總來源'!J1369/'各站彙總來源'!K1369,"")</x:f>
        <x:v>12.73076923076923</x:v>
      </x:c>
      <x:c r="K1369" s="19" t="n">
        <x:f>'各站彙總來源'!K1369</x:f>
        <x:v>26</x:v>
      </x:c>
      <x:c r="L1369" s="24" t="n">
        <x:f>IFERROR('各站彙總來源'!L1369/'各站彙總來源'!M1369,"")</x:f>
        <x:v>1.7307692307692308</x:v>
      </x:c>
      <x:c r="M1369" s="19" t="n">
        <x:f>'各站彙總來源'!M1369</x:f>
        <x:v>26</x:v>
      </x:c>
      <x:c r="N1369" s="24" t="n">
        <x:f>F1369+H1369</x:f>
        <x:v>4.346153846153847</x:v>
      </x:c>
      <x:c r="O1369" s="24" t="n">
        <x:f>J1369+L1369</x:f>
        <x:v>14.46153846153846</x:v>
      </x:c>
    </x:row>
    <x:row r="1370">
      <x:c r="A1370" s="22" t="str">
        <x:v>500110016</x:v>
      </x:c>
      <x:c r="B1370" s="17" t="str">
        <x:v>松山區</x:v>
      </x:c>
      <x:c r="C1370" s="17" t="str">
        <x:v>三民路166巷口</x:v>
      </x:c>
      <x:c r="D1370" s="18" t="n">
        <x:v>26</x:v>
      </x:c>
      <x:c r="E1370" s="18" t="n">
        <x:v>26</x:v>
      </x:c>
      <x:c r="F1370" s="24" t="n">
        <x:f>IFERROR('各站彙總來源'!F1370/'各站彙總來源'!G1370,"")</x:f>
        <x:v>3.8461538461538463</x:v>
      </x:c>
      <x:c r="G1370" s="19" t="n">
        <x:f>'各站彙總來源'!G1370</x:f>
        <x:v>26</x:v>
      </x:c>
      <x:c r="H1370" s="24" t="n">
        <x:f>IFERROR('各站彙總來源'!H1370/'各站彙總來源'!I1370,"")</x:f>
        <x:v>1.2692307692307692</x:v>
      </x:c>
      <x:c r="I1370" s="19" t="n">
        <x:f>'各站彙總來源'!I1370</x:f>
        <x:v>26</x:v>
      </x:c>
      <x:c r="J1370" s="24" t="n">
        <x:f>IFERROR('各站彙總來源'!J1370/'各站彙總來源'!K1370,"")</x:f>
        <x:v>3.6153846153846154</x:v>
      </x:c>
      <x:c r="K1370" s="19" t="n">
        <x:f>'各站彙總來源'!K1370</x:f>
        <x:v>26</x:v>
      </x:c>
      <x:c r="L1370" s="24" t="n">
        <x:f>IFERROR('各站彙總來源'!L1370/'各站彙總來源'!M1370,"")</x:f>
        <x:v>1.6153846153846154</x:v>
      </x:c>
      <x:c r="M1370" s="19" t="n">
        <x:f>'各站彙總來源'!M1370</x:f>
        <x:v>26</x:v>
      </x:c>
      <x:c r="N1370" s="24" t="n">
        <x:f>F1370+H1370</x:f>
        <x:v>5.115384615384615</x:v>
      </x:c>
      <x:c r="O1370" s="24" t="n">
        <x:f>J1370+L1370</x:f>
        <x:v>5.230769230769231</x:v>
      </x:c>
    </x:row>
    <x:row r="1371">
      <x:c r="A1371" s="22" t="str">
        <x:v>500110017</x:v>
      </x:c>
      <x:c r="B1371" s="17" t="str">
        <x:v>松山區</x:v>
      </x:c>
      <x:c r="C1371" s="17" t="str">
        <x:v>民生活動中心</x:v>
      </x:c>
      <x:c r="D1371" s="18" t="n">
        <x:v>26</x:v>
      </x:c>
      <x:c r="E1371" s="18" t="n">
        <x:v>26</x:v>
      </x:c>
      <x:c r="F1371" s="24" t="n">
        <x:f>IFERROR('各站彙總來源'!F1371/'各站彙總來源'!G1371,"")</x:f>
        <x:v>6.538461538461538</x:v>
      </x:c>
      <x:c r="G1371" s="19" t="n">
        <x:f>'各站彙總來源'!G1371</x:f>
        <x:v>26</x:v>
      </x:c>
      <x:c r="H1371" s="24" t="n">
        <x:f>IFERROR('各站彙總來源'!H1371/'各站彙總來源'!I1371,"")</x:f>
        <x:v>2.1153846153846154</x:v>
      </x:c>
      <x:c r="I1371" s="19" t="n">
        <x:f>'各站彙總來源'!I1371</x:f>
        <x:v>26</x:v>
      </x:c>
      <x:c r="J1371" s="24" t="n">
        <x:f>IFERROR('各站彙總來源'!J1371/'各站彙總來源'!K1371,"")</x:f>
        <x:v>13.807692307692308</x:v>
      </x:c>
      <x:c r="K1371" s="19" t="n">
        <x:f>'各站彙總來源'!K1371</x:f>
        <x:v>26</x:v>
      </x:c>
      <x:c r="L1371" s="24" t="n">
        <x:f>IFERROR('各站彙總來源'!L1371/'各站彙總來源'!M1371,"")</x:f>
        <x:v>3.423076923076923</x:v>
      </x:c>
      <x:c r="M1371" s="19" t="n">
        <x:f>'各站彙總來源'!M1371</x:f>
        <x:v>26</x:v>
      </x:c>
      <x:c r="N1371" s="24" t="n">
        <x:f>F1371+H1371</x:f>
        <x:v>8.653846153846153</x:v>
      </x:c>
      <x:c r="O1371" s="24" t="n">
        <x:f>J1371+L1371</x:f>
        <x:v>17.23076923076923</x:v>
      </x:c>
    </x:row>
    <x:row r="1372">
      <x:c r="A1372" s="22" t="str">
        <x:v>500110018</x:v>
      </x:c>
      <x:c r="B1372" s="17" t="str">
        <x:v>松山區</x:v>
      </x:c>
      <x:c r="C1372" s="17" t="str">
        <x:v>捷運小巨蛋站(2號出口)</x:v>
      </x:c>
      <x:c r="D1372" s="18" t="n">
        <x:v>26</x:v>
      </x:c>
      <x:c r="E1372" s="18" t="n">
        <x:v>26</x:v>
      </x:c>
      <x:c r="F1372" s="24" t="n">
        <x:f>IFERROR('各站彙總來源'!F1372/'各站彙總來源'!G1372,"")</x:f>
        <x:v>18.653846153846153</x:v>
      </x:c>
      <x:c r="G1372" s="19" t="n">
        <x:f>'各站彙總來源'!G1372</x:f>
        <x:v>26</x:v>
      </x:c>
      <x:c r="H1372" s="24" t="n">
        <x:f>IFERROR('各站彙總來源'!H1372/'各站彙總來源'!I1372,"")</x:f>
        <x:v>3.769230769230769</x:v>
      </x:c>
      <x:c r="I1372" s="19" t="n">
        <x:f>'各站彙總來源'!I1372</x:f>
        <x:v>26</x:v>
      </x:c>
      <x:c r="J1372" s="24" t="n">
        <x:f>IFERROR('各站彙總來源'!J1372/'各站彙總來源'!K1372,"")</x:f>
        <x:v>9.307692307692308</x:v>
      </x:c>
      <x:c r="K1372" s="19" t="n">
        <x:f>'各站彙總來源'!K1372</x:f>
        <x:v>26</x:v>
      </x:c>
      <x:c r="L1372" s="24" t="n">
        <x:f>IFERROR('各站彙總來源'!L1372/'各站彙總來源'!M1372,"")</x:f>
        <x:v>2.076923076923077</x:v>
      </x:c>
      <x:c r="M1372" s="19" t="n">
        <x:f>'各站彙總來源'!M1372</x:f>
        <x:v>26</x:v>
      </x:c>
      <x:c r="N1372" s="24" t="n">
        <x:f>F1372+H1372</x:f>
        <x:v>22.423076923076923</x:v>
      </x:c>
      <x:c r="O1372" s="24" t="n">
        <x:f>J1372+L1372</x:f>
        <x:v>11.384615384615385</x:v>
      </x:c>
    </x:row>
    <x:row r="1373">
      <x:c r="A1373" s="22" t="str">
        <x:v>500110019</x:v>
      </x:c>
      <x:c r="B1373" s="17" t="str">
        <x:v>松山區</x:v>
      </x:c>
      <x:c r="C1373" s="17" t="str">
        <x:v>臺北市藝文推廣處</x:v>
      </x:c>
      <x:c r="D1373" s="18" t="n">
        <x:v>26</x:v>
      </x:c>
      <x:c r="E1373" s="18" t="n">
        <x:v>26</x:v>
      </x:c>
      <x:c r="F1373" s="24" t="n">
        <x:f>IFERROR('各站彙總來源'!F1373/'各站彙總來源'!G1373,"")</x:f>
        <x:v>14.653846153846153</x:v>
      </x:c>
      <x:c r="G1373" s="19" t="n">
        <x:f>'各站彙總來源'!G1373</x:f>
        <x:v>26</x:v>
      </x:c>
      <x:c r="H1373" s="24" t="n">
        <x:f>IFERROR('各站彙總來源'!H1373/'各站彙總來源'!I1373,"")</x:f>
        <x:v>3.269230769230769</x:v>
      </x:c>
      <x:c r="I1373" s="19" t="n">
        <x:f>'各站彙總來源'!I1373</x:f>
        <x:v>26</x:v>
      </x:c>
      <x:c r="J1373" s="24" t="n">
        <x:f>IFERROR('各站彙總來源'!J1373/'各站彙總來源'!K1373,"")</x:f>
        <x:v>11.576923076923077</x:v>
      </x:c>
      <x:c r="K1373" s="19" t="n">
        <x:f>'各站彙總來源'!K1373</x:f>
        <x:v>26</x:v>
      </x:c>
      <x:c r="L1373" s="24" t="n">
        <x:f>IFERROR('各站彙總來源'!L1373/'各站彙總來源'!M1373,"")</x:f>
        <x:v>3.269230769230769</x:v>
      </x:c>
      <x:c r="M1373" s="19" t="n">
        <x:f>'各站彙總來源'!M1373</x:f>
        <x:v>26</x:v>
      </x:c>
      <x:c r="N1373" s="24" t="n">
        <x:f>F1373+H1373</x:f>
        <x:v>17.923076923076923</x:v>
      </x:c>
      <x:c r="O1373" s="24" t="n">
        <x:f>J1373+L1373</x:f>
        <x:v>14.846153846153847</x:v>
      </x:c>
    </x:row>
    <x:row r="1374">
      <x:c r="A1374" s="22" t="str">
        <x:v>500110020</x:v>
      </x:c>
      <x:c r="B1374" s="17" t="str">
        <x:v>松山區</x:v>
      </x:c>
      <x:c r="C1374" s="17" t="str">
        <x:v>民生國小(敦化北路199巷)</x:v>
      </x:c>
      <x:c r="D1374" s="18" t="n">
        <x:v>26</x:v>
      </x:c>
      <x:c r="E1374" s="18" t="n">
        <x:v>26</x:v>
      </x:c>
      <x:c r="F1374" s="24" t="n">
        <x:f>IFERROR('各站彙總來源'!F1374/'各站彙總來源'!G1374,"")</x:f>
        <x:v>8.461538461538462</x:v>
      </x:c>
      <x:c r="G1374" s="19" t="n">
        <x:f>'各站彙總來源'!G1374</x:f>
        <x:v>26</x:v>
      </x:c>
      <x:c r="H1374" s="24" t="n">
        <x:f>IFERROR('各站彙總來源'!H1374/'各站彙總來源'!I1374,"")</x:f>
        <x:v>3.269230769230769</x:v>
      </x:c>
      <x:c r="I1374" s="19" t="n">
        <x:f>'各站彙總來源'!I1374</x:f>
        <x:v>26</x:v>
      </x:c>
      <x:c r="J1374" s="24" t="n">
        <x:f>IFERROR('各站彙總來源'!J1374/'各站彙總來源'!K1374,"")</x:f>
        <x:v>6.576923076923077</x:v>
      </x:c>
      <x:c r="K1374" s="19" t="n">
        <x:f>'各站彙總來源'!K1374</x:f>
        <x:v>26</x:v>
      </x:c>
      <x:c r="L1374" s="24" t="n">
        <x:f>IFERROR('各站彙總來源'!L1374/'各站彙總來源'!M1374,"")</x:f>
        <x:v>2.076923076923077</x:v>
      </x:c>
      <x:c r="M1374" s="19" t="n">
        <x:f>'各站彙總來源'!M1374</x:f>
        <x:v>26</x:v>
      </x:c>
      <x:c r="N1374" s="24" t="n">
        <x:f>F1374+H1374</x:f>
        <x:v>11.73076923076923</x:v>
      </x:c>
      <x:c r="O1374" s="24" t="n">
        <x:f>J1374+L1374</x:f>
        <x:v>8.653846153846153</x:v>
      </x:c>
    </x:row>
    <x:row r="1375">
      <x:c r="A1375" s="22" t="str">
        <x:v>500110021</x:v>
      </x:c>
      <x:c r="B1375" s="17" t="str">
        <x:v>松山區</x:v>
      </x:c>
      <x:c r="C1375" s="17" t="str">
        <x:v>敦北公園</x:v>
      </x:c>
      <x:c r="D1375" s="18" t="n">
        <x:v>26</x:v>
      </x:c>
      <x:c r="E1375" s="18" t="n">
        <x:v>26</x:v>
      </x:c>
      <x:c r="F1375" s="24" t="n">
        <x:f>IFERROR('各站彙總來源'!F1375/'各站彙總來源'!G1375,"")</x:f>
        <x:v>8.076923076923077</x:v>
      </x:c>
      <x:c r="G1375" s="19" t="n">
        <x:f>'各站彙總來源'!G1375</x:f>
        <x:v>26</x:v>
      </x:c>
      <x:c r="H1375" s="24" t="n">
        <x:f>IFERROR('各站彙總來源'!H1375/'各站彙總來源'!I1375,"")</x:f>
        <x:v>1.5384615384615385</x:v>
      </x:c>
      <x:c r="I1375" s="19" t="n">
        <x:f>'各站彙總來源'!I1375</x:f>
        <x:v>26</x:v>
      </x:c>
      <x:c r="J1375" s="24" t="n">
        <x:f>IFERROR('各站彙總來源'!J1375/'各站彙總來源'!K1375,"")</x:f>
        <x:v>37.80769230769231</x:v>
      </x:c>
      <x:c r="K1375" s="19" t="n">
        <x:f>'各站彙總來源'!K1375</x:f>
        <x:v>26</x:v>
      </x:c>
      <x:c r="L1375" s="24" t="n">
        <x:f>IFERROR('各站彙總來源'!L1375/'各站彙總來源'!M1375,"")</x:f>
        <x:v>4.615384615384615</x:v>
      </x:c>
      <x:c r="M1375" s="19" t="n">
        <x:f>'各站彙總來源'!M1375</x:f>
        <x:v>26</x:v>
      </x:c>
      <x:c r="N1375" s="24" t="n">
        <x:f>F1375+H1375</x:f>
        <x:v>9.615384615384615</x:v>
      </x:c>
      <x:c r="O1375" s="24" t="n">
        <x:f>J1375+L1375</x:f>
        <x:v>42.42307692307692</x:v>
      </x:c>
    </x:row>
    <x:row r="1376">
      <x:c r="A1376" s="22" t="str">
        <x:v>500110022</x:v>
      </x:c>
      <x:c r="B1376" s="17" t="str">
        <x:v>松山區</x:v>
      </x:c>
      <x:c r="C1376" s="17" t="str">
        <x:v>民權運動公園</x:v>
      </x:c>
      <x:c r="D1376" s="18" t="n">
        <x:v>26</x:v>
      </x:c>
      <x:c r="E1376" s="18" t="n">
        <x:v>26</x:v>
      </x:c>
      <x:c r="F1376" s="24" t="n">
        <x:f>IFERROR('各站彙總來源'!F1376/'各站彙總來源'!G1376,"")</x:f>
        <x:v>12.307692307692308</x:v>
      </x:c>
      <x:c r="G1376" s="19" t="n">
        <x:f>'各站彙總來源'!G1376</x:f>
        <x:v>26</x:v>
      </x:c>
      <x:c r="H1376" s="24" t="n">
        <x:f>IFERROR('各站彙總來源'!H1376/'各站彙總來源'!I1376,"")</x:f>
        <x:v>4</x:v>
      </x:c>
      <x:c r="I1376" s="19" t="n">
        <x:f>'各站彙總來源'!I1376</x:f>
        <x:v>26</x:v>
      </x:c>
      <x:c r="J1376" s="24" t="n">
        <x:f>IFERROR('各站彙總來源'!J1376/'各站彙總來源'!K1376,"")</x:f>
        <x:v>9.076923076923077</x:v>
      </x:c>
      <x:c r="K1376" s="19" t="n">
        <x:f>'各站彙總來源'!K1376</x:f>
        <x:v>26</x:v>
      </x:c>
      <x:c r="L1376" s="24" t="n">
        <x:f>IFERROR('各站彙總來源'!L1376/'各站彙總來源'!M1376,"")</x:f>
        <x:v>2.5</x:v>
      </x:c>
      <x:c r="M1376" s="19" t="n">
        <x:f>'各站彙總來源'!M1376</x:f>
        <x:v>26</x:v>
      </x:c>
      <x:c r="N1376" s="24" t="n">
        <x:f>F1376+H1376</x:f>
        <x:v>16.307692307692307</x:v>
      </x:c>
      <x:c r="O1376" s="24" t="n">
        <x:f>J1376+L1376</x:f>
        <x:v>11.576923076923077</x:v>
      </x:c>
    </x:row>
    <x:row r="1377">
      <x:c r="A1377" s="22" t="str">
        <x:v>500110023</x:v>
      </x:c>
      <x:c r="B1377" s="17" t="str">
        <x:v>松山區</x:v>
      </x:c>
      <x:c r="C1377" s="17" t="str">
        <x:v>新東公園</x:v>
      </x:c>
      <x:c r="D1377" s="18" t="n">
        <x:v>26</x:v>
      </x:c>
      <x:c r="E1377" s="18" t="n">
        <x:v>26</x:v>
      </x:c>
      <x:c r="F1377" s="24" t="n">
        <x:f>IFERROR('各站彙總來源'!F1377/'各站彙總來源'!G1377,"")</x:f>
        <x:v>25.923076923076923</x:v>
      </x:c>
      <x:c r="G1377" s="19" t="n">
        <x:f>'各站彙總來源'!G1377</x:f>
        <x:v>26</x:v>
      </x:c>
      <x:c r="H1377" s="24" t="n">
        <x:f>IFERROR('各站彙總來源'!H1377/'各站彙總來源'!I1377,"")</x:f>
        <x:v>4.653846153846154</x:v>
      </x:c>
      <x:c r="I1377" s="19" t="n">
        <x:f>'各站彙總來源'!I1377</x:f>
        <x:v>26</x:v>
      </x:c>
      <x:c r="J1377" s="24" t="n">
        <x:f>IFERROR('各站彙總來源'!J1377/'各站彙總來源'!K1377,"")</x:f>
        <x:v>11.23076923076923</x:v>
      </x:c>
      <x:c r="K1377" s="19" t="n">
        <x:f>'各站彙總來源'!K1377</x:f>
        <x:v>26</x:v>
      </x:c>
      <x:c r="L1377" s="24" t="n">
        <x:f>IFERROR('各站彙總來源'!L1377/'各站彙總來源'!M1377,"")</x:f>
        <x:v>1.8461538461538463</x:v>
      </x:c>
      <x:c r="M1377" s="19" t="n">
        <x:f>'各站彙總來源'!M1377</x:f>
        <x:v>26</x:v>
      </x:c>
      <x:c r="N1377" s="24" t="n">
        <x:f>F1377+H1377</x:f>
        <x:v>30.576923076923077</x:v>
      </x:c>
      <x:c r="O1377" s="24" t="n">
        <x:f>J1377+L1377</x:f>
        <x:v>13.076923076923077</x:v>
      </x:c>
    </x:row>
    <x:row r="1378">
      <x:c r="A1378" s="22" t="str">
        <x:v>500110024</x:v>
      </x:c>
      <x:c r="B1378" s="17" t="str">
        <x:v>松山區</x:v>
      </x:c>
      <x:c r="C1378" s="17" t="str">
        <x:v>民生光復路口</x:v>
      </x:c>
      <x:c r="D1378" s="18" t="n">
        <x:v>26</x:v>
      </x:c>
      <x:c r="E1378" s="18" t="n">
        <x:v>26</x:v>
      </x:c>
      <x:c r="F1378" s="24" t="n">
        <x:f>IFERROR('各站彙總來源'!F1378/'各站彙總來源'!G1378,"")</x:f>
        <x:v>5.884615384615385</x:v>
      </x:c>
      <x:c r="G1378" s="19" t="n">
        <x:f>'各站彙總來源'!G1378</x:f>
        <x:v>26</x:v>
      </x:c>
      <x:c r="H1378" s="24" t="n">
        <x:f>IFERROR('各站彙總來源'!H1378/'各站彙總來源'!I1378,"")</x:f>
        <x:v>1.7692307692307692</x:v>
      </x:c>
      <x:c r="I1378" s="19" t="n">
        <x:f>'各站彙總來源'!I1378</x:f>
        <x:v>26</x:v>
      </x:c>
      <x:c r="J1378" s="24" t="n">
        <x:f>IFERROR('各站彙總來源'!J1378/'各站彙總來源'!K1378,"")</x:f>
        <x:v>50.53846153846154</x:v>
      </x:c>
      <x:c r="K1378" s="19" t="n">
        <x:f>'各站彙總來源'!K1378</x:f>
        <x:v>26</x:v>
      </x:c>
      <x:c r="L1378" s="24" t="n">
        <x:f>IFERROR('各站彙總來源'!L1378/'各站彙總來源'!M1378,"")</x:f>
        <x:v>3.730769230769231</x:v>
      </x:c>
      <x:c r="M1378" s="19" t="n">
        <x:f>'各站彙總來源'!M1378</x:f>
        <x:v>26</x:v>
      </x:c>
      <x:c r="N1378" s="24" t="n">
        <x:f>F1378+H1378</x:f>
        <x:v>7.653846153846154</x:v>
      </x:c>
      <x:c r="O1378" s="24" t="n">
        <x:f>J1378+L1378</x:f>
        <x:v>54.269230769230774</x:v>
      </x:c>
    </x:row>
    <x:row r="1379">
      <x:c r="A1379" s="22" t="str">
        <x:v>500110025</x:v>
      </x:c>
      <x:c r="B1379" s="17" t="str">
        <x:v>松山區</x:v>
      </x:c>
      <x:c r="C1379" s="17" t="str">
        <x:v>三民公園</x:v>
      </x:c>
      <x:c r="D1379" s="18" t="n">
        <x:v>26</x:v>
      </x:c>
      <x:c r="E1379" s="18" t="n">
        <x:v>26</x:v>
      </x:c>
      <x:c r="F1379" s="24" t="n">
        <x:f>IFERROR('各站彙總來源'!F1379/'各站彙總來源'!G1379,"")</x:f>
        <x:v>23.307692307692307</x:v>
      </x:c>
      <x:c r="G1379" s="19" t="n">
        <x:f>'各站彙總來源'!G1379</x:f>
        <x:v>26</x:v>
      </x:c>
      <x:c r="H1379" s="24" t="n">
        <x:f>IFERROR('各站彙總來源'!H1379/'各站彙總來源'!I1379,"")</x:f>
        <x:v>3.923076923076923</x:v>
      </x:c>
      <x:c r="I1379" s="19" t="n">
        <x:f>'各站彙總來源'!I1379</x:f>
        <x:v>26</x:v>
      </x:c>
      <x:c r="J1379" s="24" t="n">
        <x:f>IFERROR('各站彙總來源'!J1379/'各站彙總來源'!K1379,"")</x:f>
        <x:v>7.769230769230769</x:v>
      </x:c>
      <x:c r="K1379" s="19" t="n">
        <x:f>'各站彙總來源'!K1379</x:f>
        <x:v>26</x:v>
      </x:c>
      <x:c r="L1379" s="24" t="n">
        <x:f>IFERROR('各站彙總來源'!L1379/'各站彙總來源'!M1379,"")</x:f>
        <x:v>2.1153846153846154</x:v>
      </x:c>
      <x:c r="M1379" s="19" t="n">
        <x:f>'各站彙總來源'!M1379</x:f>
        <x:v>26</x:v>
      </x:c>
      <x:c r="N1379" s="24" t="n">
        <x:f>F1379+H1379</x:f>
        <x:v>27.23076923076923</x:v>
      </x:c>
      <x:c r="O1379" s="24" t="n">
        <x:f>J1379+L1379</x:f>
        <x:v>9.884615384615385</x:v>
      </x:c>
    </x:row>
    <x:row r="1380">
      <x:c r="A1380" s="22" t="str">
        <x:v>500110026</x:v>
      </x:c>
      <x:c r="B1380" s="17" t="str">
        <x:v>松山區</x:v>
      </x:c>
      <x:c r="C1380" s="17" t="str">
        <x:v>八德路三段74巷口</x:v>
      </x:c>
      <x:c r="D1380" s="18" t="n">
        <x:v>26</x:v>
      </x:c>
      <x:c r="E1380" s="18" t="n">
        <x:v>26</x:v>
      </x:c>
      <x:c r="F1380" s="24" t="n">
        <x:f>IFERROR('各站彙總來源'!F1380/'各站彙總來源'!G1380,"")</x:f>
        <x:v>9.423076923076923</x:v>
      </x:c>
      <x:c r="G1380" s="19" t="n">
        <x:f>'各站彙總來源'!G1380</x:f>
        <x:v>26</x:v>
      </x:c>
      <x:c r="H1380" s="24" t="n">
        <x:f>IFERROR('各站彙總來源'!H1380/'各站彙總來源'!I1380,"")</x:f>
        <x:v>1.6153846153846154</x:v>
      </x:c>
      <x:c r="I1380" s="19" t="n">
        <x:f>'各站彙總來源'!I1380</x:f>
        <x:v>26</x:v>
      </x:c>
      <x:c r="J1380" s="24" t="n">
        <x:f>IFERROR('各站彙總來源'!J1380/'各站彙總來源'!K1380,"")</x:f>
        <x:v>2.1153846153846154</x:v>
      </x:c>
      <x:c r="K1380" s="19" t="n">
        <x:f>'各站彙總來源'!K1380</x:f>
        <x:v>26</x:v>
      </x:c>
      <x:c r="L1380" s="24" t="n">
        <x:f>IFERROR('各站彙總來源'!L1380/'各站彙總來源'!M1380,"")</x:f>
        <x:v>0.3076923076923077</x:v>
      </x:c>
      <x:c r="M1380" s="19" t="n">
        <x:f>'各站彙總來源'!M1380</x:f>
        <x:v>26</x:v>
      </x:c>
      <x:c r="N1380" s="24" t="n">
        <x:f>F1380+H1380</x:f>
        <x:v>11.038461538461538</x:v>
      </x:c>
      <x:c r="O1380" s="24" t="n">
        <x:f>J1380+L1380</x:f>
        <x:v>2.4230769230769234</x:v>
      </x:c>
    </x:row>
    <x:row r="1381">
      <x:c r="A1381" s="22" t="str">
        <x:v>500110027</x:v>
      </x:c>
      <x:c r="B1381" s="17" t="str">
        <x:v>松山區</x:v>
      </x:c>
      <x:c r="C1381" s="17" t="str">
        <x:v>八德路三段8巷口</x:v>
      </x:c>
      <x:c r="D1381" s="18" t="n">
        <x:v>26</x:v>
      </x:c>
      <x:c r="E1381" s="18" t="n">
        <x:v>26</x:v>
      </x:c>
      <x:c r="F1381" s="24" t="n">
        <x:f>IFERROR('各站彙總來源'!F1381/'各站彙總來源'!G1381,"")</x:f>
        <x:v>6.269230769230769</x:v>
      </x:c>
      <x:c r="G1381" s="19" t="n">
        <x:f>'各站彙總來源'!G1381</x:f>
        <x:v>26</x:v>
      </x:c>
      <x:c r="H1381" s="24" t="n">
        <x:f>IFERROR('各站彙總來源'!H1381/'各站彙總來源'!I1381,"")</x:f>
        <x:v>1.4230769230769231</x:v>
      </x:c>
      <x:c r="I1381" s="19" t="n">
        <x:f>'各站彙總來源'!I1381</x:f>
        <x:v>26</x:v>
      </x:c>
      <x:c r="J1381" s="24" t="n">
        <x:f>IFERROR('各站彙總來源'!J1381/'各站彙總來源'!K1381,"")</x:f>
        <x:v>4</x:v>
      </x:c>
      <x:c r="K1381" s="19" t="n">
        <x:f>'各站彙總來源'!K1381</x:f>
        <x:v>26</x:v>
      </x:c>
      <x:c r="L1381" s="24" t="n">
        <x:f>IFERROR('各站彙總來源'!L1381/'各站彙總來源'!M1381,"")</x:f>
        <x:v>1.2307692307692308</x:v>
      </x:c>
      <x:c r="M1381" s="19" t="n">
        <x:f>'各站彙總來源'!M1381</x:f>
        <x:v>26</x:v>
      </x:c>
      <x:c r="N1381" s="24" t="n">
        <x:f>F1381+H1381</x:f>
        <x:v>7.6923076923076925</x:v>
      </x:c>
      <x:c r="O1381" s="24" t="n">
        <x:f>J1381+L1381</x:f>
        <x:v>5.230769230769231</x:v>
      </x:c>
    </x:row>
    <x:row r="1382">
      <x:c r="A1382" s="22" t="str">
        <x:v>500110028</x:v>
      </x:c>
      <x:c r="B1382" s="17" t="str">
        <x:v>松山區</x:v>
      </x:c>
      <x:c r="C1382" s="17" t="str">
        <x:v>三軍總醫院(松山分院)</x:v>
      </x:c>
      <x:c r="D1382" s="18" t="n">
        <x:v>26</x:v>
      </x:c>
      <x:c r="E1382" s="18" t="n">
        <x:v>26</x:v>
      </x:c>
      <x:c r="F1382" s="24" t="n">
        <x:f>IFERROR('各站彙總來源'!F1382/'各站彙總來源'!G1382,"")</x:f>
        <x:v>12.461538461538462</x:v>
      </x:c>
      <x:c r="G1382" s="19" t="n">
        <x:f>'各站彙總來源'!G1382</x:f>
        <x:v>26</x:v>
      </x:c>
      <x:c r="H1382" s="24" t="n">
        <x:f>IFERROR('各站彙總來源'!H1382/'各站彙總來源'!I1382,"")</x:f>
        <x:v>2.8461538461538463</x:v>
      </x:c>
      <x:c r="I1382" s="19" t="n">
        <x:f>'各站彙總來源'!I1382</x:f>
        <x:v>26</x:v>
      </x:c>
      <x:c r="J1382" s="24" t="n">
        <x:f>IFERROR('各站彙總來源'!J1382/'各站彙總來源'!K1382,"")</x:f>
        <x:v>7.461538461538462</x:v>
      </x:c>
      <x:c r="K1382" s="19" t="n">
        <x:f>'各站彙總來源'!K1382</x:f>
        <x:v>26</x:v>
      </x:c>
      <x:c r="L1382" s="24" t="n">
        <x:f>IFERROR('各站彙總來源'!L1382/'各站彙總來源'!M1382,"")</x:f>
        <x:v>1.2307692307692308</x:v>
      </x:c>
      <x:c r="M1382" s="19" t="n">
        <x:f>'各站彙總來源'!M1382</x:f>
        <x:v>26</x:v>
      </x:c>
      <x:c r="N1382" s="24" t="n">
        <x:f>F1382+H1382</x:f>
        <x:v>15.307692307692308</x:v>
      </x:c>
      <x:c r="O1382" s="24" t="n">
        <x:f>J1382+L1382</x:f>
        <x:v>8.692307692307693</x:v>
      </x:c>
    </x:row>
    <x:row r="1383">
      <x:c r="A1383" s="22" t="str">
        <x:v>500110029</x:v>
      </x:c>
      <x:c r="B1383" s="17" t="str">
        <x:v>松山區</x:v>
      </x:c>
      <x:c r="C1383" s="17" t="str">
        <x:v>平安新城</x:v>
      </x:c>
      <x:c r="D1383" s="18" t="n">
        <x:v>26</x:v>
      </x:c>
      <x:c r="E1383" s="18" t="n">
        <x:v>26</x:v>
      </x:c>
      <x:c r="F1383" s="24" t="n">
        <x:f>IFERROR('各站彙總來源'!F1383/'各站彙總來源'!G1383,"")</x:f>
        <x:v>18.923076923076923</x:v>
      </x:c>
      <x:c r="G1383" s="19" t="n">
        <x:f>'各站彙總來源'!G1383</x:f>
        <x:v>26</x:v>
      </x:c>
      <x:c r="H1383" s="24" t="n">
        <x:f>IFERROR('各站彙總來源'!H1383/'各站彙總來源'!I1383,"")</x:f>
        <x:v>2.3846153846153846</x:v>
      </x:c>
      <x:c r="I1383" s="19" t="n">
        <x:f>'各站彙總來源'!I1383</x:f>
        <x:v>26</x:v>
      </x:c>
      <x:c r="J1383" s="24" t="n">
        <x:f>IFERROR('各站彙總來源'!J1383/'各站彙總來源'!K1383,"")</x:f>
        <x:v>5.5</x:v>
      </x:c>
      <x:c r="K1383" s="19" t="n">
        <x:f>'各站彙總來源'!K1383</x:f>
        <x:v>26</x:v>
      </x:c>
      <x:c r="L1383" s="24" t="n">
        <x:f>IFERROR('各站彙總來源'!L1383/'各站彙總來源'!M1383,"")</x:f>
        <x:v>1.1923076923076923</x:v>
      </x:c>
      <x:c r="M1383" s="19" t="n">
        <x:f>'各站彙總來源'!M1383</x:f>
        <x:v>26</x:v>
      </x:c>
      <x:c r="N1383" s="24" t="n">
        <x:f>F1383+H1383</x:f>
        <x:v>21.307692307692307</x:v>
      </x:c>
      <x:c r="O1383" s="24" t="n">
        <x:f>J1383+L1383</x:f>
        <x:v>6.6923076923076925</x:v>
      </x:c>
    </x:row>
    <x:row r="1384">
      <x:c r="A1384" s="22" t="str">
        <x:v>500110030</x:v>
      </x:c>
      <x:c r="B1384" s="17" t="str">
        <x:v>松山區</x:v>
      </x:c>
      <x:c r="C1384" s="17" t="str">
        <x:v>健康社會住宅</x:v>
      </x:c>
      <x:c r="D1384" s="18" t="n">
        <x:v>26</x:v>
      </x:c>
      <x:c r="E1384" s="18" t="n">
        <x:v>26</x:v>
      </x:c>
      <x:c r="F1384" s="24" t="n">
        <x:f>IFERROR('各站彙總來源'!F1384/'各站彙總來源'!G1384,"")</x:f>
        <x:v>18.03846153846154</x:v>
      </x:c>
      <x:c r="G1384" s="19" t="n">
        <x:f>'各站彙總來源'!G1384</x:f>
        <x:v>26</x:v>
      </x:c>
      <x:c r="H1384" s="24" t="n">
        <x:f>IFERROR('各站彙總來源'!H1384/'各站彙總來源'!I1384,"")</x:f>
        <x:v>2.3846153846153846</x:v>
      </x:c>
      <x:c r="I1384" s="19" t="n">
        <x:f>'各站彙總來源'!I1384</x:f>
        <x:v>26</x:v>
      </x:c>
      <x:c r="J1384" s="24" t="n">
        <x:f>IFERROR('各站彙總來源'!J1384/'各站彙總來源'!K1384,"")</x:f>
        <x:v>2.1923076923076925</x:v>
      </x:c>
      <x:c r="K1384" s="19" t="n">
        <x:f>'各站彙總來源'!K1384</x:f>
        <x:v>26</x:v>
      </x:c>
      <x:c r="L1384" s="24" t="n">
        <x:f>IFERROR('各站彙總來源'!L1384/'各站彙總來源'!M1384,"")</x:f>
        <x:v>0.6153846153846154</x:v>
      </x:c>
      <x:c r="M1384" s="19" t="n">
        <x:f>'各站彙總來源'!M1384</x:f>
        <x:v>26</x:v>
      </x:c>
      <x:c r="N1384" s="24" t="n">
        <x:f>F1384+H1384</x:f>
        <x:v>20.423076923076923</x:v>
      </x:c>
      <x:c r="O1384" s="24" t="n">
        <x:f>J1384+L1384</x:f>
        <x:v>2.807692307692308</x:v>
      </x:c>
    </x:row>
    <x:row r="1385">
      <x:c r="A1385" s="22" t="str">
        <x:v>500110031</x:v>
      </x:c>
      <x:c r="B1385" s="17" t="str">
        <x:v>松山區</x:v>
      </x:c>
      <x:c r="C1385" s="17" t="str">
        <x:v>民權光復路口(東北側)</x:v>
      </x:c>
      <x:c r="D1385" s="18" t="n">
        <x:v>26</x:v>
      </x:c>
      <x:c r="E1385" s="18" t="n">
        <x:v>26</x:v>
      </x:c>
      <x:c r="F1385" s="24" t="n">
        <x:f>IFERROR('各站彙總來源'!F1385/'各站彙總來源'!G1385,"")</x:f>
        <x:v>10.76923076923077</x:v>
      </x:c>
      <x:c r="G1385" s="19" t="n">
        <x:f>'各站彙總來源'!G1385</x:f>
        <x:v>26</x:v>
      </x:c>
      <x:c r="H1385" s="24" t="n">
        <x:f>IFERROR('各站彙總來源'!H1385/'各站彙總來源'!I1385,"")</x:f>
        <x:v>1.2307692307692308</x:v>
      </x:c>
      <x:c r="I1385" s="19" t="n">
        <x:f>'各站彙總來源'!I1385</x:f>
        <x:v>26</x:v>
      </x:c>
      <x:c r="J1385" s="24" t="n">
        <x:f>IFERROR('各站彙總來源'!J1385/'各站彙總來源'!K1385,"")</x:f>
        <x:v>15.5</x:v>
      </x:c>
      <x:c r="K1385" s="19" t="n">
        <x:f>'各站彙總來源'!K1385</x:f>
        <x:v>26</x:v>
      </x:c>
      <x:c r="L1385" s="24" t="n">
        <x:f>IFERROR('各站彙總來源'!L1385/'各站彙總來源'!M1385,"")</x:f>
        <x:v>3.3846153846153846</x:v>
      </x:c>
      <x:c r="M1385" s="19" t="n">
        <x:f>'各站彙總來源'!M1385</x:f>
        <x:v>26</x:v>
      </x:c>
      <x:c r="N1385" s="24" t="n">
        <x:f>F1385+H1385</x:f>
        <x:v>12</x:v>
      </x:c>
      <x:c r="O1385" s="24" t="n">
        <x:f>J1385+L1385</x:f>
        <x:v>18.884615384615383</x:v>
      </x:c>
    </x:row>
    <x:row r="1386">
      <x:c r="A1386" s="22" t="str">
        <x:v>500110032</x:v>
      </x:c>
      <x:c r="B1386" s="17" t="str">
        <x:v>松山區</x:v>
      </x:c>
      <x:c r="C1386" s="17" t="str">
        <x:v>市民東興路口</x:v>
      </x:c>
      <x:c r="D1386" s="18" t="n">
        <x:v>26</x:v>
      </x:c>
      <x:c r="E1386" s="18" t="n">
        <x:v>26</x:v>
      </x:c>
      <x:c r="F1386" s="24" t="n">
        <x:f>IFERROR('各站彙總來源'!F1386/'各站彙總來源'!G1386,"")</x:f>
        <x:v>5.230769230769231</x:v>
      </x:c>
      <x:c r="G1386" s="19" t="n">
        <x:f>'各站彙總來源'!G1386</x:f>
        <x:v>26</x:v>
      </x:c>
      <x:c r="H1386" s="24" t="n">
        <x:f>IFERROR('各站彙總來源'!H1386/'各站彙總來源'!I1386,"")</x:f>
        <x:v>1.9230769230769231</x:v>
      </x:c>
      <x:c r="I1386" s="19" t="n">
        <x:f>'各站彙總來源'!I1386</x:f>
        <x:v>26</x:v>
      </x:c>
      <x:c r="J1386" s="24" t="n">
        <x:f>IFERROR('各站彙總來源'!J1386/'各站彙總來源'!K1386,"")</x:f>
        <x:v>47.80769230769231</x:v>
      </x:c>
      <x:c r="K1386" s="19" t="n">
        <x:f>'各站彙總來源'!K1386</x:f>
        <x:v>26</x:v>
      </x:c>
      <x:c r="L1386" s="24" t="n">
        <x:f>IFERROR('各站彙總來源'!L1386/'各站彙總來源'!M1386,"")</x:f>
        <x:v>3</x:v>
      </x:c>
      <x:c r="M1386" s="19" t="n">
        <x:f>'各站彙總來源'!M1386</x:f>
        <x:v>26</x:v>
      </x:c>
      <x:c r="N1386" s="24" t="n">
        <x:f>F1386+H1386</x:f>
        <x:v>7.153846153846154</x:v>
      </x:c>
      <x:c r="O1386" s="24" t="n">
        <x:f>J1386+L1386</x:f>
        <x:v>50.80769230769231</x:v>
      </x:c>
    </x:row>
    <x:row r="1387">
      <x:c r="A1387" s="22" t="str">
        <x:v>500110033</x:v>
      </x:c>
      <x:c r="B1387" s="17" t="str">
        <x:v>松山區</x:v>
      </x:c>
      <x:c r="C1387" s="17" t="str">
        <x:v>光復南路22巷口</x:v>
      </x:c>
      <x:c r="D1387" s="18" t="n">
        <x:v>26</x:v>
      </x:c>
      <x:c r="E1387" s="18" t="n">
        <x:v>26</x:v>
      </x:c>
      <x:c r="F1387" s="24" t="n">
        <x:f>IFERROR('各站彙總來源'!F1387/'各站彙總來源'!G1387,"")</x:f>
        <x:v>11.923076923076923</x:v>
      </x:c>
      <x:c r="G1387" s="19" t="n">
        <x:f>'各站彙總來源'!G1387</x:f>
        <x:v>26</x:v>
      </x:c>
      <x:c r="H1387" s="24" t="n">
        <x:f>IFERROR('各站彙總來源'!H1387/'各站彙總來源'!I1387,"")</x:f>
        <x:v>1.5769230769230769</x:v>
      </x:c>
      <x:c r="I1387" s="19" t="n">
        <x:f>'各站彙總來源'!I1387</x:f>
        <x:v>26</x:v>
      </x:c>
      <x:c r="J1387" s="24" t="n">
        <x:f>IFERROR('各站彙總來源'!J1387/'各站彙總來源'!K1387,"")</x:f>
        <x:v>4.961538461538462</x:v>
      </x:c>
      <x:c r="K1387" s="19" t="n">
        <x:f>'各站彙總來源'!K1387</x:f>
        <x:v>26</x:v>
      </x:c>
      <x:c r="L1387" s="24" t="n">
        <x:f>IFERROR('各站彙總來源'!L1387/'各站彙總來源'!M1387,"")</x:f>
        <x:v>1.8846153846153846</x:v>
      </x:c>
      <x:c r="M1387" s="19" t="n">
        <x:f>'各站彙總來源'!M1387</x:f>
        <x:v>26</x:v>
      </x:c>
      <x:c r="N1387" s="24" t="n">
        <x:f>F1387+H1387</x:f>
        <x:v>13.5</x:v>
      </x:c>
      <x:c r="O1387" s="24" t="n">
        <x:f>J1387+L1387</x:f>
        <x:v>6.846153846153847</x:v>
      </x:c>
    </x:row>
    <x:row r="1388">
      <x:c r="A1388" s="22" t="str">
        <x:v>500110034</x:v>
      </x:c>
      <x:c r="B1388" s="17" t="str">
        <x:v>松山區</x:v>
      </x:c>
      <x:c r="C1388" s="17" t="str">
        <x:v>光復南路46巷</x:v>
      </x:c>
      <x:c r="D1388" s="18" t="n">
        <x:v>26</x:v>
      </x:c>
      <x:c r="E1388" s="18" t="n">
        <x:v>26</x:v>
      </x:c>
      <x:c r="F1388" s="24" t="n">
        <x:f>IFERROR('各站彙總來源'!F1388/'各站彙總來源'!G1388,"")</x:f>
        <x:v>15.461538461538462</x:v>
      </x:c>
      <x:c r="G1388" s="19" t="n">
        <x:f>'各站彙總來源'!G1388</x:f>
        <x:v>26</x:v>
      </x:c>
      <x:c r="H1388" s="24" t="n">
        <x:f>IFERROR('各站彙總來源'!H1388/'各站彙總來源'!I1388,"")</x:f>
        <x:v>2.1153846153846154</x:v>
      </x:c>
      <x:c r="I1388" s="19" t="n">
        <x:f>'各站彙總來源'!I1388</x:f>
        <x:v>26</x:v>
      </x:c>
      <x:c r="J1388" s="24" t="n">
        <x:f>IFERROR('各站彙總來源'!J1388/'各站彙總來源'!K1388,"")</x:f>
        <x:v>3.1538461538461537</x:v>
      </x:c>
      <x:c r="K1388" s="19" t="n">
        <x:f>'各站彙總來源'!K1388</x:f>
        <x:v>26</x:v>
      </x:c>
      <x:c r="L1388" s="24" t="n">
        <x:f>IFERROR('各站彙總來源'!L1388/'各站彙總來源'!M1388,"")</x:f>
        <x:v>1.1153846153846154</x:v>
      </x:c>
      <x:c r="M1388" s="19" t="n">
        <x:f>'各站彙總來源'!M1388</x:f>
        <x:v>26</x:v>
      </x:c>
      <x:c r="N1388" s="24" t="n">
        <x:f>F1388+H1388</x:f>
        <x:v>17.576923076923077</x:v>
      </x:c>
      <x:c r="O1388" s="24" t="n">
        <x:f>J1388+L1388</x:f>
        <x:v>4.269230769230769</x:v>
      </x:c>
    </x:row>
    <x:row r="1389">
      <x:c r="A1389" s="22" t="str">
        <x:v>500110035</x:v>
      </x:c>
      <x:c r="B1389" s="17" t="str">
        <x:v>松山區</x:v>
      </x:c>
      <x:c r="C1389" s="17" t="str">
        <x:v>松山新城</x:v>
      </x:c>
      <x:c r="D1389" s="18" t="n">
        <x:v>26</x:v>
      </x:c>
      <x:c r="E1389" s="18" t="n">
        <x:v>26</x:v>
      </x:c>
      <x:c r="F1389" s="24" t="n">
        <x:f>IFERROR('各站彙總來源'!F1389/'各站彙總來源'!G1389,"")</x:f>
        <x:v>14.192307692307692</x:v>
      </x:c>
      <x:c r="G1389" s="19" t="n">
        <x:f>'各站彙總來源'!G1389</x:f>
        <x:v>26</x:v>
      </x:c>
      <x:c r="H1389" s="24" t="n">
        <x:f>IFERROR('各站彙總來源'!H1389/'各站彙總來源'!I1389,"")</x:f>
        <x:v>2.3846153846153846</x:v>
      </x:c>
      <x:c r="I1389" s="19" t="n">
        <x:f>'各站彙總來源'!I1389</x:f>
        <x:v>26</x:v>
      </x:c>
      <x:c r="J1389" s="24" t="n">
        <x:f>IFERROR('各站彙總來源'!J1389/'各站彙總來源'!K1389,"")</x:f>
        <x:v>6.076923076923077</x:v>
      </x:c>
      <x:c r="K1389" s="19" t="n">
        <x:f>'各站彙總來源'!K1389</x:f>
        <x:v>26</x:v>
      </x:c>
      <x:c r="L1389" s="24" t="n">
        <x:f>IFERROR('各站彙總來源'!L1389/'各站彙總來源'!M1389,"")</x:f>
        <x:v>1.1923076923076923</x:v>
      </x:c>
      <x:c r="M1389" s="19" t="n">
        <x:f>'各站彙總來源'!M1389</x:f>
        <x:v>26</x:v>
      </x:c>
      <x:c r="N1389" s="24" t="n">
        <x:f>F1389+H1389</x:f>
        <x:v>16.576923076923077</x:v>
      </x:c>
      <x:c r="O1389" s="24" t="n">
        <x:f>J1389+L1389</x:f>
        <x:v>7.269230769230769</x:v>
      </x:c>
    </x:row>
    <x:row r="1390">
      <x:c r="A1390" s="22" t="str">
        <x:v>500110036</x:v>
      </x:c>
      <x:c r="B1390" s="17" t="str">
        <x:v>松山區</x:v>
      </x:c>
      <x:c r="C1390" s="17" t="str">
        <x:v>國土管理署</x:v>
      </x:c>
      <x:c r="D1390" s="18" t="n">
        <x:v>26</x:v>
      </x:c>
      <x:c r="E1390" s="18" t="n">
        <x:v>26</x:v>
      </x:c>
      <x:c r="F1390" s="24" t="n">
        <x:f>IFERROR('各站彙總來源'!F1390/'各站彙總來源'!G1390,"")</x:f>
        <x:v>8</x:v>
      </x:c>
      <x:c r="G1390" s="19" t="n">
        <x:f>'各站彙總來源'!G1390</x:f>
        <x:v>26</x:v>
      </x:c>
      <x:c r="H1390" s="24" t="n">
        <x:f>IFERROR('各站彙總來源'!H1390/'各站彙總來源'!I1390,"")</x:f>
        <x:v>1.9230769230769231</x:v>
      </x:c>
      <x:c r="I1390" s="19" t="n">
        <x:f>'各站彙總來源'!I1390</x:f>
        <x:v>26</x:v>
      </x:c>
      <x:c r="J1390" s="24" t="n">
        <x:f>IFERROR('各站彙總來源'!J1390/'各站彙總來源'!K1390,"")</x:f>
        <x:v>39.11538461538461</x:v>
      </x:c>
      <x:c r="K1390" s="19" t="n">
        <x:f>'各站彙總來源'!K1390</x:f>
        <x:v>26</x:v>
      </x:c>
      <x:c r="L1390" s="24" t="n">
        <x:f>IFERROR('各站彙總來源'!L1390/'各站彙總來源'!M1390,"")</x:f>
        <x:v>3.6923076923076925</x:v>
      </x:c>
      <x:c r="M1390" s="19" t="n">
        <x:f>'各站彙總來源'!M1390</x:f>
        <x:v>26</x:v>
      </x:c>
      <x:c r="N1390" s="24" t="n">
        <x:f>F1390+H1390</x:f>
        <x:v>9.923076923076923</x:v>
      </x:c>
      <x:c r="O1390" s="24" t="n">
        <x:f>J1390+L1390</x:f>
        <x:v>42.80769230769231</x:v>
      </x:c>
    </x:row>
    <x:row r="1391">
      <x:c r="A1391" s="22" t="str">
        <x:v>500110037</x:v>
      </x:c>
      <x:c r="B1391" s="17" t="str">
        <x:v>松山區</x:v>
      </x:c>
      <x:c r="C1391" s="17" t="str">
        <x:v>南京光復路口</x:v>
      </x:c>
      <x:c r="D1391" s="18" t="n">
        <x:v>26</x:v>
      </x:c>
      <x:c r="E1391" s="18" t="n">
        <x:v>26</x:v>
      </x:c>
      <x:c r="F1391" s="24" t="n">
        <x:f>IFERROR('各站彙總來源'!F1391/'各站彙總來源'!G1391,"")</x:f>
        <x:v>4.423076923076923</x:v>
      </x:c>
      <x:c r="G1391" s="19" t="n">
        <x:f>'各站彙總來源'!G1391</x:f>
        <x:v>26</x:v>
      </x:c>
      <x:c r="H1391" s="24" t="n">
        <x:f>IFERROR('各站彙總來源'!H1391/'各站彙總來源'!I1391,"")</x:f>
        <x:v>1.6538461538461537</x:v>
      </x:c>
      <x:c r="I1391" s="19" t="n">
        <x:f>'各站彙總來源'!I1391</x:f>
        <x:v>26</x:v>
      </x:c>
      <x:c r="J1391" s="24" t="n">
        <x:f>IFERROR('各站彙總來源'!J1391/'各站彙總來源'!K1391,"")</x:f>
        <x:v>14.692307692307692</x:v>
      </x:c>
      <x:c r="K1391" s="19" t="n">
        <x:f>'各站彙總來源'!K1391</x:f>
        <x:v>26</x:v>
      </x:c>
      <x:c r="L1391" s="24" t="n">
        <x:f>IFERROR('各站彙總來源'!L1391/'各站彙總來源'!M1391,"")</x:f>
        <x:v>2.8076923076923075</x:v>
      </x:c>
      <x:c r="M1391" s="19" t="n">
        <x:f>'各站彙總來源'!M1391</x:f>
        <x:v>26</x:v>
      </x:c>
      <x:c r="N1391" s="24" t="n">
        <x:f>F1391+H1391</x:f>
        <x:v>6.076923076923077</x:v>
      </x:c>
      <x:c r="O1391" s="24" t="n">
        <x:f>J1391+L1391</x:f>
        <x:v>17.5</x:v>
      </x:c>
    </x:row>
    <x:row r="1392">
      <x:c r="A1392" s="22" t="str">
        <x:v>500110038</x:v>
      </x:c>
      <x:c r="B1392" s="17" t="str">
        <x:v>松山區</x:v>
      </x:c>
      <x:c r="C1392" s="17" t="str">
        <x:v>民生立體停車場</x:v>
      </x:c>
      <x:c r="D1392" s="18" t="n">
        <x:v>26</x:v>
      </x:c>
      <x:c r="E1392" s="18" t="n">
        <x:v>26</x:v>
      </x:c>
      <x:c r="F1392" s="24" t="n">
        <x:f>IFERROR('各站彙總來源'!F1392/'各站彙總來源'!G1392,"")</x:f>
        <x:v>13.384615384615385</x:v>
      </x:c>
      <x:c r="G1392" s="19" t="n">
        <x:f>'各站彙總來源'!G1392</x:f>
        <x:v>26</x:v>
      </x:c>
      <x:c r="H1392" s="24" t="n">
        <x:f>IFERROR('各站彙總來源'!H1392/'各站彙總來源'!I1392,"")</x:f>
        <x:v>2.1153846153846154</x:v>
      </x:c>
      <x:c r="I1392" s="19" t="n">
        <x:f>'各站彙總來源'!I1392</x:f>
        <x:v>26</x:v>
      </x:c>
      <x:c r="J1392" s="24" t="n">
        <x:f>IFERROR('各站彙總來源'!J1392/'各站彙總來源'!K1392,"")</x:f>
        <x:v>6.6923076923076925</x:v>
      </x:c>
      <x:c r="K1392" s="19" t="n">
        <x:f>'各站彙總來源'!K1392</x:f>
        <x:v>26</x:v>
      </x:c>
      <x:c r="L1392" s="24" t="n">
        <x:f>IFERROR('各站彙總來源'!L1392/'各站彙總來源'!M1392,"")</x:f>
        <x:v>2.076923076923077</x:v>
      </x:c>
      <x:c r="M1392" s="19" t="n">
        <x:f>'各站彙總來源'!M1392</x:f>
        <x:v>26</x:v>
      </x:c>
      <x:c r="N1392" s="24" t="n">
        <x:f>F1392+H1392</x:f>
        <x:v>15.5</x:v>
      </x:c>
      <x:c r="O1392" s="24" t="n">
        <x:f>J1392+L1392</x:f>
        <x:v>8.76923076923077</x:v>
      </x:c>
    </x:row>
    <x:row r="1393">
      <x:c r="A1393" s="22" t="str">
        <x:v>500110039</x:v>
      </x:c>
      <x:c r="B1393" s="17" t="str">
        <x:v>松山區</x:v>
      </x:c>
      <x:c r="C1393" s="17" t="str">
        <x:v>健康新城</x:v>
      </x:c>
      <x:c r="D1393" s="18" t="n">
        <x:v>26</x:v>
      </x:c>
      <x:c r="E1393" s="18" t="n">
        <x:v>26</x:v>
      </x:c>
      <x:c r="F1393" s="24" t="n">
        <x:f>IFERROR('各站彙總來源'!F1393/'各站彙總來源'!G1393,"")</x:f>
        <x:v>45.03846153846154</x:v>
      </x:c>
      <x:c r="G1393" s="19" t="n">
        <x:f>'各站彙總來源'!G1393</x:f>
        <x:v>26</x:v>
      </x:c>
      <x:c r="H1393" s="24" t="n">
        <x:f>IFERROR('各站彙總來源'!H1393/'各站彙總來源'!I1393,"")</x:f>
        <x:v>4.3076923076923075</x:v>
      </x:c>
      <x:c r="I1393" s="19" t="n">
        <x:f>'各站彙總來源'!I1393</x:f>
        <x:v>26</x:v>
      </x:c>
      <x:c r="J1393" s="24" t="n">
        <x:f>IFERROR('各站彙總來源'!J1393/'各站彙總來源'!K1393,"")</x:f>
        <x:v>4.115384615384615</x:v>
      </x:c>
      <x:c r="K1393" s="19" t="n">
        <x:f>'各站彙總來源'!K1393</x:f>
        <x:v>26</x:v>
      </x:c>
      <x:c r="L1393" s="24" t="n">
        <x:f>IFERROR('各站彙總來源'!L1393/'各站彙總來源'!M1393,"")</x:f>
        <x:v>1.3846153846153846</x:v>
      </x:c>
      <x:c r="M1393" s="19" t="n">
        <x:f>'各站彙總來源'!M1393</x:f>
        <x:v>26</x:v>
      </x:c>
      <x:c r="N1393" s="24" t="n">
        <x:f>F1393+H1393</x:f>
        <x:v>49.34615384615385</x:v>
      </x:c>
      <x:c r="O1393" s="24" t="n">
        <x:f>J1393+L1393</x:f>
        <x:v>5.5</x:v>
      </x:c>
    </x:row>
    <x:row r="1394">
      <x:c r="A1394" s="22" t="str">
        <x:v>500110040</x:v>
      </x:c>
      <x:c r="B1394" s="17" t="str">
        <x:v>松山區</x:v>
      </x:c>
      <x:c r="C1394" s="17" t="str">
        <x:v>健安新城</x:v>
      </x:c>
      <x:c r="D1394" s="18" t="n">
        <x:v>26</x:v>
      </x:c>
      <x:c r="E1394" s="18" t="n">
        <x:v>26</x:v>
      </x:c>
      <x:c r="F1394" s="24" t="n">
        <x:f>IFERROR('各站彙總來源'!F1394/'各站彙總來源'!G1394,"")</x:f>
        <x:v>26.23076923076923</x:v>
      </x:c>
      <x:c r="G1394" s="19" t="n">
        <x:f>'各站彙總來源'!G1394</x:f>
        <x:v>26</x:v>
      </x:c>
      <x:c r="H1394" s="24" t="n">
        <x:f>IFERROR('各站彙總來源'!H1394/'各站彙總來源'!I1394,"")</x:f>
        <x:v>2.1153846153846154</x:v>
      </x:c>
      <x:c r="I1394" s="19" t="n">
        <x:f>'各站彙總來源'!I1394</x:f>
        <x:v>26</x:v>
      </x:c>
      <x:c r="J1394" s="24" t="n">
        <x:f>IFERROR('各站彙總來源'!J1394/'各站彙總來源'!K1394,"")</x:f>
        <x:v>5.269230769230769</x:v>
      </x:c>
      <x:c r="K1394" s="19" t="n">
        <x:f>'各站彙總來源'!K1394</x:f>
        <x:v>26</x:v>
      </x:c>
      <x:c r="L1394" s="24" t="n">
        <x:f>IFERROR('各站彙總來源'!L1394/'各站彙總來源'!M1394,"")</x:f>
        <x:v>1.5769230769230769</x:v>
      </x:c>
      <x:c r="M1394" s="19" t="n">
        <x:f>'各站彙總來源'!M1394</x:f>
        <x:v>26</x:v>
      </x:c>
      <x:c r="N1394" s="24" t="n">
        <x:f>F1394+H1394</x:f>
        <x:v>28.346153846153847</x:v>
      </x:c>
      <x:c r="O1394" s="24" t="n">
        <x:f>J1394+L1394</x:f>
        <x:v>6.846153846153846</x:v>
      </x:c>
    </x:row>
    <x:row r="1395">
      <x:c r="A1395" s="22" t="str">
        <x:v>500110041</x:v>
      </x:c>
      <x:c r="B1395" s="17" t="str">
        <x:v>松山區</x:v>
      </x:c>
      <x:c r="C1395" s="17" t="str">
        <x:v>復盛公園</x:v>
      </x:c>
      <x:c r="D1395" s="18" t="n">
        <x:v>26</x:v>
      </x:c>
      <x:c r="E1395" s="18" t="n">
        <x:v>26</x:v>
      </x:c>
      <x:c r="F1395" s="24" t="n">
        <x:f>IFERROR('各站彙總來源'!F1395/'各站彙總來源'!G1395,"")</x:f>
        <x:v>8.73076923076923</x:v>
      </x:c>
      <x:c r="G1395" s="19" t="n">
        <x:f>'各站彙總來源'!G1395</x:f>
        <x:v>26</x:v>
      </x:c>
      <x:c r="H1395" s="24" t="n">
        <x:f>IFERROR('各站彙總來源'!H1395/'各站彙總來源'!I1395,"")</x:f>
        <x:v>0.3076923076923077</x:v>
      </x:c>
      <x:c r="I1395" s="19" t="n">
        <x:f>'各站彙總來源'!I1395</x:f>
        <x:v>26</x:v>
      </x:c>
      <x:c r="J1395" s="24" t="n">
        <x:f>IFERROR('各站彙總來源'!J1395/'各站彙總來源'!K1395,"")</x:f>
        <x:v>1.7307692307692308</x:v>
      </x:c>
      <x:c r="K1395" s="19" t="n">
        <x:f>'各站彙總來源'!K1395</x:f>
        <x:v>26</x:v>
      </x:c>
      <x:c r="L1395" s="24" t="n">
        <x:f>IFERROR('各站彙總來源'!L1395/'各站彙總來源'!M1395,"")</x:f>
        <x:v>0.7307692307692307</x:v>
      </x:c>
      <x:c r="M1395" s="19" t="n">
        <x:f>'各站彙總來源'!M1395</x:f>
        <x:v>26</x:v>
      </x:c>
      <x:c r="N1395" s="24" t="n">
        <x:f>F1395+H1395</x:f>
        <x:v>9.038461538461538</x:v>
      </x:c>
      <x:c r="O1395" s="24" t="n">
        <x:f>J1395+L1395</x:f>
        <x:v>2.4615384615384617</x:v>
      </x:c>
    </x:row>
    <x:row r="1396">
      <x:c r="A1396" s="22" t="str">
        <x:v>500110042</x:v>
      </x:c>
      <x:c r="B1396" s="17" t="str">
        <x:v>松山區</x:v>
      </x:c>
      <x:c r="C1396" s="17" t="str">
        <x:v>中崙福成宮</x:v>
      </x:c>
      <x:c r="D1396" s="18" t="n">
        <x:v>26</x:v>
      </x:c>
      <x:c r="E1396" s="18" t="n">
        <x:v>26</x:v>
      </x:c>
      <x:c r="F1396" s="24" t="n">
        <x:f>IFERROR('各站彙總來源'!F1396/'各站彙總來源'!G1396,"")</x:f>
        <x:v>13.538461538461538</x:v>
      </x:c>
      <x:c r="G1396" s="19" t="n">
        <x:f>'各站彙總來源'!G1396</x:f>
        <x:v>26</x:v>
      </x:c>
      <x:c r="H1396" s="24" t="n">
        <x:f>IFERROR('各站彙總來源'!H1396/'各站彙總來源'!I1396,"")</x:f>
        <x:v>1.3461538461538463</x:v>
      </x:c>
      <x:c r="I1396" s="19" t="n">
        <x:f>'各站彙總來源'!I1396</x:f>
        <x:v>26</x:v>
      </x:c>
      <x:c r="J1396" s="24" t="n">
        <x:f>IFERROR('各站彙總來源'!J1396/'各站彙總來源'!K1396,"")</x:f>
        <x:v>9.73076923076923</x:v>
      </x:c>
      <x:c r="K1396" s="19" t="n">
        <x:f>'各站彙總來源'!K1396</x:f>
        <x:v>26</x:v>
      </x:c>
      <x:c r="L1396" s="24" t="n">
        <x:f>IFERROR('各站彙總來源'!L1396/'各站彙總來源'!M1396,"")</x:f>
        <x:v>2.423076923076923</x:v>
      </x:c>
      <x:c r="M1396" s="19" t="n">
        <x:f>'各站彙總來源'!M1396</x:f>
        <x:v>26</x:v>
      </x:c>
      <x:c r="N1396" s="24" t="n">
        <x:f>F1396+H1396</x:f>
        <x:v>14.884615384615385</x:v>
      </x:c>
      <x:c r="O1396" s="24" t="n">
        <x:f>J1396+L1396</x:f>
        <x:v>12.153846153846153</x:v>
      </x:c>
    </x:row>
    <x:row r="1397">
      <x:c r="A1397" s="22" t="str">
        <x:v>500110043</x:v>
      </x:c>
      <x:c r="B1397" s="17" t="str">
        <x:v>松山區</x:v>
      </x:c>
      <x:c r="C1397" s="17" t="str">
        <x:v>捷運南京復興站(7號出口)</x:v>
      </x:c>
      <x:c r="D1397" s="18" t="n">
        <x:v>26</x:v>
      </x:c>
      <x:c r="E1397" s="18" t="n">
        <x:v>26</x:v>
      </x:c>
      <x:c r="F1397" s="24" t="n">
        <x:f>IFERROR('各站彙總來源'!F1397/'各站彙總來源'!G1397,"")</x:f>
        <x:v>7.1923076923076925</x:v>
      </x:c>
      <x:c r="G1397" s="19" t="n">
        <x:f>'各站彙總來源'!G1397</x:f>
        <x:v>26</x:v>
      </x:c>
      <x:c r="H1397" s="24" t="n">
        <x:f>IFERROR('各站彙總來源'!H1397/'各站彙總來源'!I1397,"")</x:f>
        <x:v>2.0384615384615383</x:v>
      </x:c>
      <x:c r="I1397" s="19" t="n">
        <x:f>'各站彙總來源'!I1397</x:f>
        <x:v>26</x:v>
      </x:c>
      <x:c r="J1397" s="24" t="n">
        <x:f>IFERROR('各站彙總來源'!J1397/'各站彙總來源'!K1397,"")</x:f>
        <x:v>6.461538461538462</x:v>
      </x:c>
      <x:c r="K1397" s="19" t="n">
        <x:f>'各站彙總來源'!K1397</x:f>
        <x:v>26</x:v>
      </x:c>
      <x:c r="L1397" s="24" t="n">
        <x:f>IFERROR('各站彙總來源'!L1397/'各站彙總來源'!M1397,"")</x:f>
        <x:v>1.6923076923076923</x:v>
      </x:c>
      <x:c r="M1397" s="19" t="n">
        <x:f>'各站彙總來源'!M1397</x:f>
        <x:v>26</x:v>
      </x:c>
      <x:c r="N1397" s="24" t="n">
        <x:f>F1397+H1397</x:f>
        <x:v>9.23076923076923</x:v>
      </x:c>
      <x:c r="O1397" s="24" t="n">
        <x:f>J1397+L1397</x:f>
        <x:v>8.153846153846153</x:v>
      </x:c>
    </x:row>
    <x:row r="1398">
      <x:c r="A1398" s="22" t="str">
        <x:v>500110044</x:v>
      </x:c>
      <x:c r="B1398" s="17" t="str">
        <x:v>松山區</x:v>
      </x:c>
      <x:c r="C1398" s="17" t="str">
        <x:v>捷運南京復興站(5號出口)</x:v>
      </x:c>
      <x:c r="D1398" s="18" t="n">
        <x:v>26</x:v>
      </x:c>
      <x:c r="E1398" s="18" t="n">
        <x:v>26</x:v>
      </x:c>
      <x:c r="F1398" s="24" t="n">
        <x:f>IFERROR('各站彙總來源'!F1398/'各站彙總來源'!G1398,"")</x:f>
        <x:v>21</x:v>
      </x:c>
      <x:c r="G1398" s="19" t="n">
        <x:f>'各站彙總來源'!G1398</x:f>
        <x:v>26</x:v>
      </x:c>
      <x:c r="H1398" s="24" t="n">
        <x:f>IFERROR('各站彙總來源'!H1398/'各站彙總來源'!I1398,"")</x:f>
        <x:v>2.8846153846153846</x:v>
      </x:c>
      <x:c r="I1398" s="19" t="n">
        <x:f>'各站彙總來源'!I1398</x:f>
        <x:v>26</x:v>
      </x:c>
      <x:c r="J1398" s="24" t="n">
        <x:f>IFERROR('各站彙總來源'!J1398/'各站彙總來源'!K1398,"")</x:f>
        <x:v>39</x:v>
      </x:c>
      <x:c r="K1398" s="19" t="n">
        <x:f>'各站彙總來源'!K1398</x:f>
        <x:v>26</x:v>
      </x:c>
      <x:c r="L1398" s="24" t="n">
        <x:f>IFERROR('各站彙總來源'!L1398/'各站彙總來源'!M1398,"")</x:f>
        <x:v>3.769230769230769</x:v>
      </x:c>
      <x:c r="M1398" s="19" t="n">
        <x:f>'各站彙總來源'!M1398</x:f>
        <x:v>26</x:v>
      </x:c>
      <x:c r="N1398" s="24" t="n">
        <x:f>F1398+H1398</x:f>
        <x:v>23.884615384615383</x:v>
      </x:c>
      <x:c r="O1398" s="24" t="n">
        <x:f>J1398+L1398</x:f>
        <x:v>42.76923076923077</x:v>
      </x:c>
    </x:row>
    <x:row r="1399">
      <x:c r="A1399" s="22" t="str">
        <x:v>500110045</x:v>
      </x:c>
      <x:c r="B1399" s="17" t="str">
        <x:v>松山區</x:v>
      </x:c>
      <x:c r="C1399" s="17" t="str">
        <x:v>塔悠疏散門</x:v>
      </x:c>
      <x:c r="D1399" s="18" t="n">
        <x:v>26</x:v>
      </x:c>
      <x:c r="E1399" s="18" t="n">
        <x:v>26</x:v>
      </x:c>
      <x:c r="F1399" s="24" t="n">
        <x:f>IFERROR('各站彙總來源'!F1399/'各站彙總來源'!G1399,"")</x:f>
        <x:v>13</x:v>
      </x:c>
      <x:c r="G1399" s="19" t="n">
        <x:f>'各站彙總來源'!G1399</x:f>
        <x:v>26</x:v>
      </x:c>
      <x:c r="H1399" s="24" t="n">
        <x:f>IFERROR('各站彙總來源'!H1399/'各站彙總來源'!I1399,"")</x:f>
        <x:v>3.3461538461538463</x:v>
      </x:c>
      <x:c r="I1399" s="19" t="n">
        <x:f>'各站彙總來源'!I1399</x:f>
        <x:v>26</x:v>
      </x:c>
      <x:c r="J1399" s="24" t="n">
        <x:f>IFERROR('各站彙總來源'!J1399/'各站彙總來源'!K1399,"")</x:f>
        <x:v>7.769230769230769</x:v>
      </x:c>
      <x:c r="K1399" s="19" t="n">
        <x:f>'各站彙總來源'!K1399</x:f>
        <x:v>26</x:v>
      </x:c>
      <x:c r="L1399" s="24" t="n">
        <x:f>IFERROR('各站彙總來源'!L1399/'各站彙總來源'!M1399,"")</x:f>
        <x:v>2.3846153846153846</x:v>
      </x:c>
      <x:c r="M1399" s="19" t="n">
        <x:f>'各站彙總來源'!M1399</x:f>
        <x:v>26</x:v>
      </x:c>
      <x:c r="N1399" s="24" t="n">
        <x:f>F1399+H1399</x:f>
        <x:v>16.346153846153847</x:v>
      </x:c>
      <x:c r="O1399" s="24" t="n">
        <x:f>J1399+L1399</x:f>
        <x:v>10.153846153846153</x:v>
      </x:c>
    </x:row>
    <x:row r="1400">
      <x:c r="A1400" s="22" t="str">
        <x:v>500110046</x:v>
      </x:c>
      <x:c r="B1400" s="17" t="str">
        <x:v>松山區</x:v>
      </x:c>
      <x:c r="C1400" s="17" t="str">
        <x:v>臺北田徑場</x:v>
      </x:c>
      <x:c r="D1400" s="18" t="n">
        <x:v>26</x:v>
      </x:c>
      <x:c r="E1400" s="18" t="n">
        <x:v>26</x:v>
      </x:c>
      <x:c r="F1400" s="24" t="n">
        <x:f>IFERROR('各站彙總來源'!F1400/'各站彙總來源'!G1400,"")</x:f>
        <x:v>11.807692307692308</x:v>
      </x:c>
      <x:c r="G1400" s="19" t="n">
        <x:f>'各站彙總來源'!G1400</x:f>
        <x:v>26</x:v>
      </x:c>
      <x:c r="H1400" s="24" t="n">
        <x:f>IFERROR('各站彙總來源'!H1400/'各站彙總來源'!I1400,"")</x:f>
        <x:v>1.4615384615384615</x:v>
      </x:c>
      <x:c r="I1400" s="19" t="n">
        <x:f>'各站彙總來源'!I1400</x:f>
        <x:v>26</x:v>
      </x:c>
      <x:c r="J1400" s="24" t="n">
        <x:f>IFERROR('各站彙總來源'!J1400/'各站彙總來源'!K1400,"")</x:f>
        <x:v>22.846153846153847</x:v>
      </x:c>
      <x:c r="K1400" s="19" t="n">
        <x:f>'各站彙總來源'!K1400</x:f>
        <x:v>26</x:v>
      </x:c>
      <x:c r="L1400" s="24" t="n">
        <x:f>IFERROR('各站彙總來源'!L1400/'各站彙總來源'!M1400,"")</x:f>
        <x:v>3.1153846153846154</x:v>
      </x:c>
      <x:c r="M1400" s="19" t="n">
        <x:f>'各站彙總來源'!M1400</x:f>
        <x:v>26</x:v>
      </x:c>
      <x:c r="N1400" s="24" t="n">
        <x:f>F1400+H1400</x:f>
        <x:v>13.26923076923077</x:v>
      </x:c>
      <x:c r="O1400" s="24" t="n">
        <x:f>J1400+L1400</x:f>
        <x:v>25.961538461538463</x:v>
      </x:c>
    </x:row>
    <x:row r="1401">
      <x:c r="A1401" s="22" t="str">
        <x:v>500110047</x:v>
      </x:c>
      <x:c r="B1401" s="17" t="str">
        <x:v>松山區</x:v>
      </x:c>
      <x:c r="C1401" s="17" t="str">
        <x:v>捷運小巨蛋站(5號出口)</x:v>
      </x:c>
      <x:c r="D1401" s="18" t="n">
        <x:v>26</x:v>
      </x:c>
      <x:c r="E1401" s="18" t="n">
        <x:v>26</x:v>
      </x:c>
      <x:c r="F1401" s="24" t="n">
        <x:f>IFERROR('各站彙總來源'!F1401/'各站彙總來源'!G1401,"")</x:f>
        <x:v>7.961538461538462</x:v>
      </x:c>
      <x:c r="G1401" s="19" t="n">
        <x:f>'各站彙總來源'!G1401</x:f>
        <x:v>26</x:v>
      </x:c>
      <x:c r="H1401" s="24" t="n">
        <x:f>IFERROR('各站彙總來源'!H1401/'各站彙總來源'!I1401,"")</x:f>
        <x:v>1.0769230769230769</x:v>
      </x:c>
      <x:c r="I1401" s="19" t="n">
        <x:f>'各站彙總來源'!I1401</x:f>
        <x:v>26</x:v>
      </x:c>
      <x:c r="J1401" s="24" t="n">
        <x:f>IFERROR('各站彙總來源'!J1401/'各站彙總來源'!K1401,"")</x:f>
        <x:v>5.538461538461538</x:v>
      </x:c>
      <x:c r="K1401" s="19" t="n">
        <x:f>'各站彙總來源'!K1401</x:f>
        <x:v>26</x:v>
      </x:c>
      <x:c r="L1401" s="24" t="n">
        <x:f>IFERROR('各站彙總來源'!L1401/'各站彙總來源'!M1401,"")</x:f>
        <x:v>1.9615384615384615</x:v>
      </x:c>
      <x:c r="M1401" s="19" t="n">
        <x:f>'各站彙總來源'!M1401</x:f>
        <x:v>26</x:v>
      </x:c>
      <x:c r="N1401" s="24" t="n">
        <x:f>F1401+H1401</x:f>
        <x:v>9.038461538461538</x:v>
      </x:c>
      <x:c r="O1401" s="24" t="n">
        <x:f>J1401+L1401</x:f>
        <x:v>7.5</x:v>
      </x:c>
    </x:row>
    <x:row r="1402">
      <x:c r="A1402" s="22" t="str">
        <x:v>500110048</x:v>
      </x:c>
      <x:c r="B1402" s="17" t="str">
        <x:v>松山區</x:v>
      </x:c>
      <x:c r="C1402" s="17" t="str">
        <x:v>敦化長春路口</x:v>
      </x:c>
      <x:c r="D1402" s="18" t="n">
        <x:v>26</x:v>
      </x:c>
      <x:c r="E1402" s="18" t="n">
        <x:v>26</x:v>
      </x:c>
      <x:c r="F1402" s="24" t="n">
        <x:f>IFERROR('各站彙總來源'!F1402/'各站彙總來源'!G1402,"")</x:f>
        <x:v>5.3076923076923075</x:v>
      </x:c>
      <x:c r="G1402" s="19" t="n">
        <x:f>'各站彙總來源'!G1402</x:f>
        <x:v>26</x:v>
      </x:c>
      <x:c r="H1402" s="24" t="n">
        <x:f>IFERROR('各站彙總來源'!H1402/'各站彙總來源'!I1402,"")</x:f>
        <x:v>0.8846153846153846</x:v>
      </x:c>
      <x:c r="I1402" s="19" t="n">
        <x:f>'各站彙總來源'!I1402</x:f>
        <x:v>26</x:v>
      </x:c>
      <x:c r="J1402" s="24" t="n">
        <x:f>IFERROR('各站彙總來源'!J1402/'各站彙總來源'!K1402,"")</x:f>
        <x:v>45.76923076923077</x:v>
      </x:c>
      <x:c r="K1402" s="19" t="n">
        <x:f>'各站彙總來源'!K1402</x:f>
        <x:v>26</x:v>
      </x:c>
      <x:c r="L1402" s="24" t="n">
        <x:f>IFERROR('各站彙總來源'!L1402/'各站彙總來源'!M1402,"")</x:f>
        <x:v>3.576923076923077</x:v>
      </x:c>
      <x:c r="M1402" s="19" t="n">
        <x:f>'各站彙總來源'!M1402</x:f>
        <x:v>26</x:v>
      </x:c>
      <x:c r="N1402" s="24" t="n">
        <x:f>F1402+H1402</x:f>
        <x:v>6.192307692307692</x:v>
      </x:c>
      <x:c r="O1402" s="24" t="n">
        <x:f>J1402+L1402</x:f>
        <x:v>49.34615384615385</x:v>
      </x:c>
    </x:row>
    <x:row r="1403">
      <x:c r="A1403" s="22" t="str">
        <x:v>500110049</x:v>
      </x:c>
      <x:c r="B1403" s="17" t="str">
        <x:v>松山區</x:v>
      </x:c>
      <x:c r="C1403" s="17" t="str">
        <x:v>饒河疏散門(基四號疏散門)</x:v>
      </x:c>
      <x:c r="D1403" s="18" t="n">
        <x:v>26</x:v>
      </x:c>
      <x:c r="E1403" s="18" t="n">
        <x:v>26</x:v>
      </x:c>
      <x:c r="F1403" s="24" t="n">
        <x:f>IFERROR('各站彙總來源'!F1403/'各站彙總來源'!G1403,"")</x:f>
        <x:v>9.653846153846153</x:v>
      </x:c>
      <x:c r="G1403" s="19" t="n">
        <x:f>'各站彙總來源'!G1403</x:f>
        <x:v>26</x:v>
      </x:c>
      <x:c r="H1403" s="24" t="n">
        <x:f>IFERROR('各站彙總來源'!H1403/'各站彙總來源'!I1403,"")</x:f>
        <x:v>4.576923076923077</x:v>
      </x:c>
      <x:c r="I1403" s="19" t="n">
        <x:f>'各站彙總來源'!I1403</x:f>
        <x:v>26</x:v>
      </x:c>
      <x:c r="J1403" s="24" t="n">
        <x:f>IFERROR('各站彙總來源'!J1403/'各站彙總來源'!K1403,"")</x:f>
        <x:v>6.230769230769231</x:v>
      </x:c>
      <x:c r="K1403" s="19" t="n">
        <x:f>'各站彙總來源'!K1403</x:f>
        <x:v>26</x:v>
      </x:c>
      <x:c r="L1403" s="24" t="n">
        <x:f>IFERROR('各站彙總來源'!L1403/'各站彙總來源'!M1403,"")</x:f>
        <x:v>2.4615384615384617</x:v>
      </x:c>
      <x:c r="M1403" s="19" t="n">
        <x:f>'各站彙總來源'!M1403</x:f>
        <x:v>26</x:v>
      </x:c>
      <x:c r="N1403" s="24" t="n">
        <x:f>F1403+H1403</x:f>
        <x:v>14.23076923076923</x:v>
      </x:c>
      <x:c r="O1403" s="24" t="n">
        <x:f>J1403+L1403</x:f>
        <x:v>8.692307692307693</x:v>
      </x:c>
    </x:row>
    <x:row r="1404">
      <x:c r="A1404" s="22" t="str">
        <x:v>500110050</x:v>
      </x:c>
      <x:c r="B1404" s="17" t="str">
        <x:v>松山區</x:v>
      </x:c>
      <x:c r="C1404" s="17" t="str">
        <x:v>捷運松山站(2號出口)</x:v>
      </x:c>
      <x:c r="D1404" s="18" t="n">
        <x:v>26</x:v>
      </x:c>
      <x:c r="E1404" s="18" t="n">
        <x:v>26</x:v>
      </x:c>
      <x:c r="F1404" s="24" t="n">
        <x:f>IFERROR('各站彙總來源'!F1404/'各站彙總來源'!G1404,"")</x:f>
        <x:v>5.846153846153846</x:v>
      </x:c>
      <x:c r="G1404" s="19" t="n">
        <x:f>'各站彙總來源'!G1404</x:f>
        <x:v>26</x:v>
      </x:c>
      <x:c r="H1404" s="24" t="n">
        <x:f>IFERROR('各站彙總來源'!H1404/'各站彙總來源'!I1404,"")</x:f>
        <x:v>1.0769230769230769</x:v>
      </x:c>
      <x:c r="I1404" s="19" t="n">
        <x:f>'各站彙總來源'!I1404</x:f>
        <x:v>26</x:v>
      </x:c>
      <x:c r="J1404" s="24" t="n">
        <x:f>IFERROR('各站彙總來源'!J1404/'各站彙總來源'!K1404,"")</x:f>
        <x:v>5</x:v>
      </x:c>
      <x:c r="K1404" s="19" t="n">
        <x:f>'各站彙總來源'!K1404</x:f>
        <x:v>26</x:v>
      </x:c>
      <x:c r="L1404" s="24" t="n">
        <x:f>IFERROR('各站彙總來源'!L1404/'各站彙總來源'!M1404,"")</x:f>
        <x:v>0.8076923076923077</x:v>
      </x:c>
      <x:c r="M1404" s="19" t="n">
        <x:f>'各站彙總來源'!M1404</x:f>
        <x:v>26</x:v>
      </x:c>
      <x:c r="N1404" s="24" t="n">
        <x:f>F1404+H1404</x:f>
        <x:v>6.9230769230769225</x:v>
      </x:c>
      <x:c r="O1404" s="24" t="n">
        <x:f>J1404+L1404</x:f>
        <x:v>5.8076923076923075</x:v>
      </x:c>
    </x:row>
    <x:row r="1405">
      <x:c r="A1405" s="22" t="str">
        <x:v>500110051</x:v>
      </x:c>
      <x:c r="B1405" s="17" t="str">
        <x:v>松山區</x:v>
      </x:c>
      <x:c r="C1405" s="17" t="str">
        <x:v>民權東路三段106巷口</x:v>
      </x:c>
      <x:c r="D1405" s="18" t="n">
        <x:v>26</x:v>
      </x:c>
      <x:c r="E1405" s="18" t="n">
        <x:v>26</x:v>
      </x:c>
      <x:c r="F1405" s="24" t="n">
        <x:f>IFERROR('各站彙總來源'!F1405/'各站彙總來源'!G1405,"")</x:f>
        <x:v>6.1923076923076925</x:v>
      </x:c>
      <x:c r="G1405" s="19" t="n">
        <x:f>'各站彙總來源'!G1405</x:f>
        <x:v>26</x:v>
      </x:c>
      <x:c r="H1405" s="24" t="n">
        <x:f>IFERROR('各站彙總來源'!H1405/'各站彙總來源'!I1405,"")</x:f>
        <x:v>1.0769230769230769</x:v>
      </x:c>
      <x:c r="I1405" s="19" t="n">
        <x:f>'各站彙總來源'!I1405</x:f>
        <x:v>26</x:v>
      </x:c>
      <x:c r="J1405" s="24" t="n">
        <x:f>IFERROR('各站彙總來源'!J1405/'各站彙總來源'!K1405,"")</x:f>
        <x:v>14.23076923076923</x:v>
      </x:c>
      <x:c r="K1405" s="19" t="n">
        <x:f>'各站彙總來源'!K1405</x:f>
        <x:v>26</x:v>
      </x:c>
      <x:c r="L1405" s="24" t="n">
        <x:f>IFERROR('各站彙總來源'!L1405/'各站彙總來源'!M1405,"")</x:f>
        <x:v>1.9615384615384615</x:v>
      </x:c>
      <x:c r="M1405" s="19" t="n">
        <x:f>'各站彙總來源'!M1405</x:f>
        <x:v>26</x:v>
      </x:c>
      <x:c r="N1405" s="24" t="n">
        <x:f>F1405+H1405</x:f>
        <x:v>7.269230769230769</x:v>
      </x:c>
      <x:c r="O1405" s="24" t="n">
        <x:f>J1405+L1405</x:f>
        <x:v>16.19230769230769</x:v>
      </x:c>
    </x:row>
    <x:row r="1406">
      <x:c r="A1406" s="22" t="str">
        <x:v>500110052</x:v>
      </x:c>
      <x:c r="B1406" s="17" t="str">
        <x:v>松山區</x:v>
      </x:c>
      <x:c r="C1406" s="17" t="str">
        <x:v>南京東路五段59巷口</x:v>
      </x:c>
      <x:c r="D1406" s="18" t="n">
        <x:v>26</x:v>
      </x:c>
      <x:c r="E1406" s="18" t="n">
        <x:v>26</x:v>
      </x:c>
      <x:c r="F1406" s="24" t="n">
        <x:f>IFERROR('各站彙總來源'!F1406/'各站彙總來源'!G1406,"")</x:f>
        <x:v>4.423076923076923</x:v>
      </x:c>
      <x:c r="G1406" s="19" t="n">
        <x:f>'各站彙總來源'!G1406</x:f>
        <x:v>26</x:v>
      </x:c>
      <x:c r="H1406" s="24" t="n">
        <x:f>IFERROR('各站彙總來源'!H1406/'各站彙總來源'!I1406,"")</x:f>
        <x:v>1.3076923076923077</x:v>
      </x:c>
      <x:c r="I1406" s="19" t="n">
        <x:f>'各站彙總來源'!I1406</x:f>
        <x:v>26</x:v>
      </x:c>
      <x:c r="J1406" s="24" t="n">
        <x:f>IFERROR('各站彙總來源'!J1406/'各站彙總來源'!K1406,"")</x:f>
        <x:v>5.6923076923076925</x:v>
      </x:c>
      <x:c r="K1406" s="19" t="n">
        <x:f>'各站彙總來源'!K1406</x:f>
        <x:v>26</x:v>
      </x:c>
      <x:c r="L1406" s="24" t="n">
        <x:f>IFERROR('各站彙總來源'!L1406/'各站彙總來源'!M1406,"")</x:f>
        <x:v>1.4615384615384615</x:v>
      </x:c>
      <x:c r="M1406" s="19" t="n">
        <x:f>'各站彙總來源'!M1406</x:f>
        <x:v>26</x:v>
      </x:c>
      <x:c r="N1406" s="24" t="n">
        <x:f>F1406+H1406</x:f>
        <x:v>5.730769230769231</x:v>
      </x:c>
      <x:c r="O1406" s="24" t="n">
        <x:f>J1406+L1406</x:f>
        <x:v>7.153846153846154</x:v>
      </x:c>
    </x:row>
    <x:row r="1407">
      <x:c r="A1407" s="22" t="str">
        <x:v>500110053</x:v>
      </x:c>
      <x:c r="B1407" s="17" t="str">
        <x:v>松山區</x:v>
      </x:c>
      <x:c r="C1407" s="17" t="str">
        <x:v>三民公園(塔悠路)</x:v>
      </x:c>
      <x:c r="D1407" s="18" t="n">
        <x:v>26</x:v>
      </x:c>
      <x:c r="E1407" s="18" t="n">
        <x:v>26</x:v>
      </x:c>
      <x:c r="F1407" s="24" t="n">
        <x:f>IFERROR('各站彙總來源'!F1407/'各站彙總來源'!G1407,"")</x:f>
        <x:v>7.269230769230769</x:v>
      </x:c>
      <x:c r="G1407" s="19" t="n">
        <x:f>'各站彙總來源'!G1407</x:f>
        <x:v>26</x:v>
      </x:c>
      <x:c r="H1407" s="24" t="n">
        <x:f>IFERROR('各站彙總來源'!H1407/'各站彙總來源'!I1407,"")</x:f>
        <x:v>1.6153846153846154</x:v>
      </x:c>
      <x:c r="I1407" s="19" t="n">
        <x:f>'各站彙總來源'!I1407</x:f>
        <x:v>26</x:v>
      </x:c>
      <x:c r="J1407" s="24" t="n">
        <x:f>IFERROR('各站彙總來源'!J1407/'各站彙總來源'!K1407,"")</x:f>
        <x:v>5.730769230769231</x:v>
      </x:c>
      <x:c r="K1407" s="19" t="n">
        <x:f>'各站彙總來源'!K1407</x:f>
        <x:v>26</x:v>
      </x:c>
      <x:c r="L1407" s="24" t="n">
        <x:f>IFERROR('各站彙總來源'!L1407/'各站彙總來源'!M1407,"")</x:f>
        <x:v>1.3461538461538463</x:v>
      </x:c>
      <x:c r="M1407" s="19" t="n">
        <x:f>'各站彙總來源'!M1407</x:f>
        <x:v>26</x:v>
      </x:c>
      <x:c r="N1407" s="24" t="n">
        <x:f>F1407+H1407</x:f>
        <x:v>8.884615384615385</x:v>
      </x:c>
      <x:c r="O1407" s="24" t="n">
        <x:f>J1407+L1407</x:f>
        <x:v>7.076923076923077</x:v>
      </x:c>
    </x:row>
    <x:row r="1408">
      <x:c r="A1408" s="22" t="str">
        <x:v>500110054</x:v>
      </x:c>
      <x:c r="B1408" s="17" t="str">
        <x:v>松山區</x:v>
      </x:c>
      <x:c r="C1408" s="17" t="str">
        <x:v>寶清公園</x:v>
      </x:c>
      <x:c r="D1408" s="18" t="n">
        <x:v>26</x:v>
      </x:c>
      <x:c r="E1408" s="18" t="n">
        <x:v>26</x:v>
      </x:c>
      <x:c r="F1408" s="24" t="n">
        <x:f>IFERROR('各站彙總來源'!F1408/'各站彙總來源'!G1408,"")</x:f>
        <x:v>27.73076923076923</x:v>
      </x:c>
      <x:c r="G1408" s="19" t="n">
        <x:f>'各站彙總來源'!G1408</x:f>
        <x:v>26</x:v>
      </x:c>
      <x:c r="H1408" s="24" t="n">
        <x:f>IFERROR('各站彙總來源'!H1408/'各站彙總來源'!I1408,"")</x:f>
        <x:v>2.423076923076923</x:v>
      </x:c>
      <x:c r="I1408" s="19" t="n">
        <x:f>'各站彙總來源'!I1408</x:f>
        <x:v>26</x:v>
      </x:c>
      <x:c r="J1408" s="24" t="n">
        <x:f>IFERROR('各站彙總來源'!J1408/'各站彙總來源'!K1408,"")</x:f>
        <x:v>4.153846153846154</x:v>
      </x:c>
      <x:c r="K1408" s="19" t="n">
        <x:f>'各站彙總來源'!K1408</x:f>
        <x:v>26</x:v>
      </x:c>
      <x:c r="L1408" s="24" t="n">
        <x:f>IFERROR('各站彙總來源'!L1408/'各站彙總來源'!M1408,"")</x:f>
        <x:v>0.6153846153846154</x:v>
      </x:c>
      <x:c r="M1408" s="19" t="n">
        <x:f>'各站彙總來源'!M1408</x:f>
        <x:v>26</x:v>
      </x:c>
      <x:c r="N1408" s="24" t="n">
        <x:f>F1408+H1408</x:f>
        <x:v>30.153846153846153</x:v>
      </x:c>
      <x:c r="O1408" s="24" t="n">
        <x:f>J1408+L1408</x:f>
        <x:v>4.76923076923077</x:v>
      </x:c>
    </x:row>
    <x:row r="1409">
      <x:c r="A1409" s="22" t="str">
        <x:v>500110055</x:v>
      </x:c>
      <x:c r="B1409" s="17" t="str">
        <x:v>松山區</x:v>
      </x:c>
      <x:c r="C1409" s="17" t="str">
        <x:v>西松公園</x:v>
      </x:c>
      <x:c r="D1409" s="18" t="n">
        <x:v>26</x:v>
      </x:c>
      <x:c r="E1409" s="18" t="n">
        <x:v>26</x:v>
      </x:c>
      <x:c r="F1409" s="24" t="n">
        <x:f>IFERROR('各站彙總來源'!F1409/'各站彙總來源'!G1409,"")</x:f>
        <x:v>4.153846153846154</x:v>
      </x:c>
      <x:c r="G1409" s="19" t="n">
        <x:f>'各站彙總來源'!G1409</x:f>
        <x:v>26</x:v>
      </x:c>
      <x:c r="H1409" s="24" t="n">
        <x:f>IFERROR('各站彙總來源'!H1409/'各站彙總來源'!I1409,"")</x:f>
        <x:v>1.1153846153846154</x:v>
      </x:c>
      <x:c r="I1409" s="19" t="n">
        <x:f>'各站彙總來源'!I1409</x:f>
        <x:v>26</x:v>
      </x:c>
      <x:c r="J1409" s="24" t="n">
        <x:f>IFERROR('各站彙總來源'!J1409/'各站彙總來源'!K1409,"")</x:f>
        <x:v>2.8846153846153846</x:v>
      </x:c>
      <x:c r="K1409" s="19" t="n">
        <x:f>'各站彙總來源'!K1409</x:f>
        <x:v>26</x:v>
      </x:c>
      <x:c r="L1409" s="24" t="n">
        <x:f>IFERROR('各站彙總來源'!L1409/'各站彙總來源'!M1409,"")</x:f>
        <x:v>0.38461538461538464</x:v>
      </x:c>
      <x:c r="M1409" s="19" t="n">
        <x:f>'各站彙總來源'!M1409</x:f>
        <x:v>26</x:v>
      </x:c>
      <x:c r="N1409" s="24" t="n">
        <x:f>F1409+H1409</x:f>
        <x:v>5.26923076923077</x:v>
      </x:c>
      <x:c r="O1409" s="24" t="n">
        <x:f>J1409+L1409</x:f>
        <x:v>3.269230769230769</x:v>
      </x:c>
    </x:row>
    <x:row r="1410">
      <x:c r="A1410" s="22" t="str">
        <x:v>500110056</x:v>
      </x:c>
      <x:c r="B1410" s="17" t="str">
        <x:v>松山區</x:v>
      </x:c>
      <x:c r="C1410" s="17" t="str">
        <x:v>長壽公園</x:v>
      </x:c>
      <x:c r="D1410" s="18" t="n">
        <x:v>26</x:v>
      </x:c>
      <x:c r="E1410" s="18" t="n">
        <x:v>26</x:v>
      </x:c>
      <x:c r="F1410" s="24" t="n">
        <x:f>IFERROR('各站彙總來源'!F1410/'各站彙總來源'!G1410,"")</x:f>
        <x:v>7</x:v>
      </x:c>
      <x:c r="G1410" s="19" t="n">
        <x:f>'各站彙總來源'!G1410</x:f>
        <x:v>26</x:v>
      </x:c>
      <x:c r="H1410" s="24" t="n">
        <x:f>IFERROR('各站彙總來源'!H1410/'各站彙總來源'!I1410,"")</x:f>
        <x:v>1.7692307692307692</x:v>
      </x:c>
      <x:c r="I1410" s="19" t="n">
        <x:f>'各站彙總來源'!I1410</x:f>
        <x:v>26</x:v>
      </x:c>
      <x:c r="J1410" s="24" t="n">
        <x:f>IFERROR('各站彙總來源'!J1410/'各站彙總來源'!K1410,"")</x:f>
        <x:v>4.5</x:v>
      </x:c>
      <x:c r="K1410" s="19" t="n">
        <x:f>'各站彙總來源'!K1410</x:f>
        <x:v>26</x:v>
      </x:c>
      <x:c r="L1410" s="24" t="n">
        <x:f>IFERROR('各站彙總來源'!L1410/'各站彙總來源'!M1410,"")</x:f>
        <x:v>1.7307692307692308</x:v>
      </x:c>
      <x:c r="M1410" s="19" t="n">
        <x:f>'各站彙總來源'!M1410</x:f>
        <x:v>26</x:v>
      </x:c>
      <x:c r="N1410" s="24" t="n">
        <x:f>F1410+H1410</x:f>
        <x:v>8.76923076923077</x:v>
      </x:c>
      <x:c r="O1410" s="24" t="n">
        <x:f>J1410+L1410</x:f>
        <x:v>6.230769230769231</x:v>
      </x:c>
    </x:row>
    <x:row r="1411">
      <x:c r="A1411" s="22" t="str">
        <x:v>500110057</x:v>
      </x:c>
      <x:c r="B1411" s="17" t="str">
        <x:v>松山區</x:v>
      </x:c>
      <x:c r="C1411" s="17" t="str">
        <x:v>復源公園</x:v>
      </x:c>
      <x:c r="D1411" s="18" t="n">
        <x:v>26</x:v>
      </x:c>
      <x:c r="E1411" s="18" t="n">
        <x:v>26</x:v>
      </x:c>
      <x:c r="F1411" s="24" t="n">
        <x:f>IFERROR('各站彙總來源'!F1411/'各站彙總來源'!G1411,"")</x:f>
        <x:v>11.73076923076923</x:v>
      </x:c>
      <x:c r="G1411" s="19" t="n">
        <x:f>'各站彙總來源'!G1411</x:f>
        <x:v>26</x:v>
      </x:c>
      <x:c r="H1411" s="24" t="n">
        <x:f>IFERROR('各站彙總來源'!H1411/'各站彙總來源'!I1411,"")</x:f>
        <x:v>2.1923076923076925</x:v>
      </x:c>
      <x:c r="I1411" s="19" t="n">
        <x:f>'各站彙總來源'!I1411</x:f>
        <x:v>26</x:v>
      </x:c>
      <x:c r="J1411" s="24" t="n">
        <x:f>IFERROR('各站彙總來源'!J1411/'各站彙總來源'!K1411,"")</x:f>
        <x:v>5.423076923076923</x:v>
      </x:c>
      <x:c r="K1411" s="19" t="n">
        <x:f>'各站彙總來源'!K1411</x:f>
        <x:v>26</x:v>
      </x:c>
      <x:c r="L1411" s="24" t="n">
        <x:f>IFERROR('各站彙總來源'!L1411/'各站彙總來源'!M1411,"")</x:f>
        <x:v>1.1923076923076923</x:v>
      </x:c>
      <x:c r="M1411" s="19" t="n">
        <x:f>'各站彙總來源'!M1411</x:f>
        <x:v>26</x:v>
      </x:c>
      <x:c r="N1411" s="24" t="n">
        <x:f>F1411+H1411</x:f>
        <x:v>13.923076923076923</x:v>
      </x:c>
      <x:c r="O1411" s="24" t="n">
        <x:f>J1411+L1411</x:f>
        <x:v>6.615384615384616</x:v>
      </x:c>
    </x:row>
    <x:row r="1412">
      <x:c r="A1412" s="22" t="str">
        <x:v>500110058</x:v>
      </x:c>
      <x:c r="B1412" s="17" t="str">
        <x:v>松山區</x:v>
      </x:c>
      <x:c r="C1412" s="17" t="str">
        <x:v>南京東路四段179巷口</x:v>
      </x:c>
      <x:c r="D1412" s="18" t="n">
        <x:v>26</x:v>
      </x:c>
      <x:c r="E1412" s="18" t="n">
        <x:v>26</x:v>
      </x:c>
      <x:c r="F1412" s="24" t="n">
        <x:f>IFERROR('各站彙總來源'!F1412/'各站彙總來源'!G1412,"")</x:f>
        <x:v>4.384615384615385</x:v>
      </x:c>
      <x:c r="G1412" s="19" t="n">
        <x:f>'各站彙總來源'!G1412</x:f>
        <x:v>26</x:v>
      </x:c>
      <x:c r="H1412" s="24" t="n">
        <x:f>IFERROR('各站彙總來源'!H1412/'各站彙總來源'!I1412,"")</x:f>
        <x:v>1.0769230769230769</x:v>
      </x:c>
      <x:c r="I1412" s="19" t="n">
        <x:f>'各站彙總來源'!I1412</x:f>
        <x:v>26</x:v>
      </x:c>
      <x:c r="J1412" s="24" t="n">
        <x:f>IFERROR('各站彙總來源'!J1412/'各站彙總來源'!K1412,"")</x:f>
        <x:v>6.461538461538462</x:v>
      </x:c>
      <x:c r="K1412" s="19" t="n">
        <x:f>'各站彙總來源'!K1412</x:f>
        <x:v>26</x:v>
      </x:c>
      <x:c r="L1412" s="24" t="n">
        <x:f>IFERROR('各站彙總來源'!L1412/'各站彙總來源'!M1412,"")</x:f>
        <x:v>1.5</x:v>
      </x:c>
      <x:c r="M1412" s="19" t="n">
        <x:f>'各站彙總來源'!M1412</x:f>
        <x:v>26</x:v>
      </x:c>
      <x:c r="N1412" s="24" t="n">
        <x:f>F1412+H1412</x:f>
        <x:v>5.461538461538462</x:v>
      </x:c>
      <x:c r="O1412" s="24" t="n">
        <x:f>J1412+L1412</x:f>
        <x:v>7.961538461538462</x:v>
      </x:c>
    </x:row>
    <x:row r="1413">
      <x:c r="A1413" s="22" t="str">
        <x:v>500110059</x:v>
      </x:c>
      <x:c r="B1413" s="17" t="str">
        <x:v>松山區</x:v>
      </x:c>
      <x:c r="C1413" s="17" t="str">
        <x:v>臺北田徑場(北寧路側)</x:v>
      </x:c>
      <x:c r="D1413" s="18" t="n">
        <x:v>26</x:v>
      </x:c>
      <x:c r="E1413" s="18" t="n">
        <x:v>26</x:v>
      </x:c>
      <x:c r="F1413" s="24" t="n">
        <x:f>IFERROR('各站彙總來源'!F1413/'各站彙總來源'!G1413,"")</x:f>
        <x:v>12.923076923076923</x:v>
      </x:c>
      <x:c r="G1413" s="19" t="n">
        <x:f>'各站彙總來源'!G1413</x:f>
        <x:v>26</x:v>
      </x:c>
      <x:c r="H1413" s="24" t="n">
        <x:f>IFERROR('各站彙總來源'!H1413/'各站彙總來源'!I1413,"")</x:f>
        <x:v>1.9615384615384615</x:v>
      </x:c>
      <x:c r="I1413" s="19" t="n">
        <x:f>'各站彙總來源'!I1413</x:f>
        <x:v>26</x:v>
      </x:c>
      <x:c r="J1413" s="24" t="n">
        <x:f>IFERROR('各站彙總來源'!J1413/'各站彙總來源'!K1413,"")</x:f>
        <x:v>12.23076923076923</x:v>
      </x:c>
      <x:c r="K1413" s="19" t="n">
        <x:f>'各站彙總來源'!K1413</x:f>
        <x:v>26</x:v>
      </x:c>
      <x:c r="L1413" s="24" t="n">
        <x:f>IFERROR('各站彙總來源'!L1413/'各站彙總來源'!M1413,"")</x:f>
        <x:v>1.4230769230769231</x:v>
      </x:c>
      <x:c r="M1413" s="19" t="n">
        <x:f>'各站彙總來源'!M1413</x:f>
        <x:v>26</x:v>
      </x:c>
      <x:c r="N1413" s="24" t="n">
        <x:f>F1413+H1413</x:f>
        <x:v>14.884615384615385</x:v>
      </x:c>
      <x:c r="O1413" s="24" t="n">
        <x:f>J1413+L1413</x:f>
        <x:v>13.653846153846153</x:v>
      </x:c>
    </x:row>
    <x:row r="1414">
      <x:c r="A1414" s="22" t="str">
        <x:v>500110060</x:v>
      </x:c>
      <x:c r="B1414" s="17" t="str">
        <x:v>松山區</x:v>
      </x:c>
      <x:c r="C1414" s="17" t="str">
        <x:v>西松高中(健康路325巷)</x:v>
      </x:c>
      <x:c r="D1414" s="18" t="n">
        <x:v>26</x:v>
      </x:c>
      <x:c r="E1414" s="18" t="n">
        <x:v>26</x:v>
      </x:c>
      <x:c r="F1414" s="24" t="n">
        <x:f>IFERROR('各站彙總來源'!F1414/'各站彙總來源'!G1414,"")</x:f>
        <x:v>21.346153846153847</x:v>
      </x:c>
      <x:c r="G1414" s="19" t="n">
        <x:f>'各站彙總來源'!G1414</x:f>
        <x:v>26</x:v>
      </x:c>
      <x:c r="H1414" s="24" t="n">
        <x:f>IFERROR('各站彙總來源'!H1414/'各站彙總來源'!I1414,"")</x:f>
        <x:v>2.576923076923077</x:v>
      </x:c>
      <x:c r="I1414" s="19" t="n">
        <x:f>'各站彙總來源'!I1414</x:f>
        <x:v>26</x:v>
      </x:c>
      <x:c r="J1414" s="24" t="n">
        <x:f>IFERROR('各站彙總來源'!J1414/'各站彙總來源'!K1414,"")</x:f>
        <x:v>6</x:v>
      </x:c>
      <x:c r="K1414" s="19" t="n">
        <x:f>'各站彙總來源'!K1414</x:f>
        <x:v>26</x:v>
      </x:c>
      <x:c r="L1414" s="24" t="n">
        <x:f>IFERROR('各站彙總來源'!L1414/'各站彙總來源'!M1414,"")</x:f>
        <x:v>0.8846153846153846</x:v>
      </x:c>
      <x:c r="M1414" s="19" t="n">
        <x:f>'各站彙總來源'!M1414</x:f>
        <x:v>26</x:v>
      </x:c>
      <x:c r="N1414" s="24" t="n">
        <x:f>F1414+H1414</x:f>
        <x:v>23.923076923076923</x:v>
      </x:c>
      <x:c r="O1414" s="24" t="n">
        <x:f>J1414+L1414</x:f>
        <x:v>6.884615384615385</x:v>
      </x:c>
    </x:row>
    <x:row r="1415">
      <x:c r="A1415" s="22" t="str">
        <x:v>500110061</x:v>
      </x:c>
      <x:c r="B1415" s="17" t="str">
        <x:v>松山區</x:v>
      </x:c>
      <x:c r="C1415" s="17" t="str">
        <x:v>南京東興路口</x:v>
      </x:c>
      <x:c r="D1415" s="18" t="n">
        <x:v>26</x:v>
      </x:c>
      <x:c r="E1415" s="18" t="n">
        <x:v>26</x:v>
      </x:c>
      <x:c r="F1415" s="24" t="n">
        <x:f>IFERROR('各站彙總來源'!F1415/'各站彙總來源'!G1415,"")</x:f>
        <x:v>12.692307692307692</x:v>
      </x:c>
      <x:c r="G1415" s="19" t="n">
        <x:f>'各站彙總來源'!G1415</x:f>
        <x:v>26</x:v>
      </x:c>
      <x:c r="H1415" s="24" t="n">
        <x:f>IFERROR('各站彙總來源'!H1415/'各站彙總來源'!I1415,"")</x:f>
        <x:v>1.6153846153846154</x:v>
      </x:c>
      <x:c r="I1415" s="19" t="n">
        <x:f>'各站彙總來源'!I1415</x:f>
        <x:v>26</x:v>
      </x:c>
      <x:c r="J1415" s="24" t="n">
        <x:f>IFERROR('各站彙總來源'!J1415/'各站彙總來源'!K1415,"")</x:f>
        <x:v>3.3076923076923075</x:v>
      </x:c>
      <x:c r="K1415" s="19" t="n">
        <x:f>'各站彙總來源'!K1415</x:f>
        <x:v>26</x:v>
      </x:c>
      <x:c r="L1415" s="24" t="n">
        <x:f>IFERROR('各站彙總來源'!L1415/'各站彙總來源'!M1415,"")</x:f>
        <x:v>1</x:v>
      </x:c>
      <x:c r="M1415" s="19" t="n">
        <x:f>'各站彙總來源'!M1415</x:f>
        <x:v>26</x:v>
      </x:c>
      <x:c r="N1415" s="24" t="n">
        <x:f>F1415+H1415</x:f>
        <x:v>14.307692307692307</x:v>
      </x:c>
      <x:c r="O1415" s="24" t="n">
        <x:f>J1415+L1415</x:f>
        <x:v>4.3076923076923075</x:v>
      </x:c>
    </x:row>
    <x:row r="1416">
      <x:c r="A1416" s="22" t="str">
        <x:v>500110062</x:v>
      </x:c>
      <x:c r="B1416" s="17" t="str">
        <x:v>松山區</x:v>
      </x:c>
      <x:c r="C1416" s="17" t="str">
        <x:v>捷運松山站(3號出口)</x:v>
      </x:c>
      <x:c r="D1416" s="18" t="n">
        <x:v>26</x:v>
      </x:c>
      <x:c r="E1416" s="18" t="n">
        <x:v>26</x:v>
      </x:c>
      <x:c r="F1416" s="24" t="n">
        <x:f>IFERROR('各站彙總來源'!F1416/'各站彙總來源'!G1416,"")</x:f>
        <x:v>7.653846153846154</x:v>
      </x:c>
      <x:c r="G1416" s="19" t="n">
        <x:f>'各站彙總來源'!G1416</x:f>
        <x:v>26</x:v>
      </x:c>
      <x:c r="H1416" s="24" t="n">
        <x:f>IFERROR('各站彙總來源'!H1416/'各站彙總來源'!I1416,"")</x:f>
        <x:v>1.3076923076923077</x:v>
      </x:c>
      <x:c r="I1416" s="19" t="n">
        <x:f>'各站彙總來源'!I1416</x:f>
        <x:v>26</x:v>
      </x:c>
      <x:c r="J1416" s="24" t="n">
        <x:f>IFERROR('各站彙總來源'!J1416/'各站彙總來源'!K1416,"")</x:f>
        <x:v>9.307692307692308</x:v>
      </x:c>
      <x:c r="K1416" s="19" t="n">
        <x:f>'各站彙總來源'!K1416</x:f>
        <x:v>26</x:v>
      </x:c>
      <x:c r="L1416" s="24" t="n">
        <x:f>IFERROR('各站彙總來源'!L1416/'各站彙總來源'!M1416,"")</x:f>
        <x:v>1.3846153846153846</x:v>
      </x:c>
      <x:c r="M1416" s="19" t="n">
        <x:f>'各站彙總來源'!M1416</x:f>
        <x:v>26</x:v>
      </x:c>
      <x:c r="N1416" s="24" t="n">
        <x:f>F1416+H1416</x:f>
        <x:v>8.961538461538462</x:v>
      </x:c>
      <x:c r="O1416" s="24" t="n">
        <x:f>J1416+L1416</x:f>
        <x:v>10.692307692307693</x:v>
      </x:c>
    </x:row>
    <x:row r="1417">
      <x:c r="A1417" s="22" t="str">
        <x:v>500110063</x:v>
      </x:c>
      <x:c r="B1417" s="17" t="str">
        <x:v>松山區</x:v>
      </x:c>
      <x:c r="C1417" s="17" t="str">
        <x:v>介壽國中</x:v>
      </x:c>
      <x:c r="D1417" s="18" t="n">
        <x:v>26</x:v>
      </x:c>
      <x:c r="E1417" s="18" t="n">
        <x:v>26</x:v>
      </x:c>
      <x:c r="F1417" s="24" t="n">
        <x:f>IFERROR('各站彙總來源'!F1417/'各站彙總來源'!G1417,"")</x:f>
        <x:v>14.115384615384615</x:v>
      </x:c>
      <x:c r="G1417" s="19" t="n">
        <x:f>'各站彙總來源'!G1417</x:f>
        <x:v>26</x:v>
      </x:c>
      <x:c r="H1417" s="24" t="n">
        <x:f>IFERROR('各站彙總來源'!H1417/'各站彙總來源'!I1417,"")</x:f>
        <x:v>3</x:v>
      </x:c>
      <x:c r="I1417" s="19" t="n">
        <x:f>'各站彙總來源'!I1417</x:f>
        <x:v>26</x:v>
      </x:c>
      <x:c r="J1417" s="24" t="n">
        <x:f>IFERROR('各站彙總來源'!J1417/'各站彙總來源'!K1417,"")</x:f>
        <x:v>13.884615384615385</x:v>
      </x:c>
      <x:c r="K1417" s="19" t="n">
        <x:f>'各站彙總來源'!K1417</x:f>
        <x:v>26</x:v>
      </x:c>
      <x:c r="L1417" s="24" t="n">
        <x:f>IFERROR('各站彙總來源'!L1417/'各站彙總來源'!M1417,"")</x:f>
        <x:v>2.1153846153846154</x:v>
      </x:c>
      <x:c r="M1417" s="19" t="n">
        <x:f>'各站彙總來源'!M1417</x:f>
        <x:v>26</x:v>
      </x:c>
      <x:c r="N1417" s="24" t="n">
        <x:f>F1417+H1417</x:f>
        <x:v>17.115384615384613</x:v>
      </x:c>
      <x:c r="O1417" s="24" t="n">
        <x:f>J1417+L1417</x:f>
        <x:v>16</x:v>
      </x:c>
    </x:row>
    <x:row r="1418">
      <x:c r="A1418" s="22" t="str">
        <x:v>500110064</x:v>
      </x:c>
      <x:c r="B1418" s="17" t="str">
        <x:v>松山區</x:v>
      </x:c>
      <x:c r="C1418" s="17" t="str">
        <x:v>敦化南京路口(東北側)</x:v>
      </x:c>
      <x:c r="D1418" s="18" t="n">
        <x:v>26</x:v>
      </x:c>
      <x:c r="E1418" s="18" t="n">
        <x:v>26</x:v>
      </x:c>
      <x:c r="F1418" s="24" t="n">
        <x:f>IFERROR('各站彙總來源'!F1418/'各站彙總來源'!G1418,"")</x:f>
        <x:v>7.769230769230769</x:v>
      </x:c>
      <x:c r="G1418" s="19" t="n">
        <x:f>'各站彙總來源'!G1418</x:f>
        <x:v>26</x:v>
      </x:c>
      <x:c r="H1418" s="24" t="n">
        <x:f>IFERROR('各站彙總來源'!H1418/'各站彙總來源'!I1418,"")</x:f>
        <x:v>1</x:v>
      </x:c>
      <x:c r="I1418" s="19" t="n">
        <x:f>'各站彙總來源'!I1418</x:f>
        <x:v>26</x:v>
      </x:c>
      <x:c r="J1418" s="24" t="n">
        <x:f>IFERROR('各站彙總來源'!J1418/'各站彙總來源'!K1418,"")</x:f>
        <x:v>12.076923076923077</x:v>
      </x:c>
      <x:c r="K1418" s="19" t="n">
        <x:f>'各站彙總來源'!K1418</x:f>
        <x:v>26</x:v>
      </x:c>
      <x:c r="L1418" s="24" t="n">
        <x:f>IFERROR('各站彙總來源'!L1418/'各站彙總來源'!M1418,"")</x:f>
        <x:v>3.230769230769231</x:v>
      </x:c>
      <x:c r="M1418" s="19" t="n">
        <x:f>'各站彙總來源'!M1418</x:f>
        <x:v>26</x:v>
      </x:c>
      <x:c r="N1418" s="24" t="n">
        <x:f>F1418+H1418</x:f>
        <x:v>8.76923076923077</x:v>
      </x:c>
      <x:c r="O1418" s="24" t="n">
        <x:f>J1418+L1418</x:f>
        <x:v>15.307692307692307</x:v>
      </x:c>
    </x:row>
    <x:row r="1419">
      <x:c r="A1419" s="22" t="str">
        <x:v>500110065</x:v>
      </x:c>
      <x:c r="B1419" s="17" t="str">
        <x:v>松山區</x:v>
      </x:c>
      <x:c r="C1419" s="17" t="str">
        <x:v>敦化八德路口</x:v>
      </x:c>
      <x:c r="D1419" s="18" t="n">
        <x:v>26</x:v>
      </x:c>
      <x:c r="E1419" s="18" t="n">
        <x:v>26</x:v>
      </x:c>
      <x:c r="F1419" s="24" t="n">
        <x:f>IFERROR('各站彙總來源'!F1419/'各站彙總來源'!G1419,"")</x:f>
        <x:v>7.038461538461538</x:v>
      </x:c>
      <x:c r="G1419" s="19" t="n">
        <x:f>'各站彙總來源'!G1419</x:f>
        <x:v>26</x:v>
      </x:c>
      <x:c r="H1419" s="24" t="n">
        <x:f>IFERROR('各站彙總來源'!H1419/'各站彙總來源'!I1419,"")</x:f>
        <x:v>1.6538461538461537</x:v>
      </x:c>
      <x:c r="I1419" s="19" t="n">
        <x:f>'各站彙總來源'!I1419</x:f>
        <x:v>26</x:v>
      </x:c>
      <x:c r="J1419" s="24" t="n">
        <x:f>IFERROR('各站彙總來源'!J1419/'各站彙總來源'!K1419,"")</x:f>
        <x:v>80.15384615384616</x:v>
      </x:c>
      <x:c r="K1419" s="19" t="n">
        <x:f>'各站彙總來源'!K1419</x:f>
        <x:v>26</x:v>
      </x:c>
      <x:c r="L1419" s="24" t="n">
        <x:f>IFERROR('各站彙總來源'!L1419/'各站彙總來源'!M1419,"")</x:f>
        <x:v>4.653846153846154</x:v>
      </x:c>
      <x:c r="M1419" s="19" t="n">
        <x:f>'各站彙總來源'!M1419</x:f>
        <x:v>26</x:v>
      </x:c>
      <x:c r="N1419" s="24" t="n">
        <x:f>F1419+H1419</x:f>
        <x:v>8.692307692307692</x:v>
      </x:c>
      <x:c r="O1419" s="24" t="n">
        <x:f>J1419+L1419</x:f>
        <x:v>84.80769230769232</x:v>
      </x:c>
    </x:row>
    <x:row r="1420">
      <x:c r="A1420" s="22" t="str">
        <x:v>500110066</x:v>
      </x:c>
      <x:c r="B1420" s="17" t="str">
        <x:v>松山區</x:v>
      </x:c>
      <x:c r="C1420" s="17" t="str">
        <x:v>新東街51巷口</x:v>
      </x:c>
      <x:c r="D1420" s="18" t="n">
        <x:v>26</x:v>
      </x:c>
      <x:c r="E1420" s="18" t="n">
        <x:v>26</x:v>
      </x:c>
      <x:c r="F1420" s="24" t="n">
        <x:f>IFERROR('各站彙總來源'!F1420/'各站彙總來源'!G1420,"")</x:f>
        <x:v>16</x:v>
      </x:c>
      <x:c r="G1420" s="19" t="n">
        <x:f>'各站彙總來源'!G1420</x:f>
        <x:v>26</x:v>
      </x:c>
      <x:c r="H1420" s="24" t="n">
        <x:f>IFERROR('各站彙總來源'!H1420/'各站彙總來源'!I1420,"")</x:f>
        <x:v>2.576923076923077</x:v>
      </x:c>
      <x:c r="I1420" s="19" t="n">
        <x:f>'各站彙總來源'!I1420</x:f>
        <x:v>26</x:v>
      </x:c>
      <x:c r="J1420" s="24" t="n">
        <x:f>IFERROR('各站彙總來源'!J1420/'各站彙總來源'!K1420,"")</x:f>
        <x:v>7.076923076923077</x:v>
      </x:c>
      <x:c r="K1420" s="19" t="n">
        <x:f>'各站彙總來源'!K1420</x:f>
        <x:v>26</x:v>
      </x:c>
      <x:c r="L1420" s="24" t="n">
        <x:f>IFERROR('各站彙總來源'!L1420/'各站彙總來源'!M1420,"")</x:f>
        <x:v>1.7692307692307692</x:v>
      </x:c>
      <x:c r="M1420" s="19" t="n">
        <x:f>'各站彙總來源'!M1420</x:f>
        <x:v>26</x:v>
      </x:c>
      <x:c r="N1420" s="24" t="n">
        <x:f>F1420+H1420</x:f>
        <x:v>18.576923076923077</x:v>
      </x:c>
      <x:c r="O1420" s="24" t="n">
        <x:f>J1420+L1420</x:f>
        <x:v>8.846153846153847</x:v>
      </x:c>
    </x:row>
    <x:row r="1421">
      <x:c r="A1421" s="22" t="str">
        <x:v>500110067</x:v>
      </x:c>
      <x:c r="B1421" s="17" t="str">
        <x:v>松山區</x:v>
      </x:c>
      <x:c r="C1421" s="17" t="str">
        <x:v>八德立體停車場</x:v>
      </x:c>
      <x:c r="D1421" s="18" t="n">
        <x:v>26</x:v>
      </x:c>
      <x:c r="E1421" s="18" t="n">
        <x:v>26</x:v>
      </x:c>
      <x:c r="F1421" s="24" t="n">
        <x:f>IFERROR('各站彙總來源'!F1421/'各站彙總來源'!G1421,"")</x:f>
        <x:v>20.615384615384617</x:v>
      </x:c>
      <x:c r="G1421" s="19" t="n">
        <x:f>'各站彙總來源'!G1421</x:f>
        <x:v>26</x:v>
      </x:c>
      <x:c r="H1421" s="24" t="n">
        <x:f>IFERROR('各站彙總來源'!H1421/'各站彙總來源'!I1421,"")</x:f>
        <x:v>2.269230769230769</x:v>
      </x:c>
      <x:c r="I1421" s="19" t="n">
        <x:f>'各站彙總來源'!I1421</x:f>
        <x:v>26</x:v>
      </x:c>
      <x:c r="J1421" s="24" t="n">
        <x:f>IFERROR('各站彙總來源'!J1421/'各站彙總來源'!K1421,"")</x:f>
        <x:v>3.6923076923076925</x:v>
      </x:c>
      <x:c r="K1421" s="19" t="n">
        <x:f>'各站彙總來源'!K1421</x:f>
        <x:v>26</x:v>
      </x:c>
      <x:c r="L1421" s="24" t="n">
        <x:f>IFERROR('各站彙總來源'!L1421/'各站彙總來源'!M1421,"")</x:f>
        <x:v>1.1923076923076923</x:v>
      </x:c>
      <x:c r="M1421" s="19" t="n">
        <x:f>'各站彙總來源'!M1421</x:f>
        <x:v>26</x:v>
      </x:c>
      <x:c r="N1421" s="24" t="n">
        <x:f>F1421+H1421</x:f>
        <x:v>22.884615384615387</x:v>
      </x:c>
      <x:c r="O1421" s="24" t="n">
        <x:f>J1421+L1421</x:f>
        <x:v>4.884615384615385</x:v>
      </x:c>
    </x:row>
    <x:row r="1422">
      <x:c r="A1422" s="22" t="str">
        <x:v>500110068</x:v>
      </x:c>
      <x:c r="B1422" s="17" t="str">
        <x:v>松山區</x:v>
      </x:c>
      <x:c r="C1422" s="17" t="str">
        <x:v>長春慶城街口</x:v>
      </x:c>
      <x:c r="D1422" s="18" t="n">
        <x:v>26</x:v>
      </x:c>
      <x:c r="E1422" s="18" t="n">
        <x:v>26</x:v>
      </x:c>
      <x:c r="F1422" s="24" t="n">
        <x:f>IFERROR('各站彙總來源'!F1422/'各站彙總來源'!G1422,"")</x:f>
        <x:v>3.423076923076923</x:v>
      </x:c>
      <x:c r="G1422" s="19" t="n">
        <x:f>'各站彙總來源'!G1422</x:f>
        <x:v>26</x:v>
      </x:c>
      <x:c r="H1422" s="24" t="n">
        <x:f>IFERROR('各站彙總來源'!H1422/'各站彙總來源'!I1422,"")</x:f>
        <x:v>1.1923076923076923</x:v>
      </x:c>
      <x:c r="I1422" s="19" t="n">
        <x:f>'各站彙總來源'!I1422</x:f>
        <x:v>26</x:v>
      </x:c>
      <x:c r="J1422" s="24" t="n">
        <x:f>IFERROR('各站彙總來源'!J1422/'各站彙總來源'!K1422,"")</x:f>
        <x:v>16.076923076923077</x:v>
      </x:c>
      <x:c r="K1422" s="19" t="n">
        <x:f>'各站彙總來源'!K1422</x:f>
        <x:v>26</x:v>
      </x:c>
      <x:c r="L1422" s="24" t="n">
        <x:f>IFERROR('各站彙總來源'!L1422/'各站彙總來源'!M1422,"")</x:f>
        <x:v>1.7307692307692308</x:v>
      </x:c>
      <x:c r="M1422" s="19" t="n">
        <x:f>'各站彙總來源'!M1422</x:f>
        <x:v>26</x:v>
      </x:c>
      <x:c r="N1422" s="24" t="n">
        <x:f>F1422+H1422</x:f>
        <x:v>4.615384615384615</x:v>
      </x:c>
      <x:c r="O1422" s="24" t="n">
        <x:f>J1422+L1422</x:f>
        <x:v>17.807692307692307</x:v>
      </x:c>
    </x:row>
    <x:row r="1423">
      <x:c r="A1423" s="22" t="str">
        <x:v>500110069</x:v>
      </x:c>
      <x:c r="B1423" s="17" t="str">
        <x:v>松山區</x:v>
      </x:c>
      <x:c r="C1423" s="17" t="str">
        <x:v>八德路四段652巷口</x:v>
      </x:c>
      <x:c r="D1423" s="18" t="n">
        <x:v>26</x:v>
      </x:c>
      <x:c r="E1423" s="18" t="n">
        <x:v>26</x:v>
      </x:c>
      <x:c r="F1423" s="24" t="n">
        <x:f>IFERROR('各站彙總來源'!F1423/'各站彙總來源'!G1423,"")</x:f>
        <x:v>11.423076923076923</x:v>
      </x:c>
      <x:c r="G1423" s="19" t="n">
        <x:f>'各站彙總來源'!G1423</x:f>
        <x:v>26</x:v>
      </x:c>
      <x:c r="H1423" s="24" t="n">
        <x:f>IFERROR('各站彙總來源'!H1423/'各站彙總來源'!I1423,"")</x:f>
        <x:v>1.5384615384615385</x:v>
      </x:c>
      <x:c r="I1423" s="19" t="n">
        <x:f>'各站彙總來源'!I1423</x:f>
        <x:v>26</x:v>
      </x:c>
      <x:c r="J1423" s="24" t="n">
        <x:f>IFERROR('各站彙總來源'!J1423/'各站彙總來源'!K1423,"")</x:f>
        <x:v>3.6923076923076925</x:v>
      </x:c>
      <x:c r="K1423" s="19" t="n">
        <x:f>'各站彙總來源'!K1423</x:f>
        <x:v>26</x:v>
      </x:c>
      <x:c r="L1423" s="24" t="n">
        <x:f>IFERROR('各站彙總來源'!L1423/'各站彙總來源'!M1423,"")</x:f>
        <x:v>1.5769230769230769</x:v>
      </x:c>
      <x:c r="M1423" s="19" t="n">
        <x:f>'各站彙總來源'!M1423</x:f>
        <x:v>26</x:v>
      </x:c>
      <x:c r="N1423" s="24" t="n">
        <x:f>F1423+H1423</x:f>
        <x:v>12.961538461538462</x:v>
      </x:c>
      <x:c r="O1423" s="24" t="n">
        <x:f>J1423+L1423</x:f>
        <x:v>5.269230769230769</x:v>
      </x:c>
    </x:row>
    <x:row r="1424">
      <x:c r="A1424" s="22" t="str">
        <x:v>500110070</x:v>
      </x:c>
      <x:c r="B1424" s="17" t="str">
        <x:v>松山區</x:v>
      </x:c>
      <x:c r="C1424" s="17" t="str">
        <x:v>捷運松山站(1號出口)</x:v>
      </x:c>
      <x:c r="D1424" s="18" t="n">
        <x:v>26</x:v>
      </x:c>
      <x:c r="E1424" s="18" t="n">
        <x:v>26</x:v>
      </x:c>
      <x:c r="F1424" s="24" t="n">
        <x:f>IFERROR('各站彙總來源'!F1424/'各站彙總來源'!G1424,"")</x:f>
        <x:v>8.538461538461538</x:v>
      </x:c>
      <x:c r="G1424" s="19" t="n">
        <x:f>'各站彙總來源'!G1424</x:f>
        <x:v>26</x:v>
      </x:c>
      <x:c r="H1424" s="24" t="n">
        <x:f>IFERROR('各站彙總來源'!H1424/'各站彙總來源'!I1424,"")</x:f>
        <x:v>1.9615384615384615</x:v>
      </x:c>
      <x:c r="I1424" s="19" t="n">
        <x:f>'各站彙總來源'!I1424</x:f>
        <x:v>26</x:v>
      </x:c>
      <x:c r="J1424" s="24" t="n">
        <x:f>IFERROR('各站彙總來源'!J1424/'各站彙總來源'!K1424,"")</x:f>
        <x:v>6.653846153846154</x:v>
      </x:c>
      <x:c r="K1424" s="19" t="n">
        <x:f>'各站彙總來源'!K1424</x:f>
        <x:v>26</x:v>
      </x:c>
      <x:c r="L1424" s="24" t="n">
        <x:f>IFERROR('各站彙總來源'!L1424/'各站彙總來源'!M1424,"")</x:f>
        <x:v>2.3076923076923075</x:v>
      </x:c>
      <x:c r="M1424" s="19" t="n">
        <x:f>'各站彙總來源'!M1424</x:f>
        <x:v>26</x:v>
      </x:c>
      <x:c r="N1424" s="24" t="n">
        <x:f>F1424+H1424</x:f>
        <x:v>10.5</x:v>
      </x:c>
      <x:c r="O1424" s="24" t="n">
        <x:f>J1424+L1424</x:f>
        <x:v>8.961538461538462</x:v>
      </x:c>
    </x:row>
    <x:row r="1425">
      <x:c r="A1425" s="22" t="str">
        <x:v>500110071</x:v>
      </x:c>
      <x:c r="B1425" s="17" t="str">
        <x:v>松山區</x:v>
      </x:c>
      <x:c r="C1425" s="17" t="str">
        <x:v>捷運小巨蛋站(3號出口)</x:v>
      </x:c>
      <x:c r="D1425" s="18" t="n">
        <x:v>26</x:v>
      </x:c>
      <x:c r="E1425" s="18" t="n">
        <x:v>26</x:v>
      </x:c>
      <x:c r="F1425" s="24" t="n">
        <x:f>IFERROR('各站彙總來源'!F1425/'各站彙總來源'!G1425,"")</x:f>
        <x:v>17.23076923076923</x:v>
      </x:c>
      <x:c r="G1425" s="19" t="n">
        <x:f>'各站彙總來源'!G1425</x:f>
        <x:v>26</x:v>
      </x:c>
      <x:c r="H1425" s="24" t="n">
        <x:f>IFERROR('各站彙總來源'!H1425/'各站彙總來源'!I1425,"")</x:f>
        <x:v>1.8846153846153846</x:v>
      </x:c>
      <x:c r="I1425" s="19" t="n">
        <x:f>'各站彙總來源'!I1425</x:f>
        <x:v>26</x:v>
      </x:c>
      <x:c r="J1425" s="24" t="n">
        <x:f>IFERROR('各站彙總來源'!J1425/'各站彙總來源'!K1425,"")</x:f>
        <x:v>4.384615384615385</x:v>
      </x:c>
      <x:c r="K1425" s="19" t="n">
        <x:f>'各站彙總來源'!K1425</x:f>
        <x:v>26</x:v>
      </x:c>
      <x:c r="L1425" s="24" t="n">
        <x:f>IFERROR('各站彙總來源'!L1425/'各站彙總來源'!M1425,"")</x:f>
        <x:v>1.3076923076923077</x:v>
      </x:c>
      <x:c r="M1425" s="19" t="n">
        <x:f>'各站彙總來源'!M1425</x:f>
        <x:v>26</x:v>
      </x:c>
      <x:c r="N1425" s="24" t="n">
        <x:f>F1425+H1425</x:f>
        <x:v>19.115384615384613</x:v>
      </x:c>
      <x:c r="O1425" s="24" t="n">
        <x:f>J1425+L1425</x:f>
        <x:v>5.6923076923076925</x:v>
      </x:c>
    </x:row>
    <x:row r="1426">
      <x:c r="A1426" s="22" t="str">
        <x:v>500110072</x:v>
      </x:c>
      <x:c r="B1426" s="17" t="str">
        <x:v>松山區</x:v>
      </x:c>
      <x:c r="C1426" s="17" t="str">
        <x:v>捷運小巨蛋站(5號出口)_1</x:v>
      </x:c>
      <x:c r="D1426" s="18" t="n">
        <x:v>26</x:v>
      </x:c>
      <x:c r="E1426" s="18" t="n">
        <x:v>26</x:v>
      </x:c>
      <x:c r="F1426" s="24" t="n">
        <x:f>IFERROR('各站彙總來源'!F1426/'各站彙總來源'!G1426,"")</x:f>
        <x:v>5.923076923076923</x:v>
      </x:c>
      <x:c r="G1426" s="19" t="n">
        <x:f>'各站彙總來源'!G1426</x:f>
        <x:v>26</x:v>
      </x:c>
      <x:c r="H1426" s="24" t="n">
        <x:f>IFERROR('各站彙總來源'!H1426/'各站彙總來源'!I1426,"")</x:f>
        <x:v>0.5384615384615384</x:v>
      </x:c>
      <x:c r="I1426" s="19" t="n">
        <x:f>'各站彙總來源'!I1426</x:f>
        <x:v>26</x:v>
      </x:c>
      <x:c r="J1426" s="24" t="n">
        <x:f>IFERROR('各站彙總來源'!J1426/'各站彙總來源'!K1426,"")</x:f>
        <x:v>5.038461538461538</x:v>
      </x:c>
      <x:c r="K1426" s="19" t="n">
        <x:f>'各站彙總來源'!K1426</x:f>
        <x:v>26</x:v>
      </x:c>
      <x:c r="L1426" s="24" t="n">
        <x:f>IFERROR('各站彙總來源'!L1426/'各站彙總來源'!M1426,"")</x:f>
        <x:v>1.2307692307692308</x:v>
      </x:c>
      <x:c r="M1426" s="19" t="n">
        <x:f>'各站彙總來源'!M1426</x:f>
        <x:v>26</x:v>
      </x:c>
      <x:c r="N1426" s="24" t="n">
        <x:f>F1426+H1426</x:f>
        <x:v>6.461538461538462</x:v>
      </x:c>
      <x:c r="O1426" s="24" t="n">
        <x:f>J1426+L1426</x:f>
        <x:v>6.269230769230769</x:v>
      </x:c>
    </x:row>
    <x:row r="1427">
      <x:c r="A1427" s="22" t="str">
        <x:v>500110073</x:v>
      </x:c>
      <x:c r="B1427" s="17" t="str">
        <x:v>松山區</x:v>
      </x:c>
      <x:c r="C1427" s="17" t="str">
        <x:v>敦化北路155巷口</x:v>
      </x:c>
      <x:c r="D1427" s="18" t="n">
        <x:v>26</x:v>
      </x:c>
      <x:c r="E1427" s="18" t="n">
        <x:v>26</x:v>
      </x:c>
      <x:c r="F1427" s="24" t="n">
        <x:f>IFERROR('各站彙總來源'!F1427/'各站彙總來源'!G1427,"")</x:f>
        <x:v>5.038461538461538</x:v>
      </x:c>
      <x:c r="G1427" s="19" t="n">
        <x:f>'各站彙總來源'!G1427</x:f>
        <x:v>26</x:v>
      </x:c>
      <x:c r="H1427" s="24" t="n">
        <x:f>IFERROR('各站彙總來源'!H1427/'各站彙總來源'!I1427,"")</x:f>
        <x:v>0.8461538461538461</x:v>
      </x:c>
      <x:c r="I1427" s="19" t="n">
        <x:f>'各站彙總來源'!I1427</x:f>
        <x:v>26</x:v>
      </x:c>
      <x:c r="J1427" s="24" t="n">
        <x:f>IFERROR('各站彙總來源'!J1427/'各站彙總來源'!K1427,"")</x:f>
        <x:v>29.653846153846153</x:v>
      </x:c>
      <x:c r="K1427" s="19" t="n">
        <x:f>'各站彙總來源'!K1427</x:f>
        <x:v>26</x:v>
      </x:c>
      <x:c r="L1427" s="24" t="n">
        <x:f>IFERROR('各站彙總來源'!L1427/'各站彙總來源'!M1427,"")</x:f>
        <x:v>2.9615384615384617</x:v>
      </x:c>
      <x:c r="M1427" s="19" t="n">
        <x:f>'各站彙總來源'!M1427</x:f>
        <x:v>26</x:v>
      </x:c>
      <x:c r="N1427" s="24" t="n">
        <x:f>F1427+H1427</x:f>
        <x:v>5.884615384615384</x:v>
      </x:c>
      <x:c r="O1427" s="24" t="n">
        <x:f>J1427+L1427</x:f>
        <x:v>32.61538461538461</x:v>
      </x:c>
    </x:row>
    <x:row r="1428">
      <x:c r="A1428" s="22" t="str">
        <x:v>500110074</x:v>
      </x:c>
      <x:c r="B1428" s="17" t="str">
        <x:v>松山區</x:v>
      </x:c>
      <x:c r="C1428" s="17" t="str">
        <x:v>民生復興路口</x:v>
      </x:c>
      <x:c r="D1428" s="18" t="n">
        <x:v>26</x:v>
      </x:c>
      <x:c r="E1428" s="18" t="n">
        <x:v>26</x:v>
      </x:c>
      <x:c r="F1428" s="24" t="n">
        <x:f>IFERROR('各站彙總來源'!F1428/'各站彙總來源'!G1428,"")</x:f>
        <x:v>4.615384615384615</x:v>
      </x:c>
      <x:c r="G1428" s="19" t="n">
        <x:f>'各站彙總來源'!G1428</x:f>
        <x:v>26</x:v>
      </x:c>
      <x:c r="H1428" s="24" t="n">
        <x:f>IFERROR('各站彙總來源'!H1428/'各站彙總來源'!I1428,"")</x:f>
        <x:v>1.5769230769230769</x:v>
      </x:c>
      <x:c r="I1428" s="19" t="n">
        <x:f>'各站彙總來源'!I1428</x:f>
        <x:v>26</x:v>
      </x:c>
      <x:c r="J1428" s="24" t="n">
        <x:f>IFERROR('各站彙總來源'!J1428/'各站彙總來源'!K1428,"")</x:f>
        <x:v>13.884615384615385</x:v>
      </x:c>
      <x:c r="K1428" s="19" t="n">
        <x:f>'各站彙總來源'!K1428</x:f>
        <x:v>26</x:v>
      </x:c>
      <x:c r="L1428" s="24" t="n">
        <x:f>IFERROR('各站彙總來源'!L1428/'各站彙總來源'!M1428,"")</x:f>
        <x:v>3.076923076923077</x:v>
      </x:c>
      <x:c r="M1428" s="19" t="n">
        <x:f>'各站彙總來源'!M1428</x:f>
        <x:v>26</x:v>
      </x:c>
      <x:c r="N1428" s="24" t="n">
        <x:f>F1428+H1428</x:f>
        <x:v>6.192307692307692</x:v>
      </x:c>
      <x:c r="O1428" s="24" t="n">
        <x:f>J1428+L1428</x:f>
        <x:v>16.961538461538463</x:v>
      </x:c>
    </x:row>
    <x:row r="1429">
      <x:c r="A1429" s="22" t="str">
        <x:v>500110075</x:v>
      </x:c>
      <x:c r="B1429" s="17" t="str">
        <x:v>松山區</x:v>
      </x:c>
      <x:c r="C1429" s="17" t="str">
        <x:v>中山國中(民權東路三段106巷3弄)</x:v>
      </x:c>
      <x:c r="D1429" s="18" t="n">
        <x:v>26</x:v>
      </x:c>
      <x:c r="E1429" s="18" t="n">
        <x:v>26</x:v>
      </x:c>
      <x:c r="F1429" s="24" t="n">
        <x:f>IFERROR('各站彙總來源'!F1429/'各站彙總來源'!G1429,"")</x:f>
        <x:v>0</x:v>
      </x:c>
      <x:c r="G1429" s="19" t="n">
        <x:f>'各站彙總來源'!G1429</x:f>
        <x:v>26</x:v>
      </x:c>
      <x:c r="H1429" s="24" t="n">
        <x:f>IFERROR('各站彙總來源'!H1429/'各站彙總來源'!I1429,"")</x:f>
        <x:v>0</x:v>
      </x:c>
      <x:c r="I1429" s="19" t="n">
        <x:f>'各站彙總來源'!I1429</x:f>
        <x:v>26</x:v>
      </x:c>
      <x:c r="J1429" s="24" t="n">
        <x:f>IFERROR('各站彙總來源'!J1429/'各站彙總來源'!K1429,"")</x:f>
        <x:v>0</x:v>
      </x:c>
      <x:c r="K1429" s="19" t="n">
        <x:f>'各站彙總來源'!K1429</x:f>
        <x:v>26</x:v>
      </x:c>
      <x:c r="L1429" s="24" t="n">
        <x:f>IFERROR('各站彙總來源'!L1429/'各站彙總來源'!M1429,"")</x:f>
        <x:v>0</x:v>
      </x:c>
      <x:c r="M1429" s="19" t="n">
        <x:f>'各站彙總來源'!M1429</x:f>
        <x:v>26</x:v>
      </x:c>
      <x:c r="N1429" s="24" t="n">
        <x:f>F1429+H1429</x:f>
        <x:v>0</x:v>
      </x:c>
      <x:c r="O1429" s="24" t="n">
        <x:f>J1429+L1429</x:f>
        <x:v>0</x:v>
      </x:c>
    </x:row>
    <x:row r="1430">
      <x:c r="A1430" s="22" t="str">
        <x:v>500110076</x:v>
      </x:c>
      <x:c r="B1430" s="17" t="str">
        <x:v>松山區</x:v>
      </x:c>
      <x:c r="C1430" s="17" t="str">
        <x:v>市民延吉街口</x:v>
      </x:c>
      <x:c r="D1430" s="18" t="n">
        <x:v>26</x:v>
      </x:c>
      <x:c r="E1430" s="18" t="n">
        <x:v>26</x:v>
      </x:c>
      <x:c r="F1430" s="24" t="n">
        <x:f>IFERROR('各站彙總來源'!F1430/'各站彙總來源'!G1430,"")</x:f>
        <x:v>13.192307692307692</x:v>
      </x:c>
      <x:c r="G1430" s="19" t="n">
        <x:f>'各站彙總來源'!G1430</x:f>
        <x:v>26</x:v>
      </x:c>
      <x:c r="H1430" s="24" t="n">
        <x:f>IFERROR('各站彙總來源'!H1430/'各站彙總來源'!I1430,"")</x:f>
        <x:v>1.7692307692307692</x:v>
      </x:c>
      <x:c r="I1430" s="19" t="n">
        <x:f>'各站彙總來源'!I1430</x:f>
        <x:v>26</x:v>
      </x:c>
      <x:c r="J1430" s="24" t="n">
        <x:f>IFERROR('各站彙總來源'!J1430/'各站彙總來源'!K1430,"")</x:f>
        <x:v>5.038461538461538</x:v>
      </x:c>
      <x:c r="K1430" s="19" t="n">
        <x:f>'各站彙總來源'!K1430</x:f>
        <x:v>26</x:v>
      </x:c>
      <x:c r="L1430" s="24" t="n">
        <x:f>IFERROR('各站彙總來源'!L1430/'各站彙總來源'!M1430,"")</x:f>
        <x:v>1.1538461538461537</x:v>
      </x:c>
      <x:c r="M1430" s="19" t="n">
        <x:f>'各站彙總來源'!M1430</x:f>
        <x:v>26</x:v>
      </x:c>
      <x:c r="N1430" s="24" t="n">
        <x:f>F1430+H1430</x:f>
        <x:v>14.96153846153846</x:v>
      </x:c>
      <x:c r="O1430" s="24" t="n">
        <x:f>J1430+L1430</x:f>
        <x:v>6.192307692307692</x:v>
      </x:c>
    </x:row>
    <x:row r="1431">
      <x:c r="A1431" s="22" t="str">
        <x:v>500110077</x:v>
      </x:c>
      <x:c r="B1431" s="17" t="str">
        <x:v>松山區</x:v>
      </x:c>
      <x:c r="C1431" s="17" t="str">
        <x:v>龍城市場</x:v>
      </x:c>
      <x:c r="D1431" s="18" t="n">
        <x:v>26</x:v>
      </x:c>
      <x:c r="E1431" s="18" t="n">
        <x:v>26</x:v>
      </x:c>
      <x:c r="F1431" s="24" t="n">
        <x:f>IFERROR('各站彙總來源'!F1431/'各站彙總來源'!G1431,"")</x:f>
        <x:v>14.423076923076923</x:v>
      </x:c>
      <x:c r="G1431" s="19" t="n">
        <x:f>'各站彙總來源'!G1431</x:f>
        <x:v>26</x:v>
      </x:c>
      <x:c r="H1431" s="24" t="n">
        <x:f>IFERROR('各站彙總來源'!H1431/'各站彙總來源'!I1431,"")</x:f>
        <x:v>2.6538461538461537</x:v>
      </x:c>
      <x:c r="I1431" s="19" t="n">
        <x:f>'各站彙總來源'!I1431</x:f>
        <x:v>26</x:v>
      </x:c>
      <x:c r="J1431" s="24" t="n">
        <x:f>IFERROR('各站彙總來源'!J1431/'各站彙總來源'!K1431,"")</x:f>
        <x:v>3.576923076923077</x:v>
      </x:c>
      <x:c r="K1431" s="19" t="n">
        <x:f>'各站彙總來源'!K1431</x:f>
        <x:v>26</x:v>
      </x:c>
      <x:c r="L1431" s="24" t="n">
        <x:f>IFERROR('各站彙總來源'!L1431/'各站彙總來源'!M1431,"")</x:f>
        <x:v>0.7307692307692307</x:v>
      </x:c>
      <x:c r="M1431" s="19" t="n">
        <x:f>'各站彙總來源'!M1431</x:f>
        <x:v>26</x:v>
      </x:c>
      <x:c r="N1431" s="24" t="n">
        <x:f>F1431+H1431</x:f>
        <x:v>17.076923076923077</x:v>
      </x:c>
      <x:c r="O1431" s="24" t="n">
        <x:f>J1431+L1431</x:f>
        <x:v>4.3076923076923075</x:v>
      </x:c>
    </x:row>
    <x:row r="1432">
      <x:c r="A1432" s="22" t="str">
        <x:v>500110078</x:v>
      </x:c>
      <x:c r="B1432" s="17" t="str">
        <x:v>松山區</x:v>
      </x:c>
      <x:c r="C1432" s="17" t="str">
        <x:v>捷運南京三民站(3號出口)</x:v>
      </x:c>
      <x:c r="D1432" s="18" t="n">
        <x:v>26</x:v>
      </x:c>
      <x:c r="E1432" s="18" t="n">
        <x:v>26</x:v>
      </x:c>
      <x:c r="F1432" s="24" t="n">
        <x:f>IFERROR('各站彙總來源'!F1432/'各站彙總來源'!G1432,"")</x:f>
        <x:v>13.461538461538462</x:v>
      </x:c>
      <x:c r="G1432" s="19" t="n">
        <x:f>'各站彙總來源'!G1432</x:f>
        <x:v>26</x:v>
      </x:c>
      <x:c r="H1432" s="24" t="n">
        <x:f>IFERROR('各站彙總來源'!H1432/'各站彙總來源'!I1432,"")</x:f>
        <x:v>1.8846153846153846</x:v>
      </x:c>
      <x:c r="I1432" s="19" t="n">
        <x:f>'各站彙總來源'!I1432</x:f>
        <x:v>26</x:v>
      </x:c>
      <x:c r="J1432" s="24" t="n">
        <x:f>IFERROR('各站彙總來源'!J1432/'各站彙總來源'!K1432,"")</x:f>
        <x:v>4.461538461538462</x:v>
      </x:c>
      <x:c r="K1432" s="19" t="n">
        <x:f>'各站彙總來源'!K1432</x:f>
        <x:v>26</x:v>
      </x:c>
      <x:c r="L1432" s="24" t="n">
        <x:f>IFERROR('各站彙總來源'!L1432/'各站彙總來源'!M1432,"")</x:f>
        <x:v>1.4615384615384615</x:v>
      </x:c>
      <x:c r="M1432" s="19" t="n">
        <x:f>'各站彙總來源'!M1432</x:f>
        <x:v>26</x:v>
      </x:c>
      <x:c r="N1432" s="24" t="n">
        <x:f>F1432+H1432</x:f>
        <x:v>15.346153846153847</x:v>
      </x:c>
      <x:c r="O1432" s="24" t="n">
        <x:f>J1432+L1432</x:f>
        <x:v>5.923076923076923</x:v>
      </x:c>
    </x:row>
    <x:row r="1433">
      <x:c r="A1433" s="22" t="str">
        <x:v>500110079</x:v>
      </x:c>
      <x:c r="B1433" s="17" t="str">
        <x:v>松山區</x:v>
      </x:c>
      <x:c r="C1433" s="17" t="str">
        <x:v>塔悠基隆路口(麥帥一橋下)</x:v>
      </x:c>
      <x:c r="D1433" s="18" t="n">
        <x:v>26</x:v>
      </x:c>
      <x:c r="E1433" s="18" t="n">
        <x:v>26</x:v>
      </x:c>
      <x:c r="F1433" s="24" t="n">
        <x:f>IFERROR('各站彙總來源'!F1433/'各站彙總來源'!G1433,"")</x:f>
        <x:v>8.192307692307692</x:v>
      </x:c>
      <x:c r="G1433" s="19" t="n">
        <x:f>'各站彙總來源'!G1433</x:f>
        <x:v>26</x:v>
      </x:c>
      <x:c r="H1433" s="24" t="n">
        <x:f>IFERROR('各站彙總來源'!H1433/'各站彙總來源'!I1433,"")</x:f>
        <x:v>2.3461538461538463</x:v>
      </x:c>
      <x:c r="I1433" s="19" t="n">
        <x:f>'各站彙總來源'!I1433</x:f>
        <x:v>26</x:v>
      </x:c>
      <x:c r="J1433" s="24" t="n">
        <x:f>IFERROR('各站彙總來源'!J1433/'各站彙總來源'!K1433,"")</x:f>
        <x:v>6</x:v>
      </x:c>
      <x:c r="K1433" s="19" t="n">
        <x:f>'各站彙總來源'!K1433</x:f>
        <x:v>26</x:v>
      </x:c>
      <x:c r="L1433" s="24" t="n">
        <x:f>IFERROR('各站彙總來源'!L1433/'各站彙總來源'!M1433,"")</x:f>
        <x:v>1.5384615384615385</x:v>
      </x:c>
      <x:c r="M1433" s="19" t="n">
        <x:f>'各站彙總來源'!M1433</x:f>
        <x:v>26</x:v>
      </x:c>
      <x:c r="N1433" s="24" t="n">
        <x:f>F1433+H1433</x:f>
        <x:v>10.538461538461538</x:v>
      </x:c>
      <x:c r="O1433" s="24" t="n">
        <x:f>J1433+L1433</x:f>
        <x:v>7.538461538461538</x:v>
      </x:c>
    </x:row>
    <x:row r="1434">
      <x:c r="A1434" s="22" t="str">
        <x:v>500110080</x:v>
      </x:c>
      <x:c r="B1434" s="17" t="str">
        <x:v>松山區</x:v>
      </x:c>
      <x:c r="C1434" s="17" t="str">
        <x:v>五常街370巷</x:v>
      </x:c>
      <x:c r="D1434" s="18" t="n">
        <x:v>26</x:v>
      </x:c>
      <x:c r="E1434" s="18" t="n">
        <x:v>26</x:v>
      </x:c>
      <x:c r="F1434" s="24" t="n">
        <x:f>IFERROR('各站彙總來源'!F1434/'各站彙總來源'!G1434,"")</x:f>
        <x:v>5</x:v>
      </x:c>
      <x:c r="G1434" s="19" t="n">
        <x:f>'各站彙總來源'!G1434</x:f>
        <x:v>26</x:v>
      </x:c>
      <x:c r="H1434" s="24" t="n">
        <x:f>IFERROR('各站彙總來源'!H1434/'各站彙總來源'!I1434,"")</x:f>
        <x:v>0.7692307692307693</x:v>
      </x:c>
      <x:c r="I1434" s="19" t="n">
        <x:f>'各站彙總來源'!I1434</x:f>
        <x:v>26</x:v>
      </x:c>
      <x:c r="J1434" s="24" t="n">
        <x:f>IFERROR('各站彙總來源'!J1434/'各站彙總來源'!K1434,"")</x:f>
        <x:v>4.038461538461538</x:v>
      </x:c>
      <x:c r="K1434" s="19" t="n">
        <x:f>'各站彙總來源'!K1434</x:f>
        <x:v>26</x:v>
      </x:c>
      <x:c r="L1434" s="24" t="n">
        <x:f>IFERROR('各站彙總來源'!L1434/'各站彙總來源'!M1434,"")</x:f>
        <x:v>1.2307692307692308</x:v>
      </x:c>
      <x:c r="M1434" s="19" t="n">
        <x:f>'各站彙總來源'!M1434</x:f>
        <x:v>26</x:v>
      </x:c>
      <x:c r="N1434" s="24" t="n">
        <x:f>F1434+H1434</x:f>
        <x:v>5.769230769230769</x:v>
      </x:c>
      <x:c r="O1434" s="24" t="n">
        <x:f>J1434+L1434</x:f>
        <x:v>5.269230769230769</x:v>
      </x:c>
    </x:row>
    <x:row r="1435">
      <x:c r="A1435" s="22" t="str">
        <x:v>500110081</x:v>
      </x:c>
      <x:c r="B1435" s="17" t="str">
        <x:v>松山區</x:v>
      </x:c>
      <x:c r="C1435" s="17" t="str">
        <x:v>延壽街119巷口</x:v>
      </x:c>
      <x:c r="D1435" s="18" t="n">
        <x:v>26</x:v>
      </x:c>
      <x:c r="E1435" s="18" t="n">
        <x:v>26</x:v>
      </x:c>
      <x:c r="F1435" s="24" t="n">
        <x:f>IFERROR('各站彙總來源'!F1435/'各站彙總來源'!G1435,"")</x:f>
        <x:v>7.346153846153846</x:v>
      </x:c>
      <x:c r="G1435" s="19" t="n">
        <x:f>'各站彙總來源'!G1435</x:f>
        <x:v>26</x:v>
      </x:c>
      <x:c r="H1435" s="24" t="n">
        <x:f>IFERROR('各站彙總來源'!H1435/'各站彙總來源'!I1435,"")</x:f>
        <x:v>2.576923076923077</x:v>
      </x:c>
      <x:c r="I1435" s="19" t="n">
        <x:f>'各站彙總來源'!I1435</x:f>
        <x:v>26</x:v>
      </x:c>
      <x:c r="J1435" s="24" t="n">
        <x:f>IFERROR('各站彙總來源'!J1435/'各站彙總來源'!K1435,"")</x:f>
        <x:v>3.9615384615384617</x:v>
      </x:c>
      <x:c r="K1435" s="19" t="n">
        <x:f>'各站彙總來源'!K1435</x:f>
        <x:v>26</x:v>
      </x:c>
      <x:c r="L1435" s="24" t="n">
        <x:f>IFERROR('各站彙總來源'!L1435/'各站彙總來源'!M1435,"")</x:f>
        <x:v>1.4230769230769231</x:v>
      </x:c>
      <x:c r="M1435" s="19" t="n">
        <x:f>'各站彙總來源'!M1435</x:f>
        <x:v>26</x:v>
      </x:c>
      <x:c r="N1435" s="24" t="n">
        <x:f>F1435+H1435</x:f>
        <x:v>9.923076923076923</x:v>
      </x:c>
      <x:c r="O1435" s="24" t="n">
        <x:f>J1435+L1435</x:f>
        <x:v>5.384615384615385</x:v>
      </x:c>
    </x:row>
    <x:row r="1436">
      <x:c r="A1436" s="22" t="str">
        <x:v>500110082</x:v>
      </x:c>
      <x:c r="B1436" s="17" t="str">
        <x:v>松山區</x:v>
      </x:c>
      <x:c r="C1436" s="17" t="str">
        <x:v>市民東寧路口</x:v>
      </x:c>
      <x:c r="D1436" s="18" t="n">
        <x:v>26</x:v>
      </x:c>
      <x:c r="E1436" s="18" t="n">
        <x:v>26</x:v>
      </x:c>
      <x:c r="F1436" s="24" t="n">
        <x:f>IFERROR('各站彙總來源'!F1436/'各站彙總來源'!G1436,"")</x:f>
        <x:v>11.384615384615385</x:v>
      </x:c>
      <x:c r="G1436" s="19" t="n">
        <x:f>'各站彙總來源'!G1436</x:f>
        <x:v>26</x:v>
      </x:c>
      <x:c r="H1436" s="24" t="n">
        <x:f>IFERROR('各站彙總來源'!H1436/'各站彙總來源'!I1436,"")</x:f>
        <x:v>1.0384615384615385</x:v>
      </x:c>
      <x:c r="I1436" s="19" t="n">
        <x:f>'各站彙總來源'!I1436</x:f>
        <x:v>26</x:v>
      </x:c>
      <x:c r="J1436" s="24" t="n">
        <x:f>IFERROR('各站彙總來源'!J1436/'各站彙總來源'!K1436,"")</x:f>
        <x:v>7.423076923076923</x:v>
      </x:c>
      <x:c r="K1436" s="19" t="n">
        <x:f>'各站彙總來源'!K1436</x:f>
        <x:v>26</x:v>
      </x:c>
      <x:c r="L1436" s="24" t="n">
        <x:f>IFERROR('各站彙總來源'!L1436/'各站彙總來源'!M1436,"")</x:f>
        <x:v>1.4615384615384615</x:v>
      </x:c>
      <x:c r="M1436" s="19" t="n">
        <x:f>'各站彙總來源'!M1436</x:f>
        <x:v>26</x:v>
      </x:c>
      <x:c r="N1436" s="24" t="n">
        <x:f>F1436+H1436</x:f>
        <x:v>12.423076923076923</x:v>
      </x:c>
      <x:c r="O1436" s="24" t="n">
        <x:f>J1436+L1436</x:f>
        <x:v>8.884615384615385</x:v>
      </x:c>
    </x:row>
    <x:row r="1437">
      <x:c r="A1437" s="22" t="str">
        <x:v>500110083</x:v>
      </x:c>
      <x:c r="B1437" s="17" t="str">
        <x:v>松山區</x:v>
      </x:c>
      <x:c r="C1437" s="17" t="str">
        <x:v>民福簡易綠地</x:v>
      </x:c>
      <x:c r="D1437" s="18" t="n">
        <x:v>26</x:v>
      </x:c>
      <x:c r="E1437" s="18" t="n">
        <x:v>26</x:v>
      </x:c>
      <x:c r="F1437" s="24" t="n">
        <x:f>IFERROR('各站彙總來源'!F1437/'各站彙總來源'!G1437,"")</x:f>
        <x:v>7.653846153846154</x:v>
      </x:c>
      <x:c r="G1437" s="19" t="n">
        <x:f>'各站彙總來源'!G1437</x:f>
        <x:v>26</x:v>
      </x:c>
      <x:c r="H1437" s="24" t="n">
        <x:f>IFERROR('各站彙總來源'!H1437/'各站彙總來源'!I1437,"")</x:f>
        <x:v>2.730769230769231</x:v>
      </x:c>
      <x:c r="I1437" s="19" t="n">
        <x:f>'各站彙總來源'!I1437</x:f>
        <x:v>26</x:v>
      </x:c>
      <x:c r="J1437" s="24" t="n">
        <x:f>IFERROR('各站彙總來源'!J1437/'各站彙總來源'!K1437,"")</x:f>
        <x:v>2.730769230769231</x:v>
      </x:c>
      <x:c r="K1437" s="19" t="n">
        <x:f>'各站彙總來源'!K1437</x:f>
        <x:v>26</x:v>
      </x:c>
      <x:c r="L1437" s="24" t="n">
        <x:f>IFERROR('各站彙總來源'!L1437/'各站彙總來源'!M1437,"")</x:f>
        <x:v>1.4615384615384615</x:v>
      </x:c>
      <x:c r="M1437" s="19" t="n">
        <x:f>'各站彙總來源'!M1437</x:f>
        <x:v>26</x:v>
      </x:c>
      <x:c r="N1437" s="24" t="n">
        <x:f>F1437+H1437</x:f>
        <x:v>10.384615384615385</x:v>
      </x:c>
      <x:c r="O1437" s="24" t="n">
        <x:f>J1437+L1437</x:f>
        <x:v>4.1923076923076925</x:v>
      </x:c>
    </x:row>
    <x:row r="1438">
      <x:c r="A1438" s="22" t="str">
        <x:v>500110084</x:v>
      </x:c>
      <x:c r="B1438" s="17" t="str">
        <x:v>松山區</x:v>
      </x:c>
      <x:c r="C1438" s="17" t="str">
        <x:v>三民國小(撫遠街)</x:v>
      </x:c>
      <x:c r="D1438" s="18" t="n">
        <x:v>26</x:v>
      </x:c>
      <x:c r="E1438" s="18" t="n">
        <x:v>26</x:v>
      </x:c>
      <x:c r="F1438" s="24" t="n">
        <x:f>IFERROR('各站彙總來源'!F1438/'各站彙總來源'!G1438,"")</x:f>
        <x:v>21.384615384615383</x:v>
      </x:c>
      <x:c r="G1438" s="19" t="n">
        <x:f>'各站彙總來源'!G1438</x:f>
        <x:v>26</x:v>
      </x:c>
      <x:c r="H1438" s="24" t="n">
        <x:f>IFERROR('各站彙總來源'!H1438/'各站彙總來源'!I1438,"")</x:f>
        <x:v>5.038461538461538</x:v>
      </x:c>
      <x:c r="I1438" s="19" t="n">
        <x:f>'各站彙總來源'!I1438</x:f>
        <x:v>26</x:v>
      </x:c>
      <x:c r="J1438" s="24" t="n">
        <x:f>IFERROR('各站彙總來源'!J1438/'各站彙總來源'!K1438,"")</x:f>
        <x:v>6.423076923076923</x:v>
      </x:c>
      <x:c r="K1438" s="19" t="n">
        <x:f>'各站彙總來源'!K1438</x:f>
        <x:v>26</x:v>
      </x:c>
      <x:c r="L1438" s="24" t="n">
        <x:f>IFERROR('各站彙總來源'!L1438/'各站彙總來源'!M1438,"")</x:f>
        <x:v>1.2307692307692308</x:v>
      </x:c>
      <x:c r="M1438" s="19" t="n">
        <x:f>'各站彙總來源'!M1438</x:f>
        <x:v>26</x:v>
      </x:c>
      <x:c r="N1438" s="24" t="n">
        <x:f>F1438+H1438</x:f>
        <x:v>26.42307692307692</x:v>
      </x:c>
      <x:c r="O1438" s="24" t="n">
        <x:f>J1438+L1438</x:f>
        <x:v>7.653846153846154</x:v>
      </x:c>
    </x:row>
    <x:row r="1439">
      <x:c r="A1439" s="22" t="str">
        <x:v>500110085</x:v>
      </x:c>
      <x:c r="B1439" s="17" t="str">
        <x:v>松山區</x:v>
      </x:c>
      <x:c r="C1439" s="17" t="str">
        <x:v>民生郵局</x:v>
      </x:c>
      <x:c r="D1439" s="18" t="n">
        <x:v>26</x:v>
      </x:c>
      <x:c r="E1439" s="18" t="n">
        <x:v>26</x:v>
      </x:c>
      <x:c r="F1439" s="24" t="n">
        <x:f>IFERROR('各站彙總來源'!F1439/'各站彙總來源'!G1439,"")</x:f>
        <x:v>9.846153846153847</x:v>
      </x:c>
      <x:c r="G1439" s="19" t="n">
        <x:f>'各站彙總來源'!G1439</x:f>
        <x:v>26</x:v>
      </x:c>
      <x:c r="H1439" s="24" t="n">
        <x:f>IFERROR('各站彙總來源'!H1439/'各站彙總來源'!I1439,"")</x:f>
        <x:v>1.1538461538461537</x:v>
      </x:c>
      <x:c r="I1439" s="19" t="n">
        <x:f>'各站彙總來源'!I1439</x:f>
        <x:v>26</x:v>
      </x:c>
      <x:c r="J1439" s="24" t="n">
        <x:f>IFERROR('各站彙總來源'!J1439/'各站彙總來源'!K1439,"")</x:f>
        <x:v>5.153846153846154</x:v>
      </x:c>
      <x:c r="K1439" s="19" t="n">
        <x:f>'各站彙總來源'!K1439</x:f>
        <x:v>26</x:v>
      </x:c>
      <x:c r="L1439" s="24" t="n">
        <x:f>IFERROR('各站彙總來源'!L1439/'各站彙總來源'!M1439,"")</x:f>
        <x:v>1.0769230769230769</x:v>
      </x:c>
      <x:c r="M1439" s="19" t="n">
        <x:f>'各站彙總來源'!M1439</x:f>
        <x:v>26</x:v>
      </x:c>
      <x:c r="N1439" s="24" t="n">
        <x:f>F1439+H1439</x:f>
        <x:v>11</x:v>
      </x:c>
      <x:c r="O1439" s="24" t="n">
        <x:f>J1439+L1439</x:f>
        <x:v>6.230769230769231</x:v>
      </x:c>
    </x:row>
    <x:row r="1440">
      <x:c r="A1440" s="22" t="str">
        <x:v>500110086</x:v>
      </x:c>
      <x:c r="B1440" s="17" t="str">
        <x:v>松山區</x:v>
      </x:c>
      <x:c r="C1440" s="17" t="str">
        <x:v>民權敦化路口(西北側)</x:v>
      </x:c>
      <x:c r="D1440" s="18" t="n">
        <x:v>26</x:v>
      </x:c>
      <x:c r="E1440" s="18" t="n">
        <x:v>26</x:v>
      </x:c>
      <x:c r="F1440" s="24" t="n">
        <x:f>IFERROR('各站彙總來源'!F1440/'各站彙總來源'!G1440,"")</x:f>
        <x:v>13.192307692307692</x:v>
      </x:c>
      <x:c r="G1440" s="19" t="n">
        <x:f>'各站彙總來源'!G1440</x:f>
        <x:v>26</x:v>
      </x:c>
      <x:c r="H1440" s="24" t="n">
        <x:f>IFERROR('各站彙總來源'!H1440/'各站彙總來源'!I1440,"")</x:f>
        <x:v>3.6153846153846154</x:v>
      </x:c>
      <x:c r="I1440" s="19" t="n">
        <x:f>'各站彙總來源'!I1440</x:f>
        <x:v>26</x:v>
      </x:c>
      <x:c r="J1440" s="24" t="n">
        <x:f>IFERROR('各站彙總來源'!J1440/'各站彙總來源'!K1440,"")</x:f>
        <x:v>7.269230769230769</x:v>
      </x:c>
      <x:c r="K1440" s="19" t="n">
        <x:f>'各站彙總來源'!K1440</x:f>
        <x:v>26</x:v>
      </x:c>
      <x:c r="L1440" s="24" t="n">
        <x:f>IFERROR('各站彙總來源'!L1440/'各站彙總來源'!M1440,"")</x:f>
        <x:v>1.6923076923076923</x:v>
      </x:c>
      <x:c r="M1440" s="19" t="n">
        <x:f>'各站彙總來源'!M1440</x:f>
        <x:v>26</x:v>
      </x:c>
      <x:c r="N1440" s="24" t="n">
        <x:f>F1440+H1440</x:f>
        <x:v>16.807692307692307</x:v>
      </x:c>
      <x:c r="O1440" s="24" t="n">
        <x:f>J1440+L1440</x:f>
        <x:v>8.961538461538462</x:v>
      </x:c>
    </x:row>
    <x:row r="1441">
      <x:c r="A1441" s="22" t="str">
        <x:v>500110087</x:v>
      </x:c>
      <x:c r="B1441" s="17" t="str">
        <x:v>松山區</x:v>
      </x:c>
      <x:c r="C1441" s="17" t="str">
        <x:v>寶清八德路口(北側)</x:v>
      </x:c>
      <x:c r="D1441" s="18" t="n">
        <x:v>26</x:v>
      </x:c>
      <x:c r="E1441" s="18" t="n">
        <x:v>26</x:v>
      </x:c>
      <x:c r="F1441" s="24" t="n">
        <x:f>IFERROR('各站彙總來源'!F1441/'各站彙總來源'!G1441,"")</x:f>
        <x:v>17.96153846153846</x:v>
      </x:c>
      <x:c r="G1441" s="19" t="n">
        <x:f>'各站彙總來源'!G1441</x:f>
        <x:v>26</x:v>
      </x:c>
      <x:c r="H1441" s="24" t="n">
        <x:f>IFERROR('各站彙總來源'!H1441/'各站彙總來源'!I1441,"")</x:f>
        <x:v>3.5384615384615383</x:v>
      </x:c>
      <x:c r="I1441" s="19" t="n">
        <x:f>'各站彙總來源'!I1441</x:f>
        <x:v>26</x:v>
      </x:c>
      <x:c r="J1441" s="24" t="n">
        <x:f>IFERROR('各站彙總來源'!J1441/'各站彙總來源'!K1441,"")</x:f>
        <x:v>5.269230769230769</x:v>
      </x:c>
      <x:c r="K1441" s="19" t="n">
        <x:f>'各站彙總來源'!K1441</x:f>
        <x:v>26</x:v>
      </x:c>
      <x:c r="L1441" s="24" t="n">
        <x:f>IFERROR('各站彙總來源'!L1441/'各站彙總來源'!M1441,"")</x:f>
        <x:v>0.8461538461538461</x:v>
      </x:c>
      <x:c r="M1441" s="19" t="n">
        <x:f>'各站彙總來源'!M1441</x:f>
        <x:v>26</x:v>
      </x:c>
      <x:c r="N1441" s="24" t="n">
        <x:f>F1441+H1441</x:f>
        <x:v>21.5</x:v>
      </x:c>
      <x:c r="O1441" s="24" t="n">
        <x:f>J1441+L1441</x:f>
        <x:v>6.115384615384615</x:v>
      </x:c>
    </x:row>
    <x:row r="1442">
      <x:c r="A1442" s="22" t="str">
        <x:v>500110088</x:v>
      </x:c>
      <x:c r="B1442" s="17" t="str">
        <x:v>松山區</x:v>
      </x:c>
      <x:c r="C1442" s="17" t="str">
        <x:v>民生東路三段140巷口</x:v>
      </x:c>
      <x:c r="D1442" s="18" t="n">
        <x:v>26</x:v>
      </x:c>
      <x:c r="E1442" s="18" t="n">
        <x:v>26</x:v>
      </x:c>
      <x:c r="F1442" s="24" t="n">
        <x:f>IFERROR('各站彙總來源'!F1442/'各站彙總來源'!G1442,"")</x:f>
        <x:v>3.730769230769231</x:v>
      </x:c>
      <x:c r="G1442" s="19" t="n">
        <x:f>'各站彙總來源'!G1442</x:f>
        <x:v>26</x:v>
      </x:c>
      <x:c r="H1442" s="24" t="n">
        <x:f>IFERROR('各站彙總來源'!H1442/'各站彙總來源'!I1442,"")</x:f>
        <x:v>0.8076923076923077</x:v>
      </x:c>
      <x:c r="I1442" s="19" t="n">
        <x:f>'各站彙總來源'!I1442</x:f>
        <x:v>26</x:v>
      </x:c>
      <x:c r="J1442" s="24" t="n">
        <x:f>IFERROR('各站彙總來源'!J1442/'各站彙總來源'!K1442,"")</x:f>
        <x:v>8.038461538461538</x:v>
      </x:c>
      <x:c r="K1442" s="19" t="n">
        <x:f>'各站彙總來源'!K1442</x:f>
        <x:v>26</x:v>
      </x:c>
      <x:c r="L1442" s="24" t="n">
        <x:f>IFERROR('各站彙總來源'!L1442/'各站彙總來源'!M1442,"")</x:f>
        <x:v>2.076923076923077</x:v>
      </x:c>
      <x:c r="M1442" s="19" t="n">
        <x:f>'各站彙總來源'!M1442</x:f>
        <x:v>26</x:v>
      </x:c>
      <x:c r="N1442" s="24" t="n">
        <x:f>F1442+H1442</x:f>
        <x:v>4.538461538461538</x:v>
      </x:c>
      <x:c r="O1442" s="24" t="n">
        <x:f>J1442+L1442</x:f>
        <x:v>10.115384615384615</x:v>
      </x:c>
    </x:row>
    <x:row r="1443">
      <x:c r="A1443" s="22" t="str">
        <x:v>500110089</x:v>
      </x:c>
      <x:c r="B1443" s="17" t="str">
        <x:v>松山區</x:v>
      </x:c>
      <x:c r="C1443" s="17" t="str">
        <x:v>新東延壽街口</x:v>
      </x:c>
      <x:c r="D1443" s="18" t="n">
        <x:v>26</x:v>
      </x:c>
      <x:c r="E1443" s="18" t="n">
        <x:v>26</x:v>
      </x:c>
      <x:c r="F1443" s="24" t="n">
        <x:f>IFERROR('各站彙總來源'!F1443/'各站彙總來源'!G1443,"")</x:f>
        <x:v>14.346153846153847</x:v>
      </x:c>
      <x:c r="G1443" s="19" t="n">
        <x:f>'各站彙總來源'!G1443</x:f>
        <x:v>26</x:v>
      </x:c>
      <x:c r="H1443" s="24" t="n">
        <x:f>IFERROR('各站彙總來源'!H1443/'各站彙總來源'!I1443,"")</x:f>
        <x:v>2.8846153846153846</x:v>
      </x:c>
      <x:c r="I1443" s="19" t="n">
        <x:f>'各站彙總來源'!I1443</x:f>
        <x:v>26</x:v>
      </x:c>
      <x:c r="J1443" s="24" t="n">
        <x:f>IFERROR('各站彙總來源'!J1443/'各站彙總來源'!K1443,"")</x:f>
        <x:v>4.230769230769231</x:v>
      </x:c>
      <x:c r="K1443" s="19" t="n">
        <x:f>'各站彙總來源'!K1443</x:f>
        <x:v>26</x:v>
      </x:c>
      <x:c r="L1443" s="24" t="n">
        <x:f>IFERROR('各站彙總來源'!L1443/'各站彙總來源'!M1443,"")</x:f>
        <x:v>1.1923076923076923</x:v>
      </x:c>
      <x:c r="M1443" s="19" t="n">
        <x:f>'各站彙總來源'!M1443</x:f>
        <x:v>26</x:v>
      </x:c>
      <x:c r="N1443" s="24" t="n">
        <x:f>F1443+H1443</x:f>
        <x:v>17.23076923076923</x:v>
      </x:c>
      <x:c r="O1443" s="24" t="n">
        <x:f>J1443+L1443</x:f>
        <x:v>5.423076923076923</x:v>
      </x:c>
    </x:row>
    <x:row r="1444">
      <x:c r="A1444" s="22" t="str">
        <x:v>500110090</x:v>
      </x:c>
      <x:c r="B1444" s="17" t="str">
        <x:v>松山區</x:v>
      </x:c>
      <x:c r="C1444" s="17" t="str">
        <x:v>健康公園</x:v>
      </x:c>
      <x:c r="D1444" s="18" t="n">
        <x:v>26</x:v>
      </x:c>
      <x:c r="E1444" s="18" t="n">
        <x:v>26</x:v>
      </x:c>
      <x:c r="F1444" s="24" t="n">
        <x:f>IFERROR('各站彙總來源'!F1444/'各站彙總來源'!G1444,"")</x:f>
        <x:v>19.46153846153846</x:v>
      </x:c>
      <x:c r="G1444" s="19" t="n">
        <x:f>'各站彙總來源'!G1444</x:f>
        <x:v>26</x:v>
      </x:c>
      <x:c r="H1444" s="24" t="n">
        <x:f>IFERROR('各站彙總來源'!H1444/'各站彙總來源'!I1444,"")</x:f>
        <x:v>2.730769230769231</x:v>
      </x:c>
      <x:c r="I1444" s="19" t="n">
        <x:f>'各站彙總來源'!I1444</x:f>
        <x:v>26</x:v>
      </x:c>
      <x:c r="J1444" s="24" t="n">
        <x:f>IFERROR('各站彙總來源'!J1444/'各站彙總來源'!K1444,"")</x:f>
        <x:v>4</x:v>
      </x:c>
      <x:c r="K1444" s="19" t="n">
        <x:f>'各站彙總來源'!K1444</x:f>
        <x:v>26</x:v>
      </x:c>
      <x:c r="L1444" s="24" t="n">
        <x:f>IFERROR('各站彙總來源'!L1444/'各站彙總來源'!M1444,"")</x:f>
        <x:v>1.2307692307692308</x:v>
      </x:c>
      <x:c r="M1444" s="19" t="n">
        <x:f>'各站彙總來源'!M1444</x:f>
        <x:v>26</x:v>
      </x:c>
      <x:c r="N1444" s="24" t="n">
        <x:f>F1444+H1444</x:f>
        <x:v>22.19230769230769</x:v>
      </x:c>
      <x:c r="O1444" s="24" t="n">
        <x:f>J1444+L1444</x:f>
        <x:v>5.230769230769231</x:v>
      </x:c>
    </x:row>
    <x:row r="1445">
      <x:c r="A1445" s="22" t="str">
        <x:v>500110091</x:v>
      </x:c>
      <x:c r="B1445" s="17" t="str">
        <x:v>松山區</x:v>
      </x:c>
      <x:c r="C1445" s="17" t="str">
        <x:v>新中街4巷口</x:v>
      </x:c>
      <x:c r="D1445" s="18" t="n">
        <x:v>26</x:v>
      </x:c>
      <x:c r="E1445" s="18" t="n">
        <x:v>26</x:v>
      </x:c>
      <x:c r="F1445" s="24" t="n">
        <x:f>IFERROR('各站彙總來源'!F1445/'各站彙總來源'!G1445,"")</x:f>
        <x:v>31.96153846153846</x:v>
      </x:c>
      <x:c r="G1445" s="19" t="n">
        <x:f>'各站彙總來源'!G1445</x:f>
        <x:v>26</x:v>
      </x:c>
      <x:c r="H1445" s="24" t="n">
        <x:f>IFERROR('各站彙總來源'!H1445/'各站彙總來源'!I1445,"")</x:f>
        <x:v>2.3461538461538463</x:v>
      </x:c>
      <x:c r="I1445" s="19" t="n">
        <x:f>'各站彙總來源'!I1445</x:f>
        <x:v>26</x:v>
      </x:c>
      <x:c r="J1445" s="24" t="n">
        <x:f>IFERROR('各站彙總來源'!J1445/'各站彙總來源'!K1445,"")</x:f>
        <x:v>8.384615384615385</x:v>
      </x:c>
      <x:c r="K1445" s="19" t="n">
        <x:f>'各站彙總來源'!K1445</x:f>
        <x:v>26</x:v>
      </x:c>
      <x:c r="L1445" s="24" t="n">
        <x:f>IFERROR('各站彙總來源'!L1445/'各站彙總來源'!M1445,"")</x:f>
        <x:v>2.076923076923077</x:v>
      </x:c>
      <x:c r="M1445" s="19" t="n">
        <x:f>'各站彙總來源'!M1445</x:f>
        <x:v>26</x:v>
      </x:c>
      <x:c r="N1445" s="24" t="n">
        <x:f>F1445+H1445</x:f>
        <x:v>34.30769230769231</x:v>
      </x:c>
      <x:c r="O1445" s="24" t="n">
        <x:f>J1445+L1445</x:f>
        <x:v>10.461538461538462</x:v>
      </x:c>
    </x:row>
    <x:row r="1446">
      <x:c r="A1446" s="22" t="str">
        <x:v>500110092</x:v>
      </x:c>
      <x:c r="B1446" s="17" t="str">
        <x:v>松山區</x:v>
      </x:c>
      <x:c r="C1446" s="17" t="str">
        <x:v>光復北富錦街口</x:v>
      </x:c>
      <x:c r="D1446" s="18" t="n">
        <x:v>26</x:v>
      </x:c>
      <x:c r="E1446" s="18" t="n">
        <x:v>26</x:v>
      </x:c>
      <x:c r="F1446" s="24" t="n">
        <x:f>IFERROR('各站彙總來源'!F1446/'各站彙總來源'!G1446,"")</x:f>
        <x:v>7.153846153846154</x:v>
      </x:c>
      <x:c r="G1446" s="19" t="n">
        <x:f>'各站彙總來源'!G1446</x:f>
        <x:v>26</x:v>
      </x:c>
      <x:c r="H1446" s="24" t="n">
        <x:f>IFERROR('各站彙總來源'!H1446/'各站彙總來源'!I1446,"")</x:f>
        <x:v>0.9230769230769231</x:v>
      </x:c>
      <x:c r="I1446" s="19" t="n">
        <x:f>'各站彙總來源'!I1446</x:f>
        <x:v>26</x:v>
      </x:c>
      <x:c r="J1446" s="24" t="n">
        <x:f>IFERROR('各站彙總來源'!J1446/'各站彙總來源'!K1446,"")</x:f>
        <x:v>10.192307692307692</x:v>
      </x:c>
      <x:c r="K1446" s="19" t="n">
        <x:f>'各站彙總來源'!K1446</x:f>
        <x:v>26</x:v>
      </x:c>
      <x:c r="L1446" s="24" t="n">
        <x:f>IFERROR('各站彙總來源'!L1446/'各站彙總來源'!M1446,"")</x:f>
        <x:v>1.4230769230769231</x:v>
      </x:c>
      <x:c r="M1446" s="19" t="n">
        <x:f>'各站彙總來源'!M1446</x:f>
        <x:v>26</x:v>
      </x:c>
      <x:c r="N1446" s="24" t="n">
        <x:f>F1446+H1446</x:f>
        <x:v>8.076923076923077</x:v>
      </x:c>
      <x:c r="O1446" s="24" t="n">
        <x:f>J1446+L1446</x:f>
        <x:v>11.615384615384615</x:v>
      </x:c>
    </x:row>
    <x:row r="1447">
      <x:c r="A1447" s="22" t="str">
        <x:v>500110093</x:v>
      </x:c>
      <x:c r="B1447" s="17" t="str">
        <x:v>松山區</x:v>
      </x:c>
      <x:c r="C1447" s="17" t="str">
        <x:v>松山國小(東北側)</x:v>
      </x:c>
      <x:c r="D1447" s="18" t="n">
        <x:v>26</x:v>
      </x:c>
      <x:c r="E1447" s="18" t="n">
        <x:v>26</x:v>
      </x:c>
      <x:c r="F1447" s="24" t="n">
        <x:f>IFERROR('各站彙總來源'!F1447/'各站彙總來源'!G1447,"")</x:f>
        <x:v>12.115384615384615</x:v>
      </x:c>
      <x:c r="G1447" s="19" t="n">
        <x:f>'各站彙總來源'!G1447</x:f>
        <x:v>26</x:v>
      </x:c>
      <x:c r="H1447" s="24" t="n">
        <x:f>IFERROR('各站彙總來源'!H1447/'各站彙總來源'!I1447,"")</x:f>
        <x:v>1.5769230769230769</x:v>
      </x:c>
      <x:c r="I1447" s="19" t="n">
        <x:f>'各站彙總來源'!I1447</x:f>
        <x:v>26</x:v>
      </x:c>
      <x:c r="J1447" s="24" t="n">
        <x:f>IFERROR('各站彙總來源'!J1447/'各站彙總來源'!K1447,"")</x:f>
        <x:v>4.346153846153846</x:v>
      </x:c>
      <x:c r="K1447" s="19" t="n">
        <x:f>'各站彙總來源'!K1447</x:f>
        <x:v>26</x:v>
      </x:c>
      <x:c r="L1447" s="24" t="n">
        <x:f>IFERROR('各站彙總來源'!L1447/'各站彙總來源'!M1447,"")</x:f>
        <x:v>1</x:v>
      </x:c>
      <x:c r="M1447" s="19" t="n">
        <x:f>'各站彙總來源'!M1447</x:f>
        <x:v>26</x:v>
      </x:c>
      <x:c r="N1447" s="24" t="n">
        <x:f>F1447+H1447</x:f>
        <x:v>13.692307692307692</x:v>
      </x:c>
      <x:c r="O1447" s="24" t="n">
        <x:f>J1447+L1447</x:f>
        <x:v>5.346153846153846</x:v>
      </x:c>
    </x:row>
    <x:row r="1448">
      <x:c r="A1448" s="22" t="str">
        <x:v>500110094</x:v>
      </x:c>
      <x:c r="B1448" s="17" t="str">
        <x:v>松山區</x:v>
      </x:c>
      <x:c r="C1448" s="17" t="str">
        <x:v>撫遠街403巷</x:v>
      </x:c>
      <x:c r="D1448" s="18" t="n">
        <x:v>26</x:v>
      </x:c>
      <x:c r="E1448" s="18" t="n">
        <x:v>26</x:v>
      </x:c>
      <x:c r="F1448" s="24" t="n">
        <x:f>IFERROR('各站彙總來源'!F1448/'各站彙總來源'!G1448,"")</x:f>
        <x:v>15.384615384615385</x:v>
      </x:c>
      <x:c r="G1448" s="19" t="n">
        <x:f>'各站彙總來源'!G1448</x:f>
        <x:v>26</x:v>
      </x:c>
      <x:c r="H1448" s="24" t="n">
        <x:f>IFERROR('各站彙總來源'!H1448/'各站彙總來源'!I1448,"")</x:f>
        <x:v>3.3846153846153846</x:v>
      </x:c>
      <x:c r="I1448" s="19" t="n">
        <x:f>'各站彙總來源'!I1448</x:f>
        <x:v>26</x:v>
      </x:c>
      <x:c r="J1448" s="24" t="n">
        <x:f>IFERROR('各站彙總來源'!J1448/'各站彙總來源'!K1448,"")</x:f>
        <x:v>11.884615384615385</x:v>
      </x:c>
      <x:c r="K1448" s="19" t="n">
        <x:f>'各站彙總來源'!K1448</x:f>
        <x:v>26</x:v>
      </x:c>
      <x:c r="L1448" s="24" t="n">
        <x:f>IFERROR('各站彙總來源'!L1448/'各站彙總來源'!M1448,"")</x:f>
        <x:v>2.230769230769231</x:v>
      </x:c>
      <x:c r="M1448" s="19" t="n">
        <x:f>'各站彙總來源'!M1448</x:f>
        <x:v>26</x:v>
      </x:c>
      <x:c r="N1448" s="24" t="n">
        <x:f>F1448+H1448</x:f>
        <x:v>18.76923076923077</x:v>
      </x:c>
      <x:c r="O1448" s="24" t="n">
        <x:f>J1448+L1448</x:f>
        <x:v>14.115384615384617</x:v>
      </x:c>
    </x:row>
    <x:row r="1449">
      <x:c r="A1449" s="22" t="str">
        <x:v>500110095</x:v>
      </x:c>
      <x:c r="B1449" s="17" t="str">
        <x:v>松山區</x:v>
      </x:c>
      <x:c r="C1449" s="17" t="str">
        <x:v>基六號疏散門</x:v>
      </x:c>
      <x:c r="D1449" s="18" t="n">
        <x:v>26</x:v>
      </x:c>
      <x:c r="E1449" s="18" t="n">
        <x:v>26</x:v>
      </x:c>
      <x:c r="F1449" s="24" t="n">
        <x:f>IFERROR('各站彙總來源'!F1449/'各站彙總來源'!G1449,"")</x:f>
        <x:v>7.8076923076923075</x:v>
      </x:c>
      <x:c r="G1449" s="19" t="n">
        <x:f>'各站彙總來源'!G1449</x:f>
        <x:v>26</x:v>
      </x:c>
      <x:c r="H1449" s="24" t="n">
        <x:f>IFERROR('各站彙總來源'!H1449/'各站彙總來源'!I1449,"")</x:f>
        <x:v>2.730769230769231</x:v>
      </x:c>
      <x:c r="I1449" s="19" t="n">
        <x:f>'各站彙總來源'!I1449</x:f>
        <x:v>26</x:v>
      </x:c>
      <x:c r="J1449" s="24" t="n">
        <x:f>IFERROR('各站彙總來源'!J1449/'各站彙總來源'!K1449,"")</x:f>
        <x:v>5.5</x:v>
      </x:c>
      <x:c r="K1449" s="19" t="n">
        <x:f>'各站彙總來源'!K1449</x:f>
        <x:v>26</x:v>
      </x:c>
      <x:c r="L1449" s="24" t="n">
        <x:f>IFERROR('各站彙總來源'!L1449/'各站彙總來源'!M1449,"")</x:f>
        <x:v>2.3461538461538463</x:v>
      </x:c>
      <x:c r="M1449" s="19" t="n">
        <x:f>'各站彙總來源'!M1449</x:f>
        <x:v>26</x:v>
      </x:c>
      <x:c r="N1449" s="24" t="n">
        <x:f>F1449+H1449</x:f>
        <x:v>10.538461538461538</x:v>
      </x:c>
      <x:c r="O1449" s="24" t="n">
        <x:f>J1449+L1449</x:f>
        <x:v>7.846153846153847</x:v>
      </x:c>
    </x:row>
    <x:row r="1450">
      <x:c r="A1450" s="22" t="str">
        <x:v>500110096</x:v>
      </x:c>
      <x:c r="B1450" s="17" t="str">
        <x:v>松山區</x:v>
      </x:c>
      <x:c r="C1450" s="17" t="str">
        <x:v>民權三民路口</x:v>
      </x:c>
      <x:c r="D1450" s="18" t="n">
        <x:v>26</x:v>
      </x:c>
      <x:c r="E1450" s="18" t="n">
        <x:v>26</x:v>
      </x:c>
      <x:c r="F1450" s="24" t="n">
        <x:f>IFERROR('各站彙總來源'!F1450/'各站彙總來源'!G1450,"")</x:f>
        <x:v>8.5</x:v>
      </x:c>
      <x:c r="G1450" s="19" t="n">
        <x:f>'各站彙總來源'!G1450</x:f>
        <x:v>26</x:v>
      </x:c>
      <x:c r="H1450" s="24" t="n">
        <x:f>IFERROR('各站彙總來源'!H1450/'各站彙總來源'!I1450,"")</x:f>
        <x:v>1.5384615384615385</x:v>
      </x:c>
      <x:c r="I1450" s="19" t="n">
        <x:f>'各站彙總來源'!I1450</x:f>
        <x:v>26</x:v>
      </x:c>
      <x:c r="J1450" s="24" t="n">
        <x:f>IFERROR('各站彙總來源'!J1450/'各站彙總來源'!K1450,"")</x:f>
        <x:v>6.076923076923077</x:v>
      </x:c>
      <x:c r="K1450" s="19" t="n">
        <x:f>'各站彙總來源'!K1450</x:f>
        <x:v>26</x:v>
      </x:c>
      <x:c r="L1450" s="24" t="n">
        <x:f>IFERROR('各站彙總來源'!L1450/'各站彙總來源'!M1450,"")</x:f>
        <x:v>1.5</x:v>
      </x:c>
      <x:c r="M1450" s="19" t="n">
        <x:f>'各站彙總來源'!M1450</x:f>
        <x:v>26</x:v>
      </x:c>
      <x:c r="N1450" s="24" t="n">
        <x:f>F1450+H1450</x:f>
        <x:v>10.038461538461538</x:v>
      </x:c>
      <x:c r="O1450" s="24" t="n">
        <x:f>J1450+L1450</x:f>
        <x:v>7.576923076923077</x:v>
      </x:c>
    </x:row>
    <x:row r="1451">
      <x:c r="A1451" s="22" t="str">
        <x:v>500110097</x:v>
      </x:c>
      <x:c r="B1451" s="17" t="str">
        <x:v>松山區</x:v>
      </x:c>
      <x:c r="C1451" s="17" t="str">
        <x:v>民權運動公園(北側)</x:v>
      </x:c>
      <x:c r="D1451" s="18" t="n">
        <x:v>26</x:v>
      </x:c>
      <x:c r="E1451" s="18" t="n">
        <x:v>26</x:v>
      </x:c>
      <x:c r="F1451" s="24" t="n">
        <x:f>IFERROR('各站彙總來源'!F1451/'各站彙總來源'!G1451,"")</x:f>
        <x:v>5.5</x:v>
      </x:c>
      <x:c r="G1451" s="19" t="n">
        <x:f>'各站彙總來源'!G1451</x:f>
        <x:v>26</x:v>
      </x:c>
      <x:c r="H1451" s="24" t="n">
        <x:f>IFERROR('各站彙總來源'!H1451/'各站彙總來源'!I1451,"")</x:f>
        <x:v>1.4615384615384615</x:v>
      </x:c>
      <x:c r="I1451" s="19" t="n">
        <x:f>'各站彙總來源'!I1451</x:f>
        <x:v>26</x:v>
      </x:c>
      <x:c r="J1451" s="24" t="n">
        <x:f>IFERROR('各站彙總來源'!J1451/'各站彙總來源'!K1451,"")</x:f>
        <x:v>6.576923076923077</x:v>
      </x:c>
      <x:c r="K1451" s="19" t="n">
        <x:f>'各站彙總來源'!K1451</x:f>
        <x:v>26</x:v>
      </x:c>
      <x:c r="L1451" s="24" t="n">
        <x:f>IFERROR('各站彙總來源'!L1451/'各站彙總來源'!M1451,"")</x:f>
        <x:v>2.423076923076923</x:v>
      </x:c>
      <x:c r="M1451" s="19" t="n">
        <x:f>'各站彙總來源'!M1451</x:f>
        <x:v>26</x:v>
      </x:c>
      <x:c r="N1451" s="24" t="n">
        <x:f>F1451+H1451</x:f>
        <x:v>6.961538461538462</x:v>
      </x:c>
      <x:c r="O1451" s="24" t="n">
        <x:f>J1451+L1451</x:f>
        <x:v>9</x:v>
      </x:c>
    </x:row>
    <x:row r="1452">
      <x:c r="A1452" s="22" t="str">
        <x:v>500110098</x:v>
      </x:c>
      <x:c r="B1452" s="17" t="str">
        <x:v>松山區</x:v>
      </x:c>
      <x:c r="C1452" s="17" t="str">
        <x:v>中崙高中停車場</x:v>
      </x:c>
      <x:c r="D1452" s="18" t="n">
        <x:v>26</x:v>
      </x:c>
      <x:c r="E1452" s="18" t="n">
        <x:v>26</x:v>
      </x:c>
      <x:c r="F1452" s="24" t="n">
        <x:f>IFERROR('各站彙總來源'!F1452/'各站彙總來源'!G1452,"")</x:f>
        <x:v>9.153846153846153</x:v>
      </x:c>
      <x:c r="G1452" s="19" t="n">
        <x:f>'各站彙總來源'!G1452</x:f>
        <x:v>26</x:v>
      </x:c>
      <x:c r="H1452" s="24" t="n">
        <x:f>IFERROR('各站彙總來源'!H1452/'各站彙總來源'!I1452,"")</x:f>
        <x:v>2.1153846153846154</x:v>
      </x:c>
      <x:c r="I1452" s="19" t="n">
        <x:f>'各站彙總來源'!I1452</x:f>
        <x:v>26</x:v>
      </x:c>
      <x:c r="J1452" s="24" t="n">
        <x:f>IFERROR('各站彙總來源'!J1452/'各站彙總來源'!K1452,"")</x:f>
        <x:v>7.769230769230769</x:v>
      </x:c>
      <x:c r="K1452" s="19" t="n">
        <x:f>'各站彙總來源'!K1452</x:f>
        <x:v>26</x:v>
      </x:c>
      <x:c r="L1452" s="24" t="n">
        <x:f>IFERROR('各站彙總來源'!L1452/'各站彙總來源'!M1452,"")</x:f>
        <x:v>2.1153846153846154</x:v>
      </x:c>
      <x:c r="M1452" s="19" t="n">
        <x:f>'各站彙總來源'!M1452</x:f>
        <x:v>26</x:v>
      </x:c>
      <x:c r="N1452" s="24" t="n">
        <x:f>F1452+H1452</x:f>
        <x:v>11.269230769230768</x:v>
      </x:c>
      <x:c r="O1452" s="24" t="n">
        <x:f>J1452+L1452</x:f>
        <x:v>9.884615384615385</x:v>
      </x:c>
    </x:row>
    <x:row r="1453">
      <x:c r="A1453" s="22" t="str">
        <x:v>500110099</x:v>
      </x:c>
      <x:c r="B1453" s="17" t="str">
        <x:v>松山區</x:v>
      </x:c>
      <x:c r="C1453" s="17" t="str">
        <x:v>光復延壽街口(西北側)</x:v>
      </x:c>
      <x:c r="D1453" s="18" t="n">
        <x:v>26</x:v>
      </x:c>
      <x:c r="E1453" s="18" t="n">
        <x:v>26</x:v>
      </x:c>
      <x:c r="F1453" s="24" t="n">
        <x:f>IFERROR('各站彙總來源'!F1453/'各站彙總來源'!G1453,"")</x:f>
        <x:v>12.076923076923077</x:v>
      </x:c>
      <x:c r="G1453" s="19" t="n">
        <x:f>'各站彙總來源'!G1453</x:f>
        <x:v>26</x:v>
      </x:c>
      <x:c r="H1453" s="24" t="n">
        <x:f>IFERROR('各站彙總來源'!H1453/'各站彙總來源'!I1453,"")</x:f>
        <x:v>1.8461538461538463</x:v>
      </x:c>
      <x:c r="I1453" s="19" t="n">
        <x:f>'各站彙總來源'!I1453</x:f>
        <x:v>26</x:v>
      </x:c>
      <x:c r="J1453" s="24" t="n">
        <x:f>IFERROR('各站彙總來源'!J1453/'各站彙總來源'!K1453,"")</x:f>
        <x:v>6.1923076923076925</x:v>
      </x:c>
      <x:c r="K1453" s="19" t="n">
        <x:f>'各站彙總來源'!K1453</x:f>
        <x:v>26</x:v>
      </x:c>
      <x:c r="L1453" s="24" t="n">
        <x:f>IFERROR('各站彙總來源'!L1453/'各站彙總來源'!M1453,"")</x:f>
        <x:v>1.5</x:v>
      </x:c>
      <x:c r="M1453" s="19" t="n">
        <x:f>'各站彙總來源'!M1453</x:f>
        <x:v>26</x:v>
      </x:c>
      <x:c r="N1453" s="24" t="n">
        <x:f>F1453+H1453</x:f>
        <x:v>13.923076923076923</x:v>
      </x:c>
      <x:c r="O1453" s="24" t="n">
        <x:f>J1453+L1453</x:f>
        <x:v>7.6923076923076925</x:v>
      </x:c>
    </x:row>
    <x:row r="1454">
      <x:c r="A1454" s="22" t="str">
        <x:v>500110100</x:v>
      </x:c>
      <x:c r="B1454" s="17" t="str">
        <x:v>松山區</x:v>
      </x:c>
      <x:c r="C1454" s="17" t="str">
        <x:v>富錦新東街口(西側)</x:v>
      </x:c>
      <x:c r="D1454" s="18" t="n">
        <x:v>26</x:v>
      </x:c>
      <x:c r="E1454" s="18" t="n">
        <x:v>26</x:v>
      </x:c>
      <x:c r="F1454" s="24" t="n">
        <x:f>IFERROR('各站彙總來源'!F1454/'各站彙總來源'!G1454,"")</x:f>
        <x:v>5.884615384615385</x:v>
      </x:c>
      <x:c r="G1454" s="19" t="n">
        <x:f>'各站彙總來源'!G1454</x:f>
        <x:v>26</x:v>
      </x:c>
      <x:c r="H1454" s="24" t="n">
        <x:f>IFERROR('各站彙總來源'!H1454/'各站彙總來源'!I1454,"")</x:f>
        <x:v>1.7692307692307692</x:v>
      </x:c>
      <x:c r="I1454" s="19" t="n">
        <x:f>'各站彙總來源'!I1454</x:f>
        <x:v>26</x:v>
      </x:c>
      <x:c r="J1454" s="24" t="n">
        <x:f>IFERROR('各站彙總來源'!J1454/'各站彙總來源'!K1454,"")</x:f>
        <x:v>2.269230769230769</x:v>
      </x:c>
      <x:c r="K1454" s="19" t="n">
        <x:f>'各站彙總來源'!K1454</x:f>
        <x:v>26</x:v>
      </x:c>
      <x:c r="L1454" s="24" t="n">
        <x:f>IFERROR('各站彙總來源'!L1454/'各站彙總來源'!M1454,"")</x:f>
        <x:v>0.6538461538461539</x:v>
      </x:c>
      <x:c r="M1454" s="19" t="n">
        <x:f>'各站彙總來源'!M1454</x:f>
        <x:v>26</x:v>
      </x:c>
      <x:c r="N1454" s="24" t="n">
        <x:f>F1454+H1454</x:f>
        <x:v>7.653846153846154</x:v>
      </x:c>
      <x:c r="O1454" s="24" t="n">
        <x:f>J1454+L1454</x:f>
        <x:v>2.923076923076923</x:v>
      </x:c>
    </x:row>
    <x:row r="1455">
      <x:c r="A1455" s="22" t="str">
        <x:v>500110101</x:v>
      </x:c>
      <x:c r="B1455" s="17" t="str">
        <x:v>松山區</x:v>
      </x:c>
      <x:c r="C1455" s="17" t="str">
        <x:v>延壽街18巷口</x:v>
      </x:c>
      <x:c r="D1455" s="18" t="n">
        <x:v>26</x:v>
      </x:c>
      <x:c r="E1455" s="18" t="n">
        <x:v>26</x:v>
      </x:c>
      <x:c r="F1455" s="24" t="n">
        <x:f>IFERROR('各站彙總來源'!F1455/'各站彙總來源'!G1455,"")</x:f>
        <x:v>17.076923076923077</x:v>
      </x:c>
      <x:c r="G1455" s="19" t="n">
        <x:f>'各站彙總來源'!G1455</x:f>
        <x:v>26</x:v>
      </x:c>
      <x:c r="H1455" s="24" t="n">
        <x:f>IFERROR('各站彙總來源'!H1455/'各站彙總來源'!I1455,"")</x:f>
        <x:v>2.5</x:v>
      </x:c>
      <x:c r="I1455" s="19" t="n">
        <x:f>'各站彙總來源'!I1455</x:f>
        <x:v>26</x:v>
      </x:c>
      <x:c r="J1455" s="24" t="n">
        <x:f>IFERROR('各站彙總來源'!J1455/'各站彙總來源'!K1455,"")</x:f>
        <x:v>4.346153846153846</x:v>
      </x:c>
      <x:c r="K1455" s="19" t="n">
        <x:f>'各站彙總來源'!K1455</x:f>
        <x:v>26</x:v>
      </x:c>
      <x:c r="L1455" s="24" t="n">
        <x:f>IFERROR('各站彙總來源'!L1455/'各站彙總來源'!M1455,"")</x:f>
        <x:v>1.2307692307692308</x:v>
      </x:c>
      <x:c r="M1455" s="19" t="n">
        <x:f>'各站彙總來源'!M1455</x:f>
        <x:v>26</x:v>
      </x:c>
      <x:c r="N1455" s="24" t="n">
        <x:f>F1455+H1455</x:f>
        <x:v>19.576923076923077</x:v>
      </x:c>
      <x:c r="O1455" s="24" t="n">
        <x:f>J1455+L1455</x:f>
        <x:v>5.576923076923077</x:v>
      </x:c>
    </x:row>
    <x:row r="1456">
      <x:c r="A1456" s="22" t="str">
        <x:v>500110102</x:v>
      </x:c>
      <x:c r="B1456" s="17" t="str">
        <x:v>松山區</x:v>
      </x:c>
      <x:c r="C1456" s="17" t="str">
        <x:v>民生東路四段97巷</x:v>
      </x:c>
      <x:c r="D1456" s="18" t="n">
        <x:v>26</x:v>
      </x:c>
      <x:c r="E1456" s="18" t="n">
        <x:v>26</x:v>
      </x:c>
      <x:c r="F1456" s="24" t="n">
        <x:f>IFERROR('各站彙總來源'!F1456/'各站彙總來源'!G1456,"")</x:f>
        <x:v>14.884615384615385</x:v>
      </x:c>
      <x:c r="G1456" s="19" t="n">
        <x:f>'各站彙總來源'!G1456</x:f>
        <x:v>26</x:v>
      </x:c>
      <x:c r="H1456" s="24" t="n">
        <x:f>IFERROR('各站彙總來源'!H1456/'各站彙總來源'!I1456,"")</x:f>
        <x:v>2.576923076923077</x:v>
      </x:c>
      <x:c r="I1456" s="19" t="n">
        <x:f>'各站彙總來源'!I1456</x:f>
        <x:v>26</x:v>
      </x:c>
      <x:c r="J1456" s="24" t="n">
        <x:f>IFERROR('各站彙總來源'!J1456/'各站彙總來源'!K1456,"")</x:f>
        <x:v>12.961538461538462</x:v>
      </x:c>
      <x:c r="K1456" s="19" t="n">
        <x:f>'各站彙總來源'!K1456</x:f>
        <x:v>26</x:v>
      </x:c>
      <x:c r="L1456" s="24" t="n">
        <x:f>IFERROR('各站彙總來源'!L1456/'各站彙總來源'!M1456,"")</x:f>
        <x:v>2.3846153846153846</x:v>
      </x:c>
      <x:c r="M1456" s="19" t="n">
        <x:f>'各站彙總來源'!M1456</x:f>
        <x:v>26</x:v>
      </x:c>
      <x:c r="N1456" s="24" t="n">
        <x:f>F1456+H1456</x:f>
        <x:v>17.461538461538463</x:v>
      </x:c>
      <x:c r="O1456" s="24" t="n">
        <x:f>J1456+L1456</x:f>
        <x:v>15.346153846153847</x:v>
      </x:c>
    </x:row>
    <x:row r="1457">
      <x:c r="A1457" s="22" t="str">
        <x:v>500110103</x:v>
      </x:c>
      <x:c r="B1457" s="17" t="str">
        <x:v>松山區</x:v>
      </x:c>
      <x:c r="C1457" s="17" t="str">
        <x:v>民生東路五段177巷口</x:v>
      </x:c>
      <x:c r="D1457" s="18" t="n">
        <x:v>26</x:v>
      </x:c>
      <x:c r="E1457" s="18" t="n">
        <x:v>26</x:v>
      </x:c>
      <x:c r="F1457" s="24" t="n">
        <x:f>IFERROR('各站彙總來源'!F1457/'各站彙總來源'!G1457,"")</x:f>
        <x:v>6.230769230769231</x:v>
      </x:c>
      <x:c r="G1457" s="19" t="n">
        <x:f>'各站彙總來源'!G1457</x:f>
        <x:v>26</x:v>
      </x:c>
      <x:c r="H1457" s="24" t="n">
        <x:f>IFERROR('各站彙總來源'!H1457/'各站彙總來源'!I1457,"")</x:f>
        <x:v>1.7692307692307692</x:v>
      </x:c>
      <x:c r="I1457" s="19" t="n">
        <x:f>'各站彙總來源'!I1457</x:f>
        <x:v>26</x:v>
      </x:c>
      <x:c r="J1457" s="24" t="n">
        <x:f>IFERROR('各站彙總來源'!J1457/'各站彙總來源'!K1457,"")</x:f>
        <x:v>4</x:v>
      </x:c>
      <x:c r="K1457" s="19" t="n">
        <x:f>'各站彙總來源'!K1457</x:f>
        <x:v>26</x:v>
      </x:c>
      <x:c r="L1457" s="24" t="n">
        <x:f>IFERROR('各站彙總來源'!L1457/'各站彙總來源'!M1457,"")</x:f>
        <x:v>1.5</x:v>
      </x:c>
      <x:c r="M1457" s="19" t="n">
        <x:f>'各站彙總來源'!M1457</x:f>
        <x:v>26</x:v>
      </x:c>
      <x:c r="N1457" s="24" t="n">
        <x:f>F1457+H1457</x:f>
        <x:v>8</x:v>
      </x:c>
      <x:c r="O1457" s="24" t="n">
        <x:f>J1457+L1457</x:f>
        <x:v>5.5</x:v>
      </x:c>
    </x:row>
    <x:row r="1458">
      <x:c r="A1458" s="22" t="str">
        <x:v>500110104</x:v>
      </x:c>
      <x:c r="B1458" s="17" t="str">
        <x:v>松山區</x:v>
      </x:c>
      <x:c r="C1458" s="17" t="str">
        <x:v>西松高中地下停車場</x:v>
      </x:c>
      <x:c r="D1458" s="18" t="n">
        <x:v>26</x:v>
      </x:c>
      <x:c r="E1458" s="18" t="n">
        <x:v>26</x:v>
      </x:c>
      <x:c r="F1458" s="24" t="n">
        <x:f>IFERROR('各站彙總來源'!F1458/'各站彙總來源'!G1458,"")</x:f>
        <x:v>24.807692307692307</x:v>
      </x:c>
      <x:c r="G1458" s="19" t="n">
        <x:f>'各站彙總來源'!G1458</x:f>
        <x:v>26</x:v>
      </x:c>
      <x:c r="H1458" s="24" t="n">
        <x:f>IFERROR('各站彙總來源'!H1458/'各站彙總來源'!I1458,"")</x:f>
        <x:v>2.269230769230769</x:v>
      </x:c>
      <x:c r="I1458" s="19" t="n">
        <x:f>'各站彙總來源'!I1458</x:f>
        <x:v>26</x:v>
      </x:c>
      <x:c r="J1458" s="24" t="n">
        <x:f>IFERROR('各站彙總來源'!J1458/'各站彙總來源'!K1458,"")</x:f>
        <x:v>3.4615384615384617</x:v>
      </x:c>
      <x:c r="K1458" s="19" t="n">
        <x:f>'各站彙總來源'!K1458</x:f>
        <x:v>26</x:v>
      </x:c>
      <x:c r="L1458" s="24" t="n">
        <x:f>IFERROR('各站彙總來源'!L1458/'各站彙總來源'!M1458,"")</x:f>
        <x:v>0.5384615384615384</x:v>
      </x:c>
      <x:c r="M1458" s="19" t="n">
        <x:f>'各站彙總來源'!M1458</x:f>
        <x:v>26</x:v>
      </x:c>
      <x:c r="N1458" s="24" t="n">
        <x:f>F1458+H1458</x:f>
        <x:v>27.076923076923077</x:v>
      </x:c>
      <x:c r="O1458" s="24" t="n">
        <x:f>J1458+L1458</x:f>
        <x:v>4</x:v>
      </x:c>
    </x:row>
    <x:row r="1459">
      <x:c r="A1459" s="22" t="str">
        <x:v>500110105</x:v>
      </x:c>
      <x:c r="B1459" s="17" t="str">
        <x:v>松山區</x:v>
      </x:c>
      <x:c r="C1459" s="17" t="str">
        <x:v>民生東路五段69巷</x:v>
      </x:c>
      <x:c r="D1459" s="18" t="n">
        <x:v>26</x:v>
      </x:c>
      <x:c r="E1459" s="18" t="n">
        <x:v>26</x:v>
      </x:c>
      <x:c r="F1459" s="24" t="n">
        <x:f>IFERROR('各站彙總來源'!F1459/'各站彙總來源'!G1459,"")</x:f>
        <x:v>10.26923076923077</x:v>
      </x:c>
      <x:c r="G1459" s="19" t="n">
        <x:f>'各站彙總來源'!G1459</x:f>
        <x:v>26</x:v>
      </x:c>
      <x:c r="H1459" s="24" t="n">
        <x:f>IFERROR('各站彙總來源'!H1459/'各站彙總來源'!I1459,"")</x:f>
        <x:v>1.8846153846153846</x:v>
      </x:c>
      <x:c r="I1459" s="19" t="n">
        <x:f>'各站彙總來源'!I1459</x:f>
        <x:v>26</x:v>
      </x:c>
      <x:c r="J1459" s="24" t="n">
        <x:f>IFERROR('各站彙總來源'!J1459/'各站彙總來源'!K1459,"")</x:f>
        <x:v>7.538461538461538</x:v>
      </x:c>
      <x:c r="K1459" s="19" t="n">
        <x:f>'各站彙總來源'!K1459</x:f>
        <x:v>26</x:v>
      </x:c>
      <x:c r="L1459" s="24" t="n">
        <x:f>IFERROR('各站彙總來源'!L1459/'各站彙總來源'!M1459,"")</x:f>
        <x:v>1.5769230769230769</x:v>
      </x:c>
      <x:c r="M1459" s="19" t="n">
        <x:f>'各站彙總來源'!M1459</x:f>
        <x:v>26</x:v>
      </x:c>
      <x:c r="N1459" s="24" t="n">
        <x:f>F1459+H1459</x:f>
        <x:v>12.153846153846155</x:v>
      </x:c>
      <x:c r="O1459" s="24" t="n">
        <x:f>J1459+L1459</x:f>
        <x:v>9.115384615384615</x:v>
      </x:c>
    </x:row>
    <x:row r="1460">
      <x:c r="A1460" s="22" t="str">
        <x:v>500110106</x:v>
      </x:c>
      <x:c r="B1460" s="17" t="str">
        <x:v>松山區</x:v>
      </x:c>
      <x:c r="C1460" s="17" t="str">
        <x:v>民生東路五段137巷6弄口</x:v>
      </x:c>
      <x:c r="D1460" s="18" t="n">
        <x:v>26</x:v>
      </x:c>
      <x:c r="E1460" s="18" t="n">
        <x:v>26</x:v>
      </x:c>
      <x:c r="F1460" s="24" t="n">
        <x:f>IFERROR('各站彙總來源'!F1460/'各站彙總來源'!G1460,"")</x:f>
        <x:v>9</x:v>
      </x:c>
      <x:c r="G1460" s="19" t="n">
        <x:f>'各站彙總來源'!G1460</x:f>
        <x:v>26</x:v>
      </x:c>
      <x:c r="H1460" s="24" t="n">
        <x:f>IFERROR('各站彙總來源'!H1460/'各站彙總來源'!I1460,"")</x:f>
        <x:v>2.3846153846153846</x:v>
      </x:c>
      <x:c r="I1460" s="19" t="n">
        <x:f>'各站彙總來源'!I1460</x:f>
        <x:v>26</x:v>
      </x:c>
      <x:c r="J1460" s="24" t="n">
        <x:f>IFERROR('各站彙總來源'!J1460/'各站彙總來源'!K1460,"")</x:f>
        <x:v>4.730769230769231</x:v>
      </x:c>
      <x:c r="K1460" s="19" t="n">
        <x:f>'各站彙總來源'!K1460</x:f>
        <x:v>26</x:v>
      </x:c>
      <x:c r="L1460" s="24" t="n">
        <x:f>IFERROR('各站彙總來源'!L1460/'各站彙總來源'!M1460,"")</x:f>
        <x:v>0.9615384615384616</x:v>
      </x:c>
      <x:c r="M1460" s="19" t="n">
        <x:f>'各站彙總來源'!M1460</x:f>
        <x:v>26</x:v>
      </x:c>
      <x:c r="N1460" s="24" t="n">
        <x:f>F1460+H1460</x:f>
        <x:v>11.384615384615385</x:v>
      </x:c>
      <x:c r="O1460" s="24" t="n">
        <x:f>J1460+L1460</x:f>
        <x:v>5.6923076923076925</x:v>
      </x:c>
    </x:row>
    <x:row r="1461">
      <x:c r="A1461" s="22" t="str">
        <x:v>500110107</x:v>
      </x:c>
      <x:c r="B1461" s="17" t="str">
        <x:v>松山區</x:v>
      </x:c>
      <x:c r="C1461" s="17" t="str">
        <x:v>敦化北慶城街口</x:v>
      </x:c>
      <x:c r="D1461" s="18" t="n">
        <x:v>26</x:v>
      </x:c>
      <x:c r="E1461" s="18" t="n">
        <x:v>26</x:v>
      </x:c>
      <x:c r="F1461" s="24" t="n">
        <x:f>IFERROR('各站彙總來源'!F1461/'各站彙總來源'!G1461,"")</x:f>
        <x:v>5.346153846153846</x:v>
      </x:c>
      <x:c r="G1461" s="19" t="n">
        <x:f>'各站彙總來源'!G1461</x:f>
        <x:v>26</x:v>
      </x:c>
      <x:c r="H1461" s="24" t="n">
        <x:f>IFERROR('各站彙總來源'!H1461/'各站彙總來源'!I1461,"")</x:f>
        <x:v>0.7307692307692307</x:v>
      </x:c>
      <x:c r="I1461" s="19" t="n">
        <x:f>'各站彙總來源'!I1461</x:f>
        <x:v>26</x:v>
      </x:c>
      <x:c r="J1461" s="24" t="n">
        <x:f>IFERROR('各站彙總來源'!J1461/'各站彙總來源'!K1461,"")</x:f>
        <x:v>75.5</x:v>
      </x:c>
      <x:c r="K1461" s="19" t="n">
        <x:f>'各站彙總來源'!K1461</x:f>
        <x:v>26</x:v>
      </x:c>
      <x:c r="L1461" s="24" t="n">
        <x:f>IFERROR('各站彙總來源'!L1461/'各站彙總來源'!M1461,"")</x:f>
        <x:v>5.076923076923077</x:v>
      </x:c>
      <x:c r="M1461" s="19" t="n">
        <x:f>'各站彙總來源'!M1461</x:f>
        <x:v>26</x:v>
      </x:c>
      <x:c r="N1461" s="24" t="n">
        <x:f>F1461+H1461</x:f>
        <x:v>6.076923076923077</x:v>
      </x:c>
      <x:c r="O1461" s="24" t="n">
        <x:f>J1461+L1461</x:f>
        <x:v>80.57692307692308</x:v>
      </x:c>
    </x:row>
    <x:row r="1462">
      <x:c r="A1462" s="22" t="str">
        <x:v>500110108</x:v>
      </x:c>
      <x:c r="B1462" s="17" t="str">
        <x:v>松山區</x:v>
      </x:c>
      <x:c r="C1462" s="17" t="str">
        <x:v>南京東路三段338巷口</x:v>
      </x:c>
      <x:c r="D1462" s="18" t="n">
        <x:v>26</x:v>
      </x:c>
      <x:c r="E1462" s="18" t="n">
        <x:v>26</x:v>
      </x:c>
      <x:c r="F1462" s="24" t="n">
        <x:f>IFERROR('各站彙總來源'!F1462/'各站彙總來源'!G1462,"")</x:f>
        <x:v>2.730769230769231</x:v>
      </x:c>
      <x:c r="G1462" s="19" t="n">
        <x:f>'各站彙總來源'!G1462</x:f>
        <x:v>26</x:v>
      </x:c>
      <x:c r="H1462" s="24" t="n">
        <x:f>IFERROR('各站彙總來源'!H1462/'各站彙總來源'!I1462,"")</x:f>
        <x:v>1.0769230769230769</x:v>
      </x:c>
      <x:c r="I1462" s="19" t="n">
        <x:f>'各站彙總來源'!I1462</x:f>
        <x:v>26</x:v>
      </x:c>
      <x:c r="J1462" s="24" t="n">
        <x:f>IFERROR('各站彙總來源'!J1462/'各站彙總來源'!K1462,"")</x:f>
        <x:v>12.076923076923077</x:v>
      </x:c>
      <x:c r="K1462" s="19" t="n">
        <x:f>'各站彙總來源'!K1462</x:f>
        <x:v>26</x:v>
      </x:c>
      <x:c r="L1462" s="24" t="n">
        <x:f>IFERROR('各站彙總來源'!L1462/'各站彙總來源'!M1462,"")</x:f>
        <x:v>3.3076923076923075</x:v>
      </x:c>
      <x:c r="M1462" s="19" t="n">
        <x:f>'各站彙總來源'!M1462</x:f>
        <x:v>26</x:v>
      </x:c>
      <x:c r="N1462" s="24" t="n">
        <x:f>F1462+H1462</x:f>
        <x:v>3.8076923076923075</x:v>
      </x:c>
      <x:c r="O1462" s="24" t="n">
        <x:f>J1462+L1462</x:f>
        <x:v>15.384615384615383</x:v>
      </x:c>
    </x:row>
    <x:row r="1463">
      <x:c r="A1463" s="22" t="str">
        <x:v>500110109</x:v>
      </x:c>
      <x:c r="B1463" s="17" t="str">
        <x:v>松山區</x:v>
      </x:c>
      <x:c r="C1463" s="17" t="str">
        <x:v>民權東路三段175巷口</x:v>
      </x:c>
      <x:c r="D1463" s="18" t="n">
        <x:v>26</x:v>
      </x:c>
      <x:c r="E1463" s="18" t="n">
        <x:v>26</x:v>
      </x:c>
      <x:c r="F1463" s="24" t="n">
        <x:f>IFERROR('各站彙總來源'!F1463/'各站彙總來源'!G1463,"")</x:f>
        <x:v>6.8076923076923075</x:v>
      </x:c>
      <x:c r="G1463" s="19" t="n">
        <x:f>'各站彙總來源'!G1463</x:f>
        <x:v>26</x:v>
      </x:c>
      <x:c r="H1463" s="24" t="n">
        <x:f>IFERROR('各站彙總來源'!H1463/'各站彙總來源'!I1463,"")</x:f>
        <x:v>1.4615384615384615</x:v>
      </x:c>
      <x:c r="I1463" s="19" t="n">
        <x:f>'各站彙總來源'!I1463</x:f>
        <x:v>26</x:v>
      </x:c>
      <x:c r="J1463" s="24" t="n">
        <x:f>IFERROR('各站彙總來源'!J1463/'各站彙總來源'!K1463,"")</x:f>
        <x:v>11.384615384615385</x:v>
      </x:c>
      <x:c r="K1463" s="19" t="n">
        <x:f>'各站彙總來源'!K1463</x:f>
        <x:v>26</x:v>
      </x:c>
      <x:c r="L1463" s="24" t="n">
        <x:f>IFERROR('各站彙總來源'!L1463/'各站彙總來源'!M1463,"")</x:f>
        <x:v>1.6153846153846154</x:v>
      </x:c>
      <x:c r="M1463" s="19" t="n">
        <x:f>'各站彙總來源'!M1463</x:f>
        <x:v>26</x:v>
      </x:c>
      <x:c r="N1463" s="24" t="n">
        <x:f>F1463+H1463</x:f>
        <x:v>8.269230769230768</x:v>
      </x:c>
      <x:c r="O1463" s="24" t="n">
        <x:f>J1463+L1463</x:f>
        <x:v>13</x:v>
      </x:c>
    </x:row>
    <x:row r="1464">
      <x:c r="A1464" s="22" t="str">
        <x:v>500110110</x:v>
      </x:c>
      <x:c r="B1464" s="17" t="str">
        <x:v>松山區</x:v>
      </x:c>
      <x:c r="C1464" s="17" t="str">
        <x:v>健康路225巷口</x:v>
      </x:c>
      <x:c r="D1464" s="18" t="n">
        <x:v>26</x:v>
      </x:c>
      <x:c r="E1464" s="18" t="n">
        <x:v>26</x:v>
      </x:c>
      <x:c r="F1464" s="24" t="n">
        <x:f>IFERROR('各站彙總來源'!F1464/'各站彙總來源'!G1464,"")</x:f>
        <x:v>12.653846153846153</x:v>
      </x:c>
      <x:c r="G1464" s="19" t="n">
        <x:f>'各站彙總來源'!G1464</x:f>
        <x:v>26</x:v>
      </x:c>
      <x:c r="H1464" s="24" t="n">
        <x:f>IFERROR('各站彙總來源'!H1464/'各站彙總來源'!I1464,"")</x:f>
        <x:v>1.5384615384615385</x:v>
      </x:c>
      <x:c r="I1464" s="19" t="n">
        <x:f>'各站彙總來源'!I1464</x:f>
        <x:v>26</x:v>
      </x:c>
      <x:c r="J1464" s="24" t="n">
        <x:f>IFERROR('各站彙總來源'!J1464/'各站彙總來源'!K1464,"")</x:f>
        <x:v>4.076923076923077</x:v>
      </x:c>
      <x:c r="K1464" s="19" t="n">
        <x:f>'各站彙總來源'!K1464</x:f>
        <x:v>26</x:v>
      </x:c>
      <x:c r="L1464" s="24" t="n">
        <x:f>IFERROR('各站彙總來源'!L1464/'各站彙總來源'!M1464,"")</x:f>
        <x:v>0.7692307692307693</x:v>
      </x:c>
      <x:c r="M1464" s="19" t="n">
        <x:f>'各站彙總來源'!M1464</x:f>
        <x:v>26</x:v>
      </x:c>
      <x:c r="N1464" s="24" t="n">
        <x:f>F1464+H1464</x:f>
        <x:v>14.192307692307692</x:v>
      </x:c>
      <x:c r="O1464" s="24" t="n">
        <x:f>J1464+L1464</x:f>
        <x:v>4.846153846153846</x:v>
      </x:c>
    </x:row>
    <x:row r="1465">
      <x:c r="A1465" s="22" t="str">
        <x:v>500110111</x:v>
      </x:c>
      <x:c r="B1465" s="17" t="str">
        <x:v>松山區</x:v>
      </x:c>
      <x:c r="C1465" s="17" t="str">
        <x:v>民生東路三段130巷口(國泰環宇大樓)</x:v>
      </x:c>
      <x:c r="D1465" s="18" t="n">
        <x:v>26</x:v>
      </x:c>
      <x:c r="E1465" s="18" t="n">
        <x:v>6</x:v>
      </x:c>
      <x:c r="F1465" s="24" t="n">
        <x:f>IFERROR('各站彙總來源'!F1465/'各站彙總來源'!G1465,"")</x:f>
        <x:v>2.4</x:v>
      </x:c>
      <x:c r="G1465" s="19" t="n">
        <x:f>'各站彙總來源'!G1465</x:f>
        <x:v>5</x:v>
      </x:c>
      <x:c r="H1465" s="24" t="n">
        <x:f>IFERROR('各站彙總來源'!H1465/'各站彙總來源'!I1465,"")</x:f>
        <x:v>0</x:v>
      </x:c>
      <x:c r="I1465" s="19" t="n">
        <x:f>'各站彙總來源'!I1465</x:f>
        <x:v>5</x:v>
      </x:c>
      <x:c r="J1465" s="24" t="n">
        <x:f>IFERROR('各站彙總來源'!J1465/'各站彙總來源'!K1465,"")</x:f>
        <x:v>4.833333333333333</x:v>
      </x:c>
      <x:c r="K1465" s="19" t="n">
        <x:f>'各站彙總來源'!K1465</x:f>
        <x:v>6</x:v>
      </x:c>
      <x:c r="L1465" s="24" t="n">
        <x:f>IFERROR('各站彙總來源'!L1465/'各站彙總來源'!M1465,"")</x:f>
        <x:v>1.3333333333333333</x:v>
      </x:c>
      <x:c r="M1465" s="19" t="n">
        <x:f>'各站彙總來源'!M1465</x:f>
        <x:v>6</x:v>
      </x:c>
      <x:c r="N1465" s="24" t="n">
        <x:f>F1465+H1465</x:f>
        <x:v>2.4</x:v>
      </x:c>
      <x:c r="O1465" s="24" t="n">
        <x:f>J1465+L1465</x:f>
        <x:v>6.166666666666666</x:v>
      </x:c>
    </x:row>
    <x:row r="1466">
      <x:c r="A1466" s="22" t="str">
        <x:v>500111001</x:v>
      </x:c>
      <x:c r="B1466" s="17" t="str">
        <x:v>南港區</x:v>
      </x:c>
      <x:c r="C1466" s="17" t="str">
        <x:v>南港公園(東新街)</x:v>
      </x:c>
      <x:c r="D1466" s="18" t="n">
        <x:v>26</x:v>
      </x:c>
      <x:c r="E1466" s="18" t="n">
        <x:v>26</x:v>
      </x:c>
      <x:c r="F1466" s="24" t="n">
        <x:f>IFERROR('各站彙總來源'!F1466/'各站彙總來源'!G1466,"")</x:f>
        <x:v>16.346153846153847</x:v>
      </x:c>
      <x:c r="G1466" s="19" t="n">
        <x:f>'各站彙總來源'!G1466</x:f>
        <x:v>26</x:v>
      </x:c>
      <x:c r="H1466" s="24" t="n">
        <x:f>IFERROR('各站彙總來源'!H1466/'各站彙總來源'!I1466,"")</x:f>
        <x:v>5</x:v>
      </x:c>
      <x:c r="I1466" s="19" t="n">
        <x:f>'各站彙總來源'!I1466</x:f>
        <x:v>26</x:v>
      </x:c>
      <x:c r="J1466" s="24" t="n">
        <x:f>IFERROR('各站彙總來源'!J1466/'各站彙總來源'!K1466,"")</x:f>
        <x:v>6.384615384615385</x:v>
      </x:c>
      <x:c r="K1466" s="19" t="n">
        <x:f>'各站彙總來源'!K1466</x:f>
        <x:v>26</x:v>
      </x:c>
      <x:c r="L1466" s="24" t="n">
        <x:f>IFERROR('各站彙總來源'!L1466/'各站彙總來源'!M1466,"")</x:f>
        <x:v>2.4615384615384617</x:v>
      </x:c>
      <x:c r="M1466" s="19" t="n">
        <x:f>'各站彙總來源'!M1466</x:f>
        <x:v>26</x:v>
      </x:c>
      <x:c r="N1466" s="24" t="n">
        <x:f>F1466+H1466</x:f>
        <x:v>21.346153846153847</x:v>
      </x:c>
      <x:c r="O1466" s="24" t="n">
        <x:f>J1466+L1466</x:f>
        <x:v>8.846153846153847</x:v>
      </x:c>
    </x:row>
    <x:row r="1467">
      <x:c r="A1467" s="22" t="str">
        <x:v>500111002</x:v>
      </x:c>
      <x:c r="B1467" s="17" t="str">
        <x:v>南港區</x:v>
      </x:c>
      <x:c r="C1467" s="17" t="str">
        <x:v>南港公園(福德街)</x:v>
      </x:c>
      <x:c r="D1467" s="18" t="n">
        <x:v>26</x:v>
      </x:c>
      <x:c r="E1467" s="18" t="n">
        <x:v>26</x:v>
      </x:c>
      <x:c r="F1467" s="24" t="n">
        <x:f>IFERROR('各站彙總來源'!F1467/'各站彙總來源'!G1467,"")</x:f>
        <x:v>30.615384615384617</x:v>
      </x:c>
      <x:c r="G1467" s="19" t="n">
        <x:f>'各站彙總來源'!G1467</x:f>
        <x:v>26</x:v>
      </x:c>
      <x:c r="H1467" s="24" t="n">
        <x:f>IFERROR('各站彙總來源'!H1467/'各站彙總來源'!I1467,"")</x:f>
        <x:v>5.923076923076923</x:v>
      </x:c>
      <x:c r="I1467" s="19" t="n">
        <x:f>'各站彙總來源'!I1467</x:f>
        <x:v>26</x:v>
      </x:c>
      <x:c r="J1467" s="24" t="n">
        <x:f>IFERROR('各站彙總來源'!J1467/'各站彙總來源'!K1467,"")</x:f>
        <x:v>6.461538461538462</x:v>
      </x:c>
      <x:c r="K1467" s="19" t="n">
        <x:f>'各站彙總來源'!K1467</x:f>
        <x:v>26</x:v>
      </x:c>
      <x:c r="L1467" s="24" t="n">
        <x:f>IFERROR('各站彙總來源'!L1467/'各站彙總來源'!M1467,"")</x:f>
        <x:v>1.4230769230769231</x:v>
      </x:c>
      <x:c r="M1467" s="19" t="n">
        <x:f>'各站彙總來源'!M1467</x:f>
        <x:v>26</x:v>
      </x:c>
      <x:c r="N1467" s="24" t="n">
        <x:f>F1467+H1467</x:f>
        <x:v>36.53846153846154</x:v>
      </x:c>
      <x:c r="O1467" s="24" t="n">
        <x:f>J1467+L1467</x:f>
        <x:v>7.884615384615385</x:v>
      </x:c>
    </x:row>
    <x:row r="1468">
      <x:c r="A1468" s="22" t="str">
        <x:v>500111003</x:v>
      </x:c>
      <x:c r="B1468" s="17" t="str">
        <x:v>南港區</x:v>
      </x:c>
      <x:c r="C1468" s="17" t="str">
        <x:v>捷運昆陽站(1號出口)</x:v>
      </x:c>
      <x:c r="D1468" s="18" t="n">
        <x:v>26</x:v>
      </x:c>
      <x:c r="E1468" s="18" t="n">
        <x:v>26</x:v>
      </x:c>
      <x:c r="F1468" s="24" t="n">
        <x:f>IFERROR('各站彙總來源'!F1468/'各站彙總來源'!G1468,"")</x:f>
        <x:v>13.538461538461538</x:v>
      </x:c>
      <x:c r="G1468" s="19" t="n">
        <x:f>'各站彙總來源'!G1468</x:f>
        <x:v>26</x:v>
      </x:c>
      <x:c r="H1468" s="24" t="n">
        <x:f>IFERROR('各站彙總來源'!H1468/'各站彙總來源'!I1468,"")</x:f>
        <x:v>2.3076923076923075</x:v>
      </x:c>
      <x:c r="I1468" s="19" t="n">
        <x:f>'各站彙總來源'!I1468</x:f>
        <x:v>26</x:v>
      </x:c>
      <x:c r="J1468" s="24" t="n">
        <x:f>IFERROR('各站彙總來源'!J1468/'各站彙總來源'!K1468,"")</x:f>
        <x:v>11.115384615384615</x:v>
      </x:c>
      <x:c r="K1468" s="19" t="n">
        <x:f>'各站彙總來源'!K1468</x:f>
        <x:v>26</x:v>
      </x:c>
      <x:c r="L1468" s="24" t="n">
        <x:f>IFERROR('各站彙總來源'!L1468/'各站彙總來源'!M1468,"")</x:f>
        <x:v>2.5</x:v>
      </x:c>
      <x:c r="M1468" s="19" t="n">
        <x:f>'各站彙總來源'!M1468</x:f>
        <x:v>26</x:v>
      </x:c>
      <x:c r="N1468" s="24" t="n">
        <x:f>F1468+H1468</x:f>
        <x:v>15.846153846153847</x:v>
      </x:c>
      <x:c r="O1468" s="24" t="n">
        <x:f>J1468+L1468</x:f>
        <x:v>13.615384615384615</x:v>
      </x:c>
    </x:row>
    <x:row r="1469">
      <x:c r="A1469" s="22" t="str">
        <x:v>500111004</x:v>
      </x:c>
      <x:c r="B1469" s="17" t="str">
        <x:v>南港區</x:v>
      </x:c>
      <x:c r="C1469" s="17" t="str">
        <x:v>忠孝東路六段225巷口</x:v>
      </x:c>
      <x:c r="D1469" s="18" t="n">
        <x:v>26</x:v>
      </x:c>
      <x:c r="E1469" s="18" t="n">
        <x:v>26</x:v>
      </x:c>
      <x:c r="F1469" s="24" t="n">
        <x:f>IFERROR('各站彙總來源'!F1469/'各站彙總來源'!G1469,"")</x:f>
        <x:v>25.576923076923077</x:v>
      </x:c>
      <x:c r="G1469" s="19" t="n">
        <x:f>'各站彙總來源'!G1469</x:f>
        <x:v>26</x:v>
      </x:c>
      <x:c r="H1469" s="24" t="n">
        <x:f>IFERROR('各站彙總來源'!H1469/'各站彙總來源'!I1469,"")</x:f>
        <x:v>2.769230769230769</x:v>
      </x:c>
      <x:c r="I1469" s="19" t="n">
        <x:f>'各站彙總來源'!I1469</x:f>
        <x:v>26</x:v>
      </x:c>
      <x:c r="J1469" s="24" t="n">
        <x:f>IFERROR('各站彙總來源'!J1469/'各站彙總來源'!K1469,"")</x:f>
        <x:v>5.846153846153846</x:v>
      </x:c>
      <x:c r="K1469" s="19" t="n">
        <x:f>'各站彙總來源'!K1469</x:f>
        <x:v>26</x:v>
      </x:c>
      <x:c r="L1469" s="24" t="n">
        <x:f>IFERROR('各站彙總來源'!L1469/'各站彙總來源'!M1469,"")</x:f>
        <x:v>1.1153846153846154</x:v>
      </x:c>
      <x:c r="M1469" s="19" t="n">
        <x:f>'各站彙總來源'!M1469</x:f>
        <x:v>26</x:v>
      </x:c>
      <x:c r="N1469" s="24" t="n">
        <x:f>F1469+H1469</x:f>
        <x:v>28.346153846153847</x:v>
      </x:c>
      <x:c r="O1469" s="24" t="n">
        <x:f>J1469+L1469</x:f>
        <x:v>6.961538461538462</x:v>
      </x:c>
    </x:row>
    <x:row r="1470">
      <x:c r="A1470" s="22" t="str">
        <x:v>500111005</x:v>
      </x:c>
      <x:c r="B1470" s="17" t="str">
        <x:v>南港區</x:v>
      </x:c>
      <x:c r="C1470" s="17" t="str">
        <x:v>捷運後山埤站(1號出口)</x:v>
      </x:c>
      <x:c r="D1470" s="18" t="n">
        <x:v>26</x:v>
      </x:c>
      <x:c r="E1470" s="18" t="n">
        <x:v>26</x:v>
      </x:c>
      <x:c r="F1470" s="24" t="n">
        <x:f>IFERROR('各站彙總來源'!F1470/'各站彙總來源'!G1470,"")</x:f>
        <x:v>12.076923076923077</x:v>
      </x:c>
      <x:c r="G1470" s="19" t="n">
        <x:f>'各站彙總來源'!G1470</x:f>
        <x:v>26</x:v>
      </x:c>
      <x:c r="H1470" s="24" t="n">
        <x:f>IFERROR('各站彙總來源'!H1470/'各站彙總來源'!I1470,"")</x:f>
        <x:v>1.9230769230769231</x:v>
      </x:c>
      <x:c r="I1470" s="19" t="n">
        <x:f>'各站彙總來源'!I1470</x:f>
        <x:v>26</x:v>
      </x:c>
      <x:c r="J1470" s="24" t="n">
        <x:f>IFERROR('各站彙總來源'!J1470/'各站彙總來源'!K1470,"")</x:f>
        <x:v>28.96153846153846</x:v>
      </x:c>
      <x:c r="K1470" s="19" t="n">
        <x:f>'各站彙總來源'!K1470</x:f>
        <x:v>26</x:v>
      </x:c>
      <x:c r="L1470" s="24" t="n">
        <x:f>IFERROR('各站彙總來源'!L1470/'各站彙總來源'!M1470,"")</x:f>
        <x:v>3.423076923076923</x:v>
      </x:c>
      <x:c r="M1470" s="19" t="n">
        <x:f>'各站彙總來源'!M1470</x:f>
        <x:v>26</x:v>
      </x:c>
      <x:c r="N1470" s="24" t="n">
        <x:f>F1470+H1470</x:f>
        <x:v>14</x:v>
      </x:c>
      <x:c r="O1470" s="24" t="n">
        <x:f>J1470+L1470</x:f>
        <x:v>32.38461538461538</x:v>
      </x:c>
    </x:row>
    <x:row r="1471">
      <x:c r="A1471" s="22" t="str">
        <x:v>500111006</x:v>
      </x:c>
      <x:c r="B1471" s="17" t="str">
        <x:v>南港區</x:v>
      </x:c>
      <x:c r="C1471" s="17" t="str">
        <x:v>合樂公園</x:v>
      </x:c>
      <x:c r="D1471" s="18" t="n">
        <x:v>26</x:v>
      </x:c>
      <x:c r="E1471" s="18" t="n">
        <x:v>26</x:v>
      </x:c>
      <x:c r="F1471" s="24" t="n">
        <x:f>IFERROR('各站彙總來源'!F1471/'各站彙總來源'!G1471,"")</x:f>
        <x:v>8.846153846153847</x:v>
      </x:c>
      <x:c r="G1471" s="19" t="n">
        <x:f>'各站彙總來源'!G1471</x:f>
        <x:v>26</x:v>
      </x:c>
      <x:c r="H1471" s="24" t="n">
        <x:f>IFERROR('各站彙總來源'!H1471/'各站彙總來源'!I1471,"")</x:f>
        <x:v>2.8846153846153846</x:v>
      </x:c>
      <x:c r="I1471" s="19" t="n">
        <x:f>'各站彙總來源'!I1471</x:f>
        <x:v>26</x:v>
      </x:c>
      <x:c r="J1471" s="24" t="n">
        <x:f>IFERROR('各站彙總來源'!J1471/'各站彙總來源'!K1471,"")</x:f>
        <x:v>9.73076923076923</x:v>
      </x:c>
      <x:c r="K1471" s="19" t="n">
        <x:f>'各站彙總來源'!K1471</x:f>
        <x:v>26</x:v>
      </x:c>
      <x:c r="L1471" s="24" t="n">
        <x:f>IFERROR('各站彙總來源'!L1471/'各站彙總來源'!M1471,"")</x:f>
        <x:v>3.923076923076923</x:v>
      </x:c>
      <x:c r="M1471" s="19" t="n">
        <x:f>'各站彙總來源'!M1471</x:f>
        <x:v>26</x:v>
      </x:c>
      <x:c r="N1471" s="24" t="n">
        <x:f>F1471+H1471</x:f>
        <x:v>11.730769230769232</x:v>
      </x:c>
      <x:c r="O1471" s="24" t="n">
        <x:f>J1471+L1471</x:f>
        <x:v>13.653846153846153</x:v>
      </x:c>
    </x:row>
    <x:row r="1472">
      <x:c r="A1472" s="22" t="str">
        <x:v>500111007</x:v>
      </x:c>
      <x:c r="B1472" s="17" t="str">
        <x:v>南港區</x:v>
      </x:c>
      <x:c r="C1472" s="17" t="str">
        <x:v>合心廣場</x:v>
      </x:c>
      <x:c r="D1472" s="18" t="n">
        <x:v>26</x:v>
      </x:c>
      <x:c r="E1472" s="18" t="n">
        <x:v>26</x:v>
      </x:c>
      <x:c r="F1472" s="24" t="n">
        <x:f>IFERROR('各站彙總來源'!F1472/'各站彙總來源'!G1472,"")</x:f>
        <x:v>10.115384615384615</x:v>
      </x:c>
      <x:c r="G1472" s="19" t="n">
        <x:f>'各站彙總來源'!G1472</x:f>
        <x:v>26</x:v>
      </x:c>
      <x:c r="H1472" s="24" t="n">
        <x:f>IFERROR('各站彙總來源'!H1472/'各站彙總來源'!I1472,"")</x:f>
        <x:v>2.269230769230769</x:v>
      </x:c>
      <x:c r="I1472" s="19" t="n">
        <x:f>'各站彙總來源'!I1472</x:f>
        <x:v>26</x:v>
      </x:c>
      <x:c r="J1472" s="24" t="n">
        <x:f>IFERROR('各站彙總來源'!J1472/'各站彙總來源'!K1472,"")</x:f>
        <x:v>13.5</x:v>
      </x:c>
      <x:c r="K1472" s="19" t="n">
        <x:f>'各站彙總來源'!K1472</x:f>
        <x:v>26</x:v>
      </x:c>
      <x:c r="L1472" s="24" t="n">
        <x:f>IFERROR('各站彙總來源'!L1472/'各站彙總來源'!M1472,"")</x:f>
        <x:v>2.0384615384615383</x:v>
      </x:c>
      <x:c r="M1472" s="19" t="n">
        <x:f>'各站彙總來源'!M1472</x:f>
        <x:v>26</x:v>
      </x:c>
      <x:c r="N1472" s="24" t="n">
        <x:f>F1472+H1472</x:f>
        <x:v>12.384615384615383</x:v>
      </x:c>
      <x:c r="O1472" s="24" t="n">
        <x:f>J1472+L1472</x:f>
        <x:v>15.538461538461538</x:v>
      </x:c>
    </x:row>
    <x:row r="1473">
      <x:c r="A1473" s="22" t="str">
        <x:v>500111008</x:v>
      </x:c>
      <x:c r="B1473" s="17" t="str">
        <x:v>南港區</x:v>
      </x:c>
      <x:c r="C1473" s="17" t="str">
        <x:v>成德國中</x:v>
      </x:c>
      <x:c r="D1473" s="18" t="n">
        <x:v>26</x:v>
      </x:c>
      <x:c r="E1473" s="18" t="n">
        <x:v>26</x:v>
      </x:c>
      <x:c r="F1473" s="24" t="n">
        <x:f>IFERROR('各站彙總來源'!F1473/'各站彙總來源'!G1473,"")</x:f>
        <x:v>13.115384615384615</x:v>
      </x:c>
      <x:c r="G1473" s="19" t="n">
        <x:f>'各站彙總來源'!G1473</x:f>
        <x:v>26</x:v>
      </x:c>
      <x:c r="H1473" s="24" t="n">
        <x:f>IFERROR('各站彙總來源'!H1473/'各站彙總來源'!I1473,"")</x:f>
        <x:v>2.9615384615384617</x:v>
      </x:c>
      <x:c r="I1473" s="19" t="n">
        <x:f>'各站彙總來源'!I1473</x:f>
        <x:v>26</x:v>
      </x:c>
      <x:c r="J1473" s="24" t="n">
        <x:f>IFERROR('各站彙總來源'!J1473/'各站彙總來源'!K1473,"")</x:f>
        <x:v>10.538461538461538</x:v>
      </x:c>
      <x:c r="K1473" s="19" t="n">
        <x:f>'各站彙總來源'!K1473</x:f>
        <x:v>26</x:v>
      </x:c>
      <x:c r="L1473" s="24" t="n">
        <x:f>IFERROR('各站彙總來源'!L1473/'各站彙總來源'!M1473,"")</x:f>
        <x:v>3.1153846153846154</x:v>
      </x:c>
      <x:c r="M1473" s="19" t="n">
        <x:f>'各站彙總來源'!M1473</x:f>
        <x:v>26</x:v>
      </x:c>
      <x:c r="N1473" s="24" t="n">
        <x:f>F1473+H1473</x:f>
        <x:v>16.076923076923077</x:v>
      </x:c>
      <x:c r="O1473" s="24" t="n">
        <x:f>J1473+L1473</x:f>
        <x:v>13.653846153846153</x:v>
      </x:c>
    </x:row>
    <x:row r="1474">
      <x:c r="A1474" s="22" t="str">
        <x:v>500111009</x:v>
      </x:c>
      <x:c r="B1474" s="17" t="str">
        <x:v>南港區</x:v>
      </x:c>
      <x:c r="C1474" s="17" t="str">
        <x:v>玉成公園</x:v>
      </x:c>
      <x:c r="D1474" s="18" t="n">
        <x:v>26</x:v>
      </x:c>
      <x:c r="E1474" s="18" t="n">
        <x:v>26</x:v>
      </x:c>
      <x:c r="F1474" s="24" t="n">
        <x:f>IFERROR('各站彙總來源'!F1474/'各站彙總來源'!G1474,"")</x:f>
        <x:v>29.807692307692307</x:v>
      </x:c>
      <x:c r="G1474" s="19" t="n">
        <x:f>'各站彙總來源'!G1474</x:f>
        <x:v>26</x:v>
      </x:c>
      <x:c r="H1474" s="24" t="n">
        <x:f>IFERROR('各站彙總來源'!H1474/'各站彙總來源'!I1474,"")</x:f>
        <x:v>1.3076923076923077</x:v>
      </x:c>
      <x:c r="I1474" s="19" t="n">
        <x:f>'各站彙總來源'!I1474</x:f>
        <x:v>26</x:v>
      </x:c>
      <x:c r="J1474" s="24" t="n">
        <x:f>IFERROR('各站彙總來源'!J1474/'各站彙總來源'!K1474,"")</x:f>
        <x:v>6.115384615384615</x:v>
      </x:c>
      <x:c r="K1474" s="19" t="n">
        <x:f>'各站彙總來源'!K1474</x:f>
        <x:v>26</x:v>
      </x:c>
      <x:c r="L1474" s="24" t="n">
        <x:f>IFERROR('各站彙總來源'!L1474/'各站彙總來源'!M1474,"")</x:f>
        <x:v>1</x:v>
      </x:c>
      <x:c r="M1474" s="19" t="n">
        <x:f>'各站彙總來源'!M1474</x:f>
        <x:v>26</x:v>
      </x:c>
      <x:c r="N1474" s="24" t="n">
        <x:f>F1474+H1474</x:f>
        <x:v>31.115384615384613</x:v>
      </x:c>
      <x:c r="O1474" s="24" t="n">
        <x:f>J1474+L1474</x:f>
        <x:v>7.115384615384615</x:v>
      </x:c>
    </x:row>
    <x:row r="1475">
      <x:c r="A1475" s="22" t="str">
        <x:v>500111010</x:v>
      </x:c>
      <x:c r="B1475" s="17" t="str">
        <x:v>南港區</x:v>
      </x:c>
      <x:c r="C1475" s="17" t="str">
        <x:v>研究院舊莊街口</x:v>
      </x:c>
      <x:c r="D1475" s="18" t="n">
        <x:v>26</x:v>
      </x:c>
      <x:c r="E1475" s="18" t="n">
        <x:v>26</x:v>
      </x:c>
      <x:c r="F1475" s="24" t="n">
        <x:f>IFERROR('各站彙總來源'!F1475/'各站彙總來源'!G1475,"")</x:f>
        <x:v>14.73076923076923</x:v>
      </x:c>
      <x:c r="G1475" s="19" t="n">
        <x:f>'各站彙總來源'!G1475</x:f>
        <x:v>26</x:v>
      </x:c>
      <x:c r="H1475" s="24" t="n">
        <x:f>IFERROR('各站彙總來源'!H1475/'各站彙總來源'!I1475,"")</x:f>
        <x:v>1.2692307692307692</x:v>
      </x:c>
      <x:c r="I1475" s="19" t="n">
        <x:f>'各站彙總來源'!I1475</x:f>
        <x:v>26</x:v>
      </x:c>
      <x:c r="J1475" s="24" t="n">
        <x:f>IFERROR('各站彙總來源'!J1475/'各站彙總來源'!K1475,"")</x:f>
        <x:v>8.884615384615385</x:v>
      </x:c>
      <x:c r="K1475" s="19" t="n">
        <x:f>'各站彙總來源'!K1475</x:f>
        <x:v>26</x:v>
      </x:c>
      <x:c r="L1475" s="24" t="n">
        <x:f>IFERROR('各站彙總來源'!L1475/'各站彙總來源'!M1475,"")</x:f>
        <x:v>1.9230769230769231</x:v>
      </x:c>
      <x:c r="M1475" s="19" t="n">
        <x:f>'各站彙總來源'!M1475</x:f>
        <x:v>26</x:v>
      </x:c>
      <x:c r="N1475" s="24" t="n">
        <x:f>F1475+H1475</x:f>
        <x:v>16</x:v>
      </x:c>
      <x:c r="O1475" s="24" t="n">
        <x:f>J1475+L1475</x:f>
        <x:v>10.807692307692308</x:v>
      </x:c>
    </x:row>
    <x:row r="1476">
      <x:c r="A1476" s="22" t="str">
        <x:v>500111011</x:v>
      </x:c>
      <x:c r="B1476" s="17" t="str">
        <x:v>南港區</x:v>
      </x:c>
      <x:c r="C1476" s="17" t="str">
        <x:v>中研院綜合體育館東側</x:v>
      </x:c>
      <x:c r="D1476" s="18" t="n">
        <x:v>26</x:v>
      </x:c>
      <x:c r="E1476" s="18" t="n">
        <x:v>26</x:v>
      </x:c>
      <x:c r="F1476" s="24" t="n">
        <x:f>IFERROR('各站彙總來源'!F1476/'各站彙總來源'!G1476,"")</x:f>
        <x:v>7.769230769230769</x:v>
      </x:c>
      <x:c r="G1476" s="19" t="n">
        <x:f>'各站彙總來源'!G1476</x:f>
        <x:v>26</x:v>
      </x:c>
      <x:c r="H1476" s="24" t="n">
        <x:f>IFERROR('各站彙總來源'!H1476/'各站彙總來源'!I1476,"")</x:f>
        <x:v>1.8846153846153846</x:v>
      </x:c>
      <x:c r="I1476" s="19" t="n">
        <x:f>'各站彙總來源'!I1476</x:f>
        <x:v>26</x:v>
      </x:c>
      <x:c r="J1476" s="24" t="n">
        <x:f>IFERROR('各站彙總來源'!J1476/'各站彙總來源'!K1476,"")</x:f>
        <x:v>33.07692307692308</x:v>
      </x:c>
      <x:c r="K1476" s="19" t="n">
        <x:f>'各站彙總來源'!K1476</x:f>
        <x:v>26</x:v>
      </x:c>
      <x:c r="L1476" s="24" t="n">
        <x:f>IFERROR('各站彙總來源'!L1476/'各站彙總來源'!M1476,"")</x:f>
        <x:v>5.346153846153846</x:v>
      </x:c>
      <x:c r="M1476" s="19" t="n">
        <x:f>'各站彙總來源'!M1476</x:f>
        <x:v>26</x:v>
      </x:c>
      <x:c r="N1476" s="24" t="n">
        <x:f>F1476+H1476</x:f>
        <x:v>9.653846153846153</x:v>
      </x:c>
      <x:c r="O1476" s="24" t="n">
        <x:f>J1476+L1476</x:f>
        <x:v>38.42307692307693</x:v>
      </x:c>
    </x:row>
    <x:row r="1477">
      <x:c r="A1477" s="22" t="str">
        <x:v>500111012</x:v>
      </x:c>
      <x:c r="B1477" s="17" t="str">
        <x:v>南港區</x:v>
      </x:c>
      <x:c r="C1477" s="17" t="str">
        <x:v>國家生技園區</x:v>
      </x:c>
      <x:c r="D1477" s="18" t="n">
        <x:v>26</x:v>
      </x:c>
      <x:c r="E1477" s="18" t="n">
        <x:v>26</x:v>
      </x:c>
      <x:c r="F1477" s="24" t="n">
        <x:f>IFERROR('各站彙總來源'!F1477/'各站彙總來源'!G1477,"")</x:f>
        <x:v>4</x:v>
      </x:c>
      <x:c r="G1477" s="19" t="n">
        <x:f>'各站彙總來源'!G1477</x:f>
        <x:v>26</x:v>
      </x:c>
      <x:c r="H1477" s="24" t="n">
        <x:f>IFERROR('各站彙總來源'!H1477/'各站彙總來源'!I1477,"")</x:f>
        <x:v>1.3461538461538463</x:v>
      </x:c>
      <x:c r="I1477" s="19" t="n">
        <x:f>'各站彙總來源'!I1477</x:f>
        <x:v>26</x:v>
      </x:c>
      <x:c r="J1477" s="24" t="n">
        <x:f>IFERROR('各站彙總來源'!J1477/'各站彙總來源'!K1477,"")</x:f>
        <x:v>68.88461538461539</x:v>
      </x:c>
      <x:c r="K1477" s="19" t="n">
        <x:f>'各站彙總來源'!K1477</x:f>
        <x:v>26</x:v>
      </x:c>
      <x:c r="L1477" s="24" t="n">
        <x:f>IFERROR('各站彙總來源'!L1477/'各站彙總來源'!M1477,"")</x:f>
        <x:v>4.115384615384615</x:v>
      </x:c>
      <x:c r="M1477" s="19" t="n">
        <x:f>'各站彙總來源'!M1477</x:f>
        <x:v>26</x:v>
      </x:c>
      <x:c r="N1477" s="24" t="n">
        <x:f>F1477+H1477</x:f>
        <x:v>5.346153846153847</x:v>
      </x:c>
      <x:c r="O1477" s="24" t="n">
        <x:f>J1477+L1477</x:f>
        <x:v>73</x:v>
      </x:c>
    </x:row>
    <x:row r="1478">
      <x:c r="A1478" s="22" t="str">
        <x:v>500111013</x:v>
      </x:c>
      <x:c r="B1478" s="17" t="str">
        <x:v>南港區</x:v>
      </x:c>
      <x:c r="C1478" s="17" t="str">
        <x:v>捷運南港展覽館站(5號出口)</x:v>
      </x:c>
      <x:c r="D1478" s="18" t="n">
        <x:v>26</x:v>
      </x:c>
      <x:c r="E1478" s="18" t="n">
        <x:v>26</x:v>
      </x:c>
      <x:c r="F1478" s="24" t="n">
        <x:f>IFERROR('各站彙總來源'!F1478/'各站彙總來源'!G1478,"")</x:f>
        <x:v>32.42307692307692</x:v>
      </x:c>
      <x:c r="G1478" s="19" t="n">
        <x:f>'各站彙總來源'!G1478</x:f>
        <x:v>26</x:v>
      </x:c>
      <x:c r="H1478" s="24" t="n">
        <x:f>IFERROR('各站彙總來源'!H1478/'各站彙總來源'!I1478,"")</x:f>
        <x:v>2.8846153846153846</x:v>
      </x:c>
      <x:c r="I1478" s="19" t="n">
        <x:f>'各站彙總來源'!I1478</x:f>
        <x:v>26</x:v>
      </x:c>
      <x:c r="J1478" s="24" t="n">
        <x:f>IFERROR('各站彙總來源'!J1478/'各站彙總來源'!K1478,"")</x:f>
        <x:v>16.884615384615383</x:v>
      </x:c>
      <x:c r="K1478" s="19" t="n">
        <x:f>'各站彙總來源'!K1478</x:f>
        <x:v>26</x:v>
      </x:c>
      <x:c r="L1478" s="24" t="n">
        <x:f>IFERROR('各站彙總來源'!L1478/'各站彙總來源'!M1478,"")</x:f>
        <x:v>3.1923076923076925</x:v>
      </x:c>
      <x:c r="M1478" s="19" t="n">
        <x:f>'各站彙總來源'!M1478</x:f>
        <x:v>26</x:v>
      </x:c>
      <x:c r="N1478" s="24" t="n">
        <x:f>F1478+H1478</x:f>
        <x:v>35.30769230769231</x:v>
      </x:c>
      <x:c r="O1478" s="24" t="n">
        <x:f>J1478+L1478</x:f>
        <x:v>20.076923076923077</x:v>
      </x:c>
    </x:row>
    <x:row r="1479">
      <x:c r="A1479" s="22" t="str">
        <x:v>500111014</x:v>
      </x:c>
      <x:c r="B1479" s="17" t="str">
        <x:v>南港區</x:v>
      </x:c>
      <x:c r="C1479" s="17" t="str">
        <x:v>中研公園</x:v>
      </x:c>
      <x:c r="D1479" s="18" t="n">
        <x:v>26</x:v>
      </x:c>
      <x:c r="E1479" s="18" t="n">
        <x:v>26</x:v>
      </x:c>
      <x:c r="F1479" s="24" t="n">
        <x:f>IFERROR('各站彙總來源'!F1479/'各站彙總來源'!G1479,"")</x:f>
        <x:v>33.65384615384615</x:v>
      </x:c>
      <x:c r="G1479" s="19" t="n">
        <x:f>'各站彙總來源'!G1479</x:f>
        <x:v>26</x:v>
      </x:c>
      <x:c r="H1479" s="24" t="n">
        <x:f>IFERROR('各站彙總來源'!H1479/'各站彙總來源'!I1479,"")</x:f>
        <x:v>5.076923076923077</x:v>
      </x:c>
      <x:c r="I1479" s="19" t="n">
        <x:f>'各站彙總來源'!I1479</x:f>
        <x:v>26</x:v>
      </x:c>
      <x:c r="J1479" s="24" t="n">
        <x:f>IFERROR('各站彙總來源'!J1479/'各站彙總來源'!K1479,"")</x:f>
        <x:v>8.23076923076923</x:v>
      </x:c>
      <x:c r="K1479" s="19" t="n">
        <x:f>'各站彙總來源'!K1479</x:f>
        <x:v>26</x:v>
      </x:c>
      <x:c r="L1479" s="24" t="n">
        <x:f>IFERROR('各站彙總來源'!L1479/'各站彙總來源'!M1479,"")</x:f>
        <x:v>1.9230769230769231</x:v>
      </x:c>
      <x:c r="M1479" s="19" t="n">
        <x:f>'各站彙總來源'!M1479</x:f>
        <x:v>26</x:v>
      </x:c>
      <x:c r="N1479" s="24" t="n">
        <x:f>F1479+H1479</x:f>
        <x:v>38.730769230769226</x:v>
      </x:c>
      <x:c r="O1479" s="24" t="n">
        <x:f>J1479+L1479</x:f>
        <x:v>10.153846153846153</x:v>
      </x:c>
    </x:row>
    <x:row r="1480">
      <x:c r="A1480" s="22" t="str">
        <x:v>500111015</x:v>
      </x:c>
      <x:c r="B1480" s="17" t="str">
        <x:v>南港區</x:v>
      </x:c>
      <x:c r="C1480" s="17" t="str">
        <x:v>福山公園</x:v>
      </x:c>
      <x:c r="D1480" s="18" t="n">
        <x:v>26</x:v>
      </x:c>
      <x:c r="E1480" s="18" t="n">
        <x:v>26</x:v>
      </x:c>
      <x:c r="F1480" s="24" t="n">
        <x:f>IFERROR('各站彙總來源'!F1480/'各站彙總來源'!G1480,"")</x:f>
        <x:v>31.192307692307693</x:v>
      </x:c>
      <x:c r="G1480" s="19" t="n">
        <x:f>'各站彙總來源'!G1480</x:f>
        <x:v>26</x:v>
      </x:c>
      <x:c r="H1480" s="24" t="n">
        <x:f>IFERROR('各站彙總來源'!H1480/'各站彙總來源'!I1480,"")</x:f>
        <x:v>3.769230769230769</x:v>
      </x:c>
      <x:c r="I1480" s="19" t="n">
        <x:f>'各站彙總來源'!I1480</x:f>
        <x:v>26</x:v>
      </x:c>
      <x:c r="J1480" s="24" t="n">
        <x:f>IFERROR('各站彙總來源'!J1480/'各站彙總來源'!K1480,"")</x:f>
        <x:v>7.153846153846154</x:v>
      </x:c>
      <x:c r="K1480" s="19" t="n">
        <x:f>'各站彙總來源'!K1480</x:f>
        <x:v>26</x:v>
      </x:c>
      <x:c r="L1480" s="24" t="n">
        <x:f>IFERROR('各站彙總來源'!L1480/'各站彙總來源'!M1480,"")</x:f>
        <x:v>1.4615384615384615</x:v>
      </x:c>
      <x:c r="M1480" s="19" t="n">
        <x:f>'各站彙總來源'!M1480</x:f>
        <x:v>26</x:v>
      </x:c>
      <x:c r="N1480" s="24" t="n">
        <x:f>F1480+H1480</x:f>
        <x:v>34.96153846153846</x:v>
      </x:c>
      <x:c r="O1480" s="24" t="n">
        <x:f>J1480+L1480</x:f>
        <x:v>8.615384615384615</x:v>
      </x:c>
    </x:row>
    <x:row r="1481">
      <x:c r="A1481" s="22" t="str">
        <x:v>500111016</x:v>
      </x:c>
      <x:c r="B1481" s="17" t="str">
        <x:v>南港區</x:v>
      </x:c>
      <x:c r="C1481" s="17" t="str">
        <x:v>舊莊區民活動中心</x:v>
      </x:c>
      <x:c r="D1481" s="18" t="n">
        <x:v>26</x:v>
      </x:c>
      <x:c r="E1481" s="18" t="n">
        <x:v>26</x:v>
      </x:c>
      <x:c r="F1481" s="24" t="n">
        <x:f>IFERROR('各站彙總來源'!F1481/'各站彙總來源'!G1481,"")</x:f>
        <x:v>37.92307692307692</x:v>
      </x:c>
      <x:c r="G1481" s="19" t="n">
        <x:f>'各站彙總來源'!G1481</x:f>
        <x:v>26</x:v>
      </x:c>
      <x:c r="H1481" s="24" t="n">
        <x:f>IFERROR('各站彙總來源'!H1481/'各站彙總來源'!I1481,"")</x:f>
        <x:v>5.615384615384615</x:v>
      </x:c>
      <x:c r="I1481" s="19" t="n">
        <x:f>'各站彙總來源'!I1481</x:f>
        <x:v>26</x:v>
      </x:c>
      <x:c r="J1481" s="24" t="n">
        <x:f>IFERROR('各站彙總來源'!J1481/'各站彙總來源'!K1481,"")</x:f>
        <x:v>8.26923076923077</x:v>
      </x:c>
      <x:c r="K1481" s="19" t="n">
        <x:f>'各站彙總來源'!K1481</x:f>
        <x:v>26</x:v>
      </x:c>
      <x:c r="L1481" s="24" t="n">
        <x:f>IFERROR('各站彙總來源'!L1481/'各站彙總來源'!M1481,"")</x:f>
        <x:v>2.423076923076923</x:v>
      </x:c>
      <x:c r="M1481" s="19" t="n">
        <x:f>'各站彙總來源'!M1481</x:f>
        <x:v>26</x:v>
      </x:c>
      <x:c r="N1481" s="24" t="n">
        <x:f>F1481+H1481</x:f>
        <x:v>43.53846153846153</x:v>
      </x:c>
      <x:c r="O1481" s="24" t="n">
        <x:f>J1481+L1481</x:f>
        <x:v>10.692307692307693</x:v>
      </x:c>
    </x:row>
    <x:row r="1482">
      <x:c r="A1482" s="22" t="str">
        <x:v>500111017</x:v>
      </x:c>
      <x:c r="B1482" s="17" t="str">
        <x:v>南港區</x:v>
      </x:c>
      <x:c r="C1482" s="17" t="str">
        <x:v>凌雲市場</x:v>
      </x:c>
      <x:c r="D1482" s="18" t="n">
        <x:v>26</x:v>
      </x:c>
      <x:c r="E1482" s="18" t="n">
        <x:v>26</x:v>
      </x:c>
      <x:c r="F1482" s="24" t="n">
        <x:f>IFERROR('各站彙總來源'!F1482/'各站彙總來源'!G1482,"")</x:f>
        <x:v>18.653846153846153</x:v>
      </x:c>
      <x:c r="G1482" s="19" t="n">
        <x:f>'各站彙總來源'!G1482</x:f>
        <x:v>26</x:v>
      </x:c>
      <x:c r="H1482" s="24" t="n">
        <x:f>IFERROR('各站彙總來源'!H1482/'各站彙總來源'!I1482,"")</x:f>
        <x:v>3.8846153846153846</x:v>
      </x:c>
      <x:c r="I1482" s="19" t="n">
        <x:f>'各站彙總來源'!I1482</x:f>
        <x:v>26</x:v>
      </x:c>
      <x:c r="J1482" s="24" t="n">
        <x:f>IFERROR('各站彙總來源'!J1482/'各站彙總來源'!K1482,"")</x:f>
        <x:v>4.384615384615385</x:v>
      </x:c>
      <x:c r="K1482" s="19" t="n">
        <x:f>'各站彙總來源'!K1482</x:f>
        <x:v>26</x:v>
      </x:c>
      <x:c r="L1482" s="24" t="n">
        <x:f>IFERROR('各站彙總來源'!L1482/'各站彙總來源'!M1482,"")</x:f>
        <x:v>1.3461538461538463</x:v>
      </x:c>
      <x:c r="M1482" s="19" t="n">
        <x:f>'各站彙總來源'!M1482</x:f>
        <x:v>26</x:v>
      </x:c>
      <x:c r="N1482" s="24" t="n">
        <x:f>F1482+H1482</x:f>
        <x:v>22.538461538461537</x:v>
      </x:c>
      <x:c r="O1482" s="24" t="n">
        <x:f>J1482+L1482</x:f>
        <x:v>5.730769230769232</x:v>
      </x:c>
    </x:row>
    <x:row r="1483">
      <x:c r="A1483" s="22" t="str">
        <x:v>500111018</x:v>
      </x:c>
      <x:c r="B1483" s="17" t="str">
        <x:v>南港區</x:v>
      </x:c>
      <x:c r="C1483" s="17" t="str">
        <x:v>市民大道八段532號</x:v>
      </x:c>
      <x:c r="D1483" s="18" t="n">
        <x:v>26</x:v>
      </x:c>
      <x:c r="E1483" s="18" t="n">
        <x:v>26</x:v>
      </x:c>
      <x:c r="F1483" s="24" t="n">
        <x:f>IFERROR('各站彙總來源'!F1483/'各站彙總來源'!G1483,"")</x:f>
        <x:v>9.576923076923077</x:v>
      </x:c>
      <x:c r="G1483" s="19" t="n">
        <x:f>'各站彙總來源'!G1483</x:f>
        <x:v>26</x:v>
      </x:c>
      <x:c r="H1483" s="24" t="n">
        <x:f>IFERROR('各站彙總來源'!H1483/'各站彙總來源'!I1483,"")</x:f>
        <x:v>1.0769230769230769</x:v>
      </x:c>
      <x:c r="I1483" s="19" t="n">
        <x:f>'各站彙總來源'!I1483</x:f>
        <x:v>26</x:v>
      </x:c>
      <x:c r="J1483" s="24" t="n">
        <x:f>IFERROR('各站彙總來源'!J1483/'各站彙總來源'!K1483,"")</x:f>
        <x:v>7.384615384615385</x:v>
      </x:c>
      <x:c r="K1483" s="19" t="n">
        <x:f>'各站彙總來源'!K1483</x:f>
        <x:v>26</x:v>
      </x:c>
      <x:c r="L1483" s="24" t="n">
        <x:f>IFERROR('各站彙總來源'!L1483/'各站彙總來源'!M1483,"")</x:f>
        <x:v>0.6923076923076923</x:v>
      </x:c>
      <x:c r="M1483" s="19" t="n">
        <x:f>'各站彙總來源'!M1483</x:f>
        <x:v>26</x:v>
      </x:c>
      <x:c r="N1483" s="24" t="n">
        <x:f>F1483+H1483</x:f>
        <x:v>10.653846153846153</x:v>
      </x:c>
      <x:c r="O1483" s="24" t="n">
        <x:f>J1483+L1483</x:f>
        <x:v>8.076923076923077</x:v>
      </x:c>
    </x:row>
    <x:row r="1484">
      <x:c r="A1484" s="22" t="str">
        <x:v>500111019</x:v>
      </x:c>
      <x:c r="B1484" s="17" t="str">
        <x:v>南港區</x:v>
      </x:c>
      <x:c r="C1484" s="17" t="str">
        <x:v>捷運南港軟體園區(2號出口)</x:v>
      </x:c>
      <x:c r="D1484" s="18" t="n">
        <x:v>26</x:v>
      </x:c>
      <x:c r="E1484" s="18" t="n">
        <x:v>26</x:v>
      </x:c>
      <x:c r="F1484" s="24" t="n">
        <x:f>IFERROR('各站彙總來源'!F1484/'各站彙總來源'!G1484,"")</x:f>
        <x:v>5.423076923076923</x:v>
      </x:c>
      <x:c r="G1484" s="19" t="n">
        <x:f>'各站彙總來源'!G1484</x:f>
        <x:v>26</x:v>
      </x:c>
      <x:c r="H1484" s="24" t="n">
        <x:f>IFERROR('各站彙總來源'!H1484/'各站彙總來源'!I1484,"")</x:f>
        <x:v>1.0384615384615385</x:v>
      </x:c>
      <x:c r="I1484" s="19" t="n">
        <x:f>'各站彙總來源'!I1484</x:f>
        <x:v>26</x:v>
      </x:c>
      <x:c r="J1484" s="24" t="n">
        <x:f>IFERROR('各站彙總來源'!J1484/'各站彙總來源'!K1484,"")</x:f>
        <x:v>28.384615384615383</x:v>
      </x:c>
      <x:c r="K1484" s="19" t="n">
        <x:f>'各站彙總來源'!K1484</x:f>
        <x:v>26</x:v>
      </x:c>
      <x:c r="L1484" s="24" t="n">
        <x:f>IFERROR('各站彙總來源'!L1484/'各站彙總來源'!M1484,"")</x:f>
        <x:v>4.6923076923076925</x:v>
      </x:c>
      <x:c r="M1484" s="19" t="n">
        <x:f>'各站彙總來源'!M1484</x:f>
        <x:v>26</x:v>
      </x:c>
      <x:c r="N1484" s="24" t="n">
        <x:f>F1484+H1484</x:f>
        <x:v>6.461538461538462</x:v>
      </x:c>
      <x:c r="O1484" s="24" t="n">
        <x:f>J1484+L1484</x:f>
        <x:v>33.07692307692307</x:v>
      </x:c>
    </x:row>
    <x:row r="1485">
      <x:c r="A1485" s="22" t="str">
        <x:v>500111020</x:v>
      </x:c>
      <x:c r="B1485" s="17" t="str">
        <x:v>南港區</x:v>
      </x:c>
      <x:c r="C1485" s="17" t="str">
        <x:v>南港國小</x:v>
      </x:c>
      <x:c r="D1485" s="18" t="n">
        <x:v>26</x:v>
      </x:c>
      <x:c r="E1485" s="18" t="n">
        <x:v>26</x:v>
      </x:c>
      <x:c r="F1485" s="24" t="n">
        <x:f>IFERROR('各站彙總來源'!F1485/'各站彙總來源'!G1485,"")</x:f>
        <x:v>5.230769230769231</x:v>
      </x:c>
      <x:c r="G1485" s="19" t="n">
        <x:f>'各站彙總來源'!G1485</x:f>
        <x:v>26</x:v>
      </x:c>
      <x:c r="H1485" s="24" t="n">
        <x:f>IFERROR('各站彙總來源'!H1485/'各站彙總來源'!I1485,"")</x:f>
        <x:v>1.1538461538461537</x:v>
      </x:c>
      <x:c r="I1485" s="19" t="n">
        <x:f>'各站彙總來源'!I1485</x:f>
        <x:v>26</x:v>
      </x:c>
      <x:c r="J1485" s="24" t="n">
        <x:f>IFERROR('各站彙總來源'!J1485/'各站彙總來源'!K1485,"")</x:f>
        <x:v>63.38461538461539</x:v>
      </x:c>
      <x:c r="K1485" s="19" t="n">
        <x:f>'各站彙總來源'!K1485</x:f>
        <x:v>26</x:v>
      </x:c>
      <x:c r="L1485" s="24" t="n">
        <x:f>IFERROR('各站彙總來源'!L1485/'各站彙總來源'!M1485,"")</x:f>
        <x:v>7.653846153846154</x:v>
      </x:c>
      <x:c r="M1485" s="19" t="n">
        <x:f>'各站彙總來源'!M1485</x:f>
        <x:v>26</x:v>
      </x:c>
      <x:c r="N1485" s="24" t="n">
        <x:f>F1485+H1485</x:f>
        <x:v>6.384615384615385</x:v>
      </x:c>
      <x:c r="O1485" s="24" t="n">
        <x:f>J1485+L1485</x:f>
        <x:v>71.03846153846155</x:v>
      </x:c>
    </x:row>
    <x:row r="1486">
      <x:c r="A1486" s="22" t="str">
        <x:v>500111021</x:v>
      </x:c>
      <x:c r="B1486" s="17" t="str">
        <x:v>南港區</x:v>
      </x:c>
      <x:c r="C1486" s="17" t="str">
        <x:v>興中立體停車場(興中路)</x:v>
      </x:c>
      <x:c r="D1486" s="18" t="n">
        <x:v>26</x:v>
      </x:c>
      <x:c r="E1486" s="18" t="n">
        <x:v>26</x:v>
      </x:c>
      <x:c r="F1486" s="24" t="n">
        <x:f>IFERROR('各站彙總來源'!F1486/'各站彙總來源'!G1486,"")</x:f>
        <x:v>9.192307692307692</x:v>
      </x:c>
      <x:c r="G1486" s="19" t="n">
        <x:f>'各站彙總來源'!G1486</x:f>
        <x:v>26</x:v>
      </x:c>
      <x:c r="H1486" s="24" t="n">
        <x:f>IFERROR('各站彙總來源'!H1486/'各站彙總來源'!I1486,"")</x:f>
        <x:v>1.7307692307692308</x:v>
      </x:c>
      <x:c r="I1486" s="19" t="n">
        <x:f>'各站彙總來源'!I1486</x:f>
        <x:v>26</x:v>
      </x:c>
      <x:c r="J1486" s="24" t="n">
        <x:f>IFERROR('各站彙總來源'!J1486/'各站彙總來源'!K1486,"")</x:f>
        <x:v>9.461538461538462</x:v>
      </x:c>
      <x:c r="K1486" s="19" t="n">
        <x:f>'各站彙總來源'!K1486</x:f>
        <x:v>26</x:v>
      </x:c>
      <x:c r="L1486" s="24" t="n">
        <x:f>IFERROR('各站彙總來源'!L1486/'各站彙總來源'!M1486,"")</x:f>
        <x:v>0.9230769230769231</x:v>
      </x:c>
      <x:c r="M1486" s="19" t="n">
        <x:f>'各站彙總來源'!M1486</x:f>
        <x:v>26</x:v>
      </x:c>
      <x:c r="N1486" s="24" t="n">
        <x:f>F1486+H1486</x:f>
        <x:v>10.923076923076923</x:v>
      </x:c>
      <x:c r="O1486" s="24" t="n">
        <x:f>J1486+L1486</x:f>
        <x:v>10.384615384615385</x:v>
      </x:c>
    </x:row>
    <x:row r="1487">
      <x:c r="A1487" s="22" t="str">
        <x:v>500111022</x:v>
      </x:c>
      <x:c r="B1487" s="17" t="str">
        <x:v>南港區</x:v>
      </x:c>
      <x:c r="C1487" s="17" t="str">
        <x:v>臺北市立圖書館南港分館</x:v>
      </x:c>
      <x:c r="D1487" s="18" t="n">
        <x:v>26</x:v>
      </x:c>
      <x:c r="E1487" s="18" t="n">
        <x:v>26</x:v>
      </x:c>
      <x:c r="F1487" s="24" t="n">
        <x:f>IFERROR('各站彙總來源'!F1487/'各站彙總來源'!G1487,"")</x:f>
        <x:v>16.423076923076923</x:v>
      </x:c>
      <x:c r="G1487" s="19" t="n">
        <x:f>'各站彙總來源'!G1487</x:f>
        <x:v>26</x:v>
      </x:c>
      <x:c r="H1487" s="24" t="n">
        <x:f>IFERROR('各站彙總來源'!H1487/'各站彙總來源'!I1487,"")</x:f>
        <x:v>3</x:v>
      </x:c>
      <x:c r="I1487" s="19" t="n">
        <x:f>'各站彙總來源'!I1487</x:f>
        <x:v>26</x:v>
      </x:c>
      <x:c r="J1487" s="24" t="n">
        <x:f>IFERROR('各站彙總來源'!J1487/'各站彙總來源'!K1487,"")</x:f>
        <x:v>12.461538461538462</x:v>
      </x:c>
      <x:c r="K1487" s="19" t="n">
        <x:f>'各站彙總來源'!K1487</x:f>
        <x:v>26</x:v>
      </x:c>
      <x:c r="L1487" s="24" t="n">
        <x:f>IFERROR('各站彙總來源'!L1487/'各站彙總來源'!M1487,"")</x:f>
        <x:v>1.4615384615384615</x:v>
      </x:c>
      <x:c r="M1487" s="19" t="n">
        <x:f>'各站彙總來源'!M1487</x:f>
        <x:v>26</x:v>
      </x:c>
      <x:c r="N1487" s="24" t="n">
        <x:f>F1487+H1487</x:f>
        <x:v>19.423076923076923</x:v>
      </x:c>
      <x:c r="O1487" s="24" t="n">
        <x:f>J1487+L1487</x:f>
        <x:v>13.923076923076923</x:v>
      </x:c>
    </x:row>
    <x:row r="1488">
      <x:c r="A1488" s="22" t="str">
        <x:v>500111023</x:v>
      </x:c>
      <x:c r="B1488" s="17" t="str">
        <x:v>南港區</x:v>
      </x:c>
      <x:c r="C1488" s="17" t="str">
        <x:v>東陽公園</x:v>
      </x:c>
      <x:c r="D1488" s="18" t="n">
        <x:v>26</x:v>
      </x:c>
      <x:c r="E1488" s="18" t="n">
        <x:v>26</x:v>
      </x:c>
      <x:c r="F1488" s="24" t="n">
        <x:f>IFERROR('各站彙總來源'!F1488/'各站彙總來源'!G1488,"")</x:f>
        <x:v>29.192307692307693</x:v>
      </x:c>
      <x:c r="G1488" s="19" t="n">
        <x:f>'各站彙總來源'!G1488</x:f>
        <x:v>26</x:v>
      </x:c>
      <x:c r="H1488" s="24" t="n">
        <x:f>IFERROR('各站彙總來源'!H1488/'各站彙總來源'!I1488,"")</x:f>
        <x:v>5.153846153846154</x:v>
      </x:c>
      <x:c r="I1488" s="19" t="n">
        <x:f>'各站彙總來源'!I1488</x:f>
        <x:v>26</x:v>
      </x:c>
      <x:c r="J1488" s="24" t="n">
        <x:f>IFERROR('各站彙總來源'!J1488/'各站彙總來源'!K1488,"")</x:f>
        <x:v>11.307692307692308</x:v>
      </x:c>
      <x:c r="K1488" s="19" t="n">
        <x:f>'各站彙總來源'!K1488</x:f>
        <x:v>26</x:v>
      </x:c>
      <x:c r="L1488" s="24" t="n">
        <x:f>IFERROR('各站彙總來源'!L1488/'各站彙總來源'!M1488,"")</x:f>
        <x:v>2.6538461538461537</x:v>
      </x:c>
      <x:c r="M1488" s="19" t="n">
        <x:f>'各站彙總來源'!M1488</x:f>
        <x:v>26</x:v>
      </x:c>
      <x:c r="N1488" s="24" t="n">
        <x:f>F1488+H1488</x:f>
        <x:v>34.34615384615385</x:v>
      </x:c>
      <x:c r="O1488" s="24" t="n">
        <x:f>J1488+L1488</x:f>
        <x:v>13.961538461538462</x:v>
      </x:c>
    </x:row>
    <x:row r="1489">
      <x:c r="A1489" s="22" t="str">
        <x:v>500111024</x:v>
      </x:c>
      <x:c r="B1489" s="17" t="str">
        <x:v>南港區</x:v>
      </x:c>
      <x:c r="C1489" s="17" t="str">
        <x:v>向陽南港路口</x:v>
      </x:c>
      <x:c r="D1489" s="18" t="n">
        <x:v>26</x:v>
      </x:c>
      <x:c r="E1489" s="18" t="n">
        <x:v>26</x:v>
      </x:c>
      <x:c r="F1489" s="24" t="n">
        <x:f>IFERROR('各站彙總來源'!F1489/'各站彙總來源'!G1489,"")</x:f>
        <x:v>5.576923076923077</x:v>
      </x:c>
      <x:c r="G1489" s="19" t="n">
        <x:f>'各站彙總來源'!G1489</x:f>
        <x:v>26</x:v>
      </x:c>
      <x:c r="H1489" s="24" t="n">
        <x:f>IFERROR('各站彙總來源'!H1489/'各站彙總來源'!I1489,"")</x:f>
        <x:v>1.2692307692307692</x:v>
      </x:c>
      <x:c r="I1489" s="19" t="n">
        <x:f>'各站彙總來源'!I1489</x:f>
        <x:v>26</x:v>
      </x:c>
      <x:c r="J1489" s="24" t="n">
        <x:f>IFERROR('各站彙總來源'!J1489/'各站彙總來源'!K1489,"")</x:f>
        <x:v>25.5</x:v>
      </x:c>
      <x:c r="K1489" s="19" t="n">
        <x:f>'各站彙總來源'!K1489</x:f>
        <x:v>26</x:v>
      </x:c>
      <x:c r="L1489" s="24" t="n">
        <x:f>IFERROR('各站彙總來源'!L1489/'各站彙總來源'!M1489,"")</x:f>
        <x:v>2.0384615384615383</x:v>
      </x:c>
      <x:c r="M1489" s="19" t="n">
        <x:f>'各站彙總來源'!M1489</x:f>
        <x:v>26</x:v>
      </x:c>
      <x:c r="N1489" s="24" t="n">
        <x:f>F1489+H1489</x:f>
        <x:v>6.846153846153846</x:v>
      </x:c>
      <x:c r="O1489" s="24" t="n">
        <x:f>J1489+L1489</x:f>
        <x:v>27.53846153846154</x:v>
      </x:c>
    </x:row>
    <x:row r="1490">
      <x:c r="A1490" s="22" t="str">
        <x:v>500111025</x:v>
      </x:c>
      <x:c r="B1490" s="17" t="str">
        <x:v>南港區</x:v>
      </x:c>
      <x:c r="C1490" s="17" t="str">
        <x:v>南港車站(忠孝東路七段415巷)</x:v>
      </x:c>
      <x:c r="D1490" s="18" t="n">
        <x:v>26</x:v>
      </x:c>
      <x:c r="E1490" s="18" t="n">
        <x:v>26</x:v>
      </x:c>
      <x:c r="F1490" s="24" t="n">
        <x:f>IFERROR('各站彙總來源'!F1490/'各站彙總來源'!G1490,"")</x:f>
        <x:v>4.1923076923076925</x:v>
      </x:c>
      <x:c r="G1490" s="19" t="n">
        <x:f>'各站彙總來源'!G1490</x:f>
        <x:v>26</x:v>
      </x:c>
      <x:c r="H1490" s="24" t="n">
        <x:f>IFERROR('各站彙總來源'!H1490/'各站彙總來源'!I1490,"")</x:f>
        <x:v>0.4230769230769231</x:v>
      </x:c>
      <x:c r="I1490" s="19" t="n">
        <x:f>'各站彙總來源'!I1490</x:f>
        <x:v>26</x:v>
      </x:c>
      <x:c r="J1490" s="24" t="n">
        <x:f>IFERROR('各站彙總來源'!J1490/'各站彙總來源'!K1490,"")</x:f>
        <x:v>6.884615384615385</x:v>
      </x:c>
      <x:c r="K1490" s="19" t="n">
        <x:f>'各站彙總來源'!K1490</x:f>
        <x:v>26</x:v>
      </x:c>
      <x:c r="L1490" s="24" t="n">
        <x:f>IFERROR('各站彙總來源'!L1490/'各站彙總來源'!M1490,"")</x:f>
        <x:v>1.4230769230769231</x:v>
      </x:c>
      <x:c r="M1490" s="19" t="n">
        <x:f>'各站彙總來源'!M1490</x:f>
        <x:v>26</x:v>
      </x:c>
      <x:c r="N1490" s="24" t="n">
        <x:f>F1490+H1490</x:f>
        <x:v>4.615384615384616</x:v>
      </x:c>
      <x:c r="O1490" s="24" t="n">
        <x:f>J1490+L1490</x:f>
        <x:v>8.307692307692308</x:v>
      </x:c>
    </x:row>
    <x:row r="1491">
      <x:c r="A1491" s="22" t="str">
        <x:v>500111026</x:v>
      </x:c>
      <x:c r="B1491" s="17" t="str">
        <x:v>南港區</x:v>
      </x:c>
      <x:c r="C1491" s="17" t="str">
        <x:v>捷運南港站(2號出口)</x:v>
      </x:c>
      <x:c r="D1491" s="18" t="n">
        <x:v>26</x:v>
      </x:c>
      <x:c r="E1491" s="18" t="n">
        <x:v>26</x:v>
      </x:c>
      <x:c r="F1491" s="24" t="n">
        <x:f>IFERROR('各站彙總來源'!F1491/'各站彙總來源'!G1491,"")</x:f>
        <x:v>13.115384615384615</x:v>
      </x:c>
      <x:c r="G1491" s="19" t="n">
        <x:f>'各站彙總來源'!G1491</x:f>
        <x:v>26</x:v>
      </x:c>
      <x:c r="H1491" s="24" t="n">
        <x:f>IFERROR('各站彙總來源'!H1491/'各站彙總來源'!I1491,"")</x:f>
        <x:v>0.6923076923076923</x:v>
      </x:c>
      <x:c r="I1491" s="19" t="n">
        <x:f>'各站彙總來源'!I1491</x:f>
        <x:v>26</x:v>
      </x:c>
      <x:c r="J1491" s="24" t="n">
        <x:f>IFERROR('各站彙總來源'!J1491/'各站彙總來源'!K1491,"")</x:f>
        <x:v>5.153846153846154</x:v>
      </x:c>
      <x:c r="K1491" s="19" t="n">
        <x:f>'各站彙總來源'!K1491</x:f>
        <x:v>26</x:v>
      </x:c>
      <x:c r="L1491" s="24" t="n">
        <x:f>IFERROR('各站彙總來源'!L1491/'各站彙總來源'!M1491,"")</x:f>
        <x:v>1.4230769230769231</x:v>
      </x:c>
      <x:c r="M1491" s="19" t="n">
        <x:f>'各站彙總來源'!M1491</x:f>
        <x:v>26</x:v>
      </x:c>
      <x:c r="N1491" s="24" t="n">
        <x:f>F1491+H1491</x:f>
        <x:v>13.807692307692307</x:v>
      </x:c>
      <x:c r="O1491" s="24" t="n">
        <x:f>J1491+L1491</x:f>
        <x:v>6.5769230769230775</x:v>
      </x:c>
    </x:row>
    <x:row r="1492">
      <x:c r="A1492" s="22" t="str">
        <x:v>500111027</x:v>
      </x:c>
      <x:c r="B1492" s="17" t="str">
        <x:v>南港區</x:v>
      </x:c>
      <x:c r="C1492" s="17" t="str">
        <x:v>捷運南港站(1號出口)</x:v>
      </x:c>
      <x:c r="D1492" s="18" t="n">
        <x:v>26</x:v>
      </x:c>
      <x:c r="E1492" s="18" t="n">
        <x:v>26</x:v>
      </x:c>
      <x:c r="F1492" s="24" t="n">
        <x:f>IFERROR('各站彙總來源'!F1492/'各站彙總來源'!G1492,"")</x:f>
        <x:v>11.307692307692308</x:v>
      </x:c>
      <x:c r="G1492" s="19" t="n">
        <x:f>'各站彙總來源'!G1492</x:f>
        <x:v>26</x:v>
      </x:c>
      <x:c r="H1492" s="24" t="n">
        <x:f>IFERROR('各站彙總來源'!H1492/'各站彙總來源'!I1492,"")</x:f>
        <x:v>0.4230769230769231</x:v>
      </x:c>
      <x:c r="I1492" s="19" t="n">
        <x:f>'各站彙總來源'!I1492</x:f>
        <x:v>26</x:v>
      </x:c>
      <x:c r="J1492" s="24" t="n">
        <x:f>IFERROR('各站彙總來源'!J1492/'各站彙總來源'!K1492,"")</x:f>
        <x:v>4.846153846153846</x:v>
      </x:c>
      <x:c r="K1492" s="19" t="n">
        <x:f>'各站彙總來源'!K1492</x:f>
        <x:v>26</x:v>
      </x:c>
      <x:c r="L1492" s="24" t="n">
        <x:f>IFERROR('各站彙總來源'!L1492/'各站彙總來源'!M1492,"")</x:f>
        <x:v>0.11538461538461539</x:v>
      </x:c>
      <x:c r="M1492" s="19" t="n">
        <x:f>'各站彙總來源'!M1492</x:f>
        <x:v>26</x:v>
      </x:c>
      <x:c r="N1492" s="24" t="n">
        <x:f>F1492+H1492</x:f>
        <x:v>11.730769230769232</x:v>
      </x:c>
      <x:c r="O1492" s="24" t="n">
        <x:f>J1492+L1492</x:f>
        <x:v>4.961538461538461</x:v>
      </x:c>
    </x:row>
    <x:row r="1493">
      <x:c r="A1493" s="22" t="str">
        <x:v>500111028</x:v>
      </x:c>
      <x:c r="B1493" s="17" t="str">
        <x:v>南港區</x:v>
      </x:c>
      <x:c r="C1493" s="17" t="str">
        <x:v>東新國小</x:v>
      </x:c>
      <x:c r="D1493" s="18" t="n">
        <x:v>26</x:v>
      </x:c>
      <x:c r="E1493" s="18" t="n">
        <x:v>26</x:v>
      </x:c>
      <x:c r="F1493" s="24" t="n">
        <x:f>IFERROR('各站彙總來源'!F1493/'各站彙總來源'!G1493,"")</x:f>
        <x:v>18.807692307692307</x:v>
      </x:c>
      <x:c r="G1493" s="19" t="n">
        <x:f>'各站彙總來源'!G1493</x:f>
        <x:v>26</x:v>
      </x:c>
      <x:c r="H1493" s="24" t="n">
        <x:f>IFERROR('各站彙總來源'!H1493/'各站彙總來源'!I1493,"")</x:f>
        <x:v>3.9615384615384617</x:v>
      </x:c>
      <x:c r="I1493" s="19" t="n">
        <x:f>'各站彙總來源'!I1493</x:f>
        <x:v>26</x:v>
      </x:c>
      <x:c r="J1493" s="24" t="n">
        <x:f>IFERROR('各站彙總來源'!J1493/'各站彙總來源'!K1493,"")</x:f>
        <x:v>5.6923076923076925</x:v>
      </x:c>
      <x:c r="K1493" s="19" t="n">
        <x:f>'各站彙總來源'!K1493</x:f>
        <x:v>26</x:v>
      </x:c>
      <x:c r="L1493" s="24" t="n">
        <x:f>IFERROR('各站彙總來源'!L1493/'各站彙總來源'!M1493,"")</x:f>
        <x:v>1.6923076923076923</x:v>
      </x:c>
      <x:c r="M1493" s="19" t="n">
        <x:f>'各站彙總來源'!M1493</x:f>
        <x:v>26</x:v>
      </x:c>
      <x:c r="N1493" s="24" t="n">
        <x:f>F1493+H1493</x:f>
        <x:v>22.769230769230766</x:v>
      </x:c>
      <x:c r="O1493" s="24" t="n">
        <x:f>J1493+L1493</x:f>
        <x:v>7.384615384615385</x:v>
      </x:c>
    </x:row>
    <x:row r="1494">
      <x:c r="A1494" s="22" t="str">
        <x:v>500111029</x:v>
      </x:c>
      <x:c r="B1494" s="17" t="str">
        <x:v>南港區</x:v>
      </x:c>
      <x:c r="C1494" s="17" t="str">
        <x:v>中華科技大學</x:v>
      </x:c>
      <x:c r="D1494" s="18" t="n">
        <x:v>26</x:v>
      </x:c>
      <x:c r="E1494" s="18" t="n">
        <x:v>26</x:v>
      </x:c>
      <x:c r="F1494" s="24" t="n">
        <x:f>IFERROR('各站彙總來源'!F1494/'各站彙總來源'!G1494,"")</x:f>
        <x:v>5.884615384615385</x:v>
      </x:c>
      <x:c r="G1494" s="19" t="n">
        <x:f>'各站彙總來源'!G1494</x:f>
        <x:v>26</x:v>
      </x:c>
      <x:c r="H1494" s="24" t="n">
        <x:f>IFERROR('各站彙總來源'!H1494/'各站彙總來源'!I1494,"")</x:f>
        <x:v>2.730769230769231</x:v>
      </x:c>
      <x:c r="I1494" s="19" t="n">
        <x:f>'各站彙總來源'!I1494</x:f>
        <x:v>26</x:v>
      </x:c>
      <x:c r="J1494" s="24" t="n">
        <x:f>IFERROR('各站彙總來源'!J1494/'各站彙總來源'!K1494,"")</x:f>
        <x:v>7.461538461538462</x:v>
      </x:c>
      <x:c r="K1494" s="19" t="n">
        <x:f>'各站彙總來源'!K1494</x:f>
        <x:v>26</x:v>
      </x:c>
      <x:c r="L1494" s="24" t="n">
        <x:f>IFERROR('各站彙總來源'!L1494/'各站彙總來源'!M1494,"")</x:f>
        <x:v>1.6538461538461537</x:v>
      </x:c>
      <x:c r="M1494" s="19" t="n">
        <x:f>'各站彙總來源'!M1494</x:f>
        <x:v>26</x:v>
      </x:c>
      <x:c r="N1494" s="24" t="n">
        <x:f>F1494+H1494</x:f>
        <x:v>8.615384615384617</x:v>
      </x:c>
      <x:c r="O1494" s="24" t="n">
        <x:f>J1494+L1494</x:f>
        <x:v>9.115384615384615</x:v>
      </x:c>
    </x:row>
    <x:row r="1495">
      <x:c r="A1495" s="22" t="str">
        <x:v>500111030</x:v>
      </x:c>
      <x:c r="B1495" s="17" t="str">
        <x:v>南港區</x:v>
      </x:c>
      <x:c r="C1495" s="17" t="str">
        <x:v>六福公園</x:v>
      </x:c>
      <x:c r="D1495" s="18" t="n">
        <x:v>26</x:v>
      </x:c>
      <x:c r="E1495" s="18" t="n">
        <x:v>26</x:v>
      </x:c>
      <x:c r="F1495" s="24" t="n">
        <x:f>IFERROR('各站彙總來源'!F1495/'各站彙總來源'!G1495,"")</x:f>
        <x:v>10.5</x:v>
      </x:c>
      <x:c r="G1495" s="19" t="n">
        <x:f>'各站彙總來源'!G1495</x:f>
        <x:v>26</x:v>
      </x:c>
      <x:c r="H1495" s="24" t="n">
        <x:f>IFERROR('各站彙總來源'!H1495/'各站彙總來源'!I1495,"")</x:f>
        <x:v>1.0769230769230769</x:v>
      </x:c>
      <x:c r="I1495" s="19" t="n">
        <x:f>'各站彙總來源'!I1495</x:f>
        <x:v>26</x:v>
      </x:c>
      <x:c r="J1495" s="24" t="n">
        <x:f>IFERROR('各站彙總來源'!J1495/'各站彙總來源'!K1495,"")</x:f>
        <x:v>3.923076923076923</x:v>
      </x:c>
      <x:c r="K1495" s="19" t="n">
        <x:f>'各站彙總來源'!K1495</x:f>
        <x:v>26</x:v>
      </x:c>
      <x:c r="L1495" s="24" t="n">
        <x:f>IFERROR('各站彙總來源'!L1495/'各站彙總來源'!M1495,"")</x:f>
        <x:v>0.7692307692307693</x:v>
      </x:c>
      <x:c r="M1495" s="19" t="n">
        <x:f>'各站彙總來源'!M1495</x:f>
        <x:v>26</x:v>
      </x:c>
      <x:c r="N1495" s="24" t="n">
        <x:f>F1495+H1495</x:f>
        <x:v>11.576923076923077</x:v>
      </x:c>
      <x:c r="O1495" s="24" t="n">
        <x:f>J1495+L1495</x:f>
        <x:v>4.6923076923076925</x:v>
      </x:c>
    </x:row>
    <x:row r="1496">
      <x:c r="A1496" s="22" t="str">
        <x:v>500111031</x:v>
      </x:c>
      <x:c r="B1496" s="17" t="str">
        <x:v>南港區</x:v>
      </x:c>
      <x:c r="C1496" s="17" t="str">
        <x:v>南港加壓站</x:v>
      </x:c>
      <x:c r="D1496" s="18" t="n">
        <x:v>26</x:v>
      </x:c>
      <x:c r="E1496" s="18" t="n">
        <x:v>26</x:v>
      </x:c>
      <x:c r="F1496" s="24" t="n">
        <x:f>IFERROR('各站彙總來源'!F1496/'各站彙總來源'!G1496,"")</x:f>
        <x:v>14.26923076923077</x:v>
      </x:c>
      <x:c r="G1496" s="19" t="n">
        <x:f>'各站彙總來源'!G1496</x:f>
        <x:v>26</x:v>
      </x:c>
      <x:c r="H1496" s="24" t="n">
        <x:f>IFERROR('各站彙總來源'!H1496/'各站彙總來源'!I1496,"")</x:f>
        <x:v>1.9230769230769231</x:v>
      </x:c>
      <x:c r="I1496" s="19" t="n">
        <x:f>'各站彙總來源'!I1496</x:f>
        <x:v>26</x:v>
      </x:c>
      <x:c r="J1496" s="24" t="n">
        <x:f>IFERROR('各站彙總來源'!J1496/'各站彙總來源'!K1496,"")</x:f>
        <x:v>4</x:v>
      </x:c>
      <x:c r="K1496" s="19" t="n">
        <x:f>'各站彙總來源'!K1496</x:f>
        <x:v>26</x:v>
      </x:c>
      <x:c r="L1496" s="24" t="n">
        <x:f>IFERROR('各站彙總來源'!L1496/'各站彙總來源'!M1496,"")</x:f>
        <x:v>0.8846153846153846</x:v>
      </x:c>
      <x:c r="M1496" s="19" t="n">
        <x:f>'各站彙總來源'!M1496</x:f>
        <x:v>26</x:v>
      </x:c>
      <x:c r="N1496" s="24" t="n">
        <x:f>F1496+H1496</x:f>
        <x:v>16.192307692307693</x:v>
      </x:c>
      <x:c r="O1496" s="24" t="n">
        <x:f>J1496+L1496</x:f>
        <x:v>4.884615384615385</x:v>
      </x:c>
    </x:row>
    <x:row r="1497">
      <x:c r="A1497" s="22" t="str">
        <x:v>500111032</x:v>
      </x:c>
      <x:c r="B1497" s="17" t="str">
        <x:v>南港區</x:v>
      </x:c>
      <x:c r="C1497" s="17" t="str">
        <x:v>臺北流行音樂中心(南港路)</x:v>
      </x:c>
      <x:c r="D1497" s="18" t="n">
        <x:v>26</x:v>
      </x:c>
      <x:c r="E1497" s="18" t="n">
        <x:v>26</x:v>
      </x:c>
      <x:c r="F1497" s="24" t="n">
        <x:f>IFERROR('各站彙總來源'!F1497/'各站彙總來源'!G1497,"")</x:f>
        <x:v>7.115384615384615</x:v>
      </x:c>
      <x:c r="G1497" s="19" t="n">
        <x:f>'各站彙總來源'!G1497</x:f>
        <x:v>26</x:v>
      </x:c>
      <x:c r="H1497" s="24" t="n">
        <x:f>IFERROR('各站彙總來源'!H1497/'各站彙總來源'!I1497,"")</x:f>
        <x:v>0.7692307692307693</x:v>
      </x:c>
      <x:c r="I1497" s="19" t="n">
        <x:f>'各站彙總來源'!I1497</x:f>
        <x:v>26</x:v>
      </x:c>
      <x:c r="J1497" s="24" t="n">
        <x:f>IFERROR('各站彙總來源'!J1497/'各站彙總來源'!K1497,"")</x:f>
        <x:v>6.115384615384615</x:v>
      </x:c>
      <x:c r="K1497" s="19" t="n">
        <x:f>'各站彙總來源'!K1497</x:f>
        <x:v>26</x:v>
      </x:c>
      <x:c r="L1497" s="24" t="n">
        <x:f>IFERROR('各站彙總來源'!L1497/'各站彙總來源'!M1497,"")</x:f>
        <x:v>0.8846153846153846</x:v>
      </x:c>
      <x:c r="M1497" s="19" t="n">
        <x:f>'各站彙總來源'!M1497</x:f>
        <x:v>26</x:v>
      </x:c>
      <x:c r="N1497" s="24" t="n">
        <x:f>F1497+H1497</x:f>
        <x:v>7.884615384615384</x:v>
      </x:c>
      <x:c r="O1497" s="24" t="n">
        <x:f>J1497+L1497</x:f>
        <x:v>7</x:v>
      </x:c>
    </x:row>
    <x:row r="1498">
      <x:c r="A1498" s="22" t="str">
        <x:v>500111033</x:v>
      </x:c>
      <x:c r="B1498" s="17" t="str">
        <x:v>南港區</x:v>
      </x:c>
      <x:c r="C1498" s="17" t="str">
        <x:v>興南公園</x:v>
      </x:c>
      <x:c r="D1498" s="18" t="n">
        <x:v>26</x:v>
      </x:c>
      <x:c r="E1498" s="18" t="n">
        <x:v>26</x:v>
      </x:c>
      <x:c r="F1498" s="24" t="n">
        <x:f>IFERROR('各站彙總來源'!F1498/'各站彙總來源'!G1498,"")</x:f>
        <x:v>6.115384615384615</x:v>
      </x:c>
      <x:c r="G1498" s="19" t="n">
        <x:f>'各站彙總來源'!G1498</x:f>
        <x:v>26</x:v>
      </x:c>
      <x:c r="H1498" s="24" t="n">
        <x:f>IFERROR('各站彙總來源'!H1498/'各站彙總來源'!I1498,"")</x:f>
        <x:v>1.1538461538461537</x:v>
      </x:c>
      <x:c r="I1498" s="19" t="n">
        <x:f>'各站彙總來源'!I1498</x:f>
        <x:v>26</x:v>
      </x:c>
      <x:c r="J1498" s="24" t="n">
        <x:f>IFERROR('各站彙總來源'!J1498/'各站彙總來源'!K1498,"")</x:f>
        <x:v>13.653846153846153</x:v>
      </x:c>
      <x:c r="K1498" s="19" t="n">
        <x:f>'各站彙總來源'!K1498</x:f>
        <x:v>26</x:v>
      </x:c>
      <x:c r="L1498" s="24" t="n">
        <x:f>IFERROR('各站彙總來源'!L1498/'各站彙總來源'!M1498,"")</x:f>
        <x:v>1.7307692307692308</x:v>
      </x:c>
      <x:c r="M1498" s="19" t="n">
        <x:f>'各站彙總來源'!M1498</x:f>
        <x:v>26</x:v>
      </x:c>
      <x:c r="N1498" s="24" t="n">
        <x:f>F1498+H1498</x:f>
        <x:v>7.269230769230768</x:v>
      </x:c>
      <x:c r="O1498" s="24" t="n">
        <x:f>J1498+L1498</x:f>
        <x:v>15.384615384615383</x:v>
      </x:c>
    </x:row>
    <x:row r="1499">
      <x:c r="A1499" s="22" t="str">
        <x:v>500111034</x:v>
      </x:c>
      <x:c r="B1499" s="17" t="str">
        <x:v>南港區</x:v>
      </x:c>
      <x:c r="C1499" s="17" t="str">
        <x:v>臺北流行音樂中心(市民大道)</x:v>
      </x:c>
      <x:c r="D1499" s="18" t="n">
        <x:v>26</x:v>
      </x:c>
      <x:c r="E1499" s="18" t="n">
        <x:v>26</x:v>
      </x:c>
      <x:c r="F1499" s="24" t="n">
        <x:f>IFERROR('各站彙總來源'!F1499/'各站彙總來源'!G1499,"")</x:f>
        <x:v>2.9615384615384617</x:v>
      </x:c>
      <x:c r="G1499" s="19" t="n">
        <x:f>'各站彙總來源'!G1499</x:f>
        <x:v>26</x:v>
      </x:c>
      <x:c r="H1499" s="24" t="n">
        <x:f>IFERROR('各站彙總來源'!H1499/'各站彙總來源'!I1499,"")</x:f>
        <x:v>0.7307692307692307</x:v>
      </x:c>
      <x:c r="I1499" s="19" t="n">
        <x:f>'各站彙總來源'!I1499</x:f>
        <x:v>26</x:v>
      </x:c>
      <x:c r="J1499" s="24" t="n">
        <x:f>IFERROR('各站彙總來源'!J1499/'各站彙總來源'!K1499,"")</x:f>
        <x:v>17.46153846153846</x:v>
      </x:c>
      <x:c r="K1499" s="19" t="n">
        <x:f>'各站彙總來源'!K1499</x:f>
        <x:v>26</x:v>
      </x:c>
      <x:c r="L1499" s="24" t="n">
        <x:f>IFERROR('各站彙總來源'!L1499/'各站彙總來源'!M1499,"")</x:f>
        <x:v>2.5</x:v>
      </x:c>
      <x:c r="M1499" s="19" t="n">
        <x:f>'各站彙總來源'!M1499</x:f>
        <x:v>26</x:v>
      </x:c>
      <x:c r="N1499" s="24" t="n">
        <x:f>F1499+H1499</x:f>
        <x:v>3.6923076923076925</x:v>
      </x:c>
      <x:c r="O1499" s="24" t="n">
        <x:f>J1499+L1499</x:f>
        <x:v>19.96153846153846</x:v>
      </x:c>
    </x:row>
    <x:row r="1500">
      <x:c r="A1500" s="22" t="str">
        <x:v>500111035</x:v>
      </x:c>
      <x:c r="B1500" s="17" t="str">
        <x:v>南港區</x:v>
      </x:c>
      <x:c r="C1500" s="17" t="str">
        <x:v>南港車站(市民大道)</x:v>
      </x:c>
      <x:c r="D1500" s="18" t="n">
        <x:v>26</x:v>
      </x:c>
      <x:c r="E1500" s="18" t="n">
        <x:v>26</x:v>
      </x:c>
      <x:c r="F1500" s="24" t="n">
        <x:f>IFERROR('各站彙總來源'!F1500/'各站彙總來源'!G1500,"")</x:f>
        <x:v>18.5</x:v>
      </x:c>
      <x:c r="G1500" s="19" t="n">
        <x:f>'各站彙總來源'!G1500</x:f>
        <x:v>26</x:v>
      </x:c>
      <x:c r="H1500" s="24" t="n">
        <x:f>IFERROR('各站彙總來源'!H1500/'各站彙總來源'!I1500,"")</x:f>
        <x:v>3.1923076923076925</x:v>
      </x:c>
      <x:c r="I1500" s="19" t="n">
        <x:f>'各站彙總來源'!I1500</x:f>
        <x:v>26</x:v>
      </x:c>
      <x:c r="J1500" s="24" t="n">
        <x:f>IFERROR('各站彙總來源'!J1500/'各站彙總來源'!K1500,"")</x:f>
        <x:v>8.653846153846153</x:v>
      </x:c>
      <x:c r="K1500" s="19" t="n">
        <x:f>'各站彙總來源'!K1500</x:f>
        <x:v>26</x:v>
      </x:c>
      <x:c r="L1500" s="24" t="n">
        <x:f>IFERROR('各站彙總來源'!L1500/'各站彙總來源'!M1500,"")</x:f>
        <x:v>1.3461538461538463</x:v>
      </x:c>
      <x:c r="M1500" s="19" t="n">
        <x:f>'各站彙總來源'!M1500</x:f>
        <x:v>26</x:v>
      </x:c>
      <x:c r="N1500" s="24" t="n">
        <x:f>F1500+H1500</x:f>
        <x:v>21.692307692307693</x:v>
      </x:c>
      <x:c r="O1500" s="24" t="n">
        <x:f>J1500+L1500</x:f>
        <x:v>10</x:v>
      </x:c>
    </x:row>
    <x:row r="1501">
      <x:c r="A1501" s="22" t="str">
        <x:v>500111036</x:v>
      </x:c>
      <x:c r="B1501" s="17" t="str">
        <x:v>南港區</x:v>
      </x:c>
      <x:c r="C1501" s="17" t="str">
        <x:v>忠孝東路七段527巷口</x:v>
      </x:c>
      <x:c r="D1501" s="18" t="n">
        <x:v>26</x:v>
      </x:c>
      <x:c r="E1501" s="18" t="n">
        <x:v>26</x:v>
      </x:c>
      <x:c r="F1501" s="24" t="n">
        <x:f>IFERROR('各站彙總來源'!F1501/'各站彙總來源'!G1501,"")</x:f>
        <x:v>12.423076923076923</x:v>
      </x:c>
      <x:c r="G1501" s="19" t="n">
        <x:f>'各站彙總來源'!G1501</x:f>
        <x:v>26</x:v>
      </x:c>
      <x:c r="H1501" s="24" t="n">
        <x:f>IFERROR('各站彙總來源'!H1501/'各站彙總來源'!I1501,"")</x:f>
        <x:v>1.1923076923076923</x:v>
      </x:c>
      <x:c r="I1501" s="19" t="n">
        <x:f>'各站彙總來源'!I1501</x:f>
        <x:v>26</x:v>
      </x:c>
      <x:c r="J1501" s="24" t="n">
        <x:f>IFERROR('各站彙總來源'!J1501/'各站彙總來源'!K1501,"")</x:f>
        <x:v>6.769230769230769</x:v>
      </x:c>
      <x:c r="K1501" s="19" t="n">
        <x:f>'各站彙總來源'!K1501</x:f>
        <x:v>26</x:v>
      </x:c>
      <x:c r="L1501" s="24" t="n">
        <x:f>IFERROR('各站彙總來源'!L1501/'各站彙總來源'!M1501,"")</x:f>
        <x:v>1.2307692307692308</x:v>
      </x:c>
      <x:c r="M1501" s="19" t="n">
        <x:f>'各站彙總來源'!M1501</x:f>
        <x:v>26</x:v>
      </x:c>
      <x:c r="N1501" s="24" t="n">
        <x:f>F1501+H1501</x:f>
        <x:v>13.615384615384615</x:v>
      </x:c>
      <x:c r="O1501" s="24" t="n">
        <x:f>J1501+L1501</x:f>
        <x:v>8</x:v>
      </x:c>
    </x:row>
    <x:row r="1502">
      <x:c r="A1502" s="22" t="str">
        <x:v>500111037</x:v>
      </x:c>
      <x:c r="B1502" s="17" t="str">
        <x:v>南港區</x:v>
      </x:c>
      <x:c r="C1502" s="17" t="str">
        <x:v>南港軟體園區(新民街)</x:v>
      </x:c>
      <x:c r="D1502" s="18" t="n">
        <x:v>26</x:v>
      </x:c>
      <x:c r="E1502" s="18" t="n">
        <x:v>26</x:v>
      </x:c>
      <x:c r="F1502" s="24" t="n">
        <x:f>IFERROR('各站彙總來源'!F1502/'各站彙總來源'!G1502,"")</x:f>
        <x:v>5.961538461538462</x:v>
      </x:c>
      <x:c r="G1502" s="19" t="n">
        <x:f>'各站彙總來源'!G1502</x:f>
        <x:v>26</x:v>
      </x:c>
      <x:c r="H1502" s="24" t="n">
        <x:f>IFERROR('各站彙總來源'!H1502/'各站彙總來源'!I1502,"")</x:f>
        <x:v>1.2692307692307692</x:v>
      </x:c>
      <x:c r="I1502" s="19" t="n">
        <x:f>'各站彙總來源'!I1502</x:f>
        <x:v>26</x:v>
      </x:c>
      <x:c r="J1502" s="24" t="n">
        <x:f>IFERROR('各站彙總來源'!J1502/'各站彙總來源'!K1502,"")</x:f>
        <x:v>24.26923076923077</x:v>
      </x:c>
      <x:c r="K1502" s="19" t="n">
        <x:f>'各站彙總來源'!K1502</x:f>
        <x:v>26</x:v>
      </x:c>
      <x:c r="L1502" s="24" t="n">
        <x:f>IFERROR('各站彙總來源'!L1502/'各站彙總來源'!M1502,"")</x:f>
        <x:v>3.9615384615384617</x:v>
      </x:c>
      <x:c r="M1502" s="19" t="n">
        <x:f>'各站彙總來源'!M1502</x:f>
        <x:v>26</x:v>
      </x:c>
      <x:c r="N1502" s="24" t="n">
        <x:f>F1502+H1502</x:f>
        <x:v>7.230769230769231</x:v>
      </x:c>
      <x:c r="O1502" s="24" t="n">
        <x:f>J1502+L1502</x:f>
        <x:v>28.230769230769234</x:v>
      </x:c>
    </x:row>
    <x:row r="1503">
      <x:c r="A1503" s="22" t="str">
        <x:v>500111038</x:v>
      </x:c>
      <x:c r="B1503" s="17" t="str">
        <x:v>南港區</x:v>
      </x:c>
      <x:c r="C1503" s="17" t="str">
        <x:v>世貿公園</x:v>
      </x:c>
      <x:c r="D1503" s="18" t="n">
        <x:v>26</x:v>
      </x:c>
      <x:c r="E1503" s="18" t="n">
        <x:v>26</x:v>
      </x:c>
      <x:c r="F1503" s="24" t="n">
        <x:f>IFERROR('各站彙總來源'!F1503/'各站彙總來源'!G1503,"")</x:f>
        <x:v>4.923076923076923</x:v>
      </x:c>
      <x:c r="G1503" s="19" t="n">
        <x:f>'各站彙總來源'!G1503</x:f>
        <x:v>26</x:v>
      </x:c>
      <x:c r="H1503" s="24" t="n">
        <x:f>IFERROR('各站彙總來源'!H1503/'各站彙總來源'!I1503,"")</x:f>
        <x:v>1.3846153846153846</x:v>
      </x:c>
      <x:c r="I1503" s="19" t="n">
        <x:f>'各站彙總來源'!I1503</x:f>
        <x:v>26</x:v>
      </x:c>
      <x:c r="J1503" s="24" t="n">
        <x:f>IFERROR('各站彙總來源'!J1503/'各站彙總來源'!K1503,"")</x:f>
        <x:v>61.30769230769231</x:v>
      </x:c>
      <x:c r="K1503" s="19" t="n">
        <x:f>'各站彙總來源'!K1503</x:f>
        <x:v>26</x:v>
      </x:c>
      <x:c r="L1503" s="24" t="n">
        <x:f>IFERROR('各站彙總來源'!L1503/'各站彙總來源'!M1503,"")</x:f>
        <x:v>8.923076923076923</x:v>
      </x:c>
      <x:c r="M1503" s="19" t="n">
        <x:f>'各站彙總來源'!M1503</x:f>
        <x:v>26</x:v>
      </x:c>
      <x:c r="N1503" s="24" t="n">
        <x:f>F1503+H1503</x:f>
        <x:v>6.307692307692308</x:v>
      </x:c>
      <x:c r="O1503" s="24" t="n">
        <x:f>J1503+L1503</x:f>
        <x:v>70.23076923076923</x:v>
      </x:c>
    </x:row>
    <x:row r="1504">
      <x:c r="A1504" s="22" t="str">
        <x:v>500111039</x:v>
      </x:c>
      <x:c r="B1504" s="17" t="str">
        <x:v>南港區</x:v>
      </x:c>
      <x:c r="C1504" s="17" t="str">
        <x:v>凌雲五村(研究院路三段8巷)</x:v>
      </x:c>
      <x:c r="D1504" s="18" t="n">
        <x:v>26</x:v>
      </x:c>
      <x:c r="E1504" s="18" t="n">
        <x:v>26</x:v>
      </x:c>
      <x:c r="F1504" s="24" t="n">
        <x:f>IFERROR('各站彙總來源'!F1504/'各站彙總來源'!G1504,"")</x:f>
        <x:v>16.307692307692307</x:v>
      </x:c>
      <x:c r="G1504" s="19" t="n">
        <x:f>'各站彙總來源'!G1504</x:f>
        <x:v>26</x:v>
      </x:c>
      <x:c r="H1504" s="24" t="n">
        <x:f>IFERROR('各站彙總來源'!H1504/'各站彙總來源'!I1504,"")</x:f>
        <x:v>2.3076923076923075</x:v>
      </x:c>
      <x:c r="I1504" s="19" t="n">
        <x:f>'各站彙總來源'!I1504</x:f>
        <x:v>26</x:v>
      </x:c>
      <x:c r="J1504" s="24" t="n">
        <x:f>IFERROR('各站彙總來源'!J1504/'各站彙總來源'!K1504,"")</x:f>
        <x:v>4.1923076923076925</x:v>
      </x:c>
      <x:c r="K1504" s="19" t="n">
        <x:f>'各站彙總來源'!K1504</x:f>
        <x:v>26</x:v>
      </x:c>
      <x:c r="L1504" s="24" t="n">
        <x:f>IFERROR('各站彙總來源'!L1504/'各站彙總來源'!M1504,"")</x:f>
        <x:v>1.1923076923076923</x:v>
      </x:c>
      <x:c r="M1504" s="19" t="n">
        <x:f>'各站彙總來源'!M1504</x:f>
        <x:v>26</x:v>
      </x:c>
      <x:c r="N1504" s="24" t="n">
        <x:f>F1504+H1504</x:f>
        <x:v>18.615384615384613</x:v>
      </x:c>
      <x:c r="O1504" s="24" t="n">
        <x:f>J1504+L1504</x:f>
        <x:v>5.384615384615385</x:v>
      </x:c>
    </x:row>
    <x:row r="1505">
      <x:c r="A1505" s="22" t="str">
        <x:v>500111040</x:v>
      </x:c>
      <x:c r="B1505" s="17" t="str">
        <x:v>南港區</x:v>
      </x:c>
      <x:c r="C1505" s="17" t="str">
        <x:v>新新公園(昆陽街60巷)</x:v>
      </x:c>
      <x:c r="D1505" s="18" t="n">
        <x:v>26</x:v>
      </x:c>
      <x:c r="E1505" s="18" t="n">
        <x:v>26</x:v>
      </x:c>
      <x:c r="F1505" s="24" t="n">
        <x:f>IFERROR('各站彙總來源'!F1505/'各站彙總來源'!G1505,"")</x:f>
        <x:v>5.846153846153846</x:v>
      </x:c>
      <x:c r="G1505" s="19" t="n">
        <x:f>'各站彙總來源'!G1505</x:f>
        <x:v>26</x:v>
      </x:c>
      <x:c r="H1505" s="24" t="n">
        <x:f>IFERROR('各站彙總來源'!H1505/'各站彙總來源'!I1505,"")</x:f>
        <x:v>0.9615384615384616</x:v>
      </x:c>
      <x:c r="I1505" s="19" t="n">
        <x:f>'各站彙總來源'!I1505</x:f>
        <x:v>26</x:v>
      </x:c>
      <x:c r="J1505" s="24" t="n">
        <x:f>IFERROR('各站彙總來源'!J1505/'各站彙總來源'!K1505,"")</x:f>
        <x:v>19.53846153846154</x:v>
      </x:c>
      <x:c r="K1505" s="19" t="n">
        <x:f>'各站彙總來源'!K1505</x:f>
        <x:v>26</x:v>
      </x:c>
      <x:c r="L1505" s="24" t="n">
        <x:f>IFERROR('各站彙總來源'!L1505/'各站彙總來源'!M1505,"")</x:f>
        <x:v>2.6923076923076925</x:v>
      </x:c>
      <x:c r="M1505" s="19" t="n">
        <x:f>'各站彙總來源'!M1505</x:f>
        <x:v>26</x:v>
      </x:c>
      <x:c r="N1505" s="24" t="n">
        <x:f>F1505+H1505</x:f>
        <x:v>6.8076923076923075</x:v>
      </x:c>
      <x:c r="O1505" s="24" t="n">
        <x:f>J1505+L1505</x:f>
        <x:v>22.230769230769234</x:v>
      </x:c>
    </x:row>
    <x:row r="1506">
      <x:c r="A1506" s="22" t="str">
        <x:v>500111041</x:v>
      </x:c>
      <x:c r="B1506" s="17" t="str">
        <x:v>南港區</x:v>
      </x:c>
      <x:c r="C1506" s="17" t="str">
        <x:v>南港高中(昆陽街)</x:v>
      </x:c>
      <x:c r="D1506" s="18" t="n">
        <x:v>26</x:v>
      </x:c>
      <x:c r="E1506" s="18" t="n">
        <x:v>26</x:v>
      </x:c>
      <x:c r="F1506" s="24" t="n">
        <x:f>IFERROR('各站彙總來源'!F1506/'各站彙總來源'!G1506,"")</x:f>
        <x:v>4.5</x:v>
      </x:c>
      <x:c r="G1506" s="19" t="n">
        <x:f>'各站彙總來源'!G1506</x:f>
        <x:v>26</x:v>
      </x:c>
      <x:c r="H1506" s="24" t="n">
        <x:f>IFERROR('各站彙總來源'!H1506/'各站彙總來源'!I1506,"")</x:f>
        <x:v>0.8076923076923077</x:v>
      </x:c>
      <x:c r="I1506" s="19" t="n">
        <x:f>'各站彙總來源'!I1506</x:f>
        <x:v>26</x:v>
      </x:c>
      <x:c r="J1506" s="24" t="n">
        <x:f>IFERROR('各站彙總來源'!J1506/'各站彙總來源'!K1506,"")</x:f>
        <x:v>13.653846153846153</x:v>
      </x:c>
      <x:c r="K1506" s="19" t="n">
        <x:f>'各站彙總來源'!K1506</x:f>
        <x:v>26</x:v>
      </x:c>
      <x:c r="L1506" s="24" t="n">
        <x:f>IFERROR('各站彙總來源'!L1506/'各站彙總來源'!M1506,"")</x:f>
        <x:v>3.6153846153846154</x:v>
      </x:c>
      <x:c r="M1506" s="19" t="n">
        <x:f>'各站彙總來源'!M1506</x:f>
        <x:v>26</x:v>
      </x:c>
      <x:c r="N1506" s="24" t="n">
        <x:f>F1506+H1506</x:f>
        <x:v>5.3076923076923075</x:v>
      </x:c>
      <x:c r="O1506" s="24" t="n">
        <x:f>J1506+L1506</x:f>
        <x:v>17.26923076923077</x:v>
      </x:c>
    </x:row>
    <x:row r="1507">
      <x:c r="A1507" s="22" t="str">
        <x:v>500111042</x:v>
      </x:c>
      <x:c r="B1507" s="17" t="str">
        <x:v>南港區</x:v>
      </x:c>
      <x:c r="C1507" s="17" t="str">
        <x:v>南港路三段290巷口</x:v>
      </x:c>
      <x:c r="D1507" s="18" t="n">
        <x:v>26</x:v>
      </x:c>
      <x:c r="E1507" s="18" t="n">
        <x:v>26</x:v>
      </x:c>
      <x:c r="F1507" s="24" t="n">
        <x:f>IFERROR('各站彙總來源'!F1507/'各站彙總來源'!G1507,"")</x:f>
        <x:v>10.307692307692308</x:v>
      </x:c>
      <x:c r="G1507" s="19" t="n">
        <x:f>'各站彙總來源'!G1507</x:f>
        <x:v>26</x:v>
      </x:c>
      <x:c r="H1507" s="24" t="n">
        <x:f>IFERROR('各站彙總來源'!H1507/'各站彙總來源'!I1507,"")</x:f>
        <x:v>1.1153846153846154</x:v>
      </x:c>
      <x:c r="I1507" s="19" t="n">
        <x:f>'各站彙總來源'!I1507</x:f>
        <x:v>26</x:v>
      </x:c>
      <x:c r="J1507" s="24" t="n">
        <x:f>IFERROR('各站彙總來源'!J1507/'各站彙總來源'!K1507,"")</x:f>
        <x:v>4.538461538461538</x:v>
      </x:c>
      <x:c r="K1507" s="19" t="n">
        <x:f>'各站彙總來源'!K1507</x:f>
        <x:v>26</x:v>
      </x:c>
      <x:c r="L1507" s="24" t="n">
        <x:f>IFERROR('各站彙總來源'!L1507/'各站彙總來源'!M1507,"")</x:f>
        <x:v>0.7307692307692307</x:v>
      </x:c>
      <x:c r="M1507" s="19" t="n">
        <x:f>'各站彙總來源'!M1507</x:f>
        <x:v>26</x:v>
      </x:c>
      <x:c r="N1507" s="24" t="n">
        <x:f>F1507+H1507</x:f>
        <x:v>11.423076923076923</x:v>
      </x:c>
      <x:c r="O1507" s="24" t="n">
        <x:f>J1507+L1507</x:f>
        <x:v>5.269230769230769</x:v>
      </x:c>
    </x:row>
    <x:row r="1508">
      <x:c r="A1508" s="22" t="str">
        <x:v>500111043</x:v>
      </x:c>
      <x:c r="B1508" s="17" t="str">
        <x:v>南港區</x:v>
      </x:c>
      <x:c r="C1508" s="17" t="str">
        <x:v>南港路三段220巷口</x:v>
      </x:c>
      <x:c r="D1508" s="18" t="n">
        <x:v>26</x:v>
      </x:c>
      <x:c r="E1508" s="18" t="n">
        <x:v>26</x:v>
      </x:c>
      <x:c r="F1508" s="24" t="n">
        <x:f>IFERROR('各站彙總來源'!F1508/'各站彙總來源'!G1508,"")</x:f>
        <x:v>8.615384615384615</x:v>
      </x:c>
      <x:c r="G1508" s="19" t="n">
        <x:f>'各站彙總來源'!G1508</x:f>
        <x:v>26</x:v>
      </x:c>
      <x:c r="H1508" s="24" t="n">
        <x:f>IFERROR('各站彙總來源'!H1508/'各站彙總來源'!I1508,"")</x:f>
        <x:v>1.6538461538461537</x:v>
      </x:c>
      <x:c r="I1508" s="19" t="n">
        <x:f>'各站彙總來源'!I1508</x:f>
        <x:v>26</x:v>
      </x:c>
      <x:c r="J1508" s="24" t="n">
        <x:f>IFERROR('各站彙總來源'!J1508/'各站彙總來源'!K1508,"")</x:f>
        <x:v>5.346153846153846</x:v>
      </x:c>
      <x:c r="K1508" s="19" t="n">
        <x:f>'各站彙總來源'!K1508</x:f>
        <x:v>26</x:v>
      </x:c>
      <x:c r="L1508" s="24" t="n">
        <x:f>IFERROR('各站彙總來源'!L1508/'各站彙總來源'!M1508,"")</x:f>
        <x:v>1.3846153846153846</x:v>
      </x:c>
      <x:c r="M1508" s="19" t="n">
        <x:f>'各站彙總來源'!M1508</x:f>
        <x:v>26</x:v>
      </x:c>
      <x:c r="N1508" s="24" t="n">
        <x:f>F1508+H1508</x:f>
        <x:v>10.269230769230768</x:v>
      </x:c>
      <x:c r="O1508" s="24" t="n">
        <x:f>J1508+L1508</x:f>
        <x:v>6.73076923076923</x:v>
      </x:c>
    </x:row>
    <x:row r="1509">
      <x:c r="A1509" s="22" t="str">
        <x:v>500111044</x:v>
      </x:c>
      <x:c r="B1509" s="17" t="str">
        <x:v>南港區</x:v>
      </x:c>
      <x:c r="C1509" s="17" t="str">
        <x:v>南港東新街口</x:v>
      </x:c>
      <x:c r="D1509" s="18" t="n">
        <x:v>26</x:v>
      </x:c>
      <x:c r="E1509" s="18" t="n">
        <x:v>26</x:v>
      </x:c>
      <x:c r="F1509" s="24" t="n">
        <x:f>IFERROR('各站彙總來源'!F1509/'各站彙總來源'!G1509,"")</x:f>
        <x:v>11.076923076923077</x:v>
      </x:c>
      <x:c r="G1509" s="19" t="n">
        <x:f>'各站彙總來源'!G1509</x:f>
        <x:v>26</x:v>
      </x:c>
      <x:c r="H1509" s="24" t="n">
        <x:f>IFERROR('各站彙總來源'!H1509/'各站彙總來源'!I1509,"")</x:f>
        <x:v>1.0769230769230769</x:v>
      </x:c>
      <x:c r="I1509" s="19" t="n">
        <x:f>'各站彙總來源'!I1509</x:f>
        <x:v>26</x:v>
      </x:c>
      <x:c r="J1509" s="24" t="n">
        <x:f>IFERROR('各站彙總來源'!J1509/'各站彙總來源'!K1509,"")</x:f>
        <x:v>13.923076923076923</x:v>
      </x:c>
      <x:c r="K1509" s="19" t="n">
        <x:f>'各站彙總來源'!K1509</x:f>
        <x:v>26</x:v>
      </x:c>
      <x:c r="L1509" s="24" t="n">
        <x:f>IFERROR('各站彙總來源'!L1509/'各站彙總來源'!M1509,"")</x:f>
        <x:v>1.6923076923076923</x:v>
      </x:c>
      <x:c r="M1509" s="19" t="n">
        <x:f>'各站彙總來源'!M1509</x:f>
        <x:v>26</x:v>
      </x:c>
      <x:c r="N1509" s="24" t="n">
        <x:f>F1509+H1509</x:f>
        <x:v>12.153846153846153</x:v>
      </x:c>
      <x:c r="O1509" s="24" t="n">
        <x:f>J1509+L1509</x:f>
        <x:v>15.615384615384615</x:v>
      </x:c>
    </x:row>
    <x:row r="1510">
      <x:c r="A1510" s="22" t="str">
        <x:v>500111045</x:v>
      </x:c>
      <x:c r="B1510" s="17" t="str">
        <x:v>南港區</x:v>
      </x:c>
      <x:c r="C1510" s="17" t="str">
        <x:v>八德中坡路口</x:v>
      </x:c>
      <x:c r="D1510" s="18" t="n">
        <x:v>26</x:v>
      </x:c>
      <x:c r="E1510" s="18" t="n">
        <x:v>26</x:v>
      </x:c>
      <x:c r="F1510" s="24" t="n">
        <x:f>IFERROR('各站彙總來源'!F1510/'各站彙總來源'!G1510,"")</x:f>
        <x:v>17.076923076923077</x:v>
      </x:c>
      <x:c r="G1510" s="19" t="n">
        <x:f>'各站彙總來源'!G1510</x:f>
        <x:v>26</x:v>
      </x:c>
      <x:c r="H1510" s="24" t="n">
        <x:f>IFERROR('各站彙總來源'!H1510/'各站彙總來源'!I1510,"")</x:f>
        <x:v>2.3461538461538463</x:v>
      </x:c>
      <x:c r="I1510" s="19" t="n">
        <x:f>'各站彙總來源'!I1510</x:f>
        <x:v>26</x:v>
      </x:c>
      <x:c r="J1510" s="24" t="n">
        <x:f>IFERROR('各站彙總來源'!J1510/'各站彙總來源'!K1510,"")</x:f>
        <x:v>8.692307692307692</x:v>
      </x:c>
      <x:c r="K1510" s="19" t="n">
        <x:f>'各站彙總來源'!K1510</x:f>
        <x:v>26</x:v>
      </x:c>
      <x:c r="L1510" s="24" t="n">
        <x:f>IFERROR('各站彙總來源'!L1510/'各站彙總來源'!M1510,"")</x:f>
        <x:v>1.5384615384615385</x:v>
      </x:c>
      <x:c r="M1510" s="19" t="n">
        <x:f>'各站彙總來源'!M1510</x:f>
        <x:v>26</x:v>
      </x:c>
      <x:c r="N1510" s="24" t="n">
        <x:f>F1510+H1510</x:f>
        <x:v>19.423076923076923</x:v>
      </x:c>
      <x:c r="O1510" s="24" t="n">
        <x:f>J1510+L1510</x:f>
        <x:v>10.23076923076923</x:v>
      </x:c>
    </x:row>
    <x:row r="1511">
      <x:c r="A1511" s="22" t="str">
        <x:v>500111046</x:v>
      </x:c>
      <x:c r="B1511" s="17" t="str">
        <x:v>南港區</x:v>
      </x:c>
      <x:c r="C1511" s="17" t="str">
        <x:v>捷運後山埤站(3號出口)</x:v>
      </x:c>
      <x:c r="D1511" s="18" t="n">
        <x:v>26</x:v>
      </x:c>
      <x:c r="E1511" s="18" t="n">
        <x:v>26</x:v>
      </x:c>
      <x:c r="F1511" s="24" t="n">
        <x:f>IFERROR('各站彙總來源'!F1511/'各站彙總來源'!G1511,"")</x:f>
        <x:v>9.884615384615385</x:v>
      </x:c>
      <x:c r="G1511" s="19" t="n">
        <x:f>'各站彙總來源'!G1511</x:f>
        <x:v>26</x:v>
      </x:c>
      <x:c r="H1511" s="24" t="n">
        <x:f>IFERROR('各站彙總來源'!H1511/'各站彙總來源'!I1511,"")</x:f>
        <x:v>1.5</x:v>
      </x:c>
      <x:c r="I1511" s="19" t="n">
        <x:f>'各站彙總來源'!I1511</x:f>
        <x:v>26</x:v>
      </x:c>
      <x:c r="J1511" s="24" t="n">
        <x:f>IFERROR('各站彙總來源'!J1511/'各站彙總來源'!K1511,"")</x:f>
        <x:v>7.730769230769231</x:v>
      </x:c>
      <x:c r="K1511" s="19" t="n">
        <x:f>'各站彙總來源'!K1511</x:f>
        <x:v>26</x:v>
      </x:c>
      <x:c r="L1511" s="24" t="n">
        <x:f>IFERROR('各站彙總來源'!L1511/'各站彙總來源'!M1511,"")</x:f>
        <x:v>2.5384615384615383</x:v>
      </x:c>
      <x:c r="M1511" s="19" t="n">
        <x:f>'各站彙總來源'!M1511</x:f>
        <x:v>26</x:v>
      </x:c>
      <x:c r="N1511" s="24" t="n">
        <x:f>F1511+H1511</x:f>
        <x:v>11.384615384615385</x:v>
      </x:c>
      <x:c r="O1511" s="24" t="n">
        <x:f>J1511+L1511</x:f>
        <x:v>10.26923076923077</x:v>
      </x:c>
    </x:row>
    <x:row r="1512">
      <x:c r="A1512" s="22" t="str">
        <x:v>500111047</x:v>
      </x:c>
      <x:c r="B1512" s="17" t="str">
        <x:v>南港區</x:v>
      </x:c>
      <x:c r="C1512" s="17" t="str">
        <x:v>玉成公園運動中心</x:v>
      </x:c>
      <x:c r="D1512" s="18" t="n">
        <x:v>26</x:v>
      </x:c>
      <x:c r="E1512" s="18" t="n">
        <x:v>26</x:v>
      </x:c>
      <x:c r="F1512" s="24" t="n">
        <x:f>IFERROR('各站彙總來源'!F1512/'各站彙總來源'!G1512,"")</x:f>
        <x:v>17.192307692307693</x:v>
      </x:c>
      <x:c r="G1512" s="19" t="n">
        <x:f>'各站彙總來源'!G1512</x:f>
        <x:v>26</x:v>
      </x:c>
      <x:c r="H1512" s="24" t="n">
        <x:f>IFERROR('各站彙總來源'!H1512/'各站彙總來源'!I1512,"")</x:f>
        <x:v>3.3846153846153846</x:v>
      </x:c>
      <x:c r="I1512" s="19" t="n">
        <x:f>'各站彙總來源'!I1512</x:f>
        <x:v>26</x:v>
      </x:c>
      <x:c r="J1512" s="24" t="n">
        <x:f>IFERROR('各站彙總來源'!J1512/'各站彙總來源'!K1512,"")</x:f>
        <x:v>3.9615384615384617</x:v>
      </x:c>
      <x:c r="K1512" s="19" t="n">
        <x:f>'各站彙總來源'!K1512</x:f>
        <x:v>26</x:v>
      </x:c>
      <x:c r="L1512" s="24" t="n">
        <x:f>IFERROR('各站彙總來源'!L1512/'各站彙總來源'!M1512,"")</x:f>
        <x:v>0.46153846153846156</x:v>
      </x:c>
      <x:c r="M1512" s="19" t="n">
        <x:f>'各站彙總來源'!M1512</x:f>
        <x:v>26</x:v>
      </x:c>
      <x:c r="N1512" s="24" t="n">
        <x:f>F1512+H1512</x:f>
        <x:v>20.576923076923077</x:v>
      </x:c>
      <x:c r="O1512" s="24" t="n">
        <x:f>J1512+L1512</x:f>
        <x:v>4.423076923076923</x:v>
      </x:c>
    </x:row>
    <x:row r="1513">
      <x:c r="A1513" s="22" t="str">
        <x:v>500111048</x:v>
      </x:c>
      <x:c r="B1513" s="17" t="str">
        <x:v>南港區</x:v>
      </x:c>
      <x:c r="C1513" s="17" t="str">
        <x:v>百福公園</x:v>
      </x:c>
      <x:c r="D1513" s="18" t="n">
        <x:v>26</x:v>
      </x:c>
      <x:c r="E1513" s="18" t="n">
        <x:v>26</x:v>
      </x:c>
      <x:c r="F1513" s="24" t="n">
        <x:f>IFERROR('各站彙總來源'!F1513/'各站彙總來源'!G1513,"")</x:f>
        <x:v>21.03846153846154</x:v>
      </x:c>
      <x:c r="G1513" s="19" t="n">
        <x:f>'各站彙總來源'!G1513</x:f>
        <x:v>26</x:v>
      </x:c>
      <x:c r="H1513" s="24" t="n">
        <x:f>IFERROR('各站彙總來源'!H1513/'各站彙總來源'!I1513,"")</x:f>
        <x:v>3.6538461538461537</x:v>
      </x:c>
      <x:c r="I1513" s="19" t="n">
        <x:f>'各站彙總來源'!I1513</x:f>
        <x:v>26</x:v>
      </x:c>
      <x:c r="J1513" s="24" t="n">
        <x:f>IFERROR('各站彙總來源'!J1513/'各站彙總來源'!K1513,"")</x:f>
        <x:v>3.423076923076923</x:v>
      </x:c>
      <x:c r="K1513" s="19" t="n">
        <x:f>'各站彙總來源'!K1513</x:f>
        <x:v>26</x:v>
      </x:c>
      <x:c r="L1513" s="24" t="n">
        <x:f>IFERROR('各站彙總來源'!L1513/'各站彙總來源'!M1513,"")</x:f>
        <x:v>0.8076923076923077</x:v>
      </x:c>
      <x:c r="M1513" s="19" t="n">
        <x:f>'各站彙總來源'!M1513</x:f>
        <x:v>26</x:v>
      </x:c>
      <x:c r="N1513" s="24" t="n">
        <x:f>F1513+H1513</x:f>
        <x:v>24.692307692307693</x:v>
      </x:c>
      <x:c r="O1513" s="24" t="n">
        <x:f>J1513+L1513</x:f>
        <x:v>4.230769230769231</x:v>
      </x:c>
    </x:row>
    <x:row r="1514">
      <x:c r="A1514" s="22" t="str">
        <x:v>500111049</x:v>
      </x:c>
      <x:c r="B1514" s="17" t="str">
        <x:v>南港區</x:v>
      </x:c>
      <x:c r="C1514" s="17" t="str">
        <x:v>南湖大橋(經貿二路255巷)</x:v>
      </x:c>
      <x:c r="D1514" s="18" t="n">
        <x:v>26</x:v>
      </x:c>
      <x:c r="E1514" s="18" t="n">
        <x:v>26</x:v>
      </x:c>
      <x:c r="F1514" s="24" t="n">
        <x:f>IFERROR('各站彙總來源'!F1514/'各站彙總來源'!G1514,"")</x:f>
        <x:v>4.923076923076923</x:v>
      </x:c>
      <x:c r="G1514" s="19" t="n">
        <x:f>'各站彙總來源'!G1514</x:f>
        <x:v>26</x:v>
      </x:c>
      <x:c r="H1514" s="24" t="n">
        <x:f>IFERROR('各站彙總來源'!H1514/'各站彙總來源'!I1514,"")</x:f>
        <x:v>0.9230769230769231</x:v>
      </x:c>
      <x:c r="I1514" s="19" t="n">
        <x:f>'各站彙總來源'!I1514</x:f>
        <x:v>26</x:v>
      </x:c>
      <x:c r="J1514" s="24" t="n">
        <x:f>IFERROR('各站彙總來源'!J1514/'各站彙總來源'!K1514,"")</x:f>
        <x:v>5.961538461538462</x:v>
      </x:c>
      <x:c r="K1514" s="19" t="n">
        <x:f>'各站彙總來源'!K1514</x:f>
        <x:v>26</x:v>
      </x:c>
      <x:c r="L1514" s="24" t="n">
        <x:f>IFERROR('各站彙總來源'!L1514/'各站彙總來源'!M1514,"")</x:f>
        <x:v>2.1923076923076925</x:v>
      </x:c>
      <x:c r="M1514" s="19" t="n">
        <x:f>'各站彙總來源'!M1514</x:f>
        <x:v>26</x:v>
      </x:c>
      <x:c r="N1514" s="24" t="n">
        <x:f>F1514+H1514</x:f>
        <x:v>5.846153846153847</x:v>
      </x:c>
      <x:c r="O1514" s="24" t="n">
        <x:f>J1514+L1514</x:f>
        <x:v>8.153846153846153</x:v>
      </x:c>
    </x:row>
    <x:row r="1515">
      <x:c r="A1515" s="22" t="str">
        <x:v>500111050</x:v>
      </x:c>
      <x:c r="B1515" s="17" t="str">
        <x:v>南港區</x:v>
      </x:c>
      <x:c r="C1515" s="17" t="str">
        <x:v>園區重陽路口</x:v>
      </x:c>
      <x:c r="D1515" s="18" t="n">
        <x:v>26</x:v>
      </x:c>
      <x:c r="E1515" s="18" t="n">
        <x:v>26</x:v>
      </x:c>
      <x:c r="F1515" s="24" t="n">
        <x:f>IFERROR('各站彙總來源'!F1515/'各站彙總來源'!G1515,"")</x:f>
        <x:v>6.423076923076923</x:v>
      </x:c>
      <x:c r="G1515" s="19" t="n">
        <x:f>'各站彙總來源'!G1515</x:f>
        <x:v>26</x:v>
      </x:c>
      <x:c r="H1515" s="24" t="n">
        <x:f>IFERROR('各站彙總來源'!H1515/'各站彙總來源'!I1515,"")</x:f>
        <x:v>1.7307692307692308</x:v>
      </x:c>
      <x:c r="I1515" s="19" t="n">
        <x:f>'各站彙總來源'!I1515</x:f>
        <x:v>26</x:v>
      </x:c>
      <x:c r="J1515" s="24" t="n">
        <x:f>IFERROR('各站彙總來源'!J1515/'各站彙總來源'!K1515,"")</x:f>
        <x:v>10.961538461538462</x:v>
      </x:c>
      <x:c r="K1515" s="19" t="n">
        <x:f>'各站彙總來源'!K1515</x:f>
        <x:v>26</x:v>
      </x:c>
      <x:c r="L1515" s="24" t="n">
        <x:f>IFERROR('各站彙總來源'!L1515/'各站彙總來源'!M1515,"")</x:f>
        <x:v>1.6538461538461537</x:v>
      </x:c>
      <x:c r="M1515" s="19" t="n">
        <x:f>'各站彙總來源'!M1515</x:f>
        <x:v>26</x:v>
      </x:c>
      <x:c r="N1515" s="24" t="n">
        <x:f>F1515+H1515</x:f>
        <x:v>8.153846153846153</x:v>
      </x:c>
      <x:c r="O1515" s="24" t="n">
        <x:f>J1515+L1515</x:f>
        <x:v>12.615384615384615</x:v>
      </x:c>
    </x:row>
    <x:row r="1516">
      <x:c r="A1516" s="22" t="str">
        <x:v>500111051</x:v>
      </x:c>
      <x:c r="B1516" s="17" t="str">
        <x:v>南港區</x:v>
      </x:c>
      <x:c r="C1516" s="17" t="str">
        <x:v>南港車站B棟(市民大道)</x:v>
      </x:c>
      <x:c r="D1516" s="18" t="n">
        <x:v>26</x:v>
      </x:c>
      <x:c r="E1516" s="18" t="n">
        <x:v>26</x:v>
      </x:c>
      <x:c r="F1516" s="24" t="n">
        <x:f>IFERROR('各站彙總來源'!F1516/'各站彙總來源'!G1516,"")</x:f>
        <x:v>14.384615384615385</x:v>
      </x:c>
      <x:c r="G1516" s="19" t="n">
        <x:f>'各站彙總來源'!G1516</x:f>
        <x:v>26</x:v>
      </x:c>
      <x:c r="H1516" s="24" t="n">
        <x:f>IFERROR('各站彙總來源'!H1516/'各站彙總來源'!I1516,"")</x:f>
        <x:v>1.3846153846153846</x:v>
      </x:c>
      <x:c r="I1516" s="19" t="n">
        <x:f>'各站彙總來源'!I1516</x:f>
        <x:v>26</x:v>
      </x:c>
      <x:c r="J1516" s="24" t="n">
        <x:f>IFERROR('各站彙總來源'!J1516/'各站彙總來源'!K1516,"")</x:f>
        <x:v>8.346153846153847</x:v>
      </x:c>
      <x:c r="K1516" s="19" t="n">
        <x:f>'各站彙總來源'!K1516</x:f>
        <x:v>26</x:v>
      </x:c>
      <x:c r="L1516" s="24" t="n">
        <x:f>IFERROR('各站彙總來源'!L1516/'各站彙總來源'!M1516,"")</x:f>
        <x:v>0.8461538461538461</x:v>
      </x:c>
      <x:c r="M1516" s="19" t="n">
        <x:f>'各站彙總來源'!M1516</x:f>
        <x:v>26</x:v>
      </x:c>
      <x:c r="N1516" s="24" t="n">
        <x:f>F1516+H1516</x:f>
        <x:v>15.76923076923077</x:v>
      </x:c>
      <x:c r="O1516" s="24" t="n">
        <x:f>J1516+L1516</x:f>
        <x:v>9.192307692307693</x:v>
      </x:c>
    </x:row>
    <x:row r="1517">
      <x:c r="A1517" s="22" t="str">
        <x:v>500111052</x:v>
      </x:c>
      <x:c r="B1517" s="17" t="str">
        <x:v>南港區</x:v>
      </x:c>
      <x:c r="C1517" s="17" t="str">
        <x:v>胡適公園</x:v>
      </x:c>
      <x:c r="D1517" s="18" t="n">
        <x:v>26</x:v>
      </x:c>
      <x:c r="E1517" s="18" t="n">
        <x:v>26</x:v>
      </x:c>
      <x:c r="F1517" s="24" t="n">
        <x:f>IFERROR('各站彙總來源'!F1517/'各站彙總來源'!G1517,"")</x:f>
        <x:v>7.1923076923076925</x:v>
      </x:c>
      <x:c r="G1517" s="19" t="n">
        <x:f>'各站彙總來源'!G1517</x:f>
        <x:v>26</x:v>
      </x:c>
      <x:c r="H1517" s="24" t="n">
        <x:f>IFERROR('各站彙總來源'!H1517/'各站彙總來源'!I1517,"")</x:f>
        <x:v>1.5384615384615385</x:v>
      </x:c>
      <x:c r="I1517" s="19" t="n">
        <x:f>'各站彙總來源'!I1517</x:f>
        <x:v>26</x:v>
      </x:c>
      <x:c r="J1517" s="24" t="n">
        <x:f>IFERROR('各站彙總來源'!J1517/'各站彙總來源'!K1517,"")</x:f>
        <x:v>6.846153846153846</x:v>
      </x:c>
      <x:c r="K1517" s="19" t="n">
        <x:f>'各站彙總來源'!K1517</x:f>
        <x:v>26</x:v>
      </x:c>
      <x:c r="L1517" s="24" t="n">
        <x:f>IFERROR('各站彙總來源'!L1517/'各站彙總來源'!M1517,"")</x:f>
        <x:v>1.5</x:v>
      </x:c>
      <x:c r="M1517" s="19" t="n">
        <x:f>'各站彙總來源'!M1517</x:f>
        <x:v>26</x:v>
      </x:c>
      <x:c r="N1517" s="24" t="n">
        <x:f>F1517+H1517</x:f>
        <x:v>8.730769230769232</x:v>
      </x:c>
      <x:c r="O1517" s="24" t="n">
        <x:f>J1517+L1517</x:f>
        <x:v>8.346153846153847</x:v>
      </x:c>
    </x:row>
    <x:row r="1518">
      <x:c r="A1518" s="22" t="str">
        <x:v>500111053</x:v>
      </x:c>
      <x:c r="B1518" s="17" t="str">
        <x:v>南港區</x:v>
      </x:c>
      <x:c r="C1518" s="17" t="str">
        <x:v>南港抽水站</x:v>
      </x:c>
      <x:c r="D1518" s="18" t="n">
        <x:v>26</x:v>
      </x:c>
      <x:c r="E1518" s="18" t="n">
        <x:v>26</x:v>
      </x:c>
      <x:c r="F1518" s="24" t="n">
        <x:f>IFERROR('各站彙總來源'!F1518/'各站彙總來源'!G1518,"")</x:f>
        <x:v>10.115384615384615</x:v>
      </x:c>
      <x:c r="G1518" s="19" t="n">
        <x:f>'各站彙總來源'!G1518</x:f>
        <x:v>26</x:v>
      </x:c>
      <x:c r="H1518" s="24" t="n">
        <x:f>IFERROR('各站彙總來源'!H1518/'各站彙總來源'!I1518,"")</x:f>
        <x:v>1.4230769230769231</x:v>
      </x:c>
      <x:c r="I1518" s="19" t="n">
        <x:f>'各站彙總來源'!I1518</x:f>
        <x:v>26</x:v>
      </x:c>
      <x:c r="J1518" s="24" t="n">
        <x:f>IFERROR('各站彙總來源'!J1518/'各站彙總來源'!K1518,"")</x:f>
        <x:v>5.730769230769231</x:v>
      </x:c>
      <x:c r="K1518" s="19" t="n">
        <x:f>'各站彙總來源'!K1518</x:f>
        <x:v>26</x:v>
      </x:c>
      <x:c r="L1518" s="24" t="n">
        <x:f>IFERROR('各站彙總來源'!L1518/'各站彙總來源'!M1518,"")</x:f>
        <x:v>0.6538461538461539</x:v>
      </x:c>
      <x:c r="M1518" s="19" t="n">
        <x:f>'各站彙總來源'!M1518</x:f>
        <x:v>26</x:v>
      </x:c>
      <x:c r="N1518" s="24" t="n">
        <x:f>F1518+H1518</x:f>
        <x:v>11.538461538461538</x:v>
      </x:c>
      <x:c r="O1518" s="24" t="n">
        <x:f>J1518+L1518</x:f>
        <x:v>6.384615384615385</x:v>
      </x:c>
    </x:row>
    <x:row r="1519">
      <x:c r="A1519" s="22" t="str">
        <x:v>500111054</x:v>
      </x:c>
      <x:c r="B1519" s="17" t="str">
        <x:v>南港區</x:v>
      </x:c>
      <x:c r="C1519" s="17" t="str">
        <x:v>經貿公園</x:v>
      </x:c>
      <x:c r="D1519" s="18" t="n">
        <x:v>26</x:v>
      </x:c>
      <x:c r="E1519" s="18" t="n">
        <x:v>26</x:v>
      </x:c>
      <x:c r="F1519" s="24" t="n">
        <x:f>IFERROR('各站彙總來源'!F1519/'各站彙總來源'!G1519,"")</x:f>
        <x:v>5.6923076923076925</x:v>
      </x:c>
      <x:c r="G1519" s="19" t="n">
        <x:f>'各站彙總來源'!G1519</x:f>
        <x:v>26</x:v>
      </x:c>
      <x:c r="H1519" s="24" t="n">
        <x:f>IFERROR('各站彙總來源'!H1519/'各站彙總來源'!I1519,"")</x:f>
        <x:v>1</x:v>
      </x:c>
      <x:c r="I1519" s="19" t="n">
        <x:f>'各站彙總來源'!I1519</x:f>
        <x:v>26</x:v>
      </x:c>
      <x:c r="J1519" s="24" t="n">
        <x:f>IFERROR('各站彙總來源'!J1519/'各站彙總來源'!K1519,"")</x:f>
        <x:v>6.1923076923076925</x:v>
      </x:c>
      <x:c r="K1519" s="19" t="n">
        <x:f>'各站彙總來源'!K1519</x:f>
        <x:v>26</x:v>
      </x:c>
      <x:c r="L1519" s="24" t="n">
        <x:f>IFERROR('各站彙總來源'!L1519/'各站彙總來源'!M1519,"")</x:f>
        <x:v>0.8846153846153846</x:v>
      </x:c>
      <x:c r="M1519" s="19" t="n">
        <x:f>'各站彙總來源'!M1519</x:f>
        <x:v>26</x:v>
      </x:c>
      <x:c r="N1519" s="24" t="n">
        <x:f>F1519+H1519</x:f>
        <x:v>6.6923076923076925</x:v>
      </x:c>
      <x:c r="O1519" s="24" t="n">
        <x:f>J1519+L1519</x:f>
        <x:v>7.076923076923077</x:v>
      </x:c>
    </x:row>
    <x:row r="1520">
      <x:c r="A1520" s="22" t="str">
        <x:v>500111055</x:v>
      </x:c>
      <x:c r="B1520" s="17" t="str">
        <x:v>南港區</x:v>
      </x:c>
      <x:c r="C1520" s="17" t="str">
        <x:v>育成高中</x:v>
      </x:c>
      <x:c r="D1520" s="18" t="n">
        <x:v>26</x:v>
      </x:c>
      <x:c r="E1520" s="18" t="n">
        <x:v>26</x:v>
      </x:c>
      <x:c r="F1520" s="24" t="n">
        <x:f>IFERROR('各站彙總來源'!F1520/'各站彙總來源'!G1520,"")</x:f>
        <x:v>10.307692307692308</x:v>
      </x:c>
      <x:c r="G1520" s="19" t="n">
        <x:f>'各站彙總來源'!G1520</x:f>
        <x:v>26</x:v>
      </x:c>
      <x:c r="H1520" s="24" t="n">
        <x:f>IFERROR('各站彙總來源'!H1520/'各站彙總來源'!I1520,"")</x:f>
        <x:v>1.5769230769230769</x:v>
      </x:c>
      <x:c r="I1520" s="19" t="n">
        <x:f>'各站彙總來源'!I1520</x:f>
        <x:v>26</x:v>
      </x:c>
      <x:c r="J1520" s="24" t="n">
        <x:f>IFERROR('各站彙總來源'!J1520/'各站彙總來源'!K1520,"")</x:f>
        <x:v>20.384615384615383</x:v>
      </x:c>
      <x:c r="K1520" s="19" t="n">
        <x:f>'各站彙總來源'!K1520</x:f>
        <x:v>26</x:v>
      </x:c>
      <x:c r="L1520" s="24" t="n">
        <x:f>IFERROR('各站彙總來源'!L1520/'各站彙總來源'!M1520,"")</x:f>
        <x:v>3.769230769230769</x:v>
      </x:c>
      <x:c r="M1520" s="19" t="n">
        <x:f>'各站彙總來源'!M1520</x:f>
        <x:v>26</x:v>
      </x:c>
      <x:c r="N1520" s="24" t="n">
        <x:f>F1520+H1520</x:f>
        <x:v>11.884615384615385</x:v>
      </x:c>
      <x:c r="O1520" s="24" t="n">
        <x:f>J1520+L1520</x:f>
        <x:v>24.153846153846153</x:v>
      </x:c>
    </x:row>
    <x:row r="1521">
      <x:c r="A1521" s="22" t="str">
        <x:v>500111056</x:v>
      </x:c>
      <x:c r="B1521" s="17" t="str">
        <x:v>南港區</x:v>
      </x:c>
      <x:c r="C1521" s="17" t="str">
        <x:v>捷運南港展覽館站(7號出口)</x:v>
      </x:c>
      <x:c r="D1521" s="18" t="n">
        <x:v>26</x:v>
      </x:c>
      <x:c r="E1521" s="18" t="n">
        <x:v>26</x:v>
      </x:c>
      <x:c r="F1521" s="24" t="n">
        <x:f>IFERROR('各站彙總來源'!F1521/'各站彙總來源'!G1521,"")</x:f>
        <x:v>7.730769230769231</x:v>
      </x:c>
      <x:c r="G1521" s="19" t="n">
        <x:f>'各站彙總來源'!G1521</x:f>
        <x:v>26</x:v>
      </x:c>
      <x:c r="H1521" s="24" t="n">
        <x:f>IFERROR('各站彙總來源'!H1521/'各站彙總來源'!I1521,"")</x:f>
        <x:v>0.5384615384615384</x:v>
      </x:c>
      <x:c r="I1521" s="19" t="n">
        <x:f>'各站彙總來源'!I1521</x:f>
        <x:v>26</x:v>
      </x:c>
      <x:c r="J1521" s="24" t="n">
        <x:f>IFERROR('各站彙總來源'!J1521/'各站彙總來源'!K1521,"")</x:f>
        <x:v>12.153846153846153</x:v>
      </x:c>
      <x:c r="K1521" s="19" t="n">
        <x:f>'各站彙總來源'!K1521</x:f>
        <x:v>26</x:v>
      </x:c>
      <x:c r="L1521" s="24" t="n">
        <x:f>IFERROR('各站彙總來源'!L1521/'各站彙總來源'!M1521,"")</x:f>
        <x:v>2.269230769230769</x:v>
      </x:c>
      <x:c r="M1521" s="19" t="n">
        <x:f>'各站彙總來源'!M1521</x:f>
        <x:v>26</x:v>
      </x:c>
      <x:c r="N1521" s="24" t="n">
        <x:f>F1521+H1521</x:f>
        <x:v>8.26923076923077</x:v>
      </x:c>
      <x:c r="O1521" s="24" t="n">
        <x:f>J1521+L1521</x:f>
        <x:v>14.423076923076923</x:v>
      </x:c>
    </x:row>
    <x:row r="1522">
      <x:c r="A1522" s="22" t="str">
        <x:v>500111057</x:v>
      </x:c>
      <x:c r="B1522" s="17" t="str">
        <x:v>南港區</x:v>
      </x:c>
      <x:c r="C1522" s="17" t="str">
        <x:v>力行橋(南港)</x:v>
      </x:c>
      <x:c r="D1522" s="18" t="n">
        <x:v>26</x:v>
      </x:c>
      <x:c r="E1522" s="18" t="n">
        <x:v>26</x:v>
      </x:c>
      <x:c r="F1522" s="24" t="n">
        <x:f>IFERROR('各站彙總來源'!F1522/'各站彙總來源'!G1522,"")</x:f>
        <x:v>13.115384615384615</x:v>
      </x:c>
      <x:c r="G1522" s="19" t="n">
        <x:f>'各站彙總來源'!G1522</x:f>
        <x:v>26</x:v>
      </x:c>
      <x:c r="H1522" s="24" t="n">
        <x:f>IFERROR('各站彙總來源'!H1522/'各站彙總來源'!I1522,"")</x:f>
        <x:v>0.6538461538461539</x:v>
      </x:c>
      <x:c r="I1522" s="19" t="n">
        <x:f>'各站彙總來源'!I1522</x:f>
        <x:v>26</x:v>
      </x:c>
      <x:c r="J1522" s="24" t="n">
        <x:f>IFERROR('各站彙總來源'!J1522/'各站彙總來源'!K1522,"")</x:f>
        <x:v>4.576923076923077</x:v>
      </x:c>
      <x:c r="K1522" s="19" t="n">
        <x:f>'各站彙總來源'!K1522</x:f>
        <x:v>26</x:v>
      </x:c>
      <x:c r="L1522" s="24" t="n">
        <x:f>IFERROR('各站彙總來源'!L1522/'各站彙總來源'!M1522,"")</x:f>
        <x:v>1</x:v>
      </x:c>
      <x:c r="M1522" s="19" t="n">
        <x:f>'各站彙總來源'!M1522</x:f>
        <x:v>26</x:v>
      </x:c>
      <x:c r="N1522" s="24" t="n">
        <x:f>F1522+H1522</x:f>
        <x:v>13.769230769230768</x:v>
      </x:c>
      <x:c r="O1522" s="24" t="n">
        <x:f>J1522+L1522</x:f>
        <x:v>5.576923076923077</x:v>
      </x:c>
    </x:row>
    <x:row r="1523">
      <x:c r="A1523" s="22" t="str">
        <x:v>500111058</x:v>
      </x:c>
      <x:c r="B1523" s="17" t="str">
        <x:v>南港區</x:v>
      </x:c>
      <x:c r="C1523" s="17" t="str">
        <x:v>舊莊國小(舊莊街一段)</x:v>
      </x:c>
      <x:c r="D1523" s="18" t="n">
        <x:v>26</x:v>
      </x:c>
      <x:c r="E1523" s="18" t="n">
        <x:v>26</x:v>
      </x:c>
      <x:c r="F1523" s="24" t="n">
        <x:f>IFERROR('各站彙總來源'!F1523/'各站彙總來源'!G1523,"")</x:f>
        <x:v>7.3076923076923075</x:v>
      </x:c>
      <x:c r="G1523" s="19" t="n">
        <x:f>'各站彙總來源'!G1523</x:f>
        <x:v>26</x:v>
      </x:c>
      <x:c r="H1523" s="24" t="n">
        <x:f>IFERROR('各站彙總來源'!H1523/'各站彙總來源'!I1523,"")</x:f>
        <x:v>2.3461538461538463</x:v>
      </x:c>
      <x:c r="I1523" s="19" t="n">
        <x:f>'各站彙總來源'!I1523</x:f>
        <x:v>26</x:v>
      </x:c>
      <x:c r="J1523" s="24" t="n">
        <x:f>IFERROR('各站彙總來源'!J1523/'各站彙總來源'!K1523,"")</x:f>
        <x:v>4.8076923076923075</x:v>
      </x:c>
      <x:c r="K1523" s="19" t="n">
        <x:f>'各站彙總來源'!K1523</x:f>
        <x:v>26</x:v>
      </x:c>
      <x:c r="L1523" s="24" t="n">
        <x:f>IFERROR('各站彙總來源'!L1523/'各站彙總來源'!M1523,"")</x:f>
        <x:v>1.3076923076923077</x:v>
      </x:c>
      <x:c r="M1523" s="19" t="n">
        <x:f>'各站彙總來源'!M1523</x:f>
        <x:v>26</x:v>
      </x:c>
      <x:c r="N1523" s="24" t="n">
        <x:f>F1523+H1523</x:f>
        <x:v>9.653846153846153</x:v>
      </x:c>
      <x:c r="O1523" s="24" t="n">
        <x:f>J1523+L1523</x:f>
        <x:v>6.115384615384615</x:v>
      </x:c>
    </x:row>
    <x:row r="1524">
      <x:c r="A1524" s="22" t="str">
        <x:v>500111059</x:v>
      </x:c>
      <x:c r="B1524" s="17" t="str">
        <x:v>南港區</x:v>
      </x:c>
      <x:c r="C1524" s="17" t="str">
        <x:v>向陽公園</x:v>
      </x:c>
      <x:c r="D1524" s="18" t="n">
        <x:v>26</x:v>
      </x:c>
      <x:c r="E1524" s="18" t="n">
        <x:v>26</x:v>
      </x:c>
      <x:c r="F1524" s="24" t="n">
        <x:f>IFERROR('各站彙總來源'!F1524/'各站彙總來源'!G1524,"")</x:f>
        <x:v>12.076923076923077</x:v>
      </x:c>
      <x:c r="G1524" s="19" t="n">
        <x:f>'各站彙總來源'!G1524</x:f>
        <x:v>26</x:v>
      </x:c>
      <x:c r="H1524" s="24" t="n">
        <x:f>IFERROR('各站彙總來源'!H1524/'各站彙總來源'!I1524,"")</x:f>
        <x:v>1.5769230769230769</x:v>
      </x:c>
      <x:c r="I1524" s="19" t="n">
        <x:f>'各站彙總來源'!I1524</x:f>
        <x:v>26</x:v>
      </x:c>
      <x:c r="J1524" s="24" t="n">
        <x:f>IFERROR('各站彙總來源'!J1524/'各站彙總來源'!K1524,"")</x:f>
        <x:v>14.038461538461538</x:v>
      </x:c>
      <x:c r="K1524" s="19" t="n">
        <x:f>'各站彙總來源'!K1524</x:f>
        <x:v>26</x:v>
      </x:c>
      <x:c r="L1524" s="24" t="n">
        <x:f>IFERROR('各站彙總來源'!L1524/'各站彙總來源'!M1524,"")</x:f>
        <x:v>1.9230769230769231</x:v>
      </x:c>
      <x:c r="M1524" s="19" t="n">
        <x:f>'各站彙總來源'!M1524</x:f>
        <x:v>26</x:v>
      </x:c>
      <x:c r="N1524" s="24" t="n">
        <x:f>F1524+H1524</x:f>
        <x:v>13.653846153846153</x:v>
      </x:c>
      <x:c r="O1524" s="24" t="n">
        <x:f>J1524+L1524</x:f>
        <x:v>15.961538461538462</x:v>
      </x:c>
    </x:row>
    <x:row r="1525">
      <x:c r="A1525" s="22" t="str">
        <x:v>500111060</x:v>
      </x:c>
      <x:c r="B1525" s="17" t="str">
        <x:v>南港區</x:v>
      </x:c>
      <x:c r="C1525" s="17" t="str">
        <x:v>小彎社會住宅</x:v>
      </x:c>
      <x:c r="D1525" s="18" t="n">
        <x:v>26</x:v>
      </x:c>
      <x:c r="E1525" s="18" t="n">
        <x:v>26</x:v>
      </x:c>
      <x:c r="F1525" s="24" t="n">
        <x:f>IFERROR('各站彙總來源'!F1525/'各站彙總來源'!G1525,"")</x:f>
        <x:v>28</x:v>
      </x:c>
      <x:c r="G1525" s="19" t="n">
        <x:f>'各站彙總來源'!G1525</x:f>
        <x:v>26</x:v>
      </x:c>
      <x:c r="H1525" s="24" t="n">
        <x:f>IFERROR('各站彙總來源'!H1525/'各站彙總來源'!I1525,"")</x:f>
        <x:v>5.269230769230769</x:v>
      </x:c>
      <x:c r="I1525" s="19" t="n">
        <x:f>'各站彙總來源'!I1525</x:f>
        <x:v>26</x:v>
      </x:c>
      <x:c r="J1525" s="24" t="n">
        <x:f>IFERROR('各站彙總來源'!J1525/'各站彙總來源'!K1525,"")</x:f>
        <x:v>6.153846153846154</x:v>
      </x:c>
      <x:c r="K1525" s="19" t="n">
        <x:f>'各站彙總來源'!K1525</x:f>
        <x:v>26</x:v>
      </x:c>
      <x:c r="L1525" s="24" t="n">
        <x:f>IFERROR('各站彙總來源'!L1525/'各站彙總來源'!M1525,"")</x:f>
        <x:v>1.4230769230769231</x:v>
      </x:c>
      <x:c r="M1525" s="19" t="n">
        <x:f>'各站彙總來源'!M1525</x:f>
        <x:v>26</x:v>
      </x:c>
      <x:c r="N1525" s="24" t="n">
        <x:f>F1525+H1525</x:f>
        <x:v>33.26923076923077</x:v>
      </x:c>
      <x:c r="O1525" s="24" t="n">
        <x:f>J1525+L1525</x:f>
        <x:v>7.5769230769230775</x:v>
      </x:c>
    </x:row>
    <x:row r="1526">
      <x:c r="A1526" s="22" t="str">
        <x:v>500111061</x:v>
      </x:c>
      <x:c r="B1526" s="17" t="str">
        <x:v>南港區</x:v>
      </x:c>
      <x:c r="C1526" s="17" t="str">
        <x:v>捷運南港展覽館站(6號出口)</x:v>
      </x:c>
      <x:c r="D1526" s="18" t="n">
        <x:v>26</x:v>
      </x:c>
      <x:c r="E1526" s="18" t="n">
        <x:v>26</x:v>
      </x:c>
      <x:c r="F1526" s="24" t="n">
        <x:f>IFERROR('各站彙總來源'!F1526/'各站彙總來源'!G1526,"")</x:f>
        <x:v>8.192307692307692</x:v>
      </x:c>
      <x:c r="G1526" s="19" t="n">
        <x:f>'各站彙總來源'!G1526</x:f>
        <x:v>26</x:v>
      </x:c>
      <x:c r="H1526" s="24" t="n">
        <x:f>IFERROR('各站彙總來源'!H1526/'各站彙總來源'!I1526,"")</x:f>
        <x:v>0.6923076923076923</x:v>
      </x:c>
      <x:c r="I1526" s="19" t="n">
        <x:f>'各站彙總來源'!I1526</x:f>
        <x:v>26</x:v>
      </x:c>
      <x:c r="J1526" s="24" t="n">
        <x:f>IFERROR('各站彙總來源'!J1526/'各站彙總來源'!K1526,"")</x:f>
        <x:v>8.423076923076923</x:v>
      </x:c>
      <x:c r="K1526" s="19" t="n">
        <x:f>'各站彙總來源'!K1526</x:f>
        <x:v>26</x:v>
      </x:c>
      <x:c r="L1526" s="24" t="n">
        <x:f>IFERROR('各站彙總來源'!L1526/'各站彙總來源'!M1526,"")</x:f>
        <x:v>0.6923076923076923</x:v>
      </x:c>
      <x:c r="M1526" s="19" t="n">
        <x:f>'各站彙總來源'!M1526</x:f>
        <x:v>26</x:v>
      </x:c>
      <x:c r="N1526" s="24" t="n">
        <x:f>F1526+H1526</x:f>
        <x:v>8.884615384615383</x:v>
      </x:c>
      <x:c r="O1526" s="24" t="n">
        <x:f>J1526+L1526</x:f>
        <x:v>9.115384615384615</x:v>
      </x:c>
    </x:row>
    <x:row r="1527">
      <x:c r="A1527" s="22" t="str">
        <x:v>500111062</x:v>
      </x:c>
      <x:c r="B1527" s="17" t="str">
        <x:v>南港區</x:v>
      </x:c>
      <x:c r="C1527" s="17" t="str">
        <x:v>捷運南港展覽館站(4號出口)</x:v>
      </x:c>
      <x:c r="D1527" s="18" t="n">
        <x:v>26</x:v>
      </x:c>
      <x:c r="E1527" s="18" t="n">
        <x:v>26</x:v>
      </x:c>
      <x:c r="F1527" s="24" t="n">
        <x:f>IFERROR('各站彙總來源'!F1527/'各站彙總來源'!G1527,"")</x:f>
        <x:v>6.923076923076923</x:v>
      </x:c>
      <x:c r="G1527" s="19" t="n">
        <x:f>'各站彙總來源'!G1527</x:f>
        <x:v>26</x:v>
      </x:c>
      <x:c r="H1527" s="24" t="n">
        <x:f>IFERROR('各站彙總來源'!H1527/'各站彙總來源'!I1527,"")</x:f>
        <x:v>1.8461538461538463</x:v>
      </x:c>
      <x:c r="I1527" s="19" t="n">
        <x:f>'各站彙總來源'!I1527</x:f>
        <x:v>26</x:v>
      </x:c>
      <x:c r="J1527" s="24" t="n">
        <x:f>IFERROR('各站彙總來源'!J1527/'各站彙總來源'!K1527,"")</x:f>
        <x:v>9</x:v>
      </x:c>
      <x:c r="K1527" s="19" t="n">
        <x:f>'各站彙總來源'!K1527</x:f>
        <x:v>26</x:v>
      </x:c>
      <x:c r="L1527" s="24" t="n">
        <x:f>IFERROR('各站彙總來源'!L1527/'各站彙總來源'!M1527,"")</x:f>
        <x:v>3.3846153846153846</x:v>
      </x:c>
      <x:c r="M1527" s="19" t="n">
        <x:f>'各站彙總來源'!M1527</x:f>
        <x:v>26</x:v>
      </x:c>
      <x:c r="N1527" s="24" t="n">
        <x:f>F1527+H1527</x:f>
        <x:v>8.76923076923077</x:v>
      </x:c>
      <x:c r="O1527" s="24" t="n">
        <x:f>J1527+L1527</x:f>
        <x:v>12.384615384615385</x:v>
      </x:c>
    </x:row>
    <x:row r="1528">
      <x:c r="A1528" s="22" t="str">
        <x:v>500111063</x:v>
      </x:c>
      <x:c r="B1528" s="17" t="str">
        <x:v>南港區</x:v>
      </x:c>
      <x:c r="C1528" s="17" t="str">
        <x:v>成德綠地</x:v>
      </x:c>
      <x:c r="D1528" s="18" t="n">
        <x:v>26</x:v>
      </x:c>
      <x:c r="E1528" s="18" t="n">
        <x:v>26</x:v>
      </x:c>
      <x:c r="F1528" s="24" t="n">
        <x:f>IFERROR('各站彙總來源'!F1528/'各站彙總來源'!G1528,"")</x:f>
        <x:v>7.653846153846154</x:v>
      </x:c>
      <x:c r="G1528" s="19" t="n">
        <x:f>'各站彙總來源'!G1528</x:f>
        <x:v>26</x:v>
      </x:c>
      <x:c r="H1528" s="24" t="n">
        <x:f>IFERROR('各站彙總來源'!H1528/'各站彙總來源'!I1528,"")</x:f>
        <x:v>2.0384615384615383</x:v>
      </x:c>
      <x:c r="I1528" s="19" t="n">
        <x:f>'各站彙總來源'!I1528</x:f>
        <x:v>26</x:v>
      </x:c>
      <x:c r="J1528" s="24" t="n">
        <x:f>IFERROR('各站彙總來源'!J1528/'各站彙總來源'!K1528,"")</x:f>
        <x:v>5.923076923076923</x:v>
      </x:c>
      <x:c r="K1528" s="19" t="n">
        <x:f>'各站彙總來源'!K1528</x:f>
        <x:v>26</x:v>
      </x:c>
      <x:c r="L1528" s="24" t="n">
        <x:f>IFERROR('各站彙總來源'!L1528/'各站彙總來源'!M1528,"")</x:f>
        <x:v>1.2307692307692308</x:v>
      </x:c>
      <x:c r="M1528" s="19" t="n">
        <x:f>'各站彙總來源'!M1528</x:f>
        <x:v>26</x:v>
      </x:c>
      <x:c r="N1528" s="24" t="n">
        <x:f>F1528+H1528</x:f>
        <x:v>9.692307692307693</x:v>
      </x:c>
      <x:c r="O1528" s="24" t="n">
        <x:f>J1528+L1528</x:f>
        <x:v>7.153846153846154</x:v>
      </x:c>
    </x:row>
    <x:row r="1529">
      <x:c r="A1529" s="22" t="str">
        <x:v>500111064</x:v>
      </x:c>
      <x:c r="B1529" s="17" t="str">
        <x:v>南港區</x:v>
      </x:c>
      <x:c r="C1529" s="17" t="str">
        <x:v>南港公園(東新街170巷)</x:v>
      </x:c>
      <x:c r="D1529" s="18" t="n">
        <x:v>26</x:v>
      </x:c>
      <x:c r="E1529" s="18" t="n">
        <x:v>26</x:v>
      </x:c>
      <x:c r="F1529" s="24" t="n">
        <x:f>IFERROR('各站彙總來源'!F1529/'各站彙總來源'!G1529,"")</x:f>
        <x:v>11.346153846153847</x:v>
      </x:c>
      <x:c r="G1529" s="19" t="n">
        <x:f>'各站彙總來源'!G1529</x:f>
        <x:v>26</x:v>
      </x:c>
      <x:c r="H1529" s="24" t="n">
        <x:f>IFERROR('各站彙總來源'!H1529/'各站彙總來源'!I1529,"")</x:f>
        <x:v>1.5769230769230769</x:v>
      </x:c>
      <x:c r="I1529" s="19" t="n">
        <x:f>'各站彙總來源'!I1529</x:f>
        <x:v>26</x:v>
      </x:c>
      <x:c r="J1529" s="24" t="n">
        <x:f>IFERROR('各站彙總來源'!J1529/'各站彙總來源'!K1529,"")</x:f>
        <x:v>4.346153846153846</x:v>
      </x:c>
      <x:c r="K1529" s="19" t="n">
        <x:f>'各站彙總來源'!K1529</x:f>
        <x:v>26</x:v>
      </x:c>
      <x:c r="L1529" s="24" t="n">
        <x:f>IFERROR('各站彙總來源'!L1529/'各站彙總來源'!M1529,"")</x:f>
        <x:v>0.8076923076923077</x:v>
      </x:c>
      <x:c r="M1529" s="19" t="n">
        <x:f>'各站彙總來源'!M1529</x:f>
        <x:v>26</x:v>
      </x:c>
      <x:c r="N1529" s="24" t="n">
        <x:f>F1529+H1529</x:f>
        <x:v>12.923076923076923</x:v>
      </x:c>
      <x:c r="O1529" s="24" t="n">
        <x:f>J1529+L1529</x:f>
        <x:v>5.153846153846153</x:v>
      </x:c>
    </x:row>
    <x:row r="1530">
      <x:c r="A1530" s="22" t="str">
        <x:v>500111065</x:v>
      </x:c>
      <x:c r="B1530" s="17" t="str">
        <x:v>南港區</x:v>
      </x:c>
      <x:c r="C1530" s="17" t="str">
        <x:v>中坡市民路口(東北側)</x:v>
      </x:c>
      <x:c r="D1530" s="18" t="n">
        <x:v>26</x:v>
      </x:c>
      <x:c r="E1530" s="18" t="n">
        <x:v>26</x:v>
      </x:c>
      <x:c r="F1530" s="24" t="n">
        <x:f>IFERROR('各站彙總來源'!F1530/'各站彙總來源'!G1530,"")</x:f>
        <x:v>7.461538461538462</x:v>
      </x:c>
      <x:c r="G1530" s="19" t="n">
        <x:f>'各站彙總來源'!G1530</x:f>
        <x:v>26</x:v>
      </x:c>
      <x:c r="H1530" s="24" t="n">
        <x:f>IFERROR('各站彙總來源'!H1530/'各站彙總來源'!I1530,"")</x:f>
        <x:v>1.0769230769230769</x:v>
      </x:c>
      <x:c r="I1530" s="19" t="n">
        <x:f>'各站彙總來源'!I1530</x:f>
        <x:v>26</x:v>
      </x:c>
      <x:c r="J1530" s="24" t="n">
        <x:f>IFERROR('各站彙總來源'!J1530/'各站彙總來源'!K1530,"")</x:f>
        <x:v>15.923076923076923</x:v>
      </x:c>
      <x:c r="K1530" s="19" t="n">
        <x:f>'各站彙總來源'!K1530</x:f>
        <x:v>26</x:v>
      </x:c>
      <x:c r="L1530" s="24" t="n">
        <x:f>IFERROR('各站彙總來源'!L1530/'各站彙總來源'!M1530,"")</x:f>
        <x:v>2.8461538461538463</x:v>
      </x:c>
      <x:c r="M1530" s="19" t="n">
        <x:f>'各站彙總來源'!M1530</x:f>
        <x:v>26</x:v>
      </x:c>
      <x:c r="N1530" s="24" t="n">
        <x:f>F1530+H1530</x:f>
        <x:v>8.538461538461538</x:v>
      </x:c>
      <x:c r="O1530" s="24" t="n">
        <x:f>J1530+L1530</x:f>
        <x:v>18.76923076923077</x:v>
      </x:c>
    </x:row>
    <x:row r="1531">
      <x:c r="A1531" s="22" t="str">
        <x:v>500111066</x:v>
      </x:c>
      <x:c r="B1531" s="17" t="str">
        <x:v>南港區</x:v>
      </x:c>
      <x:c r="C1531" s="17" t="str">
        <x:v>昆陽公園</x:v>
      </x:c>
      <x:c r="D1531" s="18" t="n">
        <x:v>26</x:v>
      </x:c>
      <x:c r="E1531" s="18" t="n">
        <x:v>26</x:v>
      </x:c>
      <x:c r="F1531" s="24" t="n">
        <x:f>IFERROR('各站彙總來源'!F1531/'各站彙總來源'!G1531,"")</x:f>
        <x:v>5.230769230769231</x:v>
      </x:c>
      <x:c r="G1531" s="19" t="n">
        <x:f>'各站彙總來源'!G1531</x:f>
        <x:v>26</x:v>
      </x:c>
      <x:c r="H1531" s="24" t="n">
        <x:f>IFERROR('各站彙總來源'!H1531/'各站彙總來源'!I1531,"")</x:f>
        <x:v>1.0769230769230769</x:v>
      </x:c>
      <x:c r="I1531" s="19" t="n">
        <x:f>'各站彙總來源'!I1531</x:f>
        <x:v>26</x:v>
      </x:c>
      <x:c r="J1531" s="24" t="n">
        <x:f>IFERROR('各站彙總來源'!J1531/'各站彙總來源'!K1531,"")</x:f>
        <x:v>7.076923076923077</x:v>
      </x:c>
      <x:c r="K1531" s="19" t="n">
        <x:f>'各站彙總來源'!K1531</x:f>
        <x:v>26</x:v>
      </x:c>
      <x:c r="L1531" s="24" t="n">
        <x:f>IFERROR('各站彙總來源'!L1531/'各站彙總來源'!M1531,"")</x:f>
        <x:v>0.9615384615384616</x:v>
      </x:c>
      <x:c r="M1531" s="19" t="n">
        <x:f>'各站彙總來源'!M1531</x:f>
        <x:v>26</x:v>
      </x:c>
      <x:c r="N1531" s="24" t="n">
        <x:f>F1531+H1531</x:f>
        <x:v>6.3076923076923075</x:v>
      </x:c>
      <x:c r="O1531" s="24" t="n">
        <x:f>J1531+L1531</x:f>
        <x:v>8.038461538461538</x:v>
      </x:c>
    </x:row>
    <x:row r="1532">
      <x:c r="A1532" s="22" t="str">
        <x:v>500111067</x:v>
      </x:c>
      <x:c r="B1532" s="17" t="str">
        <x:v>南港區</x:v>
      </x:c>
      <x:c r="C1532" s="17" t="str">
        <x:v>南港路二段178巷口</x:v>
      </x:c>
      <x:c r="D1532" s="18" t="n">
        <x:v>26</x:v>
      </x:c>
      <x:c r="E1532" s="18" t="n">
        <x:v>26</x:v>
      </x:c>
      <x:c r="F1532" s="24" t="n">
        <x:f>IFERROR('各站彙總來源'!F1532/'各站彙總來源'!G1532,"")</x:f>
        <x:v>8.615384615384615</x:v>
      </x:c>
      <x:c r="G1532" s="19" t="n">
        <x:f>'各站彙總來源'!G1532</x:f>
        <x:v>26</x:v>
      </x:c>
      <x:c r="H1532" s="24" t="n">
        <x:f>IFERROR('各站彙總來源'!H1532/'各站彙總來源'!I1532,"")</x:f>
        <x:v>0.9615384615384616</x:v>
      </x:c>
      <x:c r="I1532" s="19" t="n">
        <x:f>'各站彙總來源'!I1532</x:f>
        <x:v>26</x:v>
      </x:c>
      <x:c r="J1532" s="24" t="n">
        <x:f>IFERROR('各站彙總來源'!J1532/'各站彙總來源'!K1532,"")</x:f>
        <x:v>2.8846153846153846</x:v>
      </x:c>
      <x:c r="K1532" s="19" t="n">
        <x:f>'各站彙總來源'!K1532</x:f>
        <x:v>26</x:v>
      </x:c>
      <x:c r="L1532" s="24" t="n">
        <x:f>IFERROR('各站彙總來源'!L1532/'各站彙總來源'!M1532,"")</x:f>
        <x:v>0.8846153846153846</x:v>
      </x:c>
      <x:c r="M1532" s="19" t="n">
        <x:f>'各站彙總來源'!M1532</x:f>
        <x:v>26</x:v>
      </x:c>
      <x:c r="N1532" s="24" t="n">
        <x:f>F1532+H1532</x:f>
        <x:v>9.576923076923077</x:v>
      </x:c>
      <x:c r="O1532" s="24" t="n">
        <x:f>J1532+L1532</x:f>
        <x:v>3.769230769230769</x:v>
      </x:c>
    </x:row>
    <x:row r="1533">
      <x:c r="A1533" s="22" t="str">
        <x:v>500111068</x:v>
      </x:c>
      <x:c r="B1533" s="17" t="str">
        <x:v>南港區</x:v>
      </x:c>
      <x:c r="C1533" s="17" t="str">
        <x:v>南港車站(忠孝東路)</x:v>
      </x:c>
      <x:c r="D1533" s="18" t="n">
        <x:v>26</x:v>
      </x:c>
      <x:c r="E1533" s="18" t="n">
        <x:v>26</x:v>
      </x:c>
      <x:c r="F1533" s="24" t="n">
        <x:f>IFERROR('各站彙總來源'!F1533/'各站彙總來源'!G1533,"")</x:f>
        <x:v>13.76923076923077</x:v>
      </x:c>
      <x:c r="G1533" s="19" t="n">
        <x:f>'各站彙總來源'!G1533</x:f>
        <x:v>26</x:v>
      </x:c>
      <x:c r="H1533" s="24" t="n">
        <x:f>IFERROR('各站彙總來源'!H1533/'各站彙總來源'!I1533,"")</x:f>
        <x:v>1</x:v>
      </x:c>
      <x:c r="I1533" s="19" t="n">
        <x:f>'各站彙總來源'!I1533</x:f>
        <x:v>26</x:v>
      </x:c>
      <x:c r="J1533" s="24" t="n">
        <x:f>IFERROR('各站彙總來源'!J1533/'各站彙總來源'!K1533,"")</x:f>
        <x:v>7.269230769230769</x:v>
      </x:c>
      <x:c r="K1533" s="19" t="n">
        <x:f>'各站彙總來源'!K1533</x:f>
        <x:v>26</x:v>
      </x:c>
      <x:c r="L1533" s="24" t="n">
        <x:f>IFERROR('各站彙總來源'!L1533/'各站彙總來源'!M1533,"")</x:f>
        <x:v>1.0384615384615385</x:v>
      </x:c>
      <x:c r="M1533" s="19" t="n">
        <x:f>'各站彙總來源'!M1533</x:f>
        <x:v>26</x:v>
      </x:c>
      <x:c r="N1533" s="24" t="n">
        <x:f>F1533+H1533</x:f>
        <x:v>14.76923076923077</x:v>
      </x:c>
      <x:c r="O1533" s="24" t="n">
        <x:f>J1533+L1533</x:f>
        <x:v>8.307692307692308</x:v>
      </x:c>
    </x:row>
    <x:row r="1534">
      <x:c r="A1534" s="22" t="str">
        <x:v>500111069</x:v>
      </x:c>
      <x:c r="B1534" s="17" t="str">
        <x:v>南港區</x:v>
      </x:c>
      <x:c r="C1534" s="17" t="str">
        <x:v>南港車站(興華路)</x:v>
      </x:c>
      <x:c r="D1534" s="18" t="n">
        <x:v>26</x:v>
      </x:c>
      <x:c r="E1534" s="18" t="n">
        <x:v>26</x:v>
      </x:c>
      <x:c r="F1534" s="24" t="n">
        <x:f>IFERROR('各站彙總來源'!F1534/'各站彙總來源'!G1534,"")</x:f>
        <x:v>19.884615384615383</x:v>
      </x:c>
      <x:c r="G1534" s="19" t="n">
        <x:f>'各站彙總來源'!G1534</x:f>
        <x:v>26</x:v>
      </x:c>
      <x:c r="H1534" s="24" t="n">
        <x:f>IFERROR('各站彙總來源'!H1534/'各站彙總來源'!I1534,"")</x:f>
        <x:v>3.076923076923077</x:v>
      </x:c>
      <x:c r="I1534" s="19" t="n">
        <x:f>'各站彙總來源'!I1534</x:f>
        <x:v>26</x:v>
      </x:c>
      <x:c r="J1534" s="24" t="n">
        <x:f>IFERROR('各站彙總來源'!J1534/'各站彙總來源'!K1534,"")</x:f>
        <x:v>11.615384615384615</x:v>
      </x:c>
      <x:c r="K1534" s="19" t="n">
        <x:f>'各站彙總來源'!K1534</x:f>
        <x:v>26</x:v>
      </x:c>
      <x:c r="L1534" s="24" t="n">
        <x:f>IFERROR('各站彙總來源'!L1534/'各站彙總來源'!M1534,"")</x:f>
        <x:v>1.6538461538461537</x:v>
      </x:c>
      <x:c r="M1534" s="19" t="n">
        <x:f>'各站彙總來源'!M1534</x:f>
        <x:v>26</x:v>
      </x:c>
      <x:c r="N1534" s="24" t="n">
        <x:f>F1534+H1534</x:f>
        <x:v>22.96153846153846</x:v>
      </x:c>
      <x:c r="O1534" s="24" t="n">
        <x:f>J1534+L1534</x:f>
        <x:v>13.269230769230768</x:v>
      </x:c>
    </x:row>
    <x:row r="1535">
      <x:c r="A1535" s="22" t="str">
        <x:v>500111070</x:v>
      </x:c>
      <x:c r="B1535" s="17" t="str">
        <x:v>南港區</x:v>
      </x:c>
      <x:c r="C1535" s="17" t="str">
        <x:v>玉成公園(成福路178巷口)</x:v>
      </x:c>
      <x:c r="D1535" s="18" t="n">
        <x:v>26</x:v>
      </x:c>
      <x:c r="E1535" s="18" t="n">
        <x:v>26</x:v>
      </x:c>
      <x:c r="F1535" s="24" t="n">
        <x:f>IFERROR('各站彙總來源'!F1535/'各站彙總來源'!G1535,"")</x:f>
        <x:v>72.42307692307692</x:v>
      </x:c>
      <x:c r="G1535" s="19" t="n">
        <x:f>'各站彙總來源'!G1535</x:f>
        <x:v>26</x:v>
      </x:c>
      <x:c r="H1535" s="24" t="n">
        <x:f>IFERROR('各站彙總來源'!H1535/'各站彙總來源'!I1535,"")</x:f>
        <x:v>4</x:v>
      </x:c>
      <x:c r="I1535" s="19" t="n">
        <x:f>'各站彙總來源'!I1535</x:f>
        <x:v>26</x:v>
      </x:c>
      <x:c r="J1535" s="24" t="n">
        <x:f>IFERROR('各站彙總來源'!J1535/'各站彙總來源'!K1535,"")</x:f>
        <x:v>6</x:v>
      </x:c>
      <x:c r="K1535" s="19" t="n">
        <x:f>'各站彙總來源'!K1535</x:f>
        <x:v>26</x:v>
      </x:c>
      <x:c r="L1535" s="24" t="n">
        <x:f>IFERROR('各站彙總來源'!L1535/'各站彙總來源'!M1535,"")</x:f>
        <x:v>0.8846153846153846</x:v>
      </x:c>
      <x:c r="M1535" s="19" t="n">
        <x:f>'各站彙總來源'!M1535</x:f>
        <x:v>26</x:v>
      </x:c>
      <x:c r="N1535" s="24" t="n">
        <x:f>F1535+H1535</x:f>
        <x:v>76.42307692307692</x:v>
      </x:c>
      <x:c r="O1535" s="24" t="n">
        <x:f>J1535+L1535</x:f>
        <x:v>6.884615384615385</x:v>
      </x:c>
    </x:row>
    <x:row r="1536">
      <x:c r="A1536" s="22" t="str">
        <x:v>500111071</x:v>
      </x:c>
      <x:c r="B1536" s="17" t="str">
        <x:v>南港區</x:v>
      </x:c>
      <x:c r="C1536" s="17" t="str">
        <x:v>玉東公園(東新街)</x:v>
      </x:c>
      <x:c r="D1536" s="18" t="n">
        <x:v>26</x:v>
      </x:c>
      <x:c r="E1536" s="18" t="n">
        <x:v>26</x:v>
      </x:c>
      <x:c r="F1536" s="24" t="n">
        <x:f>IFERROR('各站彙總來源'!F1536/'各站彙總來源'!G1536,"")</x:f>
        <x:v>9.884615384615385</x:v>
      </x:c>
      <x:c r="G1536" s="19" t="n">
        <x:f>'各站彙總來源'!G1536</x:f>
        <x:v>26</x:v>
      </x:c>
      <x:c r="H1536" s="24" t="n">
        <x:f>IFERROR('各站彙總來源'!H1536/'各站彙總來源'!I1536,"")</x:f>
        <x:v>1</x:v>
      </x:c>
      <x:c r="I1536" s="19" t="n">
        <x:f>'各站彙總來源'!I1536</x:f>
        <x:v>26</x:v>
      </x:c>
      <x:c r="J1536" s="24" t="n">
        <x:f>IFERROR('各站彙總來源'!J1536/'各站彙總來源'!K1536,"")</x:f>
        <x:v>11.846153846153847</x:v>
      </x:c>
      <x:c r="K1536" s="19" t="n">
        <x:f>'各站彙總來源'!K1536</x:f>
        <x:v>26</x:v>
      </x:c>
      <x:c r="L1536" s="24" t="n">
        <x:f>IFERROR('各站彙總來源'!L1536/'各站彙總來源'!M1536,"")</x:f>
        <x:v>1.0769230769230769</x:v>
      </x:c>
      <x:c r="M1536" s="19" t="n">
        <x:f>'各站彙總來源'!M1536</x:f>
        <x:v>26</x:v>
      </x:c>
      <x:c r="N1536" s="24" t="n">
        <x:f>F1536+H1536</x:f>
        <x:v>10.884615384615385</x:v>
      </x:c>
      <x:c r="O1536" s="24" t="n">
        <x:f>J1536+L1536</x:f>
        <x:v>12.923076923076923</x:v>
      </x:c>
    </x:row>
    <x:row r="1537">
      <x:c r="A1537" s="22" t="str">
        <x:v>500111072</x:v>
      </x:c>
      <x:c r="B1537" s="17" t="str">
        <x:v>南港區</x:v>
      </x:c>
      <x:c r="C1537" s="17" t="str">
        <x:v>南港出租國宅社區</x:v>
      </x:c>
      <x:c r="D1537" s="18" t="n">
        <x:v>26</x:v>
      </x:c>
      <x:c r="E1537" s="18" t="n">
        <x:v>26</x:v>
      </x:c>
      <x:c r="F1537" s="24" t="n">
        <x:f>IFERROR('各站彙總來源'!F1537/'各站彙總來源'!G1537,"")</x:f>
        <x:v>10.038461538461538</x:v>
      </x:c>
      <x:c r="G1537" s="19" t="n">
        <x:f>'各站彙總來源'!G1537</x:f>
        <x:v>26</x:v>
      </x:c>
      <x:c r="H1537" s="24" t="n">
        <x:f>IFERROR('各站彙總來源'!H1537/'各站彙總來源'!I1537,"")</x:f>
        <x:v>4.3076923076923075</x:v>
      </x:c>
      <x:c r="I1537" s="19" t="n">
        <x:f>'各站彙總來源'!I1537</x:f>
        <x:v>26</x:v>
      </x:c>
      <x:c r="J1537" s="24" t="n">
        <x:f>IFERROR('各站彙總來源'!J1537/'各站彙總來源'!K1537,"")</x:f>
        <x:v>2.6538461538461537</x:v>
      </x:c>
      <x:c r="K1537" s="19" t="n">
        <x:f>'各站彙總來源'!K1537</x:f>
        <x:v>26</x:v>
      </x:c>
      <x:c r="L1537" s="24" t="n">
        <x:f>IFERROR('各站彙總來源'!L1537/'各站彙總來源'!M1537,"")</x:f>
        <x:v>1.4615384615384615</x:v>
      </x:c>
      <x:c r="M1537" s="19" t="n">
        <x:f>'各站彙總來源'!M1537</x:f>
        <x:v>26</x:v>
      </x:c>
      <x:c r="N1537" s="24" t="n">
        <x:f>F1537+H1537</x:f>
        <x:v>14.346153846153847</x:v>
      </x:c>
      <x:c r="O1537" s="24" t="n">
        <x:f>J1537+L1537</x:f>
        <x:v>4.115384615384615</x:v>
      </x:c>
    </x:row>
    <x:row r="1538">
      <x:c r="A1538" s="22" t="str">
        <x:v>500111073</x:v>
      </x:c>
      <x:c r="B1538" s="17" t="str">
        <x:v>南港區</x:v>
      </x:c>
      <x:c r="C1538" s="17" t="str">
        <x:v>成福路197巷口</x:v>
      </x:c>
      <x:c r="D1538" s="18" t="n">
        <x:v>26</x:v>
      </x:c>
      <x:c r="E1538" s="18" t="n">
        <x:v>26</x:v>
      </x:c>
      <x:c r="F1538" s="24" t="n">
        <x:f>IFERROR('各站彙總來源'!F1538/'各站彙總來源'!G1538,"")</x:f>
        <x:v>22.653846153846153</x:v>
      </x:c>
      <x:c r="G1538" s="19" t="n">
        <x:f>'各站彙總來源'!G1538</x:f>
        <x:v>26</x:v>
      </x:c>
      <x:c r="H1538" s="24" t="n">
        <x:f>IFERROR('各站彙總來源'!H1538/'各站彙總來源'!I1538,"")</x:f>
        <x:v>1.6923076923076923</x:v>
      </x:c>
      <x:c r="I1538" s="19" t="n">
        <x:f>'各站彙總來源'!I1538</x:f>
        <x:v>26</x:v>
      </x:c>
      <x:c r="J1538" s="24" t="n">
        <x:f>IFERROR('各站彙總來源'!J1538/'各站彙總來源'!K1538,"")</x:f>
        <x:v>3.6538461538461537</x:v>
      </x:c>
      <x:c r="K1538" s="19" t="n">
        <x:f>'各站彙總來源'!K1538</x:f>
        <x:v>26</x:v>
      </x:c>
      <x:c r="L1538" s="24" t="n">
        <x:f>IFERROR('各站彙總來源'!L1538/'各站彙總來源'!M1538,"")</x:f>
        <x:v>1.3846153846153846</x:v>
      </x:c>
      <x:c r="M1538" s="19" t="n">
        <x:f>'各站彙總來源'!M1538</x:f>
        <x:v>26</x:v>
      </x:c>
      <x:c r="N1538" s="24" t="n">
        <x:f>F1538+H1538</x:f>
        <x:v>24.346153846153847</x:v>
      </x:c>
      <x:c r="O1538" s="24" t="n">
        <x:f>J1538+L1538</x:f>
        <x:v>5.038461538461538</x:v>
      </x:c>
    </x:row>
    <x:row r="1539">
      <x:c r="A1539" s="22" t="str">
        <x:v>500111074</x:v>
      </x:c>
      <x:c r="B1539" s="17" t="str">
        <x:v>南港區</x:v>
      </x:c>
      <x:c r="C1539" s="17" t="str">
        <x:v>南港疏散門(基三號疏散門)</x:v>
      </x:c>
      <x:c r="D1539" s="18" t="n">
        <x:v>26</x:v>
      </x:c>
      <x:c r="E1539" s="18" t="n">
        <x:v>26</x:v>
      </x:c>
      <x:c r="F1539" s="24" t="n">
        <x:f>IFERROR('各站彙總來源'!F1539/'各站彙總來源'!G1539,"")</x:f>
        <x:v>7.5</x:v>
      </x:c>
      <x:c r="G1539" s="19" t="n">
        <x:f>'各站彙總來源'!G1539</x:f>
        <x:v>26</x:v>
      </x:c>
      <x:c r="H1539" s="24" t="n">
        <x:f>IFERROR('各站彙總來源'!H1539/'各站彙總來源'!I1539,"")</x:f>
        <x:v>0.9615384615384616</x:v>
      </x:c>
      <x:c r="I1539" s="19" t="n">
        <x:f>'各站彙總來源'!I1539</x:f>
        <x:v>26</x:v>
      </x:c>
      <x:c r="J1539" s="24" t="n">
        <x:f>IFERROR('各站彙總來源'!J1539/'各站彙總來源'!K1539,"")</x:f>
        <x:v>12</x:v>
      </x:c>
      <x:c r="K1539" s="19" t="n">
        <x:f>'各站彙總來源'!K1539</x:f>
        <x:v>26</x:v>
      </x:c>
      <x:c r="L1539" s="24" t="n">
        <x:f>IFERROR('各站彙總來源'!L1539/'各站彙總來源'!M1539,"")</x:f>
        <x:v>1</x:v>
      </x:c>
      <x:c r="M1539" s="19" t="n">
        <x:f>'各站彙總來源'!M1539</x:f>
        <x:v>26</x:v>
      </x:c>
      <x:c r="N1539" s="24" t="n">
        <x:f>F1539+H1539</x:f>
        <x:v>8.461538461538462</x:v>
      </x:c>
      <x:c r="O1539" s="24" t="n">
        <x:f>J1539+L1539</x:f>
        <x:v>13</x:v>
      </x:c>
    </x:row>
    <x:row r="1540">
      <x:c r="A1540" s="22" t="str">
        <x:v>500111075</x:v>
      </x:c>
      <x:c r="B1540" s="17" t="str">
        <x:v>南港區</x:v>
      </x:c>
      <x:c r="C1540" s="17" t="str">
        <x:v>成德立體停車場</x:v>
      </x:c>
      <x:c r="D1540" s="18" t="n">
        <x:v>26</x:v>
      </x:c>
      <x:c r="E1540" s="18" t="n">
        <x:v>26</x:v>
      </x:c>
      <x:c r="F1540" s="24" t="n">
        <x:f>IFERROR('各站彙總來源'!F1540/'各站彙總來源'!G1540,"")</x:f>
        <x:v>5.615384615384615</x:v>
      </x:c>
      <x:c r="G1540" s="19" t="n">
        <x:f>'各站彙總來源'!G1540</x:f>
        <x:v>26</x:v>
      </x:c>
      <x:c r="H1540" s="24" t="n">
        <x:f>IFERROR('各站彙總來源'!H1540/'各站彙總來源'!I1540,"")</x:f>
        <x:v>1.0769230769230769</x:v>
      </x:c>
      <x:c r="I1540" s="19" t="n">
        <x:f>'各站彙總來源'!I1540</x:f>
        <x:v>26</x:v>
      </x:c>
      <x:c r="J1540" s="24" t="n">
        <x:f>IFERROR('各站彙總來源'!J1540/'各站彙總來源'!K1540,"")</x:f>
        <x:v>6.346153846153846</x:v>
      </x:c>
      <x:c r="K1540" s="19" t="n">
        <x:f>'各站彙總來源'!K1540</x:f>
        <x:v>26</x:v>
      </x:c>
      <x:c r="L1540" s="24" t="n">
        <x:f>IFERROR('各站彙總來源'!L1540/'各站彙總來源'!M1540,"")</x:f>
        <x:v>1.5384615384615385</x:v>
      </x:c>
      <x:c r="M1540" s="19" t="n">
        <x:f>'各站彙總來源'!M1540</x:f>
        <x:v>26</x:v>
      </x:c>
      <x:c r="N1540" s="24" t="n">
        <x:f>F1540+H1540</x:f>
        <x:v>6.692307692307692</x:v>
      </x:c>
      <x:c r="O1540" s="24" t="n">
        <x:f>J1540+L1540</x:f>
        <x:v>7.884615384615384</x:v>
      </x:c>
    </x:row>
    <x:row r="1541">
      <x:c r="A1541" s="22" t="str">
        <x:v>500111076</x:v>
      </x:c>
      <x:c r="B1541" s="17" t="str">
        <x:v>南港區</x:v>
      </x:c>
      <x:c r="C1541" s="17" t="str">
        <x:v>南港展覽館2館</x:v>
      </x:c>
      <x:c r="D1541" s="18" t="n">
        <x:v>26</x:v>
      </x:c>
      <x:c r="E1541" s="18" t="n">
        <x:v>26</x:v>
      </x:c>
      <x:c r="F1541" s="24" t="n">
        <x:f>IFERROR('各站彙總來源'!F1541/'各站彙總來源'!G1541,"")</x:f>
        <x:v>7.230769230769231</x:v>
      </x:c>
      <x:c r="G1541" s="19" t="n">
        <x:f>'各站彙總來源'!G1541</x:f>
        <x:v>26</x:v>
      </x:c>
      <x:c r="H1541" s="24" t="n">
        <x:f>IFERROR('各站彙總來源'!H1541/'各站彙總來源'!I1541,"")</x:f>
        <x:v>0.38461538461538464</x:v>
      </x:c>
      <x:c r="I1541" s="19" t="n">
        <x:f>'各站彙總來源'!I1541</x:f>
        <x:v>26</x:v>
      </x:c>
      <x:c r="J1541" s="24" t="n">
        <x:f>IFERROR('各站彙總來源'!J1541/'各站彙總來源'!K1541,"")</x:f>
        <x:v>5.653846153846154</x:v>
      </x:c>
      <x:c r="K1541" s="19" t="n">
        <x:f>'各站彙總來源'!K1541</x:f>
        <x:v>26</x:v>
      </x:c>
      <x:c r="L1541" s="24" t="n">
        <x:f>IFERROR('各站彙總來源'!L1541/'各站彙總來源'!M1541,"")</x:f>
        <x:v>0.5</x:v>
      </x:c>
      <x:c r="M1541" s="19" t="n">
        <x:f>'各站彙總來源'!M1541</x:f>
        <x:v>26</x:v>
      </x:c>
      <x:c r="N1541" s="24" t="n">
        <x:f>F1541+H1541</x:f>
        <x:v>7.615384615384616</x:v>
      </x:c>
      <x:c r="O1541" s="24" t="n">
        <x:f>J1541+L1541</x:f>
        <x:v>6.153846153846154</x:v>
      </x:c>
    </x:row>
    <x:row r="1542">
      <x:c r="A1542" s="22" t="str">
        <x:v>500111077</x:v>
      </x:c>
      <x:c r="B1542" s="17" t="str">
        <x:v>南港區</x:v>
      </x:c>
      <x:c r="C1542" s="17" t="str">
        <x:v>舊莊派出所</x:v>
      </x:c>
      <x:c r="D1542" s="18" t="n">
        <x:v>26</x:v>
      </x:c>
      <x:c r="E1542" s="18" t="n">
        <x:v>26</x:v>
      </x:c>
      <x:c r="F1542" s="24" t="n">
        <x:f>IFERROR('各站彙總來源'!F1542/'各站彙總來源'!G1542,"")</x:f>
        <x:v>7.269230769230769</x:v>
      </x:c>
      <x:c r="G1542" s="19" t="n">
        <x:f>'各站彙總來源'!G1542</x:f>
        <x:v>26</x:v>
      </x:c>
      <x:c r="H1542" s="24" t="n">
        <x:f>IFERROR('各站彙總來源'!H1542/'各站彙總來源'!I1542,"")</x:f>
        <x:v>2.423076923076923</x:v>
      </x:c>
      <x:c r="I1542" s="19" t="n">
        <x:f>'各站彙總來源'!I1542</x:f>
        <x:v>26</x:v>
      </x:c>
      <x:c r="J1542" s="24" t="n">
        <x:f>IFERROR('各站彙總來源'!J1542/'各站彙總來源'!K1542,"")</x:f>
        <x:v>3.769230769230769</x:v>
      </x:c>
      <x:c r="K1542" s="19" t="n">
        <x:f>'各站彙總來源'!K1542</x:f>
        <x:v>26</x:v>
      </x:c>
      <x:c r="L1542" s="24" t="n">
        <x:f>IFERROR('各站彙總來源'!L1542/'各站彙總來源'!M1542,"")</x:f>
        <x:v>0.6538461538461539</x:v>
      </x:c>
      <x:c r="M1542" s="19" t="n">
        <x:f>'各站彙總來源'!M1542</x:f>
        <x:v>26</x:v>
      </x:c>
      <x:c r="N1542" s="24" t="n">
        <x:f>F1542+H1542</x:f>
        <x:v>9.692307692307692</x:v>
      </x:c>
      <x:c r="O1542" s="24" t="n">
        <x:f>J1542+L1542</x:f>
        <x:v>4.423076923076923</x:v>
      </x:c>
    </x:row>
    <x:row r="1543">
      <x:c r="A1543" s="22" t="str">
        <x:v>500111078</x:v>
      </x:c>
      <x:c r="B1543" s="17" t="str">
        <x:v>南港區</x:v>
      </x:c>
      <x:c r="C1543" s="17" t="str">
        <x:v>南港路三段80巷</x:v>
      </x:c>
      <x:c r="D1543" s="18" t="n">
        <x:v>26</x:v>
      </x:c>
      <x:c r="E1543" s="18" t="n">
        <x:v>26</x:v>
      </x:c>
      <x:c r="F1543" s="24" t="n">
        <x:f>IFERROR('各站彙總來源'!F1543/'各站彙總來源'!G1543,"")</x:f>
        <x:v>4.038461538461538</x:v>
      </x:c>
      <x:c r="G1543" s="19" t="n">
        <x:f>'各站彙總來源'!G1543</x:f>
        <x:v>26</x:v>
      </x:c>
      <x:c r="H1543" s="24" t="n">
        <x:f>IFERROR('各站彙總來源'!H1543/'各站彙總來源'!I1543,"")</x:f>
        <x:v>1.1153846153846154</x:v>
      </x:c>
      <x:c r="I1543" s="19" t="n">
        <x:f>'各站彙總來源'!I1543</x:f>
        <x:v>26</x:v>
      </x:c>
      <x:c r="J1543" s="24" t="n">
        <x:f>IFERROR('各站彙總來源'!J1543/'各站彙總來源'!K1543,"")</x:f>
        <x:v>6.846153846153846</x:v>
      </x:c>
      <x:c r="K1543" s="19" t="n">
        <x:f>'各站彙總來源'!K1543</x:f>
        <x:v>26</x:v>
      </x:c>
      <x:c r="L1543" s="24" t="n">
        <x:f>IFERROR('各站彙總來源'!L1543/'各站彙總來源'!M1543,"")</x:f>
        <x:v>2.076923076923077</x:v>
      </x:c>
      <x:c r="M1543" s="19" t="n">
        <x:f>'各站彙總來源'!M1543</x:f>
        <x:v>26</x:v>
      </x:c>
      <x:c r="N1543" s="24" t="n">
        <x:f>F1543+H1543</x:f>
        <x:v>5.153846153846153</x:v>
      </x:c>
      <x:c r="O1543" s="24" t="n">
        <x:f>J1543+L1543</x:f>
        <x:v>8.923076923076923</x:v>
      </x:c>
    </x:row>
    <x:row r="1544">
      <x:c r="A1544" s="22" t="str">
        <x:v>500111079</x:v>
      </x:c>
      <x:c r="B1544" s="17" t="str">
        <x:v>南港區</x:v>
      </x:c>
      <x:c r="C1544" s="17" t="str">
        <x:v>捷運昆陽站(4號出口)</x:v>
      </x:c>
      <x:c r="D1544" s="18" t="n">
        <x:v>26</x:v>
      </x:c>
      <x:c r="E1544" s="18" t="n">
        <x:v>26</x:v>
      </x:c>
      <x:c r="F1544" s="24" t="n">
        <x:f>IFERROR('各站彙總來源'!F1544/'各站彙總來源'!G1544,"")</x:f>
        <x:v>10.192307692307692</x:v>
      </x:c>
      <x:c r="G1544" s="19" t="n">
        <x:f>'各站彙總來源'!G1544</x:f>
        <x:v>26</x:v>
      </x:c>
      <x:c r="H1544" s="24" t="n">
        <x:f>IFERROR('各站彙總來源'!H1544/'各站彙總來源'!I1544,"")</x:f>
        <x:v>0.7692307692307693</x:v>
      </x:c>
      <x:c r="I1544" s="19" t="n">
        <x:f>'各站彙總來源'!I1544</x:f>
        <x:v>26</x:v>
      </x:c>
      <x:c r="J1544" s="24" t="n">
        <x:f>IFERROR('各站彙總來源'!J1544/'各站彙總來源'!K1544,"")</x:f>
        <x:v>10.884615384615385</x:v>
      </x:c>
      <x:c r="K1544" s="19" t="n">
        <x:f>'各站彙總來源'!K1544</x:f>
        <x:v>26</x:v>
      </x:c>
      <x:c r="L1544" s="24" t="n">
        <x:f>IFERROR('各站彙總來源'!L1544/'各站彙總來源'!M1544,"")</x:f>
        <x:v>2.3076923076923075</x:v>
      </x:c>
      <x:c r="M1544" s="19" t="n">
        <x:f>'各站彙總來源'!M1544</x:f>
        <x:v>26</x:v>
      </x:c>
      <x:c r="N1544" s="24" t="n">
        <x:f>F1544+H1544</x:f>
        <x:v>10.961538461538462</x:v>
      </x:c>
      <x:c r="O1544" s="24" t="n">
        <x:f>J1544+L1544</x:f>
        <x:v>13.192307692307693</x:v>
      </x:c>
    </x:row>
    <x:row r="1545">
      <x:c r="A1545" s="22" t="str">
        <x:v>500111080</x:v>
      </x:c>
      <x:c r="B1545" s="17" t="str">
        <x:v>南港區</x:v>
      </x:c>
      <x:c r="C1545" s="17" t="str">
        <x:v>忠孝東路六段278巷口</x:v>
      </x:c>
      <x:c r="D1545" s="18" t="n">
        <x:v>26</x:v>
      </x:c>
      <x:c r="E1545" s="18" t="n">
        <x:v>26</x:v>
      </x:c>
      <x:c r="F1545" s="24" t="n">
        <x:f>IFERROR('各站彙總來源'!F1545/'各站彙總來源'!G1545,"")</x:f>
        <x:v>7.730769230769231</x:v>
      </x:c>
      <x:c r="G1545" s="19" t="n">
        <x:f>'各站彙總來源'!G1545</x:f>
        <x:v>26</x:v>
      </x:c>
      <x:c r="H1545" s="24" t="n">
        <x:f>IFERROR('各站彙總來源'!H1545/'各站彙總來源'!I1545,"")</x:f>
        <x:v>1.2692307692307692</x:v>
      </x:c>
      <x:c r="I1545" s="19" t="n">
        <x:f>'各站彙總來源'!I1545</x:f>
        <x:v>26</x:v>
      </x:c>
      <x:c r="J1545" s="24" t="n">
        <x:f>IFERROR('各站彙總來源'!J1545/'各站彙總來源'!K1545,"")</x:f>
        <x:v>2.1923076923076925</x:v>
      </x:c>
      <x:c r="K1545" s="19" t="n">
        <x:f>'各站彙總來源'!K1545</x:f>
        <x:v>26</x:v>
      </x:c>
      <x:c r="L1545" s="24" t="n">
        <x:f>IFERROR('各站彙總來源'!L1545/'各站彙總來源'!M1545,"")</x:f>
        <x:v>1.0769230769230769</x:v>
      </x:c>
      <x:c r="M1545" s="19" t="n">
        <x:f>'各站彙總來源'!M1545</x:f>
        <x:v>26</x:v>
      </x:c>
      <x:c r="N1545" s="24" t="n">
        <x:f>F1545+H1545</x:f>
        <x:v>9</x:v>
      </x:c>
      <x:c r="O1545" s="24" t="n">
        <x:f>J1545+L1545</x:f>
        <x:v>3.269230769230769</x:v>
      </x:c>
    </x:row>
    <x:row r="1546">
      <x:c r="A1546" s="22" t="str">
        <x:v>500111081</x:v>
      </x:c>
      <x:c r="B1546" s="17" t="str">
        <x:v>南港區</x:v>
      </x:c>
      <x:c r="C1546" s="17" t="str">
        <x:v>中研院人文社會科學館</x:v>
      </x:c>
      <x:c r="D1546" s="18" t="n">
        <x:v>26</x:v>
      </x:c>
      <x:c r="E1546" s="18" t="n">
        <x:v>26</x:v>
      </x:c>
      <x:c r="F1546" s="24" t="n">
        <x:f>IFERROR('各站彙總來源'!F1546/'各站彙總來源'!G1546,"")</x:f>
        <x:v>6.5</x:v>
      </x:c>
      <x:c r="G1546" s="19" t="n">
        <x:f>'各站彙總來源'!G1546</x:f>
        <x:v>26</x:v>
      </x:c>
      <x:c r="H1546" s="24" t="n">
        <x:f>IFERROR('各站彙總來源'!H1546/'各站彙總來源'!I1546,"")</x:f>
        <x:v>1.3846153846153846</x:v>
      </x:c>
      <x:c r="I1546" s="19" t="n">
        <x:f>'各站彙總來源'!I1546</x:f>
        <x:v>26</x:v>
      </x:c>
      <x:c r="J1546" s="24" t="n">
        <x:f>IFERROR('各站彙總來源'!J1546/'各站彙總來源'!K1546,"")</x:f>
        <x:v>38.42307692307692</x:v>
      </x:c>
      <x:c r="K1546" s="19" t="n">
        <x:f>'各站彙總來源'!K1546</x:f>
        <x:v>26</x:v>
      </x:c>
      <x:c r="L1546" s="24" t="n">
        <x:f>IFERROR('各站彙總來源'!L1546/'各站彙總來源'!M1546,"")</x:f>
        <x:v>5.769230769230769</x:v>
      </x:c>
      <x:c r="M1546" s="19" t="n">
        <x:f>'各站彙總來源'!M1546</x:f>
        <x:v>26</x:v>
      </x:c>
      <x:c r="N1546" s="24" t="n">
        <x:f>F1546+H1546</x:f>
        <x:v>7.884615384615385</x:v>
      </x:c>
      <x:c r="O1546" s="24" t="n">
        <x:f>J1546+L1546</x:f>
        <x:v>44.192307692307686</x:v>
      </x:c>
    </x:row>
    <x:row r="1547">
      <x:c r="A1547" s="22" t="str">
        <x:v>500111082</x:v>
      </x:c>
      <x:c r="B1547" s="17" t="str">
        <x:v>南港區</x:v>
      </x:c>
      <x:c r="C1547" s="17" t="str">
        <x:v>南港路三段130巷口</x:v>
      </x:c>
      <x:c r="D1547" s="18" t="n">
        <x:v>26</x:v>
      </x:c>
      <x:c r="E1547" s="18" t="n">
        <x:v>26</x:v>
      </x:c>
      <x:c r="F1547" s="24" t="n">
        <x:f>IFERROR('各站彙總來源'!F1547/'各站彙總來源'!G1547,"")</x:f>
        <x:v>5</x:v>
      </x:c>
      <x:c r="G1547" s="19" t="n">
        <x:f>'各站彙總來源'!G1547</x:f>
        <x:v>26</x:v>
      </x:c>
      <x:c r="H1547" s="24" t="n">
        <x:f>IFERROR('各站彙總來源'!H1547/'各站彙總來源'!I1547,"")</x:f>
        <x:v>1.3076923076923077</x:v>
      </x:c>
      <x:c r="I1547" s="19" t="n">
        <x:f>'各站彙總來源'!I1547</x:f>
        <x:v>26</x:v>
      </x:c>
      <x:c r="J1547" s="24" t="n">
        <x:f>IFERROR('各站彙總來源'!J1547/'各站彙總來源'!K1547,"")</x:f>
        <x:v>3.6153846153846154</x:v>
      </x:c>
      <x:c r="K1547" s="19" t="n">
        <x:f>'各站彙總來源'!K1547</x:f>
        <x:v>26</x:v>
      </x:c>
      <x:c r="L1547" s="24" t="n">
        <x:f>IFERROR('各站彙總來源'!L1547/'各站彙總來源'!M1547,"")</x:f>
        <x:v>1.1923076923076923</x:v>
      </x:c>
      <x:c r="M1547" s="19" t="n">
        <x:f>'各站彙總來源'!M1547</x:f>
        <x:v>26</x:v>
      </x:c>
      <x:c r="N1547" s="24" t="n">
        <x:f>F1547+H1547</x:f>
        <x:v>6.3076923076923075</x:v>
      </x:c>
      <x:c r="O1547" s="24" t="n">
        <x:f>J1547+L1547</x:f>
        <x:v>4.8076923076923075</x:v>
      </x:c>
    </x:row>
    <x:row r="1548">
      <x:c r="A1548" s="22" t="str">
        <x:v>500111083</x:v>
      </x:c>
      <x:c r="B1548" s="17" t="str">
        <x:v>南港區</x:v>
      </x:c>
      <x:c r="C1548" s="17" t="str">
        <x:v>南港路三段190巷口</x:v>
      </x:c>
      <x:c r="D1548" s="18" t="n">
        <x:v>26</x:v>
      </x:c>
      <x:c r="E1548" s="18" t="n">
        <x:v>26</x:v>
      </x:c>
      <x:c r="F1548" s="24" t="n">
        <x:f>IFERROR('各站彙總來源'!F1548/'各站彙總來源'!G1548,"")</x:f>
        <x:v>7.461538461538462</x:v>
      </x:c>
      <x:c r="G1548" s="19" t="n">
        <x:f>'各站彙總來源'!G1548</x:f>
        <x:v>26</x:v>
      </x:c>
      <x:c r="H1548" s="24" t="n">
        <x:f>IFERROR('各站彙總來源'!H1548/'各站彙總來源'!I1548,"")</x:f>
        <x:v>1.4230769230769231</x:v>
      </x:c>
      <x:c r="I1548" s="19" t="n">
        <x:f>'各站彙總來源'!I1548</x:f>
        <x:v>26</x:v>
      </x:c>
      <x:c r="J1548" s="24" t="n">
        <x:f>IFERROR('各站彙總來源'!J1548/'各站彙總來源'!K1548,"")</x:f>
        <x:v>5.615384615384615</x:v>
      </x:c>
      <x:c r="K1548" s="19" t="n">
        <x:f>'各站彙總來源'!K1548</x:f>
        <x:v>26</x:v>
      </x:c>
      <x:c r="L1548" s="24" t="n">
        <x:f>IFERROR('各站彙總來源'!L1548/'各站彙總來源'!M1548,"")</x:f>
        <x:v>1.2307692307692308</x:v>
      </x:c>
      <x:c r="M1548" s="19" t="n">
        <x:f>'各站彙總來源'!M1548</x:f>
        <x:v>26</x:v>
      </x:c>
      <x:c r="N1548" s="24" t="n">
        <x:f>F1548+H1548</x:f>
        <x:v>8.884615384615385</x:v>
      </x:c>
      <x:c r="O1548" s="24" t="n">
        <x:f>J1548+L1548</x:f>
        <x:v>6.846153846153846</x:v>
      </x:c>
    </x:row>
    <x:row r="1549">
      <x:c r="A1549" s="22" t="str">
        <x:v>500111084</x:v>
      </x:c>
      <x:c r="B1549" s="17" t="str">
        <x:v>南港區</x:v>
      </x:c>
      <x:c r="C1549" s="17" t="str">
        <x:v>忠孝東路六段212巷口</x:v>
      </x:c>
      <x:c r="D1549" s="18" t="n">
        <x:v>26</x:v>
      </x:c>
      <x:c r="E1549" s="18" t="n">
        <x:v>26</x:v>
      </x:c>
      <x:c r="F1549" s="24" t="n">
        <x:f>IFERROR('各站彙總來源'!F1549/'各站彙總來源'!G1549,"")</x:f>
        <x:v>7.6923076923076925</x:v>
      </x:c>
      <x:c r="G1549" s="19" t="n">
        <x:f>'各站彙總來源'!G1549</x:f>
        <x:v>26</x:v>
      </x:c>
      <x:c r="H1549" s="24" t="n">
        <x:f>IFERROR('各站彙總來源'!H1549/'各站彙總來源'!I1549,"")</x:f>
        <x:v>1.5</x:v>
      </x:c>
      <x:c r="I1549" s="19" t="n">
        <x:f>'各站彙總來源'!I1549</x:f>
        <x:v>26</x:v>
      </x:c>
      <x:c r="J1549" s="24" t="n">
        <x:f>IFERROR('各站彙總來源'!J1549/'各站彙總來源'!K1549,"")</x:f>
        <x:v>2.923076923076923</x:v>
      </x:c>
      <x:c r="K1549" s="19" t="n">
        <x:f>'各站彙總來源'!K1549</x:f>
        <x:v>26</x:v>
      </x:c>
      <x:c r="L1549" s="24" t="n">
        <x:f>IFERROR('各站彙總來源'!L1549/'各站彙總來源'!M1549,"")</x:f>
        <x:v>0.6538461538461539</x:v>
      </x:c>
      <x:c r="M1549" s="19" t="n">
        <x:f>'各站彙總來源'!M1549</x:f>
        <x:v>26</x:v>
      </x:c>
      <x:c r="N1549" s="24" t="n">
        <x:f>F1549+H1549</x:f>
        <x:v>9.192307692307693</x:v>
      </x:c>
      <x:c r="O1549" s="24" t="n">
        <x:f>J1549+L1549</x:f>
        <x:v>3.5769230769230766</x:v>
      </x:c>
    </x:row>
    <x:row r="1550">
      <x:c r="A1550" s="22" t="str">
        <x:v>500111085</x:v>
      </x:c>
      <x:c r="B1550" s="17" t="str">
        <x:v>南港區</x:v>
      </x:c>
      <x:c r="C1550" s="17" t="str">
        <x:v>新富公園</x:v>
      </x:c>
      <x:c r="D1550" s="18" t="n">
        <x:v>26</x:v>
      </x:c>
      <x:c r="E1550" s="18" t="n">
        <x:v>26</x:v>
      </x:c>
      <x:c r="F1550" s="24" t="n">
        <x:f>IFERROR('各站彙總來源'!F1550/'各站彙總來源'!G1550,"")</x:f>
        <x:v>5.423076923076923</x:v>
      </x:c>
      <x:c r="G1550" s="19" t="n">
        <x:f>'各站彙總來源'!G1550</x:f>
        <x:v>26</x:v>
      </x:c>
      <x:c r="H1550" s="24" t="n">
        <x:f>IFERROR('各站彙總來源'!H1550/'各站彙總來源'!I1550,"")</x:f>
        <x:v>0.6923076923076923</x:v>
      </x:c>
      <x:c r="I1550" s="19" t="n">
        <x:f>'各站彙總來源'!I1550</x:f>
        <x:v>26</x:v>
      </x:c>
      <x:c r="J1550" s="24" t="n">
        <x:f>IFERROR('各站彙總來源'!J1550/'各站彙總來源'!K1550,"")</x:f>
        <x:v>3.6153846153846154</x:v>
      </x:c>
      <x:c r="K1550" s="19" t="n">
        <x:f>'各站彙總來源'!K1550</x:f>
        <x:v>26</x:v>
      </x:c>
      <x:c r="L1550" s="24" t="n">
        <x:f>IFERROR('各站彙總來源'!L1550/'各站彙總來源'!M1550,"")</x:f>
        <x:v>0.5384615384615384</x:v>
      </x:c>
      <x:c r="M1550" s="19" t="n">
        <x:f>'各站彙總來源'!M1550</x:f>
        <x:v>26</x:v>
      </x:c>
      <x:c r="N1550" s="24" t="n">
        <x:f>F1550+H1550</x:f>
        <x:v>6.115384615384616</x:v>
      </x:c>
      <x:c r="O1550" s="24" t="n">
        <x:f>J1550+L1550</x:f>
        <x:v>4.153846153846154</x:v>
      </x:c>
    </x:row>
    <x:row r="1551">
      <x:c r="A1551" s="22" t="str">
        <x:v>500111086</x:v>
      </x:c>
      <x:c r="B1551" s="17" t="str">
        <x:v>南港區</x:v>
      </x:c>
      <x:c r="C1551" s="17" t="str">
        <x:v>東新街63巷口</x:v>
      </x:c>
      <x:c r="D1551" s="18" t="n">
        <x:v>26</x:v>
      </x:c>
      <x:c r="E1551" s="18" t="n">
        <x:v>26</x:v>
      </x:c>
      <x:c r="F1551" s="24" t="n">
        <x:f>IFERROR('各站彙總來源'!F1551/'各站彙總來源'!G1551,"")</x:f>
        <x:v>10.423076923076923</x:v>
      </x:c>
      <x:c r="G1551" s="19" t="n">
        <x:f>'各站彙總來源'!G1551</x:f>
        <x:v>26</x:v>
      </x:c>
      <x:c r="H1551" s="24" t="n">
        <x:f>IFERROR('各站彙總來源'!H1551/'各站彙總來源'!I1551,"")</x:f>
        <x:v>1.6923076923076923</x:v>
      </x:c>
      <x:c r="I1551" s="19" t="n">
        <x:f>'各站彙總來源'!I1551</x:f>
        <x:v>26</x:v>
      </x:c>
      <x:c r="J1551" s="24" t="n">
        <x:f>IFERROR('各站彙總來源'!J1551/'各站彙總來源'!K1551,"")</x:f>
        <x:v>7.384615384615385</x:v>
      </x:c>
      <x:c r="K1551" s="19" t="n">
        <x:f>'各站彙總來源'!K1551</x:f>
        <x:v>26</x:v>
      </x:c>
      <x:c r="L1551" s="24" t="n">
        <x:f>IFERROR('各站彙總來源'!L1551/'各站彙總來源'!M1551,"")</x:f>
        <x:v>1.7307692307692308</x:v>
      </x:c>
      <x:c r="M1551" s="19" t="n">
        <x:f>'各站彙總來源'!M1551</x:f>
        <x:v>26</x:v>
      </x:c>
      <x:c r="N1551" s="24" t="n">
        <x:f>F1551+H1551</x:f>
        <x:v>12.115384615384615</x:v>
      </x:c>
      <x:c r="O1551" s="24" t="n">
        <x:f>J1551+L1551</x:f>
        <x:v>9.115384615384617</x:v>
      </x:c>
    </x:row>
    <x:row r="1552">
      <x:c r="A1552" s="22" t="str">
        <x:v>500111087</x:v>
      </x:c>
      <x:c r="B1552" s="17" t="str">
        <x:v>南港區</x:v>
      </x:c>
      <x:c r="C1552" s="17" t="str">
        <x:v>中興公園</x:v>
      </x:c>
      <x:c r="D1552" s="18" t="n">
        <x:v>26</x:v>
      </x:c>
      <x:c r="E1552" s="18" t="n">
        <x:v>26</x:v>
      </x:c>
      <x:c r="F1552" s="24" t="n">
        <x:f>IFERROR('各站彙總來源'!F1552/'各站彙總來源'!G1552,"")</x:f>
        <x:v>4.769230769230769</x:v>
      </x:c>
      <x:c r="G1552" s="19" t="n">
        <x:f>'各站彙總來源'!G1552</x:f>
        <x:v>26</x:v>
      </x:c>
      <x:c r="H1552" s="24" t="n">
        <x:f>IFERROR('各站彙總來源'!H1552/'各站彙總來源'!I1552,"")</x:f>
        <x:v>1.6153846153846154</x:v>
      </x:c>
      <x:c r="I1552" s="19" t="n">
        <x:f>'各站彙總來源'!I1552</x:f>
        <x:v>26</x:v>
      </x:c>
      <x:c r="J1552" s="24" t="n">
        <x:f>IFERROR('各站彙總來源'!J1552/'各站彙總來源'!K1552,"")</x:f>
        <x:v>9.961538461538462</x:v>
      </x:c>
      <x:c r="K1552" s="19" t="n">
        <x:f>'各站彙總來源'!K1552</x:f>
        <x:v>26</x:v>
      </x:c>
      <x:c r="L1552" s="24" t="n">
        <x:f>IFERROR('各站彙總來源'!L1552/'各站彙總來源'!M1552,"")</x:f>
        <x:v>1.9615384615384615</x:v>
      </x:c>
      <x:c r="M1552" s="19" t="n">
        <x:f>'各站彙總來源'!M1552</x:f>
        <x:v>26</x:v>
      </x:c>
      <x:c r="N1552" s="24" t="n">
        <x:f>F1552+H1552</x:f>
        <x:v>6.384615384615385</x:v>
      </x:c>
      <x:c r="O1552" s="24" t="n">
        <x:f>J1552+L1552</x:f>
        <x:v>11.923076923076923</x:v>
      </x:c>
    </x:row>
    <x:row r="1553">
      <x:c r="A1553" s="22" t="str">
        <x:v>500111088</x:v>
      </x:c>
      <x:c r="B1553" s="17" t="str">
        <x:v>南港區</x:v>
      </x:c>
      <x:c r="C1553" s="17" t="str">
        <x:v>向陽市民大道路口(西北側)</x:v>
      </x:c>
      <x:c r="D1553" s="18" t="n">
        <x:v>26</x:v>
      </x:c>
      <x:c r="E1553" s="18" t="n">
        <x:v>26</x:v>
      </x:c>
      <x:c r="F1553" s="24" t="n">
        <x:f>IFERROR('各站彙總來源'!F1553/'各站彙總來源'!G1553,"")</x:f>
        <x:v>4.038461538461538</x:v>
      </x:c>
      <x:c r="G1553" s="19" t="n">
        <x:f>'各站彙總來源'!G1553</x:f>
        <x:v>26</x:v>
      </x:c>
      <x:c r="H1553" s="24" t="n">
        <x:f>IFERROR('各站彙總來源'!H1553/'各站彙總來源'!I1553,"")</x:f>
        <x:v>0.8461538461538461</x:v>
      </x:c>
      <x:c r="I1553" s="19" t="n">
        <x:f>'各站彙總來源'!I1553</x:f>
        <x:v>26</x:v>
      </x:c>
      <x:c r="J1553" s="24" t="n">
        <x:f>IFERROR('各站彙總來源'!J1553/'各站彙總來源'!K1553,"")</x:f>
        <x:v>14.384615384615385</x:v>
      </x:c>
      <x:c r="K1553" s="19" t="n">
        <x:f>'各站彙總來源'!K1553</x:f>
        <x:v>26</x:v>
      </x:c>
      <x:c r="L1553" s="24" t="n">
        <x:f>IFERROR('各站彙總來源'!L1553/'各站彙總來源'!M1553,"")</x:f>
        <x:v>1.2692307692307692</x:v>
      </x:c>
      <x:c r="M1553" s="19" t="n">
        <x:f>'各站彙總來源'!M1553</x:f>
        <x:v>26</x:v>
      </x:c>
      <x:c r="N1553" s="24" t="n">
        <x:f>F1553+H1553</x:f>
        <x:v>4.884615384615384</x:v>
      </x:c>
      <x:c r="O1553" s="24" t="n">
        <x:f>J1553+L1553</x:f>
        <x:v>15.653846153846153</x:v>
      </x:c>
    </x:row>
    <x:row r="1554">
      <x:c r="A1554" s="22" t="str">
        <x:v>500111089</x:v>
      </x:c>
      <x:c r="B1554" s="17" t="str">
        <x:v>南港區</x:v>
      </x:c>
      <x:c r="C1554" s="17" t="str">
        <x:v>向陽南港路口(西北側)</x:v>
      </x:c>
      <x:c r="D1554" s="18" t="n">
        <x:v>26</x:v>
      </x:c>
      <x:c r="E1554" s="18" t="n">
        <x:v>26</x:v>
      </x:c>
      <x:c r="F1554" s="24" t="n">
        <x:f>IFERROR('各站彙總來源'!F1554/'各站彙總來源'!G1554,"")</x:f>
        <x:v>6.730769230769231</x:v>
      </x:c>
      <x:c r="G1554" s="19" t="n">
        <x:f>'各站彙總來源'!G1554</x:f>
        <x:v>26</x:v>
      </x:c>
      <x:c r="H1554" s="24" t="n">
        <x:f>IFERROR('各站彙總來源'!H1554/'各站彙總來源'!I1554,"")</x:f>
        <x:v>1.6923076923076923</x:v>
      </x:c>
      <x:c r="I1554" s="19" t="n">
        <x:f>'各站彙總來源'!I1554</x:f>
        <x:v>26</x:v>
      </x:c>
      <x:c r="J1554" s="24" t="n">
        <x:f>IFERROR('各站彙總來源'!J1554/'各站彙總來源'!K1554,"")</x:f>
        <x:v>9.653846153846153</x:v>
      </x:c>
      <x:c r="K1554" s="19" t="n">
        <x:f>'各站彙總來源'!K1554</x:f>
        <x:v>26</x:v>
      </x:c>
      <x:c r="L1554" s="24" t="n">
        <x:f>IFERROR('各站彙總來源'!L1554/'各站彙總來源'!M1554,"")</x:f>
        <x:v>1.9615384615384615</x:v>
      </x:c>
      <x:c r="M1554" s="19" t="n">
        <x:f>'各站彙總來源'!M1554</x:f>
        <x:v>26</x:v>
      </x:c>
      <x:c r="N1554" s="24" t="n">
        <x:f>F1554+H1554</x:f>
        <x:v>8.423076923076923</x:v>
      </x:c>
      <x:c r="O1554" s="24" t="n">
        <x:f>J1554+L1554</x:f>
        <x:v>11.615384615384615</x:v>
      </x:c>
    </x:row>
    <x:row r="1555">
      <x:c r="A1555" s="22" t="str">
        <x:v>500111090</x:v>
      </x:c>
      <x:c r="B1555" s="17" t="str">
        <x:v>南港區</x:v>
      </x:c>
      <x:c r="C1555" s="17" t="str">
        <x:v>研究院路一段151巷口</x:v>
      </x:c>
      <x:c r="D1555" s="18" t="n">
        <x:v>26</x:v>
      </x:c>
      <x:c r="E1555" s="18" t="n">
        <x:v>26</x:v>
      </x:c>
      <x:c r="F1555" s="24" t="n">
        <x:f>IFERROR('各站彙總來源'!F1555/'各站彙總來源'!G1555,"")</x:f>
        <x:v>7.076923076923077</x:v>
      </x:c>
      <x:c r="G1555" s="19" t="n">
        <x:f>'各站彙總來源'!G1555</x:f>
        <x:v>26</x:v>
      </x:c>
      <x:c r="H1555" s="24" t="n">
        <x:f>IFERROR('各站彙總來源'!H1555/'各站彙總來源'!I1555,"")</x:f>
        <x:v>1.3076923076923077</x:v>
      </x:c>
      <x:c r="I1555" s="19" t="n">
        <x:f>'各站彙總來源'!I1555</x:f>
        <x:v>26</x:v>
      </x:c>
      <x:c r="J1555" s="24" t="n">
        <x:f>IFERROR('各站彙總來源'!J1555/'各站彙總來源'!K1555,"")</x:f>
        <x:v>3.076923076923077</x:v>
      </x:c>
      <x:c r="K1555" s="19" t="n">
        <x:f>'各站彙總來源'!K1555</x:f>
        <x:v>26</x:v>
      </x:c>
      <x:c r="L1555" s="24" t="n">
        <x:f>IFERROR('各站彙總來源'!L1555/'各站彙總來源'!M1555,"")</x:f>
        <x:v>0.2692307692307692</x:v>
      </x:c>
      <x:c r="M1555" s="19" t="n">
        <x:f>'各站彙總來源'!M1555</x:f>
        <x:v>26</x:v>
      </x:c>
      <x:c r="N1555" s="24" t="n">
        <x:f>F1555+H1555</x:f>
        <x:v>8.384615384615385</x:v>
      </x:c>
      <x:c r="O1555" s="24" t="n">
        <x:f>J1555+L1555</x:f>
        <x:v>3.3461538461538463</x:v>
      </x:c>
    </x:row>
    <x:row r="1556">
      <x:c r="A1556" s="22" t="str">
        <x:v>500111091</x:v>
      </x:c>
      <x:c r="B1556" s="17" t="str">
        <x:v>南港區</x:v>
      </x:c>
      <x:c r="C1556" s="17" t="str">
        <x:v>興中重陽路口</x:v>
      </x:c>
      <x:c r="D1556" s="18" t="n">
        <x:v>26</x:v>
      </x:c>
      <x:c r="E1556" s="18" t="n">
        <x:v>26</x:v>
      </x:c>
      <x:c r="F1556" s="24" t="n">
        <x:f>IFERROR('各站彙總來源'!F1556/'各站彙總來源'!G1556,"")</x:f>
        <x:v>6.538461538461538</x:v>
      </x:c>
      <x:c r="G1556" s="19" t="n">
        <x:f>'各站彙總來源'!G1556</x:f>
        <x:v>26</x:v>
      </x:c>
      <x:c r="H1556" s="24" t="n">
        <x:f>IFERROR('各站彙總來源'!H1556/'各站彙總來源'!I1556,"")</x:f>
        <x:v>0.8461538461538461</x:v>
      </x:c>
      <x:c r="I1556" s="19" t="n">
        <x:f>'各站彙總來源'!I1556</x:f>
        <x:v>26</x:v>
      </x:c>
      <x:c r="J1556" s="24" t="n">
        <x:f>IFERROR('各站彙總來源'!J1556/'各站彙總來源'!K1556,"")</x:f>
        <x:v>9.115384615384615</x:v>
      </x:c>
      <x:c r="K1556" s="19" t="n">
        <x:f>'各站彙總來源'!K1556</x:f>
        <x:v>26</x:v>
      </x:c>
      <x:c r="L1556" s="24" t="n">
        <x:f>IFERROR('各站彙總來源'!L1556/'各站彙總來源'!M1556,"")</x:f>
        <x:v>1.6538461538461537</x:v>
      </x:c>
      <x:c r="M1556" s="19" t="n">
        <x:f>'各站彙總來源'!M1556</x:f>
        <x:v>26</x:v>
      </x:c>
      <x:c r="N1556" s="24" t="n">
        <x:f>F1556+H1556</x:f>
        <x:v>7.384615384615384</x:v>
      </x:c>
      <x:c r="O1556" s="24" t="n">
        <x:f>J1556+L1556</x:f>
        <x:v>10.769230769230768</x:v>
      </x:c>
    </x:row>
    <x:row r="1557">
      <x:c r="A1557" s="22" t="str">
        <x:v>500111092</x:v>
      </x:c>
      <x:c r="B1557" s="17" t="str">
        <x:v>南港區</x:v>
      </x:c>
      <x:c r="C1557" s="17" t="str">
        <x:v>中研院近代史研究所研究大樓</x:v>
      </x:c>
      <x:c r="D1557" s="18" t="n">
        <x:v>26</x:v>
      </x:c>
      <x:c r="E1557" s="18" t="n">
        <x:v>26</x:v>
      </x:c>
      <x:c r="F1557" s="24" t="n">
        <x:f>IFERROR('各站彙總來源'!F1557/'各站彙總來源'!G1557,"")</x:f>
        <x:v>4.3076923076923075</x:v>
      </x:c>
      <x:c r="G1557" s="19" t="n">
        <x:f>'各站彙總來源'!G1557</x:f>
        <x:v>26</x:v>
      </x:c>
      <x:c r="H1557" s="24" t="n">
        <x:f>IFERROR('各站彙總來源'!H1557/'各站彙總來源'!I1557,"")</x:f>
        <x:v>0.5769230769230769</x:v>
      </x:c>
      <x:c r="I1557" s="19" t="n">
        <x:f>'各站彙總來源'!I1557</x:f>
        <x:v>26</x:v>
      </x:c>
      <x:c r="J1557" s="24" t="n">
        <x:f>IFERROR('各站彙總來源'!J1557/'各站彙總來源'!K1557,"")</x:f>
        <x:v>15.884615384615385</x:v>
      </x:c>
      <x:c r="K1557" s="19" t="n">
        <x:f>'各站彙總來源'!K1557</x:f>
        <x:v>26</x:v>
      </x:c>
      <x:c r="L1557" s="24" t="n">
        <x:f>IFERROR('各站彙總來源'!L1557/'各站彙總來源'!M1557,"")</x:f>
        <x:v>1.1923076923076923</x:v>
      </x:c>
      <x:c r="M1557" s="19" t="n">
        <x:f>'各站彙總來源'!M1557</x:f>
        <x:v>26</x:v>
      </x:c>
      <x:c r="N1557" s="24" t="n">
        <x:f>F1557+H1557</x:f>
        <x:v>4.884615384615384</x:v>
      </x:c>
      <x:c r="O1557" s="24" t="n">
        <x:f>J1557+L1557</x:f>
        <x:v>17.076923076923077</x:v>
      </x:c>
    </x:row>
    <x:row r="1558">
      <x:c r="A1558" s="22" t="str">
        <x:v>500111093</x:v>
      </x:c>
      <x:c r="B1558" s="17" t="str">
        <x:v>南港區</x:v>
      </x:c>
      <x:c r="C1558" s="17" t="str">
        <x:v>中研院人文社會科學研究中心</x:v>
      </x:c>
      <x:c r="D1558" s="18" t="n">
        <x:v>26</x:v>
      </x:c>
      <x:c r="E1558" s="18" t="n">
        <x:v>26</x:v>
      </x:c>
      <x:c r="F1558" s="24" t="n">
        <x:f>IFERROR('各站彙總來源'!F1558/'各站彙總來源'!G1558,"")</x:f>
        <x:v>4.615384615384615</x:v>
      </x:c>
      <x:c r="G1558" s="19" t="n">
        <x:f>'各站彙總來源'!G1558</x:f>
        <x:v>26</x:v>
      </x:c>
      <x:c r="H1558" s="24" t="n">
        <x:f>IFERROR('各站彙總來源'!H1558/'各站彙總來源'!I1558,"")</x:f>
        <x:v>0.3076923076923077</x:v>
      </x:c>
      <x:c r="I1558" s="19" t="n">
        <x:f>'各站彙總來源'!I1558</x:f>
        <x:v>26</x:v>
      </x:c>
      <x:c r="J1558" s="24" t="n">
        <x:f>IFERROR('各站彙總來源'!J1558/'各站彙總來源'!K1558,"")</x:f>
        <x:v>17.846153846153847</x:v>
      </x:c>
      <x:c r="K1558" s="19" t="n">
        <x:f>'各站彙總來源'!K1558</x:f>
        <x:v>26</x:v>
      </x:c>
      <x:c r="L1558" s="24" t="n">
        <x:f>IFERROR('各站彙總來源'!L1558/'各站彙總來源'!M1558,"")</x:f>
        <x:v>2.769230769230769</x:v>
      </x:c>
      <x:c r="M1558" s="19" t="n">
        <x:f>'各站彙總來源'!M1558</x:f>
        <x:v>26</x:v>
      </x:c>
      <x:c r="N1558" s="24" t="n">
        <x:f>F1558+H1558</x:f>
        <x:v>4.9230769230769225</x:v>
      </x:c>
      <x:c r="O1558" s="24" t="n">
        <x:f>J1558+L1558</x:f>
        <x:v>20.615384615384617</x:v>
      </x:c>
    </x:row>
    <x:row r="1559">
      <x:c r="A1559" s="22" t="str">
        <x:v>500111094</x:v>
      </x:c>
      <x:c r="B1559" s="17" t="str">
        <x:v>南港區</x:v>
      </x:c>
      <x:c r="C1559" s="17" t="str">
        <x:v>中研院生態時代館</x:v>
      </x:c>
      <x:c r="D1559" s="18" t="n">
        <x:v>26</x:v>
      </x:c>
      <x:c r="E1559" s="18" t="n">
        <x:v>26</x:v>
      </x:c>
      <x:c r="F1559" s="24" t="n">
        <x:f>IFERROR('各站彙總來源'!F1559/'各站彙總來源'!G1559,"")</x:f>
        <x:v>4.923076923076923</x:v>
      </x:c>
      <x:c r="G1559" s="19" t="n">
        <x:f>'各站彙總來源'!G1559</x:f>
        <x:v>26</x:v>
      </x:c>
      <x:c r="H1559" s="24" t="n">
        <x:f>IFERROR('各站彙總來源'!H1559/'各站彙總來源'!I1559,"")</x:f>
        <x:v>0.6153846153846154</x:v>
      </x:c>
      <x:c r="I1559" s="19" t="n">
        <x:f>'各站彙總來源'!I1559</x:f>
        <x:v>26</x:v>
      </x:c>
      <x:c r="J1559" s="24" t="n">
        <x:f>IFERROR('各站彙總來源'!J1559/'各站彙總來源'!K1559,"")</x:f>
        <x:v>14.846153846153847</x:v>
      </x:c>
      <x:c r="K1559" s="19" t="n">
        <x:f>'各站彙總來源'!K1559</x:f>
        <x:v>26</x:v>
      </x:c>
      <x:c r="L1559" s="24" t="n">
        <x:f>IFERROR('各站彙總來源'!L1559/'各站彙總來源'!M1559,"")</x:f>
        <x:v>1.6923076923076923</x:v>
      </x:c>
      <x:c r="M1559" s="19" t="n">
        <x:f>'各站彙總來源'!M1559</x:f>
        <x:v>26</x:v>
      </x:c>
      <x:c r="N1559" s="24" t="n">
        <x:f>F1559+H1559</x:f>
        <x:v>5.538461538461538</x:v>
      </x:c>
      <x:c r="O1559" s="24" t="n">
        <x:f>J1559+L1559</x:f>
        <x:v>16.53846153846154</x:v>
      </x:c>
    </x:row>
    <x:row r="1560">
      <x:c r="A1560" s="22" t="str">
        <x:v>500111095</x:v>
      </x:c>
      <x:c r="B1560" s="17" t="str">
        <x:v>南港區</x:v>
      </x:c>
      <x:c r="C1560" s="17" t="str">
        <x:v>玉成街(中坡北路50巷口)</x:v>
      </x:c>
      <x:c r="D1560" s="18" t="n">
        <x:v>26</x:v>
      </x:c>
      <x:c r="E1560" s="18" t="n">
        <x:v>26</x:v>
      </x:c>
      <x:c r="F1560" s="24" t="n">
        <x:f>IFERROR('各站彙總來源'!F1560/'各站彙總來源'!G1560,"")</x:f>
        <x:v>9.423076923076923</x:v>
      </x:c>
      <x:c r="G1560" s="19" t="n">
        <x:f>'各站彙總來源'!G1560</x:f>
        <x:v>26</x:v>
      </x:c>
      <x:c r="H1560" s="24" t="n">
        <x:f>IFERROR('各站彙總來源'!H1560/'各站彙總來源'!I1560,"")</x:f>
        <x:v>2.3846153846153846</x:v>
      </x:c>
      <x:c r="I1560" s="19" t="n">
        <x:f>'各站彙總來源'!I1560</x:f>
        <x:v>26</x:v>
      </x:c>
      <x:c r="J1560" s="24" t="n">
        <x:f>IFERROR('各站彙總來源'!J1560/'各站彙總來源'!K1560,"")</x:f>
        <x:v>11.807692307692308</x:v>
      </x:c>
      <x:c r="K1560" s="19" t="n">
        <x:f>'各站彙總來源'!K1560</x:f>
        <x:v>26</x:v>
      </x:c>
      <x:c r="L1560" s="24" t="n">
        <x:f>IFERROR('各站彙總來源'!L1560/'各站彙總來源'!M1560,"")</x:f>
        <x:v>2.3076923076923075</x:v>
      </x:c>
      <x:c r="M1560" s="19" t="n">
        <x:f>'各站彙總來源'!M1560</x:f>
        <x:v>26</x:v>
      </x:c>
      <x:c r="N1560" s="24" t="n">
        <x:f>F1560+H1560</x:f>
        <x:v>11.807692307692308</x:v>
      </x:c>
      <x:c r="O1560" s="24" t="n">
        <x:f>J1560+L1560</x:f>
        <x:v>14.115384615384617</x:v>
      </x:c>
    </x:row>
    <x:row r="1561">
      <x:c r="A1561" s="22" t="str">
        <x:v>500111096</x:v>
      </x:c>
      <x:c r="B1561" s="17" t="str">
        <x:v>南港區</x:v>
      </x:c>
      <x:c r="C1561" s="17" t="str">
        <x:v>東明公園</x:v>
      </x:c>
      <x:c r="D1561" s="18" t="n">
        <x:v>26</x:v>
      </x:c>
      <x:c r="E1561" s="18" t="n">
        <x:v>26</x:v>
      </x:c>
      <x:c r="F1561" s="24" t="n">
        <x:f>IFERROR('各站彙總來源'!F1561/'各站彙總來源'!G1561,"")</x:f>
        <x:v>10.192307692307692</x:v>
      </x:c>
      <x:c r="G1561" s="19" t="n">
        <x:f>'各站彙總來源'!G1561</x:f>
        <x:v>26</x:v>
      </x:c>
      <x:c r="H1561" s="24" t="n">
        <x:f>IFERROR('各站彙總來源'!H1561/'各站彙總來源'!I1561,"")</x:f>
        <x:v>1.8461538461538463</x:v>
      </x:c>
      <x:c r="I1561" s="19" t="n">
        <x:f>'各站彙總來源'!I1561</x:f>
        <x:v>26</x:v>
      </x:c>
      <x:c r="J1561" s="24" t="n">
        <x:f>IFERROR('各站彙總來源'!J1561/'各站彙總來源'!K1561,"")</x:f>
        <x:v>5.3076923076923075</x:v>
      </x:c>
      <x:c r="K1561" s="19" t="n">
        <x:f>'各站彙總來源'!K1561</x:f>
        <x:v>26</x:v>
      </x:c>
      <x:c r="L1561" s="24" t="n">
        <x:f>IFERROR('各站彙總來源'!L1561/'各站彙總來源'!M1561,"")</x:f>
        <x:v>0.8461538461538461</x:v>
      </x:c>
      <x:c r="M1561" s="19" t="n">
        <x:f>'各站彙總來源'!M1561</x:f>
        <x:v>26</x:v>
      </x:c>
      <x:c r="N1561" s="24" t="n">
        <x:f>F1561+H1561</x:f>
        <x:v>12.038461538461538</x:v>
      </x:c>
      <x:c r="O1561" s="24" t="n">
        <x:f>J1561+L1561</x:f>
        <x:v>6.153846153846153</x:v>
      </x:c>
    </x:row>
    <x:row r="1562">
      <x:c r="A1562" s="22" t="str">
        <x:v>500111097</x:v>
      </x:c>
      <x:c r="B1562" s="17" t="str">
        <x:v>南港區</x:v>
      </x:c>
      <x:c r="C1562" s="17" t="str">
        <x:v>捷運南港軟體園區站(1號出口)</x:v>
      </x:c>
      <x:c r="D1562" s="18" t="n">
        <x:v>26</x:v>
      </x:c>
      <x:c r="E1562" s="18" t="n">
        <x:v>26</x:v>
      </x:c>
      <x:c r="F1562" s="24" t="n">
        <x:f>IFERROR('各站彙總來源'!F1562/'各站彙總來源'!G1562,"")</x:f>
        <x:v>3.6538461538461537</x:v>
      </x:c>
      <x:c r="G1562" s="19" t="n">
        <x:f>'各站彙總來源'!G1562</x:f>
        <x:v>26</x:v>
      </x:c>
      <x:c r="H1562" s="24" t="n">
        <x:f>IFERROR('各站彙總來源'!H1562/'各站彙總來源'!I1562,"")</x:f>
        <x:v>0.8461538461538461</x:v>
      </x:c>
      <x:c r="I1562" s="19" t="n">
        <x:f>'各站彙總來源'!I1562</x:f>
        <x:v>26</x:v>
      </x:c>
      <x:c r="J1562" s="24" t="n">
        <x:f>IFERROR('各站彙總來源'!J1562/'各站彙總來源'!K1562,"")</x:f>
        <x:v>12.307692307692308</x:v>
      </x:c>
      <x:c r="K1562" s="19" t="n">
        <x:f>'各站彙總來源'!K1562</x:f>
        <x:v>26</x:v>
      </x:c>
      <x:c r="L1562" s="24" t="n">
        <x:f>IFERROR('各站彙總來源'!L1562/'各站彙總來源'!M1562,"")</x:f>
        <x:v>3.769230769230769</x:v>
      </x:c>
      <x:c r="M1562" s="19" t="n">
        <x:f>'各站彙總來源'!M1562</x:f>
        <x:v>26</x:v>
      </x:c>
      <x:c r="N1562" s="24" t="n">
        <x:f>F1562+H1562</x:f>
        <x:v>4.5</x:v>
      </x:c>
      <x:c r="O1562" s="24" t="n">
        <x:f>J1562+L1562</x:f>
        <x:v>16.076923076923077</x:v>
      </x:c>
    </x:row>
    <x:row r="1563">
      <x:c r="A1563" s="22" t="str">
        <x:v>500111098</x:v>
      </x:c>
      <x:c r="B1563" s="17" t="str">
        <x:v>南港區</x:v>
      </x:c>
      <x:c r="C1563" s="17" t="str">
        <x:v>南港花園社區A18</x:v>
      </x:c>
      <x:c r="D1563" s="18" t="n">
        <x:v>26</x:v>
      </x:c>
      <x:c r="E1563" s="18" t="n">
        <x:v>26</x:v>
      </x:c>
      <x:c r="F1563" s="24" t="n">
        <x:f>IFERROR('各站彙總來源'!F1563/'各站彙總來源'!G1563,"")</x:f>
        <x:v>13.115384615384615</x:v>
      </x:c>
      <x:c r="G1563" s="19" t="n">
        <x:f>'各站彙總來源'!G1563</x:f>
        <x:v>26</x:v>
      </x:c>
      <x:c r="H1563" s="24" t="n">
        <x:f>IFERROR('各站彙總來源'!H1563/'各站彙總來源'!I1563,"")</x:f>
        <x:v>3.8846153846153846</x:v>
      </x:c>
      <x:c r="I1563" s="19" t="n">
        <x:f>'各站彙總來源'!I1563</x:f>
        <x:v>26</x:v>
      </x:c>
      <x:c r="J1563" s="24" t="n">
        <x:f>IFERROR('各站彙總來源'!J1563/'各站彙總來源'!K1563,"")</x:f>
        <x:v>3.0384615384615383</x:v>
      </x:c>
      <x:c r="K1563" s="19" t="n">
        <x:f>'各站彙總來源'!K1563</x:f>
        <x:v>26</x:v>
      </x:c>
      <x:c r="L1563" s="24" t="n">
        <x:f>IFERROR('各站彙總來源'!L1563/'各站彙總來源'!M1563,"")</x:f>
        <x:v>0.9230769230769231</x:v>
      </x:c>
      <x:c r="M1563" s="19" t="n">
        <x:f>'各站彙總來源'!M1563</x:f>
        <x:v>26</x:v>
      </x:c>
      <x:c r="N1563" s="24" t="n">
        <x:f>F1563+H1563</x:f>
        <x:v>17</x:v>
      </x:c>
      <x:c r="O1563" s="24" t="n">
        <x:f>J1563+L1563</x:f>
        <x:v>3.9615384615384617</x:v>
      </x:c>
    </x:row>
    <x:row r="1564">
      <x:c r="A1564" s="22" t="str">
        <x:v>500111113</x:v>
      </x:c>
      <x:c r="B1564" s="17" t="str">
        <x:v>南港區</x:v>
      </x:c>
      <x:c r="C1564" s="17" t="str">
        <x:v>內湖機廠(港東街)</x:v>
      </x:c>
      <x:c r="D1564" s="18" t="n">
        <x:v>26</x:v>
      </x:c>
      <x:c r="E1564" s="18" t="n">
        <x:v>26</x:v>
      </x:c>
      <x:c r="F1564" s="24" t="n">
        <x:f>IFERROR('各站彙總來源'!F1564/'各站彙總來源'!G1564,"")</x:f>
        <x:v>5.846153846153846</x:v>
      </x:c>
      <x:c r="G1564" s="19" t="n">
        <x:f>'各站彙總來源'!G1564</x:f>
        <x:v>26</x:v>
      </x:c>
      <x:c r="H1564" s="24" t="n">
        <x:f>IFERROR('各站彙總來源'!H1564/'各站彙總來源'!I1564,"")</x:f>
        <x:v>1.1538461538461537</x:v>
      </x:c>
      <x:c r="I1564" s="19" t="n">
        <x:f>'各站彙總來源'!I1564</x:f>
        <x:v>26</x:v>
      </x:c>
      <x:c r="J1564" s="24" t="n">
        <x:f>IFERROR('各站彙總來源'!J1564/'各站彙總來源'!K1564,"")</x:f>
        <x:v>6.153846153846154</x:v>
      </x:c>
      <x:c r="K1564" s="19" t="n">
        <x:f>'各站彙總來源'!K1564</x:f>
        <x:v>26</x:v>
      </x:c>
      <x:c r="L1564" s="24" t="n">
        <x:f>IFERROR('各站彙總來源'!L1564/'各站彙總來源'!M1564,"")</x:f>
        <x:v>1.1923076923076923</x:v>
      </x:c>
      <x:c r="M1564" s="19" t="n">
        <x:f>'各站彙總來源'!M1564</x:f>
        <x:v>26</x:v>
      </x:c>
      <x:c r="N1564" s="24" t="n">
        <x:f>F1564+H1564</x:f>
        <x:v>7</x:v>
      </x:c>
      <x:c r="O1564" s="24" t="n">
        <x:f>J1564+L1564</x:f>
        <x:v>7.346153846153847</x:v>
      </x:c>
    </x:row>
    <x:row r="1565">
      <x:c r="A1565" s="22" t="str">
        <x:v>500111114</x:v>
      </x:c>
      <x:c r="B1565" s="17" t="str">
        <x:v>南港區</x:v>
      </x:c>
      <x:c r="C1565" s="17" t="str">
        <x:v>市民昆陽街口</x:v>
      </x:c>
      <x:c r="D1565" s="18" t="n">
        <x:v>26</x:v>
      </x:c>
      <x:c r="E1565" s="18" t="n">
        <x:v>26</x:v>
      </x:c>
      <x:c r="F1565" s="24" t="n">
        <x:f>IFERROR('各站彙總來源'!F1565/'各站彙總來源'!G1565,"")</x:f>
        <x:v>6.230769230769231</x:v>
      </x:c>
      <x:c r="G1565" s="19" t="n">
        <x:f>'各站彙總來源'!G1565</x:f>
        <x:v>26</x:v>
      </x:c>
      <x:c r="H1565" s="24" t="n">
        <x:f>IFERROR('各站彙總來源'!H1565/'各站彙總來源'!I1565,"")</x:f>
        <x:v>0.7692307692307693</x:v>
      </x:c>
      <x:c r="I1565" s="19" t="n">
        <x:f>'各站彙總來源'!I1565</x:f>
        <x:v>26</x:v>
      </x:c>
      <x:c r="J1565" s="24" t="n">
        <x:f>IFERROR('各站彙總來源'!J1565/'各站彙總來源'!K1565,"")</x:f>
        <x:v>8.884615384615385</x:v>
      </x:c>
      <x:c r="K1565" s="19" t="n">
        <x:f>'各站彙總來源'!K1565</x:f>
        <x:v>26</x:v>
      </x:c>
      <x:c r="L1565" s="24" t="n">
        <x:f>IFERROR('各站彙總來源'!L1565/'各站彙總來源'!M1565,"")</x:f>
        <x:v>2.1153846153846154</x:v>
      </x:c>
      <x:c r="M1565" s="19" t="n">
        <x:f>'各站彙總來源'!M1565</x:f>
        <x:v>26</x:v>
      </x:c>
      <x:c r="N1565" s="24" t="n">
        <x:f>F1565+H1565</x:f>
        <x:v>7</x:v>
      </x:c>
      <x:c r="O1565" s="24" t="n">
        <x:f>J1565+L1565</x:f>
        <x:v>11</x:v>
      </x:c>
    </x:row>
    <x:row r="1566">
      <x:c r="A1566" s="22" t="str">
        <x:v>500111115</x:v>
      </x:c>
      <x:c r="B1566" s="17" t="str">
        <x:v>南港區</x:v>
      </x:c>
      <x:c r="C1566" s="17" t="str">
        <x:v>南港機廠(北流)</x:v>
      </x:c>
      <x:c r="D1566" s="18" t="n">
        <x:v>26</x:v>
      </x:c>
      <x:c r="E1566" s="18" t="n">
        <x:v>26</x:v>
      </x:c>
      <x:c r="F1566" s="24" t="n">
        <x:f>IFERROR('各站彙總來源'!F1566/'各站彙總來源'!G1566,"")</x:f>
        <x:v>4.076923076923077</x:v>
      </x:c>
      <x:c r="G1566" s="19" t="n">
        <x:f>'各站彙總來源'!G1566</x:f>
        <x:v>26</x:v>
      </x:c>
      <x:c r="H1566" s="24" t="n">
        <x:f>IFERROR('各站彙總來源'!H1566/'各站彙總來源'!I1566,"")</x:f>
        <x:v>0.19230769230769232</x:v>
      </x:c>
      <x:c r="I1566" s="19" t="n">
        <x:f>'各站彙總來源'!I1566</x:f>
        <x:v>26</x:v>
      </x:c>
      <x:c r="J1566" s="24" t="n">
        <x:f>IFERROR('各站彙總來源'!J1566/'各站彙總來源'!K1566,"")</x:f>
        <x:v>7.461538461538462</x:v>
      </x:c>
      <x:c r="K1566" s="19" t="n">
        <x:f>'各站彙總來源'!K1566</x:f>
        <x:v>26</x:v>
      </x:c>
      <x:c r="L1566" s="24" t="n">
        <x:f>IFERROR('各站彙總來源'!L1566/'各站彙總來源'!M1566,"")</x:f>
        <x:v>0.5</x:v>
      </x:c>
      <x:c r="M1566" s="19" t="n">
        <x:f>'各站彙總來源'!M1566</x:f>
        <x:v>26</x:v>
      </x:c>
      <x:c r="N1566" s="24" t="n">
        <x:f>F1566+H1566</x:f>
        <x:v>4.269230769230769</x:v>
      </x:c>
      <x:c r="O1566" s="24" t="n">
        <x:f>J1566+L1566</x:f>
        <x:v>7.961538461538462</x:v>
      </x:c>
    </x:row>
    <x:row r="1567">
      <x:c r="A1567" s="22" t="str">
        <x:v>500111116</x:v>
      </x:c>
      <x:c r="B1567" s="17" t="str">
        <x:v>南港區</x:v>
      </x:c>
      <x:c r="C1567" s="17" t="str">
        <x:v>忠孝東路七段265巷</x:v>
      </x:c>
      <x:c r="D1567" s="18" t="n">
        <x:v>26</x:v>
      </x:c>
      <x:c r="E1567" s="18" t="n">
        <x:v>26</x:v>
      </x:c>
      <x:c r="F1567" s="24" t="n">
        <x:f>IFERROR('各站彙總來源'!F1567/'各站彙總來源'!G1567,"")</x:f>
        <x:v>7.846153846153846</x:v>
      </x:c>
      <x:c r="G1567" s="19" t="n">
        <x:f>'各站彙總來源'!G1567</x:f>
        <x:v>26</x:v>
      </x:c>
      <x:c r="H1567" s="24" t="n">
        <x:f>IFERROR('各站彙總來源'!H1567/'各站彙總來源'!I1567,"")</x:f>
        <x:v>1.9230769230769231</x:v>
      </x:c>
      <x:c r="I1567" s="19" t="n">
        <x:f>'各站彙總來源'!I1567</x:f>
        <x:v>26</x:v>
      </x:c>
      <x:c r="J1567" s="24" t="n">
        <x:f>IFERROR('各站彙總來源'!J1567/'各站彙總來源'!K1567,"")</x:f>
        <x:v>11</x:v>
      </x:c>
      <x:c r="K1567" s="19" t="n">
        <x:f>'各站彙總來源'!K1567</x:f>
        <x:v>26</x:v>
      </x:c>
      <x:c r="L1567" s="24" t="n">
        <x:f>IFERROR('各站彙總來源'!L1567/'各站彙總來源'!M1567,"")</x:f>
        <x:v>2.3076923076923075</x:v>
      </x:c>
      <x:c r="M1567" s="19" t="n">
        <x:f>'各站彙總來源'!M1567</x:f>
        <x:v>26</x:v>
      </x:c>
      <x:c r="N1567" s="24" t="n">
        <x:f>F1567+H1567</x:f>
        <x:v>9.769230769230768</x:v>
      </x:c>
      <x:c r="O1567" s="24" t="n">
        <x:f>J1567+L1567</x:f>
        <x:v>13.307692307692307</x:v>
      </x:c>
    </x:row>
    <x:row r="1568">
      <x:c r="A1568" s="22" t="str">
        <x:v>500111117</x:v>
      </x:c>
      <x:c r="B1568" s="17" t="str">
        <x:v>南港區</x:v>
      </x:c>
      <x:c r="C1568" s="17" t="str">
        <x:v>昆陽東新街口</x:v>
      </x:c>
      <x:c r="D1568" s="18" t="n">
        <x:v>26</x:v>
      </x:c>
      <x:c r="E1568" s="18" t="n">
        <x:v>26</x:v>
      </x:c>
      <x:c r="F1568" s="24" t="n">
        <x:f>IFERROR('各站彙總來源'!F1568/'各站彙總來源'!G1568,"")</x:f>
        <x:v>9</x:v>
      </x:c>
      <x:c r="G1568" s="19" t="n">
        <x:f>'各站彙總來源'!G1568</x:f>
        <x:v>26</x:v>
      </x:c>
      <x:c r="H1568" s="24" t="n">
        <x:f>IFERROR('各站彙總來源'!H1568/'各站彙總來源'!I1568,"")</x:f>
        <x:v>1.4230769230769231</x:v>
      </x:c>
      <x:c r="I1568" s="19" t="n">
        <x:f>'各站彙總來源'!I1568</x:f>
        <x:v>26</x:v>
      </x:c>
      <x:c r="J1568" s="24" t="n">
        <x:f>IFERROR('各站彙總來源'!J1568/'各站彙總來源'!K1568,"")</x:f>
        <x:v>6.5</x:v>
      </x:c>
      <x:c r="K1568" s="19" t="n">
        <x:f>'各站彙總來源'!K1568</x:f>
        <x:v>26</x:v>
      </x:c>
      <x:c r="L1568" s="24" t="n">
        <x:f>IFERROR('各站彙總來源'!L1568/'各站彙總來源'!M1568,"")</x:f>
        <x:v>0.6923076923076923</x:v>
      </x:c>
      <x:c r="M1568" s="19" t="n">
        <x:f>'各站彙總來源'!M1568</x:f>
        <x:v>26</x:v>
      </x:c>
      <x:c r="N1568" s="24" t="n">
        <x:f>F1568+H1568</x:f>
        <x:v>10.423076923076923</x:v>
      </x:c>
      <x:c r="O1568" s="24" t="n">
        <x:f>J1568+L1568</x:f>
        <x:v>7.1923076923076925</x:v>
      </x:c>
    </x:row>
    <x:row r="1569">
      <x:c r="A1569" s="22" t="str">
        <x:v>500111118</x:v>
      </x:c>
      <x:c r="B1569" s="17" t="str">
        <x:v>南港區</x:v>
      </x:c>
      <x:c r="C1569" s="17" t="str">
        <x:v>臺北市捷運局機電工程處</x:v>
      </x:c>
      <x:c r="D1569" s="18" t="n">
        <x:v>26</x:v>
      </x:c>
      <x:c r="E1569" s="18" t="n">
        <x:v>26</x:v>
      </x:c>
      <x:c r="F1569" s="24" t="n">
        <x:f>IFERROR('各站彙總來源'!F1569/'各站彙總來源'!G1569,"")</x:f>
        <x:v>3.1153846153846154</x:v>
      </x:c>
      <x:c r="G1569" s="19" t="n">
        <x:f>'各站彙總來源'!G1569</x:f>
        <x:v>26</x:v>
      </x:c>
      <x:c r="H1569" s="24" t="n">
        <x:f>IFERROR('各站彙總來源'!H1569/'各站彙總來源'!I1569,"")</x:f>
        <x:v>1.8846153846153846</x:v>
      </x:c>
      <x:c r="I1569" s="19" t="n">
        <x:f>'各站彙總來源'!I1569</x:f>
        <x:v>26</x:v>
      </x:c>
      <x:c r="J1569" s="24" t="n">
        <x:f>IFERROR('各站彙總來源'!J1569/'各站彙總來源'!K1569,"")</x:f>
        <x:v>3.230769230769231</x:v>
      </x:c>
      <x:c r="K1569" s="19" t="n">
        <x:f>'各站彙總來源'!K1569</x:f>
        <x:v>26</x:v>
      </x:c>
      <x:c r="L1569" s="24" t="n">
        <x:f>IFERROR('各站彙總來源'!L1569/'各站彙總來源'!M1569,"")</x:f>
        <x:v>1.7692307692307692</x:v>
      </x:c>
      <x:c r="M1569" s="19" t="n">
        <x:f>'各站彙總來源'!M1569</x:f>
        <x:v>26</x:v>
      </x:c>
      <x:c r="N1569" s="24" t="n">
        <x:f>F1569+H1569</x:f>
        <x:v>5</x:v>
      </x:c>
      <x:c r="O1569" s="24" t="n">
        <x:f>J1569+L1569</x:f>
        <x:v>5</x:v>
      </x:c>
    </x:row>
    <x:row r="1570">
      <x:c r="A1570" s="22" t="str">
        <x:v>500111119</x:v>
      </x:c>
      <x:c r="B1570" s="17" t="str">
        <x:v>南港區</x:v>
      </x:c>
      <x:c r="C1570" s="17" t="str">
        <x:v>經貿二路105巷口(經貿二路)</x:v>
      </x:c>
      <x:c r="D1570" s="18" t="n">
        <x:v>26</x:v>
      </x:c>
      <x:c r="E1570" s="18" t="n">
        <x:v>26</x:v>
      </x:c>
      <x:c r="F1570" s="24" t="n">
        <x:f>IFERROR('各站彙總來源'!F1570/'各站彙總來源'!G1570,"")</x:f>
        <x:v>5.576923076923077</x:v>
      </x:c>
      <x:c r="G1570" s="19" t="n">
        <x:f>'各站彙總來源'!G1570</x:f>
        <x:v>26</x:v>
      </x:c>
      <x:c r="H1570" s="24" t="n">
        <x:f>IFERROR('各站彙總來源'!H1570/'各站彙總來源'!I1570,"")</x:f>
        <x:v>0.9230769230769231</x:v>
      </x:c>
      <x:c r="I1570" s="19" t="n">
        <x:f>'各站彙總來源'!I1570</x:f>
        <x:v>26</x:v>
      </x:c>
      <x:c r="J1570" s="24" t="n">
        <x:f>IFERROR('各站彙總來源'!J1570/'各站彙總來源'!K1570,"")</x:f>
        <x:v>30.46153846153846</x:v>
      </x:c>
      <x:c r="K1570" s="19" t="n">
        <x:f>'各站彙總來源'!K1570</x:f>
        <x:v>26</x:v>
      </x:c>
      <x:c r="L1570" s="24" t="n">
        <x:f>IFERROR('各站彙總來源'!L1570/'各站彙總來源'!M1570,"")</x:f>
        <x:v>6.846153846153846</x:v>
      </x:c>
      <x:c r="M1570" s="19" t="n">
        <x:f>'各站彙總來源'!M1570</x:f>
        <x:v>26</x:v>
      </x:c>
      <x:c r="N1570" s="24" t="n">
        <x:f>F1570+H1570</x:f>
        <x:v>6.5</x:v>
      </x:c>
      <x:c r="O1570" s="24" t="n">
        <x:f>J1570+L1570</x:f>
        <x:v>37.30769230769231</x:v>
      </x:c>
    </x:row>
    <x:row r="1571">
      <x:c r="A1571" s="22" t="str">
        <x:v>500111120</x:v>
      </x:c>
      <x:c r="B1571" s="17" t="str">
        <x:v>南港區</x:v>
      </x:c>
      <x:c r="C1571" s="17" t="str">
        <x:v>經貿二路105巷口(經貿一路)</x:v>
      </x:c>
      <x:c r="D1571" s="18" t="n">
        <x:v>26</x:v>
      </x:c>
      <x:c r="E1571" s="18" t="n">
        <x:v>26</x:v>
      </x:c>
      <x:c r="F1571" s="24" t="n">
        <x:f>IFERROR('各站彙總來源'!F1571/'各站彙總來源'!G1571,"")</x:f>
        <x:v>2.5384615384615383</x:v>
      </x:c>
      <x:c r="G1571" s="19" t="n">
        <x:f>'各站彙總來源'!G1571</x:f>
        <x:v>26</x:v>
      </x:c>
      <x:c r="H1571" s="24" t="n">
        <x:f>IFERROR('各站彙總來源'!H1571/'各站彙總來源'!I1571,"")</x:f>
        <x:v>0.7692307692307693</x:v>
      </x:c>
      <x:c r="I1571" s="19" t="n">
        <x:f>'各站彙總來源'!I1571</x:f>
        <x:v>26</x:v>
      </x:c>
      <x:c r="J1571" s="24" t="n">
        <x:f>IFERROR('各站彙總來源'!J1571/'各站彙總來源'!K1571,"")</x:f>
        <x:v>13.961538461538462</x:v>
      </x:c>
      <x:c r="K1571" s="19" t="n">
        <x:f>'各站彙總來源'!K1571</x:f>
        <x:v>26</x:v>
      </x:c>
      <x:c r="L1571" s="24" t="n">
        <x:f>IFERROR('各站彙總來源'!L1571/'各站彙總來源'!M1571,"")</x:f>
        <x:v>3.423076923076923</x:v>
      </x:c>
      <x:c r="M1571" s="19" t="n">
        <x:f>'各站彙總來源'!M1571</x:f>
        <x:v>26</x:v>
      </x:c>
      <x:c r="N1571" s="24" t="n">
        <x:f>F1571+H1571</x:f>
        <x:v>3.3076923076923075</x:v>
      </x:c>
      <x:c r="O1571" s="24" t="n">
        <x:f>J1571+L1571</x:f>
        <x:v>17.384615384615383</x:v>
      </x:c>
    </x:row>
    <x:row r="1572">
      <x:c r="A1572" s="22" t="str">
        <x:v>500111121</x:v>
      </x:c>
      <x:c r="B1572" s="17" t="str">
        <x:v>南港區</x:v>
      </x:c>
      <x:c r="C1572" s="17" t="str">
        <x:v>經貿二路185巷</x:v>
      </x:c>
      <x:c r="D1572" s="18" t="n">
        <x:v>26</x:v>
      </x:c>
      <x:c r="E1572" s="18" t="n">
        <x:v>26</x:v>
      </x:c>
      <x:c r="F1572" s="24" t="n">
        <x:f>IFERROR('各站彙總來源'!F1572/'各站彙總來源'!G1572,"")</x:f>
        <x:v>3.923076923076923</x:v>
      </x:c>
      <x:c r="G1572" s="19" t="n">
        <x:f>'各站彙總來源'!G1572</x:f>
        <x:v>26</x:v>
      </x:c>
      <x:c r="H1572" s="24" t="n">
        <x:f>IFERROR('各站彙總來源'!H1572/'各站彙總來源'!I1572,"")</x:f>
        <x:v>0.4230769230769231</x:v>
      </x:c>
      <x:c r="I1572" s="19" t="n">
        <x:f>'各站彙總來源'!I1572</x:f>
        <x:v>26</x:v>
      </x:c>
      <x:c r="J1572" s="24" t="n">
        <x:f>IFERROR('各站彙總來源'!J1572/'各站彙總來源'!K1572,"")</x:f>
        <x:v>5.5</x:v>
      </x:c>
      <x:c r="K1572" s="19" t="n">
        <x:f>'各站彙總來源'!K1572</x:f>
        <x:v>26</x:v>
      </x:c>
      <x:c r="L1572" s="24" t="n">
        <x:f>IFERROR('各站彙總來源'!L1572/'各站彙總來源'!M1572,"")</x:f>
        <x:v>1.2692307692307692</x:v>
      </x:c>
      <x:c r="M1572" s="19" t="n">
        <x:f>'各站彙總來源'!M1572</x:f>
        <x:v>26</x:v>
      </x:c>
      <x:c r="N1572" s="24" t="n">
        <x:f>F1572+H1572</x:f>
        <x:v>4.346153846153846</x:v>
      </x:c>
      <x:c r="O1572" s="24" t="n">
        <x:f>J1572+L1572</x:f>
        <x:v>6.769230769230769</x:v>
      </x:c>
    </x:row>
    <x:row r="1573">
      <x:c r="A1573" s="22" t="str">
        <x:v>500111122</x:v>
      </x:c>
      <x:c r="B1573" s="17" t="str">
        <x:v>南港區</x:v>
      </x:c>
      <x:c r="C1573" s="17" t="str">
        <x:v>國家生物模式中心</x:v>
      </x:c>
      <x:c r="D1573" s="18" t="n">
        <x:v>26</x:v>
      </x:c>
      <x:c r="E1573" s="18" t="n">
        <x:v>26</x:v>
      </x:c>
      <x:c r="F1573" s="24" t="n">
        <x:f>IFERROR('各站彙總來源'!F1573/'各站彙總來源'!G1573,"")</x:f>
        <x:v>3.8846153846153846</x:v>
      </x:c>
      <x:c r="G1573" s="19" t="n">
        <x:f>'各站彙總來源'!G1573</x:f>
        <x:v>26</x:v>
      </x:c>
      <x:c r="H1573" s="24" t="n">
        <x:f>IFERROR('各站彙總來源'!H1573/'各站彙總來源'!I1573,"")</x:f>
        <x:v>0.5769230769230769</x:v>
      </x:c>
      <x:c r="I1573" s="19" t="n">
        <x:f>'各站彙總來源'!I1573</x:f>
        <x:v>26</x:v>
      </x:c>
      <x:c r="J1573" s="24" t="n">
        <x:f>IFERROR('各站彙總來源'!J1573/'各站彙總來源'!K1573,"")</x:f>
        <x:v>18.153846153846153</x:v>
      </x:c>
      <x:c r="K1573" s="19" t="n">
        <x:f>'各站彙總來源'!K1573</x:f>
        <x:v>26</x:v>
      </x:c>
      <x:c r="L1573" s="24" t="n">
        <x:f>IFERROR('各站彙總來源'!L1573/'各站彙總來源'!M1573,"")</x:f>
        <x:v>1.6153846153846154</x:v>
      </x:c>
      <x:c r="M1573" s="19" t="n">
        <x:f>'各站彙總來源'!M1573</x:f>
        <x:v>26</x:v>
      </x:c>
      <x:c r="N1573" s="24" t="n">
        <x:f>F1573+H1573</x:f>
        <x:v>4.461538461538462</x:v>
      </x:c>
      <x:c r="O1573" s="24" t="n">
        <x:f>J1573+L1573</x:f>
        <x:v>19.76923076923077</x:v>
      </x:c>
    </x:row>
    <x:row r="1574">
      <x:c r="A1574" s="22" t="str">
        <x:v>500111123</x:v>
      </x:c>
      <x:c r="B1574" s="17" t="str">
        <x:v>南港區</x:v>
      </x:c>
      <x:c r="C1574" s="17" t="str">
        <x:v>南港路三段106巷口(中華賓士)</x:v>
      </x:c>
      <x:c r="D1574" s="18" t="n">
        <x:v>26</x:v>
      </x:c>
      <x:c r="E1574" s="18" t="n">
        <x:v>26</x:v>
      </x:c>
      <x:c r="F1574" s="24" t="n">
        <x:f>IFERROR('各站彙總來源'!F1574/'各站彙總來源'!G1574,"")</x:f>
        <x:v>5.576923076923077</x:v>
      </x:c>
      <x:c r="G1574" s="19" t="n">
        <x:f>'各站彙總來源'!G1574</x:f>
        <x:v>26</x:v>
      </x:c>
      <x:c r="H1574" s="24" t="n">
        <x:f>IFERROR('各站彙總來源'!H1574/'各站彙總來源'!I1574,"")</x:f>
        <x:v>1.0769230769230769</x:v>
      </x:c>
      <x:c r="I1574" s="19" t="n">
        <x:f>'各站彙總來源'!I1574</x:f>
        <x:v>26</x:v>
      </x:c>
      <x:c r="J1574" s="24" t="n">
        <x:f>IFERROR('各站彙總來源'!J1574/'各站彙總來源'!K1574,"")</x:f>
        <x:v>10.615384615384615</x:v>
      </x:c>
      <x:c r="K1574" s="19" t="n">
        <x:f>'各站彙總來源'!K1574</x:f>
        <x:v>26</x:v>
      </x:c>
      <x:c r="L1574" s="24" t="n">
        <x:f>IFERROR('各站彙總來源'!L1574/'各站彙總來源'!M1574,"")</x:f>
        <x:v>1.7307692307692308</x:v>
      </x:c>
      <x:c r="M1574" s="19" t="n">
        <x:f>'各站彙總來源'!M1574</x:f>
        <x:v>26</x:v>
      </x:c>
      <x:c r="N1574" s="24" t="n">
        <x:f>F1574+H1574</x:f>
        <x:v>6.653846153846153</x:v>
      </x:c>
      <x:c r="O1574" s="24" t="n">
        <x:f>J1574+L1574</x:f>
        <x:v>12.346153846153847</x:v>
      </x:c>
    </x:row>
    <x:row r="1575">
      <x:c r="A1575" s="22" t="str">
        <x:v>500111124</x:v>
      </x:c>
      <x:c r="B1575" s="17" t="str">
        <x:v>南港區</x:v>
      </x:c>
      <x:c r="C1575" s="17" t="str">
        <x:v>中坡松隆路口</x:v>
      </x:c>
      <x:c r="D1575" s="18" t="n">
        <x:v>26</x:v>
      </x:c>
      <x:c r="E1575" s="18" t="n">
        <x:v>26</x:v>
      </x:c>
      <x:c r="F1575" s="24" t="n">
        <x:f>IFERROR('各站彙總來源'!F1575/'各站彙總來源'!G1575,"")</x:f>
        <x:v>12.576923076923077</x:v>
      </x:c>
      <x:c r="G1575" s="19" t="n">
        <x:f>'各站彙總來源'!G1575</x:f>
        <x:v>26</x:v>
      </x:c>
      <x:c r="H1575" s="24" t="n">
        <x:f>IFERROR('各站彙總來源'!H1575/'各站彙總來源'!I1575,"")</x:f>
        <x:v>1.9615384615384615</x:v>
      </x:c>
      <x:c r="I1575" s="19" t="n">
        <x:f>'各站彙總來源'!I1575</x:f>
        <x:v>26</x:v>
      </x:c>
      <x:c r="J1575" s="24" t="n">
        <x:f>IFERROR('各站彙總來源'!J1575/'各站彙總來源'!K1575,"")</x:f>
        <x:v>10.5</x:v>
      </x:c>
      <x:c r="K1575" s="19" t="n">
        <x:f>'各站彙總來源'!K1575</x:f>
        <x:v>26</x:v>
      </x:c>
      <x:c r="L1575" s="24" t="n">
        <x:f>IFERROR('各站彙總來源'!L1575/'各站彙總來源'!M1575,"")</x:f>
        <x:v>1.9230769230769231</x:v>
      </x:c>
      <x:c r="M1575" s="19" t="n">
        <x:f>'各站彙總來源'!M1575</x:f>
        <x:v>26</x:v>
      </x:c>
      <x:c r="N1575" s="24" t="n">
        <x:f>F1575+H1575</x:f>
        <x:v>14.538461538461538</x:v>
      </x:c>
      <x:c r="O1575" s="24" t="n">
        <x:f>J1575+L1575</x:f>
        <x:v>12.423076923076923</x:v>
      </x:c>
    </x:row>
    <x:row r="1576">
      <x:c r="A1576" s="22" t="str">
        <x:v>500111125</x:v>
      </x:c>
      <x:c r="B1576" s="17" t="str">
        <x:v>南港區</x:v>
      </x:c>
      <x:c r="C1576" s="17" t="str">
        <x:v>成功疏散門</x:v>
      </x:c>
      <x:c r="D1576" s="18" t="n">
        <x:v>26</x:v>
      </x:c>
      <x:c r="E1576" s="18" t="n">
        <x:v>26</x:v>
      </x:c>
      <x:c r="F1576" s="24" t="n">
        <x:f>IFERROR('各站彙總來源'!F1576/'各站彙總來源'!G1576,"")</x:f>
        <x:v>8.153846153846153</x:v>
      </x:c>
      <x:c r="G1576" s="19" t="n">
        <x:f>'各站彙總來源'!G1576</x:f>
        <x:v>26</x:v>
      </x:c>
      <x:c r="H1576" s="24" t="n">
        <x:f>IFERROR('各站彙總來源'!H1576/'各站彙總來源'!I1576,"")</x:f>
        <x:v>2.5</x:v>
      </x:c>
      <x:c r="I1576" s="19" t="n">
        <x:f>'各站彙總來源'!I1576</x:f>
        <x:v>26</x:v>
      </x:c>
      <x:c r="J1576" s="24" t="n">
        <x:f>IFERROR('各站彙總來源'!J1576/'各站彙總來源'!K1576,"")</x:f>
        <x:v>4.269230769230769</x:v>
      </x:c>
      <x:c r="K1576" s="19" t="n">
        <x:f>'各站彙總來源'!K1576</x:f>
        <x:v>26</x:v>
      </x:c>
      <x:c r="L1576" s="24" t="n">
        <x:f>IFERROR('各站彙總來源'!L1576/'各站彙總來源'!M1576,"")</x:f>
        <x:v>1.5</x:v>
      </x:c>
      <x:c r="M1576" s="19" t="n">
        <x:f>'各站彙總來源'!M1576</x:f>
        <x:v>26</x:v>
      </x:c>
      <x:c r="N1576" s="24" t="n">
        <x:f>F1576+H1576</x:f>
        <x:v>10.653846153846153</x:v>
      </x:c>
      <x:c r="O1576" s="24" t="n">
        <x:f>J1576+L1576</x:f>
        <x:v>5.769230769230769</x:v>
      </x:c>
    </x:row>
    <x:row r="1577">
      <x:c r="A1577" s="22" t="str">
        <x:v>500111126</x:v>
      </x:c>
      <x:c r="B1577" s="17" t="str">
        <x:v>南港區</x:v>
      </x:c>
      <x:c r="C1577" s="17" t="str">
        <x:v>環保局南港區清潔南港分隊</x:v>
      </x:c>
      <x:c r="D1577" s="18" t="n">
        <x:v>26</x:v>
      </x:c>
      <x:c r="E1577" s="18" t="n">
        <x:v>26</x:v>
      </x:c>
      <x:c r="F1577" s="24" t="n">
        <x:f>IFERROR('各站彙總來源'!F1577/'各站彙總來源'!G1577,"")</x:f>
        <x:v>6.923076923076923</x:v>
      </x:c>
      <x:c r="G1577" s="19" t="n">
        <x:f>'各站彙總來源'!G1577</x:f>
        <x:v>26</x:v>
      </x:c>
      <x:c r="H1577" s="24" t="n">
        <x:f>IFERROR('各站彙總來源'!H1577/'各站彙總來源'!I1577,"")</x:f>
        <x:v>0.7692307692307693</x:v>
      </x:c>
      <x:c r="I1577" s="19" t="n">
        <x:f>'各站彙總來源'!I1577</x:f>
        <x:v>26</x:v>
      </x:c>
      <x:c r="J1577" s="24" t="n">
        <x:f>IFERROR('各站彙總來源'!J1577/'各站彙總來源'!K1577,"")</x:f>
        <x:v>7.846153846153846</x:v>
      </x:c>
      <x:c r="K1577" s="19" t="n">
        <x:f>'各站彙總來源'!K1577</x:f>
        <x:v>26</x:v>
      </x:c>
      <x:c r="L1577" s="24" t="n">
        <x:f>IFERROR('各站彙總來源'!L1577/'各站彙總來源'!M1577,"")</x:f>
        <x:v>0.9230769230769231</x:v>
      </x:c>
      <x:c r="M1577" s="19" t="n">
        <x:f>'各站彙總來源'!M1577</x:f>
        <x:v>26</x:v>
      </x:c>
      <x:c r="N1577" s="24" t="n">
        <x:f>F1577+H1577</x:f>
        <x:v>7.6923076923076925</x:v>
      </x:c>
      <x:c r="O1577" s="24" t="n">
        <x:f>J1577+L1577</x:f>
        <x:v>8.769230769230768</x:v>
      </x:c>
    </x:row>
    <x:row r="1578">
      <x:c r="A1578" s="22" t="str">
        <x:v>500111127</x:v>
      </x:c>
      <x:c r="B1578" s="17" t="str">
        <x:v>南港區</x:v>
      </x:c>
      <x:c r="C1578" s="17" t="str">
        <x:v>重陽公園(興南街)</x:v>
      </x:c>
      <x:c r="D1578" s="18" t="n">
        <x:v>26</x:v>
      </x:c>
      <x:c r="E1578" s="18" t="n">
        <x:v>26</x:v>
      </x:c>
      <x:c r="F1578" s="24" t="n">
        <x:f>IFERROR('各站彙總來源'!F1578/'各站彙總來源'!G1578,"")</x:f>
        <x:v>8.923076923076923</x:v>
      </x:c>
      <x:c r="G1578" s="19" t="n">
        <x:f>'各站彙總來源'!G1578</x:f>
        <x:v>26</x:v>
      </x:c>
      <x:c r="H1578" s="24" t="n">
        <x:f>IFERROR('各站彙總來源'!H1578/'各站彙總來源'!I1578,"")</x:f>
        <x:v>2.3461538461538463</x:v>
      </x:c>
      <x:c r="I1578" s="19" t="n">
        <x:f>'各站彙總來源'!I1578</x:f>
        <x:v>26</x:v>
      </x:c>
      <x:c r="J1578" s="24" t="n">
        <x:f>IFERROR('各站彙總來源'!J1578/'各站彙總來源'!K1578,"")</x:f>
        <x:v>8.038461538461538</x:v>
      </x:c>
      <x:c r="K1578" s="19" t="n">
        <x:f>'各站彙總來源'!K1578</x:f>
        <x:v>26</x:v>
      </x:c>
      <x:c r="L1578" s="24" t="n">
        <x:f>IFERROR('各站彙總來源'!L1578/'各站彙總來源'!M1578,"")</x:f>
        <x:v>1.2692307692307692</x:v>
      </x:c>
      <x:c r="M1578" s="19" t="n">
        <x:f>'各站彙總來源'!M1578</x:f>
        <x:v>26</x:v>
      </x:c>
      <x:c r="N1578" s="24" t="n">
        <x:f>F1578+H1578</x:f>
        <x:v>11.26923076923077</x:v>
      </x:c>
      <x:c r="O1578" s="24" t="n">
        <x:f>J1578+L1578</x:f>
        <x:v>9.307692307692307</x:v>
      </x:c>
    </x:row>
    <x:row r="1579">
      <x:c r="A1579" s="22" t="str">
        <x:v>500111128</x:v>
      </x:c>
      <x:c r="B1579" s="17" t="str">
        <x:v>南港區</x:v>
      </x:c>
      <x:c r="C1579" s="17" t="str">
        <x:v>生物技術開發中心</x:v>
      </x:c>
      <x:c r="D1579" s="18" t="n">
        <x:v>26</x:v>
      </x:c>
      <x:c r="E1579" s="18" t="n">
        <x:v>26</x:v>
      </x:c>
      <x:c r="F1579" s="24" t="n">
        <x:f>IFERROR('各站彙總來源'!F1579/'各站彙總來源'!G1579,"")</x:f>
        <x:v>2.3846153846153846</x:v>
      </x:c>
      <x:c r="G1579" s="19" t="n">
        <x:f>'各站彙總來源'!G1579</x:f>
        <x:v>26</x:v>
      </x:c>
      <x:c r="H1579" s="24" t="n">
        <x:f>IFERROR('各站彙總來源'!H1579/'各站彙總來源'!I1579,"")</x:f>
        <x:v>0.6538461538461539</x:v>
      </x:c>
      <x:c r="I1579" s="19" t="n">
        <x:f>'各站彙總來源'!I1579</x:f>
        <x:v>26</x:v>
      </x:c>
      <x:c r="J1579" s="24" t="n">
        <x:f>IFERROR('各站彙總來源'!J1579/'各站彙總來源'!K1579,"")</x:f>
        <x:v>19.5</x:v>
      </x:c>
      <x:c r="K1579" s="19" t="n">
        <x:f>'各站彙總來源'!K1579</x:f>
        <x:v>26</x:v>
      </x:c>
      <x:c r="L1579" s="24" t="n">
        <x:f>IFERROR('各站彙總來源'!L1579/'各站彙總來源'!M1579,"")</x:f>
        <x:v>1.3846153846153846</x:v>
      </x:c>
      <x:c r="M1579" s="19" t="n">
        <x:f>'各站彙總來源'!M1579</x:f>
        <x:v>26</x:v>
      </x:c>
      <x:c r="N1579" s="24" t="n">
        <x:f>F1579+H1579</x:f>
        <x:v>3.0384615384615383</x:v>
      </x:c>
      <x:c r="O1579" s="24" t="n">
        <x:f>J1579+L1579</x:f>
        <x:v>20.884615384615383</x:v>
      </x:c>
    </x:row>
    <x:row r="1580">
      <x:c r="A1580" s="22" t="str">
        <x:v>500111129</x:v>
      </x:c>
      <x:c r="B1580" s="17" t="str">
        <x:v>南港區</x:v>
      </x:c>
      <x:c r="C1580" s="17" t="str">
        <x:v>南港車站C棟(市民大道)</x:v>
      </x:c>
      <x:c r="D1580" s="18" t="n">
        <x:v>26</x:v>
      </x:c>
      <x:c r="E1580" s="18" t="n">
        <x:v>26</x:v>
      </x:c>
      <x:c r="F1580" s="24" t="n">
        <x:f>IFERROR('各站彙總來源'!F1580/'各站彙總來源'!G1580,"")</x:f>
        <x:v>10.26923076923077</x:v>
      </x:c>
      <x:c r="G1580" s="19" t="n">
        <x:f>'各站彙總來源'!G1580</x:f>
        <x:v>26</x:v>
      </x:c>
      <x:c r="H1580" s="24" t="n">
        <x:f>IFERROR('各站彙總來源'!H1580/'各站彙總來源'!I1580,"")</x:f>
        <x:v>0.15384615384615385</x:v>
      </x:c>
      <x:c r="I1580" s="19" t="n">
        <x:f>'各站彙總來源'!I1580</x:f>
        <x:v>26</x:v>
      </x:c>
      <x:c r="J1580" s="24" t="n">
        <x:f>IFERROR('各站彙總來源'!J1580/'各站彙總來源'!K1580,"")</x:f>
        <x:v>7.384615384615385</x:v>
      </x:c>
      <x:c r="K1580" s="19" t="n">
        <x:f>'各站彙總來源'!K1580</x:f>
        <x:v>26</x:v>
      </x:c>
      <x:c r="L1580" s="24" t="n">
        <x:f>IFERROR('各站彙總來源'!L1580/'各站彙總來源'!M1580,"")</x:f>
        <x:v>0.5</x:v>
      </x:c>
      <x:c r="M1580" s="19" t="n">
        <x:f>'各站彙總來源'!M1580</x:f>
        <x:v>26</x:v>
      </x:c>
      <x:c r="N1580" s="24" t="n">
        <x:f>F1580+H1580</x:f>
        <x:v>10.423076923076923</x:v>
      </x:c>
      <x:c r="O1580" s="24" t="n">
        <x:f>J1580+L1580</x:f>
        <x:v>7.884615384615385</x:v>
      </x:c>
    </x:row>
    <x:row r="1581">
      <x:c r="A1581" s="22" t="str">
        <x:v>500111130</x:v>
      </x:c>
      <x:c r="B1581" s="17" t="str">
        <x:v>南港區</x:v>
      </x:c>
      <x:c r="C1581" s="17" t="str">
        <x:v>新陽綠地</x:v>
      </x:c>
      <x:c r="D1581" s="18" t="n">
        <x:v>26</x:v>
      </x:c>
      <x:c r="E1581" s="18" t="n">
        <x:v>26</x:v>
      </x:c>
      <x:c r="F1581" s="24" t="n">
        <x:f>IFERROR('各站彙總來源'!F1581/'各站彙總來源'!G1581,"")</x:f>
        <x:v>11</x:v>
      </x:c>
      <x:c r="G1581" s="19" t="n">
        <x:f>'各站彙總來源'!G1581</x:f>
        <x:v>26</x:v>
      </x:c>
      <x:c r="H1581" s="24" t="n">
        <x:f>IFERROR('各站彙總來源'!H1581/'各站彙總來源'!I1581,"")</x:f>
        <x:v>2.3076923076923075</x:v>
      </x:c>
      <x:c r="I1581" s="19" t="n">
        <x:f>'各站彙總來源'!I1581</x:f>
        <x:v>26</x:v>
      </x:c>
      <x:c r="J1581" s="24" t="n">
        <x:f>IFERROR('各站彙總來源'!J1581/'各站彙總來源'!K1581,"")</x:f>
        <x:v>8.5</x:v>
      </x:c>
      <x:c r="K1581" s="19" t="n">
        <x:f>'各站彙總來源'!K1581</x:f>
        <x:v>26</x:v>
      </x:c>
      <x:c r="L1581" s="24" t="n">
        <x:f>IFERROR('各站彙總來源'!L1581/'各站彙總來源'!M1581,"")</x:f>
        <x:v>2.1538461538461537</x:v>
      </x:c>
      <x:c r="M1581" s="19" t="n">
        <x:f>'各站彙總來源'!M1581</x:f>
        <x:v>26</x:v>
      </x:c>
      <x:c r="N1581" s="24" t="n">
        <x:f>F1581+H1581</x:f>
        <x:v>13.307692307692307</x:v>
      </x:c>
      <x:c r="O1581" s="24" t="n">
        <x:f>J1581+L1581</x:f>
        <x:v>10.653846153846153</x:v>
      </x:c>
    </x:row>
    <x:row r="1582">
      <x:c r="A1582" s="22" t="str">
        <x:v>500111131</x:v>
      </x:c>
      <x:c r="B1582" s="17" t="str">
        <x:v>南港區</x:v>
      </x:c>
      <x:c r="C1582" s="17" t="str">
        <x:v>九如公園(凌雲街)</x:v>
      </x:c>
      <x:c r="D1582" s="18" t="n">
        <x:v>26</x:v>
      </x:c>
      <x:c r="E1582" s="18" t="n">
        <x:v>26</x:v>
      </x:c>
      <x:c r="F1582" s="24" t="n">
        <x:f>IFERROR('各站彙總來源'!F1582/'各站彙總來源'!G1582,"")</x:f>
        <x:v>9.307692307692308</x:v>
      </x:c>
      <x:c r="G1582" s="19" t="n">
        <x:f>'各站彙總來源'!G1582</x:f>
        <x:v>26</x:v>
      </x:c>
      <x:c r="H1582" s="24" t="n">
        <x:f>IFERROR('各站彙總來源'!H1582/'各站彙總來源'!I1582,"")</x:f>
        <x:v>1.6153846153846154</x:v>
      </x:c>
      <x:c r="I1582" s="19" t="n">
        <x:f>'各站彙總來源'!I1582</x:f>
        <x:v>26</x:v>
      </x:c>
      <x:c r="J1582" s="24" t="n">
        <x:f>IFERROR('各站彙總來源'!J1582/'各站彙總來源'!K1582,"")</x:f>
        <x:v>4.1923076923076925</x:v>
      </x:c>
      <x:c r="K1582" s="19" t="n">
        <x:f>'各站彙總來源'!K1582</x:f>
        <x:v>26</x:v>
      </x:c>
      <x:c r="L1582" s="24" t="n">
        <x:f>IFERROR('各站彙總來源'!L1582/'各站彙總來源'!M1582,"")</x:f>
        <x:v>0.8076923076923077</x:v>
      </x:c>
      <x:c r="M1582" s="19" t="n">
        <x:f>'各站彙總來源'!M1582</x:f>
        <x:v>26</x:v>
      </x:c>
      <x:c r="N1582" s="24" t="n">
        <x:f>F1582+H1582</x:f>
        <x:v>10.923076923076923</x:v>
      </x:c>
      <x:c r="O1582" s="24" t="n">
        <x:f>J1582+L1582</x:f>
        <x:v>5</x:v>
      </x:c>
    </x:row>
    <x:row r="1583">
      <x:c r="A1583" s="22" t="str">
        <x:v>500111132</x:v>
      </x:c>
      <x:c r="B1583" s="17" t="str">
        <x:v>南港區</x:v>
      </x:c>
      <x:c r="C1583" s="17" t="str">
        <x:v>捷運南港機廠社會住宅</x:v>
      </x:c>
      <x:c r="D1583" s="18" t="n">
        <x:v>26</x:v>
      </x:c>
      <x:c r="E1583" s="18" t="n">
        <x:v>26</x:v>
      </x:c>
      <x:c r="F1583" s="24" t="n">
        <x:f>IFERROR('各站彙總來源'!F1583/'各站彙總來源'!G1583,"")</x:f>
        <x:v>25.923076923076923</x:v>
      </x:c>
      <x:c r="G1583" s="19" t="n">
        <x:f>'各站彙總來源'!G1583</x:f>
        <x:v>26</x:v>
      </x:c>
      <x:c r="H1583" s="24" t="n">
        <x:f>IFERROR('各站彙總來源'!H1583/'各站彙總來源'!I1583,"")</x:f>
        <x:v>3.076923076923077</x:v>
      </x:c>
      <x:c r="I1583" s="19" t="n">
        <x:f>'各站彙總來源'!I1583</x:f>
        <x:v>26</x:v>
      </x:c>
      <x:c r="J1583" s="24" t="n">
        <x:f>IFERROR('各站彙總來源'!J1583/'各站彙總來源'!K1583,"")</x:f>
        <x:v>6.769230769230769</x:v>
      </x:c>
      <x:c r="K1583" s="19" t="n">
        <x:f>'各站彙總來源'!K1583</x:f>
        <x:v>26</x:v>
      </x:c>
      <x:c r="L1583" s="24" t="n">
        <x:f>IFERROR('各站彙總來源'!L1583/'各站彙總來源'!M1583,"")</x:f>
        <x:v>0.5769230769230769</x:v>
      </x:c>
      <x:c r="M1583" s="19" t="n">
        <x:f>'各站彙總來源'!M1583</x:f>
        <x:v>26</x:v>
      </x:c>
      <x:c r="N1583" s="24" t="n">
        <x:f>F1583+H1583</x:f>
        <x:v>29</x:v>
      </x:c>
      <x:c r="O1583" s="24" t="n">
        <x:f>J1583+L1583</x:f>
        <x:v>7.346153846153846</x:v>
      </x:c>
    </x:row>
    <x:row r="1584">
      <x:c r="A1584" s="22" t="str">
        <x:v>500111133</x:v>
      </x:c>
      <x:c r="B1584" s="17" t="str">
        <x:v>南港區</x:v>
      </x:c>
      <x:c r="C1584" s="17" t="str">
        <x:v>忠孝向陽路口</x:v>
      </x:c>
      <x:c r="D1584" s="18" t="n">
        <x:v>26</x:v>
      </x:c>
      <x:c r="E1584" s="18" t="n">
        <x:v>26</x:v>
      </x:c>
      <x:c r="F1584" s="24" t="n">
        <x:f>IFERROR('各站彙總來源'!F1584/'各站彙總來源'!G1584,"")</x:f>
        <x:v>8.73076923076923</x:v>
      </x:c>
      <x:c r="G1584" s="19" t="n">
        <x:f>'各站彙總來源'!G1584</x:f>
        <x:v>26</x:v>
      </x:c>
      <x:c r="H1584" s="24" t="n">
        <x:f>IFERROR('各站彙總來源'!H1584/'各站彙總來源'!I1584,"")</x:f>
        <x:v>1.2307692307692308</x:v>
      </x:c>
      <x:c r="I1584" s="19" t="n">
        <x:f>'各站彙總來源'!I1584</x:f>
        <x:v>26</x:v>
      </x:c>
      <x:c r="J1584" s="24" t="n">
        <x:f>IFERROR('各站彙總來源'!J1584/'各站彙總來源'!K1584,"")</x:f>
        <x:v>6.1923076923076925</x:v>
      </x:c>
      <x:c r="K1584" s="19" t="n">
        <x:f>'各站彙總來源'!K1584</x:f>
        <x:v>26</x:v>
      </x:c>
      <x:c r="L1584" s="24" t="n">
        <x:f>IFERROR('各站彙總來源'!L1584/'各站彙總來源'!M1584,"")</x:f>
        <x:v>0.8461538461538461</x:v>
      </x:c>
      <x:c r="M1584" s="19" t="n">
        <x:f>'各站彙總來源'!M1584</x:f>
        <x:v>26</x:v>
      </x:c>
      <x:c r="N1584" s="24" t="n">
        <x:f>F1584+H1584</x:f>
        <x:v>9.96153846153846</x:v>
      </x:c>
      <x:c r="O1584" s="24" t="n">
        <x:f>J1584+L1584</x:f>
        <x:v>7.038461538461538</x:v>
      </x:c>
    </x:row>
    <x:row r="1585">
      <x:c r="A1585" s="22" t="str">
        <x:v>500111134</x:v>
      </x:c>
      <x:c r="B1585" s="17" t="str">
        <x:v>南港區</x:v>
      </x:c>
      <x:c r="C1585" s="17" t="str">
        <x:v>重陽路39巷</x:v>
      </x:c>
      <x:c r="D1585" s="18" t="n">
        <x:v>26</x:v>
      </x:c>
      <x:c r="E1585" s="18" t="n">
        <x:v>26</x:v>
      </x:c>
      <x:c r="F1585" s="24" t="n">
        <x:f>IFERROR('各站彙總來源'!F1585/'各站彙總來源'!G1585,"")</x:f>
        <x:v>12.923076923076923</x:v>
      </x:c>
      <x:c r="G1585" s="19" t="n">
        <x:f>'各站彙總來源'!G1585</x:f>
        <x:v>26</x:v>
      </x:c>
      <x:c r="H1585" s="24" t="n">
        <x:f>IFERROR('各站彙總來源'!H1585/'各站彙總來源'!I1585,"")</x:f>
        <x:v>2.923076923076923</x:v>
      </x:c>
      <x:c r="I1585" s="19" t="n">
        <x:f>'各站彙總來源'!I1585</x:f>
        <x:v>26</x:v>
      </x:c>
      <x:c r="J1585" s="24" t="n">
        <x:f>IFERROR('各站彙總來源'!J1585/'各站彙總來源'!K1585,"")</x:f>
        <x:v>6.5</x:v>
      </x:c>
      <x:c r="K1585" s="19" t="n">
        <x:f>'各站彙總來源'!K1585</x:f>
        <x:v>26</x:v>
      </x:c>
      <x:c r="L1585" s="24" t="n">
        <x:f>IFERROR('各站彙總來源'!L1585/'各站彙總來源'!M1585,"")</x:f>
        <x:v>1.8076923076923077</x:v>
      </x:c>
      <x:c r="M1585" s="19" t="n">
        <x:f>'各站彙總來源'!M1585</x:f>
        <x:v>26</x:v>
      </x:c>
      <x:c r="N1585" s="24" t="n">
        <x:f>F1585+H1585</x:f>
        <x:v>15.846153846153847</x:v>
      </x:c>
      <x:c r="O1585" s="24" t="n">
        <x:f>J1585+L1585</x:f>
        <x:v>8.307692307692308</x:v>
      </x:c>
    </x:row>
    <x:row r="1586">
      <x:c r="A1586" s="22" t="str">
        <x:v>500111135</x:v>
      </x:c>
      <x:c r="B1586" s="17" t="str">
        <x:v>南港區</x:v>
      </x:c>
      <x:c r="C1586" s="17" t="str">
        <x:v>興南街52巷</x:v>
      </x:c>
      <x:c r="D1586" s="18" t="n">
        <x:v>26</x:v>
      </x:c>
      <x:c r="E1586" s="18" t="n">
        <x:v>26</x:v>
      </x:c>
      <x:c r="F1586" s="24" t="n">
        <x:f>IFERROR('各站彙總來源'!F1586/'各站彙總來源'!G1586,"")</x:f>
        <x:v>7.5</x:v>
      </x:c>
      <x:c r="G1586" s="19" t="n">
        <x:f>'各站彙總來源'!G1586</x:f>
        <x:v>26</x:v>
      </x:c>
      <x:c r="H1586" s="24" t="n">
        <x:f>IFERROR('各站彙總來源'!H1586/'各站彙總來源'!I1586,"")</x:f>
        <x:v>2</x:v>
      </x:c>
      <x:c r="I1586" s="19" t="n">
        <x:f>'各站彙總來源'!I1586</x:f>
        <x:v>26</x:v>
      </x:c>
      <x:c r="J1586" s="24" t="n">
        <x:f>IFERROR('各站彙總來源'!J1586/'各站彙總來源'!K1586,"")</x:f>
        <x:v>4.576923076923077</x:v>
      </x:c>
      <x:c r="K1586" s="19" t="n">
        <x:f>'各站彙總來源'!K1586</x:f>
        <x:v>26</x:v>
      </x:c>
      <x:c r="L1586" s="24" t="n">
        <x:f>IFERROR('各站彙總來源'!L1586/'各站彙總來源'!M1586,"")</x:f>
        <x:v>0.46153846153846156</x:v>
      </x:c>
      <x:c r="M1586" s="19" t="n">
        <x:f>'各站彙總來源'!M1586</x:f>
        <x:v>26</x:v>
      </x:c>
      <x:c r="N1586" s="24" t="n">
        <x:f>F1586+H1586</x:f>
        <x:v>9.5</x:v>
      </x:c>
      <x:c r="O1586" s="24" t="n">
        <x:f>J1586+L1586</x:f>
        <x:v>5.038461538461538</x:v>
      </x:c>
    </x:row>
    <x:row r="1587">
      <x:c r="A1587" s="22" t="str">
        <x:v>500111136</x:v>
      </x:c>
      <x:c r="B1587" s="17" t="str">
        <x:v>南港區</x:v>
      </x:c>
      <x:c r="C1587" s="17" t="str">
        <x:v>成功路一段36巷(松河街)</x:v>
      </x:c>
      <x:c r="D1587" s="18" t="n">
        <x:v>26</x:v>
      </x:c>
      <x:c r="E1587" s="18" t="n">
        <x:v>26</x:v>
      </x:c>
      <x:c r="F1587" s="24" t="n">
        <x:f>IFERROR('各站彙總來源'!F1587/'各站彙總來源'!G1587,"")</x:f>
        <x:v>4.653846153846154</x:v>
      </x:c>
      <x:c r="G1587" s="19" t="n">
        <x:f>'各站彙總來源'!G1587</x:f>
        <x:v>26</x:v>
      </x:c>
      <x:c r="H1587" s="24" t="n">
        <x:f>IFERROR('各站彙總來源'!H1587/'各站彙總來源'!I1587,"")</x:f>
        <x:v>1.9230769230769231</x:v>
      </x:c>
      <x:c r="I1587" s="19" t="n">
        <x:f>'各站彙總來源'!I1587</x:f>
        <x:v>26</x:v>
      </x:c>
      <x:c r="J1587" s="24" t="n">
        <x:f>IFERROR('各站彙總來源'!J1587/'各站彙總來源'!K1587,"")</x:f>
        <x:v>4.8076923076923075</x:v>
      </x:c>
      <x:c r="K1587" s="19" t="n">
        <x:f>'各站彙總來源'!K1587</x:f>
        <x:v>26</x:v>
      </x:c>
      <x:c r="L1587" s="24" t="n">
        <x:f>IFERROR('各站彙總來源'!L1587/'各站彙總來源'!M1587,"")</x:f>
        <x:v>1.8076923076923077</x:v>
      </x:c>
      <x:c r="M1587" s="19" t="n">
        <x:f>'各站彙總來源'!M1587</x:f>
        <x:v>26</x:v>
      </x:c>
      <x:c r="N1587" s="24" t="n">
        <x:f>F1587+H1587</x:f>
        <x:v>6.5769230769230775</x:v>
      </x:c>
      <x:c r="O1587" s="24" t="n">
        <x:f>J1587+L1587</x:f>
        <x:v>6.615384615384615</x:v>
      </x:c>
    </x:row>
    <x:row r="1588">
      <x:c r="A1588" s="22" t="str">
        <x:v>500111137</x:v>
      </x:c>
      <x:c r="B1588" s="17" t="str">
        <x:v>南港區</x:v>
      </x:c>
      <x:c r="C1588" s="17" t="str">
        <x:v>虹創科技大樓</x:v>
      </x:c>
      <x:c r="D1588" s="18" t="n">
        <x:v>26</x:v>
      </x:c>
      <x:c r="E1588" s="18" t="n">
        <x:v>26</x:v>
      </x:c>
      <x:c r="F1588" s="24" t="n">
        <x:f>IFERROR('各站彙總來源'!F1588/'各站彙總來源'!G1588,"")</x:f>
        <x:v>0</x:v>
      </x:c>
      <x:c r="G1588" s="19" t="n">
        <x:f>'各站彙總來源'!G1588</x:f>
        <x:v>25</x:v>
      </x:c>
      <x:c r="H1588" s="24" t="n">
        <x:f>IFERROR('各站彙總來源'!H1588/'各站彙總來源'!I1588,"")</x:f>
        <x:v>0</x:v>
      </x:c>
      <x:c r="I1588" s="19" t="n">
        <x:f>'各站彙總來源'!I1588</x:f>
        <x:v>25</x:v>
      </x:c>
      <x:c r="J1588" s="24" t="n">
        <x:f>IFERROR('各站彙總來源'!J1588/'各站彙總來源'!K1588,"")</x:f>
        <x:v>0</x:v>
      </x:c>
      <x:c r="K1588" s="19" t="n">
        <x:f>'各站彙總來源'!K1588</x:f>
        <x:v>26</x:v>
      </x:c>
      <x:c r="L1588" s="24" t="n">
        <x:f>IFERROR('各站彙總來源'!L1588/'各站彙總來源'!M1588,"")</x:f>
        <x:v>0</x:v>
      </x:c>
      <x:c r="M1588" s="19" t="n">
        <x:f>'各站彙總來源'!M1588</x:f>
        <x:v>26</x:v>
      </x:c>
      <x:c r="N1588" s="24" t="n">
        <x:f>F1588+H1588</x:f>
        <x:v>0</x:v>
      </x:c>
      <x:c r="O1588" s="24" t="n">
        <x:f>J1588+L1588</x:f>
        <x:v>0</x:v>
      </x:c>
    </x:row>
    <x:row r="1589">
      <x:c r="A1589" s="22" t="str">
        <x:v>500111138</x:v>
      </x:c>
      <x:c r="B1589" s="17" t="str">
        <x:v>南港區</x:v>
      </x:c>
      <x:c r="C1589" s="17" t="str">
        <x:v>捷運南港站(生技隧道北側)</x:v>
      </x:c>
      <x:c r="D1589" s="18" t="n">
        <x:v>26</x:v>
      </x:c>
      <x:c r="E1589" s="18" t="n">
        <x:v>12</x:v>
      </x:c>
      <x:c r="F1589" s="24" t="n">
        <x:f>IFERROR('各站彙總來源'!F1589/'各站彙總來源'!G1589,"")</x:f>
        <x:v>8.181818181818182</x:v>
      </x:c>
      <x:c r="G1589" s="19" t="n">
        <x:f>'各站彙總來源'!G1589</x:f>
        <x:v>11</x:v>
      </x:c>
      <x:c r="H1589" s="24" t="n">
        <x:f>IFERROR('各站彙總來源'!H1589/'各站彙總來源'!I1589,"")</x:f>
        <x:v>1.2727272727272727</x:v>
      </x:c>
      <x:c r="I1589" s="19" t="n">
        <x:f>'各站彙總來源'!I1589</x:f>
        <x:v>11</x:v>
      </x:c>
      <x:c r="J1589" s="24" t="n">
        <x:f>IFERROR('各站彙總來源'!J1589/'各站彙總來源'!K1589,"")</x:f>
        <x:v>5</x:v>
      </x:c>
      <x:c r="K1589" s="19" t="n">
        <x:f>'各站彙總來源'!K1589</x:f>
        <x:v>12</x:v>
      </x:c>
      <x:c r="L1589" s="24" t="n">
        <x:f>IFERROR('各站彙總來源'!L1589/'各站彙總來源'!M1589,"")</x:f>
        <x:v>1</x:v>
      </x:c>
      <x:c r="M1589" s="19" t="n">
        <x:f>'各站彙總來源'!M1589</x:f>
        <x:v>12</x:v>
      </x:c>
      <x:c r="N1589" s="24" t="n">
        <x:f>F1589+H1589</x:f>
        <x:v>9.454545454545455</x:v>
      </x:c>
      <x:c r="O1589" s="24" t="n">
        <x:f>J1589+L1589</x:f>
        <x:v>6</x:v>
      </x:c>
    </x:row>
    <x:row r="1590">
      <x:c r="A1590" s="22" t="str">
        <x:v>500112001</x:v>
      </x:c>
      <x:c r="B1590" s="17" t="str">
        <x:v>信義區</x:v>
      </x:c>
      <x:c r="C1590" s="17" t="str">
        <x:v>黎忠區民活動中心</x:v>
      </x:c>
      <x:c r="D1590" s="18" t="n">
        <x:v>26</x:v>
      </x:c>
      <x:c r="E1590" s="18" t="n">
        <x:v>26</x:v>
      </x:c>
      <x:c r="F1590" s="24" t="n">
        <x:f>IFERROR('各站彙總來源'!F1590/'各站彙總來源'!G1590,"")</x:f>
        <x:v>31.884615384615383</x:v>
      </x:c>
      <x:c r="G1590" s="19" t="n">
        <x:f>'各站彙總來源'!G1590</x:f>
        <x:v>26</x:v>
      </x:c>
      <x:c r="H1590" s="24" t="n">
        <x:f>IFERROR('各站彙總來源'!H1590/'各站彙總來源'!I1590,"")</x:f>
        <x:v>2.923076923076923</x:v>
      </x:c>
      <x:c r="I1590" s="19" t="n">
        <x:f>'各站彙總來源'!I1590</x:f>
        <x:v>26</x:v>
      </x:c>
      <x:c r="J1590" s="24" t="n">
        <x:f>IFERROR('各站彙總來源'!J1590/'各站彙總來源'!K1590,"")</x:f>
        <x:v>5.115384615384615</x:v>
      </x:c>
      <x:c r="K1590" s="19" t="n">
        <x:f>'各站彙總來源'!K1590</x:f>
        <x:v>26</x:v>
      </x:c>
      <x:c r="L1590" s="24" t="n">
        <x:f>IFERROR('各站彙總來源'!L1590/'各站彙總來源'!M1590,"")</x:f>
        <x:v>1</x:v>
      </x:c>
      <x:c r="M1590" s="19" t="n">
        <x:f>'各站彙總來源'!M1590</x:f>
        <x:v>26</x:v>
      </x:c>
      <x:c r="N1590" s="24" t="n">
        <x:f>F1590+H1590</x:f>
        <x:v>34.80769230769231</x:v>
      </x:c>
      <x:c r="O1590" s="24" t="n">
        <x:f>J1590+L1590</x:f>
        <x:v>6.115384615384615</x:v>
      </x:c>
    </x:row>
    <x:row r="1591">
      <x:c r="A1591" s="22" t="str">
        <x:v>500112002</x:v>
      </x:c>
      <x:c r="B1591" s="17" t="str">
        <x:v>信義區</x:v>
      </x:c>
      <x:c r="C1591" s="17" t="str">
        <x:v>基隆路二段159巷口</x:v>
      </x:c>
      <x:c r="D1591" s="18" t="n">
        <x:v>26</x:v>
      </x:c>
      <x:c r="E1591" s="18" t="n">
        <x:v>26</x:v>
      </x:c>
      <x:c r="F1591" s="24" t="n">
        <x:f>IFERROR('各站彙總來源'!F1591/'各站彙總來源'!G1591,"")</x:f>
        <x:v>6.461538461538462</x:v>
      </x:c>
      <x:c r="G1591" s="19" t="n">
        <x:f>'各站彙總來源'!G1591</x:f>
        <x:v>26</x:v>
      </x:c>
      <x:c r="H1591" s="24" t="n">
        <x:f>IFERROR('各站彙總來源'!H1591/'各站彙總來源'!I1591,"")</x:f>
        <x:v>2.1153846153846154</x:v>
      </x:c>
      <x:c r="I1591" s="19" t="n">
        <x:f>'各站彙總來源'!I1591</x:f>
        <x:v>26</x:v>
      </x:c>
      <x:c r="J1591" s="24" t="n">
        <x:f>IFERROR('各站彙總來源'!J1591/'各站彙總來源'!K1591,"")</x:f>
        <x:v>2.769230769230769</x:v>
      </x:c>
      <x:c r="K1591" s="19" t="n">
        <x:f>'各站彙總來源'!K1591</x:f>
        <x:v>26</x:v>
      </x:c>
      <x:c r="L1591" s="24" t="n">
        <x:f>IFERROR('各站彙總來源'!L1591/'各站彙總來源'!M1591,"")</x:f>
        <x:v>0.9615384615384616</x:v>
      </x:c>
      <x:c r="M1591" s="19" t="n">
        <x:f>'各站彙總來源'!M1591</x:f>
        <x:v>26</x:v>
      </x:c>
      <x:c r="N1591" s="24" t="n">
        <x:f>F1591+H1591</x:f>
        <x:v>8.576923076923077</x:v>
      </x:c>
      <x:c r="O1591" s="24" t="n">
        <x:f>J1591+L1591</x:f>
        <x:v>3.730769230769231</x:v>
      </x:c>
    </x:row>
    <x:row r="1592">
      <x:c r="A1592" s="22" t="str">
        <x:v>500112003</x:v>
      </x:c>
      <x:c r="B1592" s="17" t="str">
        <x:v>信義區</x:v>
      </x:c>
      <x:c r="C1592" s="17" t="str">
        <x:v>嘉興街175巷口</x:v>
      </x:c>
      <x:c r="D1592" s="18" t="n">
        <x:v>26</x:v>
      </x:c>
      <x:c r="E1592" s="18" t="n">
        <x:v>26</x:v>
      </x:c>
      <x:c r="F1592" s="24" t="n">
        <x:f>IFERROR('各站彙總來源'!F1592/'各站彙總來源'!G1592,"")</x:f>
        <x:v>14.384615384615385</x:v>
      </x:c>
      <x:c r="G1592" s="19" t="n">
        <x:f>'各站彙總來源'!G1592</x:f>
        <x:v>26</x:v>
      </x:c>
      <x:c r="H1592" s="24" t="n">
        <x:f>IFERROR('各站彙總來源'!H1592/'各站彙總來源'!I1592,"")</x:f>
        <x:v>1.6923076923076923</x:v>
      </x:c>
      <x:c r="I1592" s="19" t="n">
        <x:f>'各站彙總來源'!I1592</x:f>
        <x:v>26</x:v>
      </x:c>
      <x:c r="J1592" s="24" t="n">
        <x:f>IFERROR('各站彙總來源'!J1592/'各站彙總來源'!K1592,"")</x:f>
        <x:v>3.923076923076923</x:v>
      </x:c>
      <x:c r="K1592" s="19" t="n">
        <x:f>'各站彙總來源'!K1592</x:f>
        <x:v>26</x:v>
      </x:c>
      <x:c r="L1592" s="24" t="n">
        <x:f>IFERROR('各站彙總來源'!L1592/'各站彙總來源'!M1592,"")</x:f>
        <x:v>1</x:v>
      </x:c>
      <x:c r="M1592" s="19" t="n">
        <x:f>'各站彙總來源'!M1592</x:f>
        <x:v>26</x:v>
      </x:c>
      <x:c r="N1592" s="24" t="n">
        <x:f>F1592+H1592</x:f>
        <x:v>16.076923076923077</x:v>
      </x:c>
      <x:c r="O1592" s="24" t="n">
        <x:f>J1592+L1592</x:f>
        <x:v>4.923076923076923</x:v>
      </x:c>
    </x:row>
    <x:row r="1593">
      <x:c r="A1593" s="22" t="str">
        <x:v>500112004</x:v>
      </x:c>
      <x:c r="B1593" s="17" t="str">
        <x:v>信義區</x:v>
      </x:c>
      <x:c r="C1593" s="17" t="str">
        <x:v>和平東路三段631巷口</x:v>
      </x:c>
      <x:c r="D1593" s="18" t="n">
        <x:v>26</x:v>
      </x:c>
      <x:c r="E1593" s="18" t="n">
        <x:v>26</x:v>
      </x:c>
      <x:c r="F1593" s="24" t="n">
        <x:f>IFERROR('各站彙總來源'!F1593/'各站彙總來源'!G1593,"")</x:f>
        <x:v>9.538461538461538</x:v>
      </x:c>
      <x:c r="G1593" s="19" t="n">
        <x:f>'各站彙總來源'!G1593</x:f>
        <x:v>26</x:v>
      </x:c>
      <x:c r="H1593" s="24" t="n">
        <x:f>IFERROR('各站彙總來源'!H1593/'各站彙總來源'!I1593,"")</x:f>
        <x:v>1.6923076923076923</x:v>
      </x:c>
      <x:c r="I1593" s="19" t="n">
        <x:f>'各站彙總來源'!I1593</x:f>
        <x:v>26</x:v>
      </x:c>
      <x:c r="J1593" s="24" t="n">
        <x:f>IFERROR('各站彙總來源'!J1593/'各站彙總來源'!K1593,"")</x:f>
        <x:v>4.346153846153846</x:v>
      </x:c>
      <x:c r="K1593" s="19" t="n">
        <x:f>'各站彙總來源'!K1593</x:f>
        <x:v>26</x:v>
      </x:c>
      <x:c r="L1593" s="24" t="n">
        <x:f>IFERROR('各站彙總來源'!L1593/'各站彙總來源'!M1593,"")</x:f>
        <x:v>0.8846153846153846</x:v>
      </x:c>
      <x:c r="M1593" s="19" t="n">
        <x:f>'各站彙總來源'!M1593</x:f>
        <x:v>26</x:v>
      </x:c>
      <x:c r="N1593" s="24" t="n">
        <x:f>F1593+H1593</x:f>
        <x:v>11.23076923076923</x:v>
      </x:c>
      <x:c r="O1593" s="24" t="n">
        <x:f>J1593+L1593</x:f>
        <x:v>5.23076923076923</x:v>
      </x:c>
    </x:row>
    <x:row r="1594">
      <x:c r="A1594" s="22" t="str">
        <x:v>500112005</x:v>
      </x:c>
      <x:c r="B1594" s="17" t="str">
        <x:v>信義區</x:v>
      </x:c>
      <x:c r="C1594" s="17" t="str">
        <x:v>和平東路三段530巷口</x:v>
      </x:c>
      <x:c r="D1594" s="18" t="n">
        <x:v>26</x:v>
      </x:c>
      <x:c r="E1594" s="18" t="n">
        <x:v>26</x:v>
      </x:c>
      <x:c r="F1594" s="24" t="n">
        <x:f>IFERROR('各站彙總來源'!F1594/'各站彙總來源'!G1594,"")</x:f>
        <x:v>10.26923076923077</x:v>
      </x:c>
      <x:c r="G1594" s="19" t="n">
        <x:f>'各站彙總來源'!G1594</x:f>
        <x:v>26</x:v>
      </x:c>
      <x:c r="H1594" s="24" t="n">
        <x:f>IFERROR('各站彙總來源'!H1594/'各站彙總來源'!I1594,"")</x:f>
        <x:v>1.2692307692307692</x:v>
      </x:c>
      <x:c r="I1594" s="19" t="n">
        <x:f>'各站彙總來源'!I1594</x:f>
        <x:v>26</x:v>
      </x:c>
      <x:c r="J1594" s="24" t="n">
        <x:f>IFERROR('各站彙總來源'!J1594/'各站彙總來源'!K1594,"")</x:f>
        <x:v>5.8076923076923075</x:v>
      </x:c>
      <x:c r="K1594" s="19" t="n">
        <x:f>'各站彙總來源'!K1594</x:f>
        <x:v>26</x:v>
      </x:c>
      <x:c r="L1594" s="24" t="n">
        <x:f>IFERROR('各站彙總來源'!L1594/'各站彙總來源'!M1594,"")</x:f>
        <x:v>0.6923076923076923</x:v>
      </x:c>
      <x:c r="M1594" s="19" t="n">
        <x:f>'各站彙總來源'!M1594</x:f>
        <x:v>26</x:v>
      </x:c>
      <x:c r="N1594" s="24" t="n">
        <x:f>F1594+H1594</x:f>
        <x:v>11.53846153846154</x:v>
      </x:c>
      <x:c r="O1594" s="24" t="n">
        <x:f>J1594+L1594</x:f>
        <x:v>6.5</x:v>
      </x:c>
    </x:row>
    <x:row r="1595">
      <x:c r="A1595" s="22" t="str">
        <x:v>500112006</x:v>
      </x:c>
      <x:c r="B1595" s="17" t="str">
        <x:v>信義區</x:v>
      </x:c>
      <x:c r="C1595" s="17" t="str">
        <x:v>六張犁社會住宅1區</x:v>
      </x:c>
      <x:c r="D1595" s="18" t="n">
        <x:v>26</x:v>
      </x:c>
      <x:c r="E1595" s="18" t="n">
        <x:v>26</x:v>
      </x:c>
      <x:c r="F1595" s="24" t="n">
        <x:f>IFERROR('各站彙總來源'!F1595/'各站彙總來源'!G1595,"")</x:f>
        <x:v>38.69230769230769</x:v>
      </x:c>
      <x:c r="G1595" s="19" t="n">
        <x:f>'各站彙總來源'!G1595</x:f>
        <x:v>26</x:v>
      </x:c>
      <x:c r="H1595" s="24" t="n">
        <x:f>IFERROR('各站彙總來源'!H1595/'各站彙總來源'!I1595,"")</x:f>
        <x:v>6.730769230769231</x:v>
      </x:c>
      <x:c r="I1595" s="19" t="n">
        <x:f>'各站彙總來源'!I1595</x:f>
        <x:v>26</x:v>
      </x:c>
      <x:c r="J1595" s="24" t="n">
        <x:f>IFERROR('各站彙總來源'!J1595/'各站彙總來源'!K1595,"")</x:f>
        <x:v>5.3076923076923075</x:v>
      </x:c>
      <x:c r="K1595" s="19" t="n">
        <x:f>'各站彙總來源'!K1595</x:f>
        <x:v>26</x:v>
      </x:c>
      <x:c r="L1595" s="24" t="n">
        <x:f>IFERROR('各站彙總來源'!L1595/'各站彙總來源'!M1595,"")</x:f>
        <x:v>0.8846153846153846</x:v>
      </x:c>
      <x:c r="M1595" s="19" t="n">
        <x:f>'各站彙總來源'!M1595</x:f>
        <x:v>26</x:v>
      </x:c>
      <x:c r="N1595" s="24" t="n">
        <x:f>F1595+H1595</x:f>
        <x:v>45.42307692307693</x:v>
      </x:c>
      <x:c r="O1595" s="24" t="n">
        <x:f>J1595+L1595</x:f>
        <x:v>6.192307692307692</x:v>
      </x:c>
    </x:row>
    <x:row r="1596">
      <x:c r="A1596" s="22" t="str">
        <x:v>500112007</x:v>
      </x:c>
      <x:c r="B1596" s="17" t="str">
        <x:v>信義區</x:v>
      </x:c>
      <x:c r="C1596" s="17" t="str">
        <x:v>臺北醫學大學</x:v>
      </x:c>
      <x:c r="D1596" s="18" t="n">
        <x:v>26</x:v>
      </x:c>
      <x:c r="E1596" s="18" t="n">
        <x:v>26</x:v>
      </x:c>
      <x:c r="F1596" s="24" t="n">
        <x:f>IFERROR('各站彙總來源'!F1596/'各站彙總來源'!G1596,"")</x:f>
        <x:v>9.076923076923077</x:v>
      </x:c>
      <x:c r="G1596" s="19" t="n">
        <x:f>'各站彙總來源'!G1596</x:f>
        <x:v>26</x:v>
      </x:c>
      <x:c r="H1596" s="24" t="n">
        <x:f>IFERROR('各站彙總來源'!H1596/'各站彙總來源'!I1596,"")</x:f>
        <x:v>2.576923076923077</x:v>
      </x:c>
      <x:c r="I1596" s="19" t="n">
        <x:f>'各站彙總來源'!I1596</x:f>
        <x:v>26</x:v>
      </x:c>
      <x:c r="J1596" s="24" t="n">
        <x:f>IFERROR('各站彙總來源'!J1596/'各站彙總來源'!K1596,"")</x:f>
        <x:v>65.57692307692308</x:v>
      </x:c>
      <x:c r="K1596" s="19" t="n">
        <x:f>'各站彙總來源'!K1596</x:f>
        <x:v>26</x:v>
      </x:c>
      <x:c r="L1596" s="24" t="n">
        <x:f>IFERROR('各站彙總來源'!L1596/'各站彙總來源'!M1596,"")</x:f>
        <x:v>5.3076923076923075</x:v>
      </x:c>
      <x:c r="M1596" s="19" t="n">
        <x:f>'各站彙總來源'!M1596</x:f>
        <x:v>26</x:v>
      </x:c>
      <x:c r="N1596" s="24" t="n">
        <x:f>F1596+H1596</x:f>
        <x:v>11.653846153846153</x:v>
      </x:c>
      <x:c r="O1596" s="24" t="n">
        <x:f>J1596+L1596</x:f>
        <x:v>70.88461538461539</x:v>
      </x:c>
    </x:row>
    <x:row r="1597">
      <x:c r="A1597" s="22" t="str">
        <x:v>500112008</x:v>
      </x:c>
      <x:c r="B1597" s="17" t="str">
        <x:v>信義區</x:v>
      </x:c>
      <x:c r="C1597" s="17" t="str">
        <x:v>三興公園</x:v>
      </x:c>
      <x:c r="D1597" s="18" t="n">
        <x:v>26</x:v>
      </x:c>
      <x:c r="E1597" s="18" t="n">
        <x:v>26</x:v>
      </x:c>
      <x:c r="F1597" s="24" t="n">
        <x:f>IFERROR('各站彙總來源'!F1597/'各站彙總來源'!G1597,"")</x:f>
        <x:v>28.807692307692307</x:v>
      </x:c>
      <x:c r="G1597" s="19" t="n">
        <x:f>'各站彙總來源'!G1597</x:f>
        <x:v>26</x:v>
      </x:c>
      <x:c r="H1597" s="24" t="n">
        <x:f>IFERROR('各站彙總來源'!H1597/'各站彙總來源'!I1597,"")</x:f>
        <x:v>2.5</x:v>
      </x:c>
      <x:c r="I1597" s="19" t="n">
        <x:f>'各站彙總來源'!I1597</x:f>
        <x:v>26</x:v>
      </x:c>
      <x:c r="J1597" s="24" t="n">
        <x:f>IFERROR('各站彙總來源'!J1597/'各站彙總來源'!K1597,"")</x:f>
        <x:v>2.8076923076923075</x:v>
      </x:c>
      <x:c r="K1597" s="19" t="n">
        <x:f>'各站彙總來源'!K1597</x:f>
        <x:v>26</x:v>
      </x:c>
      <x:c r="L1597" s="24" t="n">
        <x:f>IFERROR('各站彙總來源'!L1597/'各站彙總來源'!M1597,"")</x:f>
        <x:v>0.8076923076923077</x:v>
      </x:c>
      <x:c r="M1597" s="19" t="n">
        <x:f>'各站彙總來源'!M1597</x:f>
        <x:v>26</x:v>
      </x:c>
      <x:c r="N1597" s="24" t="n">
        <x:f>F1597+H1597</x:f>
        <x:v>31.307692307692307</x:v>
      </x:c>
      <x:c r="O1597" s="24" t="n">
        <x:f>J1597+L1597</x:f>
        <x:v>3.615384615384615</x:v>
      </x:c>
    </x:row>
    <x:row r="1598">
      <x:c r="A1598" s="22" t="str">
        <x:v>500112009</x:v>
      </x:c>
      <x:c r="B1598" s="17" t="str">
        <x:v>信義區</x:v>
      </x:c>
      <x:c r="C1598" s="17" t="str">
        <x:v>松德站</x:v>
      </x:c>
      <x:c r="D1598" s="18" t="n">
        <x:v>26</x:v>
      </x:c>
      <x:c r="E1598" s="18" t="n">
        <x:v>26</x:v>
      </x:c>
      <x:c r="F1598" s="24" t="n">
        <x:f>IFERROR('各站彙總來源'!F1598/'各站彙總來源'!G1598,"")</x:f>
        <x:v>14.423076923076923</x:v>
      </x:c>
      <x:c r="G1598" s="19" t="n">
        <x:f>'各站彙總來源'!G1598</x:f>
        <x:v>26</x:v>
      </x:c>
      <x:c r="H1598" s="24" t="n">
        <x:f>IFERROR('各站彙總來源'!H1598/'各站彙總來源'!I1598,"")</x:f>
        <x:v>2.423076923076923</x:v>
      </x:c>
      <x:c r="I1598" s="19" t="n">
        <x:f>'各站彙總來源'!I1598</x:f>
        <x:v>26</x:v>
      </x:c>
      <x:c r="J1598" s="24" t="n">
        <x:f>IFERROR('各站彙總來源'!J1598/'各站彙總來源'!K1598,"")</x:f>
        <x:v>24.153846153846153</x:v>
      </x:c>
      <x:c r="K1598" s="19" t="n">
        <x:f>'各站彙總來源'!K1598</x:f>
        <x:v>26</x:v>
      </x:c>
      <x:c r="L1598" s="24" t="n">
        <x:f>IFERROR('各站彙總來源'!L1598/'各站彙總來源'!M1598,"")</x:f>
        <x:v>3.3846153846153846</x:v>
      </x:c>
      <x:c r="M1598" s="19" t="n">
        <x:f>'各站彙總來源'!M1598</x:f>
        <x:v>26</x:v>
      </x:c>
      <x:c r="N1598" s="24" t="n">
        <x:f>F1598+H1598</x:f>
        <x:v>16.846153846153847</x:v>
      </x:c>
      <x:c r="O1598" s="24" t="n">
        <x:f>J1598+L1598</x:f>
        <x:v>27.538461538461537</x:v>
      </x:c>
    </x:row>
    <x:row r="1599">
      <x:c r="A1599" s="22" t="str">
        <x:v>500112010</x:v>
      </x:c>
      <x:c r="B1599" s="17" t="str">
        <x:v>信義區</x:v>
      </x:c>
      <x:c r="C1599" s="17" t="str">
        <x:v>捷運象山站(2號出口)</x:v>
      </x:c>
      <x:c r="D1599" s="18" t="n">
        <x:v>26</x:v>
      </x:c>
      <x:c r="E1599" s="18" t="n">
        <x:v>26</x:v>
      </x:c>
      <x:c r="F1599" s="24" t="n">
        <x:f>IFERROR('各站彙總來源'!F1599/'各站彙總來源'!G1599,"")</x:f>
        <x:v>14.73076923076923</x:v>
      </x:c>
      <x:c r="G1599" s="19" t="n">
        <x:f>'各站彙總來源'!G1599</x:f>
        <x:v>26</x:v>
      </x:c>
      <x:c r="H1599" s="24" t="n">
        <x:f>IFERROR('各站彙總來源'!H1599/'各站彙總來源'!I1599,"")</x:f>
        <x:v>2.8076923076923075</x:v>
      </x:c>
      <x:c r="I1599" s="19" t="n">
        <x:f>'各站彙總來源'!I1599</x:f>
        <x:v>26</x:v>
      </x:c>
      <x:c r="J1599" s="24" t="n">
        <x:f>IFERROR('各站彙總來源'!J1599/'各站彙總來源'!K1599,"")</x:f>
        <x:v>20.346153846153847</x:v>
      </x:c>
      <x:c r="K1599" s="19" t="n">
        <x:f>'各站彙總來源'!K1599</x:f>
        <x:v>26</x:v>
      </x:c>
      <x:c r="L1599" s="24" t="n">
        <x:f>IFERROR('各站彙總來源'!L1599/'各站彙總來源'!M1599,"")</x:f>
        <x:v>3.6923076923076925</x:v>
      </x:c>
      <x:c r="M1599" s="19" t="n">
        <x:f>'各站彙總來源'!M1599</x:f>
        <x:v>26</x:v>
      </x:c>
      <x:c r="N1599" s="24" t="n">
        <x:f>F1599+H1599</x:f>
        <x:v>17.538461538461537</x:v>
      </x:c>
      <x:c r="O1599" s="24" t="n">
        <x:f>J1599+L1599</x:f>
        <x:v>24.03846153846154</x:v>
      </x:c>
    </x:row>
    <x:row r="1600">
      <x:c r="A1600" s="22" t="str">
        <x:v>500112011</x:v>
      </x:c>
      <x:c r="B1600" s="17" t="str">
        <x:v>信義區</x:v>
      </x:c>
      <x:c r="C1600" s="17" t="str">
        <x:v>象山公園</x:v>
      </x:c>
      <x:c r="D1600" s="18" t="n">
        <x:v>26</x:v>
      </x:c>
      <x:c r="E1600" s="18" t="n">
        <x:v>26</x:v>
      </x:c>
      <x:c r="F1600" s="24" t="n">
        <x:f>IFERROR('各站彙總來源'!F1600/'各站彙總來源'!G1600,"")</x:f>
        <x:v>10.346153846153847</x:v>
      </x:c>
      <x:c r="G1600" s="19" t="n">
        <x:f>'各站彙總來源'!G1600</x:f>
        <x:v>26</x:v>
      </x:c>
      <x:c r="H1600" s="24" t="n">
        <x:f>IFERROR('各站彙總來源'!H1600/'各站彙總來源'!I1600,"")</x:f>
        <x:v>4.5</x:v>
      </x:c>
      <x:c r="I1600" s="19" t="n">
        <x:f>'各站彙總來源'!I1600</x:f>
        <x:v>26</x:v>
      </x:c>
      <x:c r="J1600" s="24" t="n">
        <x:f>IFERROR('各站彙總來源'!J1600/'各站彙總來源'!K1600,"")</x:f>
        <x:v>45.26923076923077</x:v>
      </x:c>
      <x:c r="K1600" s="19" t="n">
        <x:f>'各站彙總來源'!K1600</x:f>
        <x:v>26</x:v>
      </x:c>
      <x:c r="L1600" s="24" t="n">
        <x:f>IFERROR('各站彙總來源'!L1600/'各站彙總來源'!M1600,"")</x:f>
        <x:v>1.6538461538461537</x:v>
      </x:c>
      <x:c r="M1600" s="19" t="n">
        <x:f>'各站彙總來源'!M1600</x:f>
        <x:v>26</x:v>
      </x:c>
      <x:c r="N1600" s="24" t="n">
        <x:f>F1600+H1600</x:f>
        <x:v>14.846153846153847</x:v>
      </x:c>
      <x:c r="O1600" s="24" t="n">
        <x:f>J1600+L1600</x:f>
        <x:v>46.92307692307692</x:v>
      </x:c>
    </x:row>
    <x:row r="1601">
      <x:c r="A1601" s="22" t="str">
        <x:v>500112012</x:v>
      </x:c>
      <x:c r="B1601" s="17" t="str">
        <x:v>信義區</x:v>
      </x:c>
      <x:c r="C1601" s="17" t="str">
        <x:v>松仁路253巷3弄</x:v>
      </x:c>
      <x:c r="D1601" s="18" t="n">
        <x:v>26</x:v>
      </x:c>
      <x:c r="E1601" s="18" t="n">
        <x:v>26</x:v>
      </x:c>
      <x:c r="F1601" s="24" t="n">
        <x:f>IFERROR('各站彙總來源'!F1601/'各站彙總來源'!G1601,"")</x:f>
        <x:v>30.076923076923077</x:v>
      </x:c>
      <x:c r="G1601" s="19" t="n">
        <x:f>'各站彙總來源'!G1601</x:f>
        <x:v>26</x:v>
      </x:c>
      <x:c r="H1601" s="24" t="n">
        <x:f>IFERROR('各站彙總來源'!H1601/'各站彙總來源'!I1601,"")</x:f>
        <x:v>3.423076923076923</x:v>
      </x:c>
      <x:c r="I1601" s="19" t="n">
        <x:f>'各站彙總來源'!I1601</x:f>
        <x:v>26</x:v>
      </x:c>
      <x:c r="J1601" s="24" t="n">
        <x:f>IFERROR('各站彙總來源'!J1601/'各站彙總來源'!K1601,"")</x:f>
        <x:v>5.961538461538462</x:v>
      </x:c>
      <x:c r="K1601" s="19" t="n">
        <x:f>'各站彙總來源'!K1601</x:f>
        <x:v>26</x:v>
      </x:c>
      <x:c r="L1601" s="24" t="n">
        <x:f>IFERROR('各站彙總來源'!L1601/'各站彙總來源'!M1601,"")</x:f>
        <x:v>1.2692307692307692</x:v>
      </x:c>
      <x:c r="M1601" s="19" t="n">
        <x:f>'各站彙總來源'!M1601</x:f>
        <x:v>26</x:v>
      </x:c>
      <x:c r="N1601" s="24" t="n">
        <x:f>F1601+H1601</x:f>
        <x:v>33.5</x:v>
      </x:c>
      <x:c r="O1601" s="24" t="n">
        <x:f>J1601+L1601</x:f>
        <x:v>7.230769230769231</x:v>
      </x:c>
    </x:row>
    <x:row r="1602">
      <x:c r="A1602" s="22" t="str">
        <x:v>500112013</x:v>
      </x:c>
      <x:c r="B1602" s="17" t="str">
        <x:v>信義區</x:v>
      </x:c>
      <x:c r="C1602" s="17" t="str">
        <x:v>興雅國中</x:v>
      </x:c>
      <x:c r="D1602" s="18" t="n">
        <x:v>26</x:v>
      </x:c>
      <x:c r="E1602" s="18" t="n">
        <x:v>26</x:v>
      </x:c>
      <x:c r="F1602" s="24" t="n">
        <x:f>IFERROR('各站彙總來源'!F1602/'各站彙總來源'!G1602,"")</x:f>
        <x:v>2.3076923076923075</x:v>
      </x:c>
      <x:c r="G1602" s="19" t="n">
        <x:f>'各站彙總來源'!G1602</x:f>
        <x:v>26</x:v>
      </x:c>
      <x:c r="H1602" s="24" t="n">
        <x:f>IFERROR('各站彙總來源'!H1602/'各站彙總來源'!I1602,"")</x:f>
        <x:v>1.0384615384615385</x:v>
      </x:c>
      <x:c r="I1602" s="19" t="n">
        <x:f>'各站彙總來源'!I1602</x:f>
        <x:v>26</x:v>
      </x:c>
      <x:c r="J1602" s="24" t="n">
        <x:f>IFERROR('各站彙總來源'!J1602/'各站彙總來源'!K1602,"")</x:f>
        <x:v>19.576923076923077</x:v>
      </x:c>
      <x:c r="K1602" s="19" t="n">
        <x:f>'各站彙總來源'!K1602</x:f>
        <x:v>26</x:v>
      </x:c>
      <x:c r="L1602" s="24" t="n">
        <x:f>IFERROR('各站彙總來源'!L1602/'各站彙總來源'!M1602,"")</x:f>
        <x:v>3</x:v>
      </x:c>
      <x:c r="M1602" s="19" t="n">
        <x:f>'各站彙總來源'!M1602</x:f>
        <x:v>26</x:v>
      </x:c>
      <x:c r="N1602" s="24" t="n">
        <x:f>F1602+H1602</x:f>
        <x:v>3.346153846153846</x:v>
      </x:c>
      <x:c r="O1602" s="24" t="n">
        <x:f>J1602+L1602</x:f>
        <x:v>22.576923076923077</x:v>
      </x:c>
    </x:row>
    <x:row r="1603">
      <x:c r="A1603" s="22" t="str">
        <x:v>500112014</x:v>
      </x:c>
      <x:c r="B1603" s="17" t="str">
        <x:v>信義區</x:v>
      </x:c>
      <x:c r="C1603" s="17" t="str">
        <x:v>捷運象山站(1號出口)</x:v>
      </x:c>
      <x:c r="D1603" s="18" t="n">
        <x:v>26</x:v>
      </x:c>
      <x:c r="E1603" s="18" t="n">
        <x:v>26</x:v>
      </x:c>
      <x:c r="F1603" s="24" t="n">
        <x:f>IFERROR('各站彙總來源'!F1603/'各站彙總來源'!G1603,"")</x:f>
        <x:v>14</x:v>
      </x:c>
      <x:c r="G1603" s="19" t="n">
        <x:f>'各站彙總來源'!G1603</x:f>
        <x:v>26</x:v>
      </x:c>
      <x:c r="H1603" s="24" t="n">
        <x:f>IFERROR('各站彙總來源'!H1603/'各站彙總來源'!I1603,"")</x:f>
        <x:v>1.3076923076923077</x:v>
      </x:c>
      <x:c r="I1603" s="19" t="n">
        <x:f>'各站彙總來源'!I1603</x:f>
        <x:v>26</x:v>
      </x:c>
      <x:c r="J1603" s="24" t="n">
        <x:f>IFERROR('各站彙總來源'!J1603/'各站彙總來源'!K1603,"")</x:f>
        <x:v>5.230769230769231</x:v>
      </x:c>
      <x:c r="K1603" s="19" t="n">
        <x:f>'各站彙總來源'!K1603</x:f>
        <x:v>26</x:v>
      </x:c>
      <x:c r="L1603" s="24" t="n">
        <x:f>IFERROR('各站彙總來源'!L1603/'各站彙總來源'!M1603,"")</x:f>
        <x:v>1.9615384615384615</x:v>
      </x:c>
      <x:c r="M1603" s="19" t="n">
        <x:f>'各站彙總來源'!M1603</x:f>
        <x:v>26</x:v>
      </x:c>
      <x:c r="N1603" s="24" t="n">
        <x:f>F1603+H1603</x:f>
        <x:v>15.307692307692308</x:v>
      </x:c>
      <x:c r="O1603" s="24" t="n">
        <x:f>J1603+L1603</x:f>
        <x:v>7.1923076923076925</x:v>
      </x:c>
    </x:row>
    <x:row r="1604">
      <x:c r="A1604" s="22" t="str">
        <x:v>500112015</x:v>
      </x:c>
      <x:c r="B1604" s="17" t="str">
        <x:v>信義區</x:v>
      </x:c>
      <x:c r="C1604" s="17" t="str">
        <x:v>松德路200巷</x:v>
      </x:c>
      <x:c r="D1604" s="18" t="n">
        <x:v>26</x:v>
      </x:c>
      <x:c r="E1604" s="18" t="n">
        <x:v>26</x:v>
      </x:c>
      <x:c r="F1604" s="24" t="n">
        <x:f>IFERROR('各站彙總來源'!F1604/'各站彙總來源'!G1604,"")</x:f>
        <x:v>5.769230769230769</x:v>
      </x:c>
      <x:c r="G1604" s="19" t="n">
        <x:f>'各站彙總來源'!G1604</x:f>
        <x:v>26</x:v>
      </x:c>
      <x:c r="H1604" s="24" t="n">
        <x:f>IFERROR('各站彙總來源'!H1604/'各站彙總來源'!I1604,"")</x:f>
        <x:v>1.5384615384615385</x:v>
      </x:c>
      <x:c r="I1604" s="19" t="n">
        <x:f>'各站彙總來源'!I1604</x:f>
        <x:v>26</x:v>
      </x:c>
      <x:c r="J1604" s="24" t="n">
        <x:f>IFERROR('各站彙總來源'!J1604/'各站彙總來源'!K1604,"")</x:f>
        <x:v>8.692307692307692</x:v>
      </x:c>
      <x:c r="K1604" s="19" t="n">
        <x:f>'各站彙總來源'!K1604</x:f>
        <x:v>26</x:v>
      </x:c>
      <x:c r="L1604" s="24" t="n">
        <x:f>IFERROR('各站彙總來源'!L1604/'各站彙總來源'!M1604,"")</x:f>
        <x:v>0.9230769230769231</x:v>
      </x:c>
      <x:c r="M1604" s="19" t="n">
        <x:f>'各站彙總來源'!M1604</x:f>
        <x:v>26</x:v>
      </x:c>
      <x:c r="N1604" s="24" t="n">
        <x:f>F1604+H1604</x:f>
        <x:v>7.3076923076923075</x:v>
      </x:c>
      <x:c r="O1604" s="24" t="n">
        <x:f>J1604+L1604</x:f>
        <x:v>9.615384615384615</x:v>
      </x:c>
    </x:row>
    <x:row r="1605">
      <x:c r="A1605" s="22" t="str">
        <x:v>500112016</x:v>
      </x:c>
      <x:c r="B1605" s="17" t="str">
        <x:v>信義區</x:v>
      </x:c>
      <x:c r="C1605" s="17" t="str">
        <x:v>中全公園</x:v>
      </x:c>
      <x:c r="D1605" s="18" t="n">
        <x:v>26</x:v>
      </x:c>
      <x:c r="E1605" s="18" t="n">
        <x:v>26</x:v>
      </x:c>
      <x:c r="F1605" s="24" t="n">
        <x:f>IFERROR('各站彙總來源'!F1605/'各站彙總來源'!G1605,"")</x:f>
        <x:v>20.346153846153847</x:v>
      </x:c>
      <x:c r="G1605" s="19" t="n">
        <x:f>'各站彙總來源'!G1605</x:f>
        <x:v>26</x:v>
      </x:c>
      <x:c r="H1605" s="24" t="n">
        <x:f>IFERROR('各站彙總來源'!H1605/'各站彙總來源'!I1605,"")</x:f>
        <x:v>1.6923076923076923</x:v>
      </x:c>
      <x:c r="I1605" s="19" t="n">
        <x:f>'各站彙總來源'!I1605</x:f>
        <x:v>26</x:v>
      </x:c>
      <x:c r="J1605" s="24" t="n">
        <x:f>IFERROR('各站彙總來源'!J1605/'各站彙總來源'!K1605,"")</x:f>
        <x:v>7.5</x:v>
      </x:c>
      <x:c r="K1605" s="19" t="n">
        <x:f>'各站彙總來源'!K1605</x:f>
        <x:v>26</x:v>
      </x:c>
      <x:c r="L1605" s="24" t="n">
        <x:f>IFERROR('各站彙總來源'!L1605/'各站彙總來源'!M1605,"")</x:f>
        <x:v>1.2307692307692308</x:v>
      </x:c>
      <x:c r="M1605" s="19" t="n">
        <x:f>'各站彙總來源'!M1605</x:f>
        <x:v>26</x:v>
      </x:c>
      <x:c r="N1605" s="24" t="n">
        <x:f>F1605+H1605</x:f>
        <x:v>22.03846153846154</x:v>
      </x:c>
      <x:c r="O1605" s="24" t="n">
        <x:f>J1605+L1605</x:f>
        <x:v>8.73076923076923</x:v>
      </x:c>
    </x:row>
    <x:row r="1606">
      <x:c r="A1606" s="22" t="str">
        <x:v>500112017</x:v>
      </x:c>
      <x:c r="B1606" s="17" t="str">
        <x:v>信義區</x:v>
      </x:c>
      <x:c r="C1606" s="17" t="str">
        <x:v>台北市災害應變中心</x:v>
      </x:c>
      <x:c r="D1606" s="18" t="n">
        <x:v>26</x:v>
      </x:c>
      <x:c r="E1606" s="18" t="n">
        <x:v>26</x:v>
      </x:c>
      <x:c r="F1606" s="24" t="n">
        <x:f>IFERROR('各站彙總來源'!F1606/'各站彙總來源'!G1606,"")</x:f>
        <x:v>28.03846153846154</x:v>
      </x:c>
      <x:c r="G1606" s="19" t="n">
        <x:f>'各站彙總來源'!G1606</x:f>
        <x:v>26</x:v>
      </x:c>
      <x:c r="H1606" s="24" t="n">
        <x:f>IFERROR('各站彙總來源'!H1606/'各站彙總來源'!I1606,"")</x:f>
        <x:v>2.9615384615384617</x:v>
      </x:c>
      <x:c r="I1606" s="19" t="n">
        <x:f>'各站彙總來源'!I1606</x:f>
        <x:v>26</x:v>
      </x:c>
      <x:c r="J1606" s="24" t="n">
        <x:f>IFERROR('各站彙總來源'!J1606/'各站彙總來源'!K1606,"")</x:f>
        <x:v>8.576923076923077</x:v>
      </x:c>
      <x:c r="K1606" s="19" t="n">
        <x:f>'各站彙總來源'!K1606</x:f>
        <x:v>26</x:v>
      </x:c>
      <x:c r="L1606" s="24" t="n">
        <x:f>IFERROR('各站彙總來源'!L1606/'各站彙總來源'!M1606,"")</x:f>
        <x:v>1.7307692307692308</x:v>
      </x:c>
      <x:c r="M1606" s="19" t="n">
        <x:f>'各站彙總來源'!M1606</x:f>
        <x:v>26</x:v>
      </x:c>
      <x:c r="N1606" s="24" t="n">
        <x:f>F1606+H1606</x:f>
        <x:v>31</x:v>
      </x:c>
      <x:c r="O1606" s="24" t="n">
        <x:f>J1606+L1606</x:f>
        <x:v>10.307692307692307</x:v>
      </x:c>
    </x:row>
    <x:row r="1607">
      <x:c r="A1607" s="22" t="str">
        <x:v>500112018</x:v>
      </x:c>
      <x:c r="B1607" s="17" t="str">
        <x:v>信義區</x:v>
      </x:c>
      <x:c r="C1607" s="17" t="str">
        <x:v>信義運動中心</x:v>
      </x:c>
      <x:c r="D1607" s="18" t="n">
        <x:v>26</x:v>
      </x:c>
      <x:c r="E1607" s="18" t="n">
        <x:v>26</x:v>
      </x:c>
      <x:c r="F1607" s="24" t="n">
        <x:f>IFERROR('各站彙總來源'!F1607/'各站彙總來源'!G1607,"")</x:f>
        <x:v>6.576923076923077</x:v>
      </x:c>
      <x:c r="G1607" s="19" t="n">
        <x:f>'各站彙總來源'!G1607</x:f>
        <x:v>26</x:v>
      </x:c>
      <x:c r="H1607" s="24" t="n">
        <x:f>IFERROR('各站彙總來源'!H1607/'各站彙總來源'!I1607,"")</x:f>
        <x:v>3.6923076923076925</x:v>
      </x:c>
      <x:c r="I1607" s="19" t="n">
        <x:f>'各站彙總來源'!I1607</x:f>
        <x:v>26</x:v>
      </x:c>
      <x:c r="J1607" s="24" t="n">
        <x:f>IFERROR('各站彙總來源'!J1607/'各站彙總來源'!K1607,"")</x:f>
        <x:v>26.884615384615383</x:v>
      </x:c>
      <x:c r="K1607" s="19" t="n">
        <x:f>'各站彙總來源'!K1607</x:f>
        <x:v>26</x:v>
      </x:c>
      <x:c r="L1607" s="24" t="n">
        <x:f>IFERROR('各站彙總來源'!L1607/'各站彙總來源'!M1607,"")</x:f>
        <x:v>5.423076923076923</x:v>
      </x:c>
      <x:c r="M1607" s="19" t="n">
        <x:f>'各站彙總來源'!M1607</x:f>
        <x:v>26</x:v>
      </x:c>
      <x:c r="N1607" s="24" t="n">
        <x:f>F1607+H1607</x:f>
        <x:v>10.26923076923077</x:v>
      </x:c>
      <x:c r="O1607" s="24" t="n">
        <x:f>J1607+L1607</x:f>
        <x:v>32.30769230769231</x:v>
      </x:c>
    </x:row>
    <x:row r="1608">
      <x:c r="A1608" s="22" t="str">
        <x:v>500112019</x:v>
      </x:c>
      <x:c r="B1608" s="17" t="str">
        <x:v>信義區</x:v>
      </x:c>
      <x:c r="C1608" s="17" t="str">
        <x:v>捷運台北101/世貿站(3號出口)</x:v>
      </x:c>
      <x:c r="D1608" s="18" t="n">
        <x:v>26</x:v>
      </x:c>
      <x:c r="E1608" s="18" t="n">
        <x:v>26</x:v>
      </x:c>
      <x:c r="F1608" s="24" t="n">
        <x:f>IFERROR('各站彙總來源'!F1608/'各站彙總來源'!G1608,"")</x:f>
        <x:v>5.730769230769231</x:v>
      </x:c>
      <x:c r="G1608" s="19" t="n">
        <x:f>'各站彙總來源'!G1608</x:f>
        <x:v>26</x:v>
      </x:c>
      <x:c r="H1608" s="24" t="n">
        <x:f>IFERROR('各站彙總來源'!H1608/'各站彙總來源'!I1608,"")</x:f>
        <x:v>0.9230769230769231</x:v>
      </x:c>
      <x:c r="I1608" s="19" t="n">
        <x:f>'各站彙總來源'!I1608</x:f>
        <x:v>26</x:v>
      </x:c>
      <x:c r="J1608" s="24" t="n">
        <x:f>IFERROR('各站彙總來源'!J1608/'各站彙總來源'!K1608,"")</x:f>
        <x:v>8.115384615384615</x:v>
      </x:c>
      <x:c r="K1608" s="19" t="n">
        <x:f>'各站彙總來源'!K1608</x:f>
        <x:v>26</x:v>
      </x:c>
      <x:c r="L1608" s="24" t="n">
        <x:f>IFERROR('各站彙總來源'!L1608/'各站彙總來源'!M1608,"")</x:f>
        <x:v>2.0384615384615383</x:v>
      </x:c>
      <x:c r="M1608" s="19" t="n">
        <x:f>'各站彙總來源'!M1608</x:f>
        <x:v>26</x:v>
      </x:c>
      <x:c r="N1608" s="24" t="n">
        <x:f>F1608+H1608</x:f>
        <x:v>6.653846153846154</x:v>
      </x:c>
      <x:c r="O1608" s="24" t="n">
        <x:f>J1608+L1608</x:f>
        <x:v>10.153846153846153</x:v>
      </x:c>
    </x:row>
    <x:row r="1609">
      <x:c r="A1609" s="22" t="str">
        <x:v>500112020</x:v>
      </x:c>
      <x:c r="B1609" s="17" t="str">
        <x:v>信義區</x:v>
      </x:c>
      <x:c r="C1609" s="17" t="str">
        <x:v>景新公園</x:v>
      </x:c>
      <x:c r="D1609" s="18" t="n">
        <x:v>26</x:v>
      </x:c>
      <x:c r="E1609" s="18" t="n">
        <x:v>26</x:v>
      </x:c>
      <x:c r="F1609" s="24" t="n">
        <x:f>IFERROR('各站彙總來源'!F1609/'各站彙總來源'!G1609,"")</x:f>
        <x:v>6.576923076923077</x:v>
      </x:c>
      <x:c r="G1609" s="19" t="n">
        <x:f>'各站彙總來源'!G1609</x:f>
        <x:v>26</x:v>
      </x:c>
      <x:c r="H1609" s="24" t="n">
        <x:f>IFERROR('各站彙總來源'!H1609/'各站彙總來源'!I1609,"")</x:f>
        <x:v>1.4615384615384615</x:v>
      </x:c>
      <x:c r="I1609" s="19" t="n">
        <x:f>'各站彙總來源'!I1609</x:f>
        <x:v>26</x:v>
      </x:c>
      <x:c r="J1609" s="24" t="n">
        <x:f>IFERROR('各站彙總來源'!J1609/'各站彙總來源'!K1609,"")</x:f>
        <x:v>3.6923076923076925</x:v>
      </x:c>
      <x:c r="K1609" s="19" t="n">
        <x:f>'各站彙總來源'!K1609</x:f>
        <x:v>26</x:v>
      </x:c>
      <x:c r="L1609" s="24" t="n">
        <x:f>IFERROR('各站彙總來源'!L1609/'各站彙總來源'!M1609,"")</x:f>
        <x:v>0.8461538461538461</x:v>
      </x:c>
      <x:c r="M1609" s="19" t="n">
        <x:f>'各站彙總來源'!M1609</x:f>
        <x:v>26</x:v>
      </x:c>
      <x:c r="N1609" s="24" t="n">
        <x:f>F1609+H1609</x:f>
        <x:v>8.038461538461538</x:v>
      </x:c>
      <x:c r="O1609" s="24" t="n">
        <x:f>J1609+L1609</x:f>
        <x:v>4.538461538461538</x:v>
      </x:c>
    </x:row>
    <x:row r="1610">
      <x:c r="A1610" s="22" t="str">
        <x:v>500112021</x:v>
      </x:c>
      <x:c r="B1610" s="17" t="str">
        <x:v>信義區</x:v>
      </x:c>
      <x:c r="C1610" s="17" t="str">
        <x:v>光復信義路口東南側</x:v>
      </x:c>
      <x:c r="D1610" s="18" t="n">
        <x:v>26</x:v>
      </x:c>
      <x:c r="E1610" s="18" t="n">
        <x:v>26</x:v>
      </x:c>
      <x:c r="F1610" s="24" t="n">
        <x:f>IFERROR('各站彙總來源'!F1610/'各站彙總來源'!G1610,"")</x:f>
        <x:v>4.3076923076923075</x:v>
      </x:c>
      <x:c r="G1610" s="19" t="n">
        <x:f>'各站彙總來源'!G1610</x:f>
        <x:v>26</x:v>
      </x:c>
      <x:c r="H1610" s="24" t="n">
        <x:f>IFERROR('各站彙總來源'!H1610/'各站彙總來源'!I1610,"")</x:f>
        <x:v>1.0384615384615385</x:v>
      </x:c>
      <x:c r="I1610" s="19" t="n">
        <x:f>'各站彙總來源'!I1610</x:f>
        <x:v>26</x:v>
      </x:c>
      <x:c r="J1610" s="24" t="n">
        <x:f>IFERROR('各站彙總來源'!J1610/'各站彙總來源'!K1610,"")</x:f>
        <x:v>6.076923076923077</x:v>
      </x:c>
      <x:c r="K1610" s="19" t="n">
        <x:f>'各站彙總來源'!K1610</x:f>
        <x:v>26</x:v>
      </x:c>
      <x:c r="L1610" s="24" t="n">
        <x:f>IFERROR('各站彙總來源'!L1610/'各站彙總來源'!M1610,"")</x:f>
        <x:v>2.1923076923076925</x:v>
      </x:c>
      <x:c r="M1610" s="19" t="n">
        <x:f>'各站彙總來源'!M1610</x:f>
        <x:v>26</x:v>
      </x:c>
      <x:c r="N1610" s="24" t="n">
        <x:f>F1610+H1610</x:f>
        <x:v>5.346153846153846</x:v>
      </x:c>
      <x:c r="O1610" s="24" t="n">
        <x:f>J1610+L1610</x:f>
        <x:v>8.26923076923077</x:v>
      </x:c>
    </x:row>
    <x:row r="1611">
      <x:c r="A1611" s="22" t="str">
        <x:v>500112022</x:v>
      </x:c>
      <x:c r="B1611" s="17" t="str">
        <x:v>信義區</x:v>
      </x:c>
      <x:c r="C1611" s="17" t="str">
        <x:v>三張犁</x:v>
      </x:c>
      <x:c r="D1611" s="18" t="n">
        <x:v>26</x:v>
      </x:c>
      <x:c r="E1611" s="18" t="n">
        <x:v>26</x:v>
      </x:c>
      <x:c r="F1611" s="24" t="n">
        <x:f>IFERROR('各站彙總來源'!F1611/'各站彙總來源'!G1611,"")</x:f>
        <x:v>35.92307692307692</x:v>
      </x:c>
      <x:c r="G1611" s="19" t="n">
        <x:f>'各站彙總來源'!G1611</x:f>
        <x:v>26</x:v>
      </x:c>
      <x:c r="H1611" s="24" t="n">
        <x:f>IFERROR('各站彙總來源'!H1611/'各站彙總來源'!I1611,"")</x:f>
        <x:v>3.6538461538461537</x:v>
      </x:c>
      <x:c r="I1611" s="19" t="n">
        <x:f>'各站彙總來源'!I1611</x:f>
        <x:v>26</x:v>
      </x:c>
      <x:c r="J1611" s="24" t="n">
        <x:f>IFERROR('各站彙總來源'!J1611/'各站彙總來源'!K1611,"")</x:f>
        <x:v>6</x:v>
      </x:c>
      <x:c r="K1611" s="19" t="n">
        <x:f>'各站彙總來源'!K1611</x:f>
        <x:v>26</x:v>
      </x:c>
      <x:c r="L1611" s="24" t="n">
        <x:f>IFERROR('各站彙總來源'!L1611/'各站彙總來源'!M1611,"")</x:f>
        <x:v>1.1538461538461537</x:v>
      </x:c>
      <x:c r="M1611" s="19" t="n">
        <x:f>'各站彙總來源'!M1611</x:f>
        <x:v>26</x:v>
      </x:c>
      <x:c r="N1611" s="24" t="n">
        <x:f>F1611+H1611</x:f>
        <x:v>39.57692307692307</x:v>
      </x:c>
      <x:c r="O1611" s="24" t="n">
        <x:f>J1611+L1611</x:f>
        <x:v>7.153846153846153</x:v>
      </x:c>
    </x:row>
    <x:row r="1612">
      <x:c r="A1612" s="22" t="str">
        <x:v>500112023</x:v>
      </x:c>
      <x:c r="B1612" s="17" t="str">
        <x:v>信義區</x:v>
      </x:c>
      <x:c r="C1612" s="17" t="str">
        <x:v>仁愛路四段496巷口</x:v>
      </x:c>
      <x:c r="D1612" s="18" t="n">
        <x:v>26</x:v>
      </x:c>
      <x:c r="E1612" s="18" t="n">
        <x:v>26</x:v>
      </x:c>
      <x:c r="F1612" s="24" t="n">
        <x:f>IFERROR('各站彙總來源'!F1612/'各站彙總來源'!G1612,"")</x:f>
        <x:v>23.576923076923077</x:v>
      </x:c>
      <x:c r="G1612" s="19" t="n">
        <x:f>'各站彙總來源'!G1612</x:f>
        <x:v>26</x:v>
      </x:c>
      <x:c r="H1612" s="24" t="n">
        <x:f>IFERROR('各站彙總來源'!H1612/'各站彙總來源'!I1612,"")</x:f>
        <x:v>4.653846153846154</x:v>
      </x:c>
      <x:c r="I1612" s="19" t="n">
        <x:f>'各站彙總來源'!I1612</x:f>
        <x:v>26</x:v>
      </x:c>
      <x:c r="J1612" s="24" t="n">
        <x:f>IFERROR('各站彙總來源'!J1612/'各站彙總來源'!K1612,"")</x:f>
        <x:v>10</x:v>
      </x:c>
      <x:c r="K1612" s="19" t="n">
        <x:f>'各站彙總來源'!K1612</x:f>
        <x:v>26</x:v>
      </x:c>
      <x:c r="L1612" s="24" t="n">
        <x:f>IFERROR('各站彙總來源'!L1612/'各站彙總來源'!M1612,"")</x:f>
        <x:v>2.6153846153846154</x:v>
      </x:c>
      <x:c r="M1612" s="19" t="n">
        <x:f>'各站彙總來源'!M1612</x:f>
        <x:v>26</x:v>
      </x:c>
      <x:c r="N1612" s="24" t="n">
        <x:f>F1612+H1612</x:f>
        <x:v>28.23076923076923</x:v>
      </x:c>
      <x:c r="O1612" s="24" t="n">
        <x:f>J1612+L1612</x:f>
        <x:v>12.615384615384615</x:v>
      </x:c>
    </x:row>
    <x:row r="1613">
      <x:c r="A1613" s="22" t="str">
        <x:v>500112024</x:v>
      </x:c>
      <x:c r="B1613" s="17" t="str">
        <x:v>信義區</x:v>
      </x:c>
      <x:c r="C1613" s="17" t="str">
        <x:v>松山工農</x:v>
      </x:c>
      <x:c r="D1613" s="18" t="n">
        <x:v>26</x:v>
      </x:c>
      <x:c r="E1613" s="18" t="n">
        <x:v>26</x:v>
      </x:c>
      <x:c r="F1613" s="24" t="n">
        <x:f>IFERROR('各站彙總來源'!F1613/'各站彙總來源'!G1613,"")</x:f>
        <x:v>5.538461538461538</x:v>
      </x:c>
      <x:c r="G1613" s="19" t="n">
        <x:f>'各站彙總來源'!G1613</x:f>
        <x:v>26</x:v>
      </x:c>
      <x:c r="H1613" s="24" t="n">
        <x:f>IFERROR('各站彙總來源'!H1613/'各站彙總來源'!I1613,"")</x:f>
        <x:v>1.3461538461538463</x:v>
      </x:c>
      <x:c r="I1613" s="19" t="n">
        <x:f>'各站彙總來源'!I1613</x:f>
        <x:v>26</x:v>
      </x:c>
      <x:c r="J1613" s="24" t="n">
        <x:f>IFERROR('各站彙總來源'!J1613/'各站彙總來源'!K1613,"")</x:f>
        <x:v>18.653846153846153</x:v>
      </x:c>
      <x:c r="K1613" s="19" t="n">
        <x:f>'各站彙總來源'!K1613</x:f>
        <x:v>26</x:v>
      </x:c>
      <x:c r="L1613" s="24" t="n">
        <x:f>IFERROR('各站彙總來源'!L1613/'各站彙總來源'!M1613,"")</x:f>
        <x:v>2.730769230769231</x:v>
      </x:c>
      <x:c r="M1613" s="19" t="n">
        <x:f>'各站彙總來源'!M1613</x:f>
        <x:v>26</x:v>
      </x:c>
      <x:c r="N1613" s="24" t="n">
        <x:f>F1613+H1613</x:f>
        <x:v>6.884615384615385</x:v>
      </x:c>
      <x:c r="O1613" s="24" t="n">
        <x:f>J1613+L1613</x:f>
        <x:v>21.384615384615383</x:v>
      </x:c>
    </x:row>
    <x:row r="1614">
      <x:c r="A1614" s="22" t="str">
        <x:v>500112025</x:v>
      </x:c>
      <x:c r="B1614" s="17" t="str">
        <x:v>信義區</x:v>
      </x:c>
      <x:c r="C1614" s="17" t="str">
        <x:v>松友公園</x:v>
      </x:c>
      <x:c r="D1614" s="18" t="n">
        <x:v>26</x:v>
      </x:c>
      <x:c r="E1614" s="18" t="n">
        <x:v>26</x:v>
      </x:c>
      <x:c r="F1614" s="24" t="n">
        <x:f>IFERROR('各站彙總來源'!F1614/'各站彙總來源'!G1614,"")</x:f>
        <x:v>43.57692307692308</x:v>
      </x:c>
      <x:c r="G1614" s="19" t="n">
        <x:f>'各站彙總來源'!G1614</x:f>
        <x:v>26</x:v>
      </x:c>
      <x:c r="H1614" s="24" t="n">
        <x:f>IFERROR('各站彙總來源'!H1614/'各站彙總來源'!I1614,"")</x:f>
        <x:v>3.3076923076923075</x:v>
      </x:c>
      <x:c r="I1614" s="19" t="n">
        <x:f>'各站彙總來源'!I1614</x:f>
        <x:v>26</x:v>
      </x:c>
      <x:c r="J1614" s="24" t="n">
        <x:f>IFERROR('各站彙總來源'!J1614/'各站彙總來源'!K1614,"")</x:f>
        <x:v>6.153846153846154</x:v>
      </x:c>
      <x:c r="K1614" s="19" t="n">
        <x:f>'各站彙總來源'!K1614</x:f>
        <x:v>26</x:v>
      </x:c>
      <x:c r="L1614" s="24" t="n">
        <x:f>IFERROR('各站彙總來源'!L1614/'各站彙總來源'!M1614,"")</x:f>
        <x:v>1.3076923076923077</x:v>
      </x:c>
      <x:c r="M1614" s="19" t="n">
        <x:f>'各站彙總來源'!M1614</x:f>
        <x:v>26</x:v>
      </x:c>
      <x:c r="N1614" s="24" t="n">
        <x:f>F1614+H1614</x:f>
        <x:v>46.88461538461539</x:v>
      </x:c>
      <x:c r="O1614" s="24" t="n">
        <x:f>J1614+L1614</x:f>
        <x:v>7.461538461538462</x:v>
      </x:c>
    </x:row>
    <x:row r="1615">
      <x:c r="A1615" s="22" t="str">
        <x:v>500112026</x:v>
      </x:c>
      <x:c r="B1615" s="17" t="str">
        <x:v>信義區</x:v>
      </x:c>
      <x:c r="C1615" s="17" t="str">
        <x:v>林口公園</x:v>
      </x:c>
      <x:c r="D1615" s="18" t="n">
        <x:v>26</x:v>
      </x:c>
      <x:c r="E1615" s="18" t="n">
        <x:v>26</x:v>
      </x:c>
      <x:c r="F1615" s="24" t="n">
        <x:f>IFERROR('各站彙總來源'!F1615/'各站彙總來源'!G1615,"")</x:f>
        <x:v>43.26923076923077</x:v>
      </x:c>
      <x:c r="G1615" s="19" t="n">
        <x:f>'各站彙總來源'!G1615</x:f>
        <x:v>26</x:v>
      </x:c>
      <x:c r="H1615" s="24" t="n">
        <x:f>IFERROR('各站彙總來源'!H1615/'各站彙總來源'!I1615,"")</x:f>
        <x:v>6.038461538461538</x:v>
      </x:c>
      <x:c r="I1615" s="19" t="n">
        <x:f>'各站彙總來源'!I1615</x:f>
        <x:v>26</x:v>
      </x:c>
      <x:c r="J1615" s="24" t="n">
        <x:f>IFERROR('各站彙總來源'!J1615/'各站彙總來源'!K1615,"")</x:f>
        <x:v>11.153846153846153</x:v>
      </x:c>
      <x:c r="K1615" s="19" t="n">
        <x:f>'各站彙總來源'!K1615</x:f>
        <x:v>26</x:v>
      </x:c>
      <x:c r="L1615" s="24" t="n">
        <x:f>IFERROR('各站彙總來源'!L1615/'各站彙總來源'!M1615,"")</x:f>
        <x:v>1.6923076923076923</x:v>
      </x:c>
      <x:c r="M1615" s="19" t="n">
        <x:f>'各站彙總來源'!M1615</x:f>
        <x:v>26</x:v>
      </x:c>
      <x:c r="N1615" s="24" t="n">
        <x:f>F1615+H1615</x:f>
        <x:v>49.30769230769231</x:v>
      </x:c>
      <x:c r="O1615" s="24" t="n">
        <x:f>J1615+L1615</x:f>
        <x:v>12.846153846153845</x:v>
      </x:c>
    </x:row>
    <x:row r="1616">
      <x:c r="A1616" s="22" t="str">
        <x:v>500112027</x:v>
      </x:c>
      <x:c r="B1616" s="17" t="str">
        <x:v>信義區</x:v>
      </x:c>
      <x:c r="C1616" s="17" t="str">
        <x:v>松山家商</x:v>
      </x:c>
      <x:c r="D1616" s="18" t="n">
        <x:v>26</x:v>
      </x:c>
      <x:c r="E1616" s="18" t="n">
        <x:v>26</x:v>
      </x:c>
      <x:c r="F1616" s="24" t="n">
        <x:f>IFERROR('各站彙總來源'!F1616/'各站彙總來源'!G1616,"")</x:f>
        <x:v>5.769230769230769</x:v>
      </x:c>
      <x:c r="G1616" s="19" t="n">
        <x:f>'各站彙總來源'!G1616</x:f>
        <x:v>26</x:v>
      </x:c>
      <x:c r="H1616" s="24" t="n">
        <x:f>IFERROR('各站彙總來源'!H1616/'各站彙總來源'!I1616,"")</x:f>
        <x:v>0.5384615384615384</x:v>
      </x:c>
      <x:c r="I1616" s="19" t="n">
        <x:f>'各站彙總來源'!I1616</x:f>
        <x:v>26</x:v>
      </x:c>
      <x:c r="J1616" s="24" t="n">
        <x:f>IFERROR('各站彙總來源'!J1616/'各站彙總來源'!K1616,"")</x:f>
        <x:v>30.03846153846154</x:v>
      </x:c>
      <x:c r="K1616" s="19" t="n">
        <x:f>'各站彙總來源'!K1616</x:f>
        <x:v>26</x:v>
      </x:c>
      <x:c r="L1616" s="24" t="n">
        <x:f>IFERROR('各站彙總來源'!L1616/'各站彙總來源'!M1616,"")</x:f>
        <x:v>2.076923076923077</x:v>
      </x:c>
      <x:c r="M1616" s="19" t="n">
        <x:f>'各站彙總來源'!M1616</x:f>
        <x:v>26</x:v>
      </x:c>
      <x:c r="N1616" s="24" t="n">
        <x:f>F1616+H1616</x:f>
        <x:v>6.3076923076923075</x:v>
      </x:c>
      <x:c r="O1616" s="24" t="n">
        <x:f>J1616+L1616</x:f>
        <x:v>32.11538461538462</x:v>
      </x:c>
    </x:row>
    <x:row r="1617">
      <x:c r="A1617" s="22" t="str">
        <x:v>500112028</x:v>
      </x:c>
      <x:c r="B1617" s="17" t="str">
        <x:v>信義區</x:v>
      </x:c>
      <x:c r="C1617" s="17" t="str">
        <x:v>永春陂濕地公園</x:v>
      </x:c>
      <x:c r="D1617" s="18" t="n">
        <x:v>26</x:v>
      </x:c>
      <x:c r="E1617" s="18" t="n">
        <x:v>26</x:v>
      </x:c>
      <x:c r="F1617" s="24" t="n">
        <x:f>IFERROR('各站彙總來源'!F1617/'各站彙總來源'!G1617,"")</x:f>
        <x:v>16.384615384615383</x:v>
      </x:c>
      <x:c r="G1617" s="19" t="n">
        <x:f>'各站彙總來源'!G1617</x:f>
        <x:v>26</x:v>
      </x:c>
      <x:c r="H1617" s="24" t="n">
        <x:f>IFERROR('各站彙總來源'!H1617/'各站彙總來源'!I1617,"")</x:f>
        <x:v>3</x:v>
      </x:c>
      <x:c r="I1617" s="19" t="n">
        <x:f>'各站彙總來源'!I1617</x:f>
        <x:v>26</x:v>
      </x:c>
      <x:c r="J1617" s="24" t="n">
        <x:f>IFERROR('各站彙總來源'!J1617/'各站彙總來源'!K1617,"")</x:f>
        <x:v>8.961538461538462</x:v>
      </x:c>
      <x:c r="K1617" s="19" t="n">
        <x:f>'各站彙總來源'!K1617</x:f>
        <x:v>26</x:v>
      </x:c>
      <x:c r="L1617" s="24" t="n">
        <x:f>IFERROR('各站彙總來源'!L1617/'各站彙總來源'!M1617,"")</x:f>
        <x:v>2.923076923076923</x:v>
      </x:c>
      <x:c r="M1617" s="19" t="n">
        <x:f>'各站彙總來源'!M1617</x:f>
        <x:v>26</x:v>
      </x:c>
      <x:c r="N1617" s="24" t="n">
        <x:f>F1617+H1617</x:f>
        <x:v>19.384615384615383</x:v>
      </x:c>
      <x:c r="O1617" s="24" t="n">
        <x:f>J1617+L1617</x:f>
        <x:v>11.884615384615385</x:v>
      </x:c>
    </x:row>
    <x:row r="1618">
      <x:c r="A1618" s="22" t="str">
        <x:v>500112029</x:v>
      </x:c>
      <x:c r="B1618" s="17" t="str">
        <x:v>信義區</x:v>
      </x:c>
      <x:c r="C1618" s="17" t="str">
        <x:v>臺北市政府</x:v>
      </x:c>
      <x:c r="D1618" s="18" t="n">
        <x:v>26</x:v>
      </x:c>
      <x:c r="E1618" s="18" t="n">
        <x:v>26</x:v>
      </x:c>
      <x:c r="F1618" s="24" t="n">
        <x:f>IFERROR('各站彙總來源'!F1618/'各站彙總來源'!G1618,"")</x:f>
        <x:v>9</x:v>
      </x:c>
      <x:c r="G1618" s="19" t="n">
        <x:f>'各站彙總來源'!G1618</x:f>
        <x:v>26</x:v>
      </x:c>
      <x:c r="H1618" s="24" t="n">
        <x:f>IFERROR('各站彙總來源'!H1618/'各站彙總來源'!I1618,"")</x:f>
        <x:v>2.1923076923076925</x:v>
      </x:c>
      <x:c r="I1618" s="19" t="n">
        <x:f>'各站彙總來源'!I1618</x:f>
        <x:v>26</x:v>
      </x:c>
      <x:c r="J1618" s="24" t="n">
        <x:f>IFERROR('各站彙總來源'!J1618/'各站彙總來源'!K1618,"")</x:f>
        <x:v>67.23076923076923</x:v>
      </x:c>
      <x:c r="K1618" s="19" t="n">
        <x:f>'各站彙總來源'!K1618</x:f>
        <x:v>26</x:v>
      </x:c>
      <x:c r="L1618" s="24" t="n">
        <x:f>IFERROR('各站彙總來源'!L1618/'各站彙總來源'!M1618,"")</x:f>
        <x:v>10.538461538461538</x:v>
      </x:c>
      <x:c r="M1618" s="19" t="n">
        <x:f>'各站彙總來源'!M1618</x:f>
        <x:v>26</x:v>
      </x:c>
      <x:c r="N1618" s="24" t="n">
        <x:f>F1618+H1618</x:f>
        <x:v>11.192307692307693</x:v>
      </x:c>
      <x:c r="O1618" s="24" t="n">
        <x:f>J1618+L1618</x:f>
        <x:v>77.76923076923076</x:v>
      </x:c>
    </x:row>
    <x:row r="1619">
      <x:c r="A1619" s="22" t="str">
        <x:v>500112030</x:v>
      </x:c>
      <x:c r="B1619" s="17" t="str">
        <x:v>信義區</x:v>
      </x:c>
      <x:c r="C1619" s="17" t="str">
        <x:v>松智松壽路口</x:v>
      </x:c>
      <x:c r="D1619" s="18" t="n">
        <x:v>26</x:v>
      </x:c>
      <x:c r="E1619" s="18" t="n">
        <x:v>26</x:v>
      </x:c>
      <x:c r="F1619" s="24" t="n">
        <x:f>IFERROR('各站彙總來源'!F1619/'各站彙總來源'!G1619,"")</x:f>
        <x:v>5.961538461538462</x:v>
      </x:c>
      <x:c r="G1619" s="19" t="n">
        <x:f>'各站彙總來源'!G1619</x:f>
        <x:v>26</x:v>
      </x:c>
      <x:c r="H1619" s="24" t="n">
        <x:f>IFERROR('各站彙總來源'!H1619/'各站彙總來源'!I1619,"")</x:f>
        <x:v>1.0769230769230769</x:v>
      </x:c>
      <x:c r="I1619" s="19" t="n">
        <x:f>'各站彙總來源'!I1619</x:f>
        <x:v>26</x:v>
      </x:c>
      <x:c r="J1619" s="24" t="n">
        <x:f>IFERROR('各站彙總來源'!J1619/'各站彙總來源'!K1619,"")</x:f>
        <x:v>51.34615384615385</x:v>
      </x:c>
      <x:c r="K1619" s="19" t="n">
        <x:f>'各站彙總來源'!K1619</x:f>
        <x:v>26</x:v>
      </x:c>
      <x:c r="L1619" s="24" t="n">
        <x:f>IFERROR('各站彙總來源'!L1619/'各站彙總來源'!M1619,"")</x:f>
        <x:v>6.538461538461538</x:v>
      </x:c>
      <x:c r="M1619" s="19" t="n">
        <x:f>'各站彙總來源'!M1619</x:f>
        <x:v>26</x:v>
      </x:c>
      <x:c r="N1619" s="24" t="n">
        <x:f>F1619+H1619</x:f>
        <x:v>7.038461538461538</x:v>
      </x:c>
      <x:c r="O1619" s="24" t="n">
        <x:f>J1619+L1619</x:f>
        <x:v>57.88461538461539</x:v>
      </x:c>
    </x:row>
    <x:row r="1620">
      <x:c r="A1620" s="22" t="str">
        <x:v>500112031</x:v>
      </x:c>
      <x:c r="B1620" s="17" t="str">
        <x:v>信義區</x:v>
      </x:c>
      <x:c r="C1620" s="17" t="str">
        <x:v>市府松壽路口</x:v>
      </x:c>
      <x:c r="D1620" s="18" t="n">
        <x:v>26</x:v>
      </x:c>
      <x:c r="E1620" s="18" t="n">
        <x:v>26</x:v>
      </x:c>
      <x:c r="F1620" s="24" t="n">
        <x:f>IFERROR('各站彙總來源'!F1620/'各站彙總來源'!G1620,"")</x:f>
        <x:v>8.461538461538462</x:v>
      </x:c>
      <x:c r="G1620" s="19" t="n">
        <x:f>'各站彙總來源'!G1620</x:f>
        <x:v>26</x:v>
      </x:c>
      <x:c r="H1620" s="24" t="n">
        <x:f>IFERROR('各站彙總來源'!H1620/'各站彙總來源'!I1620,"")</x:f>
        <x:v>1.9615384615384615</x:v>
      </x:c>
      <x:c r="I1620" s="19" t="n">
        <x:f>'各站彙總來源'!I1620</x:f>
        <x:v>26</x:v>
      </x:c>
      <x:c r="J1620" s="24" t="n">
        <x:f>IFERROR('各站彙總來源'!J1620/'各站彙總來源'!K1620,"")</x:f>
        <x:v>17.346153846153847</x:v>
      </x:c>
      <x:c r="K1620" s="19" t="n">
        <x:f>'各站彙總來源'!K1620</x:f>
        <x:v>26</x:v>
      </x:c>
      <x:c r="L1620" s="24" t="n">
        <x:f>IFERROR('各站彙總來源'!L1620/'各站彙總來源'!M1620,"")</x:f>
        <x:v>3.3076923076923075</x:v>
      </x:c>
      <x:c r="M1620" s="19" t="n">
        <x:f>'各站彙總來源'!M1620</x:f>
        <x:v>26</x:v>
      </x:c>
      <x:c r="N1620" s="24" t="n">
        <x:f>F1620+H1620</x:f>
        <x:v>10.423076923076923</x:v>
      </x:c>
      <x:c r="O1620" s="24" t="n">
        <x:f>J1620+L1620</x:f>
        <x:v>20.653846153846153</x:v>
      </x:c>
    </x:row>
    <x:row r="1621">
      <x:c r="A1621" s="22" t="str">
        <x:v>500112032</x:v>
      </x:c>
      <x:c r="B1621" s="17" t="str">
        <x:v>信義區</x:v>
      </x:c>
      <x:c r="C1621" s="17" t="str">
        <x:v>市府松高路口</x:v>
      </x:c>
      <x:c r="D1621" s="18" t="n">
        <x:v>26</x:v>
      </x:c>
      <x:c r="E1621" s="18" t="n">
        <x:v>26</x:v>
      </x:c>
      <x:c r="F1621" s="24" t="n">
        <x:f>IFERROR('各站彙總來源'!F1621/'各站彙總來源'!G1621,"")</x:f>
        <x:v>17.115384615384617</x:v>
      </x:c>
      <x:c r="G1621" s="19" t="n">
        <x:f>'各站彙總來源'!G1621</x:f>
        <x:v>26</x:v>
      </x:c>
      <x:c r="H1621" s="24" t="n">
        <x:f>IFERROR('各站彙總來源'!H1621/'各站彙總來源'!I1621,"")</x:f>
        <x:v>3.6538461538461537</x:v>
      </x:c>
      <x:c r="I1621" s="19" t="n">
        <x:f>'各站彙總來源'!I1621</x:f>
        <x:v>26</x:v>
      </x:c>
      <x:c r="J1621" s="24" t="n">
        <x:f>IFERROR('各站彙總來源'!J1621/'各站彙總來源'!K1621,"")</x:f>
        <x:v>54.03846153846154</x:v>
      </x:c>
      <x:c r="K1621" s="19" t="n">
        <x:f>'各站彙總來源'!K1621</x:f>
        <x:v>26</x:v>
      </x:c>
      <x:c r="L1621" s="24" t="n">
        <x:f>IFERROR('各站彙總來源'!L1621/'各站彙總來源'!M1621,"")</x:f>
        <x:v>7.846153846153846</x:v>
      </x:c>
      <x:c r="M1621" s="19" t="n">
        <x:f>'各站彙總來源'!M1621</x:f>
        <x:v>26</x:v>
      </x:c>
      <x:c r="N1621" s="24" t="n">
        <x:f>F1621+H1621</x:f>
        <x:v>20.76923076923077</x:v>
      </x:c>
      <x:c r="O1621" s="24" t="n">
        <x:f>J1621+L1621</x:f>
        <x:v>61.88461538461539</x:v>
      </x:c>
    </x:row>
    <x:row r="1622">
      <x:c r="A1622" s="22" t="str">
        <x:v>500112033</x:v>
      </x:c>
      <x:c r="B1622" s="17" t="str">
        <x:v>信義區</x:v>
      </x:c>
      <x:c r="C1622" s="17" t="str">
        <x:v>市民廣場</x:v>
      </x:c>
      <x:c r="D1622" s="18" t="n">
        <x:v>26</x:v>
      </x:c>
      <x:c r="E1622" s="18" t="n">
        <x:v>26</x:v>
      </x:c>
      <x:c r="F1622" s="24" t="n">
        <x:f>IFERROR('各站彙總來源'!F1622/'各站彙總來源'!G1622,"")</x:f>
        <x:v>5.6923076923076925</x:v>
      </x:c>
      <x:c r="G1622" s="19" t="n">
        <x:f>'各站彙總來源'!G1622</x:f>
        <x:v>26</x:v>
      </x:c>
      <x:c r="H1622" s="24" t="n">
        <x:f>IFERROR('各站彙總來源'!H1622/'各站彙總來源'!I1622,"")</x:f>
        <x:v>1.4230769230769231</x:v>
      </x:c>
      <x:c r="I1622" s="19" t="n">
        <x:f>'各站彙總來源'!I1622</x:f>
        <x:v>26</x:v>
      </x:c>
      <x:c r="J1622" s="24" t="n">
        <x:f>IFERROR('各站彙總來源'!J1622/'各站彙總來源'!K1622,"")</x:f>
        <x:v>38.53846153846154</x:v>
      </x:c>
      <x:c r="K1622" s="19" t="n">
        <x:f>'各站彙總來源'!K1622</x:f>
        <x:v>26</x:v>
      </x:c>
      <x:c r="L1622" s="24" t="n">
        <x:f>IFERROR('各站彙總來源'!L1622/'各站彙總來源'!M1622,"")</x:f>
        <x:v>4.3076923076923075</x:v>
      </x:c>
      <x:c r="M1622" s="19" t="n">
        <x:f>'各站彙總來源'!M1622</x:f>
        <x:v>26</x:v>
      </x:c>
      <x:c r="N1622" s="24" t="n">
        <x:f>F1622+H1622</x:f>
        <x:v>7.115384615384616</x:v>
      </x:c>
      <x:c r="O1622" s="24" t="n">
        <x:f>J1622+L1622</x:f>
        <x:v>42.84615384615385</x:v>
      </x:c>
    </x:row>
    <x:row r="1623">
      <x:c r="A1623" s="22" t="str">
        <x:v>500112034</x:v>
      </x:c>
      <x:c r="B1623" s="17" t="str">
        <x:v>信義區</x:v>
      </x:c>
      <x:c r="C1623" s="17" t="str">
        <x:v>臺北南山廣場</x:v>
      </x:c>
      <x:c r="D1623" s="18" t="n">
        <x:v>26</x:v>
      </x:c>
      <x:c r="E1623" s="18" t="n">
        <x:v>26</x:v>
      </x:c>
      <x:c r="F1623" s="24" t="n">
        <x:f>IFERROR('各站彙總來源'!F1623/'各站彙總來源'!G1623,"")</x:f>
        <x:v>0</x:v>
      </x:c>
      <x:c r="G1623" s="19" t="n">
        <x:f>'各站彙總來源'!G1623</x:f>
        <x:v>26</x:v>
      </x:c>
      <x:c r="H1623" s="24" t="n">
        <x:f>IFERROR('各站彙總來源'!H1623/'各站彙總來源'!I1623,"")</x:f>
        <x:v>0</x:v>
      </x:c>
      <x:c r="I1623" s="19" t="n">
        <x:f>'各站彙總來源'!I1623</x:f>
        <x:v>26</x:v>
      </x:c>
      <x:c r="J1623" s="24" t="n">
        <x:f>IFERROR('各站彙總來源'!J1623/'各站彙總來源'!K1623,"")</x:f>
        <x:v>0</x:v>
      </x:c>
      <x:c r="K1623" s="19" t="n">
        <x:f>'各站彙總來源'!K1623</x:f>
        <x:v>26</x:v>
      </x:c>
      <x:c r="L1623" s="24" t="n">
        <x:f>IFERROR('各站彙總來源'!L1623/'各站彙總來源'!M1623,"")</x:f>
        <x:v>0</x:v>
      </x:c>
      <x:c r="M1623" s="19" t="n">
        <x:f>'各站彙總來源'!M1623</x:f>
        <x:v>26</x:v>
      </x:c>
      <x:c r="N1623" s="24" t="n">
        <x:f>F1623+H1623</x:f>
        <x:v>0</x:v>
      </x:c>
      <x:c r="O1623" s="24" t="n">
        <x:f>J1623+L1623</x:f>
        <x:v>0</x:v>
      </x:c>
    </x:row>
    <x:row r="1624">
      <x:c r="A1624" s="22" t="str">
        <x:v>500112035</x:v>
      </x:c>
      <x:c r="B1624" s="17" t="str">
        <x:v>信義區</x:v>
      </x:c>
      <x:c r="C1624" s="17" t="str">
        <x:v>信義廣場(台北101)</x:v>
      </x:c>
      <x:c r="D1624" s="18" t="n">
        <x:v>26</x:v>
      </x:c>
      <x:c r="E1624" s="18" t="n">
        <x:v>26</x:v>
      </x:c>
      <x:c r="F1624" s="24" t="n">
        <x:f>IFERROR('各站彙總來源'!F1624/'各站彙總來源'!G1624,"")</x:f>
        <x:v>14.884615384615385</x:v>
      </x:c>
      <x:c r="G1624" s="19" t="n">
        <x:f>'各站彙總來源'!G1624</x:f>
        <x:v>26</x:v>
      </x:c>
      <x:c r="H1624" s="24" t="n">
        <x:f>IFERROR('各站彙總來源'!H1624/'各站彙總來源'!I1624,"")</x:f>
        <x:v>2.4615384615384617</x:v>
      </x:c>
      <x:c r="I1624" s="19" t="n">
        <x:f>'各站彙總來源'!I1624</x:f>
        <x:v>26</x:v>
      </x:c>
      <x:c r="J1624" s="24" t="n">
        <x:f>IFERROR('各站彙總來源'!J1624/'各站彙總來源'!K1624,"")</x:f>
        <x:v>39.42307692307692</x:v>
      </x:c>
      <x:c r="K1624" s="19" t="n">
        <x:f>'各站彙總來源'!K1624</x:f>
        <x:v>26</x:v>
      </x:c>
      <x:c r="L1624" s="24" t="n">
        <x:f>IFERROR('各站彙總來源'!L1624/'各站彙總來源'!M1624,"")</x:f>
        <x:v>9.076923076923077</x:v>
      </x:c>
      <x:c r="M1624" s="19" t="n">
        <x:f>'各站彙總來源'!M1624</x:f>
        <x:v>26</x:v>
      </x:c>
      <x:c r="N1624" s="24" t="n">
        <x:f>F1624+H1624</x:f>
        <x:v>17.346153846153847</x:v>
      </x:c>
      <x:c r="O1624" s="24" t="n">
        <x:f>J1624+L1624</x:f>
        <x:v>48.5</x:v>
      </x:c>
    </x:row>
    <x:row r="1625">
      <x:c r="A1625" s="22" t="str">
        <x:v>500112036</x:v>
      </x:c>
      <x:c r="B1625" s="17" t="str">
        <x:v>信義區</x:v>
      </x:c>
      <x:c r="C1625" s="17" t="str">
        <x:v>捷運台北101/世貿站(5號出口)</x:v>
      </x:c>
      <x:c r="D1625" s="18" t="n">
        <x:v>26</x:v>
      </x:c>
      <x:c r="E1625" s="18" t="n">
        <x:v>26</x:v>
      </x:c>
      <x:c r="F1625" s="24" t="n">
        <x:f>IFERROR('各站彙總來源'!F1625/'各站彙總來源'!G1625,"")</x:f>
        <x:v>6.961538461538462</x:v>
      </x:c>
      <x:c r="G1625" s="19" t="n">
        <x:f>'各站彙總來源'!G1625</x:f>
        <x:v>26</x:v>
      </x:c>
      <x:c r="H1625" s="24" t="n">
        <x:f>IFERROR('各站彙總來源'!H1625/'各站彙總來源'!I1625,"")</x:f>
        <x:v>0.5384615384615384</x:v>
      </x:c>
      <x:c r="I1625" s="19" t="n">
        <x:f>'各站彙總來源'!I1625</x:f>
        <x:v>26</x:v>
      </x:c>
      <x:c r="J1625" s="24" t="n">
        <x:f>IFERROR('各站彙總來源'!J1625/'各站彙總來源'!K1625,"")</x:f>
        <x:v>8.23076923076923</x:v>
      </x:c>
      <x:c r="K1625" s="19" t="n">
        <x:f>'各站彙總來源'!K1625</x:f>
        <x:v>26</x:v>
      </x:c>
      <x:c r="L1625" s="24" t="n">
        <x:f>IFERROR('各站彙總來源'!L1625/'各站彙總來源'!M1625,"")</x:f>
        <x:v>2.0384615384615383</x:v>
      </x:c>
      <x:c r="M1625" s="19" t="n">
        <x:f>'各站彙總來源'!M1625</x:f>
        <x:v>26</x:v>
      </x:c>
      <x:c r="N1625" s="24" t="n">
        <x:f>F1625+H1625</x:f>
        <x:v>7.5</x:v>
      </x:c>
      <x:c r="O1625" s="24" t="n">
        <x:f>J1625+L1625</x:f>
        <x:v>10.269230769230768</x:v>
      </x:c>
    </x:row>
    <x:row r="1626">
      <x:c r="A1626" s="22" t="str">
        <x:v>500112037</x:v>
      </x:c>
      <x:c r="B1626" s="17" t="str">
        <x:v>信義區</x:v>
      </x:c>
      <x:c r="C1626" s="17" t="str">
        <x:v>春光公園</x:v>
      </x:c>
      <x:c r="D1626" s="18" t="n">
        <x:v>26</x:v>
      </x:c>
      <x:c r="E1626" s="18" t="n">
        <x:v>26</x:v>
      </x:c>
      <x:c r="F1626" s="24" t="n">
        <x:f>IFERROR('各站彙總來源'!F1626/'各站彙總來源'!G1626,"")</x:f>
        <x:v>29.923076923076923</x:v>
      </x:c>
      <x:c r="G1626" s="19" t="n">
        <x:f>'各站彙總來源'!G1626</x:f>
        <x:v>26</x:v>
      </x:c>
      <x:c r="H1626" s="24" t="n">
        <x:f>IFERROR('各站彙總來源'!H1626/'各站彙總來源'!I1626,"")</x:f>
        <x:v>1.3076923076923077</x:v>
      </x:c>
      <x:c r="I1626" s="19" t="n">
        <x:f>'各站彙總來源'!I1626</x:f>
        <x:v>26</x:v>
      </x:c>
      <x:c r="J1626" s="24" t="n">
        <x:f>IFERROR('各站彙總來源'!J1626/'各站彙總來源'!K1626,"")</x:f>
        <x:v>23.576923076923077</x:v>
      </x:c>
      <x:c r="K1626" s="19" t="n">
        <x:f>'各站彙總來源'!K1626</x:f>
        <x:v>26</x:v>
      </x:c>
      <x:c r="L1626" s="24" t="n">
        <x:f>IFERROR('各站彙總來源'!L1626/'各站彙總來源'!M1626,"")</x:f>
        <x:v>3.3461538461538463</x:v>
      </x:c>
      <x:c r="M1626" s="19" t="n">
        <x:f>'各站彙總來源'!M1626</x:f>
        <x:v>26</x:v>
      </x:c>
      <x:c r="N1626" s="24" t="n">
        <x:f>F1626+H1626</x:f>
        <x:v>31.23076923076923</x:v>
      </x:c>
      <x:c r="O1626" s="24" t="n">
        <x:f>J1626+L1626</x:f>
        <x:v>26.923076923076923</x:v>
      </x:c>
    </x:row>
    <x:row r="1627">
      <x:c r="A1627" s="22" t="str">
        <x:v>500112038</x:v>
      </x:c>
      <x:c r="B1627" s="17" t="str">
        <x:v>信義區</x:v>
      </x:c>
      <x:c r="C1627" s="17" t="str">
        <x:v>松仁路121巷口</x:v>
      </x:c>
      <x:c r="D1627" s="18" t="n">
        <x:v>26</x:v>
      </x:c>
      <x:c r="E1627" s="18" t="n">
        <x:v>26</x:v>
      </x:c>
      <x:c r="F1627" s="24" t="n">
        <x:f>IFERROR('各站彙總來源'!F1627/'各站彙總來源'!G1627,"")</x:f>
        <x:v>6.384615384615385</x:v>
      </x:c>
      <x:c r="G1627" s="19" t="n">
        <x:f>'各站彙總來源'!G1627</x:f>
        <x:v>26</x:v>
      </x:c>
      <x:c r="H1627" s="24" t="n">
        <x:f>IFERROR('各站彙總來源'!H1627/'各站彙總來源'!I1627,"")</x:f>
        <x:v>0.9615384615384616</x:v>
      </x:c>
      <x:c r="I1627" s="19" t="n">
        <x:f>'各站彙總來源'!I1627</x:f>
        <x:v>26</x:v>
      </x:c>
      <x:c r="J1627" s="24" t="n">
        <x:f>IFERROR('各站彙總來源'!J1627/'各站彙總來源'!K1627,"")</x:f>
        <x:v>40.96153846153846</x:v>
      </x:c>
      <x:c r="K1627" s="19" t="n">
        <x:f>'各站彙總來源'!K1627</x:f>
        <x:v>26</x:v>
      </x:c>
      <x:c r="L1627" s="24" t="n">
        <x:f>IFERROR('各站彙總來源'!L1627/'各站彙總來源'!M1627,"")</x:f>
        <x:v>4.076923076923077</x:v>
      </x:c>
      <x:c r="M1627" s="19" t="n">
        <x:f>'各站彙總來源'!M1627</x:f>
        <x:v>26</x:v>
      </x:c>
      <x:c r="N1627" s="24" t="n">
        <x:f>F1627+H1627</x:f>
        <x:v>7.346153846153847</x:v>
      </x:c>
      <x:c r="O1627" s="24" t="n">
        <x:f>J1627+L1627</x:f>
        <x:v>45.03846153846153</x:v>
      </x:c>
    </x:row>
    <x:row r="1628">
      <x:c r="A1628" s="22" t="str">
        <x:v>500112039</x:v>
      </x:c>
      <x:c r="B1628" s="17" t="str">
        <x:v>信義區</x:v>
      </x:c>
      <x:c r="C1628" s="17" t="str">
        <x:v>福德國小</x:v>
      </x:c>
      <x:c r="D1628" s="18" t="n">
        <x:v>26</x:v>
      </x:c>
      <x:c r="E1628" s="18" t="n">
        <x:v>26</x:v>
      </x:c>
      <x:c r="F1628" s="24" t="n">
        <x:f>IFERROR('各站彙總來源'!F1628/'各站彙總來源'!G1628,"")</x:f>
        <x:v>20.653846153846153</x:v>
      </x:c>
      <x:c r="G1628" s="19" t="n">
        <x:f>'各站彙總來源'!G1628</x:f>
        <x:v>26</x:v>
      </x:c>
      <x:c r="H1628" s="24" t="n">
        <x:f>IFERROR('各站彙總來源'!H1628/'各站彙總來源'!I1628,"")</x:f>
        <x:v>4.5</x:v>
      </x:c>
      <x:c r="I1628" s="19" t="n">
        <x:f>'各站彙總來源'!I1628</x:f>
        <x:v>26</x:v>
      </x:c>
      <x:c r="J1628" s="24" t="n">
        <x:f>IFERROR('各站彙總來源'!J1628/'各站彙總來源'!K1628,"")</x:f>
        <x:v>7.153846153846154</x:v>
      </x:c>
      <x:c r="K1628" s="19" t="n">
        <x:f>'各站彙總來源'!K1628</x:f>
        <x:v>26</x:v>
      </x:c>
      <x:c r="L1628" s="24" t="n">
        <x:f>IFERROR('各站彙總來源'!L1628/'各站彙總來源'!M1628,"")</x:f>
        <x:v>2.1923076923076925</x:v>
      </x:c>
      <x:c r="M1628" s="19" t="n">
        <x:f>'各站彙總來源'!M1628</x:f>
        <x:v>26</x:v>
      </x:c>
      <x:c r="N1628" s="24" t="n">
        <x:f>F1628+H1628</x:f>
        <x:v>25.153846153846153</x:v>
      </x:c>
      <x:c r="O1628" s="24" t="n">
        <x:f>J1628+L1628</x:f>
        <x:v>9.346153846153847</x:v>
      </x:c>
    </x:row>
    <x:row r="1629">
      <x:c r="A1629" s="22" t="str">
        <x:v>500112040</x:v>
      </x:c>
      <x:c r="B1629" s="17" t="str">
        <x:v>信義區</x:v>
      </x:c>
      <x:c r="C1629" s="17" t="str">
        <x:v>福德公園</x:v>
      </x:c>
      <x:c r="D1629" s="18" t="n">
        <x:v>26</x:v>
      </x:c>
      <x:c r="E1629" s="18" t="n">
        <x:v>26</x:v>
      </x:c>
      <x:c r="F1629" s="24" t="n">
        <x:f>IFERROR('各站彙總來源'!F1629/'各站彙總來源'!G1629,"")</x:f>
        <x:v>28.73076923076923</x:v>
      </x:c>
      <x:c r="G1629" s="19" t="n">
        <x:f>'各站彙總來源'!G1629</x:f>
        <x:v>26</x:v>
      </x:c>
      <x:c r="H1629" s="24" t="n">
        <x:f>IFERROR('各站彙總來源'!H1629/'各站彙總來源'!I1629,"")</x:f>
        <x:v>3.6923076923076925</x:v>
      </x:c>
      <x:c r="I1629" s="19" t="n">
        <x:f>'各站彙總來源'!I1629</x:f>
        <x:v>26</x:v>
      </x:c>
      <x:c r="J1629" s="24" t="n">
        <x:f>IFERROR('各站彙總來源'!J1629/'各站彙總來源'!K1629,"")</x:f>
        <x:v>15.115384615384615</x:v>
      </x:c>
      <x:c r="K1629" s="19" t="n">
        <x:f>'各站彙總來源'!K1629</x:f>
        <x:v>26</x:v>
      </x:c>
      <x:c r="L1629" s="24" t="n">
        <x:f>IFERROR('各站彙總來源'!L1629/'各站彙總來源'!M1629,"")</x:f>
        <x:v>2.1153846153846154</x:v>
      </x:c>
      <x:c r="M1629" s="19" t="n">
        <x:f>'各站彙總來源'!M1629</x:f>
        <x:v>26</x:v>
      </x:c>
      <x:c r="N1629" s="24" t="n">
        <x:f>F1629+H1629</x:f>
        <x:v>32.42307692307692</x:v>
      </x:c>
      <x:c r="O1629" s="24" t="n">
        <x:f>J1629+L1629</x:f>
        <x:v>17.23076923076923</x:v>
      </x:c>
    </x:row>
    <x:row r="1630">
      <x:c r="A1630" s="22" t="str">
        <x:v>500112041</x:v>
      </x:c>
      <x:c r="B1630" s="17" t="str">
        <x:v>信義區</x:v>
      </x:c>
      <x:c r="C1630" s="17" t="str">
        <x:v>興雅基隆路口</x:v>
      </x:c>
      <x:c r="D1630" s="18" t="n">
        <x:v>26</x:v>
      </x:c>
      <x:c r="E1630" s="18" t="n">
        <x:v>26</x:v>
      </x:c>
      <x:c r="F1630" s="24" t="n">
        <x:f>IFERROR('各站彙總來源'!F1630/'各站彙總來源'!G1630,"")</x:f>
        <x:v>0</x:v>
      </x:c>
      <x:c r="G1630" s="19" t="n">
        <x:f>'各站彙總來源'!G1630</x:f>
        <x:v>26</x:v>
      </x:c>
      <x:c r="H1630" s="24" t="n">
        <x:f>IFERROR('各站彙總來源'!H1630/'各站彙總來源'!I1630,"")</x:f>
        <x:v>0</x:v>
      </x:c>
      <x:c r="I1630" s="19" t="n">
        <x:f>'各站彙總來源'!I1630</x:f>
        <x:v>26</x:v>
      </x:c>
      <x:c r="J1630" s="24" t="n">
        <x:f>IFERROR('各站彙總來源'!J1630/'各站彙總來源'!K1630,"")</x:f>
        <x:v>0</x:v>
      </x:c>
      <x:c r="K1630" s="19" t="n">
        <x:f>'各站彙總來源'!K1630</x:f>
        <x:v>26</x:v>
      </x:c>
      <x:c r="L1630" s="24" t="n">
        <x:f>IFERROR('各站彙總來源'!L1630/'各站彙總來源'!M1630,"")</x:f>
        <x:v>0</x:v>
      </x:c>
      <x:c r="M1630" s="19" t="n">
        <x:f>'各站彙總來源'!M1630</x:f>
        <x:v>26</x:v>
      </x:c>
      <x:c r="N1630" s="24" t="n">
        <x:f>F1630+H1630</x:f>
        <x:v>0</x:v>
      </x:c>
      <x:c r="O1630" s="24" t="n">
        <x:f>J1630+L1630</x:f>
        <x:v>0</x:v>
      </x:c>
    </x:row>
    <x:row r="1631">
      <x:c r="A1631" s="22" t="str">
        <x:v>500112042</x:v>
      </x:c>
      <x:c r="B1631" s="17" t="str">
        <x:v>信義區</x:v>
      </x:c>
      <x:c r="C1631" s="17" t="str">
        <x:v>松高路(信義新天地A4館)</x:v>
      </x:c>
      <x:c r="D1631" s="18" t="n">
        <x:v>26</x:v>
      </x:c>
      <x:c r="E1631" s="18" t="n">
        <x:v>26</x:v>
      </x:c>
      <x:c r="F1631" s="24" t="n">
        <x:f>IFERROR('各站彙總來源'!F1631/'各站彙總來源'!G1631,"")</x:f>
        <x:v>5.346153846153846</x:v>
      </x:c>
      <x:c r="G1631" s="19" t="n">
        <x:f>'各站彙總來源'!G1631</x:f>
        <x:v>26</x:v>
      </x:c>
      <x:c r="H1631" s="24" t="n">
        <x:f>IFERROR('各站彙總來源'!H1631/'各站彙總來源'!I1631,"")</x:f>
        <x:v>0.6153846153846154</x:v>
      </x:c>
      <x:c r="I1631" s="19" t="n">
        <x:f>'各站彙總來源'!I1631</x:f>
        <x:v>26</x:v>
      </x:c>
      <x:c r="J1631" s="24" t="n">
        <x:f>IFERROR('各站彙總來源'!J1631/'各站彙總來源'!K1631,"")</x:f>
        <x:v>10.846153846153847</x:v>
      </x:c>
      <x:c r="K1631" s="19" t="n">
        <x:f>'各站彙總來源'!K1631</x:f>
        <x:v>26</x:v>
      </x:c>
      <x:c r="L1631" s="24" t="n">
        <x:f>IFERROR('各站彙總來源'!L1631/'各站彙總來源'!M1631,"")</x:f>
        <x:v>2.8076923076923075</x:v>
      </x:c>
      <x:c r="M1631" s="19" t="n">
        <x:f>'各站彙總來源'!M1631</x:f>
        <x:v>26</x:v>
      </x:c>
      <x:c r="N1631" s="24" t="n">
        <x:f>F1631+H1631</x:f>
        <x:v>5.961538461538462</x:v>
      </x:c>
      <x:c r="O1631" s="24" t="n">
        <x:f>J1631+L1631</x:f>
        <x:v>13.653846153846153</x:v>
      </x:c>
    </x:row>
    <x:row r="1632">
      <x:c r="A1632" s="22" t="str">
        <x:v>500112043</x:v>
      </x:c>
      <x:c r="B1632" s="17" t="str">
        <x:v>信義區</x:v>
      </x:c>
      <x:c r="C1632" s="17" t="str">
        <x:v>興雅松仁路口</x:v>
      </x:c>
      <x:c r="D1632" s="18" t="n">
        <x:v>26</x:v>
      </x:c>
      <x:c r="E1632" s="18" t="n">
        <x:v>26</x:v>
      </x:c>
      <x:c r="F1632" s="24" t="n">
        <x:f>IFERROR('各站彙總來源'!F1632/'各站彙總來源'!G1632,"")</x:f>
        <x:v>18.03846153846154</x:v>
      </x:c>
      <x:c r="G1632" s="19" t="n">
        <x:f>'各站彙總來源'!G1632</x:f>
        <x:v>26</x:v>
      </x:c>
      <x:c r="H1632" s="24" t="n">
        <x:f>IFERROR('各站彙總來源'!H1632/'各站彙總來源'!I1632,"")</x:f>
        <x:v>2.6923076923076925</x:v>
      </x:c>
      <x:c r="I1632" s="19" t="n">
        <x:f>'各站彙總來源'!I1632</x:f>
        <x:v>26</x:v>
      </x:c>
      <x:c r="J1632" s="24" t="n">
        <x:f>IFERROR('各站彙總來源'!J1632/'各站彙總來源'!K1632,"")</x:f>
        <x:v>47</x:v>
      </x:c>
      <x:c r="K1632" s="19" t="n">
        <x:f>'各站彙總來源'!K1632</x:f>
        <x:v>26</x:v>
      </x:c>
      <x:c r="L1632" s="24" t="n">
        <x:f>IFERROR('各站彙總來源'!L1632/'各站彙總來源'!M1632,"")</x:f>
        <x:v>11.23076923076923</x:v>
      </x:c>
      <x:c r="M1632" s="19" t="n">
        <x:f>'各站彙總來源'!M1632</x:f>
        <x:v>26</x:v>
      </x:c>
      <x:c r="N1632" s="24" t="n">
        <x:f>F1632+H1632</x:f>
        <x:v>20.730769230769234</x:v>
      </x:c>
      <x:c r="O1632" s="24" t="n">
        <x:f>J1632+L1632</x:f>
        <x:v>58.230769230769226</x:v>
      </x:c>
    </x:row>
    <x:row r="1633">
      <x:c r="A1633" s="22" t="str">
        <x:v>500112044</x:v>
      </x:c>
      <x:c r="B1633" s="17" t="str">
        <x:v>信義區</x:v>
      </x:c>
      <x:c r="C1633" s="17" t="str">
        <x:v>福祥公園</x:v>
      </x:c>
      <x:c r="D1633" s="18" t="n">
        <x:v>26</x:v>
      </x:c>
      <x:c r="E1633" s="18" t="n">
        <x:v>26</x:v>
      </x:c>
      <x:c r="F1633" s="24" t="n">
        <x:f>IFERROR('各站彙總來源'!F1633/'各站彙總來源'!G1633,"")</x:f>
        <x:v>23.692307692307693</x:v>
      </x:c>
      <x:c r="G1633" s="19" t="n">
        <x:f>'各站彙總來源'!G1633</x:f>
        <x:v>26</x:v>
      </x:c>
      <x:c r="H1633" s="24" t="n">
        <x:f>IFERROR('各站彙總來源'!H1633/'各站彙總來源'!I1633,"")</x:f>
        <x:v>1.5384615384615385</x:v>
      </x:c>
      <x:c r="I1633" s="19" t="n">
        <x:f>'各站彙總來源'!I1633</x:f>
        <x:v>26</x:v>
      </x:c>
      <x:c r="J1633" s="24" t="n">
        <x:f>IFERROR('各站彙總來源'!J1633/'各站彙總來源'!K1633,"")</x:f>
        <x:v>5.961538461538462</x:v>
      </x:c>
      <x:c r="K1633" s="19" t="n">
        <x:f>'各站彙總來源'!K1633</x:f>
        <x:v>26</x:v>
      </x:c>
      <x:c r="L1633" s="24" t="n">
        <x:f>IFERROR('各站彙總來源'!L1633/'各站彙總來源'!M1633,"")</x:f>
        <x:v>0.9230769230769231</x:v>
      </x:c>
      <x:c r="M1633" s="19" t="n">
        <x:f>'各站彙總來源'!M1633</x:f>
        <x:v>26</x:v>
      </x:c>
      <x:c r="N1633" s="24" t="n">
        <x:f>F1633+H1633</x:f>
        <x:v>25.230769230769234</x:v>
      </x:c>
      <x:c r="O1633" s="24" t="n">
        <x:f>J1633+L1633</x:f>
        <x:v>6.884615384615385</x:v>
      </x:c>
    </x:row>
    <x:row r="1634">
      <x:c r="A1634" s="22" t="str">
        <x:v>500112045</x:v>
      </x:c>
      <x:c r="B1634" s="17" t="str">
        <x:v>信義區</x:v>
      </x:c>
      <x:c r="C1634" s="17" t="str">
        <x:v>吳興公車總站</x:v>
      </x:c>
      <x:c r="D1634" s="18" t="n">
        <x:v>26</x:v>
      </x:c>
      <x:c r="E1634" s="18" t="n">
        <x:v>26</x:v>
      </x:c>
      <x:c r="F1634" s="24" t="n">
        <x:f>IFERROR('各站彙總來源'!F1634/'各站彙總來源'!G1634,"")</x:f>
        <x:v>28.423076923076923</x:v>
      </x:c>
      <x:c r="G1634" s="19" t="n">
        <x:f>'各站彙總來源'!G1634</x:f>
        <x:v>26</x:v>
      </x:c>
      <x:c r="H1634" s="24" t="n">
        <x:f>IFERROR('各站彙總來源'!H1634/'各站彙總來源'!I1634,"")</x:f>
        <x:v>3.730769230769231</x:v>
      </x:c>
      <x:c r="I1634" s="19" t="n">
        <x:f>'各站彙總來源'!I1634</x:f>
        <x:v>26</x:v>
      </x:c>
      <x:c r="J1634" s="24" t="n">
        <x:f>IFERROR('各站彙總來源'!J1634/'各站彙總來源'!K1634,"")</x:f>
        <x:v>5.6923076923076925</x:v>
      </x:c>
      <x:c r="K1634" s="19" t="n">
        <x:f>'各站彙總來源'!K1634</x:f>
        <x:v>26</x:v>
      </x:c>
      <x:c r="L1634" s="24" t="n">
        <x:f>IFERROR('各站彙總來源'!L1634/'各站彙總來源'!M1634,"")</x:f>
        <x:v>0.9230769230769231</x:v>
      </x:c>
      <x:c r="M1634" s="19" t="n">
        <x:f>'各站彙總來源'!M1634</x:f>
        <x:v>26</x:v>
      </x:c>
      <x:c r="N1634" s="24" t="n">
        <x:f>F1634+H1634</x:f>
        <x:v>32.15384615384615</x:v>
      </x:c>
      <x:c r="O1634" s="24" t="n">
        <x:f>J1634+L1634</x:f>
        <x:v>6.615384615384616</x:v>
      </x:c>
    </x:row>
    <x:row r="1635">
      <x:c r="A1635" s="22" t="str">
        <x:v>500112046</x:v>
      </x:c>
      <x:c r="B1635" s="17" t="str">
        <x:v>信義區</x:v>
      </x:c>
      <x:c r="C1635" s="17" t="str">
        <x:v>泰和公園</x:v>
      </x:c>
      <x:c r="D1635" s="18" t="n">
        <x:v>26</x:v>
      </x:c>
      <x:c r="E1635" s="18" t="n">
        <x:v>26</x:v>
      </x:c>
      <x:c r="F1635" s="24" t="n">
        <x:f>IFERROR('各站彙總來源'!F1635/'各站彙總來源'!G1635,"")</x:f>
        <x:v>73.92307692307692</x:v>
      </x:c>
      <x:c r="G1635" s="19" t="n">
        <x:f>'各站彙總來源'!G1635</x:f>
        <x:v>26</x:v>
      </x:c>
      <x:c r="H1635" s="24" t="n">
        <x:f>IFERROR('各站彙總來源'!H1635/'各站彙總來源'!I1635,"")</x:f>
        <x:v>15.923076923076923</x:v>
      </x:c>
      <x:c r="I1635" s="19" t="n">
        <x:f>'各站彙總來源'!I1635</x:f>
        <x:v>26</x:v>
      </x:c>
      <x:c r="J1635" s="24" t="n">
        <x:f>IFERROR('各站彙總來源'!J1635/'各站彙總來源'!K1635,"")</x:f>
        <x:v>5.076923076923077</x:v>
      </x:c>
      <x:c r="K1635" s="19" t="n">
        <x:f>'各站彙總來源'!K1635</x:f>
        <x:v>26</x:v>
      </x:c>
      <x:c r="L1635" s="24" t="n">
        <x:f>IFERROR('各站彙總來源'!L1635/'各站彙總來源'!M1635,"")</x:f>
        <x:v>0.8846153846153846</x:v>
      </x:c>
      <x:c r="M1635" s="19" t="n">
        <x:f>'各站彙總來源'!M1635</x:f>
        <x:v>26</x:v>
      </x:c>
      <x:c r="N1635" s="24" t="n">
        <x:f>F1635+H1635</x:f>
        <x:v>89.84615384615384</x:v>
      </x:c>
      <x:c r="O1635" s="24" t="n">
        <x:f>J1635+L1635</x:f>
        <x:v>5.961538461538462</x:v>
      </x:c>
    </x:row>
    <x:row r="1636">
      <x:c r="A1636" s="22" t="str">
        <x:v>500112047</x:v>
      </x:c>
      <x:c r="B1636" s="17" t="str">
        <x:v>信義區</x:v>
      </x:c>
      <x:c r="C1636" s="17" t="str">
        <x:v>興雅國小(基隆路一段37巷)</x:v>
      </x:c>
      <x:c r="D1636" s="18" t="n">
        <x:v>26</x:v>
      </x:c>
      <x:c r="E1636" s="18" t="n">
        <x:v>26</x:v>
      </x:c>
      <x:c r="F1636" s="24" t="n">
        <x:f>IFERROR('各站彙總來源'!F1636/'各站彙總來源'!G1636,"")</x:f>
        <x:v>15.807692307692308</x:v>
      </x:c>
      <x:c r="G1636" s="19" t="n">
        <x:f>'各站彙總來源'!G1636</x:f>
        <x:v>26</x:v>
      </x:c>
      <x:c r="H1636" s="24" t="n">
        <x:f>IFERROR('各站彙總來源'!H1636/'各站彙總來源'!I1636,"")</x:f>
        <x:v>3.1538461538461537</x:v>
      </x:c>
      <x:c r="I1636" s="19" t="n">
        <x:f>'各站彙總來源'!I1636</x:f>
        <x:v>26</x:v>
      </x:c>
      <x:c r="J1636" s="24" t="n">
        <x:f>IFERROR('各站彙總來源'!J1636/'各站彙總來源'!K1636,"")</x:f>
        <x:v>4.576923076923077</x:v>
      </x:c>
      <x:c r="K1636" s="19" t="n">
        <x:f>'各站彙總來源'!K1636</x:f>
        <x:v>26</x:v>
      </x:c>
      <x:c r="L1636" s="24" t="n">
        <x:f>IFERROR('各站彙總來源'!L1636/'各站彙總來源'!M1636,"")</x:f>
        <x:v>0.5769230769230769</x:v>
      </x:c>
      <x:c r="M1636" s="19" t="n">
        <x:f>'各站彙總來源'!M1636</x:f>
        <x:v>26</x:v>
      </x:c>
      <x:c r="N1636" s="24" t="n">
        <x:f>F1636+H1636</x:f>
        <x:v>18.961538461538463</x:v>
      </x:c>
      <x:c r="O1636" s="24" t="n">
        <x:f>J1636+L1636</x:f>
        <x:v>5.153846153846153</x:v>
      </x:c>
    </x:row>
    <x:row r="1637">
      <x:c r="A1637" s="22" t="str">
        <x:v>500112048</x:v>
      </x:c>
      <x:c r="B1637" s="17" t="str">
        <x:v>信義區</x:v>
      </x:c>
      <x:c r="C1637" s="17" t="str">
        <x:v>雅祥公園(松信路50巷口)</x:v>
      </x:c>
      <x:c r="D1637" s="18" t="n">
        <x:v>26</x:v>
      </x:c>
      <x:c r="E1637" s="18" t="n">
        <x:v>26</x:v>
      </x:c>
      <x:c r="F1637" s="24" t="n">
        <x:f>IFERROR('各站彙總來源'!F1637/'各站彙總來源'!G1637,"")</x:f>
        <x:v>15.5</x:v>
      </x:c>
      <x:c r="G1637" s="19" t="n">
        <x:f>'各站彙總來源'!G1637</x:f>
        <x:v>26</x:v>
      </x:c>
      <x:c r="H1637" s="24" t="n">
        <x:f>IFERROR('各站彙總來源'!H1637/'各站彙總來源'!I1637,"")</x:f>
        <x:v>2.230769230769231</x:v>
      </x:c>
      <x:c r="I1637" s="19" t="n">
        <x:f>'各站彙總來源'!I1637</x:f>
        <x:v>26</x:v>
      </x:c>
      <x:c r="J1637" s="24" t="n">
        <x:f>IFERROR('各站彙總來源'!J1637/'各站彙總來源'!K1637,"")</x:f>
        <x:v>7.423076923076923</x:v>
      </x:c>
      <x:c r="K1637" s="19" t="n">
        <x:f>'各站彙總來源'!K1637</x:f>
        <x:v>26</x:v>
      </x:c>
      <x:c r="L1637" s="24" t="n">
        <x:f>IFERROR('各站彙總來源'!L1637/'各站彙總來源'!M1637,"")</x:f>
        <x:v>1.8076923076923077</x:v>
      </x:c>
      <x:c r="M1637" s="19" t="n">
        <x:f>'各站彙總來源'!M1637</x:f>
        <x:v>26</x:v>
      </x:c>
      <x:c r="N1637" s="24" t="n">
        <x:f>F1637+H1637</x:f>
        <x:v>17.73076923076923</x:v>
      </x:c>
      <x:c r="O1637" s="24" t="n">
        <x:f>J1637+L1637</x:f>
        <x:v>9.230769230769232</x:v>
      </x:c>
    </x:row>
    <x:row r="1638">
      <x:c r="A1638" s="22" t="str">
        <x:v>500112049</x:v>
      </x:c>
      <x:c r="B1638" s="17" t="str">
        <x:v>信義區</x:v>
      </x:c>
      <x:c r="C1638" s="17" t="str">
        <x:v>松山車站</x:v>
      </x:c>
      <x:c r="D1638" s="18" t="n">
        <x:v>26</x:v>
      </x:c>
      <x:c r="E1638" s="18" t="n">
        <x:v>26</x:v>
      </x:c>
      <x:c r="F1638" s="24" t="n">
        <x:f>IFERROR('各站彙總來源'!F1638/'各站彙總來源'!G1638,"")</x:f>
        <x:v>19.807692307692307</x:v>
      </x:c>
      <x:c r="G1638" s="19" t="n">
        <x:f>'各站彙總來源'!G1638</x:f>
        <x:v>26</x:v>
      </x:c>
      <x:c r="H1638" s="24" t="n">
        <x:f>IFERROR('各站彙總來源'!H1638/'各站彙總來源'!I1638,"")</x:f>
        <x:v>3.076923076923077</x:v>
      </x:c>
      <x:c r="I1638" s="19" t="n">
        <x:f>'各站彙總來源'!I1638</x:f>
        <x:v>26</x:v>
      </x:c>
      <x:c r="J1638" s="24" t="n">
        <x:f>IFERROR('各站彙總來源'!J1638/'各站彙總來源'!K1638,"")</x:f>
        <x:v>14.461538461538462</x:v>
      </x:c>
      <x:c r="K1638" s="19" t="n">
        <x:f>'各站彙總來源'!K1638</x:f>
        <x:v>26</x:v>
      </x:c>
      <x:c r="L1638" s="24" t="n">
        <x:f>IFERROR('各站彙總來源'!L1638/'各站彙總來源'!M1638,"")</x:f>
        <x:v>1.9615384615384615</x:v>
      </x:c>
      <x:c r="M1638" s="19" t="n">
        <x:f>'各站彙總來源'!M1638</x:f>
        <x:v>26</x:v>
      </x:c>
      <x:c r="N1638" s="24" t="n">
        <x:f>F1638+H1638</x:f>
        <x:v>22.884615384615383</x:v>
      </x:c>
      <x:c r="O1638" s="24" t="n">
        <x:f>J1638+L1638</x:f>
        <x:v>16.423076923076923</x:v>
      </x:c>
    </x:row>
    <x:row r="1639">
      <x:c r="A1639" s="22" t="str">
        <x:v>500112050</x:v>
      </x:c>
      <x:c r="B1639" s="17" t="str">
        <x:v>信義區</x:v>
      </x:c>
      <x:c r="C1639" s="17" t="str">
        <x:v>五常公園</x:v>
      </x:c>
      <x:c r="D1639" s="18" t="n">
        <x:v>26</x:v>
      </x:c>
      <x:c r="E1639" s="18" t="n">
        <x:v>26</x:v>
      </x:c>
      <x:c r="F1639" s="24" t="n">
        <x:f>IFERROR('各站彙總來源'!F1639/'各站彙總來源'!G1639,"")</x:f>
        <x:v>26.53846153846154</x:v>
      </x:c>
      <x:c r="G1639" s="19" t="n">
        <x:f>'各站彙總來源'!G1639</x:f>
        <x:v>26</x:v>
      </x:c>
      <x:c r="H1639" s="24" t="n">
        <x:f>IFERROR('各站彙總來源'!H1639/'各站彙總來源'!I1639,"")</x:f>
        <x:v>4.461538461538462</x:v>
      </x:c>
      <x:c r="I1639" s="19" t="n">
        <x:f>'各站彙總來源'!I1639</x:f>
        <x:v>26</x:v>
      </x:c>
      <x:c r="J1639" s="24" t="n">
        <x:f>IFERROR('各站彙總來源'!J1639/'各站彙總來源'!K1639,"")</x:f>
        <x:v>5.038461538461538</x:v>
      </x:c>
      <x:c r="K1639" s="19" t="n">
        <x:f>'各站彙總來源'!K1639</x:f>
        <x:v>26</x:v>
      </x:c>
      <x:c r="L1639" s="24" t="n">
        <x:f>IFERROR('各站彙總來源'!L1639/'各站彙總來源'!M1639,"")</x:f>
        <x:v>1.3076923076923077</x:v>
      </x:c>
      <x:c r="M1639" s="19" t="n">
        <x:f>'各站彙總來源'!M1639</x:f>
        <x:v>26</x:v>
      </x:c>
      <x:c r="N1639" s="24" t="n">
        <x:f>F1639+H1639</x:f>
        <x:v>31</x:v>
      </x:c>
      <x:c r="O1639" s="24" t="n">
        <x:f>J1639+L1639</x:f>
        <x:v>6.346153846153846</x:v>
      </x:c>
    </x:row>
    <x:row r="1640">
      <x:c r="A1640" s="22" t="str">
        <x:v>500112051</x:v>
      </x:c>
      <x:c r="B1640" s="17" t="str">
        <x:v>信義區</x:v>
      </x:c>
      <x:c r="C1640" s="17" t="str">
        <x:v>永吉松信路口</x:v>
      </x:c>
      <x:c r="D1640" s="18" t="n">
        <x:v>26</x:v>
      </x:c>
      <x:c r="E1640" s="18" t="n">
        <x:v>26</x:v>
      </x:c>
      <x:c r="F1640" s="24" t="n">
        <x:f>IFERROR('各站彙總來源'!F1640/'各站彙總來源'!G1640,"")</x:f>
        <x:v>54.11538461538461</x:v>
      </x:c>
      <x:c r="G1640" s="19" t="n">
        <x:f>'各站彙總來源'!G1640</x:f>
        <x:v>26</x:v>
      </x:c>
      <x:c r="H1640" s="24" t="n">
        <x:f>IFERROR('各站彙總來源'!H1640/'各站彙總來源'!I1640,"")</x:f>
        <x:v>4.3076923076923075</x:v>
      </x:c>
      <x:c r="I1640" s="19" t="n">
        <x:f>'各站彙總來源'!I1640</x:f>
        <x:v>26</x:v>
      </x:c>
      <x:c r="J1640" s="24" t="n">
        <x:f>IFERROR('各站彙總來源'!J1640/'各站彙總來源'!K1640,"")</x:f>
        <x:v>8.346153846153847</x:v>
      </x:c>
      <x:c r="K1640" s="19" t="n">
        <x:f>'各站彙總來源'!K1640</x:f>
        <x:v>26</x:v>
      </x:c>
      <x:c r="L1640" s="24" t="n">
        <x:f>IFERROR('各站彙總來源'!L1640/'各站彙總來源'!M1640,"")</x:f>
        <x:v>1.3846153846153846</x:v>
      </x:c>
      <x:c r="M1640" s="19" t="n">
        <x:f>'各站彙總來源'!M1640</x:f>
        <x:v>26</x:v>
      </x:c>
      <x:c r="N1640" s="24" t="n">
        <x:f>F1640+H1640</x:f>
        <x:v>58.42307692307692</x:v>
      </x:c>
      <x:c r="O1640" s="24" t="n">
        <x:f>J1640+L1640</x:f>
        <x:v>9.730769230769232</x:v>
      </x:c>
    </x:row>
    <x:row r="1641">
      <x:c r="A1641" s="22" t="str">
        <x:v>500112052</x:v>
      </x:c>
      <x:c r="B1641" s="17" t="str">
        <x:v>信義區</x:v>
      </x:c>
      <x:c r="C1641" s="17" t="str">
        <x:v>三興國小</x:v>
      </x:c>
      <x:c r="D1641" s="18" t="n">
        <x:v>26</x:v>
      </x:c>
      <x:c r="E1641" s="18" t="n">
        <x:v>26</x:v>
      </x:c>
      <x:c r="F1641" s="24" t="n">
        <x:f>IFERROR('各站彙總來源'!F1641/'各站彙總來源'!G1641,"")</x:f>
        <x:v>13.307692307692308</x:v>
      </x:c>
      <x:c r="G1641" s="19" t="n">
        <x:f>'各站彙總來源'!G1641</x:f>
        <x:v>26</x:v>
      </x:c>
      <x:c r="H1641" s="24" t="n">
        <x:f>IFERROR('各站彙總來源'!H1641/'各站彙總來源'!I1641,"")</x:f>
        <x:v>1.9230769230769231</x:v>
      </x:c>
      <x:c r="I1641" s="19" t="n">
        <x:f>'各站彙總來源'!I1641</x:f>
        <x:v>26</x:v>
      </x:c>
      <x:c r="J1641" s="24" t="n">
        <x:f>IFERROR('各站彙總來源'!J1641/'各站彙總來源'!K1641,"")</x:f>
        <x:v>4.961538461538462</x:v>
      </x:c>
      <x:c r="K1641" s="19" t="n">
        <x:f>'各站彙總來源'!K1641</x:f>
        <x:v>26</x:v>
      </x:c>
      <x:c r="L1641" s="24" t="n">
        <x:f>IFERROR('各站彙總來源'!L1641/'各站彙總來源'!M1641,"")</x:f>
        <x:v>1.4230769230769231</x:v>
      </x:c>
      <x:c r="M1641" s="19" t="n">
        <x:f>'各站彙總來源'!M1641</x:f>
        <x:v>26</x:v>
      </x:c>
      <x:c r="N1641" s="24" t="n">
        <x:f>F1641+H1641</x:f>
        <x:v>15.230769230769232</x:v>
      </x:c>
      <x:c r="O1641" s="24" t="n">
        <x:f>J1641+L1641</x:f>
        <x:v>6.384615384615385</x:v>
      </x:c>
    </x:row>
    <x:row r="1642">
      <x:c r="A1642" s="22" t="str">
        <x:v>500112053</x:v>
      </x:c>
      <x:c r="B1642" s="17" t="str">
        <x:v>信義區</x:v>
      </x:c>
      <x:c r="C1642" s="17" t="str">
        <x:v>市民松信路口</x:v>
      </x:c>
      <x:c r="D1642" s="18" t="n">
        <x:v>26</x:v>
      </x:c>
      <x:c r="E1642" s="18" t="n">
        <x:v>26</x:v>
      </x:c>
      <x:c r="F1642" s="24" t="n">
        <x:f>IFERROR('各站彙總來源'!F1642/'各站彙總來源'!G1642,"")</x:f>
        <x:v>14.76923076923077</x:v>
      </x:c>
      <x:c r="G1642" s="19" t="n">
        <x:f>'各站彙總來源'!G1642</x:f>
        <x:v>26</x:v>
      </x:c>
      <x:c r="H1642" s="24" t="n">
        <x:f>IFERROR('各站彙總來源'!H1642/'各站彙總來源'!I1642,"")</x:f>
        <x:v>1.7307692307692308</x:v>
      </x:c>
      <x:c r="I1642" s="19" t="n">
        <x:f>'各站彙總來源'!I1642</x:f>
        <x:v>26</x:v>
      </x:c>
      <x:c r="J1642" s="24" t="n">
        <x:f>IFERROR('各站彙總來源'!J1642/'各站彙總來源'!K1642,"")</x:f>
        <x:v>3.3846153846153846</x:v>
      </x:c>
      <x:c r="K1642" s="19" t="n">
        <x:f>'各站彙總來源'!K1642</x:f>
        <x:v>26</x:v>
      </x:c>
      <x:c r="L1642" s="24" t="n">
        <x:f>IFERROR('各站彙總來源'!L1642/'各站彙總來源'!M1642,"")</x:f>
        <x:v>0.38461538461538464</x:v>
      </x:c>
      <x:c r="M1642" s="19" t="n">
        <x:f>'各站彙總來源'!M1642</x:f>
        <x:v>26</x:v>
      </x:c>
      <x:c r="N1642" s="24" t="n">
        <x:f>F1642+H1642</x:f>
        <x:v>16.5</x:v>
      </x:c>
      <x:c r="O1642" s="24" t="n">
        <x:f>J1642+L1642</x:f>
        <x:v>3.769230769230769</x:v>
      </x:c>
    </x:row>
    <x:row r="1643">
      <x:c r="A1643" s="22" t="str">
        <x:v>500112054</x:v>
      </x:c>
      <x:c r="B1643" s="17" t="str">
        <x:v>信義區</x:v>
      </x:c>
      <x:c r="C1643" s="17" t="str">
        <x:v>松山高中</x:v>
      </x:c>
      <x:c r="D1643" s="18" t="n">
        <x:v>26</x:v>
      </x:c>
      <x:c r="E1643" s="18" t="n">
        <x:v>26</x:v>
      </x:c>
      <x:c r="F1643" s="24" t="n">
        <x:f>IFERROR('各站彙總來源'!F1643/'各站彙總來源'!G1643,"")</x:f>
        <x:v>7.269230769230769</x:v>
      </x:c>
      <x:c r="G1643" s="19" t="n">
        <x:f>'各站彙總來源'!G1643</x:f>
        <x:v>26</x:v>
      </x:c>
      <x:c r="H1643" s="24" t="n">
        <x:f>IFERROR('各站彙總來源'!H1643/'各站彙總來源'!I1643,"")</x:f>
        <x:v>2.3846153846153846</x:v>
      </x:c>
      <x:c r="I1643" s="19" t="n">
        <x:f>'各站彙總來源'!I1643</x:f>
        <x:v>26</x:v>
      </x:c>
      <x:c r="J1643" s="24" t="n">
        <x:f>IFERROR('各站彙總來源'!J1643/'各站彙總來源'!K1643,"")</x:f>
        <x:v>27.923076923076923</x:v>
      </x:c>
      <x:c r="K1643" s="19" t="n">
        <x:f>'各站彙總來源'!K1643</x:f>
        <x:v>26</x:v>
      </x:c>
      <x:c r="L1643" s="24" t="n">
        <x:f>IFERROR('各站彙總來源'!L1643/'各站彙總來源'!M1643,"")</x:f>
        <x:v>3.1153846153846154</x:v>
      </x:c>
      <x:c r="M1643" s="19" t="n">
        <x:f>'各站彙總來源'!M1643</x:f>
        <x:v>26</x:v>
      </x:c>
      <x:c r="N1643" s="24" t="n">
        <x:f>F1643+H1643</x:f>
        <x:v>9.653846153846153</x:v>
      </x:c>
      <x:c r="O1643" s="24" t="n">
        <x:f>J1643+L1643</x:f>
        <x:v>31.03846153846154</x:v>
      </x:c>
    </x:row>
    <x:row r="1644">
      <x:c r="A1644" s="22" t="str">
        <x:v>500112055</x:v>
      </x:c>
      <x:c r="B1644" s="17" t="str">
        <x:v>信義區</x:v>
      </x:c>
      <x:c r="C1644" s="17" t="str">
        <x:v>基隆光復路口</x:v>
      </x:c>
      <x:c r="D1644" s="18" t="n">
        <x:v>26</x:v>
      </x:c>
      <x:c r="E1644" s="18" t="n">
        <x:v>26</x:v>
      </x:c>
      <x:c r="F1644" s="24" t="n">
        <x:f>IFERROR('各站彙總來源'!F1644/'各站彙總來源'!G1644,"")</x:f>
        <x:v>17.807692307692307</x:v>
      </x:c>
      <x:c r="G1644" s="19" t="n">
        <x:f>'各站彙總來源'!G1644</x:f>
        <x:v>26</x:v>
      </x:c>
      <x:c r="H1644" s="24" t="n">
        <x:f>IFERROR('各站彙總來源'!H1644/'各站彙總來源'!I1644,"")</x:f>
        <x:v>1.7307692307692308</x:v>
      </x:c>
      <x:c r="I1644" s="19" t="n">
        <x:f>'各站彙總來源'!I1644</x:f>
        <x:v>26</x:v>
      </x:c>
      <x:c r="J1644" s="24" t="n">
        <x:f>IFERROR('各站彙總來源'!J1644/'各站彙總來源'!K1644,"")</x:f>
        <x:v>3.730769230769231</x:v>
      </x:c>
      <x:c r="K1644" s="19" t="n">
        <x:f>'各站彙總來源'!K1644</x:f>
        <x:v>26</x:v>
      </x:c>
      <x:c r="L1644" s="24" t="n">
        <x:f>IFERROR('各站彙總來源'!L1644/'各站彙總來源'!M1644,"")</x:f>
        <x:v>0.5769230769230769</x:v>
      </x:c>
      <x:c r="M1644" s="19" t="n">
        <x:f>'各站彙總來源'!M1644</x:f>
        <x:v>26</x:v>
      </x:c>
      <x:c r="N1644" s="24" t="n">
        <x:f>F1644+H1644</x:f>
        <x:v>19.538461538461537</x:v>
      </x:c>
      <x:c r="O1644" s="24" t="n">
        <x:f>J1644+L1644</x:f>
        <x:v>4.3076923076923075</x:v>
      </x:c>
    </x:row>
    <x:row r="1645">
      <x:c r="A1645" s="22" t="str">
        <x:v>500112056</x:v>
      </x:c>
      <x:c r="B1645" s="17" t="str">
        <x:v>信義區</x:v>
      </x:c>
      <x:c r="C1645" s="17" t="str">
        <x:v>基隆忠孝路口西南側</x:v>
      </x:c>
      <x:c r="D1645" s="18" t="n">
        <x:v>26</x:v>
      </x:c>
      <x:c r="E1645" s="18" t="n">
        <x:v>26</x:v>
      </x:c>
      <x:c r="F1645" s="24" t="n">
        <x:f>IFERROR('各站彙總來源'!F1645/'各站彙總來源'!G1645,"")</x:f>
        <x:v>6.384615384615385</x:v>
      </x:c>
      <x:c r="G1645" s="19" t="n">
        <x:f>'各站彙總來源'!G1645</x:f>
        <x:v>26</x:v>
      </x:c>
      <x:c r="H1645" s="24" t="n">
        <x:f>IFERROR('各站彙總來源'!H1645/'各站彙總來源'!I1645,"")</x:f>
        <x:v>1.5384615384615385</x:v>
      </x:c>
      <x:c r="I1645" s="19" t="n">
        <x:f>'各站彙總來源'!I1645</x:f>
        <x:v>26</x:v>
      </x:c>
      <x:c r="J1645" s="24" t="n">
        <x:f>IFERROR('各站彙總來源'!J1645/'各站彙總來源'!K1645,"")</x:f>
        <x:v>14.884615384615385</x:v>
      </x:c>
      <x:c r="K1645" s="19" t="n">
        <x:f>'各站彙總來源'!K1645</x:f>
        <x:v>26</x:v>
      </x:c>
      <x:c r="L1645" s="24" t="n">
        <x:f>IFERROR('各站彙總來源'!L1645/'各站彙總來源'!M1645,"")</x:f>
        <x:v>4.615384615384615</x:v>
      </x:c>
      <x:c r="M1645" s="19" t="n">
        <x:f>'各站彙總來源'!M1645</x:f>
        <x:v>26</x:v>
      </x:c>
      <x:c r="N1645" s="24" t="n">
        <x:f>F1645+H1645</x:f>
        <x:v>7.923076923076923</x:v>
      </x:c>
      <x:c r="O1645" s="24" t="n">
        <x:f>J1645+L1645</x:f>
        <x:v>19.5</x:v>
      </x:c>
    </x:row>
    <x:row r="1646">
      <x:c r="A1646" s="22" t="str">
        <x:v>500112057</x:v>
      </x:c>
      <x:c r="B1646" s="17" t="str">
        <x:v>信義區</x:v>
      </x:c>
      <x:c r="C1646" s="17" t="str">
        <x:v>泰和里民活動中心</x:v>
      </x:c>
      <x:c r="D1646" s="18" t="n">
        <x:v>26</x:v>
      </x:c>
      <x:c r="E1646" s="18" t="n">
        <x:v>26</x:v>
      </x:c>
      <x:c r="F1646" s="24" t="n">
        <x:f>IFERROR('各站彙總來源'!F1646/'各站彙總來源'!G1646,"")</x:f>
        <x:v>42.88461538461539</x:v>
      </x:c>
      <x:c r="G1646" s="19" t="n">
        <x:f>'各站彙總來源'!G1646</x:f>
        <x:v>26</x:v>
      </x:c>
      <x:c r="H1646" s="24" t="n">
        <x:f>IFERROR('各站彙總來源'!H1646/'各站彙總來源'!I1646,"")</x:f>
        <x:v>5.346153846153846</x:v>
      </x:c>
      <x:c r="I1646" s="19" t="n">
        <x:f>'各站彙總來源'!I1646</x:f>
        <x:v>26</x:v>
      </x:c>
      <x:c r="J1646" s="24" t="n">
        <x:f>IFERROR('各站彙總來源'!J1646/'各站彙總來源'!K1646,"")</x:f>
        <x:v>4.5</x:v>
      </x:c>
      <x:c r="K1646" s="19" t="n">
        <x:f>'各站彙總來源'!K1646</x:f>
        <x:v>26</x:v>
      </x:c>
      <x:c r="L1646" s="24" t="n">
        <x:f>IFERROR('各站彙總來源'!L1646/'各站彙總來源'!M1646,"")</x:f>
        <x:v>1.4230769230769231</x:v>
      </x:c>
      <x:c r="M1646" s="19" t="n">
        <x:f>'各站彙總來源'!M1646</x:f>
        <x:v>26</x:v>
      </x:c>
      <x:c r="N1646" s="24" t="n">
        <x:f>F1646+H1646</x:f>
        <x:v>48.23076923076923</x:v>
      </x:c>
      <x:c r="O1646" s="24" t="n">
        <x:f>J1646+L1646</x:f>
        <x:v>5.923076923076923</x:v>
      </x:c>
    </x:row>
    <x:row r="1647">
      <x:c r="A1647" s="22" t="str">
        <x:v>500112058</x:v>
      </x:c>
      <x:c r="B1647" s="17" t="str">
        <x:v>信義區</x:v>
      </x:c>
      <x:c r="C1647" s="17" t="str">
        <x:v>捷運後山埤站(2號出口)</x:v>
      </x:c>
      <x:c r="D1647" s="18" t="n">
        <x:v>26</x:v>
      </x:c>
      <x:c r="E1647" s="18" t="n">
        <x:v>26</x:v>
      </x:c>
      <x:c r="F1647" s="24" t="n">
        <x:f>IFERROR('各站彙總來源'!F1647/'各站彙總來源'!G1647,"")</x:f>
        <x:v>9.76923076923077</x:v>
      </x:c>
      <x:c r="G1647" s="19" t="n">
        <x:f>'各站彙總來源'!G1647</x:f>
        <x:v>26</x:v>
      </x:c>
      <x:c r="H1647" s="24" t="n">
        <x:f>IFERROR('各站彙總來源'!H1647/'各站彙總來源'!I1647,"")</x:f>
        <x:v>1.1153846153846154</x:v>
      </x:c>
      <x:c r="I1647" s="19" t="n">
        <x:f>'各站彙總來源'!I1647</x:f>
        <x:v>26</x:v>
      </x:c>
      <x:c r="J1647" s="24" t="n">
        <x:f>IFERROR('各站彙總來源'!J1647/'各站彙總來源'!K1647,"")</x:f>
        <x:v>12.461538461538462</x:v>
      </x:c>
      <x:c r="K1647" s="19" t="n">
        <x:f>'各站彙總來源'!K1647</x:f>
        <x:v>26</x:v>
      </x:c>
      <x:c r="L1647" s="24" t="n">
        <x:f>IFERROR('各站彙總來源'!L1647/'各站彙總來源'!M1647,"")</x:f>
        <x:v>2.5384615384615383</x:v>
      </x:c>
      <x:c r="M1647" s="19" t="n">
        <x:f>'各站彙總來源'!M1647</x:f>
        <x:v>26</x:v>
      </x:c>
      <x:c r="N1647" s="24" t="n">
        <x:f>F1647+H1647</x:f>
        <x:v>10.884615384615385</x:v>
      </x:c>
      <x:c r="O1647" s="24" t="n">
        <x:f>J1647+L1647</x:f>
        <x:v>15</x:v>
      </x:c>
    </x:row>
    <x:row r="1648">
      <x:c r="A1648" s="22" t="str">
        <x:v>500112059</x:v>
      </x:c>
      <x:c r="B1648" s="17" t="str">
        <x:v>信義區</x:v>
      </x:c>
      <x:c r="C1648" s="17" t="str">
        <x:v>虎林永吉路口</x:v>
      </x:c>
      <x:c r="D1648" s="18" t="n">
        <x:v>26</x:v>
      </x:c>
      <x:c r="E1648" s="18" t="n">
        <x:v>26</x:v>
      </x:c>
      <x:c r="F1648" s="24" t="n">
        <x:f>IFERROR('各站彙總來源'!F1648/'各站彙總來源'!G1648,"")</x:f>
        <x:v>28.846153846153847</x:v>
      </x:c>
      <x:c r="G1648" s="19" t="n">
        <x:f>'各站彙總來源'!G1648</x:f>
        <x:v>26</x:v>
      </x:c>
      <x:c r="H1648" s="24" t="n">
        <x:f>IFERROR('各站彙總來源'!H1648/'各站彙總來源'!I1648,"")</x:f>
        <x:v>1.6923076923076923</x:v>
      </x:c>
      <x:c r="I1648" s="19" t="n">
        <x:f>'各站彙總來源'!I1648</x:f>
        <x:v>26</x:v>
      </x:c>
      <x:c r="J1648" s="24" t="n">
        <x:f>IFERROR('各站彙總來源'!J1648/'各站彙總來源'!K1648,"")</x:f>
        <x:v>5.576923076923077</x:v>
      </x:c>
      <x:c r="K1648" s="19" t="n">
        <x:f>'各站彙總來源'!K1648</x:f>
        <x:v>26</x:v>
      </x:c>
      <x:c r="L1648" s="24" t="n">
        <x:f>IFERROR('各站彙總來源'!L1648/'各站彙總來源'!M1648,"")</x:f>
        <x:v>1.4230769230769231</x:v>
      </x:c>
      <x:c r="M1648" s="19" t="n">
        <x:f>'各站彙總來源'!M1648</x:f>
        <x:v>26</x:v>
      </x:c>
      <x:c r="N1648" s="24" t="n">
        <x:f>F1648+H1648</x:f>
        <x:v>30.53846153846154</x:v>
      </x:c>
      <x:c r="O1648" s="24" t="n">
        <x:f>J1648+L1648</x:f>
        <x:v>7</x:v>
      </x:c>
    </x:row>
    <x:row r="1649">
      <x:c r="A1649" s="22" t="str">
        <x:v>500112060</x:v>
      </x:c>
      <x:c r="B1649" s="17" t="str">
        <x:v>信義區</x:v>
      </x:c>
      <x:c r="C1649" s="17" t="str">
        <x:v>永吉公園</x:v>
      </x:c>
      <x:c r="D1649" s="18" t="n">
        <x:v>26</x:v>
      </x:c>
      <x:c r="E1649" s="18" t="n">
        <x:v>26</x:v>
      </x:c>
      <x:c r="F1649" s="24" t="n">
        <x:f>IFERROR('各站彙總來源'!F1649/'各站彙總來源'!G1649,"")</x:f>
        <x:v>43.61538461538461</x:v>
      </x:c>
      <x:c r="G1649" s="19" t="n">
        <x:f>'各站彙總來源'!G1649</x:f>
        <x:v>26</x:v>
      </x:c>
      <x:c r="H1649" s="24" t="n">
        <x:f>IFERROR('各站彙總來源'!H1649/'各站彙總來源'!I1649,"")</x:f>
        <x:v>3</x:v>
      </x:c>
      <x:c r="I1649" s="19" t="n">
        <x:f>'各站彙總來源'!I1649</x:f>
        <x:v>26</x:v>
      </x:c>
      <x:c r="J1649" s="24" t="n">
        <x:f>IFERROR('各站彙總來源'!J1649/'各站彙總來源'!K1649,"")</x:f>
        <x:v>6.576923076923077</x:v>
      </x:c>
      <x:c r="K1649" s="19" t="n">
        <x:f>'各站彙總來源'!K1649</x:f>
        <x:v>26</x:v>
      </x:c>
      <x:c r="L1649" s="24" t="n">
        <x:f>IFERROR('各站彙總來源'!L1649/'各站彙總來源'!M1649,"")</x:f>
        <x:v>1.1153846153846154</x:v>
      </x:c>
      <x:c r="M1649" s="19" t="n">
        <x:f>'各站彙總來源'!M1649</x:f>
        <x:v>26</x:v>
      </x:c>
      <x:c r="N1649" s="24" t="n">
        <x:f>F1649+H1649</x:f>
        <x:v>46.61538461538461</x:v>
      </x:c>
      <x:c r="O1649" s="24" t="n">
        <x:f>J1649+L1649</x:f>
        <x:v>7.692307692307692</x:v>
      </x:c>
    </x:row>
    <x:row r="1650">
      <x:c r="A1650" s="22" t="str">
        <x:v>500112061</x:v>
      </x:c>
      <x:c r="B1650" s="17" t="str">
        <x:v>信義區</x:v>
      </x:c>
      <x:c r="C1650" s="17" t="str">
        <x:v>永吉路321巷口</x:v>
      </x:c>
      <x:c r="D1650" s="18" t="n">
        <x:v>26</x:v>
      </x:c>
      <x:c r="E1650" s="18" t="n">
        <x:v>26</x:v>
      </x:c>
      <x:c r="F1650" s="24" t="n">
        <x:f>IFERROR('各站彙總來源'!F1650/'各站彙總來源'!G1650,"")</x:f>
        <x:v>26.26923076923077</x:v>
      </x:c>
      <x:c r="G1650" s="19" t="n">
        <x:f>'各站彙總來源'!G1650</x:f>
        <x:v>26</x:v>
      </x:c>
      <x:c r="H1650" s="24" t="n">
        <x:f>IFERROR('各站彙總來源'!H1650/'各站彙總來源'!I1650,"")</x:f>
        <x:v>2</x:v>
      </x:c>
      <x:c r="I1650" s="19" t="n">
        <x:f>'各站彙總來源'!I1650</x:f>
        <x:v>26</x:v>
      </x:c>
      <x:c r="J1650" s="24" t="n">
        <x:f>IFERROR('各站彙總來源'!J1650/'各站彙總來源'!K1650,"")</x:f>
        <x:v>3.5</x:v>
      </x:c>
      <x:c r="K1650" s="19" t="n">
        <x:f>'各站彙總來源'!K1650</x:f>
        <x:v>26</x:v>
      </x:c>
      <x:c r="L1650" s="24" t="n">
        <x:f>IFERROR('各站彙總來源'!L1650/'各站彙總來源'!M1650,"")</x:f>
        <x:v>1.4230769230769231</x:v>
      </x:c>
      <x:c r="M1650" s="19" t="n">
        <x:f>'各站彙總來源'!M1650</x:f>
        <x:v>26</x:v>
      </x:c>
      <x:c r="N1650" s="24" t="n">
        <x:f>F1650+H1650</x:f>
        <x:v>28.26923076923077</x:v>
      </x:c>
      <x:c r="O1650" s="24" t="n">
        <x:f>J1650+L1650</x:f>
        <x:v>4.923076923076923</x:v>
      </x:c>
    </x:row>
    <x:row r="1651">
      <x:c r="A1651" s="22" t="str">
        <x:v>500112062</x:v>
      </x:c>
      <x:c r="B1651" s="17" t="str">
        <x:v>信義區</x:v>
      </x:c>
      <x:c r="C1651" s="17" t="str">
        <x:v>松山永吉路口</x:v>
      </x:c>
      <x:c r="D1651" s="18" t="n">
        <x:v>26</x:v>
      </x:c>
      <x:c r="E1651" s="18" t="n">
        <x:v>26</x:v>
      </x:c>
      <x:c r="F1651" s="24" t="n">
        <x:f>IFERROR('各站彙總來源'!F1651/'各站彙總來源'!G1651,"")</x:f>
        <x:v>7.884615384615385</x:v>
      </x:c>
      <x:c r="G1651" s="19" t="n">
        <x:f>'各站彙總來源'!G1651</x:f>
        <x:v>26</x:v>
      </x:c>
      <x:c r="H1651" s="24" t="n">
        <x:f>IFERROR('各站彙總來源'!H1651/'各站彙總來源'!I1651,"")</x:f>
        <x:v>1.3461538461538463</x:v>
      </x:c>
      <x:c r="I1651" s="19" t="n">
        <x:f>'各站彙總來源'!I1651</x:f>
        <x:v>26</x:v>
      </x:c>
      <x:c r="J1651" s="24" t="n">
        <x:f>IFERROR('各站彙總來源'!J1651/'各站彙總來源'!K1651,"")</x:f>
        <x:v>7.423076923076923</x:v>
      </x:c>
      <x:c r="K1651" s="19" t="n">
        <x:f>'各站彙總來源'!K1651</x:f>
        <x:v>26</x:v>
      </x:c>
      <x:c r="L1651" s="24" t="n">
        <x:f>IFERROR('各站彙總來源'!L1651/'各站彙總來源'!M1651,"")</x:f>
        <x:v>1.7307692307692308</x:v>
      </x:c>
      <x:c r="M1651" s="19" t="n">
        <x:f>'各站彙總來源'!M1651</x:f>
        <x:v>26</x:v>
      </x:c>
      <x:c r="N1651" s="24" t="n">
        <x:f>F1651+H1651</x:f>
        <x:v>9.230769230769232</x:v>
      </x:c>
      <x:c r="O1651" s="24" t="n">
        <x:f>J1651+L1651</x:f>
        <x:v>9.153846153846153</x:v>
      </x:c>
    </x:row>
    <x:row r="1652">
      <x:c r="A1652" s="22" t="str">
        <x:v>500112063</x:v>
      </x:c>
      <x:c r="B1652" s="17" t="str">
        <x:v>信義區</x:v>
      </x:c>
      <x:c r="C1652" s="17" t="str">
        <x:v>松山路292巷口</x:v>
      </x:c>
      <x:c r="D1652" s="18" t="n">
        <x:v>26</x:v>
      </x:c>
      <x:c r="E1652" s="18" t="n">
        <x:v>26</x:v>
      </x:c>
      <x:c r="F1652" s="24" t="n">
        <x:f>IFERROR('各站彙總來源'!F1652/'各站彙總來源'!G1652,"")</x:f>
        <x:v>12.615384615384615</x:v>
      </x:c>
      <x:c r="G1652" s="19" t="n">
        <x:f>'各站彙總來源'!G1652</x:f>
        <x:v>26</x:v>
      </x:c>
      <x:c r="H1652" s="24" t="n">
        <x:f>IFERROR('各站彙總來源'!H1652/'各站彙總來源'!I1652,"")</x:f>
        <x:v>2.576923076923077</x:v>
      </x:c>
      <x:c r="I1652" s="19" t="n">
        <x:f>'各站彙總來源'!I1652</x:f>
        <x:v>26</x:v>
      </x:c>
      <x:c r="J1652" s="24" t="n">
        <x:f>IFERROR('各站彙總來源'!J1652/'各站彙總來源'!K1652,"")</x:f>
        <x:v>7.730769230769231</x:v>
      </x:c>
      <x:c r="K1652" s="19" t="n">
        <x:f>'各站彙總來源'!K1652</x:f>
        <x:v>26</x:v>
      </x:c>
      <x:c r="L1652" s="24" t="n">
        <x:f>IFERROR('各站彙總來源'!L1652/'各站彙總來源'!M1652,"")</x:f>
        <x:v>1.2307692307692308</x:v>
      </x:c>
      <x:c r="M1652" s="19" t="n">
        <x:f>'各站彙總來源'!M1652</x:f>
        <x:v>26</x:v>
      </x:c>
      <x:c r="N1652" s="24" t="n">
        <x:f>F1652+H1652</x:f>
        <x:v>15.192307692307692</x:v>
      </x:c>
      <x:c r="O1652" s="24" t="n">
        <x:f>J1652+L1652</x:f>
        <x:v>8.961538461538462</x:v>
      </x:c>
    </x:row>
    <x:row r="1653">
      <x:c r="A1653" s="22" t="str">
        <x:v>500112064</x:v>
      </x:c>
      <x:c r="B1653" s="17" t="str">
        <x:v>信義區</x:v>
      </x:c>
      <x:c r="C1653" s="17" t="str">
        <x:v>捷運象山站(3號出口)</x:v>
      </x:c>
      <x:c r="D1653" s="18" t="n">
        <x:v>26</x:v>
      </x:c>
      <x:c r="E1653" s="18" t="n">
        <x:v>26</x:v>
      </x:c>
      <x:c r="F1653" s="24" t="n">
        <x:f>IFERROR('各站彙總來源'!F1653/'各站彙總來源'!G1653,"")</x:f>
        <x:v>36.96153846153846</x:v>
      </x:c>
      <x:c r="G1653" s="19" t="n">
        <x:f>'各站彙總來源'!G1653</x:f>
        <x:v>26</x:v>
      </x:c>
      <x:c r="H1653" s="24" t="n">
        <x:f>IFERROR('各站彙總來源'!H1653/'各站彙總來源'!I1653,"")</x:f>
        <x:v>6.1923076923076925</x:v>
      </x:c>
      <x:c r="I1653" s="19" t="n">
        <x:f>'各站彙總來源'!I1653</x:f>
        <x:v>26</x:v>
      </x:c>
      <x:c r="J1653" s="24" t="n">
        <x:f>IFERROR('各站彙總來源'!J1653/'各站彙總來源'!K1653,"")</x:f>
        <x:v>12.923076923076923</x:v>
      </x:c>
      <x:c r="K1653" s="19" t="n">
        <x:f>'各站彙總來源'!K1653</x:f>
        <x:v>26</x:v>
      </x:c>
      <x:c r="L1653" s="24" t="n">
        <x:f>IFERROR('各站彙總來源'!L1653/'各站彙總來源'!M1653,"")</x:f>
        <x:v>7.8076923076923075</x:v>
      </x:c>
      <x:c r="M1653" s="19" t="n">
        <x:f>'各站彙總來源'!M1653</x:f>
        <x:v>26</x:v>
      </x:c>
      <x:c r="N1653" s="24" t="n">
        <x:f>F1653+H1653</x:f>
        <x:v>43.15384615384615</x:v>
      </x:c>
      <x:c r="O1653" s="24" t="n">
        <x:f>J1653+L1653</x:f>
        <x:v>20.73076923076923</x:v>
      </x:c>
    </x:row>
    <x:row r="1654">
      <x:c r="A1654" s="22" t="str">
        <x:v>500112065</x:v>
      </x:c>
      <x:c r="B1654" s="17" t="str">
        <x:v>信義區</x:v>
      </x:c>
      <x:c r="C1654" s="17" t="str">
        <x:v>松德公園</x:v>
      </x:c>
      <x:c r="D1654" s="18" t="n">
        <x:v>26</x:v>
      </x:c>
      <x:c r="E1654" s="18" t="n">
        <x:v>26</x:v>
      </x:c>
      <x:c r="F1654" s="24" t="n">
        <x:f>IFERROR('各站彙總來源'!F1654/'各站彙總來源'!G1654,"")</x:f>
        <x:v>6.230769230769231</x:v>
      </x:c>
      <x:c r="G1654" s="19" t="n">
        <x:f>'各站彙總來源'!G1654</x:f>
        <x:v>26</x:v>
      </x:c>
      <x:c r="H1654" s="24" t="n">
        <x:f>IFERROR('各站彙總來源'!H1654/'各站彙總來源'!I1654,"")</x:f>
        <x:v>0.9230769230769231</x:v>
      </x:c>
      <x:c r="I1654" s="19" t="n">
        <x:f>'各站彙總來源'!I1654</x:f>
        <x:v>26</x:v>
      </x:c>
      <x:c r="J1654" s="24" t="n">
        <x:f>IFERROR('各站彙總來源'!J1654/'各站彙總來源'!K1654,"")</x:f>
        <x:v>24.26923076923077</x:v>
      </x:c>
      <x:c r="K1654" s="19" t="n">
        <x:f>'各站彙總來源'!K1654</x:f>
        <x:v>26</x:v>
      </x:c>
      <x:c r="L1654" s="24" t="n">
        <x:f>IFERROR('各站彙總來源'!L1654/'各站彙總來源'!M1654,"")</x:f>
        <x:v>3.1538461538461537</x:v>
      </x:c>
      <x:c r="M1654" s="19" t="n">
        <x:f>'各站彙總來源'!M1654</x:f>
        <x:v>26</x:v>
      </x:c>
      <x:c r="N1654" s="24" t="n">
        <x:f>F1654+H1654</x:f>
        <x:v>7.153846153846154</x:v>
      </x:c>
      <x:c r="O1654" s="24" t="n">
        <x:f>J1654+L1654</x:f>
        <x:v>27.423076923076923</x:v>
      </x:c>
    </x:row>
    <x:row r="1655">
      <x:c r="A1655" s="22" t="str">
        <x:v>500112066</x:v>
      </x:c>
      <x:c r="B1655" s="17" t="str">
        <x:v>信義區</x:v>
      </x:c>
      <x:c r="C1655" s="17" t="str">
        <x:v>世貿三館</x:v>
      </x:c>
      <x:c r="D1655" s="18" t="n">
        <x:v>26</x:v>
      </x:c>
      <x:c r="E1655" s="18" t="n">
        <x:v>26</x:v>
      </x:c>
      <x:c r="F1655" s="24" t="n">
        <x:f>IFERROR('各站彙總來源'!F1655/'各站彙總來源'!G1655,"")</x:f>
        <x:v>5.038461538461538</x:v>
      </x:c>
      <x:c r="G1655" s="19" t="n">
        <x:f>'各站彙總來源'!G1655</x:f>
        <x:v>26</x:v>
      </x:c>
      <x:c r="H1655" s="24" t="n">
        <x:f>IFERROR('各站彙總來源'!H1655/'各站彙總來源'!I1655,"")</x:f>
        <x:v>1.5</x:v>
      </x:c>
      <x:c r="I1655" s="19" t="n">
        <x:f>'各站彙總來源'!I1655</x:f>
        <x:v>26</x:v>
      </x:c>
      <x:c r="J1655" s="24" t="n">
        <x:f>IFERROR('各站彙總來源'!J1655/'各站彙總來源'!K1655,"")</x:f>
        <x:v>46.23076923076923</x:v>
      </x:c>
      <x:c r="K1655" s="19" t="n">
        <x:f>'各站彙總來源'!K1655</x:f>
        <x:v>26</x:v>
      </x:c>
      <x:c r="L1655" s="24" t="n">
        <x:f>IFERROR('各站彙總來源'!L1655/'各站彙總來源'!M1655,"")</x:f>
        <x:v>5.653846153846154</x:v>
      </x:c>
      <x:c r="M1655" s="19" t="n">
        <x:f>'各站彙總來源'!M1655</x:f>
        <x:v>26</x:v>
      </x:c>
      <x:c r="N1655" s="24" t="n">
        <x:f>F1655+H1655</x:f>
        <x:v>6.538461538461538</x:v>
      </x:c>
      <x:c r="O1655" s="24" t="n">
        <x:f>J1655+L1655</x:f>
        <x:v>51.88461538461539</x:v>
      </x:c>
    </x:row>
    <x:row r="1656">
      <x:c r="A1656" s="22" t="str">
        <x:v>500112067</x:v>
      </x:c>
      <x:c r="B1656" s="17" t="str">
        <x:v>信義區</x:v>
      </x:c>
      <x:c r="C1656" s="17" t="str">
        <x:v>松德虎林街口</x:v>
      </x:c>
      <x:c r="D1656" s="18" t="n">
        <x:v>26</x:v>
      </x:c>
      <x:c r="E1656" s="18" t="n">
        <x:v>26</x:v>
      </x:c>
      <x:c r="F1656" s="24" t="n">
        <x:f>IFERROR('各站彙總來源'!F1656/'各站彙總來源'!G1656,"")</x:f>
        <x:v>28.923076923076923</x:v>
      </x:c>
      <x:c r="G1656" s="19" t="n">
        <x:f>'各站彙總來源'!G1656</x:f>
        <x:v>26</x:v>
      </x:c>
      <x:c r="H1656" s="24" t="n">
        <x:f>IFERROR('各站彙總來源'!H1656/'各站彙總來源'!I1656,"")</x:f>
        <x:v>1.9615384615384615</x:v>
      </x:c>
      <x:c r="I1656" s="19" t="n">
        <x:f>'各站彙總來源'!I1656</x:f>
        <x:v>26</x:v>
      </x:c>
      <x:c r="J1656" s="24" t="n">
        <x:f>IFERROR('各站彙總來源'!J1656/'各站彙總來源'!K1656,"")</x:f>
        <x:v>9.76923076923077</x:v>
      </x:c>
      <x:c r="K1656" s="19" t="n">
        <x:f>'各站彙總來源'!K1656</x:f>
        <x:v>26</x:v>
      </x:c>
      <x:c r="L1656" s="24" t="n">
        <x:f>IFERROR('各站彙總來源'!L1656/'各站彙總來源'!M1656,"")</x:f>
        <x:v>2.230769230769231</x:v>
      </x:c>
      <x:c r="M1656" s="19" t="n">
        <x:f>'各站彙總來源'!M1656</x:f>
        <x:v>26</x:v>
      </x:c>
      <x:c r="N1656" s="24" t="n">
        <x:f>F1656+H1656</x:f>
        <x:v>30.884615384615383</x:v>
      </x:c>
      <x:c r="O1656" s="24" t="n">
        <x:f>J1656+L1656</x:f>
        <x:v>12</x:v>
      </x:c>
    </x:row>
    <x:row r="1657">
      <x:c r="A1657" s="22" t="str">
        <x:v>500112068</x:v>
      </x:c>
      <x:c r="B1657" s="17" t="str">
        <x:v>信義區</x:v>
      </x:c>
      <x:c r="C1657" s="17" t="str">
        <x:v>富台公園</x:v>
      </x:c>
      <x:c r="D1657" s="18" t="n">
        <x:v>26</x:v>
      </x:c>
      <x:c r="E1657" s="18" t="n">
        <x:v>26</x:v>
      </x:c>
      <x:c r="F1657" s="24" t="n">
        <x:f>IFERROR('各站彙總來源'!F1657/'各站彙總來源'!G1657,"")</x:f>
        <x:v>17.884615384615383</x:v>
      </x:c>
      <x:c r="G1657" s="19" t="n">
        <x:f>'各站彙總來源'!G1657</x:f>
        <x:v>26</x:v>
      </x:c>
      <x:c r="H1657" s="24" t="n">
        <x:f>IFERROR('各站彙總來源'!H1657/'各站彙總來源'!I1657,"")</x:f>
        <x:v>4.846153846153846</x:v>
      </x:c>
      <x:c r="I1657" s="19" t="n">
        <x:f>'各站彙總來源'!I1657</x:f>
        <x:v>26</x:v>
      </x:c>
      <x:c r="J1657" s="24" t="n">
        <x:f>IFERROR('各站彙總來源'!J1657/'各站彙總來源'!K1657,"")</x:f>
        <x:v>10.538461538461538</x:v>
      </x:c>
      <x:c r="K1657" s="19" t="n">
        <x:f>'各站彙總來源'!K1657</x:f>
        <x:v>26</x:v>
      </x:c>
      <x:c r="L1657" s="24" t="n">
        <x:f>IFERROR('各站彙總來源'!L1657/'各站彙總來源'!M1657,"")</x:f>
        <x:v>1.5384615384615385</x:v>
      </x:c>
      <x:c r="M1657" s="19" t="n">
        <x:f>'各站彙總來源'!M1657</x:f>
        <x:v>26</x:v>
      </x:c>
      <x:c r="N1657" s="24" t="n">
        <x:f>F1657+H1657</x:f>
        <x:v>22.73076923076923</x:v>
      </x:c>
      <x:c r="O1657" s="24" t="n">
        <x:f>J1657+L1657</x:f>
        <x:v>12.076923076923077</x:v>
      </x:c>
    </x:row>
    <x:row r="1658">
      <x:c r="A1658" s="22" t="str">
        <x:v>500112069</x:v>
      </x:c>
      <x:c r="B1658" s="17" t="str">
        <x:v>信義區</x:v>
      </x:c>
      <x:c r="C1658" s="17" t="str">
        <x:v>基隆路一段101巷口</x:v>
      </x:c>
      <x:c r="D1658" s="18" t="n">
        <x:v>26</x:v>
      </x:c>
      <x:c r="E1658" s="18" t="n">
        <x:v>26</x:v>
      </x:c>
      <x:c r="F1658" s="24" t="n">
        <x:f>IFERROR('各站彙總來源'!F1658/'各站彙總來源'!G1658,"")</x:f>
        <x:v>12.23076923076923</x:v>
      </x:c>
      <x:c r="G1658" s="19" t="n">
        <x:f>'各站彙總來源'!G1658</x:f>
        <x:v>26</x:v>
      </x:c>
      <x:c r="H1658" s="24" t="n">
        <x:f>IFERROR('各站彙總來源'!H1658/'各站彙總來源'!I1658,"")</x:f>
        <x:v>3.1153846153846154</x:v>
      </x:c>
      <x:c r="I1658" s="19" t="n">
        <x:f>'各站彙總來源'!I1658</x:f>
        <x:v>26</x:v>
      </x:c>
      <x:c r="J1658" s="24" t="n">
        <x:f>IFERROR('各站彙總來源'!J1658/'各站彙總來源'!K1658,"")</x:f>
        <x:v>14.192307692307692</x:v>
      </x:c>
      <x:c r="K1658" s="19" t="n">
        <x:f>'各站彙總來源'!K1658</x:f>
        <x:v>26</x:v>
      </x:c>
      <x:c r="L1658" s="24" t="n">
        <x:f>IFERROR('各站彙總來源'!L1658/'各站彙總來源'!M1658,"")</x:f>
        <x:v>2.423076923076923</x:v>
      </x:c>
      <x:c r="M1658" s="19" t="n">
        <x:f>'各站彙總來源'!M1658</x:f>
        <x:v>26</x:v>
      </x:c>
      <x:c r="N1658" s="24" t="n">
        <x:f>F1658+H1658</x:f>
        <x:v>15.346153846153845</x:v>
      </x:c>
      <x:c r="O1658" s="24" t="n">
        <x:f>J1658+L1658</x:f>
        <x:v>16.615384615384613</x:v>
      </x:c>
    </x:row>
    <x:row r="1659">
      <x:c r="A1659" s="22" t="str">
        <x:v>500112070</x:v>
      </x:c>
      <x:c r="B1659" s="17" t="str">
        <x:v>信義區</x:v>
      </x:c>
      <x:c r="C1659" s="17" t="str">
        <x:v>捷運永春站(2號出口)</x:v>
      </x:c>
      <x:c r="D1659" s="18" t="n">
        <x:v>26</x:v>
      </x:c>
      <x:c r="E1659" s="18" t="n">
        <x:v>26</x:v>
      </x:c>
      <x:c r="F1659" s="24" t="n">
        <x:f>IFERROR('各站彙總來源'!F1659/'各站彙總來源'!G1659,"")</x:f>
        <x:v>11.346153846153847</x:v>
      </x:c>
      <x:c r="G1659" s="19" t="n">
        <x:f>'各站彙總來源'!G1659</x:f>
        <x:v>26</x:v>
      </x:c>
      <x:c r="H1659" s="24" t="n">
        <x:f>IFERROR('各站彙總來源'!H1659/'各站彙總來源'!I1659,"")</x:f>
        <x:v>1.3076923076923077</x:v>
      </x:c>
      <x:c r="I1659" s="19" t="n">
        <x:f>'各站彙總來源'!I1659</x:f>
        <x:v>26</x:v>
      </x:c>
      <x:c r="J1659" s="24" t="n">
        <x:f>IFERROR('各站彙總來源'!J1659/'各站彙總來源'!K1659,"")</x:f>
        <x:v>14.576923076923077</x:v>
      </x:c>
      <x:c r="K1659" s="19" t="n">
        <x:f>'各站彙總來源'!K1659</x:f>
        <x:v>26</x:v>
      </x:c>
      <x:c r="L1659" s="24" t="n">
        <x:f>IFERROR('各站彙總來源'!L1659/'各站彙總來源'!M1659,"")</x:f>
        <x:v>2.0384615384615383</x:v>
      </x:c>
      <x:c r="M1659" s="19" t="n">
        <x:f>'各站彙總來源'!M1659</x:f>
        <x:v>26</x:v>
      </x:c>
      <x:c r="N1659" s="24" t="n">
        <x:f>F1659+H1659</x:f>
        <x:v>12.653846153846155</x:v>
      </x:c>
      <x:c r="O1659" s="24" t="n">
        <x:f>J1659+L1659</x:f>
        <x:v>16.615384615384613</x:v>
      </x:c>
    </x:row>
    <x:row r="1660">
      <x:c r="A1660" s="22" t="str">
        <x:v>500112071</x:v>
      </x:c>
      <x:c r="B1660" s="17" t="str">
        <x:v>信義區</x:v>
      </x:c>
      <x:c r="C1660" s="17" t="str">
        <x:v>吳興街260巷</x:v>
      </x:c>
      <x:c r="D1660" s="18" t="n">
        <x:v>26</x:v>
      </x:c>
      <x:c r="E1660" s="18" t="n">
        <x:v>26</x:v>
      </x:c>
      <x:c r="F1660" s="24" t="n">
        <x:f>IFERROR('各站彙總來源'!F1660/'各站彙總來源'!G1660,"")</x:f>
        <x:v>11.961538461538462</x:v>
      </x:c>
      <x:c r="G1660" s="19" t="n">
        <x:f>'各站彙總來源'!G1660</x:f>
        <x:v>26</x:v>
      </x:c>
      <x:c r="H1660" s="24" t="n">
        <x:f>IFERROR('各站彙總來源'!H1660/'各站彙總來源'!I1660,"")</x:f>
        <x:v>2</x:v>
      </x:c>
      <x:c r="I1660" s="19" t="n">
        <x:f>'各站彙總來源'!I1660</x:f>
        <x:v>26</x:v>
      </x:c>
      <x:c r="J1660" s="24" t="n">
        <x:f>IFERROR('各站彙總來源'!J1660/'各站彙總來源'!K1660,"")</x:f>
        <x:v>11.038461538461538</x:v>
      </x:c>
      <x:c r="K1660" s="19" t="n">
        <x:f>'各站彙總來源'!K1660</x:f>
        <x:v>26</x:v>
      </x:c>
      <x:c r="L1660" s="24" t="n">
        <x:f>IFERROR('各站彙總來源'!L1660/'各站彙總來源'!M1660,"")</x:f>
        <x:v>2.0384615384615383</x:v>
      </x:c>
      <x:c r="M1660" s="19" t="n">
        <x:f>'各站彙總來源'!M1660</x:f>
        <x:v>26</x:v>
      </x:c>
      <x:c r="N1660" s="24" t="n">
        <x:f>F1660+H1660</x:f>
        <x:v>13.961538461538462</x:v>
      </x:c>
      <x:c r="O1660" s="24" t="n">
        <x:f>J1660+L1660</x:f>
        <x:v>13.076923076923077</x:v>
      </x:c>
    </x:row>
    <x:row r="1661">
      <x:c r="A1661" s="22" t="str">
        <x:v>500112072</x:v>
      </x:c>
      <x:c r="B1661" s="17" t="str">
        <x:v>信義區</x:v>
      </x:c>
      <x:c r="C1661" s="17" t="str">
        <x:v>松山家商(林口街)</x:v>
      </x:c>
      <x:c r="D1661" s="18" t="n">
        <x:v>26</x:v>
      </x:c>
      <x:c r="E1661" s="18" t="n">
        <x:v>26</x:v>
      </x:c>
      <x:c r="F1661" s="24" t="n">
        <x:f>IFERROR('各站彙總來源'!F1661/'各站彙總來源'!G1661,"")</x:f>
        <x:v>10.692307692307692</x:v>
      </x:c>
      <x:c r="G1661" s="19" t="n">
        <x:f>'各站彙總來源'!G1661</x:f>
        <x:v>26</x:v>
      </x:c>
      <x:c r="H1661" s="24" t="n">
        <x:f>IFERROR('各站彙總來源'!H1661/'各站彙總來源'!I1661,"")</x:f>
        <x:v>3.5384615384615383</x:v>
      </x:c>
      <x:c r="I1661" s="19" t="n">
        <x:f>'各站彙總來源'!I1661</x:f>
        <x:v>26</x:v>
      </x:c>
      <x:c r="J1661" s="24" t="n">
        <x:f>IFERROR('各站彙總來源'!J1661/'各站彙總來源'!K1661,"")</x:f>
        <x:v>14.576923076923077</x:v>
      </x:c>
      <x:c r="K1661" s="19" t="n">
        <x:f>'各站彙總來源'!K1661</x:f>
        <x:v>26</x:v>
      </x:c>
      <x:c r="L1661" s="24" t="n">
        <x:f>IFERROR('各站彙總來源'!L1661/'各站彙總來源'!M1661,"")</x:f>
        <x:v>2.730769230769231</x:v>
      </x:c>
      <x:c r="M1661" s="19" t="n">
        <x:f>'各站彙總來源'!M1661</x:f>
        <x:v>26</x:v>
      </x:c>
      <x:c r="N1661" s="24" t="n">
        <x:f>F1661+H1661</x:f>
        <x:v>14.23076923076923</x:v>
      </x:c>
      <x:c r="O1661" s="24" t="n">
        <x:f>J1661+L1661</x:f>
        <x:v>17.307692307692307</x:v>
      </x:c>
    </x:row>
    <x:row r="1662">
      <x:c r="A1662" s="22" t="str">
        <x:v>500112073</x:v>
      </x:c>
      <x:c r="B1662" s="17" t="str">
        <x:v>信義區</x:v>
      </x:c>
      <x:c r="C1662" s="17" t="str">
        <x:v>仁愛逸仙路口</x:v>
      </x:c>
      <x:c r="D1662" s="18" t="n">
        <x:v>26</x:v>
      </x:c>
      <x:c r="E1662" s="18" t="n">
        <x:v>26</x:v>
      </x:c>
      <x:c r="F1662" s="24" t="n">
        <x:f>IFERROR('各站彙總來源'!F1662/'各站彙總來源'!G1662,"")</x:f>
        <x:v>16.115384615384617</x:v>
      </x:c>
      <x:c r="G1662" s="19" t="n">
        <x:f>'各站彙總來源'!G1662</x:f>
        <x:v>26</x:v>
      </x:c>
      <x:c r="H1662" s="24" t="n">
        <x:f>IFERROR('各站彙總來源'!H1662/'各站彙總來源'!I1662,"")</x:f>
        <x:v>3.230769230769231</x:v>
      </x:c>
      <x:c r="I1662" s="19" t="n">
        <x:f>'各站彙總來源'!I1662</x:f>
        <x:v>26</x:v>
      </x:c>
      <x:c r="J1662" s="24" t="n">
        <x:f>IFERROR('各站彙總來源'!J1662/'各站彙總來源'!K1662,"")</x:f>
        <x:v>14.538461538461538</x:v>
      </x:c>
      <x:c r="K1662" s="19" t="n">
        <x:f>'各站彙總來源'!K1662</x:f>
        <x:v>26</x:v>
      </x:c>
      <x:c r="L1662" s="24" t="n">
        <x:f>IFERROR('各站彙總來源'!L1662/'各站彙總來源'!M1662,"")</x:f>
        <x:v>1.6538461538461537</x:v>
      </x:c>
      <x:c r="M1662" s="19" t="n">
        <x:f>'各站彙總來源'!M1662</x:f>
        <x:v>26</x:v>
      </x:c>
      <x:c r="N1662" s="24" t="n">
        <x:f>F1662+H1662</x:f>
        <x:v>19.346153846153847</x:v>
      </x:c>
      <x:c r="O1662" s="24" t="n">
        <x:f>J1662+L1662</x:f>
        <x:v>16.192307692307693</x:v>
      </x:c>
    </x:row>
    <x:row r="1663">
      <x:c r="A1663" s="22" t="str">
        <x:v>500112074</x:v>
      </x:c>
      <x:c r="B1663" s="17" t="str">
        <x:v>信義區</x:v>
      </x:c>
      <x:c r="C1663" s="17" t="str">
        <x:v>安強公園</x:v>
      </x:c>
      <x:c r="D1663" s="18" t="n">
        <x:v>26</x:v>
      </x:c>
      <x:c r="E1663" s="18" t="n">
        <x:v>26</x:v>
      </x:c>
      <x:c r="F1663" s="24" t="n">
        <x:f>IFERROR('各站彙總來源'!F1663/'各站彙總來源'!G1663,"")</x:f>
        <x:v>0</x:v>
      </x:c>
      <x:c r="G1663" s="19" t="n">
        <x:f>'各站彙總來源'!G1663</x:f>
        <x:v>26</x:v>
      </x:c>
      <x:c r="H1663" s="24" t="n">
        <x:f>IFERROR('各站彙總來源'!H1663/'各站彙總來源'!I1663,"")</x:f>
        <x:v>0</x:v>
      </x:c>
      <x:c r="I1663" s="19" t="n">
        <x:f>'各站彙總來源'!I1663</x:f>
        <x:v>26</x:v>
      </x:c>
      <x:c r="J1663" s="24" t="n">
        <x:f>IFERROR('各站彙總來源'!J1663/'各站彙總來源'!K1663,"")</x:f>
        <x:v>0</x:v>
      </x:c>
      <x:c r="K1663" s="19" t="n">
        <x:f>'各站彙總來源'!K1663</x:f>
        <x:v>26</x:v>
      </x:c>
      <x:c r="L1663" s="24" t="n">
        <x:f>IFERROR('各站彙總來源'!L1663/'各站彙總來源'!M1663,"")</x:f>
        <x:v>0</x:v>
      </x:c>
      <x:c r="M1663" s="19" t="n">
        <x:f>'各站彙總來源'!M1663</x:f>
        <x:v>26</x:v>
      </x:c>
      <x:c r="N1663" s="24" t="n">
        <x:f>F1663+H1663</x:f>
        <x:v>0</x:v>
      </x:c>
      <x:c r="O1663" s="24" t="n">
        <x:f>J1663+L1663</x:f>
        <x:v>0</x:v>
      </x:c>
    </x:row>
    <x:row r="1664">
      <x:c r="A1664" s="22" t="str">
        <x:v>500112075</x:v>
      </x:c>
      <x:c r="B1664" s="17" t="str">
        <x:v>信義區</x:v>
      </x:c>
      <x:c r="C1664" s="17" t="str">
        <x:v>信義基隆路口</x:v>
      </x:c>
      <x:c r="D1664" s="18" t="n">
        <x:v>26</x:v>
      </x:c>
      <x:c r="E1664" s="18" t="n">
        <x:v>26</x:v>
      </x:c>
      <x:c r="F1664" s="24" t="n">
        <x:f>IFERROR('各站彙總來源'!F1664/'各站彙總來源'!G1664,"")</x:f>
        <x:v>3.230769230769231</x:v>
      </x:c>
      <x:c r="G1664" s="19" t="n">
        <x:f>'各站彙總來源'!G1664</x:f>
        <x:v>26</x:v>
      </x:c>
      <x:c r="H1664" s="24" t="n">
        <x:f>IFERROR('各站彙總來源'!H1664/'各站彙總來源'!I1664,"")</x:f>
        <x:v>0.8076923076923077</x:v>
      </x:c>
      <x:c r="I1664" s="19" t="n">
        <x:f>'各站彙總來源'!I1664</x:f>
        <x:v>26</x:v>
      </x:c>
      <x:c r="J1664" s="24" t="n">
        <x:f>IFERROR('各站彙總來源'!J1664/'各站彙總來源'!K1664,"")</x:f>
        <x:v>9.807692307692308</x:v>
      </x:c>
      <x:c r="K1664" s="19" t="n">
        <x:f>'各站彙總來源'!K1664</x:f>
        <x:v>26</x:v>
      </x:c>
      <x:c r="L1664" s="24" t="n">
        <x:f>IFERROR('各站彙總來源'!L1664/'各站彙總來源'!M1664,"")</x:f>
        <x:v>2.1923076923076925</x:v>
      </x:c>
      <x:c r="M1664" s="19" t="n">
        <x:f>'各站彙總來源'!M1664</x:f>
        <x:v>26</x:v>
      </x:c>
      <x:c r="N1664" s="24" t="n">
        <x:f>F1664+H1664</x:f>
        <x:v>4.038461538461538</x:v>
      </x:c>
      <x:c r="O1664" s="24" t="n">
        <x:f>J1664+L1664</x:f>
        <x:v>12</x:v>
      </x:c>
    </x:row>
    <x:row r="1665">
      <x:c r="A1665" s="22" t="str">
        <x:v>500112076</x:v>
      </x:c>
      <x:c r="B1665" s="17" t="str">
        <x:v>信義區</x:v>
      </x:c>
      <x:c r="C1665" s="17" t="str">
        <x:v>捷運台北101/世貿站(2號出口)</x:v>
      </x:c>
      <x:c r="D1665" s="18" t="n">
        <x:v>26</x:v>
      </x:c>
      <x:c r="E1665" s="18" t="n">
        <x:v>26</x:v>
      </x:c>
      <x:c r="F1665" s="24" t="n">
        <x:f>IFERROR('各站彙總來源'!F1665/'各站彙總來源'!G1665,"")</x:f>
        <x:v>17.5</x:v>
      </x:c>
      <x:c r="G1665" s="19" t="n">
        <x:f>'各站彙總來源'!G1665</x:f>
        <x:v>26</x:v>
      </x:c>
      <x:c r="H1665" s="24" t="n">
        <x:f>IFERROR('各站彙總來源'!H1665/'各站彙總來源'!I1665,"")</x:f>
        <x:v>0.8076923076923077</x:v>
      </x:c>
      <x:c r="I1665" s="19" t="n">
        <x:f>'各站彙總來源'!I1665</x:f>
        <x:v>26</x:v>
      </x:c>
      <x:c r="J1665" s="24" t="n">
        <x:f>IFERROR('各站彙總來源'!J1665/'各站彙總來源'!K1665,"")</x:f>
        <x:v>17.73076923076923</x:v>
      </x:c>
      <x:c r="K1665" s="19" t="n">
        <x:f>'各站彙總來源'!K1665</x:f>
        <x:v>26</x:v>
      </x:c>
      <x:c r="L1665" s="24" t="n">
        <x:f>IFERROR('各站彙總來源'!L1665/'各站彙總來源'!M1665,"")</x:f>
        <x:v>4.5</x:v>
      </x:c>
      <x:c r="M1665" s="19" t="n">
        <x:f>'各站彙總來源'!M1665</x:f>
        <x:v>26</x:v>
      </x:c>
      <x:c r="N1665" s="24" t="n">
        <x:f>F1665+H1665</x:f>
        <x:v>18.307692307692307</x:v>
      </x:c>
      <x:c r="O1665" s="24" t="n">
        <x:f>J1665+L1665</x:f>
        <x:v>22.23076923076923</x:v>
      </x:c>
    </x:row>
    <x:row r="1666">
      <x:c r="A1666" s="22" t="str">
        <x:v>500112077</x:v>
      </x:c>
      <x:c r="B1666" s="17" t="str">
        <x:v>信義區</x:v>
      </x:c>
      <x:c r="C1666" s="17" t="str">
        <x:v>捷運永春站(1號出口)</x:v>
      </x:c>
      <x:c r="D1666" s="18" t="n">
        <x:v>26</x:v>
      </x:c>
      <x:c r="E1666" s="18" t="n">
        <x:v>26</x:v>
      </x:c>
      <x:c r="F1666" s="24" t="n">
        <x:f>IFERROR('各站彙總來源'!F1666/'各站彙總來源'!G1666,"")</x:f>
        <x:v>0</x:v>
      </x:c>
      <x:c r="G1666" s="19" t="n">
        <x:f>'各站彙總來源'!G1666</x:f>
        <x:v>26</x:v>
      </x:c>
      <x:c r="H1666" s="24" t="n">
        <x:f>IFERROR('各站彙總來源'!H1666/'各站彙總來源'!I1666,"")</x:f>
        <x:v>0</x:v>
      </x:c>
      <x:c r="I1666" s="19" t="n">
        <x:f>'各站彙總來源'!I1666</x:f>
        <x:v>26</x:v>
      </x:c>
      <x:c r="J1666" s="24" t="n">
        <x:f>IFERROR('各站彙總來源'!J1666/'各站彙總來源'!K1666,"")</x:f>
        <x:v>0</x:v>
      </x:c>
      <x:c r="K1666" s="19" t="n">
        <x:f>'各站彙總來源'!K1666</x:f>
        <x:v>26</x:v>
      </x:c>
      <x:c r="L1666" s="24" t="n">
        <x:f>IFERROR('各站彙總來源'!L1666/'各站彙總來源'!M1666,"")</x:f>
        <x:v>0</x:v>
      </x:c>
      <x:c r="M1666" s="19" t="n">
        <x:f>'各站彙總來源'!M1666</x:f>
        <x:v>26</x:v>
      </x:c>
      <x:c r="N1666" s="24" t="n">
        <x:f>F1666+H1666</x:f>
        <x:v>0</x:v>
      </x:c>
      <x:c r="O1666" s="24" t="n">
        <x:f>J1666+L1666</x:f>
        <x:v>0</x:v>
      </x:c>
    </x:row>
    <x:row r="1667">
      <x:c r="A1667" s="22" t="str">
        <x:v>500112078</x:v>
      </x:c>
      <x:c r="B1667" s="17" t="str">
        <x:v>信義區</x:v>
      </x:c>
      <x:c r="C1667" s="17" t="str">
        <x:v>吳興街284巷36弄口</x:v>
      </x:c>
      <x:c r="D1667" s="18" t="n">
        <x:v>26</x:v>
      </x:c>
      <x:c r="E1667" s="18" t="n">
        <x:v>26</x:v>
      </x:c>
      <x:c r="F1667" s="24" t="n">
        <x:f>IFERROR('各站彙總來源'!F1667/'各站彙總來源'!G1667,"")</x:f>
        <x:v>31.153846153846153</x:v>
      </x:c>
      <x:c r="G1667" s="19" t="n">
        <x:f>'各站彙總來源'!G1667</x:f>
        <x:v>26</x:v>
      </x:c>
      <x:c r="H1667" s="24" t="n">
        <x:f>IFERROR('各站彙總來源'!H1667/'各站彙總來源'!I1667,"")</x:f>
        <x:v>4.6923076923076925</x:v>
      </x:c>
      <x:c r="I1667" s="19" t="n">
        <x:f>'各站彙總來源'!I1667</x:f>
        <x:v>26</x:v>
      </x:c>
      <x:c r="J1667" s="24" t="n">
        <x:f>IFERROR('各站彙總來源'!J1667/'各站彙總來源'!K1667,"")</x:f>
        <x:v>4</x:v>
      </x:c>
      <x:c r="K1667" s="19" t="n">
        <x:f>'各站彙總來源'!K1667</x:f>
        <x:v>26</x:v>
      </x:c>
      <x:c r="L1667" s="24" t="n">
        <x:f>IFERROR('各站彙總來源'!L1667/'各站彙總來源'!M1667,"")</x:f>
        <x:v>0.9615384615384616</x:v>
      </x:c>
      <x:c r="M1667" s="19" t="n">
        <x:f>'各站彙總來源'!M1667</x:f>
        <x:v>26</x:v>
      </x:c>
      <x:c r="N1667" s="24" t="n">
        <x:f>F1667+H1667</x:f>
        <x:v>35.84615384615385</x:v>
      </x:c>
      <x:c r="O1667" s="24" t="n">
        <x:f>J1667+L1667</x:f>
        <x:v>4.961538461538462</x:v>
      </x:c>
    </x:row>
    <x:row r="1668">
      <x:c r="A1668" s="22" t="str">
        <x:v>500112079</x:v>
      </x:c>
      <x:c r="B1668" s="17" t="str">
        <x:v>信義區</x:v>
      </x:c>
      <x:c r="C1668" s="17" t="str">
        <x:v>協和祐德高級中學</x:v>
      </x:c>
      <x:c r="D1668" s="18" t="n">
        <x:v>26</x:v>
      </x:c>
      <x:c r="E1668" s="18" t="n">
        <x:v>26</x:v>
      </x:c>
      <x:c r="F1668" s="24" t="n">
        <x:f>IFERROR('各站彙總來源'!F1668/'各站彙總來源'!G1668,"")</x:f>
        <x:v>11.692307692307692</x:v>
      </x:c>
      <x:c r="G1668" s="19" t="n">
        <x:f>'各站彙總來源'!G1668</x:f>
        <x:v>26</x:v>
      </x:c>
      <x:c r="H1668" s="24" t="n">
        <x:f>IFERROR('各站彙總來源'!H1668/'各站彙總來源'!I1668,"")</x:f>
        <x:v>0.9615384615384616</x:v>
      </x:c>
      <x:c r="I1668" s="19" t="n">
        <x:f>'各站彙總來源'!I1668</x:f>
        <x:v>26</x:v>
      </x:c>
      <x:c r="J1668" s="24" t="n">
        <x:f>IFERROR('各站彙總來源'!J1668/'各站彙總來源'!K1668,"")</x:f>
        <x:v>5.961538461538462</x:v>
      </x:c>
      <x:c r="K1668" s="19" t="n">
        <x:f>'各站彙總來源'!K1668</x:f>
        <x:v>26</x:v>
      </x:c>
      <x:c r="L1668" s="24" t="n">
        <x:f>IFERROR('各站彙總來源'!L1668/'各站彙總來源'!M1668,"")</x:f>
        <x:v>1.1923076923076923</x:v>
      </x:c>
      <x:c r="M1668" s="19" t="n">
        <x:f>'各站彙總來源'!M1668</x:f>
        <x:v>26</x:v>
      </x:c>
      <x:c r="N1668" s="24" t="n">
        <x:f>F1668+H1668</x:f>
        <x:v>12.653846153846153</x:v>
      </x:c>
      <x:c r="O1668" s="24" t="n">
        <x:f>J1668+L1668</x:f>
        <x:v>7.153846153846154</x:v>
      </x:c>
    </x:row>
    <x:row r="1669">
      <x:c r="A1669" s="22" t="str">
        <x:v>500112080</x:v>
      </x:c>
      <x:c r="B1669" s="17" t="str">
        <x:v>信義區</x:v>
      </x:c>
      <x:c r="C1669" s="17" t="str">
        <x:v>福德國小公車站</x:v>
      </x:c>
      <x:c r="D1669" s="18" t="n">
        <x:v>26</x:v>
      </x:c>
      <x:c r="E1669" s="18" t="n">
        <x:v>26</x:v>
      </x:c>
      <x:c r="F1669" s="24" t="n">
        <x:f>IFERROR('各站彙總來源'!F1669/'各站彙總來源'!G1669,"")</x:f>
        <x:v>18.076923076923077</x:v>
      </x:c>
      <x:c r="G1669" s="19" t="n">
        <x:f>'各站彙總來源'!G1669</x:f>
        <x:v>26</x:v>
      </x:c>
      <x:c r="H1669" s="24" t="n">
        <x:f>IFERROR('各站彙總來源'!H1669/'各站彙總來源'!I1669,"")</x:f>
        <x:v>3.1538461538461537</x:v>
      </x:c>
      <x:c r="I1669" s="19" t="n">
        <x:f>'各站彙總來源'!I1669</x:f>
        <x:v>26</x:v>
      </x:c>
      <x:c r="J1669" s="24" t="n">
        <x:f>IFERROR('各站彙總來源'!J1669/'各站彙總來源'!K1669,"")</x:f>
        <x:v>4.423076923076923</x:v>
      </x:c>
      <x:c r="K1669" s="19" t="n">
        <x:f>'各站彙總來源'!K1669</x:f>
        <x:v>26</x:v>
      </x:c>
      <x:c r="L1669" s="24" t="n">
        <x:f>IFERROR('各站彙總來源'!L1669/'各站彙總來源'!M1669,"")</x:f>
        <x:v>1.2307692307692308</x:v>
      </x:c>
      <x:c r="M1669" s="19" t="n">
        <x:f>'各站彙總來源'!M1669</x:f>
        <x:v>26</x:v>
      </x:c>
      <x:c r="N1669" s="24" t="n">
        <x:f>F1669+H1669</x:f>
        <x:v>21.23076923076923</x:v>
      </x:c>
      <x:c r="O1669" s="24" t="n">
        <x:f>J1669+L1669</x:f>
        <x:v>5.653846153846154</x:v>
      </x:c>
    </x:row>
    <x:row r="1670">
      <x:c r="A1670" s="22" t="str">
        <x:v>500112081</x:v>
      </x:c>
      <x:c r="B1670" s="17" t="str">
        <x:v>信義區</x:v>
      </x:c>
      <x:c r="C1670" s="17" t="str">
        <x:v>松仁路95巷口</x:v>
      </x:c>
      <x:c r="D1670" s="18" t="n">
        <x:v>26</x:v>
      </x:c>
      <x:c r="E1670" s="18" t="n">
        <x:v>26</x:v>
      </x:c>
      <x:c r="F1670" s="24" t="n">
        <x:f>IFERROR('各站彙總來源'!F1670/'各站彙總來源'!G1670,"")</x:f>
        <x:v>7.730769230769231</x:v>
      </x:c>
      <x:c r="G1670" s="19" t="n">
        <x:f>'各站彙總來源'!G1670</x:f>
        <x:v>26</x:v>
      </x:c>
      <x:c r="H1670" s="24" t="n">
        <x:f>IFERROR('各站彙總來源'!H1670/'各站彙總來源'!I1670,"")</x:f>
        <x:v>2.730769230769231</x:v>
      </x:c>
      <x:c r="I1670" s="19" t="n">
        <x:f>'各站彙總來源'!I1670</x:f>
        <x:v>26</x:v>
      </x:c>
      <x:c r="J1670" s="24" t="n">
        <x:f>IFERROR('各站彙總來源'!J1670/'各站彙總來源'!K1670,"")</x:f>
        <x:v>213</x:v>
      </x:c>
      <x:c r="K1670" s="19" t="n">
        <x:f>'各站彙總來源'!K1670</x:f>
        <x:v>26</x:v>
      </x:c>
      <x:c r="L1670" s="24" t="n">
        <x:f>IFERROR('各站彙總來源'!L1670/'各站彙總來源'!M1670,"")</x:f>
        <x:v>13.923076923076923</x:v>
      </x:c>
      <x:c r="M1670" s="19" t="n">
        <x:f>'各站彙總來源'!M1670</x:f>
        <x:v>26</x:v>
      </x:c>
      <x:c r="N1670" s="24" t="n">
        <x:f>F1670+H1670</x:f>
        <x:v>10.461538461538462</x:v>
      </x:c>
      <x:c r="O1670" s="24" t="n">
        <x:f>J1670+L1670</x:f>
        <x:v>226.92307692307693</x:v>
      </x:c>
    </x:row>
    <x:row r="1671">
      <x:c r="A1671" s="22" t="str">
        <x:v>500112082</x:v>
      </x:c>
      <x:c r="B1671" s="17" t="str">
        <x:v>信義區</x:v>
      </x:c>
      <x:c r="C1671" s="17" t="str">
        <x:v>臺北南山廣場_1</x:v>
      </x:c>
      <x:c r="D1671" s="18" t="n">
        <x:v>26</x:v>
      </x:c>
      <x:c r="E1671" s="18" t="n">
        <x:v>26</x:v>
      </x:c>
      <x:c r="F1671" s="24" t="n">
        <x:f>IFERROR('各站彙總來源'!F1671/'各站彙總來源'!G1671,"")</x:f>
        <x:v>4.038461538461538</x:v>
      </x:c>
      <x:c r="G1671" s="19" t="n">
        <x:f>'各站彙總來源'!G1671</x:f>
        <x:v>26</x:v>
      </x:c>
      <x:c r="H1671" s="24" t="n">
        <x:f>IFERROR('各站彙總來源'!H1671/'各站彙總來源'!I1671,"")</x:f>
        <x:v>1.3076923076923077</x:v>
      </x:c>
      <x:c r="I1671" s="19" t="n">
        <x:f>'各站彙總來源'!I1671</x:f>
        <x:v>26</x:v>
      </x:c>
      <x:c r="J1671" s="24" t="n">
        <x:f>IFERROR('各站彙總來源'!J1671/'各站彙總來源'!K1671,"")</x:f>
        <x:v>80.07692307692308</x:v>
      </x:c>
      <x:c r="K1671" s="19" t="n">
        <x:f>'各站彙總來源'!K1671</x:f>
        <x:v>26</x:v>
      </x:c>
      <x:c r="L1671" s="24" t="n">
        <x:f>IFERROR('各站彙總來源'!L1671/'各站彙總來源'!M1671,"")</x:f>
        <x:v>10</x:v>
      </x:c>
      <x:c r="M1671" s="19" t="n">
        <x:f>'各站彙總來源'!M1671</x:f>
        <x:v>26</x:v>
      </x:c>
      <x:c r="N1671" s="24" t="n">
        <x:f>F1671+H1671</x:f>
        <x:v>5.346153846153846</x:v>
      </x:c>
      <x:c r="O1671" s="24" t="n">
        <x:f>J1671+L1671</x:f>
        <x:v>90.07692307692308</x:v>
      </x:c>
    </x:row>
    <x:row r="1672">
      <x:c r="A1672" s="22" t="str">
        <x:v>500112083</x:v>
      </x:c>
      <x:c r="B1672" s="17" t="str">
        <x:v>信義區</x:v>
      </x:c>
      <x:c r="C1672" s="17" t="str">
        <x:v>景聯廣場</x:v>
      </x:c>
      <x:c r="D1672" s="18" t="n">
        <x:v>26</x:v>
      </x:c>
      <x:c r="E1672" s="18" t="n">
        <x:v>26</x:v>
      </x:c>
      <x:c r="F1672" s="24" t="n">
        <x:f>IFERROR('各站彙總來源'!F1672/'各站彙總來源'!G1672,"")</x:f>
        <x:v>8.73076923076923</x:v>
      </x:c>
      <x:c r="G1672" s="19" t="n">
        <x:f>'各站彙總來源'!G1672</x:f>
        <x:v>26</x:v>
      </x:c>
      <x:c r="H1672" s="24" t="n">
        <x:f>IFERROR('各站彙總來源'!H1672/'各站彙總來源'!I1672,"")</x:f>
        <x:v>1.5769230769230769</x:v>
      </x:c>
      <x:c r="I1672" s="19" t="n">
        <x:f>'各站彙總來源'!I1672</x:f>
        <x:v>26</x:v>
      </x:c>
      <x:c r="J1672" s="24" t="n">
        <x:f>IFERROR('各站彙總來源'!J1672/'各站彙總來源'!K1672,"")</x:f>
        <x:v>4.846153846153846</x:v>
      </x:c>
      <x:c r="K1672" s="19" t="n">
        <x:f>'各站彙總來源'!K1672</x:f>
        <x:v>26</x:v>
      </x:c>
      <x:c r="L1672" s="24" t="n">
        <x:f>IFERROR('各站彙總來源'!L1672/'各站彙總來源'!M1672,"")</x:f>
        <x:v>0.9615384615384616</x:v>
      </x:c>
      <x:c r="M1672" s="19" t="n">
        <x:f>'各站彙總來源'!M1672</x:f>
        <x:v>26</x:v>
      </x:c>
      <x:c r="N1672" s="24" t="n">
        <x:f>F1672+H1672</x:f>
        <x:v>10.307692307692307</x:v>
      </x:c>
      <x:c r="O1672" s="24" t="n">
        <x:f>J1672+L1672</x:f>
        <x:v>5.8076923076923075</x:v>
      </x:c>
    </x:row>
    <x:row r="1673">
      <x:c r="A1673" s="22" t="str">
        <x:v>500112084</x:v>
      </x:c>
      <x:c r="B1673" s="17" t="str">
        <x:v>信義區</x:v>
      </x:c>
      <x:c r="C1673" s="17" t="str">
        <x:v>景平公園</x:v>
      </x:c>
      <x:c r="D1673" s="18" t="n">
        <x:v>26</x:v>
      </x:c>
      <x:c r="E1673" s="18" t="n">
        <x:v>26</x:v>
      </x:c>
      <x:c r="F1673" s="24" t="n">
        <x:f>IFERROR('各站彙總來源'!F1673/'各站彙總來源'!G1673,"")</x:f>
        <x:v>13.692307692307692</x:v>
      </x:c>
      <x:c r="G1673" s="19" t="n">
        <x:f>'各站彙總來源'!G1673</x:f>
        <x:v>26</x:v>
      </x:c>
      <x:c r="H1673" s="24" t="n">
        <x:f>IFERROR('各站彙總來源'!H1673/'各站彙總來源'!I1673,"")</x:f>
        <x:v>1.6153846153846154</x:v>
      </x:c>
      <x:c r="I1673" s="19" t="n">
        <x:f>'各站彙總來源'!I1673</x:f>
        <x:v>26</x:v>
      </x:c>
      <x:c r="J1673" s="24" t="n">
        <x:f>IFERROR('各站彙總來源'!J1673/'各站彙總來源'!K1673,"")</x:f>
        <x:v>3.3846153846153846</x:v>
      </x:c>
      <x:c r="K1673" s="19" t="n">
        <x:f>'各站彙總來源'!K1673</x:f>
        <x:v>26</x:v>
      </x:c>
      <x:c r="L1673" s="24" t="n">
        <x:f>IFERROR('各站彙總來源'!L1673/'各站彙總來源'!M1673,"")</x:f>
        <x:v>0.7307692307692307</x:v>
      </x:c>
      <x:c r="M1673" s="19" t="n">
        <x:f>'各站彙總來源'!M1673</x:f>
        <x:v>26</x:v>
      </x:c>
      <x:c r="N1673" s="24" t="n">
        <x:f>F1673+H1673</x:f>
        <x:v>15.307692307692307</x:v>
      </x:c>
      <x:c r="O1673" s="24" t="n">
        <x:f>J1673+L1673</x:f>
        <x:v>4.115384615384615</x:v>
      </x:c>
    </x:row>
    <x:row r="1674">
      <x:c r="A1674" s="22" t="str">
        <x:v>500112085</x:v>
      </x:c>
      <x:c r="B1674" s="17" t="str">
        <x:v>信義區</x:v>
      </x:c>
      <x:c r="C1674" s="17" t="str">
        <x:v>捷運市政府站(3號出口)</x:v>
      </x:c>
      <x:c r="D1674" s="18" t="n">
        <x:v>26</x:v>
      </x:c>
      <x:c r="E1674" s="18" t="n">
        <x:v>26</x:v>
      </x:c>
      <x:c r="F1674" s="24" t="n">
        <x:f>IFERROR('各站彙總來源'!F1674/'各站彙總來源'!G1674,"")</x:f>
        <x:v>33</x:v>
      </x:c>
      <x:c r="G1674" s="19" t="n">
        <x:f>'各站彙總來源'!G1674</x:f>
        <x:v>26</x:v>
      </x:c>
      <x:c r="H1674" s="24" t="n">
        <x:f>IFERROR('各站彙總來源'!H1674/'各站彙總來源'!I1674,"")</x:f>
        <x:v>5.269230769230769</x:v>
      </x:c>
      <x:c r="I1674" s="19" t="n">
        <x:f>'各站彙總來源'!I1674</x:f>
        <x:v>26</x:v>
      </x:c>
      <x:c r="J1674" s="24" t="n">
        <x:f>IFERROR('各站彙總來源'!J1674/'各站彙總來源'!K1674,"")</x:f>
        <x:v>41.11538461538461</x:v>
      </x:c>
      <x:c r="K1674" s="19" t="n">
        <x:f>'各站彙總來源'!K1674</x:f>
        <x:v>26</x:v>
      </x:c>
      <x:c r="L1674" s="24" t="n">
        <x:f>IFERROR('各站彙總來源'!L1674/'各站彙總來源'!M1674,"")</x:f>
        <x:v>8.192307692307692</x:v>
      </x:c>
      <x:c r="M1674" s="19" t="n">
        <x:f>'各站彙總來源'!M1674</x:f>
        <x:v>26</x:v>
      </x:c>
      <x:c r="N1674" s="24" t="n">
        <x:f>F1674+H1674</x:f>
        <x:v>38.26923076923077</x:v>
      </x:c>
      <x:c r="O1674" s="24" t="n">
        <x:f>J1674+L1674</x:f>
        <x:v>49.30769230769231</x:v>
      </x:c>
    </x:row>
    <x:row r="1675">
      <x:c r="A1675" s="22" t="str">
        <x:v>500112086</x:v>
      </x:c>
      <x:c r="B1675" s="17" t="str">
        <x:v>信義區</x:v>
      </x:c>
      <x:c r="C1675" s="17" t="str">
        <x:v>五分埔公園</x:v>
      </x:c>
      <x:c r="D1675" s="18" t="n">
        <x:v>26</x:v>
      </x:c>
      <x:c r="E1675" s="18" t="n">
        <x:v>26</x:v>
      </x:c>
      <x:c r="F1675" s="24" t="n">
        <x:f>IFERROR('各站彙總來源'!F1675/'各站彙總來源'!G1675,"")</x:f>
        <x:v>9.73076923076923</x:v>
      </x:c>
      <x:c r="G1675" s="19" t="n">
        <x:f>'各站彙總來源'!G1675</x:f>
        <x:v>26</x:v>
      </x:c>
      <x:c r="H1675" s="24" t="n">
        <x:f>IFERROR('各站彙總來源'!H1675/'各站彙總來源'!I1675,"")</x:f>
        <x:v>1.2692307692307692</x:v>
      </x:c>
      <x:c r="I1675" s="19" t="n">
        <x:f>'各站彙總來源'!I1675</x:f>
        <x:v>26</x:v>
      </x:c>
      <x:c r="J1675" s="24" t="n">
        <x:f>IFERROR('各站彙總來源'!J1675/'各站彙總來源'!K1675,"")</x:f>
        <x:v>7.153846153846154</x:v>
      </x:c>
      <x:c r="K1675" s="19" t="n">
        <x:f>'各站彙總來源'!K1675</x:f>
        <x:v>26</x:v>
      </x:c>
      <x:c r="L1675" s="24" t="n">
        <x:f>IFERROR('各站彙總來源'!L1675/'各站彙總來源'!M1675,"")</x:f>
        <x:v>1.7307692307692308</x:v>
      </x:c>
      <x:c r="M1675" s="19" t="n">
        <x:f>'各站彙總來源'!M1675</x:f>
        <x:v>26</x:v>
      </x:c>
      <x:c r="N1675" s="24" t="n">
        <x:f>F1675+H1675</x:f>
        <x:v>11</x:v>
      </x:c>
      <x:c r="O1675" s="24" t="n">
        <x:f>J1675+L1675</x:f>
        <x:v>8.884615384615385</x:v>
      </x:c>
    </x:row>
    <x:row r="1676">
      <x:c r="A1676" s="22" t="str">
        <x:v>500112087</x:v>
      </x:c>
      <x:c r="B1676" s="17" t="str">
        <x:v>信義區</x:v>
      </x:c>
      <x:c r="C1676" s="17" t="str">
        <x:v>松仁路305號</x:v>
      </x:c>
      <x:c r="D1676" s="18" t="n">
        <x:v>26</x:v>
      </x:c>
      <x:c r="E1676" s="18" t="n">
        <x:v>26</x:v>
      </x:c>
      <x:c r="F1676" s="24" t="n">
        <x:f>IFERROR('各站彙總來源'!F1676/'各站彙總來源'!G1676,"")</x:f>
        <x:v>23.307692307692307</x:v>
      </x:c>
      <x:c r="G1676" s="19" t="n">
        <x:f>'各站彙總來源'!G1676</x:f>
        <x:v>26</x:v>
      </x:c>
      <x:c r="H1676" s="24" t="n">
        <x:f>IFERROR('各站彙總來源'!H1676/'各站彙總來源'!I1676,"")</x:f>
        <x:v>4.153846153846154</x:v>
      </x:c>
      <x:c r="I1676" s="19" t="n">
        <x:f>'各站彙總來源'!I1676</x:f>
        <x:v>26</x:v>
      </x:c>
      <x:c r="J1676" s="24" t="n">
        <x:f>IFERROR('各站彙總來源'!J1676/'各站彙總來源'!K1676,"")</x:f>
        <x:v>5.3076923076923075</x:v>
      </x:c>
      <x:c r="K1676" s="19" t="n">
        <x:f>'各站彙總來源'!K1676</x:f>
        <x:v>26</x:v>
      </x:c>
      <x:c r="L1676" s="24" t="n">
        <x:f>IFERROR('各站彙總來源'!L1676/'各站彙總來源'!M1676,"")</x:f>
        <x:v>1.1538461538461537</x:v>
      </x:c>
      <x:c r="M1676" s="19" t="n">
        <x:f>'各站彙總來源'!M1676</x:f>
        <x:v>26</x:v>
      </x:c>
      <x:c r="N1676" s="24" t="n">
        <x:f>F1676+H1676</x:f>
        <x:v>27.46153846153846</x:v>
      </x:c>
      <x:c r="O1676" s="24" t="n">
        <x:f>J1676+L1676</x:f>
        <x:v>6.461538461538462</x:v>
      </x:c>
    </x:row>
    <x:row r="1677">
      <x:c r="A1677" s="22" t="str">
        <x:v>500112088</x:v>
      </x:c>
      <x:c r="B1677" s="17" t="str">
        <x:v>信義區</x:v>
      </x:c>
      <x:c r="C1677" s="17" t="str">
        <x:v>吳興街394巷口</x:v>
      </x:c>
      <x:c r="D1677" s="18" t="n">
        <x:v>26</x:v>
      </x:c>
      <x:c r="E1677" s="18" t="n">
        <x:v>26</x:v>
      </x:c>
      <x:c r="F1677" s="24" t="n">
        <x:f>IFERROR('各站彙總來源'!F1677/'各站彙總來源'!G1677,"")</x:f>
        <x:v>19.192307692307693</x:v>
      </x:c>
      <x:c r="G1677" s="19" t="n">
        <x:f>'各站彙總來源'!G1677</x:f>
        <x:v>26</x:v>
      </x:c>
      <x:c r="H1677" s="24" t="n">
        <x:f>IFERROR('各站彙總來源'!H1677/'各站彙總來源'!I1677,"")</x:f>
        <x:v>2.6153846153846154</x:v>
      </x:c>
      <x:c r="I1677" s="19" t="n">
        <x:f>'各站彙總來源'!I1677</x:f>
        <x:v>26</x:v>
      </x:c>
      <x:c r="J1677" s="24" t="n">
        <x:f>IFERROR('各站彙總來源'!J1677/'各站彙總來源'!K1677,"")</x:f>
        <x:v>3.3461538461538463</x:v>
      </x:c>
      <x:c r="K1677" s="19" t="n">
        <x:f>'各站彙總來源'!K1677</x:f>
        <x:v>26</x:v>
      </x:c>
      <x:c r="L1677" s="24" t="n">
        <x:f>IFERROR('各站彙總來源'!L1677/'各站彙總來源'!M1677,"")</x:f>
        <x:v>1.0769230769230769</x:v>
      </x:c>
      <x:c r="M1677" s="19" t="n">
        <x:f>'各站彙總來源'!M1677</x:f>
        <x:v>26</x:v>
      </x:c>
      <x:c r="N1677" s="24" t="n">
        <x:f>F1677+H1677</x:f>
        <x:v>21.80769230769231</x:v>
      </x:c>
      <x:c r="O1677" s="24" t="n">
        <x:f>J1677+L1677</x:f>
        <x:v>4.423076923076923</x:v>
      </x:c>
    </x:row>
    <x:row r="1678">
      <x:c r="A1678" s="22" t="str">
        <x:v>500112089</x:v>
      </x:c>
      <x:c r="B1678" s="17" t="str">
        <x:v>信義區</x:v>
      </x:c>
      <x:c r="C1678" s="17" t="str">
        <x:v>富生公園</x:v>
      </x:c>
      <x:c r="D1678" s="18" t="n">
        <x:v>26</x:v>
      </x:c>
      <x:c r="E1678" s="18" t="n">
        <x:v>26</x:v>
      </x:c>
      <x:c r="F1678" s="24" t="n">
        <x:f>IFERROR('各站彙總來源'!F1678/'各站彙總來源'!G1678,"")</x:f>
        <x:v>5.846153846153846</x:v>
      </x:c>
      <x:c r="G1678" s="19" t="n">
        <x:f>'各站彙總來源'!G1678</x:f>
        <x:v>26</x:v>
      </x:c>
      <x:c r="H1678" s="24" t="n">
        <x:f>IFERROR('各站彙總來源'!H1678/'各站彙總來源'!I1678,"")</x:f>
        <x:v>0.7307692307692307</x:v>
      </x:c>
      <x:c r="I1678" s="19" t="n">
        <x:f>'各站彙總來源'!I1678</x:f>
        <x:v>26</x:v>
      </x:c>
      <x:c r="J1678" s="24" t="n">
        <x:f>IFERROR('各站彙總來源'!J1678/'各站彙總來源'!K1678,"")</x:f>
        <x:v>8.153846153846153</x:v>
      </x:c>
      <x:c r="K1678" s="19" t="n">
        <x:f>'各站彙總來源'!K1678</x:f>
        <x:v>26</x:v>
      </x:c>
      <x:c r="L1678" s="24" t="n">
        <x:f>IFERROR('各站彙總來源'!L1678/'各站彙總來源'!M1678,"")</x:f>
        <x:v>2.269230769230769</x:v>
      </x:c>
      <x:c r="M1678" s="19" t="n">
        <x:f>'各站彙總來源'!M1678</x:f>
        <x:v>26</x:v>
      </x:c>
      <x:c r="N1678" s="24" t="n">
        <x:f>F1678+H1678</x:f>
        <x:v>6.576923076923077</x:v>
      </x:c>
      <x:c r="O1678" s="24" t="n">
        <x:f>J1678+L1678</x:f>
        <x:v>10.423076923076923</x:v>
      </x:c>
    </x:row>
    <x:row r="1679">
      <x:c r="A1679" s="22" t="str">
        <x:v>500112090</x:v>
      </x:c>
      <x:c r="B1679" s="17" t="str">
        <x:v>信義區</x:v>
      </x:c>
      <x:c r="C1679" s="17" t="str">
        <x:v>松勤莊敬路口</x:v>
      </x:c>
      <x:c r="D1679" s="18" t="n">
        <x:v>26</x:v>
      </x:c>
      <x:c r="E1679" s="18" t="n">
        <x:v>26</x:v>
      </x:c>
      <x:c r="F1679" s="24" t="n">
        <x:f>IFERROR('各站彙總來源'!F1679/'各站彙總來源'!G1679,"")</x:f>
        <x:v>5.423076923076923</x:v>
      </x:c>
      <x:c r="G1679" s="19" t="n">
        <x:f>'各站彙總來源'!G1679</x:f>
        <x:v>26</x:v>
      </x:c>
      <x:c r="H1679" s="24" t="n">
        <x:f>IFERROR('各站彙總來源'!H1679/'各站彙總來源'!I1679,"")</x:f>
        <x:v>0.9230769230769231</x:v>
      </x:c>
      <x:c r="I1679" s="19" t="n">
        <x:f>'各站彙總來源'!I1679</x:f>
        <x:v>26</x:v>
      </x:c>
      <x:c r="J1679" s="24" t="n">
        <x:f>IFERROR('各站彙總來源'!J1679/'各站彙總來源'!K1679,"")</x:f>
        <x:v>4.423076923076923</x:v>
      </x:c>
      <x:c r="K1679" s="19" t="n">
        <x:f>'各站彙總來源'!K1679</x:f>
        <x:v>26</x:v>
      </x:c>
      <x:c r="L1679" s="24" t="n">
        <x:f>IFERROR('各站彙總來源'!L1679/'各站彙總來源'!M1679,"")</x:f>
        <x:v>0.8076923076923077</x:v>
      </x:c>
      <x:c r="M1679" s="19" t="n">
        <x:f>'各站彙總來源'!M1679</x:f>
        <x:v>26</x:v>
      </x:c>
      <x:c r="N1679" s="24" t="n">
        <x:f>F1679+H1679</x:f>
        <x:v>6.346153846153847</x:v>
      </x:c>
      <x:c r="O1679" s="24" t="n">
        <x:f>J1679+L1679</x:f>
        <x:v>5.230769230769231</x:v>
      </x:c>
    </x:row>
    <x:row r="1680">
      <x:c r="A1680" s="22" t="str">
        <x:v>500112091</x:v>
      </x:c>
      <x:c r="B1680" s="17" t="str">
        <x:v>信義區</x:v>
      </x:c>
      <x:c r="C1680" s="17" t="str">
        <x:v>松仁松平路口</x:v>
      </x:c>
      <x:c r="D1680" s="18" t="n">
        <x:v>26</x:v>
      </x:c>
      <x:c r="E1680" s="18" t="n">
        <x:v>26</x:v>
      </x:c>
      <x:c r="F1680" s="24" t="n">
        <x:f>IFERROR('各站彙總來源'!F1680/'各站彙總來源'!G1680,"")</x:f>
        <x:v>4</x:v>
      </x:c>
      <x:c r="G1680" s="19" t="n">
        <x:f>'各站彙總來源'!G1680</x:f>
        <x:v>26</x:v>
      </x:c>
      <x:c r="H1680" s="24" t="n">
        <x:f>IFERROR('各站彙總來源'!H1680/'各站彙總來源'!I1680,"")</x:f>
        <x:v>0.2692307692307692</x:v>
      </x:c>
      <x:c r="I1680" s="19" t="n">
        <x:f>'各站彙總來源'!I1680</x:f>
        <x:v>26</x:v>
      </x:c>
      <x:c r="J1680" s="24" t="n">
        <x:f>IFERROR('各站彙總來源'!J1680/'各站彙總來源'!K1680,"")</x:f>
        <x:v>4.423076923076923</x:v>
      </x:c>
      <x:c r="K1680" s="19" t="n">
        <x:f>'各站彙總來源'!K1680</x:f>
        <x:v>26</x:v>
      </x:c>
      <x:c r="L1680" s="24" t="n">
        <x:f>IFERROR('各站彙總來源'!L1680/'各站彙總來源'!M1680,"")</x:f>
        <x:v>0.6538461538461539</x:v>
      </x:c>
      <x:c r="M1680" s="19" t="n">
        <x:f>'各站彙總來源'!M1680</x:f>
        <x:v>26</x:v>
      </x:c>
      <x:c r="N1680" s="24" t="n">
        <x:f>F1680+H1680</x:f>
        <x:v>4.269230769230769</x:v>
      </x:c>
      <x:c r="O1680" s="24" t="n">
        <x:f>J1680+L1680</x:f>
        <x:v>5.0769230769230775</x:v>
      </x:c>
    </x:row>
    <x:row r="1681">
      <x:c r="A1681" s="22" t="str">
        <x:v>500112092</x:v>
      </x:c>
      <x:c r="B1681" s="17" t="str">
        <x:v>信義區</x:v>
      </x:c>
      <x:c r="C1681" s="17" t="str">
        <x:v>信義松德路口</x:v>
      </x:c>
      <x:c r="D1681" s="18" t="n">
        <x:v>26</x:v>
      </x:c>
      <x:c r="E1681" s="18" t="n">
        <x:v>26</x:v>
      </x:c>
      <x:c r="F1681" s="24" t="n">
        <x:f>IFERROR('各站彙總來源'!F1681/'各站彙總來源'!G1681,"")</x:f>
        <x:v>10.26923076923077</x:v>
      </x:c>
      <x:c r="G1681" s="19" t="n">
        <x:f>'各站彙總來源'!G1681</x:f>
        <x:v>26</x:v>
      </x:c>
      <x:c r="H1681" s="24" t="n">
        <x:f>IFERROR('各站彙總來源'!H1681/'各站彙總來源'!I1681,"")</x:f>
        <x:v>1.5769230769230769</x:v>
      </x:c>
      <x:c r="I1681" s="19" t="n">
        <x:f>'各站彙總來源'!I1681</x:f>
        <x:v>26</x:v>
      </x:c>
      <x:c r="J1681" s="24" t="n">
        <x:f>IFERROR('各站彙總來源'!J1681/'各站彙總來源'!K1681,"")</x:f>
        <x:v>4.3076923076923075</x:v>
      </x:c>
      <x:c r="K1681" s="19" t="n">
        <x:f>'各站彙總來源'!K1681</x:f>
        <x:v>26</x:v>
      </x:c>
      <x:c r="L1681" s="24" t="n">
        <x:f>IFERROR('各站彙總來源'!L1681/'各站彙總來源'!M1681,"")</x:f>
        <x:v>0.5</x:v>
      </x:c>
      <x:c r="M1681" s="19" t="n">
        <x:f>'各站彙總來源'!M1681</x:f>
        <x:v>26</x:v>
      </x:c>
      <x:c r="N1681" s="24" t="n">
        <x:f>F1681+H1681</x:f>
        <x:v>11.846153846153847</x:v>
      </x:c>
      <x:c r="O1681" s="24" t="n">
        <x:f>J1681+L1681</x:f>
        <x:v>4.8076923076923075</x:v>
      </x:c>
    </x:row>
    <x:row r="1682">
      <x:c r="A1682" s="22" t="str">
        <x:v>500112093</x:v>
      </x:c>
      <x:c r="B1682" s="17" t="str">
        <x:v>信義區</x:v>
      </x:c>
      <x:c r="C1682" s="17" t="str">
        <x:v>捷運市政府站(4號出口)</x:v>
      </x:c>
      <x:c r="D1682" s="18" t="n">
        <x:v>26</x:v>
      </x:c>
      <x:c r="E1682" s="18" t="n">
        <x:v>26</x:v>
      </x:c>
      <x:c r="F1682" s="24" t="n">
        <x:f>IFERROR('各站彙總來源'!F1682/'各站彙總來源'!G1682,"")</x:f>
        <x:v>5.5</x:v>
      </x:c>
      <x:c r="G1682" s="19" t="n">
        <x:f>'各站彙總來源'!G1682</x:f>
        <x:v>26</x:v>
      </x:c>
      <x:c r="H1682" s="24" t="n">
        <x:f>IFERROR('各站彙總來源'!H1682/'各站彙總來源'!I1682,"")</x:f>
        <x:v>1.2307692307692308</x:v>
      </x:c>
      <x:c r="I1682" s="19" t="n">
        <x:f>'各站彙總來源'!I1682</x:f>
        <x:v>26</x:v>
      </x:c>
      <x:c r="J1682" s="24" t="n">
        <x:f>IFERROR('各站彙總來源'!J1682/'各站彙總來源'!K1682,"")</x:f>
        <x:v>8.76923076923077</x:v>
      </x:c>
      <x:c r="K1682" s="19" t="n">
        <x:f>'各站彙總來源'!K1682</x:f>
        <x:v>26</x:v>
      </x:c>
      <x:c r="L1682" s="24" t="n">
        <x:f>IFERROR('各站彙總來源'!L1682/'各站彙總來源'!M1682,"")</x:f>
        <x:v>2.3846153846153846</x:v>
      </x:c>
      <x:c r="M1682" s="19" t="n">
        <x:f>'各站彙總來源'!M1682</x:f>
        <x:v>26</x:v>
      </x:c>
      <x:c r="N1682" s="24" t="n">
        <x:f>F1682+H1682</x:f>
        <x:v>6.730769230769231</x:v>
      </x:c>
      <x:c r="O1682" s="24" t="n">
        <x:f>J1682+L1682</x:f>
        <x:v>11.153846153846155</x:v>
      </x:c>
    </x:row>
    <x:row r="1683">
      <x:c r="A1683" s="22" t="str">
        <x:v>500112094</x:v>
      </x:c>
      <x:c r="B1683" s="17" t="str">
        <x:v>信義區</x:v>
      </x:c>
      <x:c r="C1683" s="17" t="str">
        <x:v>吳興街284巷(廣安宮)</x:v>
      </x:c>
      <x:c r="D1683" s="18" t="n">
        <x:v>26</x:v>
      </x:c>
      <x:c r="E1683" s="18" t="n">
        <x:v>26</x:v>
      </x:c>
      <x:c r="F1683" s="24" t="n">
        <x:f>IFERROR('各站彙總來源'!F1683/'各站彙總來源'!G1683,"")</x:f>
        <x:v>18.576923076923077</x:v>
      </x:c>
      <x:c r="G1683" s="19" t="n">
        <x:f>'各站彙總來源'!G1683</x:f>
        <x:v>26</x:v>
      </x:c>
      <x:c r="H1683" s="24" t="n">
        <x:f>IFERROR('各站彙總來源'!H1683/'各站彙總來源'!I1683,"")</x:f>
        <x:v>1.9615384615384615</x:v>
      </x:c>
      <x:c r="I1683" s="19" t="n">
        <x:f>'各站彙總來源'!I1683</x:f>
        <x:v>26</x:v>
      </x:c>
      <x:c r="J1683" s="24" t="n">
        <x:f>IFERROR('各站彙總來源'!J1683/'各站彙總來源'!K1683,"")</x:f>
        <x:v>3.923076923076923</x:v>
      </x:c>
      <x:c r="K1683" s="19" t="n">
        <x:f>'各站彙總來源'!K1683</x:f>
        <x:v>26</x:v>
      </x:c>
      <x:c r="L1683" s="24" t="n">
        <x:f>IFERROR('各站彙總來源'!L1683/'各站彙總來源'!M1683,"")</x:f>
        <x:v>0.5384615384615384</x:v>
      </x:c>
      <x:c r="M1683" s="19" t="n">
        <x:f>'各站彙總來源'!M1683</x:f>
        <x:v>26</x:v>
      </x:c>
      <x:c r="N1683" s="24" t="n">
        <x:f>F1683+H1683</x:f>
        <x:v>20.538461538461537</x:v>
      </x:c>
      <x:c r="O1683" s="24" t="n">
        <x:f>J1683+L1683</x:f>
        <x:v>4.461538461538462</x:v>
      </x:c>
    </x:row>
    <x:row r="1684">
      <x:c r="A1684" s="22" t="str">
        <x:v>500112095</x:v>
      </x:c>
      <x:c r="B1684" s="17" t="str">
        <x:v>信義區</x:v>
      </x:c>
      <x:c r="C1684" s="17" t="str">
        <x:v>景勤二號公園(西南側)</x:v>
      </x:c>
      <x:c r="D1684" s="18" t="n">
        <x:v>26</x:v>
      </x:c>
      <x:c r="E1684" s="18" t="n">
        <x:v>26</x:v>
      </x:c>
      <x:c r="F1684" s="24" t="n">
        <x:f>IFERROR('各站彙總來源'!F1684/'各站彙總來源'!G1684,"")</x:f>
        <x:v>14.576923076923077</x:v>
      </x:c>
      <x:c r="G1684" s="19" t="n">
        <x:f>'各站彙總來源'!G1684</x:f>
        <x:v>26</x:v>
      </x:c>
      <x:c r="H1684" s="24" t="n">
        <x:f>IFERROR('各站彙總來源'!H1684/'各站彙總來源'!I1684,"")</x:f>
        <x:v>3.1153846153846154</x:v>
      </x:c>
      <x:c r="I1684" s="19" t="n">
        <x:f>'各站彙總來源'!I1684</x:f>
        <x:v>26</x:v>
      </x:c>
      <x:c r="J1684" s="24" t="n">
        <x:f>IFERROR('各站彙總來源'!J1684/'各站彙總來源'!K1684,"")</x:f>
        <x:v>3.769230769230769</x:v>
      </x:c>
      <x:c r="K1684" s="19" t="n">
        <x:f>'各站彙總來源'!K1684</x:f>
        <x:v>26</x:v>
      </x:c>
      <x:c r="L1684" s="24" t="n">
        <x:f>IFERROR('各站彙總來源'!L1684/'各站彙總來源'!M1684,"")</x:f>
        <x:v>0.46153846153846156</x:v>
      </x:c>
      <x:c r="M1684" s="19" t="n">
        <x:f>'各站彙總來源'!M1684</x:f>
        <x:v>26</x:v>
      </x:c>
      <x:c r="N1684" s="24" t="n">
        <x:f>F1684+H1684</x:f>
        <x:v>17.692307692307693</x:v>
      </x:c>
      <x:c r="O1684" s="24" t="n">
        <x:f>J1684+L1684</x:f>
        <x:v>4.230769230769231</x:v>
      </x:c>
    </x:row>
    <x:row r="1685">
      <x:c r="A1685" s="22" t="str">
        <x:v>500112096</x:v>
      </x:c>
      <x:c r="B1685" s="17" t="str">
        <x:v>信義區</x:v>
      </x:c>
      <x:c r="C1685" s="17" t="str">
        <x:v>克勤新村</x:v>
      </x:c>
      <x:c r="D1685" s="18" t="n">
        <x:v>26</x:v>
      </x:c>
      <x:c r="E1685" s="18" t="n">
        <x:v>26</x:v>
      </x:c>
      <x:c r="F1685" s="24" t="n">
        <x:f>IFERROR('各站彙總來源'!F1685/'各站彙總來源'!G1685,"")</x:f>
        <x:v>12.73076923076923</x:v>
      </x:c>
      <x:c r="G1685" s="19" t="n">
        <x:f>'各站彙總來源'!G1685</x:f>
        <x:v>26</x:v>
      </x:c>
      <x:c r="H1685" s="24" t="n">
        <x:f>IFERROR('各站彙總來源'!H1685/'各站彙總來源'!I1685,"")</x:f>
        <x:v>2.1923076923076925</x:v>
      </x:c>
      <x:c r="I1685" s="19" t="n">
        <x:f>'各站彙總來源'!I1685</x:f>
        <x:v>26</x:v>
      </x:c>
      <x:c r="J1685" s="24" t="n">
        <x:f>IFERROR('各站彙總來源'!J1685/'各站彙總來源'!K1685,"")</x:f>
        <x:v>21.423076923076923</x:v>
      </x:c>
      <x:c r="K1685" s="19" t="n">
        <x:f>'各站彙總來源'!K1685</x:f>
        <x:v>26</x:v>
      </x:c>
      <x:c r="L1685" s="24" t="n">
        <x:f>IFERROR('各站彙總來源'!L1685/'各站彙總來源'!M1685,"")</x:f>
        <x:v>3.076923076923077</x:v>
      </x:c>
      <x:c r="M1685" s="19" t="n">
        <x:f>'各站彙總來源'!M1685</x:f>
        <x:v>26</x:v>
      </x:c>
      <x:c r="N1685" s="24" t="n">
        <x:f>F1685+H1685</x:f>
        <x:v>14.923076923076923</x:v>
      </x:c>
      <x:c r="O1685" s="24" t="n">
        <x:f>J1685+L1685</x:f>
        <x:v>24.5</x:v>
      </x:c>
    </x:row>
    <x:row r="1686">
      <x:c r="A1686" s="22" t="str">
        <x:v>500112097</x:v>
      </x:c>
      <x:c r="B1686" s="17" t="str">
        <x:v>信義區</x:v>
      </x:c>
      <x:c r="C1686" s="17" t="str">
        <x:v>和平東路三段291號</x:v>
      </x:c>
      <x:c r="D1686" s="18" t="n">
        <x:v>26</x:v>
      </x:c>
      <x:c r="E1686" s="18" t="n">
        <x:v>26</x:v>
      </x:c>
      <x:c r="F1686" s="24" t="n">
        <x:f>IFERROR('各站彙總來源'!F1686/'各站彙總來源'!G1686,"")</x:f>
        <x:v>20.884615384615383</x:v>
      </x:c>
      <x:c r="G1686" s="19" t="n">
        <x:f>'各站彙總來源'!G1686</x:f>
        <x:v>26</x:v>
      </x:c>
      <x:c r="H1686" s="24" t="n">
        <x:f>IFERROR('各站彙總來源'!H1686/'各站彙總來源'!I1686,"")</x:f>
        <x:v>1.6538461538461537</x:v>
      </x:c>
      <x:c r="I1686" s="19" t="n">
        <x:f>'各站彙總來源'!I1686</x:f>
        <x:v>26</x:v>
      </x:c>
      <x:c r="J1686" s="24" t="n">
        <x:f>IFERROR('各站彙總來源'!J1686/'各站彙總來源'!K1686,"")</x:f>
        <x:v>3.0384615384615383</x:v>
      </x:c>
      <x:c r="K1686" s="19" t="n">
        <x:f>'各站彙總來源'!K1686</x:f>
        <x:v>26</x:v>
      </x:c>
      <x:c r="L1686" s="24" t="n">
        <x:f>IFERROR('各站彙總來源'!L1686/'各站彙總來源'!M1686,"")</x:f>
        <x:v>0.6538461538461539</x:v>
      </x:c>
      <x:c r="M1686" s="19" t="n">
        <x:f>'各站彙總來源'!M1686</x:f>
        <x:v>26</x:v>
      </x:c>
      <x:c r="N1686" s="24" t="n">
        <x:f>F1686+H1686</x:f>
        <x:v>22.538461538461537</x:v>
      </x:c>
      <x:c r="O1686" s="24" t="n">
        <x:f>J1686+L1686</x:f>
        <x:v>3.692307692307692</x:v>
      </x:c>
    </x:row>
    <x:row r="1687">
      <x:c r="A1687" s="22" t="str">
        <x:v>500112098</x:v>
      </x:c>
      <x:c r="B1687" s="17" t="str">
        <x:v>信義區</x:v>
      </x:c>
      <x:c r="C1687" s="17" t="str">
        <x:v>永吉路468巷口</x:v>
      </x:c>
      <x:c r="D1687" s="18" t="n">
        <x:v>26</x:v>
      </x:c>
      <x:c r="E1687" s="18" t="n">
        <x:v>26</x:v>
      </x:c>
      <x:c r="F1687" s="24" t="n">
        <x:f>IFERROR('各站彙總來源'!F1687/'各站彙總來源'!G1687,"")</x:f>
        <x:v>7.3076923076923075</x:v>
      </x:c>
      <x:c r="G1687" s="19" t="n">
        <x:f>'各站彙總來源'!G1687</x:f>
        <x:v>26</x:v>
      </x:c>
      <x:c r="H1687" s="24" t="n">
        <x:f>IFERROR('各站彙總來源'!H1687/'各站彙總來源'!I1687,"")</x:f>
        <x:v>1.2307692307692308</x:v>
      </x:c>
      <x:c r="I1687" s="19" t="n">
        <x:f>'各站彙總來源'!I1687</x:f>
        <x:v>26</x:v>
      </x:c>
      <x:c r="J1687" s="24" t="n">
        <x:f>IFERROR('各站彙總來源'!J1687/'各站彙總來源'!K1687,"")</x:f>
        <x:v>5.615384615384615</x:v>
      </x:c>
      <x:c r="K1687" s="19" t="n">
        <x:f>'各站彙總來源'!K1687</x:f>
        <x:v>26</x:v>
      </x:c>
      <x:c r="L1687" s="24" t="n">
        <x:f>IFERROR('各站彙總來源'!L1687/'各站彙總來源'!M1687,"")</x:f>
        <x:v>1.3461538461538463</x:v>
      </x:c>
      <x:c r="M1687" s="19" t="n">
        <x:f>'各站彙總來源'!M1687</x:f>
        <x:v>26</x:v>
      </x:c>
      <x:c r="N1687" s="24" t="n">
        <x:f>F1687+H1687</x:f>
        <x:v>8.538461538461538</x:v>
      </x:c>
      <x:c r="O1687" s="24" t="n">
        <x:f>J1687+L1687</x:f>
        <x:v>6.961538461538462</x:v>
      </x:c>
    </x:row>
    <x:row r="1688">
      <x:c r="A1688" s="22" t="str">
        <x:v>500112099</x:v>
      </x:c>
      <x:c r="B1688" s="17" t="str">
        <x:v>信義區</x:v>
      </x:c>
      <x:c r="C1688" s="17" t="str">
        <x:v>廣慈博愛園區(西側)</x:v>
      </x:c>
      <x:c r="D1688" s="18" t="n">
        <x:v>26</x:v>
      </x:c>
      <x:c r="E1688" s="18" t="n">
        <x:v>26</x:v>
      </x:c>
      <x:c r="F1688" s="24" t="n">
        <x:f>IFERROR('各站彙總來源'!F1688/'各站彙總來源'!G1688,"")</x:f>
        <x:v>33.07692307692308</x:v>
      </x:c>
      <x:c r="G1688" s="19" t="n">
        <x:f>'各站彙總來源'!G1688</x:f>
        <x:v>26</x:v>
      </x:c>
      <x:c r="H1688" s="24" t="n">
        <x:f>IFERROR('各站彙總來源'!H1688/'各站彙總來源'!I1688,"")</x:f>
        <x:v>2.8846153846153846</x:v>
      </x:c>
      <x:c r="I1688" s="19" t="n">
        <x:f>'各站彙總來源'!I1688</x:f>
        <x:v>26</x:v>
      </x:c>
      <x:c r="J1688" s="24" t="n">
        <x:f>IFERROR('各站彙總來源'!J1688/'各站彙總來源'!K1688,"")</x:f>
        <x:v>7.923076923076923</x:v>
      </x:c>
      <x:c r="K1688" s="19" t="n">
        <x:f>'各站彙總來源'!K1688</x:f>
        <x:v>26</x:v>
      </x:c>
      <x:c r="L1688" s="24" t="n">
        <x:f>IFERROR('各站彙總來源'!L1688/'各站彙總來源'!M1688,"")</x:f>
        <x:v>0.8846153846153846</x:v>
      </x:c>
      <x:c r="M1688" s="19" t="n">
        <x:f>'各站彙總來源'!M1688</x:f>
        <x:v>26</x:v>
      </x:c>
      <x:c r="N1688" s="24" t="n">
        <x:f>F1688+H1688</x:f>
        <x:v>35.96153846153847</x:v>
      </x:c>
      <x:c r="O1688" s="24" t="n">
        <x:f>J1688+L1688</x:f>
        <x:v>8.807692307692308</x:v>
      </x:c>
    </x:row>
    <x:row r="1689">
      <x:c r="A1689" s="22" t="str">
        <x:v>500112100</x:v>
      </x:c>
      <x:c r="B1689" s="17" t="str">
        <x:v>信義區</x:v>
      </x:c>
      <x:c r="C1689" s="17" t="str">
        <x:v>和平東路三段341巷口</x:v>
      </x:c>
      <x:c r="D1689" s="18" t="n">
        <x:v>26</x:v>
      </x:c>
      <x:c r="E1689" s="18" t="n">
        <x:v>26</x:v>
      </x:c>
      <x:c r="F1689" s="24" t="n">
        <x:f>IFERROR('各站彙總來源'!F1689/'各站彙總來源'!G1689,"")</x:f>
        <x:v>27.96153846153846</x:v>
      </x:c>
      <x:c r="G1689" s="19" t="n">
        <x:f>'各站彙總來源'!G1689</x:f>
        <x:v>26</x:v>
      </x:c>
      <x:c r="H1689" s="24" t="n">
        <x:f>IFERROR('各站彙總來源'!H1689/'各站彙總來源'!I1689,"")</x:f>
        <x:v>4.615384615384615</x:v>
      </x:c>
      <x:c r="I1689" s="19" t="n">
        <x:f>'各站彙總來源'!I1689</x:f>
        <x:v>26</x:v>
      </x:c>
      <x:c r="J1689" s="24" t="n">
        <x:f>IFERROR('各站彙總來源'!J1689/'各站彙總來源'!K1689,"")</x:f>
        <x:v>4.6923076923076925</x:v>
      </x:c>
      <x:c r="K1689" s="19" t="n">
        <x:f>'各站彙總來源'!K1689</x:f>
        <x:v>26</x:v>
      </x:c>
      <x:c r="L1689" s="24" t="n">
        <x:f>IFERROR('各站彙總來源'!L1689/'各站彙總來源'!M1689,"")</x:f>
        <x:v>1.2307692307692308</x:v>
      </x:c>
      <x:c r="M1689" s="19" t="n">
        <x:f>'各站彙總來源'!M1689</x:f>
        <x:v>26</x:v>
      </x:c>
      <x:c r="N1689" s="24" t="n">
        <x:f>F1689+H1689</x:f>
        <x:v>32.57692307692307</x:v>
      </x:c>
      <x:c r="O1689" s="24" t="n">
        <x:f>J1689+L1689</x:f>
        <x:v>5.923076923076923</x:v>
      </x:c>
    </x:row>
    <x:row r="1690">
      <x:c r="A1690" s="22" t="str">
        <x:v>500112101</x:v>
      </x:c>
      <x:c r="B1690" s="17" t="str">
        <x:v>信義區</x:v>
      </x:c>
      <x:c r="C1690" s="17" t="str">
        <x:v>革新公園</x:v>
      </x:c>
      <x:c r="D1690" s="18" t="n">
        <x:v>26</x:v>
      </x:c>
      <x:c r="E1690" s="18" t="n">
        <x:v>26</x:v>
      </x:c>
      <x:c r="F1690" s="24" t="n">
        <x:f>IFERROR('各站彙總來源'!F1690/'各站彙總來源'!G1690,"")</x:f>
        <x:v>6.153846153846154</x:v>
      </x:c>
      <x:c r="G1690" s="19" t="n">
        <x:f>'各站彙總來源'!G1690</x:f>
        <x:v>26</x:v>
      </x:c>
      <x:c r="H1690" s="24" t="n">
        <x:f>IFERROR('各站彙總來源'!H1690/'各站彙總來源'!I1690,"")</x:f>
        <x:v>1.6538461538461537</x:v>
      </x:c>
      <x:c r="I1690" s="19" t="n">
        <x:f>'各站彙總來源'!I1690</x:f>
        <x:v>26</x:v>
      </x:c>
      <x:c r="J1690" s="24" t="n">
        <x:f>IFERROR('各站彙總來源'!J1690/'各站彙總來源'!K1690,"")</x:f>
        <x:v>7.423076923076923</x:v>
      </x:c>
      <x:c r="K1690" s="19" t="n">
        <x:f>'各站彙總來源'!K1690</x:f>
        <x:v>26</x:v>
      </x:c>
      <x:c r="L1690" s="24" t="n">
        <x:f>IFERROR('各站彙總來源'!L1690/'各站彙總來源'!M1690,"")</x:f>
        <x:v>1.6153846153846154</x:v>
      </x:c>
      <x:c r="M1690" s="19" t="n">
        <x:f>'各站彙總來源'!M1690</x:f>
        <x:v>26</x:v>
      </x:c>
      <x:c r="N1690" s="24" t="n">
        <x:f>F1690+H1690</x:f>
        <x:v>7.807692307692308</x:v>
      </x:c>
      <x:c r="O1690" s="24" t="n">
        <x:f>J1690+L1690</x:f>
        <x:v>9.038461538461538</x:v>
      </x:c>
    </x:row>
    <x:row r="1691">
      <x:c r="A1691" s="22" t="str">
        <x:v>500112102</x:v>
      </x:c>
      <x:c r="B1691" s="17" t="str">
        <x:v>信義區</x:v>
      </x:c>
      <x:c r="C1691" s="17" t="str">
        <x:v>黎雙公園</x:v>
      </x:c>
      <x:c r="D1691" s="18" t="n">
        <x:v>26</x:v>
      </x:c>
      <x:c r="E1691" s="18" t="n">
        <x:v>26</x:v>
      </x:c>
      <x:c r="F1691" s="24" t="n">
        <x:f>IFERROR('各站彙總來源'!F1691/'各站彙總來源'!G1691,"")</x:f>
        <x:v>20.96153846153846</x:v>
      </x:c>
      <x:c r="G1691" s="19" t="n">
        <x:f>'各站彙總來源'!G1691</x:f>
        <x:v>26</x:v>
      </x:c>
      <x:c r="H1691" s="24" t="n">
        <x:f>IFERROR('各站彙總來源'!H1691/'各站彙總來源'!I1691,"")</x:f>
        <x:v>3.1153846153846154</x:v>
      </x:c>
      <x:c r="I1691" s="19" t="n">
        <x:f>'各站彙總來源'!I1691</x:f>
        <x:v>26</x:v>
      </x:c>
      <x:c r="J1691" s="24" t="n">
        <x:f>IFERROR('各站彙總來源'!J1691/'各站彙總來源'!K1691,"")</x:f>
        <x:v>4.076923076923077</x:v>
      </x:c>
      <x:c r="K1691" s="19" t="n">
        <x:f>'各站彙總來源'!K1691</x:f>
        <x:v>26</x:v>
      </x:c>
      <x:c r="L1691" s="24" t="n">
        <x:f>IFERROR('各站彙總來源'!L1691/'各站彙總來源'!M1691,"")</x:f>
        <x:v>0.6153846153846154</x:v>
      </x:c>
      <x:c r="M1691" s="19" t="n">
        <x:f>'各站彙總來源'!M1691</x:f>
        <x:v>26</x:v>
      </x:c>
      <x:c r="N1691" s="24" t="n">
        <x:f>F1691+H1691</x:f>
        <x:v>24.076923076923077</x:v>
      </x:c>
      <x:c r="O1691" s="24" t="n">
        <x:f>J1691+L1691</x:f>
        <x:v>4.692307692307692</x:v>
      </x:c>
    </x:row>
    <x:row r="1692">
      <x:c r="A1692" s="22" t="str">
        <x:v>500112103</x:v>
      </x:c>
      <x:c r="B1692" s="17" t="str">
        <x:v>信義區</x:v>
      </x:c>
      <x:c r="C1692" s="17" t="str">
        <x:v>臺北文化體育園區辦公大樓</x:v>
      </x:c>
      <x:c r="D1692" s="18" t="n">
        <x:v>26</x:v>
      </x:c>
      <x:c r="E1692" s="18" t="n">
        <x:v>26</x:v>
      </x:c>
      <x:c r="F1692" s="24" t="n">
        <x:f>IFERROR('各站彙總來源'!F1692/'各站彙總來源'!G1692,"")</x:f>
        <x:v>4.730769230769231</x:v>
      </x:c>
      <x:c r="G1692" s="19" t="n">
        <x:f>'各站彙總來源'!G1692</x:f>
        <x:v>26</x:v>
      </x:c>
      <x:c r="H1692" s="24" t="n">
        <x:f>IFERROR('各站彙總來源'!H1692/'各站彙總來源'!I1692,"")</x:f>
        <x:v>0.7307692307692307</x:v>
      </x:c>
      <x:c r="I1692" s="19" t="n">
        <x:f>'各站彙總來源'!I1692</x:f>
        <x:v>26</x:v>
      </x:c>
      <x:c r="J1692" s="24" t="n">
        <x:f>IFERROR('各站彙總來源'!J1692/'各站彙總來源'!K1692,"")</x:f>
        <x:v>19.692307692307693</x:v>
      </x:c>
      <x:c r="K1692" s="19" t="n">
        <x:f>'各站彙總來源'!K1692</x:f>
        <x:v>26</x:v>
      </x:c>
      <x:c r="L1692" s="24" t="n">
        <x:f>IFERROR('各站彙總來源'!L1692/'各站彙總來源'!M1692,"")</x:f>
        <x:v>3.4615384615384617</x:v>
      </x:c>
      <x:c r="M1692" s="19" t="n">
        <x:f>'各站彙總來源'!M1692</x:f>
        <x:v>26</x:v>
      </x:c>
      <x:c r="N1692" s="24" t="n">
        <x:f>F1692+H1692</x:f>
        <x:v>5.461538461538462</x:v>
      </x:c>
      <x:c r="O1692" s="24" t="n">
        <x:f>J1692+L1692</x:f>
        <x:v>23.153846153846153</x:v>
      </x:c>
    </x:row>
    <x:row r="1693">
      <x:c r="A1693" s="22" t="str">
        <x:v>500112104</x:v>
      </x:c>
      <x:c r="B1693" s="17" t="str">
        <x:v>信義區</x:v>
      </x:c>
      <x:c r="C1693" s="17" t="str">
        <x:v>捷運國父紀念館站(5號出口)</x:v>
      </x:c>
      <x:c r="D1693" s="18" t="n">
        <x:v>26</x:v>
      </x:c>
      <x:c r="E1693" s="18" t="n">
        <x:v>26</x:v>
      </x:c>
      <x:c r="F1693" s="24" t="n">
        <x:f>IFERROR('各站彙總來源'!F1693/'各站彙總來源'!G1693,"")</x:f>
        <x:v>12.692307692307692</x:v>
      </x:c>
      <x:c r="G1693" s="19" t="n">
        <x:f>'各站彙總來源'!G1693</x:f>
        <x:v>26</x:v>
      </x:c>
      <x:c r="H1693" s="24" t="n">
        <x:f>IFERROR('各站彙總來源'!H1693/'各站彙總來源'!I1693,"")</x:f>
        <x:v>1.8846153846153846</x:v>
      </x:c>
      <x:c r="I1693" s="19" t="n">
        <x:f>'各站彙總來源'!I1693</x:f>
        <x:v>26</x:v>
      </x:c>
      <x:c r="J1693" s="24" t="n">
        <x:f>IFERROR('各站彙總來源'!J1693/'各站彙總來源'!K1693,"")</x:f>
        <x:v>10.923076923076923</x:v>
      </x:c>
      <x:c r="K1693" s="19" t="n">
        <x:f>'各站彙總來源'!K1693</x:f>
        <x:v>26</x:v>
      </x:c>
      <x:c r="L1693" s="24" t="n">
        <x:f>IFERROR('各站彙總來源'!L1693/'各站彙總來源'!M1693,"")</x:f>
        <x:v>2.8076923076923075</x:v>
      </x:c>
      <x:c r="M1693" s="19" t="n">
        <x:f>'各站彙總來源'!M1693</x:f>
        <x:v>26</x:v>
      </x:c>
      <x:c r="N1693" s="24" t="n">
        <x:f>F1693+H1693</x:f>
        <x:v>14.576923076923077</x:v>
      </x:c>
      <x:c r="O1693" s="24" t="n">
        <x:f>J1693+L1693</x:f>
        <x:v>13.73076923076923</x:v>
      </x:c>
    </x:row>
    <x:row r="1694">
      <x:c r="A1694" s="22" t="str">
        <x:v>500112105</x:v>
      </x:c>
      <x:c r="B1694" s="17" t="str">
        <x:v>信義區</x:v>
      </x:c>
      <x:c r="C1694" s="17" t="str">
        <x:v>光復南菸廠路口</x:v>
      </x:c>
      <x:c r="D1694" s="18" t="n">
        <x:v>26</x:v>
      </x:c>
      <x:c r="E1694" s="18" t="n">
        <x:v>26</x:v>
      </x:c>
      <x:c r="F1694" s="24" t="n">
        <x:f>IFERROR('各站彙總來源'!F1694/'各站彙總來源'!G1694,"")</x:f>
        <x:v>13.192307692307692</x:v>
      </x:c>
      <x:c r="G1694" s="19" t="n">
        <x:f>'各站彙總來源'!G1694</x:f>
        <x:v>26</x:v>
      </x:c>
      <x:c r="H1694" s="24" t="n">
        <x:f>IFERROR('各站彙總來源'!H1694/'各站彙總來源'!I1694,"")</x:f>
        <x:v>1.8076923076923077</x:v>
      </x:c>
      <x:c r="I1694" s="19" t="n">
        <x:f>'各站彙總來源'!I1694</x:f>
        <x:v>26</x:v>
      </x:c>
      <x:c r="J1694" s="24" t="n">
        <x:f>IFERROR('各站彙總來源'!J1694/'各站彙總來源'!K1694,"")</x:f>
        <x:v>12.346153846153847</x:v>
      </x:c>
      <x:c r="K1694" s="19" t="n">
        <x:f>'各站彙總來源'!K1694</x:f>
        <x:v>26</x:v>
      </x:c>
      <x:c r="L1694" s="24" t="n">
        <x:f>IFERROR('各站彙總來源'!L1694/'各站彙總來源'!M1694,"")</x:f>
        <x:v>4.5</x:v>
      </x:c>
      <x:c r="M1694" s="19" t="n">
        <x:f>'各站彙總來源'!M1694</x:f>
        <x:v>26</x:v>
      </x:c>
      <x:c r="N1694" s="24" t="n">
        <x:f>F1694+H1694</x:f>
        <x:v>15</x:v>
      </x:c>
      <x:c r="O1694" s="24" t="n">
        <x:f>J1694+L1694</x:f>
        <x:v>16.846153846153847</x:v>
      </x:c>
    </x:row>
    <x:row r="1695">
      <x:c r="A1695" s="22" t="str">
        <x:v>500112106</x:v>
      </x:c>
      <x:c r="B1695" s="17" t="str">
        <x:v>信義區</x:v>
      </x:c>
      <x:c r="C1695" s="17" t="str">
        <x:v>中坡北永吉路口</x:v>
      </x:c>
      <x:c r="D1695" s="18" t="n">
        <x:v>26</x:v>
      </x:c>
      <x:c r="E1695" s="18" t="n">
        <x:v>26</x:v>
      </x:c>
      <x:c r="F1695" s="24" t="n">
        <x:f>IFERROR('各站彙總來源'!F1695/'各站彙總來源'!G1695,"")</x:f>
        <x:v>5.6923076923076925</x:v>
      </x:c>
      <x:c r="G1695" s="19" t="n">
        <x:f>'各站彙總來源'!G1695</x:f>
        <x:v>26</x:v>
      </x:c>
      <x:c r="H1695" s="24" t="n">
        <x:f>IFERROR('各站彙總來源'!H1695/'各站彙總來源'!I1695,"")</x:f>
        <x:v>1.1538461538461537</x:v>
      </x:c>
      <x:c r="I1695" s="19" t="n">
        <x:f>'各站彙總來源'!I1695</x:f>
        <x:v>26</x:v>
      </x:c>
      <x:c r="J1695" s="24" t="n">
        <x:f>IFERROR('各站彙總來源'!J1695/'各站彙總來源'!K1695,"")</x:f>
        <x:v>5.461538461538462</x:v>
      </x:c>
      <x:c r="K1695" s="19" t="n">
        <x:f>'各站彙總來源'!K1695</x:f>
        <x:v>26</x:v>
      </x:c>
      <x:c r="L1695" s="24" t="n">
        <x:f>IFERROR('各站彙總來源'!L1695/'各站彙總來源'!M1695,"")</x:f>
        <x:v>1.2692307692307692</x:v>
      </x:c>
      <x:c r="M1695" s="19" t="n">
        <x:f>'各站彙總來源'!M1695</x:f>
        <x:v>26</x:v>
      </x:c>
      <x:c r="N1695" s="24" t="n">
        <x:f>F1695+H1695</x:f>
        <x:v>6.846153846153847</x:v>
      </x:c>
      <x:c r="O1695" s="24" t="n">
        <x:f>J1695+L1695</x:f>
        <x:v>6.730769230769231</x:v>
      </x:c>
    </x:row>
    <x:row r="1696">
      <x:c r="A1696" s="22" t="str">
        <x:v>500112107</x:v>
      </x:c>
      <x:c r="B1696" s="17" t="str">
        <x:v>信義區</x:v>
      </x:c>
      <x:c r="C1696" s="17" t="str">
        <x:v>松仁路281巷66弄</x:v>
      </x:c>
      <x:c r="D1696" s="18" t="n">
        <x:v>26</x:v>
      </x:c>
      <x:c r="E1696" s="18" t="n">
        <x:v>26</x:v>
      </x:c>
      <x:c r="F1696" s="24" t="n">
        <x:f>IFERROR('各站彙總來源'!F1696/'各站彙總來源'!G1696,"")</x:f>
        <x:v>30.576923076923077</x:v>
      </x:c>
      <x:c r="G1696" s="19" t="n">
        <x:f>'各站彙總來源'!G1696</x:f>
        <x:v>26</x:v>
      </x:c>
      <x:c r="H1696" s="24" t="n">
        <x:f>IFERROR('各站彙總來源'!H1696/'各站彙總來源'!I1696,"")</x:f>
        <x:v>3.423076923076923</x:v>
      </x:c>
      <x:c r="I1696" s="19" t="n">
        <x:f>'各站彙總來源'!I1696</x:f>
        <x:v>26</x:v>
      </x:c>
      <x:c r="J1696" s="24" t="n">
        <x:f>IFERROR('各站彙總來源'!J1696/'各站彙總來源'!K1696,"")</x:f>
        <x:v>5.1923076923076925</x:v>
      </x:c>
      <x:c r="K1696" s="19" t="n">
        <x:f>'各站彙總來源'!K1696</x:f>
        <x:v>26</x:v>
      </x:c>
      <x:c r="L1696" s="24" t="n">
        <x:f>IFERROR('各站彙總來源'!L1696/'各站彙總來源'!M1696,"")</x:f>
        <x:v>0.6538461538461539</x:v>
      </x:c>
      <x:c r="M1696" s="19" t="n">
        <x:f>'各站彙總來源'!M1696</x:f>
        <x:v>26</x:v>
      </x:c>
      <x:c r="N1696" s="24" t="n">
        <x:f>F1696+H1696</x:f>
        <x:v>34</x:v>
      </x:c>
      <x:c r="O1696" s="24" t="n">
        <x:f>J1696+L1696</x:f>
        <x:v>5.846153846153847</x:v>
      </x:c>
    </x:row>
    <x:row r="1697">
      <x:c r="A1697" s="22" t="str">
        <x:v>500112108</x:v>
      </x:c>
      <x:c r="B1697" s="17" t="str">
        <x:v>信義區</x:v>
      </x:c>
      <x:c r="C1697" s="17" t="str">
        <x:v>基隆市民路口</x:v>
      </x:c>
      <x:c r="D1697" s="18" t="n">
        <x:v>26</x:v>
      </x:c>
      <x:c r="E1697" s="18" t="n">
        <x:v>26</x:v>
      </x:c>
      <x:c r="F1697" s="24" t="n">
        <x:f>IFERROR('各站彙總來源'!F1697/'各站彙總來源'!G1697,"")</x:f>
        <x:v>9.76923076923077</x:v>
      </x:c>
      <x:c r="G1697" s="19" t="n">
        <x:f>'各站彙總來源'!G1697</x:f>
        <x:v>26</x:v>
      </x:c>
      <x:c r="H1697" s="24" t="n">
        <x:f>IFERROR('各站彙總來源'!H1697/'各站彙總來源'!I1697,"")</x:f>
        <x:v>0.9615384615384616</x:v>
      </x:c>
      <x:c r="I1697" s="19" t="n">
        <x:f>'各站彙總來源'!I1697</x:f>
        <x:v>26</x:v>
      </x:c>
      <x:c r="J1697" s="24" t="n">
        <x:f>IFERROR('各站彙總來源'!J1697/'各站彙總來源'!K1697,"")</x:f>
        <x:v>5.846153846153846</x:v>
      </x:c>
      <x:c r="K1697" s="19" t="n">
        <x:f>'各站彙總來源'!K1697</x:f>
        <x:v>26</x:v>
      </x:c>
      <x:c r="L1697" s="24" t="n">
        <x:f>IFERROR('各站彙總來源'!L1697/'各站彙總來源'!M1697,"")</x:f>
        <x:v>0.34615384615384615</x:v>
      </x:c>
      <x:c r="M1697" s="19" t="n">
        <x:f>'各站彙總來源'!M1697</x:f>
        <x:v>26</x:v>
      </x:c>
      <x:c r="N1697" s="24" t="n">
        <x:f>F1697+H1697</x:f>
        <x:v>10.730769230769232</x:v>
      </x:c>
      <x:c r="O1697" s="24" t="n">
        <x:f>J1697+L1697</x:f>
        <x:v>6.192307692307692</x:v>
      </x:c>
    </x:row>
    <x:row r="1698">
      <x:c r="A1698" s="22" t="str">
        <x:v>500112109</x:v>
      </x:c>
      <x:c r="B1698" s="17" t="str">
        <x:v>信義區</x:v>
      </x:c>
      <x:c r="C1698" s="17" t="str">
        <x:v>松仁路253巷4弄口</x:v>
      </x:c>
      <x:c r="D1698" s="18" t="n">
        <x:v>26</x:v>
      </x:c>
      <x:c r="E1698" s="18" t="n">
        <x:v>26</x:v>
      </x:c>
      <x:c r="F1698" s="24" t="n">
        <x:f>IFERROR('各站彙總來源'!F1698/'各站彙總來源'!G1698,"")</x:f>
        <x:v>27.46153846153846</x:v>
      </x:c>
      <x:c r="G1698" s="19" t="n">
        <x:f>'各站彙總來源'!G1698</x:f>
        <x:v>26</x:v>
      </x:c>
      <x:c r="H1698" s="24" t="n">
        <x:f>IFERROR('各站彙總來源'!H1698/'各站彙總來源'!I1698,"")</x:f>
        <x:v>4.076923076923077</x:v>
      </x:c>
      <x:c r="I1698" s="19" t="n">
        <x:f>'各站彙總來源'!I1698</x:f>
        <x:v>26</x:v>
      </x:c>
      <x:c r="J1698" s="24" t="n">
        <x:f>IFERROR('各站彙總來源'!J1698/'各站彙總來源'!K1698,"")</x:f>
        <x:v>4.6923076923076925</x:v>
      </x:c>
      <x:c r="K1698" s="19" t="n">
        <x:f>'各站彙總來源'!K1698</x:f>
        <x:v>26</x:v>
      </x:c>
      <x:c r="L1698" s="24" t="n">
        <x:f>IFERROR('各站彙總來源'!L1698/'各站彙總來源'!M1698,"")</x:f>
        <x:v>1.0384615384615385</x:v>
      </x:c>
      <x:c r="M1698" s="19" t="n">
        <x:f>'各站彙總來源'!M1698</x:f>
        <x:v>26</x:v>
      </x:c>
      <x:c r="N1698" s="24" t="n">
        <x:f>F1698+H1698</x:f>
        <x:v>31.538461538461537</x:v>
      </x:c>
      <x:c r="O1698" s="24" t="n">
        <x:f>J1698+L1698</x:f>
        <x:v>5.730769230769231</x:v>
      </x:c>
    </x:row>
    <x:row r="1699">
      <x:c r="A1699" s="22" t="str">
        <x:v>500112110</x:v>
      </x:c>
      <x:c r="B1699" s="17" t="str">
        <x:v>信義區</x:v>
      </x:c>
      <x:c r="C1699" s="17" t="str">
        <x:v>松德路169巷口</x:v>
      </x:c>
      <x:c r="D1699" s="18" t="n">
        <x:v>26</x:v>
      </x:c>
      <x:c r="E1699" s="18" t="n">
        <x:v>26</x:v>
      </x:c>
      <x:c r="F1699" s="24" t="n">
        <x:f>IFERROR('各站彙總來源'!F1699/'各站彙總來源'!G1699,"")</x:f>
        <x:v>15.346153846153847</x:v>
      </x:c>
      <x:c r="G1699" s="19" t="n">
        <x:f>'各站彙總來源'!G1699</x:f>
        <x:v>26</x:v>
      </x:c>
      <x:c r="H1699" s="24" t="n">
        <x:f>IFERROR('各站彙總來源'!H1699/'各站彙總來源'!I1699,"")</x:f>
        <x:v>3.5384615384615383</x:v>
      </x:c>
      <x:c r="I1699" s="19" t="n">
        <x:f>'各站彙總來源'!I1699</x:f>
        <x:v>26</x:v>
      </x:c>
      <x:c r="J1699" s="24" t="n">
        <x:f>IFERROR('各站彙總來源'!J1699/'各站彙總來源'!K1699,"")</x:f>
        <x:v>12.384615384615385</x:v>
      </x:c>
      <x:c r="K1699" s="19" t="n">
        <x:f>'各站彙總來源'!K1699</x:f>
        <x:v>26</x:v>
      </x:c>
      <x:c r="L1699" s="24" t="n">
        <x:f>IFERROR('各站彙總來源'!L1699/'各站彙總來源'!M1699,"")</x:f>
        <x:v>2.1923076923076925</x:v>
      </x:c>
      <x:c r="M1699" s="19" t="n">
        <x:f>'各站彙總來源'!M1699</x:f>
        <x:v>26</x:v>
      </x:c>
      <x:c r="N1699" s="24" t="n">
        <x:f>F1699+H1699</x:f>
        <x:v>18.884615384615387</x:v>
      </x:c>
      <x:c r="O1699" s="24" t="n">
        <x:f>J1699+L1699</x:f>
        <x:v>14.576923076923077</x:v>
      </x:c>
    </x:row>
    <x:row r="1700">
      <x:c r="A1700" s="22" t="str">
        <x:v>500112111</x:v>
      </x:c>
      <x:c r="B1700" s="17" t="str">
        <x:v>信義區</x:v>
      </x:c>
      <x:c r="C1700" s="17" t="str">
        <x:v>吳興新村</x:v>
      </x:c>
      <x:c r="D1700" s="18" t="n">
        <x:v>26</x:v>
      </x:c>
      <x:c r="E1700" s="18" t="n">
        <x:v>26</x:v>
      </x:c>
      <x:c r="F1700" s="24" t="n">
        <x:f>IFERROR('各站彙總來源'!F1700/'各站彙總來源'!G1700,"")</x:f>
        <x:v>10.961538461538462</x:v>
      </x:c>
      <x:c r="G1700" s="19" t="n">
        <x:f>'各站彙總來源'!G1700</x:f>
        <x:v>26</x:v>
      </x:c>
      <x:c r="H1700" s="24" t="n">
        <x:f>IFERROR('各站彙總來源'!H1700/'各站彙總來源'!I1700,"")</x:f>
        <x:v>0.9230769230769231</x:v>
      </x:c>
      <x:c r="I1700" s="19" t="n">
        <x:f>'各站彙總來源'!I1700</x:f>
        <x:v>26</x:v>
      </x:c>
      <x:c r="J1700" s="24" t="n">
        <x:f>IFERROR('各站彙總來源'!J1700/'各站彙總來源'!K1700,"")</x:f>
        <x:v>3.269230769230769</x:v>
      </x:c>
      <x:c r="K1700" s="19" t="n">
        <x:f>'各站彙總來源'!K1700</x:f>
        <x:v>26</x:v>
      </x:c>
      <x:c r="L1700" s="24" t="n">
        <x:f>IFERROR('各站彙總來源'!L1700/'各站彙總來源'!M1700,"")</x:f>
        <x:v>0.6923076923076923</x:v>
      </x:c>
      <x:c r="M1700" s="19" t="n">
        <x:f>'各站彙總來源'!M1700</x:f>
        <x:v>26</x:v>
      </x:c>
      <x:c r="N1700" s="24" t="n">
        <x:f>F1700+H1700</x:f>
        <x:v>11.884615384615385</x:v>
      </x:c>
      <x:c r="O1700" s="24" t="n">
        <x:f>J1700+L1700</x:f>
        <x:v>3.9615384615384617</x:v>
      </x:c>
    </x:row>
    <x:row r="1701">
      <x:c r="A1701" s="22" t="str">
        <x:v>500112112</x:v>
      </x:c>
      <x:c r="B1701" s="17" t="str">
        <x:v>信義區</x:v>
      </x:c>
      <x:c r="C1701" s="17" t="str">
        <x:v>松山文創園區(一號倉庫)</x:v>
      </x:c>
      <x:c r="D1701" s="18" t="n">
        <x:v>26</x:v>
      </x:c>
      <x:c r="E1701" s="18" t="n">
        <x:v>26</x:v>
      </x:c>
      <x:c r="F1701" s="24" t="n">
        <x:f>IFERROR('各站彙總來源'!F1701/'各站彙總來源'!G1701,"")</x:f>
        <x:v>4.6923076923076925</x:v>
      </x:c>
      <x:c r="G1701" s="19" t="n">
        <x:f>'各站彙總來源'!G1701</x:f>
        <x:v>26</x:v>
      </x:c>
      <x:c r="H1701" s="24" t="n">
        <x:f>IFERROR('各站彙總來源'!H1701/'各站彙總來源'!I1701,"")</x:f>
        <x:v>0.46153846153846156</x:v>
      </x:c>
      <x:c r="I1701" s="19" t="n">
        <x:f>'各站彙總來源'!I1701</x:f>
        <x:v>26</x:v>
      </x:c>
      <x:c r="J1701" s="24" t="n">
        <x:f>IFERROR('各站彙總來源'!J1701/'各站彙總來源'!K1701,"")</x:f>
        <x:v>17.46153846153846</x:v>
      </x:c>
      <x:c r="K1701" s="19" t="n">
        <x:f>'各站彙總來源'!K1701</x:f>
        <x:v>26</x:v>
      </x:c>
      <x:c r="L1701" s="24" t="n">
        <x:f>IFERROR('各站彙總來源'!L1701/'各站彙總來源'!M1701,"")</x:f>
        <x:v>2.3461538461538463</x:v>
      </x:c>
      <x:c r="M1701" s="19" t="n">
        <x:f>'各站彙總來源'!M1701</x:f>
        <x:v>26</x:v>
      </x:c>
      <x:c r="N1701" s="24" t="n">
        <x:f>F1701+H1701</x:f>
        <x:v>5.153846153846154</x:v>
      </x:c>
      <x:c r="O1701" s="24" t="n">
        <x:f>J1701+L1701</x:f>
        <x:v>19.807692307692307</x:v>
      </x:c>
    </x:row>
    <x:row r="1702">
      <x:c r="A1702" s="22" t="str">
        <x:v>500112113</x:v>
      </x:c>
      <x:c r="B1702" s="17" t="str">
        <x:v>信義區</x:v>
      </x:c>
      <x:c r="C1702" s="17" t="str">
        <x:v>永吉路187巷口</x:v>
      </x:c>
      <x:c r="D1702" s="18" t="n">
        <x:v>26</x:v>
      </x:c>
      <x:c r="E1702" s="18" t="n">
        <x:v>26</x:v>
      </x:c>
      <x:c r="F1702" s="24" t="n">
        <x:f>IFERROR('各站彙總來源'!F1702/'各站彙總來源'!G1702,"")</x:f>
        <x:v>23.576923076923077</x:v>
      </x:c>
      <x:c r="G1702" s="19" t="n">
        <x:f>'各站彙總來源'!G1702</x:f>
        <x:v>26</x:v>
      </x:c>
      <x:c r="H1702" s="24" t="n">
        <x:f>IFERROR('各站彙總來源'!H1702/'各站彙總來源'!I1702,"")</x:f>
        <x:v>2.076923076923077</x:v>
      </x:c>
      <x:c r="I1702" s="19" t="n">
        <x:f>'各站彙總來源'!I1702</x:f>
        <x:v>26</x:v>
      </x:c>
      <x:c r="J1702" s="24" t="n">
        <x:f>IFERROR('各站彙總來源'!J1702/'各站彙總來源'!K1702,"")</x:f>
        <x:v>4.576923076923077</x:v>
      </x:c>
      <x:c r="K1702" s="19" t="n">
        <x:f>'各站彙總來源'!K1702</x:f>
        <x:v>26</x:v>
      </x:c>
      <x:c r="L1702" s="24" t="n">
        <x:f>IFERROR('各站彙總來源'!L1702/'各站彙總來源'!M1702,"")</x:f>
        <x:v>0.6538461538461539</x:v>
      </x:c>
      <x:c r="M1702" s="19" t="n">
        <x:f>'各站彙總來源'!M1702</x:f>
        <x:v>26</x:v>
      </x:c>
      <x:c r="N1702" s="24" t="n">
        <x:f>F1702+H1702</x:f>
        <x:v>25.653846153846153</x:v>
      </x:c>
      <x:c r="O1702" s="24" t="n">
        <x:f>J1702+L1702</x:f>
        <x:v>5.230769230769231</x:v>
      </x:c>
    </x:row>
    <x:row r="1703">
      <x:c r="A1703" s="22" t="str">
        <x:v>500112114</x:v>
      </x:c>
      <x:c r="B1703" s="17" t="str">
        <x:v>信義區</x:v>
      </x:c>
      <x:c r="C1703" s="17" t="str">
        <x:v>仁愛路四段512巷</x:v>
      </x:c>
      <x:c r="D1703" s="18" t="n">
        <x:v>26</x:v>
      </x:c>
      <x:c r="E1703" s="18" t="n">
        <x:v>26</x:v>
      </x:c>
      <x:c r="F1703" s="24" t="n">
        <x:f>IFERROR('各站彙總來源'!F1703/'各站彙總來源'!G1703,"")</x:f>
        <x:v>8.307692307692308</x:v>
      </x:c>
      <x:c r="G1703" s="19" t="n">
        <x:f>'各站彙總來源'!G1703</x:f>
        <x:v>26</x:v>
      </x:c>
      <x:c r="H1703" s="24" t="n">
        <x:f>IFERROR('各站彙總來源'!H1703/'各站彙總來源'!I1703,"")</x:f>
        <x:v>1.7307692307692308</x:v>
      </x:c>
      <x:c r="I1703" s="19" t="n">
        <x:f>'各站彙總來源'!I1703</x:f>
        <x:v>26</x:v>
      </x:c>
      <x:c r="J1703" s="24" t="n">
        <x:f>IFERROR('各站彙總來源'!J1703/'各站彙總來源'!K1703,"")</x:f>
        <x:v>3.5</x:v>
      </x:c>
      <x:c r="K1703" s="19" t="n">
        <x:f>'各站彙總來源'!K1703</x:f>
        <x:v>26</x:v>
      </x:c>
      <x:c r="L1703" s="24" t="n">
        <x:f>IFERROR('各站彙總來源'!L1703/'各站彙總來源'!M1703,"")</x:f>
        <x:v>0.7307692307692307</x:v>
      </x:c>
      <x:c r="M1703" s="19" t="n">
        <x:f>'各站彙總來源'!M1703</x:f>
        <x:v>26</x:v>
      </x:c>
      <x:c r="N1703" s="24" t="n">
        <x:f>F1703+H1703</x:f>
        <x:v>10.03846153846154</x:v>
      </x:c>
      <x:c r="O1703" s="24" t="n">
        <x:f>J1703+L1703</x:f>
        <x:v>4.230769230769231</x:v>
      </x:c>
    </x:row>
    <x:row r="1704">
      <x:c r="A1704" s="22" t="str">
        <x:v>500112115</x:v>
      </x:c>
      <x:c r="B1704" s="17" t="str">
        <x:v>信義區</x:v>
      </x:c>
      <x:c r="C1704" s="17" t="str">
        <x:v>信安街/富陽街44巷口</x:v>
      </x:c>
      <x:c r="D1704" s="18" t="n">
        <x:v>26</x:v>
      </x:c>
      <x:c r="E1704" s="18" t="n">
        <x:v>26</x:v>
      </x:c>
      <x:c r="F1704" s="24" t="n">
        <x:f>IFERROR('各站彙總來源'!F1704/'各站彙總來源'!G1704,"")</x:f>
        <x:v>21.884615384615383</x:v>
      </x:c>
      <x:c r="G1704" s="19" t="n">
        <x:f>'各站彙總來源'!G1704</x:f>
        <x:v>26</x:v>
      </x:c>
      <x:c r="H1704" s="24" t="n">
        <x:f>IFERROR('各站彙總來源'!H1704/'各站彙總來源'!I1704,"")</x:f>
        <x:v>3.6538461538461537</x:v>
      </x:c>
      <x:c r="I1704" s="19" t="n">
        <x:f>'各站彙總來源'!I1704</x:f>
        <x:v>26</x:v>
      </x:c>
      <x:c r="J1704" s="24" t="n">
        <x:f>IFERROR('各站彙總來源'!J1704/'各站彙總來源'!K1704,"")</x:f>
        <x:v>4.115384615384615</x:v>
      </x:c>
      <x:c r="K1704" s="19" t="n">
        <x:f>'各站彙總來源'!K1704</x:f>
        <x:v>26</x:v>
      </x:c>
      <x:c r="L1704" s="24" t="n">
        <x:f>IFERROR('各站彙總來源'!L1704/'各站彙總來源'!M1704,"")</x:f>
        <x:v>0.5</x:v>
      </x:c>
      <x:c r="M1704" s="19" t="n">
        <x:f>'各站彙總來源'!M1704</x:f>
        <x:v>26</x:v>
      </x:c>
      <x:c r="N1704" s="24" t="n">
        <x:f>F1704+H1704</x:f>
        <x:v>25.538461538461537</x:v>
      </x:c>
      <x:c r="O1704" s="24" t="n">
        <x:f>J1704+L1704</x:f>
        <x:v>4.615384615384615</x:v>
      </x:c>
    </x:row>
    <x:row r="1705">
      <x:c r="A1705" s="22" t="str">
        <x:v>500112116</x:v>
      </x:c>
      <x:c r="B1705" s="17" t="str">
        <x:v>信義區</x:v>
      </x:c>
      <x:c r="C1705" s="17" t="str">
        <x:v>吳興公園</x:v>
      </x:c>
      <x:c r="D1705" s="18" t="n">
        <x:v>26</x:v>
      </x:c>
      <x:c r="E1705" s="18" t="n">
        <x:v>26</x:v>
      </x:c>
      <x:c r="F1705" s="24" t="n">
        <x:f>IFERROR('各站彙總來源'!F1705/'各站彙總來源'!G1705,"")</x:f>
        <x:v>26.884615384615383</x:v>
      </x:c>
      <x:c r="G1705" s="19" t="n">
        <x:f>'各站彙總來源'!G1705</x:f>
        <x:v>26</x:v>
      </x:c>
      <x:c r="H1705" s="24" t="n">
        <x:f>IFERROR('各站彙總來源'!H1705/'各站彙總來源'!I1705,"")</x:f>
        <x:v>3.3076923076923075</x:v>
      </x:c>
      <x:c r="I1705" s="19" t="n">
        <x:f>'各站彙總來源'!I1705</x:f>
        <x:v>26</x:v>
      </x:c>
      <x:c r="J1705" s="24" t="n">
        <x:f>IFERROR('各站彙總來源'!J1705/'各站彙總來源'!K1705,"")</x:f>
        <x:v>3.6538461538461537</x:v>
      </x:c>
      <x:c r="K1705" s="19" t="n">
        <x:f>'各站彙總來源'!K1705</x:f>
        <x:v>26</x:v>
      </x:c>
      <x:c r="L1705" s="24" t="n">
        <x:f>IFERROR('各站彙總來源'!L1705/'各站彙總來源'!M1705,"")</x:f>
        <x:v>0.8076923076923077</x:v>
      </x:c>
      <x:c r="M1705" s="19" t="n">
        <x:f>'各站彙總來源'!M1705</x:f>
        <x:v>26</x:v>
      </x:c>
      <x:c r="N1705" s="24" t="n">
        <x:f>F1705+H1705</x:f>
        <x:v>30.19230769230769</x:v>
      </x:c>
      <x:c r="O1705" s="24" t="n">
        <x:f>J1705+L1705</x:f>
        <x:v>4.461538461538462</x:v>
      </x:c>
    </x:row>
    <x:row r="1706">
      <x:c r="A1706" s="22" t="str">
        <x:v>500112117</x:v>
      </x:c>
      <x:c r="B1706" s="17" t="str">
        <x:v>信義區</x:v>
      </x:c>
      <x:c r="C1706" s="17" t="str">
        <x:v>逸仙松高路口</x:v>
      </x:c>
      <x:c r="D1706" s="18" t="n">
        <x:v>26</x:v>
      </x:c>
      <x:c r="E1706" s="18" t="n">
        <x:v>26</x:v>
      </x:c>
      <x:c r="F1706" s="24" t="n">
        <x:f>IFERROR('各站彙總來源'!F1706/'各站彙總來源'!G1706,"")</x:f>
        <x:v>9.115384615384615</x:v>
      </x:c>
      <x:c r="G1706" s="19" t="n">
        <x:f>'各站彙總來源'!G1706</x:f>
        <x:v>26</x:v>
      </x:c>
      <x:c r="H1706" s="24" t="n">
        <x:f>IFERROR('各站彙總來源'!H1706/'各站彙總來源'!I1706,"")</x:f>
        <x:v>1.7692307692307692</x:v>
      </x:c>
      <x:c r="I1706" s="19" t="n">
        <x:f>'各站彙總來源'!I1706</x:f>
        <x:v>26</x:v>
      </x:c>
      <x:c r="J1706" s="24" t="n">
        <x:f>IFERROR('各站彙總來源'!J1706/'各站彙總來源'!K1706,"")</x:f>
        <x:v>14.5</x:v>
      </x:c>
      <x:c r="K1706" s="19" t="n">
        <x:f>'各站彙總來源'!K1706</x:f>
        <x:v>26</x:v>
      </x:c>
      <x:c r="L1706" s="24" t="n">
        <x:f>IFERROR('各站彙總來源'!L1706/'各站彙總來源'!M1706,"")</x:f>
        <x:v>1.9230769230769231</x:v>
      </x:c>
      <x:c r="M1706" s="19" t="n">
        <x:f>'各站彙總來源'!M1706</x:f>
        <x:v>26</x:v>
      </x:c>
      <x:c r="N1706" s="24" t="n">
        <x:f>F1706+H1706</x:f>
        <x:v>10.884615384615383</x:v>
      </x:c>
      <x:c r="O1706" s="24" t="n">
        <x:f>J1706+L1706</x:f>
        <x:v>16.423076923076923</x:v>
      </x:c>
    </x:row>
    <x:row r="1707">
      <x:c r="A1707" s="22" t="str">
        <x:v>500112118</x:v>
      </x:c>
      <x:c r="B1707" s="17" t="str">
        <x:v>信義區</x:v>
      </x:c>
      <x:c r="C1707" s="17" t="str">
        <x:v>光復仁愛路口</x:v>
      </x:c>
      <x:c r="D1707" s="18" t="n">
        <x:v>26</x:v>
      </x:c>
      <x:c r="E1707" s="18" t="n">
        <x:v>26</x:v>
      </x:c>
      <x:c r="F1707" s="24" t="n">
        <x:f>IFERROR('各站彙總來源'!F1707/'各站彙總來源'!G1707,"")</x:f>
        <x:v>9.23076923076923</x:v>
      </x:c>
      <x:c r="G1707" s="19" t="n">
        <x:f>'各站彙總來源'!G1707</x:f>
        <x:v>26</x:v>
      </x:c>
      <x:c r="H1707" s="24" t="n">
        <x:f>IFERROR('各站彙總來源'!H1707/'各站彙總來源'!I1707,"")</x:f>
        <x:v>1.2307692307692308</x:v>
      </x:c>
      <x:c r="I1707" s="19" t="n">
        <x:f>'各站彙總來源'!I1707</x:f>
        <x:v>26</x:v>
      </x:c>
      <x:c r="J1707" s="24" t="n">
        <x:f>IFERROR('各站彙總來源'!J1707/'各站彙總來源'!K1707,"")</x:f>
        <x:v>6.5</x:v>
      </x:c>
      <x:c r="K1707" s="19" t="n">
        <x:f>'各站彙總來源'!K1707</x:f>
        <x:v>26</x:v>
      </x:c>
      <x:c r="L1707" s="24" t="n">
        <x:f>IFERROR('各站彙總來源'!L1707/'各站彙總來源'!M1707,"")</x:f>
        <x:v>1.6923076923076923</x:v>
      </x:c>
      <x:c r="M1707" s="19" t="n">
        <x:f>'各站彙總來源'!M1707</x:f>
        <x:v>26</x:v>
      </x:c>
      <x:c r="N1707" s="24" t="n">
        <x:f>F1707+H1707</x:f>
        <x:v>10.46153846153846</x:v>
      </x:c>
      <x:c r="O1707" s="24" t="n">
        <x:f>J1707+L1707</x:f>
        <x:v>8.192307692307692</x:v>
      </x:c>
    </x:row>
    <x:row r="1708">
      <x:c r="A1708" s="22" t="str">
        <x:v>500112119</x:v>
      </x:c>
      <x:c r="B1708" s="17" t="str">
        <x:v>信義區</x:v>
      </x:c>
      <x:c r="C1708" s="17" t="str">
        <x:v>信義松智路口(東南側)</x:v>
      </x:c>
      <x:c r="D1708" s="18" t="n">
        <x:v>26</x:v>
      </x:c>
      <x:c r="E1708" s="18" t="n">
        <x:v>26</x:v>
      </x:c>
      <x:c r="F1708" s="24" t="n">
        <x:f>IFERROR('各站彙總來源'!F1708/'各站彙總來源'!G1708,"")</x:f>
        <x:v>9.5</x:v>
      </x:c>
      <x:c r="G1708" s="19" t="n">
        <x:f>'各站彙總來源'!G1708</x:f>
        <x:v>26</x:v>
      </x:c>
      <x:c r="H1708" s="24" t="n">
        <x:f>IFERROR('各站彙總來源'!H1708/'各站彙總來源'!I1708,"")</x:f>
        <x:v>1.4230769230769231</x:v>
      </x:c>
      <x:c r="I1708" s="19" t="n">
        <x:f>'各站彙總來源'!I1708</x:f>
        <x:v>26</x:v>
      </x:c>
      <x:c r="J1708" s="24" t="n">
        <x:f>IFERROR('各站彙總來源'!J1708/'各站彙總來源'!K1708,"")</x:f>
        <x:v>27.46153846153846</x:v>
      </x:c>
      <x:c r="K1708" s="19" t="n">
        <x:f>'各站彙總來源'!K1708</x:f>
        <x:v>26</x:v>
      </x:c>
      <x:c r="L1708" s="24" t="n">
        <x:f>IFERROR('各站彙總來源'!L1708/'各站彙總來源'!M1708,"")</x:f>
        <x:v>6.230769230769231</x:v>
      </x:c>
      <x:c r="M1708" s="19" t="n">
        <x:f>'各站彙總來源'!M1708</x:f>
        <x:v>26</x:v>
      </x:c>
      <x:c r="N1708" s="24" t="n">
        <x:f>F1708+H1708</x:f>
        <x:v>10.923076923076923</x:v>
      </x:c>
      <x:c r="O1708" s="24" t="n">
        <x:f>J1708+L1708</x:f>
        <x:v>33.69230769230769</x:v>
      </x:c>
    </x:row>
    <x:row r="1709">
      <x:c r="A1709" s="22" t="str">
        <x:v>500112120</x:v>
      </x:c>
      <x:c r="B1709" s="17" t="str">
        <x:v>信義區</x:v>
      </x:c>
      <x:c r="C1709" s="17" t="str">
        <x:v>松山家商(東側)</x:v>
      </x:c>
      <x:c r="D1709" s="18" t="n">
        <x:v>26</x:v>
      </x:c>
      <x:c r="E1709" s="18" t="n">
        <x:v>26</x:v>
      </x:c>
      <x:c r="F1709" s="24" t="n">
        <x:f>IFERROR('各站彙總來源'!F1709/'各站彙總來源'!G1709,"")</x:f>
        <x:v>4.269230769230769</x:v>
      </x:c>
      <x:c r="G1709" s="19" t="n">
        <x:f>'各站彙總來源'!G1709</x:f>
        <x:v>26</x:v>
      </x:c>
      <x:c r="H1709" s="24" t="n">
        <x:f>IFERROR('各站彙總來源'!H1709/'各站彙總來源'!I1709,"")</x:f>
        <x:v>0.9615384615384616</x:v>
      </x:c>
      <x:c r="I1709" s="19" t="n">
        <x:f>'各站彙總來源'!I1709</x:f>
        <x:v>26</x:v>
      </x:c>
      <x:c r="J1709" s="24" t="n">
        <x:f>IFERROR('各站彙總來源'!J1709/'各站彙總來源'!K1709,"")</x:f>
        <x:v>7.653846153846154</x:v>
      </x:c>
      <x:c r="K1709" s="19" t="n">
        <x:f>'各站彙總來源'!K1709</x:f>
        <x:v>26</x:v>
      </x:c>
      <x:c r="L1709" s="24" t="n">
        <x:f>IFERROR('各站彙總來源'!L1709/'各站彙總來源'!M1709,"")</x:f>
        <x:v>1.3846153846153846</x:v>
      </x:c>
      <x:c r="M1709" s="19" t="n">
        <x:f>'各站彙總來源'!M1709</x:f>
        <x:v>26</x:v>
      </x:c>
      <x:c r="N1709" s="24" t="n">
        <x:f>F1709+H1709</x:f>
        <x:v>5.230769230769231</x:v>
      </x:c>
      <x:c r="O1709" s="24" t="n">
        <x:f>J1709+L1709</x:f>
        <x:v>9.038461538461538</x:v>
      </x:c>
    </x:row>
    <x:row r="1710">
      <x:c r="A1710" s="22" t="str">
        <x:v>500112121</x:v>
      </x:c>
      <x:c r="B1710" s="17" t="str">
        <x:v>信義區</x:v>
      </x:c>
      <x:c r="C1710" s="17" t="str">
        <x:v>永春高中</x:v>
      </x:c>
      <x:c r="D1710" s="18" t="n">
        <x:v>26</x:v>
      </x:c>
      <x:c r="E1710" s="18" t="n">
        <x:v>26</x:v>
      </x:c>
      <x:c r="F1710" s="24" t="n">
        <x:f>IFERROR('各站彙總來源'!F1710/'各站彙總來源'!G1710,"")</x:f>
        <x:v>0</x:v>
      </x:c>
      <x:c r="G1710" s="19" t="n">
        <x:f>'各站彙總來源'!G1710</x:f>
        <x:v>26</x:v>
      </x:c>
      <x:c r="H1710" s="24" t="n">
        <x:f>IFERROR('各站彙總來源'!H1710/'各站彙總來源'!I1710,"")</x:f>
        <x:v>0</x:v>
      </x:c>
      <x:c r="I1710" s="19" t="n">
        <x:f>'各站彙總來源'!I1710</x:f>
        <x:v>26</x:v>
      </x:c>
      <x:c r="J1710" s="24" t="n">
        <x:f>IFERROR('各站彙總來源'!J1710/'各站彙總來源'!K1710,"")</x:f>
        <x:v>0</x:v>
      </x:c>
      <x:c r="K1710" s="19" t="n">
        <x:f>'各站彙總來源'!K1710</x:f>
        <x:v>26</x:v>
      </x:c>
      <x:c r="L1710" s="24" t="n">
        <x:f>IFERROR('各站彙總來源'!L1710/'各站彙總來源'!M1710,"")</x:f>
        <x:v>0</x:v>
      </x:c>
      <x:c r="M1710" s="19" t="n">
        <x:f>'各站彙總來源'!M1710</x:f>
        <x:v>26</x:v>
      </x:c>
      <x:c r="N1710" s="24" t="n">
        <x:f>F1710+H1710</x:f>
        <x:v>0</x:v>
      </x:c>
      <x:c r="O1710" s="24" t="n">
        <x:f>J1710+L1710</x:f>
        <x:v>0</x:v>
      </x:c>
    </x:row>
    <x:row r="1711">
      <x:c r="A1711" s="22" t="str">
        <x:v>500112122</x:v>
      </x:c>
      <x:c r="B1711" s="17" t="str">
        <x:v>信義區</x:v>
      </x:c>
      <x:c r="C1711" s="17" t="str">
        <x:v>永吉國中</x:v>
      </x:c>
      <x:c r="D1711" s="18" t="n">
        <x:v>26</x:v>
      </x:c>
      <x:c r="E1711" s="18" t="n">
        <x:v>26</x:v>
      </x:c>
      <x:c r="F1711" s="24" t="n">
        <x:f>IFERROR('各站彙總來源'!F1711/'各站彙總來源'!G1711,"")</x:f>
        <x:v>0</x:v>
      </x:c>
      <x:c r="G1711" s="19" t="n">
        <x:f>'各站彙總來源'!G1711</x:f>
        <x:v>26</x:v>
      </x:c>
      <x:c r="H1711" s="24" t="n">
        <x:f>IFERROR('各站彙總來源'!H1711/'各站彙總來源'!I1711,"")</x:f>
        <x:v>0</x:v>
      </x:c>
      <x:c r="I1711" s="19" t="n">
        <x:f>'各站彙總來源'!I1711</x:f>
        <x:v>26</x:v>
      </x:c>
      <x:c r="J1711" s="24" t="n">
        <x:f>IFERROR('各站彙總來源'!J1711/'各站彙總來源'!K1711,"")</x:f>
        <x:v>0</x:v>
      </x:c>
      <x:c r="K1711" s="19" t="n">
        <x:f>'各站彙總來源'!K1711</x:f>
        <x:v>26</x:v>
      </x:c>
      <x:c r="L1711" s="24" t="n">
        <x:f>IFERROR('各站彙總來源'!L1711/'各站彙總來源'!M1711,"")</x:f>
        <x:v>0</x:v>
      </x:c>
      <x:c r="M1711" s="19" t="n">
        <x:f>'各站彙總來源'!M1711</x:f>
        <x:v>26</x:v>
      </x:c>
      <x:c r="N1711" s="24" t="n">
        <x:f>F1711+H1711</x:f>
        <x:v>0</x:v>
      </x:c>
      <x:c r="O1711" s="24" t="n">
        <x:f>J1711+L1711</x:f>
        <x:v>0</x:v>
      </x:c>
    </x:row>
    <x:row r="1712">
      <x:c r="A1712" s="22" t="str">
        <x:v>500112123</x:v>
      </x:c>
      <x:c r="B1712" s="17" t="str">
        <x:v>信義區</x:v>
      </x:c>
      <x:c r="C1712" s="17" t="str">
        <x:v>松山松隆路口</x:v>
      </x:c>
      <x:c r="D1712" s="18" t="n">
        <x:v>26</x:v>
      </x:c>
      <x:c r="E1712" s="18" t="n">
        <x:v>26</x:v>
      </x:c>
      <x:c r="F1712" s="24" t="n">
        <x:f>IFERROR('各站彙總來源'!F1712/'各站彙總來源'!G1712,"")</x:f>
        <x:v>5.5</x:v>
      </x:c>
      <x:c r="G1712" s="19" t="n">
        <x:f>'各站彙總來源'!G1712</x:f>
        <x:v>26</x:v>
      </x:c>
      <x:c r="H1712" s="24" t="n">
        <x:f>IFERROR('各站彙總來源'!H1712/'各站彙總來源'!I1712,"")</x:f>
        <x:v>0.5769230769230769</x:v>
      </x:c>
      <x:c r="I1712" s="19" t="n">
        <x:f>'各站彙總來源'!I1712</x:f>
        <x:v>26</x:v>
      </x:c>
      <x:c r="J1712" s="24" t="n">
        <x:f>IFERROR('各站彙總來源'!J1712/'各站彙總來源'!K1712,"")</x:f>
        <x:v>5.423076923076923</x:v>
      </x:c>
      <x:c r="K1712" s="19" t="n">
        <x:f>'各站彙總來源'!K1712</x:f>
        <x:v>26</x:v>
      </x:c>
      <x:c r="L1712" s="24" t="n">
        <x:f>IFERROR('各站彙總來源'!L1712/'各站彙總來源'!M1712,"")</x:f>
        <x:v>0.7692307692307693</x:v>
      </x:c>
      <x:c r="M1712" s="19" t="n">
        <x:f>'各站彙總來源'!M1712</x:f>
        <x:v>26</x:v>
      </x:c>
      <x:c r="N1712" s="24" t="n">
        <x:f>F1712+H1712</x:f>
        <x:v>6.076923076923077</x:v>
      </x:c>
      <x:c r="O1712" s="24" t="n">
        <x:f>J1712+L1712</x:f>
        <x:v>6.1923076923076925</x:v>
      </x:c>
    </x:row>
    <x:row r="1713">
      <x:c r="A1713" s="22" t="str">
        <x:v>500112124</x:v>
      </x:c>
      <x:c r="B1713" s="17" t="str">
        <x:v>信義區</x:v>
      </x:c>
      <x:c r="C1713" s="17" t="str">
        <x:v>松智松平路口</x:v>
      </x:c>
      <x:c r="D1713" s="18" t="n">
        <x:v>26</x:v>
      </x:c>
      <x:c r="E1713" s="18" t="n">
        <x:v>26</x:v>
      </x:c>
      <x:c r="F1713" s="24" t="n">
        <x:f>IFERROR('各站彙總來源'!F1713/'各站彙總來源'!G1713,"")</x:f>
        <x:v>6.8076923076923075</x:v>
      </x:c>
      <x:c r="G1713" s="19" t="n">
        <x:f>'各站彙總來源'!G1713</x:f>
        <x:v>26</x:v>
      </x:c>
      <x:c r="H1713" s="24" t="n">
        <x:f>IFERROR('各站彙總來源'!H1713/'各站彙總來源'!I1713,"")</x:f>
        <x:v>0.4230769230769231</x:v>
      </x:c>
      <x:c r="I1713" s="19" t="n">
        <x:f>'各站彙總來源'!I1713</x:f>
        <x:v>26</x:v>
      </x:c>
      <x:c r="J1713" s="24" t="n">
        <x:f>IFERROR('各站彙總來源'!J1713/'各站彙總來源'!K1713,"")</x:f>
        <x:v>3.6538461538461537</x:v>
      </x:c>
      <x:c r="K1713" s="19" t="n">
        <x:f>'各站彙總來源'!K1713</x:f>
        <x:v>26</x:v>
      </x:c>
      <x:c r="L1713" s="24" t="n">
        <x:f>IFERROR('各站彙總來源'!L1713/'各站彙總來源'!M1713,"")</x:f>
        <x:v>0.5</x:v>
      </x:c>
      <x:c r="M1713" s="19" t="n">
        <x:f>'各站彙總來源'!M1713</x:f>
        <x:v>26</x:v>
      </x:c>
      <x:c r="N1713" s="24" t="n">
        <x:f>F1713+H1713</x:f>
        <x:v>7.230769230769231</x:v>
      </x:c>
      <x:c r="O1713" s="24" t="n">
        <x:f>J1713+L1713</x:f>
        <x:v>4.153846153846153</x:v>
      </x:c>
    </x:row>
    <x:row r="1714">
      <x:c r="A1714" s="22" t="str">
        <x:v>500112125</x:v>
      </x:c>
      <x:c r="B1714" s="17" t="str">
        <x:v>信義區</x:v>
      </x:c>
      <x:c r="C1714" s="17" t="str">
        <x:v>象山公園(松勤街140巷)</x:v>
      </x:c>
      <x:c r="D1714" s="18" t="n">
        <x:v>26</x:v>
      </x:c>
      <x:c r="E1714" s="18" t="n">
        <x:v>26</x:v>
      </x:c>
      <x:c r="F1714" s="24" t="n">
        <x:f>IFERROR('各站彙總來源'!F1714/'各站彙總來源'!G1714,"")</x:f>
        <x:v>8.307692307692308</x:v>
      </x:c>
      <x:c r="G1714" s="19" t="n">
        <x:f>'各站彙總來源'!G1714</x:f>
        <x:v>26</x:v>
      </x:c>
      <x:c r="H1714" s="24" t="n">
        <x:f>IFERROR('各站彙總來源'!H1714/'各站彙總來源'!I1714,"")</x:f>
        <x:v>2.1923076923076925</x:v>
      </x:c>
      <x:c r="I1714" s="19" t="n">
        <x:f>'各站彙總來源'!I1714</x:f>
        <x:v>26</x:v>
      </x:c>
      <x:c r="J1714" s="24" t="n">
        <x:f>IFERROR('各站彙總來源'!J1714/'各站彙總來源'!K1714,"")</x:f>
        <x:v>13.461538461538462</x:v>
      </x:c>
      <x:c r="K1714" s="19" t="n">
        <x:f>'各站彙總來源'!K1714</x:f>
        <x:v>26</x:v>
      </x:c>
      <x:c r="L1714" s="24" t="n">
        <x:f>IFERROR('各站彙總來源'!L1714/'各站彙總來源'!M1714,"")</x:f>
        <x:v>3.5384615384615383</x:v>
      </x:c>
      <x:c r="M1714" s="19" t="n">
        <x:f>'各站彙總來源'!M1714</x:f>
        <x:v>26</x:v>
      </x:c>
      <x:c r="N1714" s="24" t="n">
        <x:f>F1714+H1714</x:f>
        <x:v>10.5</x:v>
      </x:c>
      <x:c r="O1714" s="24" t="n">
        <x:f>J1714+L1714</x:f>
        <x:v>17</x:v>
      </x:c>
    </x:row>
    <x:row r="1715">
      <x:c r="A1715" s="22" t="str">
        <x:v>500112126</x:v>
      </x:c>
      <x:c r="B1715" s="17" t="str">
        <x:v>信義區</x:v>
      </x:c>
      <x:c r="C1715" s="17" t="str">
        <x:v>永吉路120巷</x:v>
      </x:c>
      <x:c r="D1715" s="18" t="n">
        <x:v>26</x:v>
      </x:c>
      <x:c r="E1715" s="18" t="n">
        <x:v>26</x:v>
      </x:c>
      <x:c r="F1715" s="24" t="n">
        <x:f>IFERROR('各站彙總來源'!F1715/'各站彙總來源'!G1715,"")</x:f>
        <x:v>0</x:v>
      </x:c>
      <x:c r="G1715" s="19" t="n">
        <x:f>'各站彙總來源'!G1715</x:f>
        <x:v>26</x:v>
      </x:c>
      <x:c r="H1715" s="24" t="n">
        <x:f>IFERROR('各站彙總來源'!H1715/'各站彙總來源'!I1715,"")</x:f>
        <x:v>0</x:v>
      </x:c>
      <x:c r="I1715" s="19" t="n">
        <x:f>'各站彙總來源'!I1715</x:f>
        <x:v>26</x:v>
      </x:c>
      <x:c r="J1715" s="24" t="n">
        <x:f>IFERROR('各站彙總來源'!J1715/'各站彙總來源'!K1715,"")</x:f>
        <x:v>0</x:v>
      </x:c>
      <x:c r="K1715" s="19" t="n">
        <x:f>'各站彙總來源'!K1715</x:f>
        <x:v>26</x:v>
      </x:c>
      <x:c r="L1715" s="24" t="n">
        <x:f>IFERROR('各站彙總來源'!L1715/'各站彙總來源'!M1715,"")</x:f>
        <x:v>0</x:v>
      </x:c>
      <x:c r="M1715" s="19" t="n">
        <x:f>'各站彙總來源'!M1715</x:f>
        <x:v>26</x:v>
      </x:c>
      <x:c r="N1715" s="24" t="n">
        <x:f>F1715+H1715</x:f>
        <x:v>0</x:v>
      </x:c>
      <x:c r="O1715" s="24" t="n">
        <x:f>J1715+L1715</x:f>
        <x:v>0</x:v>
      </x:c>
    </x:row>
    <x:row r="1716">
      <x:c r="A1716" s="22" t="str">
        <x:v>500112127</x:v>
      </x:c>
      <x:c r="B1716" s="17" t="str">
        <x:v>信義區</x:v>
      </x:c>
      <x:c r="C1716" s="17" t="str">
        <x:v>永吉路120巷15弄口</x:v>
      </x:c>
      <x:c r="D1716" s="18" t="n">
        <x:v>26</x:v>
      </x:c>
      <x:c r="E1716" s="18" t="n">
        <x:v>26</x:v>
      </x:c>
      <x:c r="F1716" s="24" t="n">
        <x:f>IFERROR('各站彙總來源'!F1716/'各站彙總來源'!G1716,"")</x:f>
        <x:v>25.423076923076923</x:v>
      </x:c>
      <x:c r="G1716" s="19" t="n">
        <x:f>'各站彙總來源'!G1716</x:f>
        <x:v>26</x:v>
      </x:c>
      <x:c r="H1716" s="24" t="n">
        <x:f>IFERROR('各站彙總來源'!H1716/'各站彙總來源'!I1716,"")</x:f>
        <x:v>2.269230769230769</x:v>
      </x:c>
      <x:c r="I1716" s="19" t="n">
        <x:f>'各站彙總來源'!I1716</x:f>
        <x:v>26</x:v>
      </x:c>
      <x:c r="J1716" s="24" t="n">
        <x:f>IFERROR('各站彙總來源'!J1716/'各站彙總來源'!K1716,"")</x:f>
        <x:v>5.115384615384615</x:v>
      </x:c>
      <x:c r="K1716" s="19" t="n">
        <x:f>'各站彙總來源'!K1716</x:f>
        <x:v>26</x:v>
      </x:c>
      <x:c r="L1716" s="24" t="n">
        <x:f>IFERROR('各站彙總來源'!L1716/'各站彙總來源'!M1716,"")</x:f>
        <x:v>1.4230769230769231</x:v>
      </x:c>
      <x:c r="M1716" s="19" t="n">
        <x:f>'各站彙總來源'!M1716</x:f>
        <x:v>26</x:v>
      </x:c>
      <x:c r="N1716" s="24" t="n">
        <x:f>F1716+H1716</x:f>
        <x:v>27.692307692307693</x:v>
      </x:c>
      <x:c r="O1716" s="24" t="n">
        <x:f>J1716+L1716</x:f>
        <x:v>6.538461538461538</x:v>
      </x:c>
    </x:row>
    <x:row r="1717">
      <x:c r="A1717" s="22" t="str">
        <x:v>500112128</x:v>
      </x:c>
      <x:c r="B1717" s="17" t="str">
        <x:v>信義區</x:v>
      </x:c>
      <x:c r="C1717" s="17" t="str">
        <x:v>臺北文創大樓(菸廠路)</x:v>
      </x:c>
      <x:c r="D1717" s="18" t="n">
        <x:v>26</x:v>
      </x:c>
      <x:c r="E1717" s="18" t="n">
        <x:v>26</x:v>
      </x:c>
      <x:c r="F1717" s="24" t="n">
        <x:f>IFERROR('各站彙總來源'!F1717/'各站彙總來源'!G1717,"")</x:f>
        <x:v>5.884615384615385</x:v>
      </x:c>
      <x:c r="G1717" s="19" t="n">
        <x:f>'各站彙總來源'!G1717</x:f>
        <x:v>26</x:v>
      </x:c>
      <x:c r="H1717" s="24" t="n">
        <x:f>IFERROR('各站彙總來源'!H1717/'各站彙總來源'!I1717,"")</x:f>
        <x:v>0.8076923076923077</x:v>
      </x:c>
      <x:c r="I1717" s="19" t="n">
        <x:f>'各站彙總來源'!I1717</x:f>
        <x:v>26</x:v>
      </x:c>
      <x:c r="J1717" s="24" t="n">
        <x:f>IFERROR('各站彙總來源'!J1717/'各站彙總來源'!K1717,"")</x:f>
        <x:v>39.92307692307692</x:v>
      </x:c>
      <x:c r="K1717" s="19" t="n">
        <x:f>'各站彙總來源'!K1717</x:f>
        <x:v>26</x:v>
      </x:c>
      <x:c r="L1717" s="24" t="n">
        <x:f>IFERROR('各站彙總來源'!L1717/'各站彙總來源'!M1717,"")</x:f>
        <x:v>4.384615384615385</x:v>
      </x:c>
      <x:c r="M1717" s="19" t="n">
        <x:f>'各站彙總來源'!M1717</x:f>
        <x:v>26</x:v>
      </x:c>
      <x:c r="N1717" s="24" t="n">
        <x:f>F1717+H1717</x:f>
        <x:v>6.6923076923076925</x:v>
      </x:c>
      <x:c r="O1717" s="24" t="n">
        <x:f>J1717+L1717</x:f>
        <x:v>44.30769230769231</x:v>
      </x:c>
    </x:row>
    <x:row r="1718">
      <x:c r="A1718" s="22" t="str">
        <x:v>500112129</x:v>
      </x:c>
      <x:c r="B1718" s="17" t="str">
        <x:v>信義區</x:v>
      </x:c>
      <x:c r="C1718" s="17" t="str">
        <x:v>松德路25巷口</x:v>
      </x:c>
      <x:c r="D1718" s="18" t="n">
        <x:v>26</x:v>
      </x:c>
      <x:c r="E1718" s="18" t="n">
        <x:v>26</x:v>
      </x:c>
      <x:c r="F1718" s="24" t="n">
        <x:f>IFERROR('各站彙總來源'!F1718/'各站彙總來源'!G1718,"")</x:f>
        <x:v>16.03846153846154</x:v>
      </x:c>
      <x:c r="G1718" s="19" t="n">
        <x:f>'各站彙總來源'!G1718</x:f>
        <x:v>26</x:v>
      </x:c>
      <x:c r="H1718" s="24" t="n">
        <x:f>IFERROR('各站彙總來源'!H1718/'各站彙總來源'!I1718,"")</x:f>
        <x:v>1.9230769230769231</x:v>
      </x:c>
      <x:c r="I1718" s="19" t="n">
        <x:f>'各站彙總來源'!I1718</x:f>
        <x:v>26</x:v>
      </x:c>
      <x:c r="J1718" s="24" t="n">
        <x:f>IFERROR('各站彙總來源'!J1718/'各站彙總來源'!K1718,"")</x:f>
        <x:v>6.038461538461538</x:v>
      </x:c>
      <x:c r="K1718" s="19" t="n">
        <x:f>'各站彙總來源'!K1718</x:f>
        <x:v>26</x:v>
      </x:c>
      <x:c r="L1718" s="24" t="n">
        <x:f>IFERROR('各站彙總來源'!L1718/'各站彙總來源'!M1718,"")</x:f>
        <x:v>0.9230769230769231</x:v>
      </x:c>
      <x:c r="M1718" s="19" t="n">
        <x:f>'各站彙總來源'!M1718</x:f>
        <x:v>26</x:v>
      </x:c>
      <x:c r="N1718" s="24" t="n">
        <x:f>F1718+H1718</x:f>
        <x:v>17.961538461538463</x:v>
      </x:c>
      <x:c r="O1718" s="24" t="n">
        <x:f>J1718+L1718</x:f>
        <x:v>6.961538461538462</x:v>
      </x:c>
    </x:row>
    <x:row r="1719">
      <x:c r="A1719" s="22" t="str">
        <x:v>500112130</x:v>
      </x:c>
      <x:c r="B1719" s="17" t="str">
        <x:v>信義區</x:v>
      </x:c>
      <x:c r="C1719" s="17" t="str">
        <x:v>國家鐵道博物館</x:v>
      </x:c>
      <x:c r="D1719" s="18" t="n">
        <x:v>26</x:v>
      </x:c>
      <x:c r="E1719" s="18" t="n">
        <x:v>26</x:v>
      </x:c>
      <x:c r="F1719" s="24" t="n">
        <x:f>IFERROR('各站彙總來源'!F1719/'各站彙總來源'!G1719,"")</x:f>
        <x:v>5.576923076923077</x:v>
      </x:c>
      <x:c r="G1719" s="19" t="n">
        <x:f>'各站彙總來源'!G1719</x:f>
        <x:v>26</x:v>
      </x:c>
      <x:c r="H1719" s="24" t="n">
        <x:f>IFERROR('各站彙總來源'!H1719/'各站彙總來源'!I1719,"")</x:f>
        <x:v>0.5</x:v>
      </x:c>
      <x:c r="I1719" s="19" t="n">
        <x:f>'各站彙總來源'!I1719</x:f>
        <x:v>26</x:v>
      </x:c>
      <x:c r="J1719" s="24" t="n">
        <x:f>IFERROR('各站彙總來源'!J1719/'各站彙總來源'!K1719,"")</x:f>
        <x:v>16.846153846153847</x:v>
      </x:c>
      <x:c r="K1719" s="19" t="n">
        <x:f>'各站彙總來源'!K1719</x:f>
        <x:v>26</x:v>
      </x:c>
      <x:c r="L1719" s="24" t="n">
        <x:f>IFERROR('各站彙總來源'!L1719/'各站彙總來源'!M1719,"")</x:f>
        <x:v>1.5</x:v>
      </x:c>
      <x:c r="M1719" s="19" t="n">
        <x:f>'各站彙總來源'!M1719</x:f>
        <x:v>26</x:v>
      </x:c>
      <x:c r="N1719" s="24" t="n">
        <x:f>F1719+H1719</x:f>
        <x:v>6.076923076923077</x:v>
      </x:c>
      <x:c r="O1719" s="24" t="n">
        <x:f>J1719+L1719</x:f>
        <x:v>18.346153846153847</x:v>
      </x:c>
    </x:row>
    <x:row r="1720">
      <x:c r="A1720" s="22" t="str">
        <x:v>500112132</x:v>
      </x:c>
      <x:c r="B1720" s="17" t="str">
        <x:v>信義區</x:v>
      </x:c>
      <x:c r="C1720" s="17" t="str">
        <x:v>六張犁社會住宅2區</x:v>
      </x:c>
      <x:c r="D1720" s="18" t="n">
        <x:v>26</x:v>
      </x:c>
      <x:c r="E1720" s="18" t="n">
        <x:v>26</x:v>
      </x:c>
      <x:c r="F1720" s="24" t="n">
        <x:f>IFERROR('各站彙總來源'!F1720/'各站彙總來源'!G1720,"")</x:f>
        <x:v>24.115384615384617</x:v>
      </x:c>
      <x:c r="G1720" s="19" t="n">
        <x:f>'各站彙總來源'!G1720</x:f>
        <x:v>26</x:v>
      </x:c>
      <x:c r="H1720" s="24" t="n">
        <x:f>IFERROR('各站彙總來源'!H1720/'各站彙總來源'!I1720,"")</x:f>
        <x:v>3.5384615384615383</x:v>
      </x:c>
      <x:c r="I1720" s="19" t="n">
        <x:f>'各站彙總來源'!I1720</x:f>
        <x:v>26</x:v>
      </x:c>
      <x:c r="J1720" s="24" t="n">
        <x:f>IFERROR('各站彙總來源'!J1720/'各站彙總來源'!K1720,"")</x:f>
        <x:v>4.923076923076923</x:v>
      </x:c>
      <x:c r="K1720" s="19" t="n">
        <x:f>'各站彙總來源'!K1720</x:f>
        <x:v>26</x:v>
      </x:c>
      <x:c r="L1720" s="24" t="n">
        <x:f>IFERROR('各站彙總來源'!L1720/'各站彙總來源'!M1720,"")</x:f>
        <x:v>0.9230769230769231</x:v>
      </x:c>
      <x:c r="M1720" s="19" t="n">
        <x:f>'各站彙總來源'!M1720</x:f>
        <x:v>26</x:v>
      </x:c>
      <x:c r="N1720" s="24" t="n">
        <x:f>F1720+H1720</x:f>
        <x:v>27.653846153846153</x:v>
      </x:c>
      <x:c r="O1720" s="24" t="n">
        <x:f>J1720+L1720</x:f>
        <x:v>5.846153846153847</x:v>
      </x:c>
    </x:row>
    <x:row r="1721">
      <x:c r="A1721" s="22" t="str">
        <x:v>500112133</x:v>
      </x:c>
      <x:c r="B1721" s="17" t="str">
        <x:v>信義區</x:v>
      </x:c>
      <x:c r="C1721" s="17" t="str">
        <x:v>莊敬路341巷3弄</x:v>
      </x:c>
      <x:c r="D1721" s="18" t="n">
        <x:v>26</x:v>
      </x:c>
      <x:c r="E1721" s="18" t="n">
        <x:v>26</x:v>
      </x:c>
      <x:c r="F1721" s="24" t="n">
        <x:f>IFERROR('各站彙總來源'!F1721/'各站彙總來源'!G1721,"")</x:f>
        <x:v>7.8076923076923075</x:v>
      </x:c>
      <x:c r="G1721" s="19" t="n">
        <x:f>'各站彙總來源'!G1721</x:f>
        <x:v>26</x:v>
      </x:c>
      <x:c r="H1721" s="24" t="n">
        <x:f>IFERROR('各站彙總來源'!H1721/'各站彙總來源'!I1721,"")</x:f>
        <x:v>1.0384615384615385</x:v>
      </x:c>
      <x:c r="I1721" s="19" t="n">
        <x:f>'各站彙總來源'!I1721</x:f>
        <x:v>26</x:v>
      </x:c>
      <x:c r="J1721" s="24" t="n">
        <x:f>IFERROR('各站彙總來源'!J1721/'各站彙總來源'!K1721,"")</x:f>
        <x:v>2.8846153846153846</x:v>
      </x:c>
      <x:c r="K1721" s="19" t="n">
        <x:f>'各站彙總來源'!K1721</x:f>
        <x:v>26</x:v>
      </x:c>
      <x:c r="L1721" s="24" t="n">
        <x:f>IFERROR('各站彙總來源'!L1721/'各站彙總來源'!M1721,"")</x:f>
        <x:v>0.6153846153846154</x:v>
      </x:c>
      <x:c r="M1721" s="19" t="n">
        <x:f>'各站彙總來源'!M1721</x:f>
        <x:v>26</x:v>
      </x:c>
      <x:c r="N1721" s="24" t="n">
        <x:f>F1721+H1721</x:f>
        <x:v>8.846153846153847</x:v>
      </x:c>
      <x:c r="O1721" s="24" t="n">
        <x:f>J1721+L1721</x:f>
        <x:v>3.5</x:v>
      </x:c>
    </x:row>
    <x:row r="1722">
      <x:c r="A1722" s="22" t="str">
        <x:v>500112134</x:v>
      </x:c>
      <x:c r="B1722" s="17" t="str">
        <x:v>信義區</x:v>
      </x:c>
      <x:c r="C1722" s="17" t="str">
        <x:v>信義國中</x:v>
      </x:c>
      <x:c r="D1722" s="18" t="n">
        <x:v>26</x:v>
      </x:c>
      <x:c r="E1722" s="18" t="n">
        <x:v>26</x:v>
      </x:c>
      <x:c r="F1722" s="24" t="n">
        <x:f>IFERROR('各站彙總來源'!F1722/'各站彙總來源'!G1722,"")</x:f>
        <x:v>10.653846153846153</x:v>
      </x:c>
      <x:c r="G1722" s="19" t="n">
        <x:f>'各站彙總來源'!G1722</x:f>
        <x:v>26</x:v>
      </x:c>
      <x:c r="H1722" s="24" t="n">
        <x:f>IFERROR('各站彙總來源'!H1722/'各站彙總來源'!I1722,"")</x:f>
        <x:v>1.2307692307692308</x:v>
      </x:c>
      <x:c r="I1722" s="19" t="n">
        <x:f>'各站彙總來源'!I1722</x:f>
        <x:v>26</x:v>
      </x:c>
      <x:c r="J1722" s="24" t="n">
        <x:f>IFERROR('各站彙總來源'!J1722/'各站彙總來源'!K1722,"")</x:f>
        <x:v>4.5</x:v>
      </x:c>
      <x:c r="K1722" s="19" t="n">
        <x:f>'各站彙總來源'!K1722</x:f>
        <x:v>26</x:v>
      </x:c>
      <x:c r="L1722" s="24" t="n">
        <x:f>IFERROR('各站彙總來源'!L1722/'各站彙總來源'!M1722,"")</x:f>
        <x:v>0.8846153846153846</x:v>
      </x:c>
      <x:c r="M1722" s="19" t="n">
        <x:f>'各站彙總來源'!M1722</x:f>
        <x:v>26</x:v>
      </x:c>
      <x:c r="N1722" s="24" t="n">
        <x:f>F1722+H1722</x:f>
        <x:v>11.884615384615383</x:v>
      </x:c>
      <x:c r="O1722" s="24" t="n">
        <x:f>J1722+L1722</x:f>
        <x:v>5.384615384615385</x:v>
      </x:c>
    </x:row>
    <x:row r="1723">
      <x:c r="A1723" s="22" t="str">
        <x:v>500112135</x:v>
      </x:c>
      <x:c r="B1723" s="17" t="str">
        <x:v>信義區</x:v>
      </x:c>
      <x:c r="C1723" s="17" t="str">
        <x:v>捷運廣慈/奉天宮站(1號出口)</x:v>
      </x:c>
      <x:c r="D1723" s="18" t="n">
        <x:v>26</x:v>
      </x:c>
      <x:c r="E1723" s="18" t="n">
        <x:v>26</x:v>
      </x:c>
      <x:c r="F1723" s="24" t="n">
        <x:f>IFERROR('各站彙總來源'!F1723/'各站彙總來源'!G1723,"")</x:f>
        <x:v>42.19230769230769</x:v>
      </x:c>
      <x:c r="G1723" s="19" t="n">
        <x:f>'各站彙總來源'!G1723</x:f>
        <x:v>26</x:v>
      </x:c>
      <x:c r="H1723" s="24" t="n">
        <x:f>IFERROR('各站彙總來源'!H1723/'各站彙總來源'!I1723,"")</x:f>
        <x:v>3.076923076923077</x:v>
      </x:c>
      <x:c r="I1723" s="19" t="n">
        <x:f>'各站彙總來源'!I1723</x:f>
        <x:v>26</x:v>
      </x:c>
      <x:c r="J1723" s="24" t="n">
        <x:f>IFERROR('各站彙總來源'!J1723/'各站彙總來源'!K1723,"")</x:f>
        <x:v>22.076923076923077</x:v>
      </x:c>
      <x:c r="K1723" s="19" t="n">
        <x:f>'各站彙總來源'!K1723</x:f>
        <x:v>26</x:v>
      </x:c>
      <x:c r="L1723" s="24" t="n">
        <x:f>IFERROR('各站彙總來源'!L1723/'各站彙總來源'!M1723,"")</x:f>
        <x:v>1.4230769230769231</x:v>
      </x:c>
      <x:c r="M1723" s="19" t="n">
        <x:f>'各站彙總來源'!M1723</x:f>
        <x:v>26</x:v>
      </x:c>
      <x:c r="N1723" s="24" t="n">
        <x:f>F1723+H1723</x:f>
        <x:v>45.269230769230774</x:v>
      </x:c>
      <x:c r="O1723" s="24" t="n">
        <x:f>J1723+L1723</x:f>
        <x:v>23.5</x:v>
      </x:c>
    </x:row>
    <x:row r="1724">
      <x:c r="A1724" s="22" t="str">
        <x:v>500112136</x:v>
      </x:c>
      <x:c r="B1724" s="17" t="str">
        <x:v>信義區</x:v>
      </x:c>
      <x:c r="C1724" s="17" t="str">
        <x:v>忠駝公園</x:v>
      </x:c>
      <x:c r="D1724" s="18" t="n">
        <x:v>26</x:v>
      </x:c>
      <x:c r="E1724" s="18" t="n">
        <x:v>26</x:v>
      </x:c>
      <x:c r="F1724" s="24" t="n">
        <x:f>IFERROR('各站彙總來源'!F1724/'各站彙總來源'!G1724,"")</x:f>
        <x:v>25.03846153846154</x:v>
      </x:c>
      <x:c r="G1724" s="19" t="n">
        <x:f>'各站彙總來源'!G1724</x:f>
        <x:v>26</x:v>
      </x:c>
      <x:c r="H1724" s="24" t="n">
        <x:f>IFERROR('各站彙總來源'!H1724/'各站彙總來源'!I1724,"")</x:f>
        <x:v>4.3076923076923075</x:v>
      </x:c>
      <x:c r="I1724" s="19" t="n">
        <x:f>'各站彙總來源'!I1724</x:f>
        <x:v>26</x:v>
      </x:c>
      <x:c r="J1724" s="24" t="n">
        <x:f>IFERROR('各站彙總來源'!J1724/'各站彙總來源'!K1724,"")</x:f>
        <x:v>4.538461538461538</x:v>
      </x:c>
      <x:c r="K1724" s="19" t="n">
        <x:f>'各站彙總來源'!K1724</x:f>
        <x:v>26</x:v>
      </x:c>
      <x:c r="L1724" s="24" t="n">
        <x:f>IFERROR('各站彙總來源'!L1724/'各站彙總來源'!M1724,"")</x:f>
        <x:v>1.8076923076923077</x:v>
      </x:c>
      <x:c r="M1724" s="19" t="n">
        <x:f>'各站彙總來源'!M1724</x:f>
        <x:v>26</x:v>
      </x:c>
      <x:c r="N1724" s="24" t="n">
        <x:f>F1724+H1724</x:f>
        <x:v>29.346153846153847</x:v>
      </x:c>
      <x:c r="O1724" s="24" t="n">
        <x:f>J1724+L1724</x:f>
        <x:v>6.346153846153846</x:v>
      </x:c>
    </x:row>
    <x:row r="1725">
      <x:c r="A1725" s="22" t="str">
        <x:v>500112137</x:v>
      </x:c>
      <x:c r="B1725" s="17" t="str">
        <x:v>信義區</x:v>
      </x:c>
      <x:c r="C1725" s="17" t="str">
        <x:v>忠孝東路五段790巷25弄口</x:v>
      </x:c>
      <x:c r="D1725" s="18" t="n">
        <x:v>26</x:v>
      </x:c>
      <x:c r="E1725" s="18" t="n">
        <x:v>26</x:v>
      </x:c>
      <x:c r="F1725" s="24" t="n">
        <x:f>IFERROR('各站彙總來源'!F1725/'各站彙總來源'!G1725,"")</x:f>
        <x:v>8.576923076923077</x:v>
      </x:c>
      <x:c r="G1725" s="19" t="n">
        <x:f>'各站彙總來源'!G1725</x:f>
        <x:v>26</x:v>
      </x:c>
      <x:c r="H1725" s="24" t="n">
        <x:f>IFERROR('各站彙總來源'!H1725/'各站彙總來源'!I1725,"")</x:f>
        <x:v>0.9615384615384616</x:v>
      </x:c>
      <x:c r="I1725" s="19" t="n">
        <x:f>'各站彙總來源'!I1725</x:f>
        <x:v>26</x:v>
      </x:c>
      <x:c r="J1725" s="24" t="n">
        <x:f>IFERROR('各站彙總來源'!J1725/'各站彙總來源'!K1725,"")</x:f>
        <x:v>3.5</x:v>
      </x:c>
      <x:c r="K1725" s="19" t="n">
        <x:f>'各站彙總來源'!K1725</x:f>
        <x:v>26</x:v>
      </x:c>
      <x:c r="L1725" s="24" t="n">
        <x:f>IFERROR('各站彙總來源'!L1725/'各站彙總來源'!M1725,"")</x:f>
        <x:v>0.5</x:v>
      </x:c>
      <x:c r="M1725" s="19" t="n">
        <x:f>'各站彙總來源'!M1725</x:f>
        <x:v>26</x:v>
      </x:c>
      <x:c r="N1725" s="24" t="n">
        <x:f>F1725+H1725</x:f>
        <x:v>9.538461538461538</x:v>
      </x:c>
      <x:c r="O1725" s="24" t="n">
        <x:f>J1725+L1725</x:f>
        <x:v>4</x:v>
      </x:c>
    </x:row>
    <x:row r="1726">
      <x:c r="A1726" s="22" t="str">
        <x:v>500113001</x:v>
      </x:c>
      <x:c r="B1726" s="17" t="str">
        <x:v>萬華區</x:v>
      </x:c>
      <x:c r="C1726" s="17" t="str">
        <x:v>德昌寶興街口(西北角)</x:v>
      </x:c>
      <x:c r="D1726" s="18" t="n">
        <x:v>26</x:v>
      </x:c>
      <x:c r="E1726" s="18" t="n">
        <x:v>26</x:v>
      </x:c>
      <x:c r="F1726" s="24" t="n">
        <x:f>IFERROR('各站彙總來源'!F1726/'各站彙總來源'!G1726,"")</x:f>
        <x:v>25.692307692307693</x:v>
      </x:c>
      <x:c r="G1726" s="19" t="n">
        <x:f>'各站彙總來源'!G1726</x:f>
        <x:v>26</x:v>
      </x:c>
      <x:c r="H1726" s="24" t="n">
        <x:f>IFERROR('各站彙總來源'!H1726/'各站彙總來源'!I1726,"")</x:f>
        <x:v>2</x:v>
      </x:c>
      <x:c r="I1726" s="19" t="n">
        <x:f>'各站彙總來源'!I1726</x:f>
        <x:v>26</x:v>
      </x:c>
      <x:c r="J1726" s="24" t="n">
        <x:f>IFERROR('各站彙總來源'!J1726/'各站彙總來源'!K1726,"")</x:f>
        <x:v>7.346153846153846</x:v>
      </x:c>
      <x:c r="K1726" s="19" t="n">
        <x:f>'各站彙總來源'!K1726</x:f>
        <x:v>26</x:v>
      </x:c>
      <x:c r="L1726" s="24" t="n">
        <x:f>IFERROR('各站彙總來源'!L1726/'各站彙總來源'!M1726,"")</x:f>
        <x:v>0.5</x:v>
      </x:c>
      <x:c r="M1726" s="19" t="n">
        <x:f>'各站彙總來源'!M1726</x:f>
        <x:v>26</x:v>
      </x:c>
      <x:c r="N1726" s="24" t="n">
        <x:f>F1726+H1726</x:f>
        <x:v>27.692307692307693</x:v>
      </x:c>
      <x:c r="O1726" s="24" t="n">
        <x:f>J1726+L1726</x:f>
        <x:v>7.846153846153846</x:v>
      </x:c>
    </x:row>
    <x:row r="1727">
      <x:c r="A1727" s="22" t="str">
        <x:v>500113002</x:v>
      </x:c>
      <x:c r="B1727" s="17" t="str">
        <x:v>萬華區</x:v>
      </x:c>
      <x:c r="C1727" s="17" t="str">
        <x:v>寶興長泰街口(西南角)</x:v>
      </x:c>
      <x:c r="D1727" s="18" t="n">
        <x:v>26</x:v>
      </x:c>
      <x:c r="E1727" s="18" t="n">
        <x:v>26</x:v>
      </x:c>
      <x:c r="F1727" s="24" t="n">
        <x:f>IFERROR('各站彙總來源'!F1727/'各站彙總來源'!G1727,"")</x:f>
        <x:v>23.03846153846154</x:v>
      </x:c>
      <x:c r="G1727" s="19" t="n">
        <x:f>'各站彙總來源'!G1727</x:f>
        <x:v>26</x:v>
      </x:c>
      <x:c r="H1727" s="24" t="n">
        <x:f>IFERROR('各站彙總來源'!H1727/'各站彙總來源'!I1727,"")</x:f>
        <x:v>1.1153846153846154</x:v>
      </x:c>
      <x:c r="I1727" s="19" t="n">
        <x:f>'各站彙總來源'!I1727</x:f>
        <x:v>26</x:v>
      </x:c>
      <x:c r="J1727" s="24" t="n">
        <x:f>IFERROR('各站彙總來源'!J1727/'各站彙總來源'!K1727,"")</x:f>
        <x:v>4.769230769230769</x:v>
      </x:c>
      <x:c r="K1727" s="19" t="n">
        <x:f>'各站彙總來源'!K1727</x:f>
        <x:v>26</x:v>
      </x:c>
      <x:c r="L1727" s="24" t="n">
        <x:f>IFERROR('各站彙總來源'!L1727/'各站彙總來源'!M1727,"")</x:f>
        <x:v>0.34615384615384615</x:v>
      </x:c>
      <x:c r="M1727" s="19" t="n">
        <x:f>'各站彙總來源'!M1727</x:f>
        <x:v>26</x:v>
      </x:c>
      <x:c r="N1727" s="24" t="n">
        <x:f>F1727+H1727</x:f>
        <x:v>24.153846153846157</x:v>
      </x:c>
      <x:c r="O1727" s="24" t="n">
        <x:f>J1727+L1727</x:f>
        <x:v>5.115384615384615</x:v>
      </x:c>
    </x:row>
    <x:row r="1728">
      <x:c r="A1728" s="22" t="str">
        <x:v>500113003</x:v>
      </x:c>
      <x:c r="B1728" s="17" t="str">
        <x:v>萬華區</x:v>
      </x:c>
      <x:c r="C1728" s="17" t="str">
        <x:v>萬大路486巷口</x:v>
      </x:c>
      <x:c r="D1728" s="18" t="n">
        <x:v>26</x:v>
      </x:c>
      <x:c r="E1728" s="18" t="n">
        <x:v>26</x:v>
      </x:c>
      <x:c r="F1728" s="24" t="n">
        <x:f>IFERROR('各站彙總來源'!F1728/'各站彙總來源'!G1728,"")</x:f>
        <x:v>11.307692307692308</x:v>
      </x:c>
      <x:c r="G1728" s="19" t="n">
        <x:f>'各站彙總來源'!G1728</x:f>
        <x:v>26</x:v>
      </x:c>
      <x:c r="H1728" s="24" t="n">
        <x:f>IFERROR('各站彙總來源'!H1728/'各站彙總來源'!I1728,"")</x:f>
        <x:v>1.0769230769230769</x:v>
      </x:c>
      <x:c r="I1728" s="19" t="n">
        <x:f>'各站彙總來源'!I1728</x:f>
        <x:v>26</x:v>
      </x:c>
      <x:c r="J1728" s="24" t="n">
        <x:f>IFERROR('各站彙總來源'!J1728/'各站彙總來源'!K1728,"")</x:f>
        <x:v>6.115384615384615</x:v>
      </x:c>
      <x:c r="K1728" s="19" t="n">
        <x:f>'各站彙總來源'!K1728</x:f>
        <x:v>26</x:v>
      </x:c>
      <x:c r="L1728" s="24" t="n">
        <x:f>IFERROR('各站彙總來源'!L1728/'各站彙總來源'!M1728,"")</x:f>
        <x:v>0.9230769230769231</x:v>
      </x:c>
      <x:c r="M1728" s="19" t="n">
        <x:f>'各站彙總來源'!M1728</x:f>
        <x:v>26</x:v>
      </x:c>
      <x:c r="N1728" s="24" t="n">
        <x:f>F1728+H1728</x:f>
        <x:v>12.384615384615385</x:v>
      </x:c>
      <x:c r="O1728" s="24" t="n">
        <x:f>J1728+L1728</x:f>
        <x:v>7.038461538461538</x:v>
      </x:c>
    </x:row>
    <x:row r="1729">
      <x:c r="A1729" s="22" t="str">
        <x:v>500113004</x:v>
      </x:c>
      <x:c r="B1729" s="17" t="str">
        <x:v>萬華區</x:v>
      </x:c>
      <x:c r="C1729" s="17" t="str">
        <x:v>國興中華路口</x:v>
      </x:c>
      <x:c r="D1729" s="18" t="n">
        <x:v>26</x:v>
      </x:c>
      <x:c r="E1729" s="18" t="n">
        <x:v>26</x:v>
      </x:c>
      <x:c r="F1729" s="24" t="n">
        <x:f>IFERROR('各站彙總來源'!F1729/'各站彙總來源'!G1729,"")</x:f>
        <x:v>10.423076923076923</x:v>
      </x:c>
      <x:c r="G1729" s="19" t="n">
        <x:f>'各站彙總來源'!G1729</x:f>
        <x:v>26</x:v>
      </x:c>
      <x:c r="H1729" s="24" t="n">
        <x:f>IFERROR('各站彙總來源'!H1729/'各站彙總來源'!I1729,"")</x:f>
        <x:v>2.3461538461538463</x:v>
      </x:c>
      <x:c r="I1729" s="19" t="n">
        <x:f>'各站彙總來源'!I1729</x:f>
        <x:v>26</x:v>
      </x:c>
      <x:c r="J1729" s="24" t="n">
        <x:f>IFERROR('各站彙總來源'!J1729/'各站彙總來源'!K1729,"")</x:f>
        <x:v>5.076923076923077</x:v>
      </x:c>
      <x:c r="K1729" s="19" t="n">
        <x:f>'各站彙總來源'!K1729</x:f>
        <x:v>26</x:v>
      </x:c>
      <x:c r="L1729" s="24" t="n">
        <x:f>IFERROR('各站彙總來源'!L1729/'各站彙總來源'!M1729,"")</x:f>
        <x:v>0.9615384615384616</x:v>
      </x:c>
      <x:c r="M1729" s="19" t="n">
        <x:f>'各站彙總來源'!M1729</x:f>
        <x:v>26</x:v>
      </x:c>
      <x:c r="N1729" s="24" t="n">
        <x:f>F1729+H1729</x:f>
        <x:v>12.76923076923077</x:v>
      </x:c>
      <x:c r="O1729" s="24" t="n">
        <x:f>J1729+L1729</x:f>
        <x:v>6.038461538461538</x:v>
      </x:c>
    </x:row>
    <x:row r="1730">
      <x:c r="A1730" s="22" t="str">
        <x:v>500113005</x:v>
      </x:c>
      <x:c r="B1730" s="17" t="str">
        <x:v>萬華區</x:v>
      </x:c>
      <x:c r="C1730" s="17" t="str">
        <x:v>古亭國中</x:v>
      </x:c>
      <x:c r="D1730" s="18" t="n">
        <x:v>26</x:v>
      </x:c>
      <x:c r="E1730" s="18" t="n">
        <x:v>26</x:v>
      </x:c>
      <x:c r="F1730" s="24" t="n">
        <x:f>IFERROR('各站彙總來源'!F1730/'各站彙總來源'!G1730,"")</x:f>
        <x:v>15.807692307692308</x:v>
      </x:c>
      <x:c r="G1730" s="19" t="n">
        <x:f>'各站彙總來源'!G1730</x:f>
        <x:v>26</x:v>
      </x:c>
      <x:c r="H1730" s="24" t="n">
        <x:f>IFERROR('各站彙總來源'!H1730/'各站彙總來源'!I1730,"")</x:f>
        <x:v>3.4615384615384617</x:v>
      </x:c>
      <x:c r="I1730" s="19" t="n">
        <x:f>'各站彙總來源'!I1730</x:f>
        <x:v>26</x:v>
      </x:c>
      <x:c r="J1730" s="24" t="n">
        <x:f>IFERROR('各站彙總來源'!J1730/'各站彙總來源'!K1730,"")</x:f>
        <x:v>14.26923076923077</x:v>
      </x:c>
      <x:c r="K1730" s="19" t="n">
        <x:f>'各站彙總來源'!K1730</x:f>
        <x:v>26</x:v>
      </x:c>
      <x:c r="L1730" s="24" t="n">
        <x:f>IFERROR('各站彙總來源'!L1730/'各站彙總來源'!M1730,"")</x:f>
        <x:v>2.1538461538461537</x:v>
      </x:c>
      <x:c r="M1730" s="19" t="n">
        <x:f>'各站彙總來源'!M1730</x:f>
        <x:v>26</x:v>
      </x:c>
      <x:c r="N1730" s="24" t="n">
        <x:f>F1730+H1730</x:f>
        <x:v>19.26923076923077</x:v>
      </x:c>
      <x:c r="O1730" s="24" t="n">
        <x:f>J1730+L1730</x:f>
        <x:v>16.423076923076923</x:v>
      </x:c>
    </x:row>
    <x:row r="1731">
      <x:c r="A1731" s="22" t="str">
        <x:v>500113006</x:v>
      </x:c>
      <x:c r="B1731" s="17" t="str">
        <x:v>萬華區</x:v>
      </x:c>
      <x:c r="C1731" s="17" t="str">
        <x:v>國興水源路口</x:v>
      </x:c>
      <x:c r="D1731" s="18" t="n">
        <x:v>26</x:v>
      </x:c>
      <x:c r="E1731" s="18" t="n">
        <x:v>26</x:v>
      </x:c>
      <x:c r="F1731" s="24" t="n">
        <x:f>IFERROR('各站彙總來源'!F1731/'各站彙總來源'!G1731,"")</x:f>
        <x:v>9.923076923076923</x:v>
      </x:c>
      <x:c r="G1731" s="19" t="n">
        <x:f>'各站彙總來源'!G1731</x:f>
        <x:v>26</x:v>
      </x:c>
      <x:c r="H1731" s="24" t="n">
        <x:f>IFERROR('各站彙總來源'!H1731/'各站彙總來源'!I1731,"")</x:f>
        <x:v>2.1538461538461537</x:v>
      </x:c>
      <x:c r="I1731" s="19" t="n">
        <x:f>'各站彙總來源'!I1731</x:f>
        <x:v>26</x:v>
      </x:c>
      <x:c r="J1731" s="24" t="n">
        <x:f>IFERROR('各站彙總來源'!J1731/'各站彙總來源'!K1731,"")</x:f>
        <x:v>9.692307692307692</x:v>
      </x:c>
      <x:c r="K1731" s="19" t="n">
        <x:f>'各站彙總來源'!K1731</x:f>
        <x:v>26</x:v>
      </x:c>
      <x:c r="L1731" s="24" t="n">
        <x:f>IFERROR('各站彙總來源'!L1731/'各站彙總來源'!M1731,"")</x:f>
        <x:v>0.9230769230769231</x:v>
      </x:c>
      <x:c r="M1731" s="19" t="n">
        <x:f>'各站彙總來源'!M1731</x:f>
        <x:v>26</x:v>
      </x:c>
      <x:c r="N1731" s="24" t="n">
        <x:f>F1731+H1731</x:f>
        <x:v>12.076923076923077</x:v>
      </x:c>
      <x:c r="O1731" s="24" t="n">
        <x:f>J1731+L1731</x:f>
        <x:v>10.615384615384615</x:v>
      </x:c>
    </x:row>
    <x:row r="1732">
      <x:c r="A1732" s="22" t="str">
        <x:v>500113007</x:v>
      </x:c>
      <x:c r="B1732" s="17" t="str">
        <x:v>萬華區</x:v>
      </x:c>
      <x:c r="C1732" s="17" t="str">
        <x:v>青年公園高爾夫球場</x:v>
      </x:c>
      <x:c r="D1732" s="18" t="n">
        <x:v>26</x:v>
      </x:c>
      <x:c r="E1732" s="18" t="n">
        <x:v>26</x:v>
      </x:c>
      <x:c r="F1732" s="24" t="n">
        <x:f>IFERROR('各站彙總來源'!F1732/'各站彙總來源'!G1732,"")</x:f>
        <x:v>12.23076923076923</x:v>
      </x:c>
      <x:c r="G1732" s="19" t="n">
        <x:f>'各站彙總來源'!G1732</x:f>
        <x:v>26</x:v>
      </x:c>
      <x:c r="H1732" s="24" t="n">
        <x:f>IFERROR('各站彙總來源'!H1732/'各站彙總來源'!I1732,"")</x:f>
        <x:v>2</x:v>
      </x:c>
      <x:c r="I1732" s="19" t="n">
        <x:f>'各站彙總來源'!I1732</x:f>
        <x:v>26</x:v>
      </x:c>
      <x:c r="J1732" s="24" t="n">
        <x:f>IFERROR('各站彙總來源'!J1732/'各站彙總來源'!K1732,"")</x:f>
        <x:v>6.846153846153846</x:v>
      </x:c>
      <x:c r="K1732" s="19" t="n">
        <x:f>'各站彙總來源'!K1732</x:f>
        <x:v>26</x:v>
      </x:c>
      <x:c r="L1732" s="24" t="n">
        <x:f>IFERROR('各站彙總來源'!L1732/'各站彙總來源'!M1732,"")</x:f>
        <x:v>1</x:v>
      </x:c>
      <x:c r="M1732" s="19" t="n">
        <x:f>'各站彙總來源'!M1732</x:f>
        <x:v>26</x:v>
      </x:c>
      <x:c r="N1732" s="24" t="n">
        <x:f>F1732+H1732</x:f>
        <x:v>14.23076923076923</x:v>
      </x:c>
      <x:c r="O1732" s="24" t="n">
        <x:f>J1732+L1732</x:f>
        <x:v>7.846153846153846</x:v>
      </x:c>
    </x:row>
    <x:row r="1733">
      <x:c r="A1733" s="22" t="str">
        <x:v>500113008</x:v>
      </x:c>
      <x:c r="B1733" s="17" t="str">
        <x:v>萬華區</x:v>
      </x:c>
      <x:c r="C1733" s="17" t="str">
        <x:v>國興青年路口</x:v>
      </x:c>
      <x:c r="D1733" s="18" t="n">
        <x:v>26</x:v>
      </x:c>
      <x:c r="E1733" s="18" t="n">
        <x:v>26</x:v>
      </x:c>
      <x:c r="F1733" s="24" t="n">
        <x:f>IFERROR('各站彙總來源'!F1733/'各站彙總來源'!G1733,"")</x:f>
        <x:v>15.5</x:v>
      </x:c>
      <x:c r="G1733" s="19" t="n">
        <x:f>'各站彙總來源'!G1733</x:f>
        <x:v>26</x:v>
      </x:c>
      <x:c r="H1733" s="24" t="n">
        <x:f>IFERROR('各站彙總來源'!H1733/'各站彙總來源'!I1733,"")</x:f>
        <x:v>2.269230769230769</x:v>
      </x:c>
      <x:c r="I1733" s="19" t="n">
        <x:f>'各站彙總來源'!I1733</x:f>
        <x:v>26</x:v>
      </x:c>
      <x:c r="J1733" s="24" t="n">
        <x:f>IFERROR('各站彙總來源'!J1733/'各站彙總來源'!K1733,"")</x:f>
        <x:v>7.846153846153846</x:v>
      </x:c>
      <x:c r="K1733" s="19" t="n">
        <x:f>'各站彙總來源'!K1733</x:f>
        <x:v>26</x:v>
      </x:c>
      <x:c r="L1733" s="24" t="n">
        <x:f>IFERROR('各站彙總來源'!L1733/'各站彙總來源'!M1733,"")</x:f>
        <x:v>1.1923076923076923</x:v>
      </x:c>
      <x:c r="M1733" s="19" t="n">
        <x:f>'各站彙總來源'!M1733</x:f>
        <x:v>26</x:v>
      </x:c>
      <x:c r="N1733" s="24" t="n">
        <x:f>F1733+H1733</x:f>
        <x:v>17.76923076923077</x:v>
      </x:c>
      <x:c r="O1733" s="24" t="n">
        <x:f>J1733+L1733</x:f>
        <x:v>9.038461538461538</x:v>
      </x:c>
    </x:row>
    <x:row r="1734">
      <x:c r="A1734" s="22" t="str">
        <x:v>500113009</x:v>
      </x:c>
      <x:c r="B1734" s="17" t="str">
        <x:v>萬華區</x:v>
      </x:c>
      <x:c r="C1734" s="17" t="str">
        <x:v>青年公園棒球場</x:v>
      </x:c>
      <x:c r="D1734" s="18" t="n">
        <x:v>26</x:v>
      </x:c>
      <x:c r="E1734" s="18" t="n">
        <x:v>26</x:v>
      </x:c>
      <x:c r="F1734" s="24" t="n">
        <x:f>IFERROR('各站彙總來源'!F1734/'各站彙總來源'!G1734,"")</x:f>
        <x:v>14.653846153846153</x:v>
      </x:c>
      <x:c r="G1734" s="19" t="n">
        <x:f>'各站彙總來源'!G1734</x:f>
        <x:v>26</x:v>
      </x:c>
      <x:c r="H1734" s="24" t="n">
        <x:f>IFERROR('各站彙總來源'!H1734/'各站彙總來源'!I1734,"")</x:f>
        <x:v>1.4230769230769231</x:v>
      </x:c>
      <x:c r="I1734" s="19" t="n">
        <x:f>'各站彙總來源'!I1734</x:f>
        <x:v>26</x:v>
      </x:c>
      <x:c r="J1734" s="24" t="n">
        <x:f>IFERROR('各站彙總來源'!J1734/'各站彙總來源'!K1734,"")</x:f>
        <x:v>5.230769230769231</x:v>
      </x:c>
      <x:c r="K1734" s="19" t="n">
        <x:f>'各站彙總來源'!K1734</x:f>
        <x:v>26</x:v>
      </x:c>
      <x:c r="L1734" s="24" t="n">
        <x:f>IFERROR('各站彙總來源'!L1734/'各站彙總來源'!M1734,"")</x:f>
        <x:v>0.9230769230769231</x:v>
      </x:c>
      <x:c r="M1734" s="19" t="n">
        <x:f>'各站彙總來源'!M1734</x:f>
        <x:v>26</x:v>
      </x:c>
      <x:c r="N1734" s="24" t="n">
        <x:f>F1734+H1734</x:f>
        <x:v>16.076923076923077</x:v>
      </x:c>
      <x:c r="O1734" s="24" t="n">
        <x:f>J1734+L1734</x:f>
        <x:v>6.153846153846154</x:v>
      </x:c>
    </x:row>
    <x:row r="1735">
      <x:c r="A1735" s="22" t="str">
        <x:v>500113010</x:v>
      </x:c>
      <x:c r="B1735" s="17" t="str">
        <x:v>萬華區</x:v>
      </x:c>
      <x:c r="C1735" s="17" t="str">
        <x:v>青年公園籃球場</x:v>
      </x:c>
      <x:c r="D1735" s="18" t="n">
        <x:v>26</x:v>
      </x:c>
      <x:c r="E1735" s="18" t="n">
        <x:v>26</x:v>
      </x:c>
      <x:c r="F1735" s="24" t="n">
        <x:f>IFERROR('各站彙總來源'!F1735/'各站彙總來源'!G1735,"")</x:f>
        <x:v>9.461538461538462</x:v>
      </x:c>
      <x:c r="G1735" s="19" t="n">
        <x:f>'各站彙總來源'!G1735</x:f>
        <x:v>26</x:v>
      </x:c>
      <x:c r="H1735" s="24" t="n">
        <x:f>IFERROR('各站彙總來源'!H1735/'各站彙總來源'!I1735,"")</x:f>
        <x:v>3</x:v>
      </x:c>
      <x:c r="I1735" s="19" t="n">
        <x:f>'各站彙總來源'!I1735</x:f>
        <x:v>26</x:v>
      </x:c>
      <x:c r="J1735" s="24" t="n">
        <x:f>IFERROR('各站彙總來源'!J1735/'各站彙總來源'!K1735,"")</x:f>
        <x:v>6.769230769230769</x:v>
      </x:c>
      <x:c r="K1735" s="19" t="n">
        <x:f>'各站彙總來源'!K1735</x:f>
        <x:v>26</x:v>
      </x:c>
      <x:c r="L1735" s="24" t="n">
        <x:f>IFERROR('各站彙總來源'!L1735/'各站彙總來源'!M1735,"")</x:f>
        <x:v>0.5769230769230769</x:v>
      </x:c>
      <x:c r="M1735" s="19" t="n">
        <x:f>'各站彙總來源'!M1735</x:f>
        <x:v>26</x:v>
      </x:c>
      <x:c r="N1735" s="24" t="n">
        <x:f>F1735+H1735</x:f>
        <x:v>12.461538461538462</x:v>
      </x:c>
      <x:c r="O1735" s="24" t="n">
        <x:f>J1735+L1735</x:f>
        <x:v>7.346153846153846</x:v>
      </x:c>
    </x:row>
    <x:row r="1736">
      <x:c r="A1736" s="22" t="str">
        <x:v>500113011</x:v>
      </x:c>
      <x:c r="B1736" s="17" t="str">
        <x:v>萬華區</x:v>
      </x:c>
      <x:c r="C1736" s="17" t="str">
        <x:v>光仁國小(空南三村)</x:v>
      </x:c>
      <x:c r="D1736" s="18" t="n">
        <x:v>26</x:v>
      </x:c>
      <x:c r="E1736" s="18" t="n">
        <x:v>26</x:v>
      </x:c>
      <x:c r="F1736" s="24" t="n">
        <x:f>IFERROR('各站彙總來源'!F1736/'各站彙總來源'!G1736,"")</x:f>
        <x:v>0</x:v>
      </x:c>
      <x:c r="G1736" s="19" t="n">
        <x:f>'各站彙總來源'!G1736</x:f>
        <x:v>26</x:v>
      </x:c>
      <x:c r="H1736" s="24" t="n">
        <x:f>IFERROR('各站彙總來源'!H1736/'各站彙總來源'!I1736,"")</x:f>
        <x:v>0</x:v>
      </x:c>
      <x:c r="I1736" s="19" t="n">
        <x:f>'各站彙總來源'!I1736</x:f>
        <x:v>26</x:v>
      </x:c>
      <x:c r="J1736" s="24" t="n">
        <x:f>IFERROR('各站彙總來源'!J1736/'各站彙總來源'!K1736,"")</x:f>
        <x:v>0</x:v>
      </x:c>
      <x:c r="K1736" s="19" t="n">
        <x:f>'各站彙總來源'!K1736</x:f>
        <x:v>26</x:v>
      </x:c>
      <x:c r="L1736" s="24" t="n">
        <x:f>IFERROR('各站彙總來源'!L1736/'各站彙總來源'!M1736,"")</x:f>
        <x:v>0</x:v>
      </x:c>
      <x:c r="M1736" s="19" t="n">
        <x:f>'各站彙總來源'!M1736</x:f>
        <x:v>26</x:v>
      </x:c>
      <x:c r="N1736" s="24" t="n">
        <x:f>F1736+H1736</x:f>
        <x:v>0</x:v>
      </x:c>
      <x:c r="O1736" s="24" t="n">
        <x:f>J1736+L1736</x:f>
        <x:v>0</x:v>
      </x:c>
    </x:row>
    <x:row r="1737">
      <x:c r="A1737" s="22" t="str">
        <x:v>500113012</x:v>
      </x:c>
      <x:c r="B1737" s="17" t="str">
        <x:v>萬華區</x:v>
      </x:c>
      <x:c r="C1737" s="17" t="str">
        <x:v>復華花園新城</x:v>
      </x:c>
      <x:c r="D1737" s="18" t="n">
        <x:v>26</x:v>
      </x:c>
      <x:c r="E1737" s="18" t="n">
        <x:v>26</x:v>
      </x:c>
      <x:c r="F1737" s="24" t="n">
        <x:f>IFERROR('各站彙總來源'!F1737/'各站彙總來源'!G1737,"")</x:f>
        <x:v>0</x:v>
      </x:c>
      <x:c r="G1737" s="19" t="n">
        <x:f>'各站彙總來源'!G1737</x:f>
        <x:v>26</x:v>
      </x:c>
      <x:c r="H1737" s="24" t="n">
        <x:f>IFERROR('各站彙總來源'!H1737/'各站彙總來源'!I1737,"")</x:f>
        <x:v>0</x:v>
      </x:c>
      <x:c r="I1737" s="19" t="n">
        <x:f>'各站彙總來源'!I1737</x:f>
        <x:v>26</x:v>
      </x:c>
      <x:c r="J1737" s="24" t="n">
        <x:f>IFERROR('各站彙總來源'!J1737/'各站彙總來源'!K1737,"")</x:f>
        <x:v>0</x:v>
      </x:c>
      <x:c r="K1737" s="19" t="n">
        <x:f>'各站彙總來源'!K1737</x:f>
        <x:v>26</x:v>
      </x:c>
      <x:c r="L1737" s="24" t="n">
        <x:f>IFERROR('各站彙總來源'!L1737/'各站彙總來源'!M1737,"")</x:f>
        <x:v>0</x:v>
      </x:c>
      <x:c r="M1737" s="19" t="n">
        <x:f>'各站彙總來源'!M1737</x:f>
        <x:v>26</x:v>
      </x:c>
      <x:c r="N1737" s="24" t="n">
        <x:f>F1737+H1737</x:f>
        <x:v>0</x:v>
      </x:c>
      <x:c r="O1737" s="24" t="n">
        <x:f>J1737+L1737</x:f>
        <x:v>0</x:v>
      </x:c>
    </x:row>
    <x:row r="1738">
      <x:c r="A1738" s="22" t="str">
        <x:v>500113013</x:v>
      </x:c>
      <x:c r="B1738" s="17" t="str">
        <x:v>萬華區</x:v>
      </x:c>
      <x:c r="C1738" s="17" t="str">
        <x:v>新和國小</x:v>
      </x:c>
      <x:c r="D1738" s="18" t="n">
        <x:v>26</x:v>
      </x:c>
      <x:c r="E1738" s="18" t="n">
        <x:v>26</x:v>
      </x:c>
      <x:c r="F1738" s="24" t="n">
        <x:f>IFERROR('各站彙總來源'!F1738/'各站彙總來源'!G1738,"")</x:f>
        <x:v>22.653846153846153</x:v>
      </x:c>
      <x:c r="G1738" s="19" t="n">
        <x:f>'各站彙總來源'!G1738</x:f>
        <x:v>26</x:v>
      </x:c>
      <x:c r="H1738" s="24" t="n">
        <x:f>IFERROR('各站彙總來源'!H1738/'各站彙總來源'!I1738,"")</x:f>
        <x:v>2.1153846153846154</x:v>
      </x:c>
      <x:c r="I1738" s="19" t="n">
        <x:f>'各站彙總來源'!I1738</x:f>
        <x:v>26</x:v>
      </x:c>
      <x:c r="J1738" s="24" t="n">
        <x:f>IFERROR('各站彙總來源'!J1738/'各站彙總來源'!K1738,"")</x:f>
        <x:v>5.769230769230769</x:v>
      </x:c>
      <x:c r="K1738" s="19" t="n">
        <x:f>'各站彙總來源'!K1738</x:f>
        <x:v>26</x:v>
      </x:c>
      <x:c r="L1738" s="24" t="n">
        <x:f>IFERROR('各站彙總來源'!L1738/'各站彙總來源'!M1738,"")</x:f>
        <x:v>1.0384615384615385</x:v>
      </x:c>
      <x:c r="M1738" s="19" t="n">
        <x:f>'各站彙總來源'!M1738</x:f>
        <x:v>26</x:v>
      </x:c>
      <x:c r="N1738" s="24" t="n">
        <x:f>F1738+H1738</x:f>
        <x:v>24.76923076923077</x:v>
      </x:c>
      <x:c r="O1738" s="24" t="n">
        <x:f>J1738+L1738</x:f>
        <x:v>6.8076923076923075</x:v>
      </x:c>
    </x:row>
    <x:row r="1739">
      <x:c r="A1739" s="22" t="str">
        <x:v>500113014</x:v>
      </x:c>
      <x:c r="B1739" s="17" t="str">
        <x:v>萬華區</x:v>
      </x:c>
      <x:c r="C1739" s="17" t="str">
        <x:v>莒光郵局</x:v>
      </x:c>
      <x:c r="D1739" s="18" t="n">
        <x:v>26</x:v>
      </x:c>
      <x:c r="E1739" s="18" t="n">
        <x:v>26</x:v>
      </x:c>
      <x:c r="F1739" s="24" t="n">
        <x:f>IFERROR('各站彙總來源'!F1739/'各站彙總來源'!G1739,"")</x:f>
        <x:v>1.6538461538461537</x:v>
      </x:c>
      <x:c r="G1739" s="19" t="n">
        <x:f>'各站彙總來源'!G1739</x:f>
        <x:v>26</x:v>
      </x:c>
      <x:c r="H1739" s="24" t="n">
        <x:f>IFERROR('各站彙總來源'!H1739/'各站彙總來源'!I1739,"")</x:f>
        <x:v>0.23076923076923078</x:v>
      </x:c>
      <x:c r="I1739" s="19" t="n">
        <x:f>'各站彙總來源'!I1739</x:f>
        <x:v>26</x:v>
      </x:c>
      <x:c r="J1739" s="24" t="n">
        <x:f>IFERROR('各站彙總來源'!J1739/'各站彙總來源'!K1739,"")</x:f>
        <x:v>1.3846153846153846</x:v>
      </x:c>
      <x:c r="K1739" s="19" t="n">
        <x:f>'各站彙總來源'!K1739</x:f>
        <x:v>26</x:v>
      </x:c>
      <x:c r="L1739" s="24" t="n">
        <x:f>IFERROR('各站彙總來源'!L1739/'各站彙總來源'!M1739,"")</x:f>
        <x:v>0.4230769230769231</x:v>
      </x:c>
      <x:c r="M1739" s="19" t="n">
        <x:f>'各站彙總來源'!M1739</x:f>
        <x:v>26</x:v>
      </x:c>
      <x:c r="N1739" s="24" t="n">
        <x:f>F1739+H1739</x:f>
        <x:v>1.8846153846153846</x:v>
      </x:c>
      <x:c r="O1739" s="24" t="n">
        <x:f>J1739+L1739</x:f>
        <x:v>1.8076923076923077</x:v>
      </x:c>
    </x:row>
    <x:row r="1740">
      <x:c r="A1740" s="22" t="str">
        <x:v>500113015</x:v>
      </x:c>
      <x:c r="B1740" s="17" t="str">
        <x:v>萬華區</x:v>
      </x:c>
      <x:c r="C1740" s="17" t="str">
        <x:v>莒光立體停車場</x:v>
      </x:c>
      <x:c r="D1740" s="18" t="n">
        <x:v>26</x:v>
      </x:c>
      <x:c r="E1740" s="18" t="n">
        <x:v>26</x:v>
      </x:c>
      <x:c r="F1740" s="24" t="n">
        <x:f>IFERROR('各站彙總來源'!F1740/'各站彙總來源'!G1740,"")</x:f>
        <x:v>8.038461538461538</x:v>
      </x:c>
      <x:c r="G1740" s="19" t="n">
        <x:f>'各站彙總來源'!G1740</x:f>
        <x:v>26</x:v>
      </x:c>
      <x:c r="H1740" s="24" t="n">
        <x:f>IFERROR('各站彙總來源'!H1740/'各站彙總來源'!I1740,"")</x:f>
        <x:v>0.8846153846153846</x:v>
      </x:c>
      <x:c r="I1740" s="19" t="n">
        <x:f>'各站彙總來源'!I1740</x:f>
        <x:v>26</x:v>
      </x:c>
      <x:c r="J1740" s="24" t="n">
        <x:f>IFERROR('各站彙總來源'!J1740/'各站彙總來源'!K1740,"")</x:f>
        <x:v>2.6923076923076925</x:v>
      </x:c>
      <x:c r="K1740" s="19" t="n">
        <x:f>'各站彙總來源'!K1740</x:f>
        <x:v>26</x:v>
      </x:c>
      <x:c r="L1740" s="24" t="n">
        <x:f>IFERROR('各站彙總來源'!L1740/'各站彙總來源'!M1740,"")</x:f>
        <x:v>1.0769230769230769</x:v>
      </x:c>
      <x:c r="M1740" s="19" t="n">
        <x:f>'各站彙總來源'!M1740</x:f>
        <x:v>26</x:v>
      </x:c>
      <x:c r="N1740" s="24" t="n">
        <x:f>F1740+H1740</x:f>
        <x:v>8.923076923076923</x:v>
      </x:c>
      <x:c r="O1740" s="24" t="n">
        <x:f>J1740+L1740</x:f>
        <x:v>3.769230769230769</x:v>
      </x:c>
    </x:row>
    <x:row r="1741">
      <x:c r="A1741" s="22" t="str">
        <x:v>500113016</x:v>
      </x:c>
      <x:c r="B1741" s="17" t="str">
        <x:v>萬華區</x:v>
      </x:c>
      <x:c r="C1741" s="17" t="str">
        <x:v>艋舺大道146巷口</x:v>
      </x:c>
      <x:c r="D1741" s="18" t="n">
        <x:v>26</x:v>
      </x:c>
      <x:c r="E1741" s="18" t="n">
        <x:v>26</x:v>
      </x:c>
      <x:c r="F1741" s="24" t="n">
        <x:f>IFERROR('各站彙總來源'!F1741/'各站彙總來源'!G1741,"")</x:f>
        <x:v>8.23076923076923</x:v>
      </x:c>
      <x:c r="G1741" s="19" t="n">
        <x:f>'各站彙總來源'!G1741</x:f>
        <x:v>26</x:v>
      </x:c>
      <x:c r="H1741" s="24" t="n">
        <x:f>IFERROR('各站彙總來源'!H1741/'各站彙總來源'!I1741,"")</x:f>
        <x:v>1</x:v>
      </x:c>
      <x:c r="I1741" s="19" t="n">
        <x:f>'各站彙總來源'!I1741</x:f>
        <x:v>26</x:v>
      </x:c>
      <x:c r="J1741" s="24" t="n">
        <x:f>IFERROR('各站彙總來源'!J1741/'各站彙總來源'!K1741,"")</x:f>
        <x:v>5.1923076923076925</x:v>
      </x:c>
      <x:c r="K1741" s="19" t="n">
        <x:f>'各站彙總來源'!K1741</x:f>
        <x:v>26</x:v>
      </x:c>
      <x:c r="L1741" s="24" t="n">
        <x:f>IFERROR('各站彙總來源'!L1741/'各站彙總來源'!M1741,"")</x:f>
        <x:v>1.0769230769230769</x:v>
      </x:c>
      <x:c r="M1741" s="19" t="n">
        <x:f>'各站彙總來源'!M1741</x:f>
        <x:v>26</x:v>
      </x:c>
      <x:c r="N1741" s="24" t="n">
        <x:f>F1741+H1741</x:f>
        <x:v>9.23076923076923</x:v>
      </x:c>
      <x:c r="O1741" s="24" t="n">
        <x:f>J1741+L1741</x:f>
        <x:v>6.269230769230769</x:v>
      </x:c>
    </x:row>
    <x:row r="1742">
      <x:c r="A1742" s="22" t="str">
        <x:v>500113017</x:v>
      </x:c>
      <x:c r="B1742" s="17" t="str">
        <x:v>萬華區</x:v>
      </x:c>
      <x:c r="C1742" s="17" t="str">
        <x:v>東園國小</x:v>
      </x:c>
      <x:c r="D1742" s="18" t="n">
        <x:v>26</x:v>
      </x:c>
      <x:c r="E1742" s="18" t="n">
        <x:v>26</x:v>
      </x:c>
      <x:c r="F1742" s="24" t="n">
        <x:f>IFERROR('各站彙總來源'!F1742/'各站彙總來源'!G1742,"")</x:f>
        <x:v>16.26923076923077</x:v>
      </x:c>
      <x:c r="G1742" s="19" t="n">
        <x:f>'各站彙總來源'!G1742</x:f>
        <x:v>26</x:v>
      </x:c>
      <x:c r="H1742" s="24" t="n">
        <x:f>IFERROR('各站彙總來源'!H1742/'各站彙總來源'!I1742,"")</x:f>
        <x:v>3.076923076923077</x:v>
      </x:c>
      <x:c r="I1742" s="19" t="n">
        <x:f>'各站彙總來源'!I1742</x:f>
        <x:v>26</x:v>
      </x:c>
      <x:c r="J1742" s="24" t="n">
        <x:f>IFERROR('各站彙總來源'!J1742/'各站彙總來源'!K1742,"")</x:f>
        <x:v>9.346153846153847</x:v>
      </x:c>
      <x:c r="K1742" s="19" t="n">
        <x:f>'各站彙總來源'!K1742</x:f>
        <x:v>26</x:v>
      </x:c>
      <x:c r="L1742" s="24" t="n">
        <x:f>IFERROR('各站彙總來源'!L1742/'各站彙總來源'!M1742,"")</x:f>
        <x:v>1.5</x:v>
      </x:c>
      <x:c r="M1742" s="19" t="n">
        <x:f>'各站彙總來源'!M1742</x:f>
        <x:v>26</x:v>
      </x:c>
      <x:c r="N1742" s="24" t="n">
        <x:f>F1742+H1742</x:f>
        <x:v>19.346153846153847</x:v>
      </x:c>
      <x:c r="O1742" s="24" t="n">
        <x:f>J1742+L1742</x:f>
        <x:v>10.846153846153847</x:v>
      </x:c>
    </x:row>
    <x:row r="1743">
      <x:c r="A1743" s="22" t="str">
        <x:v>500113018</x:v>
      </x:c>
      <x:c r="B1743" s="17" t="str">
        <x:v>萬華區</x:v>
      </x:c>
      <x:c r="C1743" s="17" t="str">
        <x:v>華中疏散門</x:v>
      </x:c>
      <x:c r="D1743" s="18" t="n">
        <x:v>26</x:v>
      </x:c>
      <x:c r="E1743" s="18" t="n">
        <x:v>26</x:v>
      </x:c>
      <x:c r="F1743" s="24" t="n">
        <x:f>IFERROR('各站彙總來源'!F1743/'各站彙總來源'!G1743,"")</x:f>
        <x:v>12.653846153846153</x:v>
      </x:c>
      <x:c r="G1743" s="19" t="n">
        <x:f>'各站彙總來源'!G1743</x:f>
        <x:v>26</x:v>
      </x:c>
      <x:c r="H1743" s="24" t="n">
        <x:f>IFERROR('各站彙總來源'!H1743/'各站彙總來源'!I1743,"")</x:f>
        <x:v>2.3461538461538463</x:v>
      </x:c>
      <x:c r="I1743" s="19" t="n">
        <x:f>'各站彙總來源'!I1743</x:f>
        <x:v>26</x:v>
      </x:c>
      <x:c r="J1743" s="24" t="n">
        <x:f>IFERROR('各站彙總來源'!J1743/'各站彙總來源'!K1743,"")</x:f>
        <x:v>6.615384615384615</x:v>
      </x:c>
      <x:c r="K1743" s="19" t="n">
        <x:f>'各站彙總來源'!K1743</x:f>
        <x:v>26</x:v>
      </x:c>
      <x:c r="L1743" s="24" t="n">
        <x:f>IFERROR('各站彙總來源'!L1743/'各站彙總來源'!M1743,"")</x:f>
        <x:v>1.4615384615384615</x:v>
      </x:c>
      <x:c r="M1743" s="19" t="n">
        <x:f>'各站彙總來源'!M1743</x:f>
        <x:v>26</x:v>
      </x:c>
      <x:c r="N1743" s="24" t="n">
        <x:f>F1743+H1743</x:f>
        <x:v>15</x:v>
      </x:c>
      <x:c r="O1743" s="24" t="n">
        <x:f>J1743+L1743</x:f>
        <x:v>8.076923076923077</x:v>
      </x:c>
    </x:row>
    <x:row r="1744">
      <x:c r="A1744" s="22" t="str">
        <x:v>500113019</x:v>
      </x:c>
      <x:c r="B1744" s="17" t="str">
        <x:v>萬華區</x:v>
      </x:c>
      <x:c r="C1744" s="17" t="str">
        <x:v>錦德公園</x:v>
      </x:c>
      <x:c r="D1744" s="18" t="n">
        <x:v>26</x:v>
      </x:c>
      <x:c r="E1744" s="18" t="n">
        <x:v>26</x:v>
      </x:c>
      <x:c r="F1744" s="24" t="n">
        <x:f>IFERROR('各站彙總來源'!F1744/'各站彙總來源'!G1744,"")</x:f>
        <x:v>37.76923076923077</x:v>
      </x:c>
      <x:c r="G1744" s="19" t="n">
        <x:f>'各站彙總來源'!G1744</x:f>
        <x:v>26</x:v>
      </x:c>
      <x:c r="H1744" s="24" t="n">
        <x:f>IFERROR('各站彙總來源'!H1744/'各站彙總來源'!I1744,"")</x:f>
        <x:v>2.576923076923077</x:v>
      </x:c>
      <x:c r="I1744" s="19" t="n">
        <x:f>'各站彙總來源'!I1744</x:f>
        <x:v>26</x:v>
      </x:c>
      <x:c r="J1744" s="24" t="n">
        <x:f>IFERROR('各站彙總來源'!J1744/'各站彙總來源'!K1744,"")</x:f>
        <x:v>9</x:v>
      </x:c>
      <x:c r="K1744" s="19" t="n">
        <x:f>'各站彙總來源'!K1744</x:f>
        <x:v>26</x:v>
      </x:c>
      <x:c r="L1744" s="24" t="n">
        <x:f>IFERROR('各站彙總來源'!L1744/'各站彙總來源'!M1744,"")</x:f>
        <x:v>0.9615384615384616</x:v>
      </x:c>
      <x:c r="M1744" s="19" t="n">
        <x:f>'各站彙總來源'!M1744</x:f>
        <x:v>26</x:v>
      </x:c>
      <x:c r="N1744" s="24" t="n">
        <x:f>F1744+H1744</x:f>
        <x:v>40.34615384615385</x:v>
      </x:c>
      <x:c r="O1744" s="24" t="n">
        <x:f>J1744+L1744</x:f>
        <x:v>9.961538461538462</x:v>
      </x:c>
    </x:row>
    <x:row r="1745">
      <x:c r="A1745" s="22" t="str">
        <x:v>500113020</x:v>
      </x:c>
      <x:c r="B1745" s="17" t="str">
        <x:v>萬華區</x:v>
      </x:c>
      <x:c r="C1745" s="17" t="str">
        <x:v>忠德公園</x:v>
      </x:c>
      <x:c r="D1745" s="18" t="n">
        <x:v>26</x:v>
      </x:c>
      <x:c r="E1745" s="18" t="n">
        <x:v>26</x:v>
      </x:c>
      <x:c r="F1745" s="24" t="n">
        <x:f>IFERROR('各站彙總來源'!F1745/'各站彙總來源'!G1745,"")</x:f>
        <x:v>22.423076923076923</x:v>
      </x:c>
      <x:c r="G1745" s="19" t="n">
        <x:f>'各站彙總來源'!G1745</x:f>
        <x:v>26</x:v>
      </x:c>
      <x:c r="H1745" s="24" t="n">
        <x:f>IFERROR('各站彙總來源'!H1745/'各站彙總來源'!I1745,"")</x:f>
        <x:v>1.7692307692307692</x:v>
      </x:c>
      <x:c r="I1745" s="19" t="n">
        <x:f>'各站彙總來源'!I1745</x:f>
        <x:v>26</x:v>
      </x:c>
      <x:c r="J1745" s="24" t="n">
        <x:f>IFERROR('各站彙總來源'!J1745/'各站彙總來源'!K1745,"")</x:f>
        <x:v>6.884615384615385</x:v>
      </x:c>
      <x:c r="K1745" s="19" t="n">
        <x:f>'各站彙總來源'!K1745</x:f>
        <x:v>26</x:v>
      </x:c>
      <x:c r="L1745" s="24" t="n">
        <x:f>IFERROR('各站彙總來源'!L1745/'各站彙總來源'!M1745,"")</x:f>
        <x:v>1.5384615384615385</x:v>
      </x:c>
      <x:c r="M1745" s="19" t="n">
        <x:f>'各站彙總來源'!M1745</x:f>
        <x:v>26</x:v>
      </x:c>
      <x:c r="N1745" s="24" t="n">
        <x:f>F1745+H1745</x:f>
        <x:v>24.192307692307693</x:v>
      </x:c>
      <x:c r="O1745" s="24" t="n">
        <x:f>J1745+L1745</x:f>
        <x:v>8.423076923076923</x:v>
      </x:c>
    </x:row>
    <x:row r="1746">
      <x:c r="A1746" s="22" t="str">
        <x:v>500113021</x:v>
      </x:c>
      <x:c r="B1746" s="17" t="str">
        <x:v>萬華區</x:v>
      </x:c>
      <x:c r="C1746" s="17" t="str">
        <x:v>萬華國中</x:v>
      </x:c>
      <x:c r="D1746" s="18" t="n">
        <x:v>26</x:v>
      </x:c>
      <x:c r="E1746" s="18" t="n">
        <x:v>26</x:v>
      </x:c>
      <x:c r="F1746" s="24" t="n">
        <x:f>IFERROR('各站彙總來源'!F1746/'各站彙總來源'!G1746,"")</x:f>
        <x:v>0</x:v>
      </x:c>
      <x:c r="G1746" s="19" t="n">
        <x:f>'各站彙總來源'!G1746</x:f>
        <x:v>26</x:v>
      </x:c>
      <x:c r="H1746" s="24" t="n">
        <x:f>IFERROR('各站彙總來源'!H1746/'各站彙總來源'!I1746,"")</x:f>
        <x:v>0</x:v>
      </x:c>
      <x:c r="I1746" s="19" t="n">
        <x:f>'各站彙總來源'!I1746</x:f>
        <x:v>26</x:v>
      </x:c>
      <x:c r="J1746" s="24" t="n">
        <x:f>IFERROR('各站彙總來源'!J1746/'各站彙總來源'!K1746,"")</x:f>
        <x:v>0</x:v>
      </x:c>
      <x:c r="K1746" s="19" t="n">
        <x:f>'各站彙總來源'!K1746</x:f>
        <x:v>26</x:v>
      </x:c>
      <x:c r="L1746" s="24" t="n">
        <x:f>IFERROR('各站彙總來源'!L1746/'各站彙總來源'!M1746,"")</x:f>
        <x:v>0</x:v>
      </x:c>
      <x:c r="M1746" s="19" t="n">
        <x:f>'各站彙總來源'!M1746</x:f>
        <x:v>26</x:v>
      </x:c>
      <x:c r="N1746" s="24" t="n">
        <x:f>F1746+H1746</x:f>
        <x:v>0</x:v>
      </x:c>
      <x:c r="O1746" s="24" t="n">
        <x:f>J1746+L1746</x:f>
        <x:v>0</x:v>
      </x:c>
    </x:row>
    <x:row r="1747">
      <x:c r="A1747" s="22" t="str">
        <x:v>500113022</x:v>
      </x:c>
      <x:c r="B1747" s="17" t="str">
        <x:v>萬華區</x:v>
      </x:c>
      <x:c r="C1747" s="17" t="str">
        <x:v>華江高中</x:v>
      </x:c>
      <x:c r="D1747" s="18" t="n">
        <x:v>26</x:v>
      </x:c>
      <x:c r="E1747" s="18" t="n">
        <x:v>26</x:v>
      </x:c>
      <x:c r="F1747" s="24" t="n">
        <x:f>IFERROR('各站彙總來源'!F1747/'各站彙總來源'!G1747,"")</x:f>
        <x:v>12.038461538461538</x:v>
      </x:c>
      <x:c r="G1747" s="19" t="n">
        <x:f>'各站彙總來源'!G1747</x:f>
        <x:v>26</x:v>
      </x:c>
      <x:c r="H1747" s="24" t="n">
        <x:f>IFERROR('各站彙總來源'!H1747/'各站彙總來源'!I1747,"")</x:f>
        <x:v>2.1153846153846154</x:v>
      </x:c>
      <x:c r="I1747" s="19" t="n">
        <x:f>'各站彙總來源'!I1747</x:f>
        <x:v>26</x:v>
      </x:c>
      <x:c r="J1747" s="24" t="n">
        <x:f>IFERROR('各站彙總來源'!J1747/'各站彙總來源'!K1747,"")</x:f>
        <x:v>42.11538461538461</x:v>
      </x:c>
      <x:c r="K1747" s="19" t="n">
        <x:f>'各站彙總來源'!K1747</x:f>
        <x:v>26</x:v>
      </x:c>
      <x:c r="L1747" s="24" t="n">
        <x:f>IFERROR('各站彙總來源'!L1747/'各站彙總來源'!M1747,"")</x:f>
        <x:v>2.269230769230769</x:v>
      </x:c>
      <x:c r="M1747" s="19" t="n">
        <x:f>'各站彙總來源'!M1747</x:f>
        <x:v>26</x:v>
      </x:c>
      <x:c r="N1747" s="24" t="n">
        <x:f>F1747+H1747</x:f>
        <x:v>14.153846153846153</x:v>
      </x:c>
      <x:c r="O1747" s="24" t="n">
        <x:f>J1747+L1747</x:f>
        <x:v>44.38461538461538</x:v>
      </x:c>
    </x:row>
    <x:row r="1748">
      <x:c r="A1748" s="22" t="str">
        <x:v>500113023</x:v>
      </x:c>
      <x:c r="B1748" s="17" t="str">
        <x:v>萬華區</x:v>
      </x:c>
      <x:c r="C1748" s="17" t="str">
        <x:v>西園艋舺路口</x:v>
      </x:c>
      <x:c r="D1748" s="18" t="n">
        <x:v>26</x:v>
      </x:c>
      <x:c r="E1748" s="18" t="n">
        <x:v>26</x:v>
      </x:c>
      <x:c r="F1748" s="24" t="n">
        <x:f>IFERROR('各站彙總來源'!F1748/'各站彙總來源'!G1748,"")</x:f>
        <x:v>15.73076923076923</x:v>
      </x:c>
      <x:c r="G1748" s="19" t="n">
        <x:f>'各站彙總來源'!G1748</x:f>
        <x:v>26</x:v>
      </x:c>
      <x:c r="H1748" s="24" t="n">
        <x:f>IFERROR('各站彙總來源'!H1748/'各站彙總來源'!I1748,"")</x:f>
        <x:v>1.5769230769230769</x:v>
      </x:c>
      <x:c r="I1748" s="19" t="n">
        <x:f>'各站彙總來源'!I1748</x:f>
        <x:v>26</x:v>
      </x:c>
      <x:c r="J1748" s="24" t="n">
        <x:f>IFERROR('各站彙總來源'!J1748/'各站彙總來源'!K1748,"")</x:f>
        <x:v>16.692307692307693</x:v>
      </x:c>
      <x:c r="K1748" s="19" t="n">
        <x:f>'各站彙總來源'!K1748</x:f>
        <x:v>26</x:v>
      </x:c>
      <x:c r="L1748" s="24" t="n">
        <x:f>IFERROR('各站彙總來源'!L1748/'各站彙總來源'!M1748,"")</x:f>
        <x:v>1.8461538461538463</x:v>
      </x:c>
      <x:c r="M1748" s="19" t="n">
        <x:f>'各站彙總來源'!M1748</x:f>
        <x:v>26</x:v>
      </x:c>
      <x:c r="N1748" s="24" t="n">
        <x:f>F1748+H1748</x:f>
        <x:v>17.307692307692307</x:v>
      </x:c>
      <x:c r="O1748" s="24" t="n">
        <x:f>J1748+L1748</x:f>
        <x:v>18.53846153846154</x:v>
      </x:c>
    </x:row>
    <x:row r="1749">
      <x:c r="A1749" s="22" t="str">
        <x:v>500113024</x:v>
      </x:c>
      <x:c r="B1749" s="17" t="str">
        <x:v>萬華區</x:v>
      </x:c>
      <x:c r="C1749" s="17" t="str">
        <x:v>艋舺興寧街口</x:v>
      </x:c>
      <x:c r="D1749" s="18" t="n">
        <x:v>26</x:v>
      </x:c>
      <x:c r="E1749" s="18" t="n">
        <x:v>26</x:v>
      </x:c>
      <x:c r="F1749" s="24" t="n">
        <x:f>IFERROR('各站彙總來源'!F1749/'各站彙總來源'!G1749,"")</x:f>
        <x:v>0</x:v>
      </x:c>
      <x:c r="G1749" s="19" t="n">
        <x:f>'各站彙總來源'!G1749</x:f>
        <x:v>26</x:v>
      </x:c>
      <x:c r="H1749" s="24" t="n">
        <x:f>IFERROR('各站彙總來源'!H1749/'各站彙總來源'!I1749,"")</x:f>
        <x:v>0</x:v>
      </x:c>
      <x:c r="I1749" s="19" t="n">
        <x:f>'各站彙總來源'!I1749</x:f>
        <x:v>26</x:v>
      </x:c>
      <x:c r="J1749" s="24" t="n">
        <x:f>IFERROR('各站彙總來源'!J1749/'各站彙總來源'!K1749,"")</x:f>
        <x:v>0</x:v>
      </x:c>
      <x:c r="K1749" s="19" t="n">
        <x:f>'各站彙總來源'!K1749</x:f>
        <x:v>26</x:v>
      </x:c>
      <x:c r="L1749" s="24" t="n">
        <x:f>IFERROR('各站彙總來源'!L1749/'各站彙總來源'!M1749,"")</x:f>
        <x:v>0</x:v>
      </x:c>
      <x:c r="M1749" s="19" t="n">
        <x:f>'各站彙總來源'!M1749</x:f>
        <x:v>26</x:v>
      </x:c>
      <x:c r="N1749" s="24" t="n">
        <x:f>F1749+H1749</x:f>
        <x:v>0</x:v>
      </x:c>
      <x:c r="O1749" s="24" t="n">
        <x:f>J1749+L1749</x:f>
        <x:v>0</x:v>
      </x:c>
    </x:row>
    <x:row r="1750">
      <x:c r="A1750" s="22" t="str">
        <x:v>500113025</x:v>
      </x:c>
      <x:c r="B1750" s="17" t="str">
        <x:v>萬華區</x:v>
      </x:c>
      <x:c r="C1750" s="17" t="str">
        <x:v>雙園國中</x:v>
      </x:c>
      <x:c r="D1750" s="18" t="n">
        <x:v>26</x:v>
      </x:c>
      <x:c r="E1750" s="18" t="n">
        <x:v>26</x:v>
      </x:c>
      <x:c r="F1750" s="24" t="n">
        <x:f>IFERROR('各站彙總來源'!F1750/'各站彙總來源'!G1750,"")</x:f>
        <x:v>9.5</x:v>
      </x:c>
      <x:c r="G1750" s="19" t="n">
        <x:f>'各站彙總來源'!G1750</x:f>
        <x:v>26</x:v>
      </x:c>
      <x:c r="H1750" s="24" t="n">
        <x:f>IFERROR('各站彙總來源'!H1750/'各站彙總來源'!I1750,"")</x:f>
        <x:v>2.576923076923077</x:v>
      </x:c>
      <x:c r="I1750" s="19" t="n">
        <x:f>'各站彙總來源'!I1750</x:f>
        <x:v>26</x:v>
      </x:c>
      <x:c r="J1750" s="24" t="n">
        <x:f>IFERROR('各站彙總來源'!J1750/'各站彙總來源'!K1750,"")</x:f>
        <x:v>8.923076923076923</x:v>
      </x:c>
      <x:c r="K1750" s="19" t="n">
        <x:f>'各站彙總來源'!K1750</x:f>
        <x:v>26</x:v>
      </x:c>
      <x:c r="L1750" s="24" t="n">
        <x:f>IFERROR('各站彙總來源'!L1750/'各站彙總來源'!M1750,"")</x:f>
        <x:v>1.8076923076923077</x:v>
      </x:c>
      <x:c r="M1750" s="19" t="n">
        <x:f>'各站彙總來源'!M1750</x:f>
        <x:v>26</x:v>
      </x:c>
      <x:c r="N1750" s="24" t="n">
        <x:f>F1750+H1750</x:f>
        <x:v>12.076923076923077</x:v>
      </x:c>
      <x:c r="O1750" s="24" t="n">
        <x:f>J1750+L1750</x:f>
        <x:v>10.730769230769232</x:v>
      </x:c>
    </x:row>
    <x:row r="1751">
      <x:c r="A1751" s="22" t="str">
        <x:v>500113026</x:v>
      </x:c>
      <x:c r="B1751" s="17" t="str">
        <x:v>萬華區</x:v>
      </x:c>
      <x:c r="C1751" s="17" t="str">
        <x:v>長順區民活動中心</x:v>
      </x:c>
      <x:c r="D1751" s="18" t="n">
        <x:v>26</x:v>
      </x:c>
      <x:c r="E1751" s="18" t="n">
        <x:v>26</x:v>
      </x:c>
      <x:c r="F1751" s="24" t="n">
        <x:f>IFERROR('各站彙總來源'!F1751/'各站彙總來源'!G1751,"")</x:f>
        <x:v>13.23076923076923</x:v>
      </x:c>
      <x:c r="G1751" s="19" t="n">
        <x:f>'各站彙總來源'!G1751</x:f>
        <x:v>26</x:v>
      </x:c>
      <x:c r="H1751" s="24" t="n">
        <x:f>IFERROR('各站彙總來源'!H1751/'各站彙總來源'!I1751,"")</x:f>
        <x:v>3.0384615384615383</x:v>
      </x:c>
      <x:c r="I1751" s="19" t="n">
        <x:f>'各站彙總來源'!I1751</x:f>
        <x:v>26</x:v>
      </x:c>
      <x:c r="J1751" s="24" t="n">
        <x:f>IFERROR('各站彙總來源'!J1751/'各站彙總來源'!K1751,"")</x:f>
        <x:v>8.961538461538462</x:v>
      </x:c>
      <x:c r="K1751" s="19" t="n">
        <x:f>'各站彙總來源'!K1751</x:f>
        <x:v>26</x:v>
      </x:c>
      <x:c r="L1751" s="24" t="n">
        <x:f>IFERROR('各站彙總來源'!L1751/'各站彙總來源'!M1751,"")</x:f>
        <x:v>2.269230769230769</x:v>
      </x:c>
      <x:c r="M1751" s="19" t="n">
        <x:f>'各站彙總來源'!M1751</x:f>
        <x:v>26</x:v>
      </x:c>
      <x:c r="N1751" s="24" t="n">
        <x:f>F1751+H1751</x:f>
        <x:v>16.269230769230766</x:v>
      </x:c>
      <x:c r="O1751" s="24" t="n">
        <x:f>J1751+L1751</x:f>
        <x:v>11.23076923076923</x:v>
      </x:c>
    </x:row>
    <x:row r="1752">
      <x:c r="A1752" s="22" t="str">
        <x:v>500113027</x:v>
      </x:c>
      <x:c r="B1752" s="17" t="str">
        <x:v>萬華區</x:v>
      </x:c>
      <x:c r="C1752" s="17" t="str">
        <x:v>萬華安居社會住宅A區</x:v>
      </x:c>
      <x:c r="D1752" s="18" t="n">
        <x:v>26</x:v>
      </x:c>
      <x:c r="E1752" s="18" t="n">
        <x:v>26</x:v>
      </x:c>
      <x:c r="F1752" s="24" t="n">
        <x:f>IFERROR('各站彙總來源'!F1752/'各站彙總來源'!G1752,"")</x:f>
        <x:v>23.692307692307693</x:v>
      </x:c>
      <x:c r="G1752" s="19" t="n">
        <x:f>'各站彙總來源'!G1752</x:f>
        <x:v>26</x:v>
      </x:c>
      <x:c r="H1752" s="24" t="n">
        <x:f>IFERROR('各站彙總來源'!H1752/'各站彙總來源'!I1752,"")</x:f>
        <x:v>5.115384615384615</x:v>
      </x:c>
      <x:c r="I1752" s="19" t="n">
        <x:f>'各站彙總來源'!I1752</x:f>
        <x:v>26</x:v>
      </x:c>
      <x:c r="J1752" s="24" t="n">
        <x:f>IFERROR('各站彙總來源'!J1752/'各站彙總來源'!K1752,"")</x:f>
        <x:v>4.461538461538462</x:v>
      </x:c>
      <x:c r="K1752" s="19" t="n">
        <x:f>'各站彙總來源'!K1752</x:f>
        <x:v>26</x:v>
      </x:c>
      <x:c r="L1752" s="24" t="n">
        <x:f>IFERROR('各站彙總來源'!L1752/'各站彙總來源'!M1752,"")</x:f>
        <x:v>1.3076923076923077</x:v>
      </x:c>
      <x:c r="M1752" s="19" t="n">
        <x:f>'各站彙總來源'!M1752</x:f>
        <x:v>26</x:v>
      </x:c>
      <x:c r="N1752" s="24" t="n">
        <x:f>F1752+H1752</x:f>
        <x:v>28.807692307692307</x:v>
      </x:c>
      <x:c r="O1752" s="24" t="n">
        <x:f>J1752+L1752</x:f>
        <x:v>5.769230769230769</x:v>
      </x:c>
    </x:row>
    <x:row r="1753">
      <x:c r="A1753" s="22" t="str">
        <x:v>500113028</x:v>
      </x:c>
      <x:c r="B1753" s="17" t="str">
        <x:v>萬華區</x:v>
      </x:c>
      <x:c r="C1753" s="17" t="str">
        <x:v>華江八號公園</x:v>
      </x:c>
      <x:c r="D1753" s="18" t="n">
        <x:v>26</x:v>
      </x:c>
      <x:c r="E1753" s="18" t="n">
        <x:v>26</x:v>
      </x:c>
      <x:c r="F1753" s="24" t="n">
        <x:f>IFERROR('各站彙總來源'!F1753/'各站彙總來源'!G1753,"")</x:f>
        <x:v>14.384615384615385</x:v>
      </x:c>
      <x:c r="G1753" s="19" t="n">
        <x:f>'各站彙總來源'!G1753</x:f>
        <x:v>26</x:v>
      </x:c>
      <x:c r="H1753" s="24" t="n">
        <x:f>IFERROR('各站彙總來源'!H1753/'各站彙總來源'!I1753,"")</x:f>
        <x:v>1.6923076923076923</x:v>
      </x:c>
      <x:c r="I1753" s="19" t="n">
        <x:f>'各站彙總來源'!I1753</x:f>
        <x:v>26</x:v>
      </x:c>
      <x:c r="J1753" s="24" t="n">
        <x:f>IFERROR('各站彙總來源'!J1753/'各站彙總來源'!K1753,"")</x:f>
        <x:v>4.3076923076923075</x:v>
      </x:c>
      <x:c r="K1753" s="19" t="n">
        <x:f>'各站彙總來源'!K1753</x:f>
        <x:v>26</x:v>
      </x:c>
      <x:c r="L1753" s="24" t="n">
        <x:f>IFERROR('各站彙總來源'!L1753/'各站彙總來源'!M1753,"")</x:f>
        <x:v>1.0384615384615385</x:v>
      </x:c>
      <x:c r="M1753" s="19" t="n">
        <x:f>'各站彙總來源'!M1753</x:f>
        <x:v>26</x:v>
      </x:c>
      <x:c r="N1753" s="24" t="n">
        <x:f>F1753+H1753</x:f>
        <x:v>16.076923076923077</x:v>
      </x:c>
      <x:c r="O1753" s="24" t="n">
        <x:f>J1753+L1753</x:f>
        <x:v>5.346153846153846</x:v>
      </x:c>
    </x:row>
    <x:row r="1754">
      <x:c r="A1754" s="22" t="str">
        <x:v>500113029</x:v>
      </x:c>
      <x:c r="B1754" s="17" t="str">
        <x:v>萬華區</x:v>
      </x:c>
      <x:c r="C1754" s="17" t="str">
        <x:v>環河南雙園街口</x:v>
      </x:c>
      <x:c r="D1754" s="18" t="n">
        <x:v>26</x:v>
      </x:c>
      <x:c r="E1754" s="18" t="n">
        <x:v>26</x:v>
      </x:c>
      <x:c r="F1754" s="24" t="n">
        <x:f>IFERROR('各站彙總來源'!F1754/'各站彙總來源'!G1754,"")</x:f>
        <x:v>12.846153846153847</x:v>
      </x:c>
      <x:c r="G1754" s="19" t="n">
        <x:f>'各站彙總來源'!G1754</x:f>
        <x:v>26</x:v>
      </x:c>
      <x:c r="H1754" s="24" t="n">
        <x:f>IFERROR('各站彙總來源'!H1754/'各站彙總來源'!I1754,"")</x:f>
        <x:v>1.6153846153846154</x:v>
      </x:c>
      <x:c r="I1754" s="19" t="n">
        <x:f>'各站彙總來源'!I1754</x:f>
        <x:v>26</x:v>
      </x:c>
      <x:c r="J1754" s="24" t="n">
        <x:f>IFERROR('各站彙總來源'!J1754/'各站彙總來源'!K1754,"")</x:f>
        <x:v>10.538461538461538</x:v>
      </x:c>
      <x:c r="K1754" s="19" t="n">
        <x:f>'各站彙總來源'!K1754</x:f>
        <x:v>26</x:v>
      </x:c>
      <x:c r="L1754" s="24" t="n">
        <x:f>IFERROR('各站彙總來源'!L1754/'各站彙總來源'!M1754,"")</x:f>
        <x:v>2.4615384615384617</x:v>
      </x:c>
      <x:c r="M1754" s="19" t="n">
        <x:f>'各站彙總來源'!M1754</x:f>
        <x:v>26</x:v>
      </x:c>
      <x:c r="N1754" s="24" t="n">
        <x:f>F1754+H1754</x:f>
        <x:v>14.461538461538462</x:v>
      </x:c>
      <x:c r="O1754" s="24" t="n">
        <x:f>J1754+L1754</x:f>
        <x:v>13</x:v>
      </x:c>
    </x:row>
    <x:row r="1755">
      <x:c r="A1755" s="22" t="str">
        <x:v>500113030</x:v>
      </x:c>
      <x:c r="B1755" s="17" t="str">
        <x:v>萬華區</x:v>
      </x:c>
      <x:c r="C1755" s="17" t="str">
        <x:v>大理高中</x:v>
      </x:c>
      <x:c r="D1755" s="18" t="n">
        <x:v>26</x:v>
      </x:c>
      <x:c r="E1755" s="18" t="n">
        <x:v>26</x:v>
      </x:c>
      <x:c r="F1755" s="24" t="n">
        <x:f>IFERROR('各站彙總來源'!F1755/'各站彙總來源'!G1755,"")</x:f>
        <x:v>7.923076923076923</x:v>
      </x:c>
      <x:c r="G1755" s="19" t="n">
        <x:f>'各站彙總來源'!G1755</x:f>
        <x:v>26</x:v>
      </x:c>
      <x:c r="H1755" s="24" t="n">
        <x:f>IFERROR('各站彙總來源'!H1755/'各站彙總來源'!I1755,"")</x:f>
        <x:v>1.0769230769230769</x:v>
      </x:c>
      <x:c r="I1755" s="19" t="n">
        <x:f>'各站彙總來源'!I1755</x:f>
        <x:v>26</x:v>
      </x:c>
      <x:c r="J1755" s="24" t="n">
        <x:f>IFERROR('各站彙總來源'!J1755/'各站彙總來源'!K1755,"")</x:f>
        <x:v>23.576923076923077</x:v>
      </x:c>
      <x:c r="K1755" s="19" t="n">
        <x:f>'各站彙總來源'!K1755</x:f>
        <x:v>26</x:v>
      </x:c>
      <x:c r="L1755" s="24" t="n">
        <x:f>IFERROR('各站彙總來源'!L1755/'各站彙總來源'!M1755,"")</x:f>
        <x:v>1.9615384615384615</x:v>
      </x:c>
      <x:c r="M1755" s="19" t="n">
        <x:f>'各站彙總來源'!M1755</x:f>
        <x:v>26</x:v>
      </x:c>
      <x:c r="N1755" s="24" t="n">
        <x:f>F1755+H1755</x:f>
        <x:v>9</x:v>
      </x:c>
      <x:c r="O1755" s="24" t="n">
        <x:f>J1755+L1755</x:f>
        <x:v>25.538461538461537</x:v>
      </x:c>
    </x:row>
    <x:row r="1756">
      <x:c r="A1756" s="22" t="str">
        <x:v>500113031</x:v>
      </x:c>
      <x:c r="B1756" s="17" t="str">
        <x:v>萬華區</x:v>
      </x:c>
      <x:c r="C1756" s="17" t="str">
        <x:v>糖廍文化園區</x:v>
      </x:c>
      <x:c r="D1756" s="18" t="n">
        <x:v>26</x:v>
      </x:c>
      <x:c r="E1756" s="18" t="n">
        <x:v>26</x:v>
      </x:c>
      <x:c r="F1756" s="24" t="n">
        <x:f>IFERROR('各站彙總來源'!F1756/'各站彙總來源'!G1756,"")</x:f>
        <x:v>10.923076923076923</x:v>
      </x:c>
      <x:c r="G1756" s="19" t="n">
        <x:f>'各站彙總來源'!G1756</x:f>
        <x:v>26</x:v>
      </x:c>
      <x:c r="H1756" s="24" t="n">
        <x:f>IFERROR('各站彙總來源'!H1756/'各站彙總來源'!I1756,"")</x:f>
        <x:v>1.5</x:v>
      </x:c>
      <x:c r="I1756" s="19" t="n">
        <x:f>'各站彙總來源'!I1756</x:f>
        <x:v>26</x:v>
      </x:c>
      <x:c r="J1756" s="24" t="n">
        <x:f>IFERROR('各站彙總來源'!J1756/'各站彙總來源'!K1756,"")</x:f>
        <x:v>6.230769230769231</x:v>
      </x:c>
      <x:c r="K1756" s="19" t="n">
        <x:f>'各站彙總來源'!K1756</x:f>
        <x:v>26</x:v>
      </x:c>
      <x:c r="L1756" s="24" t="n">
        <x:f>IFERROR('各站彙總來源'!L1756/'各站彙總來源'!M1756,"")</x:f>
        <x:v>1.3076923076923077</x:v>
      </x:c>
      <x:c r="M1756" s="19" t="n">
        <x:f>'各站彙總來源'!M1756</x:f>
        <x:v>26</x:v>
      </x:c>
      <x:c r="N1756" s="24" t="n">
        <x:f>F1756+H1756</x:f>
        <x:v>12.423076923076923</x:v>
      </x:c>
      <x:c r="O1756" s="24" t="n">
        <x:f>J1756+L1756</x:f>
        <x:v>7.538461538461538</x:v>
      </x:c>
    </x:row>
    <x:row r="1757">
      <x:c r="A1757" s="22" t="str">
        <x:v>500113032</x:v>
      </x:c>
      <x:c r="B1757" s="17" t="str">
        <x:v>萬華區</x:v>
      </x:c>
      <x:c r="C1757" s="17" t="str">
        <x:v>兩棵樹公園</x:v>
      </x:c>
      <x:c r="D1757" s="18" t="n">
        <x:v>26</x:v>
      </x:c>
      <x:c r="E1757" s="18" t="n">
        <x:v>26</x:v>
      </x:c>
      <x:c r="F1757" s="24" t="n">
        <x:f>IFERROR('各站彙總來源'!F1757/'各站彙總來源'!G1757,"")</x:f>
        <x:v>8.23076923076923</x:v>
      </x:c>
      <x:c r="G1757" s="19" t="n">
        <x:f>'各站彙總來源'!G1757</x:f>
        <x:v>26</x:v>
      </x:c>
      <x:c r="H1757" s="24" t="n">
        <x:f>IFERROR('各站彙總來源'!H1757/'各站彙總來源'!I1757,"")</x:f>
        <x:v>1.2692307692307692</x:v>
      </x:c>
      <x:c r="I1757" s="19" t="n">
        <x:f>'各站彙總來源'!I1757</x:f>
        <x:v>26</x:v>
      </x:c>
      <x:c r="J1757" s="24" t="n">
        <x:f>IFERROR('各站彙總來源'!J1757/'各站彙總來源'!K1757,"")</x:f>
        <x:v>9.346153846153847</x:v>
      </x:c>
      <x:c r="K1757" s="19" t="n">
        <x:f>'各站彙總來源'!K1757</x:f>
        <x:v>26</x:v>
      </x:c>
      <x:c r="L1757" s="24" t="n">
        <x:f>IFERROR('各站彙總來源'!L1757/'各站彙總來源'!M1757,"")</x:f>
        <x:v>0.8461538461538461</x:v>
      </x:c>
      <x:c r="M1757" s="19" t="n">
        <x:f>'各站彙總來源'!M1757</x:f>
        <x:v>26</x:v>
      </x:c>
      <x:c r="N1757" s="24" t="n">
        <x:f>F1757+H1757</x:f>
        <x:v>9.5</x:v>
      </x:c>
      <x:c r="O1757" s="24" t="n">
        <x:f>J1757+L1757</x:f>
        <x:v>10.192307692307693</x:v>
      </x:c>
    </x:row>
    <x:row r="1758">
      <x:c r="A1758" s="22" t="str">
        <x:v>500113033</x:v>
      </x:c>
      <x:c r="B1758" s="17" t="str">
        <x:v>萬華區</x:v>
      </x:c>
      <x:c r="C1758" s="17" t="str">
        <x:v>萬華青年公宅</x:v>
      </x:c>
      <x:c r="D1758" s="18" t="n">
        <x:v>26</x:v>
      </x:c>
      <x:c r="E1758" s="18" t="n">
        <x:v>26</x:v>
      </x:c>
      <x:c r="F1758" s="24" t="n">
        <x:f>IFERROR('各站彙總來源'!F1758/'各站彙總來源'!G1758,"")</x:f>
        <x:v>16.23076923076923</x:v>
      </x:c>
      <x:c r="G1758" s="19" t="n">
        <x:f>'各站彙總來源'!G1758</x:f>
        <x:v>26</x:v>
      </x:c>
      <x:c r="H1758" s="24" t="n">
        <x:f>IFERROR('各站彙總來源'!H1758/'各站彙總來源'!I1758,"")</x:f>
        <x:v>1.2692307692307692</x:v>
      </x:c>
      <x:c r="I1758" s="19" t="n">
        <x:f>'各站彙總來源'!I1758</x:f>
        <x:v>26</x:v>
      </x:c>
      <x:c r="J1758" s="24" t="n">
        <x:f>IFERROR('各站彙總來源'!J1758/'各站彙總來源'!K1758,"")</x:f>
        <x:v>2.8461538461538463</x:v>
      </x:c>
      <x:c r="K1758" s="19" t="n">
        <x:f>'各站彙總來源'!K1758</x:f>
        <x:v>26</x:v>
      </x:c>
      <x:c r="L1758" s="24" t="n">
        <x:f>IFERROR('各站彙總來源'!L1758/'各站彙總來源'!M1758,"")</x:f>
        <x:v>0.5769230769230769</x:v>
      </x:c>
      <x:c r="M1758" s="19" t="n">
        <x:f>'各站彙總來源'!M1758</x:f>
        <x:v>26</x:v>
      </x:c>
      <x:c r="N1758" s="24" t="n">
        <x:f>F1758+H1758</x:f>
        <x:v>17.5</x:v>
      </x:c>
      <x:c r="O1758" s="24" t="n">
        <x:f>J1758+L1758</x:f>
        <x:v>3.4230769230769234</x:v>
      </x:c>
    </x:row>
    <x:row r="1759">
      <x:c r="A1759" s="22" t="str">
        <x:v>500113034</x:v>
      </x:c>
      <x:c r="B1759" s="17" t="str">
        <x:v>萬華區</x:v>
      </x:c>
      <x:c r="C1759" s="17" t="str">
        <x:v>開封西寧路口</x:v>
      </x:c>
      <x:c r="D1759" s="18" t="n">
        <x:v>26</x:v>
      </x:c>
      <x:c r="E1759" s="18" t="n">
        <x:v>26</x:v>
      </x:c>
      <x:c r="F1759" s="24" t="n">
        <x:f>IFERROR('各站彙總來源'!F1759/'各站彙總來源'!G1759,"")</x:f>
        <x:v>37.80769230769231</x:v>
      </x:c>
      <x:c r="G1759" s="19" t="n">
        <x:f>'各站彙總來源'!G1759</x:f>
        <x:v>26</x:v>
      </x:c>
      <x:c r="H1759" s="24" t="n">
        <x:f>IFERROR('各站彙總來源'!H1759/'各站彙總來源'!I1759,"")</x:f>
        <x:v>2.1923076923076925</x:v>
      </x:c>
      <x:c r="I1759" s="19" t="n">
        <x:f>'各站彙總來源'!I1759</x:f>
        <x:v>26</x:v>
      </x:c>
      <x:c r="J1759" s="24" t="n">
        <x:f>IFERROR('各站彙總來源'!J1759/'各站彙總來源'!K1759,"")</x:f>
        <x:v>19.384615384615383</x:v>
      </x:c>
      <x:c r="K1759" s="19" t="n">
        <x:f>'各站彙總來源'!K1759</x:f>
        <x:v>26</x:v>
      </x:c>
      <x:c r="L1759" s="24" t="n">
        <x:f>IFERROR('各站彙總來源'!L1759/'各站彙總來源'!M1759,"")</x:f>
        <x:v>3.6153846153846154</x:v>
      </x:c>
      <x:c r="M1759" s="19" t="n">
        <x:f>'各站彙總來源'!M1759</x:f>
        <x:v>26</x:v>
      </x:c>
      <x:c r="N1759" s="24" t="n">
        <x:f>F1759+H1759</x:f>
        <x:v>40</x:v>
      </x:c>
      <x:c r="O1759" s="24" t="n">
        <x:f>J1759+L1759</x:f>
        <x:v>23</x:v>
      </x:c>
    </x:row>
    <x:row r="1760">
      <x:c r="A1760" s="22" t="str">
        <x:v>500113035</x:v>
      </x:c>
      <x:c r="B1760" s="17" t="str">
        <x:v>萬華區</x:v>
      </x:c>
      <x:c r="C1760" s="17" t="str">
        <x:v>峨眉停車場</x:v>
      </x:c>
      <x:c r="D1760" s="18" t="n">
        <x:v>26</x:v>
      </x:c>
      <x:c r="E1760" s="18" t="n">
        <x:v>26</x:v>
      </x:c>
      <x:c r="F1760" s="24" t="n">
        <x:f>IFERROR('各站彙總來源'!F1760/'各站彙總來源'!G1760,"")</x:f>
        <x:v>7.461538461538462</x:v>
      </x:c>
      <x:c r="G1760" s="19" t="n">
        <x:f>'各站彙總來源'!G1760</x:f>
        <x:v>26</x:v>
      </x:c>
      <x:c r="H1760" s="24" t="n">
        <x:f>IFERROR('各站彙總來源'!H1760/'各站彙總來源'!I1760,"")</x:f>
        <x:v>1.6923076923076923</x:v>
      </x:c>
      <x:c r="I1760" s="19" t="n">
        <x:f>'各站彙總來源'!I1760</x:f>
        <x:v>26</x:v>
      </x:c>
      <x:c r="J1760" s="24" t="n">
        <x:f>IFERROR('各站彙總來源'!J1760/'各站彙總來源'!K1760,"")</x:f>
        <x:v>24.96153846153846</x:v>
      </x:c>
      <x:c r="K1760" s="19" t="n">
        <x:f>'各站彙總來源'!K1760</x:f>
        <x:v>26</x:v>
      </x:c>
      <x:c r="L1760" s="24" t="n">
        <x:f>IFERROR('各站彙總來源'!L1760/'各站彙總來源'!M1760,"")</x:f>
        <x:v>3.1538461538461537</x:v>
      </x:c>
      <x:c r="M1760" s="19" t="n">
        <x:f>'各站彙總來源'!M1760</x:f>
        <x:v>26</x:v>
      </x:c>
      <x:c r="N1760" s="24" t="n">
        <x:f>F1760+H1760</x:f>
        <x:v>9.153846153846153</x:v>
      </x:c>
      <x:c r="O1760" s="24" t="n">
        <x:f>J1760+L1760</x:f>
        <x:v>28.115384615384613</x:v>
      </x:c>
    </x:row>
    <x:row r="1761">
      <x:c r="A1761" s="22" t="str">
        <x:v>500113036</x:v>
      </x:c>
      <x:c r="B1761" s="17" t="str">
        <x:v>萬華區</x:v>
      </x:c>
      <x:c r="C1761" s="17" t="str">
        <x:v>長沙公園</x:v>
      </x:c>
      <x:c r="D1761" s="18" t="n">
        <x:v>26</x:v>
      </x:c>
      <x:c r="E1761" s="18" t="n">
        <x:v>26</x:v>
      </x:c>
      <x:c r="F1761" s="24" t="n">
        <x:f>IFERROR('各站彙總來源'!F1761/'各站彙總來源'!G1761,"")</x:f>
        <x:v>19.115384615384617</x:v>
      </x:c>
      <x:c r="G1761" s="19" t="n">
        <x:f>'各站彙總來源'!G1761</x:f>
        <x:v>26</x:v>
      </x:c>
      <x:c r="H1761" s="24" t="n">
        <x:f>IFERROR('各站彙總來源'!H1761/'各站彙總來源'!I1761,"")</x:f>
        <x:v>3.1153846153846154</x:v>
      </x:c>
      <x:c r="I1761" s="19" t="n">
        <x:f>'各站彙總來源'!I1761</x:f>
        <x:v>26</x:v>
      </x:c>
      <x:c r="J1761" s="24" t="n">
        <x:f>IFERROR('各站彙總來源'!J1761/'各站彙總來源'!K1761,"")</x:f>
        <x:v>4.153846153846154</x:v>
      </x:c>
      <x:c r="K1761" s="19" t="n">
        <x:f>'各站彙總來源'!K1761</x:f>
        <x:v>26</x:v>
      </x:c>
      <x:c r="L1761" s="24" t="n">
        <x:f>IFERROR('各站彙總來源'!L1761/'各站彙總來源'!M1761,"")</x:f>
        <x:v>1.1153846153846154</x:v>
      </x:c>
      <x:c r="M1761" s="19" t="n">
        <x:f>'各站彙總來源'!M1761</x:f>
        <x:v>26</x:v>
      </x:c>
      <x:c r="N1761" s="24" t="n">
        <x:f>F1761+H1761</x:f>
        <x:v>22.230769230769234</x:v>
      </x:c>
      <x:c r="O1761" s="24" t="n">
        <x:f>J1761+L1761</x:f>
        <x:v>5.26923076923077</x:v>
      </x:c>
    </x:row>
    <x:row r="1762">
      <x:c r="A1762" s="22" t="str">
        <x:v>500113037</x:v>
      </x:c>
      <x:c r="B1762" s="17" t="str">
        <x:v>萬華區</x:v>
      </x:c>
      <x:c r="C1762" s="17" t="str">
        <x:v>貓公園(中興橋頭)</x:v>
      </x:c>
      <x:c r="D1762" s="18" t="n">
        <x:v>26</x:v>
      </x:c>
      <x:c r="E1762" s="18" t="n">
        <x:v>26</x:v>
      </x:c>
      <x:c r="F1762" s="24" t="n">
        <x:f>IFERROR('各站彙總來源'!F1762/'各站彙總來源'!G1762,"")</x:f>
        <x:v>13.884615384615385</x:v>
      </x:c>
      <x:c r="G1762" s="19" t="n">
        <x:f>'各站彙總來源'!G1762</x:f>
        <x:v>26</x:v>
      </x:c>
      <x:c r="H1762" s="24" t="n">
        <x:f>IFERROR('各站彙總來源'!H1762/'各站彙總來源'!I1762,"")</x:f>
        <x:v>1.5769230769230769</x:v>
      </x:c>
      <x:c r="I1762" s="19" t="n">
        <x:f>'各站彙總來源'!I1762</x:f>
        <x:v>26</x:v>
      </x:c>
      <x:c r="J1762" s="24" t="n">
        <x:f>IFERROR('各站彙總來源'!J1762/'各站彙總來源'!K1762,"")</x:f>
        <x:v>4.576923076923077</x:v>
      </x:c>
      <x:c r="K1762" s="19" t="n">
        <x:f>'各站彙總來源'!K1762</x:f>
        <x:v>26</x:v>
      </x:c>
      <x:c r="L1762" s="24" t="n">
        <x:f>IFERROR('各站彙總來源'!L1762/'各站彙總來源'!M1762,"")</x:f>
        <x:v>0.8461538461538461</x:v>
      </x:c>
      <x:c r="M1762" s="19" t="n">
        <x:f>'各站彙總來源'!M1762</x:f>
        <x:v>26</x:v>
      </x:c>
      <x:c r="N1762" s="24" t="n">
        <x:f>F1762+H1762</x:f>
        <x:v>15.461538461538462</x:v>
      </x:c>
      <x:c r="O1762" s="24" t="n">
        <x:f>J1762+L1762</x:f>
        <x:v>5.4230769230769225</x:v>
      </x:c>
    </x:row>
    <x:row r="1763">
      <x:c r="A1763" s="22" t="str">
        <x:v>500113038</x:v>
      </x:c>
      <x:c r="B1763" s="17" t="str">
        <x:v>萬華區</x:v>
      </x:c>
      <x:c r="C1763" s="17" t="str">
        <x:v>西本願寺廣場</x:v>
      </x:c>
      <x:c r="D1763" s="18" t="n">
        <x:v>26</x:v>
      </x:c>
      <x:c r="E1763" s="18" t="n">
        <x:v>26</x:v>
      </x:c>
      <x:c r="F1763" s="24" t="n">
        <x:f>IFERROR('各站彙總來源'!F1763/'各站彙總來源'!G1763,"")</x:f>
        <x:v>18.153846153846153</x:v>
      </x:c>
      <x:c r="G1763" s="19" t="n">
        <x:f>'各站彙總來源'!G1763</x:f>
        <x:v>26</x:v>
      </x:c>
      <x:c r="H1763" s="24" t="n">
        <x:f>IFERROR('各站彙總來源'!H1763/'各站彙總來源'!I1763,"")</x:f>
        <x:v>2.730769230769231</x:v>
      </x:c>
      <x:c r="I1763" s="19" t="n">
        <x:f>'各站彙總來源'!I1763</x:f>
        <x:v>26</x:v>
      </x:c>
      <x:c r="J1763" s="24" t="n">
        <x:f>IFERROR('各站彙總來源'!J1763/'各站彙總來源'!K1763,"")</x:f>
        <x:v>30.73076923076923</x:v>
      </x:c>
      <x:c r="K1763" s="19" t="n">
        <x:f>'各站彙總來源'!K1763</x:f>
        <x:v>26</x:v>
      </x:c>
      <x:c r="L1763" s="24" t="n">
        <x:f>IFERROR('各站彙總來源'!L1763/'各站彙總來源'!M1763,"")</x:f>
        <x:v>6</x:v>
      </x:c>
      <x:c r="M1763" s="19" t="n">
        <x:f>'各站彙總來源'!M1763</x:f>
        <x:v>26</x:v>
      </x:c>
      <x:c r="N1763" s="24" t="n">
        <x:f>F1763+H1763</x:f>
        <x:v>20.884615384615383</x:v>
      </x:c>
      <x:c r="O1763" s="24" t="n">
        <x:f>J1763+L1763</x:f>
        <x:v>36.730769230769226</x:v>
      </x:c>
    </x:row>
    <x:row r="1764">
      <x:c r="A1764" s="22" t="str">
        <x:v>500113039</x:v>
      </x:c>
      <x:c r="B1764" s="17" t="str">
        <x:v>萬華區</x:v>
      </x:c>
      <x:c r="C1764" s="17" t="str">
        <x:v>中華桂林路口</x:v>
      </x:c>
      <x:c r="D1764" s="18" t="n">
        <x:v>26</x:v>
      </x:c>
      <x:c r="E1764" s="18" t="n">
        <x:v>26</x:v>
      </x:c>
      <x:c r="F1764" s="24" t="n">
        <x:f>IFERROR('各站彙總來源'!F1764/'各站彙總來源'!G1764,"")</x:f>
        <x:v>15.076923076923077</x:v>
      </x:c>
      <x:c r="G1764" s="19" t="n">
        <x:f>'各站彙總來源'!G1764</x:f>
        <x:v>26</x:v>
      </x:c>
      <x:c r="H1764" s="24" t="n">
        <x:f>IFERROR('各站彙總來源'!H1764/'各站彙總來源'!I1764,"")</x:f>
        <x:v>2.769230769230769</x:v>
      </x:c>
      <x:c r="I1764" s="19" t="n">
        <x:f>'各站彙總來源'!I1764</x:f>
        <x:v>26</x:v>
      </x:c>
      <x:c r="J1764" s="24" t="n">
        <x:f>IFERROR('各站彙總來源'!J1764/'各站彙總來源'!K1764,"")</x:f>
        <x:v>10.307692307692308</x:v>
      </x:c>
      <x:c r="K1764" s="19" t="n">
        <x:f>'各站彙總來源'!K1764</x:f>
        <x:v>26</x:v>
      </x:c>
      <x:c r="L1764" s="24" t="n">
        <x:f>IFERROR('各站彙總來源'!L1764/'各站彙總來源'!M1764,"")</x:f>
        <x:v>2.269230769230769</x:v>
      </x:c>
      <x:c r="M1764" s="19" t="n">
        <x:f>'各站彙總來源'!M1764</x:f>
        <x:v>26</x:v>
      </x:c>
      <x:c r="N1764" s="24" t="n">
        <x:f>F1764+H1764</x:f>
        <x:v>17.846153846153847</x:v>
      </x:c>
      <x:c r="O1764" s="24" t="n">
        <x:f>J1764+L1764</x:f>
        <x:v>12.576923076923077</x:v>
      </x:c>
    </x:row>
    <x:row r="1765">
      <x:c r="A1765" s="22" t="str">
        <x:v>500113040</x:v>
      </x:c>
      <x:c r="B1765" s="17" t="str">
        <x:v>萬華區</x:v>
      </x:c>
      <x:c r="C1765" s="17" t="str">
        <x:v>捷運龍山寺站(1號出口)</x:v>
      </x:c>
      <x:c r="D1765" s="18" t="n">
        <x:v>26</x:v>
      </x:c>
      <x:c r="E1765" s="18" t="n">
        <x:v>26</x:v>
      </x:c>
      <x:c r="F1765" s="24" t="n">
        <x:f>IFERROR('各站彙總來源'!F1765/'各站彙總來源'!G1765,"")</x:f>
        <x:v>0</x:v>
      </x:c>
      <x:c r="G1765" s="19" t="n">
        <x:f>'各站彙總來源'!G1765</x:f>
        <x:v>26</x:v>
      </x:c>
      <x:c r="H1765" s="24" t="n">
        <x:f>IFERROR('各站彙總來源'!H1765/'各站彙總來源'!I1765,"")</x:f>
        <x:v>0</x:v>
      </x:c>
      <x:c r="I1765" s="19" t="n">
        <x:f>'各站彙總來源'!I1765</x:f>
        <x:v>26</x:v>
      </x:c>
      <x:c r="J1765" s="24" t="n">
        <x:f>IFERROR('各站彙總來源'!J1765/'各站彙總來源'!K1765,"")</x:f>
        <x:v>0</x:v>
      </x:c>
      <x:c r="K1765" s="19" t="n">
        <x:f>'各站彙總來源'!K1765</x:f>
        <x:v>26</x:v>
      </x:c>
      <x:c r="L1765" s="24" t="n">
        <x:f>IFERROR('各站彙總來源'!L1765/'各站彙總來源'!M1765,"")</x:f>
        <x:v>0</x:v>
      </x:c>
      <x:c r="M1765" s="19" t="n">
        <x:f>'各站彙總來源'!M1765</x:f>
        <x:v>26</x:v>
      </x:c>
      <x:c r="N1765" s="24" t="n">
        <x:f>F1765+H1765</x:f>
        <x:v>0</x:v>
      </x:c>
      <x:c r="O1765" s="24" t="n">
        <x:f>J1765+L1765</x:f>
        <x:v>0</x:v>
      </x:c>
    </x:row>
    <x:row r="1766">
      <x:c r="A1766" s="22" t="str">
        <x:v>500113041</x:v>
      </x:c>
      <x:c r="B1766" s="17" t="str">
        <x:v>萬華區</x:v>
      </x:c>
      <x:c r="C1766" s="17" t="str">
        <x:v>龍山國小</x:v>
      </x:c>
      <x:c r="D1766" s="18" t="n">
        <x:v>26</x:v>
      </x:c>
      <x:c r="E1766" s="18" t="n">
        <x:v>26</x:v>
      </x:c>
      <x:c r="F1766" s="24" t="n">
        <x:f>IFERROR('各站彙總來源'!F1766/'各站彙總來源'!G1766,"")</x:f>
        <x:v>9.384615384615385</x:v>
      </x:c>
      <x:c r="G1766" s="19" t="n">
        <x:f>'各站彙總來源'!G1766</x:f>
        <x:v>26</x:v>
      </x:c>
      <x:c r="H1766" s="24" t="n">
        <x:f>IFERROR('各站彙總來源'!H1766/'各站彙總來源'!I1766,"")</x:f>
        <x:v>1.6923076923076923</x:v>
      </x:c>
      <x:c r="I1766" s="19" t="n">
        <x:f>'各站彙總來源'!I1766</x:f>
        <x:v>26</x:v>
      </x:c>
      <x:c r="J1766" s="24" t="n">
        <x:f>IFERROR('各站彙總來源'!J1766/'各站彙總來源'!K1766,"")</x:f>
        <x:v>11.807692307692308</x:v>
      </x:c>
      <x:c r="K1766" s="19" t="n">
        <x:f>'各站彙總來源'!K1766</x:f>
        <x:v>26</x:v>
      </x:c>
      <x:c r="L1766" s="24" t="n">
        <x:f>IFERROR('各站彙總來源'!L1766/'各站彙總來源'!M1766,"")</x:f>
        <x:v>1.3846153846153846</x:v>
      </x:c>
      <x:c r="M1766" s="19" t="n">
        <x:f>'各站彙總來源'!M1766</x:f>
        <x:v>26</x:v>
      </x:c>
      <x:c r="N1766" s="24" t="n">
        <x:f>F1766+H1766</x:f>
        <x:v>11.076923076923077</x:v>
      </x:c>
      <x:c r="O1766" s="24" t="n">
        <x:f>J1766+L1766</x:f>
        <x:v>13.192307692307693</x:v>
      </x:c>
    </x:row>
    <x:row r="1767">
      <x:c r="A1767" s="22" t="str">
        <x:v>500113042</x:v>
      </x:c>
      <x:c r="B1767" s="17" t="str">
        <x:v>萬華區</x:v>
      </x:c>
      <x:c r="C1767" s="17" t="str">
        <x:v>華西公園</x:v>
      </x:c>
      <x:c r="D1767" s="18" t="n">
        <x:v>26</x:v>
      </x:c>
      <x:c r="E1767" s="18" t="n">
        <x:v>26</x:v>
      </x:c>
      <x:c r="F1767" s="24" t="n">
        <x:f>IFERROR('各站彙總來源'!F1767/'各站彙總來源'!G1767,"")</x:f>
        <x:v>57</x:v>
      </x:c>
      <x:c r="G1767" s="19" t="n">
        <x:f>'各站彙總來源'!G1767</x:f>
        <x:v>26</x:v>
      </x:c>
      <x:c r="H1767" s="24" t="n">
        <x:f>IFERROR('各站彙總來源'!H1767/'各站彙總來源'!I1767,"")</x:f>
        <x:v>2.230769230769231</x:v>
      </x:c>
      <x:c r="I1767" s="19" t="n">
        <x:f>'各站彙總來源'!I1767</x:f>
        <x:v>26</x:v>
      </x:c>
      <x:c r="J1767" s="24" t="n">
        <x:f>IFERROR('各站彙總來源'!J1767/'各站彙總來源'!K1767,"")</x:f>
        <x:v>18</x:v>
      </x:c>
      <x:c r="K1767" s="19" t="n">
        <x:f>'各站彙總來源'!K1767</x:f>
        <x:v>26</x:v>
      </x:c>
      <x:c r="L1767" s="24" t="n">
        <x:f>IFERROR('各站彙總來源'!L1767/'各站彙總來源'!M1767,"")</x:f>
        <x:v>3.3461538461538463</x:v>
      </x:c>
      <x:c r="M1767" s="19" t="n">
        <x:f>'各站彙總來源'!M1767</x:f>
        <x:v>26</x:v>
      </x:c>
      <x:c r="N1767" s="24" t="n">
        <x:f>F1767+H1767</x:f>
        <x:v>59.23076923076923</x:v>
      </x:c>
      <x:c r="O1767" s="24" t="n">
        <x:f>J1767+L1767</x:f>
        <x:v>21.346153846153847</x:v>
      </x:c>
    </x:row>
    <x:row r="1768">
      <x:c r="A1768" s="22" t="str">
        <x:v>500113043</x:v>
      </x:c>
      <x:c r="B1768" s="17" t="str">
        <x:v>萬華區</x:v>
      </x:c>
      <x:c r="C1768" s="17" t="str">
        <x:v>老松國小</x:v>
      </x:c>
      <x:c r="D1768" s="18" t="n">
        <x:v>26</x:v>
      </x:c>
      <x:c r="E1768" s="18" t="n">
        <x:v>26</x:v>
      </x:c>
      <x:c r="F1768" s="24" t="n">
        <x:f>IFERROR('各站彙總來源'!F1768/'各站彙總來源'!G1768,"")</x:f>
        <x:v>36.38461538461539</x:v>
      </x:c>
      <x:c r="G1768" s="19" t="n">
        <x:f>'各站彙總來源'!G1768</x:f>
        <x:v>26</x:v>
      </x:c>
      <x:c r="H1768" s="24" t="n">
        <x:f>IFERROR('各站彙總來源'!H1768/'各站彙總來源'!I1768,"")</x:f>
        <x:v>2.9615384615384617</x:v>
      </x:c>
      <x:c r="I1768" s="19" t="n">
        <x:f>'各站彙總來源'!I1768</x:f>
        <x:v>26</x:v>
      </x:c>
      <x:c r="J1768" s="24" t="n">
        <x:f>IFERROR('各站彙總來源'!J1768/'各站彙總來源'!K1768,"")</x:f>
        <x:v>11.538461538461538</x:v>
      </x:c>
      <x:c r="K1768" s="19" t="n">
        <x:f>'各站彙總來源'!K1768</x:f>
        <x:v>26</x:v>
      </x:c>
      <x:c r="L1768" s="24" t="n">
        <x:f>IFERROR('各站彙總來源'!L1768/'各站彙總來源'!M1768,"")</x:f>
        <x:v>2.8461538461538463</x:v>
      </x:c>
      <x:c r="M1768" s="19" t="n">
        <x:f>'各站彙總來源'!M1768</x:f>
        <x:v>26</x:v>
      </x:c>
      <x:c r="N1768" s="24" t="n">
        <x:f>F1768+H1768</x:f>
        <x:v>39.34615384615385</x:v>
      </x:c>
      <x:c r="O1768" s="24" t="n">
        <x:f>J1768+L1768</x:f>
        <x:v>14.384615384615385</x:v>
      </x:c>
    </x:row>
    <x:row r="1769">
      <x:c r="A1769" s="22" t="str">
        <x:v>500113044</x:v>
      </x:c>
      <x:c r="B1769" s="17" t="str">
        <x:v>萬華區</x:v>
      </x:c>
      <x:c r="C1769" s="17" t="str">
        <x:v>萬華火車站</x:v>
      </x:c>
      <x:c r="D1769" s="18" t="n">
        <x:v>26</x:v>
      </x:c>
      <x:c r="E1769" s="18" t="n">
        <x:v>26</x:v>
      </x:c>
      <x:c r="F1769" s="24" t="n">
        <x:f>IFERROR('各站彙總來源'!F1769/'各站彙總來源'!G1769,"")</x:f>
        <x:v>27.5</x:v>
      </x:c>
      <x:c r="G1769" s="19" t="n">
        <x:f>'各站彙總來源'!G1769</x:f>
        <x:v>26</x:v>
      </x:c>
      <x:c r="H1769" s="24" t="n">
        <x:f>IFERROR('各站彙總來源'!H1769/'各站彙總來源'!I1769,"")</x:f>
        <x:v>2.769230769230769</x:v>
      </x:c>
      <x:c r="I1769" s="19" t="n">
        <x:f>'各站彙總來源'!I1769</x:f>
        <x:v>26</x:v>
      </x:c>
      <x:c r="J1769" s="24" t="n">
        <x:f>IFERROR('各站彙總來源'!J1769/'各站彙總來源'!K1769,"")</x:f>
        <x:v>11.653846153846153</x:v>
      </x:c>
      <x:c r="K1769" s="19" t="n">
        <x:f>'各站彙總來源'!K1769</x:f>
        <x:v>26</x:v>
      </x:c>
      <x:c r="L1769" s="24" t="n">
        <x:f>IFERROR('各站彙總來源'!L1769/'各站彙總來源'!M1769,"")</x:f>
        <x:v>2.6923076923076925</x:v>
      </x:c>
      <x:c r="M1769" s="19" t="n">
        <x:f>'各站彙總來源'!M1769</x:f>
        <x:v>26</x:v>
      </x:c>
      <x:c r="N1769" s="24" t="n">
        <x:f>F1769+H1769</x:f>
        <x:v>30.26923076923077</x:v>
      </x:c>
      <x:c r="O1769" s="24" t="n">
        <x:f>J1769+L1769</x:f>
        <x:v>14.346153846153847</x:v>
      </x:c>
    </x:row>
    <x:row r="1770">
      <x:c r="A1770" s="22" t="str">
        <x:v>500113045</x:v>
      </x:c>
      <x:c r="B1770" s="17" t="str">
        <x:v>萬華區</x:v>
      </x:c>
      <x:c r="C1770" s="17" t="str">
        <x:v>萬華火車站(D2廣場)</x:v>
      </x:c>
      <x:c r="D1770" s="18" t="n">
        <x:v>26</x:v>
      </x:c>
      <x:c r="E1770" s="18" t="n">
        <x:v>26</x:v>
      </x:c>
      <x:c r="F1770" s="24" t="n">
        <x:f>IFERROR('各站彙總來源'!F1770/'各站彙總來源'!G1770,"")</x:f>
        <x:v>9.307692307692308</x:v>
      </x:c>
      <x:c r="G1770" s="19" t="n">
        <x:f>'各站彙總來源'!G1770</x:f>
        <x:v>26</x:v>
      </x:c>
      <x:c r="H1770" s="24" t="n">
        <x:f>IFERROR('各站彙總來源'!H1770/'各站彙總來源'!I1770,"")</x:f>
        <x:v>1.5</x:v>
      </x:c>
      <x:c r="I1770" s="19" t="n">
        <x:f>'各站彙總來源'!I1770</x:f>
        <x:v>26</x:v>
      </x:c>
      <x:c r="J1770" s="24" t="n">
        <x:f>IFERROR('各站彙總來源'!J1770/'各站彙總來源'!K1770,"")</x:f>
        <x:v>4.8076923076923075</x:v>
      </x:c>
      <x:c r="K1770" s="19" t="n">
        <x:f>'各站彙總來源'!K1770</x:f>
        <x:v>26</x:v>
      </x:c>
      <x:c r="L1770" s="24" t="n">
        <x:f>IFERROR('各站彙總來源'!L1770/'各站彙總來源'!M1770,"")</x:f>
        <x:v>0.9615384615384616</x:v>
      </x:c>
      <x:c r="M1770" s="19" t="n">
        <x:f>'各站彙總來源'!M1770</x:f>
        <x:v>26</x:v>
      </x:c>
      <x:c r="N1770" s="24" t="n">
        <x:f>F1770+H1770</x:f>
        <x:v>10.807692307692308</x:v>
      </x:c>
      <x:c r="O1770" s="24" t="n">
        <x:f>J1770+L1770</x:f>
        <x:v>5.769230769230769</x:v>
      </x:c>
    </x:row>
    <x:row r="1771">
      <x:c r="A1771" s="22" t="str">
        <x:v>500113046</x:v>
      </x:c>
      <x:c r="B1771" s="17" t="str">
        <x:v>萬華區</x:v>
      </x:c>
      <x:c r="C1771" s="17" t="str">
        <x:v>捷運龍山寺站(3號出口)</x:v>
      </x:c>
      <x:c r="D1771" s="18" t="n">
        <x:v>26</x:v>
      </x:c>
      <x:c r="E1771" s="18" t="n">
        <x:v>26</x:v>
      </x:c>
      <x:c r="F1771" s="24" t="n">
        <x:f>IFERROR('各站彙總來源'!F1771/'各站彙總來源'!G1771,"")</x:f>
        <x:v>11.73076923076923</x:v>
      </x:c>
      <x:c r="G1771" s="19" t="n">
        <x:f>'各站彙總來源'!G1771</x:f>
        <x:v>26</x:v>
      </x:c>
      <x:c r="H1771" s="24" t="n">
        <x:f>IFERROR('各站彙總來源'!H1771/'各站彙總來源'!I1771,"")</x:f>
        <x:v>2.1538461538461537</x:v>
      </x:c>
      <x:c r="I1771" s="19" t="n">
        <x:f>'各站彙總來源'!I1771</x:f>
        <x:v>26</x:v>
      </x:c>
      <x:c r="J1771" s="24" t="n">
        <x:f>IFERROR('各站彙總來源'!J1771/'各站彙總來源'!K1771,"")</x:f>
        <x:v>14.346153846153847</x:v>
      </x:c>
      <x:c r="K1771" s="19" t="n">
        <x:f>'各站彙總來源'!K1771</x:f>
        <x:v>26</x:v>
      </x:c>
      <x:c r="L1771" s="24" t="n">
        <x:f>IFERROR('各站彙總來源'!L1771/'各站彙總來源'!M1771,"")</x:f>
        <x:v>1.9615384615384615</x:v>
      </x:c>
      <x:c r="M1771" s="19" t="n">
        <x:f>'各站彙總來源'!M1771</x:f>
        <x:v>26</x:v>
      </x:c>
      <x:c r="N1771" s="24" t="n">
        <x:f>F1771+H1771</x:f>
        <x:v>13.884615384615383</x:v>
      </x:c>
      <x:c r="O1771" s="24" t="n">
        <x:f>J1771+L1771</x:f>
        <x:v>16.307692307692307</x:v>
      </x:c>
    </x:row>
    <x:row r="1772">
      <x:c r="A1772" s="22" t="str">
        <x:v>500113047</x:v>
      </x:c>
      <x:c r="B1772" s="17" t="str">
        <x:v>萬華區</x:v>
      </x:c>
      <x:c r="C1772" s="17" t="str">
        <x:v>臺北市電影主題公園(峨眉街)</x:v>
      </x:c>
      <x:c r="D1772" s="18" t="n">
        <x:v>26</x:v>
      </x:c>
      <x:c r="E1772" s="18" t="n">
        <x:v>26</x:v>
      </x:c>
      <x:c r="F1772" s="24" t="n">
        <x:f>IFERROR('各站彙總來源'!F1772/'各站彙總來源'!G1772,"")</x:f>
        <x:v>9</x:v>
      </x:c>
      <x:c r="G1772" s="19" t="n">
        <x:f>'各站彙總來源'!G1772</x:f>
        <x:v>26</x:v>
      </x:c>
      <x:c r="H1772" s="24" t="n">
        <x:f>IFERROR('各站彙總來源'!H1772/'各站彙總來源'!I1772,"")</x:f>
        <x:v>0.5769230769230769</x:v>
      </x:c>
      <x:c r="I1772" s="19" t="n">
        <x:f>'各站彙總來源'!I1772</x:f>
        <x:v>26</x:v>
      </x:c>
      <x:c r="J1772" s="24" t="n">
        <x:f>IFERROR('各站彙總來源'!J1772/'各站彙總來源'!K1772,"")</x:f>
        <x:v>6.423076923076923</x:v>
      </x:c>
      <x:c r="K1772" s="19" t="n">
        <x:f>'各站彙總來源'!K1772</x:f>
        <x:v>26</x:v>
      </x:c>
      <x:c r="L1772" s="24" t="n">
        <x:f>IFERROR('各站彙總來源'!L1772/'各站彙總來源'!M1772,"")</x:f>
        <x:v>1.1923076923076923</x:v>
      </x:c>
      <x:c r="M1772" s="19" t="n">
        <x:f>'各站彙總來源'!M1772</x:f>
        <x:v>26</x:v>
      </x:c>
      <x:c r="N1772" s="24" t="n">
        <x:f>F1772+H1772</x:f>
        <x:v>9.576923076923077</x:v>
      </x:c>
      <x:c r="O1772" s="24" t="n">
        <x:f>J1772+L1772</x:f>
        <x:v>7.615384615384616</x:v>
      </x:c>
    </x:row>
    <x:row r="1773">
      <x:c r="A1773" s="22" t="str">
        <x:v>500113048</x:v>
      </x:c>
      <x:c r="B1773" s="17" t="str">
        <x:v>萬華區</x:v>
      </x:c>
      <x:c r="C1773" s="17" t="str">
        <x:v>臺北市電影主題公園(康定路)</x:v>
      </x:c>
      <x:c r="D1773" s="18" t="n">
        <x:v>26</x:v>
      </x:c>
      <x:c r="E1773" s="18" t="n">
        <x:v>26</x:v>
      </x:c>
      <x:c r="F1773" s="24" t="n">
        <x:f>IFERROR('各站彙總來源'!F1773/'各站彙總來源'!G1773,"")</x:f>
        <x:v>10.26923076923077</x:v>
      </x:c>
      <x:c r="G1773" s="19" t="n">
        <x:f>'各站彙總來源'!G1773</x:f>
        <x:v>26</x:v>
      </x:c>
      <x:c r="H1773" s="24" t="n">
        <x:f>IFERROR('各站彙總來源'!H1773/'各站彙總來源'!I1773,"")</x:f>
        <x:v>1</x:v>
      </x:c>
      <x:c r="I1773" s="19" t="n">
        <x:f>'各站彙總來源'!I1773</x:f>
        <x:v>26</x:v>
      </x:c>
      <x:c r="J1773" s="24" t="n">
        <x:f>IFERROR('各站彙總來源'!J1773/'各站彙總來源'!K1773,"")</x:f>
        <x:v>5.1923076923076925</x:v>
      </x:c>
      <x:c r="K1773" s="19" t="n">
        <x:f>'各站彙總來源'!K1773</x:f>
        <x:v>26</x:v>
      </x:c>
      <x:c r="L1773" s="24" t="n">
        <x:f>IFERROR('各站彙總來源'!L1773/'各站彙總來源'!M1773,"")</x:f>
        <x:v>0.9615384615384616</x:v>
      </x:c>
      <x:c r="M1773" s="19" t="n">
        <x:f>'各站彙總來源'!M1773</x:f>
        <x:v>26</x:v>
      </x:c>
      <x:c r="N1773" s="24" t="n">
        <x:f>F1773+H1773</x:f>
        <x:v>11.26923076923077</x:v>
      </x:c>
      <x:c r="O1773" s="24" t="n">
        <x:f>J1773+L1773</x:f>
        <x:v>6.153846153846154</x:v>
      </x:c>
    </x:row>
    <x:row r="1774">
      <x:c r="A1774" s="22" t="str">
        <x:v>500113049</x:v>
      </x:c>
      <x:c r="B1774" s="17" t="str">
        <x:v>萬華區</x:v>
      </x:c>
      <x:c r="C1774" s="17" t="str">
        <x:v>中華峨眉街口</x:v>
      </x:c>
      <x:c r="D1774" s="18" t="n">
        <x:v>26</x:v>
      </x:c>
      <x:c r="E1774" s="18" t="n">
        <x:v>26</x:v>
      </x:c>
      <x:c r="F1774" s="24" t="n">
        <x:f>IFERROR('各站彙總來源'!F1774/'各站彙總來源'!G1774,"")</x:f>
        <x:v>7.346153846153846</x:v>
      </x:c>
      <x:c r="G1774" s="19" t="n">
        <x:f>'各站彙總來源'!G1774</x:f>
        <x:v>26</x:v>
      </x:c>
      <x:c r="H1774" s="24" t="n">
        <x:f>IFERROR('各站彙總來源'!H1774/'各站彙總來源'!I1774,"")</x:f>
        <x:v>2.0384615384615383</x:v>
      </x:c>
      <x:c r="I1774" s="19" t="n">
        <x:f>'各站彙總來源'!I1774</x:f>
        <x:v>26</x:v>
      </x:c>
      <x:c r="J1774" s="24" t="n">
        <x:f>IFERROR('各站彙總來源'!J1774/'各站彙總來源'!K1774,"")</x:f>
        <x:v>10.538461538461538</x:v>
      </x:c>
      <x:c r="K1774" s="19" t="n">
        <x:f>'各站彙總來源'!K1774</x:f>
        <x:v>26</x:v>
      </x:c>
      <x:c r="L1774" s="24" t="n">
        <x:f>IFERROR('各站彙總來源'!L1774/'各站彙總來源'!M1774,"")</x:f>
        <x:v>2.8461538461538463</x:v>
      </x:c>
      <x:c r="M1774" s="19" t="n">
        <x:f>'各站彙總來源'!M1774</x:f>
        <x:v>26</x:v>
      </x:c>
      <x:c r="N1774" s="24" t="n">
        <x:f>F1774+H1774</x:f>
        <x:v>9.384615384615383</x:v>
      </x:c>
      <x:c r="O1774" s="24" t="n">
        <x:f>J1774+L1774</x:f>
        <x:v>13.384615384615385</x:v>
      </x:c>
    </x:row>
    <x:row r="1775">
      <x:c r="A1775" s="22" t="str">
        <x:v>500113050</x:v>
      </x:c>
      <x:c r="B1775" s="17" t="str">
        <x:v>萬華區</x:v>
      </x:c>
      <x:c r="C1775" s="17" t="str">
        <x:v>萬華266號綠地</x:v>
      </x:c>
      <x:c r="D1775" s="18" t="n">
        <x:v>26</x:v>
      </x:c>
      <x:c r="E1775" s="18" t="n">
        <x:v>26</x:v>
      </x:c>
      <x:c r="F1775" s="24" t="n">
        <x:f>IFERROR('各站彙總來源'!F1775/'各站彙總來源'!G1775,"")</x:f>
        <x:v>18.23076923076923</x:v>
      </x:c>
      <x:c r="G1775" s="19" t="n">
        <x:f>'各站彙總來源'!G1775</x:f>
        <x:v>26</x:v>
      </x:c>
      <x:c r="H1775" s="24" t="n">
        <x:f>IFERROR('各站彙總來源'!H1775/'各站彙總來源'!I1775,"")</x:f>
        <x:v>1.5384615384615385</x:v>
      </x:c>
      <x:c r="I1775" s="19" t="n">
        <x:f>'各站彙總來源'!I1775</x:f>
        <x:v>26</x:v>
      </x:c>
      <x:c r="J1775" s="24" t="n">
        <x:f>IFERROR('各站彙總來源'!J1775/'各站彙總來源'!K1775,"")</x:f>
        <x:v>3.9615384615384617</x:v>
      </x:c>
      <x:c r="K1775" s="19" t="n">
        <x:f>'各站彙總來源'!K1775</x:f>
        <x:v>26</x:v>
      </x:c>
      <x:c r="L1775" s="24" t="n">
        <x:f>IFERROR('各站彙總來源'!L1775/'各站彙總來源'!M1775,"")</x:f>
        <x:v>1.4615384615384615</x:v>
      </x:c>
      <x:c r="M1775" s="19" t="n">
        <x:f>'各站彙總來源'!M1775</x:f>
        <x:v>26</x:v>
      </x:c>
      <x:c r="N1775" s="24" t="n">
        <x:f>F1775+H1775</x:f>
        <x:v>19.76923076923077</x:v>
      </x:c>
      <x:c r="O1775" s="24" t="n">
        <x:f>J1775+L1775</x:f>
        <x:v>5.423076923076923</x:v>
      </x:c>
    </x:row>
    <x:row r="1776">
      <x:c r="A1776" s="22" t="str">
        <x:v>500113051</x:v>
      </x:c>
      <x:c r="B1776" s="17" t="str">
        <x:v>萬華區</x:v>
      </x:c>
      <x:c r="C1776" s="17" t="str">
        <x:v>萬大國小(萬大路344巷口)</x:v>
      </x:c>
      <x:c r="D1776" s="18" t="n">
        <x:v>26</x:v>
      </x:c>
      <x:c r="E1776" s="18" t="n">
        <x:v>26</x:v>
      </x:c>
      <x:c r="F1776" s="24" t="n">
        <x:f>IFERROR('各站彙總來源'!F1776/'各站彙總來源'!G1776,"")</x:f>
        <x:v>5.884615384615385</x:v>
      </x:c>
      <x:c r="G1776" s="19" t="n">
        <x:f>'各站彙總來源'!G1776</x:f>
        <x:v>26</x:v>
      </x:c>
      <x:c r="H1776" s="24" t="n">
        <x:f>IFERROR('各站彙總來源'!H1776/'各站彙總來源'!I1776,"")</x:f>
        <x:v>1.1923076923076923</x:v>
      </x:c>
      <x:c r="I1776" s="19" t="n">
        <x:f>'各站彙總來源'!I1776</x:f>
        <x:v>26</x:v>
      </x:c>
      <x:c r="J1776" s="24" t="n">
        <x:f>IFERROR('各站彙總來源'!J1776/'各站彙總來源'!K1776,"")</x:f>
        <x:v>5.3076923076923075</x:v>
      </x:c>
      <x:c r="K1776" s="19" t="n">
        <x:f>'各站彙總來源'!K1776</x:f>
        <x:v>26</x:v>
      </x:c>
      <x:c r="L1776" s="24" t="n">
        <x:f>IFERROR('各站彙總來源'!L1776/'各站彙總來源'!M1776,"")</x:f>
        <x:v>0.2692307692307692</x:v>
      </x:c>
      <x:c r="M1776" s="19" t="n">
        <x:f>'各站彙總來源'!M1776</x:f>
        <x:v>26</x:v>
      </x:c>
      <x:c r="N1776" s="24" t="n">
        <x:f>F1776+H1776</x:f>
        <x:v>7.0769230769230775</x:v>
      </x:c>
      <x:c r="O1776" s="24" t="n">
        <x:f>J1776+L1776</x:f>
        <x:v>5.576923076923077</x:v>
      </x:c>
    </x:row>
    <x:row r="1777">
      <x:c r="A1777" s="22" t="str">
        <x:v>500113052</x:v>
      </x:c>
      <x:c r="B1777" s="17" t="str">
        <x:v>萬華區</x:v>
      </x:c>
      <x:c r="C1777" s="17" t="str">
        <x:v>德昌街10巷口</x:v>
      </x:c>
      <x:c r="D1777" s="18" t="n">
        <x:v>26</x:v>
      </x:c>
      <x:c r="E1777" s="18" t="n">
        <x:v>26</x:v>
      </x:c>
      <x:c r="F1777" s="24" t="n">
        <x:f>IFERROR('各站彙總來源'!F1777/'各站彙總來源'!G1777,"")</x:f>
        <x:v>10</x:v>
      </x:c>
      <x:c r="G1777" s="19" t="n">
        <x:f>'各站彙總來源'!G1777</x:f>
        <x:v>26</x:v>
      </x:c>
      <x:c r="H1777" s="24" t="n">
        <x:f>IFERROR('各站彙總來源'!H1777/'各站彙總來源'!I1777,"")</x:f>
        <x:v>1.1923076923076923</x:v>
      </x:c>
      <x:c r="I1777" s="19" t="n">
        <x:f>'各站彙總來源'!I1777</x:f>
        <x:v>26</x:v>
      </x:c>
      <x:c r="J1777" s="24" t="n">
        <x:f>IFERROR('各站彙總來源'!J1777/'各站彙總來源'!K1777,"")</x:f>
        <x:v>4.538461538461538</x:v>
      </x:c>
      <x:c r="K1777" s="19" t="n">
        <x:f>'各站彙總來源'!K1777</x:f>
        <x:v>26</x:v>
      </x:c>
      <x:c r="L1777" s="24" t="n">
        <x:f>IFERROR('各站彙總來源'!L1777/'各站彙總來源'!M1777,"")</x:f>
        <x:v>0.7692307692307693</x:v>
      </x:c>
      <x:c r="M1777" s="19" t="n">
        <x:f>'各站彙總來源'!M1777</x:f>
        <x:v>26</x:v>
      </x:c>
      <x:c r="N1777" s="24" t="n">
        <x:f>F1777+H1777</x:f>
        <x:v>11.192307692307692</x:v>
      </x:c>
      <x:c r="O1777" s="24" t="n">
        <x:f>J1777+L1777</x:f>
        <x:v>5.3076923076923075</x:v>
      </x:c>
    </x:row>
    <x:row r="1778">
      <x:c r="A1778" s="22" t="str">
        <x:v>500113053</x:v>
      </x:c>
      <x:c r="B1778" s="17" t="str">
        <x:v>萬華區</x:v>
      </x:c>
      <x:c r="C1778" s="17" t="str">
        <x:v>環河南和平西路口</x:v>
      </x:c>
      <x:c r="D1778" s="18" t="n">
        <x:v>26</x:v>
      </x:c>
      <x:c r="E1778" s="18" t="n">
        <x:v>26</x:v>
      </x:c>
      <x:c r="F1778" s="24" t="n">
        <x:f>IFERROR('各站彙總來源'!F1778/'各站彙總來源'!G1778,"")</x:f>
        <x:v>6.961538461538462</x:v>
      </x:c>
      <x:c r="G1778" s="19" t="n">
        <x:f>'各站彙總來源'!G1778</x:f>
        <x:v>26</x:v>
      </x:c>
      <x:c r="H1778" s="24" t="n">
        <x:f>IFERROR('各站彙總來源'!H1778/'各站彙總來源'!I1778,"")</x:f>
        <x:v>0.3076923076923077</x:v>
      </x:c>
      <x:c r="I1778" s="19" t="n">
        <x:f>'各站彙總來源'!I1778</x:f>
        <x:v>26</x:v>
      </x:c>
      <x:c r="J1778" s="24" t="n">
        <x:f>IFERROR('各站彙總來源'!J1778/'各站彙總來源'!K1778,"")</x:f>
        <x:v>1.7307692307692308</x:v>
      </x:c>
      <x:c r="K1778" s="19" t="n">
        <x:f>'各站彙總來源'!K1778</x:f>
        <x:v>26</x:v>
      </x:c>
      <x:c r="L1778" s="24" t="n">
        <x:f>IFERROR('各站彙總來源'!L1778/'各站彙總來源'!M1778,"")</x:f>
        <x:v>0.19230769230769232</x:v>
      </x:c>
      <x:c r="M1778" s="19" t="n">
        <x:f>'各站彙總來源'!M1778</x:f>
        <x:v>26</x:v>
      </x:c>
      <x:c r="N1778" s="24" t="n">
        <x:f>F1778+H1778</x:f>
        <x:v>7.269230769230769</x:v>
      </x:c>
      <x:c r="O1778" s="24" t="n">
        <x:f>J1778+L1778</x:f>
        <x:v>1.9230769230769231</x:v>
      </x:c>
    </x:row>
    <x:row r="1779">
      <x:c r="A1779" s="22" t="str">
        <x:v>500113054</x:v>
      </x:c>
      <x:c r="B1779" s="17" t="str">
        <x:v>萬華區</x:v>
      </x:c>
      <x:c r="C1779" s="17" t="str">
        <x:v>長順街60巷口</x:v>
      </x:c>
      <x:c r="D1779" s="18" t="n">
        <x:v>26</x:v>
      </x:c>
      <x:c r="E1779" s="18" t="n">
        <x:v>26</x:v>
      </x:c>
      <x:c r="F1779" s="24" t="n">
        <x:f>IFERROR('各站彙總來源'!F1779/'各站彙總來源'!G1779,"")</x:f>
        <x:v>8.692307692307692</x:v>
      </x:c>
      <x:c r="G1779" s="19" t="n">
        <x:f>'各站彙總來源'!G1779</x:f>
        <x:v>26</x:v>
      </x:c>
      <x:c r="H1779" s="24" t="n">
        <x:f>IFERROR('各站彙總來源'!H1779/'各站彙總來源'!I1779,"")</x:f>
        <x:v>1.0769230769230769</x:v>
      </x:c>
      <x:c r="I1779" s="19" t="n">
        <x:f>'各站彙總來源'!I1779</x:f>
        <x:v>26</x:v>
      </x:c>
      <x:c r="J1779" s="24" t="n">
        <x:f>IFERROR('各站彙總來源'!J1779/'各站彙總來源'!K1779,"")</x:f>
        <x:v>7.730769230769231</x:v>
      </x:c>
      <x:c r="K1779" s="19" t="n">
        <x:f>'各站彙總來源'!K1779</x:f>
        <x:v>26</x:v>
      </x:c>
      <x:c r="L1779" s="24" t="n">
        <x:f>IFERROR('各站彙總來源'!L1779/'各站彙總來源'!M1779,"")</x:f>
        <x:v>0.5769230769230769</x:v>
      </x:c>
      <x:c r="M1779" s="19" t="n">
        <x:f>'各站彙總來源'!M1779</x:f>
        <x:v>26</x:v>
      </x:c>
      <x:c r="N1779" s="24" t="n">
        <x:f>F1779+H1779</x:f>
        <x:v>9.769230769230768</x:v>
      </x:c>
      <x:c r="O1779" s="24" t="n">
        <x:f>J1779+L1779</x:f>
        <x:v>8.307692307692308</x:v>
      </x:c>
    </x:row>
    <x:row r="1780">
      <x:c r="A1780" s="22" t="str">
        <x:v>500113055</x:v>
      </x:c>
      <x:c r="B1780" s="17" t="str">
        <x:v>萬華區</x:v>
      </x:c>
      <x:c r="C1780" s="17" t="str">
        <x:v>西園公園</x:v>
      </x:c>
      <x:c r="D1780" s="18" t="n">
        <x:v>26</x:v>
      </x:c>
      <x:c r="E1780" s="18" t="n">
        <x:v>26</x:v>
      </x:c>
      <x:c r="F1780" s="24" t="n">
        <x:f>IFERROR('各站彙總來源'!F1780/'各站彙總來源'!G1780,"")</x:f>
        <x:v>13.576923076923077</x:v>
      </x:c>
      <x:c r="G1780" s="19" t="n">
        <x:f>'各站彙總來源'!G1780</x:f>
        <x:v>26</x:v>
      </x:c>
      <x:c r="H1780" s="24" t="n">
        <x:f>IFERROR('各站彙總來源'!H1780/'各站彙總來源'!I1780,"")</x:f>
        <x:v>1.0384615384615385</x:v>
      </x:c>
      <x:c r="I1780" s="19" t="n">
        <x:f>'各站彙總來源'!I1780</x:f>
        <x:v>26</x:v>
      </x:c>
      <x:c r="J1780" s="24" t="n">
        <x:f>IFERROR('各站彙總來源'!J1780/'各站彙總來源'!K1780,"")</x:f>
        <x:v>5.923076923076923</x:v>
      </x:c>
      <x:c r="K1780" s="19" t="n">
        <x:f>'各站彙總來源'!K1780</x:f>
        <x:v>26</x:v>
      </x:c>
      <x:c r="L1780" s="24" t="n">
        <x:f>IFERROR('各站彙總來源'!L1780/'各站彙總來源'!M1780,"")</x:f>
        <x:v>0.8461538461538461</x:v>
      </x:c>
      <x:c r="M1780" s="19" t="n">
        <x:f>'各站彙總來源'!M1780</x:f>
        <x:v>26</x:v>
      </x:c>
      <x:c r="N1780" s="24" t="n">
        <x:f>F1780+H1780</x:f>
        <x:v>14.615384615384615</x:v>
      </x:c>
      <x:c r="O1780" s="24" t="n">
        <x:f>J1780+L1780</x:f>
        <x:v>6.769230769230769</x:v>
      </x:c>
    </x:row>
    <x:row r="1781">
      <x:c r="A1781" s="22" t="str">
        <x:v>500113056</x:v>
      </x:c>
      <x:c r="B1781" s="17" t="str">
        <x:v>萬華區</x:v>
      </x:c>
      <x:c r="C1781" s="17" t="str">
        <x:v>華江污水廠</x:v>
      </x:c>
      <x:c r="D1781" s="18" t="n">
        <x:v>26</x:v>
      </x:c>
      <x:c r="E1781" s="18" t="n">
        <x:v>26</x:v>
      </x:c>
      <x:c r="F1781" s="24" t="n">
        <x:f>IFERROR('各站彙總來源'!F1781/'各站彙總來源'!G1781,"")</x:f>
        <x:v>17.26923076923077</x:v>
      </x:c>
      <x:c r="G1781" s="19" t="n">
        <x:f>'各站彙總來源'!G1781</x:f>
        <x:v>26</x:v>
      </x:c>
      <x:c r="H1781" s="24" t="n">
        <x:f>IFERROR('各站彙總來源'!H1781/'各站彙總來源'!I1781,"")</x:f>
        <x:v>1.8461538461538463</x:v>
      </x:c>
      <x:c r="I1781" s="19" t="n">
        <x:f>'各站彙總來源'!I1781</x:f>
        <x:v>26</x:v>
      </x:c>
      <x:c r="J1781" s="24" t="n">
        <x:f>IFERROR('各站彙總來源'!J1781/'各站彙總來源'!K1781,"")</x:f>
        <x:v>5.961538461538462</x:v>
      </x:c>
      <x:c r="K1781" s="19" t="n">
        <x:f>'各站彙總來源'!K1781</x:f>
        <x:v>26</x:v>
      </x:c>
      <x:c r="L1781" s="24" t="n">
        <x:f>IFERROR('各站彙總來源'!L1781/'各站彙總來源'!M1781,"")</x:f>
        <x:v>1.2307692307692308</x:v>
      </x:c>
      <x:c r="M1781" s="19" t="n">
        <x:f>'各站彙總來源'!M1781</x:f>
        <x:v>26</x:v>
      </x:c>
      <x:c r="N1781" s="24" t="n">
        <x:f>F1781+H1781</x:f>
        <x:v>19.115384615384617</x:v>
      </x:c>
      <x:c r="O1781" s="24" t="n">
        <x:f>J1781+L1781</x:f>
        <x:v>7.1923076923076925</x:v>
      </x:c>
    </x:row>
    <x:row r="1782">
      <x:c r="A1782" s="22" t="str">
        <x:v>500113057</x:v>
      </x:c>
      <x:c r="B1782" s="17" t="str">
        <x:v>萬華區</x:v>
      </x:c>
      <x:c r="C1782" s="17" t="str">
        <x:v>柳鄉公園</x:v>
      </x:c>
      <x:c r="D1782" s="18" t="n">
        <x:v>26</x:v>
      </x:c>
      <x:c r="E1782" s="18" t="n">
        <x:v>26</x:v>
      </x:c>
      <x:c r="F1782" s="24" t="n">
        <x:f>IFERROR('各站彙總來源'!F1782/'各站彙總來源'!G1782,"")</x:f>
        <x:v>24.307692307692307</x:v>
      </x:c>
      <x:c r="G1782" s="19" t="n">
        <x:f>'各站彙總來源'!G1782</x:f>
        <x:v>26</x:v>
      </x:c>
      <x:c r="H1782" s="24" t="n">
        <x:f>IFERROR('各站彙總來源'!H1782/'各站彙總來源'!I1782,"")</x:f>
        <x:v>2.730769230769231</x:v>
      </x:c>
      <x:c r="I1782" s="19" t="n">
        <x:f>'各站彙總來源'!I1782</x:f>
        <x:v>26</x:v>
      </x:c>
      <x:c r="J1782" s="24" t="n">
        <x:f>IFERROR('各站彙總來源'!J1782/'各站彙總來源'!K1782,"")</x:f>
        <x:v>6.8076923076923075</x:v>
      </x:c>
      <x:c r="K1782" s="19" t="n">
        <x:f>'各站彙總來源'!K1782</x:f>
        <x:v>26</x:v>
      </x:c>
      <x:c r="L1782" s="24" t="n">
        <x:f>IFERROR('各站彙總來源'!L1782/'各站彙總來源'!M1782,"")</x:f>
        <x:v>1.8461538461538463</x:v>
      </x:c>
      <x:c r="M1782" s="19" t="n">
        <x:f>'各站彙總來源'!M1782</x:f>
        <x:v>26</x:v>
      </x:c>
      <x:c r="N1782" s="24" t="n">
        <x:f>F1782+H1782</x:f>
        <x:v>27.038461538461537</x:v>
      </x:c>
      <x:c r="O1782" s="24" t="n">
        <x:f>J1782+L1782</x:f>
        <x:v>8.653846153846153</x:v>
      </x:c>
    </x:row>
    <x:row r="1783">
      <x:c r="A1783" s="22" t="str">
        <x:v>500113058</x:v>
      </x:c>
      <x:c r="B1783" s="17" t="str">
        <x:v>萬華區</x:v>
      </x:c>
      <x:c r="C1783" s="17" t="str">
        <x:v>綠堤社區公園</x:v>
      </x:c>
      <x:c r="D1783" s="18" t="n">
        <x:v>26</x:v>
      </x:c>
      <x:c r="E1783" s="18" t="n">
        <x:v>26</x:v>
      </x:c>
      <x:c r="F1783" s="24" t="n">
        <x:f>IFERROR('各站彙總來源'!F1783/'各站彙總來源'!G1783,"")</x:f>
        <x:v>22.653846153846153</x:v>
      </x:c>
      <x:c r="G1783" s="19" t="n">
        <x:f>'各站彙總來源'!G1783</x:f>
        <x:v>26</x:v>
      </x:c>
      <x:c r="H1783" s="24" t="n">
        <x:f>IFERROR('各站彙總來源'!H1783/'各站彙總來源'!I1783,"")</x:f>
        <x:v>3.1923076923076925</x:v>
      </x:c>
      <x:c r="I1783" s="19" t="n">
        <x:f>'各站彙總來源'!I1783</x:f>
        <x:v>26</x:v>
      </x:c>
      <x:c r="J1783" s="24" t="n">
        <x:f>IFERROR('各站彙總來源'!J1783/'各站彙總來源'!K1783,"")</x:f>
        <x:v>4.538461538461538</x:v>
      </x:c>
      <x:c r="K1783" s="19" t="n">
        <x:f>'各站彙總來源'!K1783</x:f>
        <x:v>26</x:v>
      </x:c>
      <x:c r="L1783" s="24" t="n">
        <x:f>IFERROR('各站彙總來源'!L1783/'各站彙總來源'!M1783,"")</x:f>
        <x:v>0.6538461538461539</x:v>
      </x:c>
      <x:c r="M1783" s="19" t="n">
        <x:f>'各站彙總來源'!M1783</x:f>
        <x:v>26</x:v>
      </x:c>
      <x:c r="N1783" s="24" t="n">
        <x:f>F1783+H1783</x:f>
        <x:v>25.846153846153847</x:v>
      </x:c>
      <x:c r="O1783" s="24" t="n">
        <x:f>J1783+L1783</x:f>
        <x:v>5.1923076923076925</x:v>
      </x:c>
    </x:row>
    <x:row r="1784">
      <x:c r="A1784" s="22" t="str">
        <x:v>500113059</x:v>
      </x:c>
      <x:c r="B1784" s="17" t="str">
        <x:v>萬華區</x:v>
      </x:c>
      <x:c r="C1784" s="17" t="str">
        <x:v>長順艋舺大道口</x:v>
      </x:c>
      <x:c r="D1784" s="18" t="n">
        <x:v>26</x:v>
      </x:c>
      <x:c r="E1784" s="18" t="n">
        <x:v>26</x:v>
      </x:c>
      <x:c r="F1784" s="24" t="n">
        <x:f>IFERROR('各站彙總來源'!F1784/'各站彙總來源'!G1784,"")</x:f>
        <x:v>8.76923076923077</x:v>
      </x:c>
      <x:c r="G1784" s="19" t="n">
        <x:f>'各站彙總來源'!G1784</x:f>
        <x:v>26</x:v>
      </x:c>
      <x:c r="H1784" s="24" t="n">
        <x:f>IFERROR('各站彙總來源'!H1784/'各站彙總來源'!I1784,"")</x:f>
        <x:v>1.3076923076923077</x:v>
      </x:c>
      <x:c r="I1784" s="19" t="n">
        <x:f>'各站彙總來源'!I1784</x:f>
        <x:v>26</x:v>
      </x:c>
      <x:c r="J1784" s="24" t="n">
        <x:f>IFERROR('各站彙總來源'!J1784/'各站彙總來源'!K1784,"")</x:f>
        <x:v>17.46153846153846</x:v>
      </x:c>
      <x:c r="K1784" s="19" t="n">
        <x:f>'各站彙總來源'!K1784</x:f>
        <x:v>26</x:v>
      </x:c>
      <x:c r="L1784" s="24" t="n">
        <x:f>IFERROR('各站彙總來源'!L1784/'各站彙總來源'!M1784,"")</x:f>
        <x:v>2.4615384615384617</x:v>
      </x:c>
      <x:c r="M1784" s="19" t="n">
        <x:f>'各站彙總來源'!M1784</x:f>
        <x:v>26</x:v>
      </x:c>
      <x:c r="N1784" s="24" t="n">
        <x:f>F1784+H1784</x:f>
        <x:v>10.076923076923078</x:v>
      </x:c>
      <x:c r="O1784" s="24" t="n">
        <x:f>J1784+L1784</x:f>
        <x:v>19.92307692307692</x:v>
      </x:c>
    </x:row>
    <x:row r="1785">
      <x:c r="A1785" s="22" t="str">
        <x:v>500113060</x:v>
      </x:c>
      <x:c r="B1785" s="17" t="str">
        <x:v>萬華區</x:v>
      </x:c>
      <x:c r="C1785" s="17" t="str">
        <x:v>富民路145巷口</x:v>
      </x:c>
      <x:c r="D1785" s="18" t="n">
        <x:v>26</x:v>
      </x:c>
      <x:c r="E1785" s="18" t="n">
        <x:v>26</x:v>
      </x:c>
      <x:c r="F1785" s="24" t="n">
        <x:f>IFERROR('各站彙總來源'!F1785/'各站彙總來源'!G1785,"")</x:f>
        <x:v>12.307692307692308</x:v>
      </x:c>
      <x:c r="G1785" s="19" t="n">
        <x:f>'各站彙總來源'!G1785</x:f>
        <x:v>26</x:v>
      </x:c>
      <x:c r="H1785" s="24" t="n">
        <x:f>IFERROR('各站彙總來源'!H1785/'各站彙總來源'!I1785,"")</x:f>
        <x:v>2.576923076923077</x:v>
      </x:c>
      <x:c r="I1785" s="19" t="n">
        <x:f>'各站彙總來源'!I1785</x:f>
        <x:v>26</x:v>
      </x:c>
      <x:c r="J1785" s="24" t="n">
        <x:f>IFERROR('各站彙總來源'!J1785/'各站彙總來源'!K1785,"")</x:f>
        <x:v>4.8076923076923075</x:v>
      </x:c>
      <x:c r="K1785" s="19" t="n">
        <x:f>'各站彙總來源'!K1785</x:f>
        <x:v>26</x:v>
      </x:c>
      <x:c r="L1785" s="24" t="n">
        <x:f>IFERROR('各站彙總來源'!L1785/'各站彙總來源'!M1785,"")</x:f>
        <x:v>0.9615384615384616</x:v>
      </x:c>
      <x:c r="M1785" s="19" t="n">
        <x:f>'各站彙總來源'!M1785</x:f>
        <x:v>26</x:v>
      </x:c>
      <x:c r="N1785" s="24" t="n">
        <x:f>F1785+H1785</x:f>
        <x:v>14.884615384615385</x:v>
      </x:c>
      <x:c r="O1785" s="24" t="n">
        <x:f>J1785+L1785</x:f>
        <x:v>5.769230769230769</x:v>
      </x:c>
    </x:row>
    <x:row r="1786">
      <x:c r="A1786" s="22" t="str">
        <x:v>500113061</x:v>
      </x:c>
      <x:c r="B1786" s="17" t="str">
        <x:v>萬華區</x:v>
      </x:c>
      <x:c r="C1786" s="17" t="str">
        <x:v>環南綜合市場</x:v>
      </x:c>
      <x:c r="D1786" s="18" t="n">
        <x:v>26</x:v>
      </x:c>
      <x:c r="E1786" s="18" t="n">
        <x:v>26</x:v>
      </x:c>
      <x:c r="F1786" s="24" t="n">
        <x:f>IFERROR('各站彙總來源'!F1786/'各站彙總來源'!G1786,"")</x:f>
        <x:v>11.846153846153847</x:v>
      </x:c>
      <x:c r="G1786" s="19" t="n">
        <x:f>'各站彙總來源'!G1786</x:f>
        <x:v>26</x:v>
      </x:c>
      <x:c r="H1786" s="24" t="n">
        <x:f>IFERROR('各站彙總來源'!H1786/'各站彙總來源'!I1786,"")</x:f>
        <x:v>2.076923076923077</x:v>
      </x:c>
      <x:c r="I1786" s="19" t="n">
        <x:f>'各站彙總來源'!I1786</x:f>
        <x:v>26</x:v>
      </x:c>
      <x:c r="J1786" s="24" t="n">
        <x:f>IFERROR('各站彙總來源'!J1786/'各站彙總來源'!K1786,"")</x:f>
        <x:v>9.692307692307692</x:v>
      </x:c>
      <x:c r="K1786" s="19" t="n">
        <x:f>'各站彙總來源'!K1786</x:f>
        <x:v>26</x:v>
      </x:c>
      <x:c r="L1786" s="24" t="n">
        <x:f>IFERROR('各站彙總來源'!L1786/'各站彙總來源'!M1786,"")</x:f>
        <x:v>1.0769230769230769</x:v>
      </x:c>
      <x:c r="M1786" s="19" t="n">
        <x:f>'各站彙總來源'!M1786</x:f>
        <x:v>26</x:v>
      </x:c>
      <x:c r="N1786" s="24" t="n">
        <x:f>F1786+H1786</x:f>
        <x:v>13.923076923076923</x:v>
      </x:c>
      <x:c r="O1786" s="24" t="n">
        <x:f>J1786+L1786</x:f>
        <x:v>10.769230769230768</x:v>
      </x:c>
    </x:row>
    <x:row r="1787">
      <x:c r="A1787" s="22" t="str">
        <x:v>500113062</x:v>
      </x:c>
      <x:c r="B1787" s="17" t="str">
        <x:v>萬華區</x:v>
      </x:c>
      <x:c r="C1787" s="17" t="str">
        <x:v>龍山國中</x:v>
      </x:c>
      <x:c r="D1787" s="18" t="n">
        <x:v>26</x:v>
      </x:c>
      <x:c r="E1787" s="18" t="n">
        <x:v>26</x:v>
      </x:c>
      <x:c r="F1787" s="24" t="n">
        <x:f>IFERROR('各站彙總來源'!F1787/'各站彙總來源'!G1787,"")</x:f>
        <x:v>4.230769230769231</x:v>
      </x:c>
      <x:c r="G1787" s="19" t="n">
        <x:f>'各站彙總來源'!G1787</x:f>
        <x:v>26</x:v>
      </x:c>
      <x:c r="H1787" s="24" t="n">
        <x:f>IFERROR('各站彙總來源'!H1787/'各站彙總來源'!I1787,"")</x:f>
        <x:v>0.46153846153846156</x:v>
      </x:c>
      <x:c r="I1787" s="19" t="n">
        <x:f>'各站彙總來源'!I1787</x:f>
        <x:v>26</x:v>
      </x:c>
      <x:c r="J1787" s="24" t="n">
        <x:f>IFERROR('各站彙總來源'!J1787/'各站彙總來源'!K1787,"")</x:f>
        <x:v>3.730769230769231</x:v>
      </x:c>
      <x:c r="K1787" s="19" t="n">
        <x:f>'各站彙總來源'!K1787</x:f>
        <x:v>26</x:v>
      </x:c>
      <x:c r="L1787" s="24" t="n">
        <x:f>IFERROR('各站彙總來源'!L1787/'各站彙總來源'!M1787,"")</x:f>
        <x:v>0.7692307692307693</x:v>
      </x:c>
      <x:c r="M1787" s="19" t="n">
        <x:f>'各站彙總來源'!M1787</x:f>
        <x:v>26</x:v>
      </x:c>
      <x:c r="N1787" s="24" t="n">
        <x:f>F1787+H1787</x:f>
        <x:v>4.6923076923076925</x:v>
      </x:c>
      <x:c r="O1787" s="24" t="n">
        <x:f>J1787+L1787</x:f>
        <x:v>4.5</x:v>
      </x:c>
    </x:row>
    <x:row r="1788">
      <x:c r="A1788" s="22" t="str">
        <x:v>500113063</x:v>
      </x:c>
      <x:c r="B1788" s="17" t="str">
        <x:v>萬華區</x:v>
      </x:c>
      <x:c r="C1788" s="17" t="str">
        <x:v>洛陽停車場</x:v>
      </x:c>
      <x:c r="D1788" s="18" t="n">
        <x:v>26</x:v>
      </x:c>
      <x:c r="E1788" s="18" t="n">
        <x:v>26</x:v>
      </x:c>
      <x:c r="F1788" s="24" t="n">
        <x:f>IFERROR('各站彙總來源'!F1788/'各站彙總來源'!G1788,"")</x:f>
        <x:v>0</x:v>
      </x:c>
      <x:c r="G1788" s="19" t="n">
        <x:f>'各站彙總來源'!G1788</x:f>
        <x:v>26</x:v>
      </x:c>
      <x:c r="H1788" s="24" t="n">
        <x:f>IFERROR('各站彙總來源'!H1788/'各站彙總來源'!I1788,"")</x:f>
        <x:v>0</x:v>
      </x:c>
      <x:c r="I1788" s="19" t="n">
        <x:f>'各站彙總來源'!I1788</x:f>
        <x:v>26</x:v>
      </x:c>
      <x:c r="J1788" s="24" t="n">
        <x:f>IFERROR('各站彙總來源'!J1788/'各站彙總來源'!K1788,"")</x:f>
        <x:v>0</x:v>
      </x:c>
      <x:c r="K1788" s="19" t="n">
        <x:f>'各站彙總來源'!K1788</x:f>
        <x:v>26</x:v>
      </x:c>
      <x:c r="L1788" s="24" t="n">
        <x:f>IFERROR('各站彙總來源'!L1788/'各站彙總來源'!M1788,"")</x:f>
        <x:v>0</x:v>
      </x:c>
      <x:c r="M1788" s="19" t="n">
        <x:f>'各站彙總來源'!M1788</x:f>
        <x:v>26</x:v>
      </x:c>
      <x:c r="N1788" s="24" t="n">
        <x:f>F1788+H1788</x:f>
        <x:v>0</x:v>
      </x:c>
      <x:c r="O1788" s="24" t="n">
        <x:f>J1788+L1788</x:f>
        <x:v>0</x:v>
      </x:c>
    </x:row>
    <x:row r="1789">
      <x:c r="A1789" s="22" t="str">
        <x:v>500113064</x:v>
      </x:c>
      <x:c r="B1789" s="17" t="str">
        <x:v>萬華區</x:v>
      </x:c>
      <x:c r="C1789" s="17" t="str">
        <x:v>桂林昆明街口</x:v>
      </x:c>
      <x:c r="D1789" s="18" t="n">
        <x:v>26</x:v>
      </x:c>
      <x:c r="E1789" s="18" t="n">
        <x:v>26</x:v>
      </x:c>
      <x:c r="F1789" s="24" t="n">
        <x:f>IFERROR('各站彙總來源'!F1789/'各站彙總來源'!G1789,"")</x:f>
        <x:v>30.26923076923077</x:v>
      </x:c>
      <x:c r="G1789" s="19" t="n">
        <x:f>'各站彙總來源'!G1789</x:f>
        <x:v>26</x:v>
      </x:c>
      <x:c r="H1789" s="24" t="n">
        <x:f>IFERROR('各站彙總來源'!H1789/'各站彙總來源'!I1789,"")</x:f>
        <x:v>2</x:v>
      </x:c>
      <x:c r="I1789" s="19" t="n">
        <x:f>'各站彙總來源'!I1789</x:f>
        <x:v>26</x:v>
      </x:c>
      <x:c r="J1789" s="24" t="n">
        <x:f>IFERROR('各站彙總來源'!J1789/'各站彙總來源'!K1789,"")</x:f>
        <x:v>9.153846153846153</x:v>
      </x:c>
      <x:c r="K1789" s="19" t="n">
        <x:f>'各站彙總來源'!K1789</x:f>
        <x:v>26</x:v>
      </x:c>
      <x:c r="L1789" s="24" t="n">
        <x:f>IFERROR('各站彙總來源'!L1789/'各站彙總來源'!M1789,"")</x:f>
        <x:v>1.5</x:v>
      </x:c>
      <x:c r="M1789" s="19" t="n">
        <x:f>'各站彙總來源'!M1789</x:f>
        <x:v>26</x:v>
      </x:c>
      <x:c r="N1789" s="24" t="n">
        <x:f>F1789+H1789</x:f>
        <x:v>32.269230769230774</x:v>
      </x:c>
      <x:c r="O1789" s="24" t="n">
        <x:f>J1789+L1789</x:f>
        <x:v>10.653846153846153</x:v>
      </x:c>
    </x:row>
    <x:row r="1790">
      <x:c r="A1790" s="22" t="str">
        <x:v>500113065</x:v>
      </x:c>
      <x:c r="B1790" s="17" t="str">
        <x:v>萬華區</x:v>
      </x:c>
      <x:c r="C1790" s="17" t="str">
        <x:v>萬華國中_1</x:v>
      </x:c>
      <x:c r="D1790" s="18" t="n">
        <x:v>26</x:v>
      </x:c>
      <x:c r="E1790" s="18" t="n">
        <x:v>26</x:v>
      </x:c>
      <x:c r="F1790" s="24" t="n">
        <x:f>IFERROR('各站彙總來源'!F1790/'各站彙總來源'!G1790,"")</x:f>
        <x:v>8.076923076923077</x:v>
      </x:c>
      <x:c r="G1790" s="19" t="n">
        <x:f>'各站彙總來源'!G1790</x:f>
        <x:v>26</x:v>
      </x:c>
      <x:c r="H1790" s="24" t="n">
        <x:f>IFERROR('各站彙總來源'!H1790/'各站彙總來源'!I1790,"")</x:f>
        <x:v>2.730769230769231</x:v>
      </x:c>
      <x:c r="I1790" s="19" t="n">
        <x:f>'各站彙總來源'!I1790</x:f>
        <x:v>26</x:v>
      </x:c>
      <x:c r="J1790" s="24" t="n">
        <x:f>IFERROR('各站彙總來源'!J1790/'各站彙總來源'!K1790,"")</x:f>
        <x:v>13.923076923076923</x:v>
      </x:c>
      <x:c r="K1790" s="19" t="n">
        <x:f>'各站彙總來源'!K1790</x:f>
        <x:v>26</x:v>
      </x:c>
      <x:c r="L1790" s="24" t="n">
        <x:f>IFERROR('各站彙總來源'!L1790/'各站彙總來源'!M1790,"")</x:f>
        <x:v>1.9230769230769231</x:v>
      </x:c>
      <x:c r="M1790" s="19" t="n">
        <x:f>'各站彙總來源'!M1790</x:f>
        <x:v>26</x:v>
      </x:c>
      <x:c r="N1790" s="24" t="n">
        <x:f>F1790+H1790</x:f>
        <x:v>10.807692307692307</x:v>
      </x:c>
      <x:c r="O1790" s="24" t="n">
        <x:f>J1790+L1790</x:f>
        <x:v>15.846153846153847</x:v>
      </x:c>
    </x:row>
    <x:row r="1791">
      <x:c r="A1791" s="22" t="str">
        <x:v>500113066</x:v>
      </x:c>
      <x:c r="B1791" s="17" t="str">
        <x:v>萬華區</x:v>
      </x:c>
      <x:c r="C1791" s="17" t="str">
        <x:v>青年公園3號出口</x:v>
      </x:c>
      <x:c r="D1791" s="18" t="n">
        <x:v>26</x:v>
      </x:c>
      <x:c r="E1791" s="18" t="n">
        <x:v>26</x:v>
      </x:c>
      <x:c r="F1791" s="24" t="n">
        <x:f>IFERROR('各站彙總來源'!F1791/'各站彙總來源'!G1791,"")</x:f>
        <x:v>21.5</x:v>
      </x:c>
      <x:c r="G1791" s="19" t="n">
        <x:f>'各站彙總來源'!G1791</x:f>
        <x:v>26</x:v>
      </x:c>
      <x:c r="H1791" s="24" t="n">
        <x:f>IFERROR('各站彙總來源'!H1791/'各站彙總來源'!I1791,"")</x:f>
        <x:v>3.423076923076923</x:v>
      </x:c>
      <x:c r="I1791" s="19" t="n">
        <x:f>'各站彙總來源'!I1791</x:f>
        <x:v>26</x:v>
      </x:c>
      <x:c r="J1791" s="24" t="n">
        <x:f>IFERROR('各站彙總來源'!J1791/'各站彙總來源'!K1791,"")</x:f>
        <x:v>7.6923076923076925</x:v>
      </x:c>
      <x:c r="K1791" s="19" t="n">
        <x:f>'各站彙總來源'!K1791</x:f>
        <x:v>26</x:v>
      </x:c>
      <x:c r="L1791" s="24" t="n">
        <x:f>IFERROR('各站彙總來源'!L1791/'各站彙總來源'!M1791,"")</x:f>
        <x:v>1</x:v>
      </x:c>
      <x:c r="M1791" s="19" t="n">
        <x:f>'各站彙總來源'!M1791</x:f>
        <x:v>26</x:v>
      </x:c>
      <x:c r="N1791" s="24" t="n">
        <x:f>F1791+H1791</x:f>
        <x:v>24.923076923076923</x:v>
      </x:c>
      <x:c r="O1791" s="24" t="n">
        <x:f>J1791+L1791</x:f>
        <x:v>8.692307692307693</x:v>
      </x:c>
    </x:row>
    <x:row r="1792">
      <x:c r="A1792" s="22" t="str">
        <x:v>500113068</x:v>
      </x:c>
      <x:c r="B1792" s="17" t="str">
        <x:v>萬華區</x:v>
      </x:c>
      <x:c r="C1792" s="17" t="str">
        <x:v>捷運龍山寺站(1號出口)_1</x:v>
      </x:c>
      <x:c r="D1792" s="18" t="n">
        <x:v>26</x:v>
      </x:c>
      <x:c r="E1792" s="18" t="n">
        <x:v>26</x:v>
      </x:c>
      <x:c r="F1792" s="24" t="n">
        <x:f>IFERROR('各站彙總來源'!F1792/'各站彙總來源'!G1792,"")</x:f>
        <x:v>0</x:v>
      </x:c>
      <x:c r="G1792" s="19" t="n">
        <x:f>'各站彙總來源'!G1792</x:f>
        <x:v>26</x:v>
      </x:c>
      <x:c r="H1792" s="24" t="n">
        <x:f>IFERROR('各站彙總來源'!H1792/'各站彙總來源'!I1792,"")</x:f>
        <x:v>0</x:v>
      </x:c>
      <x:c r="I1792" s="19" t="n">
        <x:f>'各站彙總來源'!I1792</x:f>
        <x:v>26</x:v>
      </x:c>
      <x:c r="J1792" s="24" t="n">
        <x:f>IFERROR('各站彙總來源'!J1792/'各站彙總來源'!K1792,"")</x:f>
        <x:v>0</x:v>
      </x:c>
      <x:c r="K1792" s="19" t="n">
        <x:f>'各站彙總來源'!K1792</x:f>
        <x:v>26</x:v>
      </x:c>
      <x:c r="L1792" s="24" t="n">
        <x:f>IFERROR('各站彙總來源'!L1792/'各站彙總來源'!M1792,"")</x:f>
        <x:v>0</x:v>
      </x:c>
      <x:c r="M1792" s="19" t="n">
        <x:f>'各站彙總來源'!M1792</x:f>
        <x:v>26</x:v>
      </x:c>
      <x:c r="N1792" s="24" t="n">
        <x:f>F1792+H1792</x:f>
        <x:v>0</x:v>
      </x:c>
      <x:c r="O1792" s="24" t="n">
        <x:f>J1792+L1792</x:f>
        <x:v>0</x:v>
      </x:c>
    </x:row>
    <x:row r="1793">
      <x:c r="A1793" s="22" t="str">
        <x:v>500113069</x:v>
      </x:c>
      <x:c r="B1793" s="17" t="str">
        <x:v>萬華區</x:v>
      </x:c>
      <x:c r="C1793" s="17" t="str">
        <x:v>莒光社會住宅</x:v>
      </x:c>
      <x:c r="D1793" s="18" t="n">
        <x:v>26</x:v>
      </x:c>
      <x:c r="E1793" s="18" t="n">
        <x:v>26</x:v>
      </x:c>
      <x:c r="F1793" s="24" t="n">
        <x:f>IFERROR('各站彙總來源'!F1793/'各站彙總來源'!G1793,"")</x:f>
        <x:v>14.26923076923077</x:v>
      </x:c>
      <x:c r="G1793" s="19" t="n">
        <x:f>'各站彙總來源'!G1793</x:f>
        <x:v>26</x:v>
      </x:c>
      <x:c r="H1793" s="24" t="n">
        <x:f>IFERROR('各站彙總來源'!H1793/'各站彙總來源'!I1793,"")</x:f>
        <x:v>2.8846153846153846</x:v>
      </x:c>
      <x:c r="I1793" s="19" t="n">
        <x:f>'各站彙總來源'!I1793</x:f>
        <x:v>26</x:v>
      </x:c>
      <x:c r="J1793" s="24" t="n">
        <x:f>IFERROR('各站彙總來源'!J1793/'各站彙總來源'!K1793,"")</x:f>
        <x:v>10.884615384615385</x:v>
      </x:c>
      <x:c r="K1793" s="19" t="n">
        <x:f>'各站彙總來源'!K1793</x:f>
        <x:v>26</x:v>
      </x:c>
      <x:c r="L1793" s="24" t="n">
        <x:f>IFERROR('各站彙總來源'!L1793/'各站彙總來源'!M1793,"")</x:f>
        <x:v>2.0384615384615383</x:v>
      </x:c>
      <x:c r="M1793" s="19" t="n">
        <x:f>'各站彙總來源'!M1793</x:f>
        <x:v>26</x:v>
      </x:c>
      <x:c r="N1793" s="24" t="n">
        <x:f>F1793+H1793</x:f>
        <x:v>17.153846153846153</x:v>
      </x:c>
      <x:c r="O1793" s="24" t="n">
        <x:f>J1793+L1793</x:f>
        <x:v>12.923076923076923</x:v>
      </x:c>
    </x:row>
    <x:row r="1794">
      <x:c r="A1794" s="22" t="str">
        <x:v>500113070</x:v>
      </x:c>
      <x:c r="B1794" s="17" t="str">
        <x:v>萬華區</x:v>
      </x:c>
      <x:c r="C1794" s="17" t="str">
        <x:v>艋舺西藏路口</x:v>
      </x:c>
      <x:c r="D1794" s="18" t="n">
        <x:v>26</x:v>
      </x:c>
      <x:c r="E1794" s="18" t="n">
        <x:v>26</x:v>
      </x:c>
      <x:c r="F1794" s="24" t="n">
        <x:f>IFERROR('各站彙總來源'!F1794/'各站彙總來源'!G1794,"")</x:f>
        <x:v>7.846153846153846</x:v>
      </x:c>
      <x:c r="G1794" s="19" t="n">
        <x:f>'各站彙總來源'!G1794</x:f>
        <x:v>26</x:v>
      </x:c>
      <x:c r="H1794" s="24" t="n">
        <x:f>IFERROR('各站彙總來源'!H1794/'各站彙總來源'!I1794,"")</x:f>
        <x:v>0.8076923076923077</x:v>
      </x:c>
      <x:c r="I1794" s="19" t="n">
        <x:f>'各站彙總來源'!I1794</x:f>
        <x:v>26</x:v>
      </x:c>
      <x:c r="J1794" s="24" t="n">
        <x:f>IFERROR('各站彙總來源'!J1794/'各站彙總來源'!K1794,"")</x:f>
        <x:v>5.3076923076923075</x:v>
      </x:c>
      <x:c r="K1794" s="19" t="n">
        <x:f>'各站彙總來源'!K1794</x:f>
        <x:v>26</x:v>
      </x:c>
      <x:c r="L1794" s="24" t="n">
        <x:f>IFERROR('各站彙總來源'!L1794/'各站彙總來源'!M1794,"")</x:f>
        <x:v>0.5</x:v>
      </x:c>
      <x:c r="M1794" s="19" t="n">
        <x:f>'各站彙總來源'!M1794</x:f>
        <x:v>26</x:v>
      </x:c>
      <x:c r="N1794" s="24" t="n">
        <x:f>F1794+H1794</x:f>
        <x:v>8.653846153846153</x:v>
      </x:c>
      <x:c r="O1794" s="24" t="n">
        <x:f>J1794+L1794</x:f>
        <x:v>5.8076923076923075</x:v>
      </x:c>
    </x:row>
    <x:row r="1795">
      <x:c r="A1795" s="22" t="str">
        <x:v>500113071</x:v>
      </x:c>
      <x:c r="B1795" s="17" t="str">
        <x:v>萬華區</x:v>
      </x:c>
      <x:c r="C1795" s="17" t="str">
        <x:v>萬大路493巷</x:v>
      </x:c>
      <x:c r="D1795" s="18" t="n">
        <x:v>26</x:v>
      </x:c>
      <x:c r="E1795" s="18" t="n">
        <x:v>26</x:v>
      </x:c>
      <x:c r="F1795" s="24" t="n">
        <x:f>IFERROR('各站彙總來源'!F1795/'各站彙總來源'!G1795,"")</x:f>
        <x:v>6.423076923076923</x:v>
      </x:c>
      <x:c r="G1795" s="19" t="n">
        <x:f>'各站彙總來源'!G1795</x:f>
        <x:v>26</x:v>
      </x:c>
      <x:c r="H1795" s="24" t="n">
        <x:f>IFERROR('各站彙總來源'!H1795/'各站彙總來源'!I1795,"")</x:f>
        <x:v>1.7692307692307692</x:v>
      </x:c>
      <x:c r="I1795" s="19" t="n">
        <x:f>'各站彙總來源'!I1795</x:f>
        <x:v>26</x:v>
      </x:c>
      <x:c r="J1795" s="24" t="n">
        <x:f>IFERROR('各站彙總來源'!J1795/'各站彙總來源'!K1795,"")</x:f>
        <x:v>2.6153846153846154</x:v>
      </x:c>
      <x:c r="K1795" s="19" t="n">
        <x:f>'各站彙總來源'!K1795</x:f>
        <x:v>26</x:v>
      </x:c>
      <x:c r="L1795" s="24" t="n">
        <x:f>IFERROR('各站彙總來源'!L1795/'各站彙總來源'!M1795,"")</x:f>
        <x:v>1.5384615384615385</x:v>
      </x:c>
      <x:c r="M1795" s="19" t="n">
        <x:f>'各站彙總來源'!M1795</x:f>
        <x:v>26</x:v>
      </x:c>
      <x:c r="N1795" s="24" t="n">
        <x:f>F1795+H1795</x:f>
        <x:v>8.192307692307693</x:v>
      </x:c>
      <x:c r="O1795" s="24" t="n">
        <x:f>J1795+L1795</x:f>
        <x:v>4.153846153846154</x:v>
      </x:c>
    </x:row>
    <x:row r="1796">
      <x:c r="A1796" s="22" t="str">
        <x:v>500113072</x:v>
      </x:c>
      <x:c r="B1796" s="17" t="str">
        <x:v>萬華區</x:v>
      </x:c>
      <x:c r="C1796" s="17" t="str">
        <x:v>雙園國中地下停車場</x:v>
      </x:c>
      <x:c r="D1796" s="18" t="n">
        <x:v>26</x:v>
      </x:c>
      <x:c r="E1796" s="18" t="n">
        <x:v>26</x:v>
      </x:c>
      <x:c r="F1796" s="24" t="n">
        <x:f>IFERROR('各站彙總來源'!F1796/'各站彙總來源'!G1796,"")</x:f>
        <x:v>9.807692307692308</x:v>
      </x:c>
      <x:c r="G1796" s="19" t="n">
        <x:f>'各站彙總來源'!G1796</x:f>
        <x:v>26</x:v>
      </x:c>
      <x:c r="H1796" s="24" t="n">
        <x:f>IFERROR('各站彙總來源'!H1796/'各站彙總來源'!I1796,"")</x:f>
        <x:v>0.6923076923076923</x:v>
      </x:c>
      <x:c r="I1796" s="19" t="n">
        <x:f>'各站彙總來源'!I1796</x:f>
        <x:v>26</x:v>
      </x:c>
      <x:c r="J1796" s="24" t="n">
        <x:f>IFERROR('各站彙總來源'!J1796/'各站彙總來源'!K1796,"")</x:f>
        <x:v>4.423076923076923</x:v>
      </x:c>
      <x:c r="K1796" s="19" t="n">
        <x:f>'各站彙總來源'!K1796</x:f>
        <x:v>26</x:v>
      </x:c>
      <x:c r="L1796" s="24" t="n">
        <x:f>IFERROR('各站彙總來源'!L1796/'各站彙總來源'!M1796,"")</x:f>
        <x:v>1</x:v>
      </x:c>
      <x:c r="M1796" s="19" t="n">
        <x:f>'各站彙總來源'!M1796</x:f>
        <x:v>26</x:v>
      </x:c>
      <x:c r="N1796" s="24" t="n">
        <x:f>F1796+H1796</x:f>
        <x:v>10.5</x:v>
      </x:c>
      <x:c r="O1796" s="24" t="n">
        <x:f>J1796+L1796</x:f>
        <x:v>5.423076923076923</x:v>
      </x:c>
    </x:row>
    <x:row r="1797">
      <x:c r="A1797" s="22" t="str">
        <x:v>500113073</x:v>
      </x:c>
      <x:c r="B1797" s="17" t="str">
        <x:v>萬華區</x:v>
      </x:c>
      <x:c r="C1797" s="17" t="str">
        <x:v>青年路152巷口</x:v>
      </x:c>
      <x:c r="D1797" s="18" t="n">
        <x:v>26</x:v>
      </x:c>
      <x:c r="E1797" s="18" t="n">
        <x:v>26</x:v>
      </x:c>
      <x:c r="F1797" s="24" t="n">
        <x:f>IFERROR('各站彙總來源'!F1797/'各站彙總來源'!G1797,"")</x:f>
        <x:v>25.846153846153847</x:v>
      </x:c>
      <x:c r="G1797" s="19" t="n">
        <x:f>'各站彙總來源'!G1797</x:f>
        <x:v>26</x:v>
      </x:c>
      <x:c r="H1797" s="24" t="n">
        <x:f>IFERROR('各站彙總來源'!H1797/'各站彙總來源'!I1797,"")</x:f>
        <x:v>4.153846153846154</x:v>
      </x:c>
      <x:c r="I1797" s="19" t="n">
        <x:f>'各站彙總來源'!I1797</x:f>
        <x:v>26</x:v>
      </x:c>
      <x:c r="J1797" s="24" t="n">
        <x:f>IFERROR('各站彙總來源'!J1797/'各站彙總來源'!K1797,"")</x:f>
        <x:v>3.5</x:v>
      </x:c>
      <x:c r="K1797" s="19" t="n">
        <x:f>'各站彙總來源'!K1797</x:f>
        <x:v>26</x:v>
      </x:c>
      <x:c r="L1797" s="24" t="n">
        <x:f>IFERROR('各站彙總來源'!L1797/'各站彙總來源'!M1797,"")</x:f>
        <x:v>0.5769230769230769</x:v>
      </x:c>
      <x:c r="M1797" s="19" t="n">
        <x:f>'各站彙總來源'!M1797</x:f>
        <x:v>26</x:v>
      </x:c>
      <x:c r="N1797" s="24" t="n">
        <x:f>F1797+H1797</x:f>
        <x:v>30</x:v>
      </x:c>
      <x:c r="O1797" s="24" t="n">
        <x:f>J1797+L1797</x:f>
        <x:v>4.076923076923077</x:v>
      </x:c>
    </x:row>
    <x:row r="1798">
      <x:c r="A1798" s="22" t="str">
        <x:v>500113074</x:v>
      </x:c>
      <x:c r="B1798" s="17" t="str">
        <x:v>萬華區</x:v>
      </x:c>
      <x:c r="C1798" s="17" t="str">
        <x:v>和平西路二段190巷口</x:v>
      </x:c>
      <x:c r="D1798" s="18" t="n">
        <x:v>26</x:v>
      </x:c>
      <x:c r="E1798" s="18" t="n">
        <x:v>26</x:v>
      </x:c>
      <x:c r="F1798" s="24" t="n">
        <x:f>IFERROR('各站彙總來源'!F1798/'各站彙總來源'!G1798,"")</x:f>
        <x:v>9.576923076923077</x:v>
      </x:c>
      <x:c r="G1798" s="19" t="n">
        <x:f>'各站彙總來源'!G1798</x:f>
        <x:v>26</x:v>
      </x:c>
      <x:c r="H1798" s="24" t="n">
        <x:f>IFERROR('各站彙總來源'!H1798/'各站彙總來源'!I1798,"")</x:f>
        <x:v>1</x:v>
      </x:c>
      <x:c r="I1798" s="19" t="n">
        <x:f>'各站彙總來源'!I1798</x:f>
        <x:v>26</x:v>
      </x:c>
      <x:c r="J1798" s="24" t="n">
        <x:f>IFERROR('各站彙總來源'!J1798/'各站彙總來源'!K1798,"")</x:f>
        <x:v>5.576923076923077</x:v>
      </x:c>
      <x:c r="K1798" s="19" t="n">
        <x:f>'各站彙總來源'!K1798</x:f>
        <x:v>26</x:v>
      </x:c>
      <x:c r="L1798" s="24" t="n">
        <x:f>IFERROR('各站彙總來源'!L1798/'各站彙總來源'!M1798,"")</x:f>
        <x:v>1.3461538461538463</x:v>
      </x:c>
      <x:c r="M1798" s="19" t="n">
        <x:f>'各站彙總來源'!M1798</x:f>
        <x:v>26</x:v>
      </x:c>
      <x:c r="N1798" s="24" t="n">
        <x:f>F1798+H1798</x:f>
        <x:v>10.576923076923077</x:v>
      </x:c>
      <x:c r="O1798" s="24" t="n">
        <x:f>J1798+L1798</x:f>
        <x:v>6.923076923076923</x:v>
      </x:c>
    </x:row>
    <x:row r="1799">
      <x:c r="A1799" s="22" t="str">
        <x:v>500113075</x:v>
      </x:c>
      <x:c r="B1799" s="17" t="str">
        <x:v>萬華區</x:v>
      </x:c>
      <x:c r="C1799" s="17" t="str">
        <x:v>萬大路424巷口</x:v>
      </x:c>
      <x:c r="D1799" s="18" t="n">
        <x:v>26</x:v>
      </x:c>
      <x:c r="E1799" s="18" t="n">
        <x:v>26</x:v>
      </x:c>
      <x:c r="F1799" s="24" t="n">
        <x:f>IFERROR('各站彙總來源'!F1799/'各站彙總來源'!G1799,"")</x:f>
        <x:v>17.692307692307693</x:v>
      </x:c>
      <x:c r="G1799" s="19" t="n">
        <x:f>'各站彙總來源'!G1799</x:f>
        <x:v>26</x:v>
      </x:c>
      <x:c r="H1799" s="24" t="n">
        <x:f>IFERROR('各站彙總來源'!H1799/'各站彙總來源'!I1799,"")</x:f>
        <x:v>1.7307692307692308</x:v>
      </x:c>
      <x:c r="I1799" s="19" t="n">
        <x:f>'各站彙總來源'!I1799</x:f>
        <x:v>26</x:v>
      </x:c>
      <x:c r="J1799" s="24" t="n">
        <x:f>IFERROR('各站彙總來源'!J1799/'各站彙總來源'!K1799,"")</x:f>
        <x:v>4.576923076923077</x:v>
      </x:c>
      <x:c r="K1799" s="19" t="n">
        <x:f>'各站彙總來源'!K1799</x:f>
        <x:v>26</x:v>
      </x:c>
      <x:c r="L1799" s="24" t="n">
        <x:f>IFERROR('各站彙總來源'!L1799/'各站彙總來源'!M1799,"")</x:f>
        <x:v>0.6923076923076923</x:v>
      </x:c>
      <x:c r="M1799" s="19" t="n">
        <x:f>'各站彙總來源'!M1799</x:f>
        <x:v>26</x:v>
      </x:c>
      <x:c r="N1799" s="24" t="n">
        <x:f>F1799+H1799</x:f>
        <x:v>19.423076923076923</x:v>
      </x:c>
      <x:c r="O1799" s="24" t="n">
        <x:f>J1799+L1799</x:f>
        <x:v>5.269230769230769</x:v>
      </x:c>
    </x:row>
    <x:row r="1800">
      <x:c r="A1800" s="22" t="str">
        <x:v>500113076</x:v>
      </x:c>
      <x:c r="B1800" s="17" t="str">
        <x:v>萬華區</x:v>
      </x:c>
      <x:c r="C1800" s="17" t="str">
        <x:v>壽德公園</x:v>
      </x:c>
      <x:c r="D1800" s="18" t="n">
        <x:v>26</x:v>
      </x:c>
      <x:c r="E1800" s="18" t="n">
        <x:v>26</x:v>
      </x:c>
      <x:c r="F1800" s="24" t="n">
        <x:f>IFERROR('各站彙總來源'!F1800/'各站彙總來源'!G1800,"")</x:f>
        <x:v>0</x:v>
      </x:c>
      <x:c r="G1800" s="19" t="n">
        <x:f>'各站彙總來源'!G1800</x:f>
        <x:v>26</x:v>
      </x:c>
      <x:c r="H1800" s="24" t="n">
        <x:f>IFERROR('各站彙總來源'!H1800/'各站彙總來源'!I1800,"")</x:f>
        <x:v>0</x:v>
      </x:c>
      <x:c r="I1800" s="19" t="n">
        <x:f>'各站彙總來源'!I1800</x:f>
        <x:v>26</x:v>
      </x:c>
      <x:c r="J1800" s="24" t="n">
        <x:f>IFERROR('各站彙總來源'!J1800/'各站彙總來源'!K1800,"")</x:f>
        <x:v>0</x:v>
      </x:c>
      <x:c r="K1800" s="19" t="n">
        <x:f>'各站彙總來源'!K1800</x:f>
        <x:v>26</x:v>
      </x:c>
      <x:c r="L1800" s="24" t="n">
        <x:f>IFERROR('各站彙總來源'!L1800/'各站彙總來源'!M1800,"")</x:f>
        <x:v>0</x:v>
      </x:c>
      <x:c r="M1800" s="19" t="n">
        <x:f>'各站彙總來源'!M1800</x:f>
        <x:v>26</x:v>
      </x:c>
      <x:c r="N1800" s="24" t="n">
        <x:f>F1800+H1800</x:f>
        <x:v>0</x:v>
      </x:c>
      <x:c r="O1800" s="24" t="n">
        <x:f>J1800+L1800</x:f>
        <x:v>0</x:v>
      </x:c>
    </x:row>
    <x:row r="1801">
      <x:c r="A1801" s="22" t="str">
        <x:v>500113077</x:v>
      </x:c>
      <x:c r="B1801" s="17" t="str">
        <x:v>萬華區</x:v>
      </x:c>
      <x:c r="C1801" s="17" t="str">
        <x:v>長泰街52巷口</x:v>
      </x:c>
      <x:c r="D1801" s="18" t="n">
        <x:v>26</x:v>
      </x:c>
      <x:c r="E1801" s="18" t="n">
        <x:v>26</x:v>
      </x:c>
      <x:c r="F1801" s="24" t="n">
        <x:f>IFERROR('各站彙總來源'!F1801/'各站彙總來源'!G1801,"")</x:f>
        <x:v>18.153846153846153</x:v>
      </x:c>
      <x:c r="G1801" s="19" t="n">
        <x:f>'各站彙總來源'!G1801</x:f>
        <x:v>26</x:v>
      </x:c>
      <x:c r="H1801" s="24" t="n">
        <x:f>IFERROR('各站彙總來源'!H1801/'各站彙總來源'!I1801,"")</x:f>
        <x:v>1.1538461538461537</x:v>
      </x:c>
      <x:c r="I1801" s="19" t="n">
        <x:f>'各站彙總來源'!I1801</x:f>
        <x:v>26</x:v>
      </x:c>
      <x:c r="J1801" s="24" t="n">
        <x:f>IFERROR('各站彙總來源'!J1801/'各站彙總來源'!K1801,"")</x:f>
        <x:v>6.653846153846154</x:v>
      </x:c>
      <x:c r="K1801" s="19" t="n">
        <x:f>'各站彙總來源'!K1801</x:f>
        <x:v>26</x:v>
      </x:c>
      <x:c r="L1801" s="24" t="n">
        <x:f>IFERROR('各站彙總來源'!L1801/'各站彙總來源'!M1801,"")</x:f>
        <x:v>1</x:v>
      </x:c>
      <x:c r="M1801" s="19" t="n">
        <x:f>'各站彙總來源'!M1801</x:f>
        <x:v>26</x:v>
      </x:c>
      <x:c r="N1801" s="24" t="n">
        <x:f>F1801+H1801</x:f>
        <x:v>19.307692307692307</x:v>
      </x:c>
      <x:c r="O1801" s="24" t="n">
        <x:f>J1801+L1801</x:f>
        <x:v>7.653846153846154</x:v>
      </x:c>
    </x:row>
    <x:row r="1802">
      <x:c r="A1802" s="22" t="str">
        <x:v>500113078</x:v>
      </x:c>
      <x:c r="B1802" s="17" t="str">
        <x:v>萬華區</x:v>
      </x:c>
      <x:c r="C1802" s="17" t="str">
        <x:v>水源青年路口</x:v>
      </x:c>
      <x:c r="D1802" s="18" t="n">
        <x:v>26</x:v>
      </x:c>
      <x:c r="E1802" s="18" t="n">
        <x:v>26</x:v>
      </x:c>
      <x:c r="F1802" s="24" t="n">
        <x:f>IFERROR('各站彙總來源'!F1802/'各站彙總來源'!G1802,"")</x:f>
        <x:v>12.846153846153847</x:v>
      </x:c>
      <x:c r="G1802" s="19" t="n">
        <x:f>'各站彙總來源'!G1802</x:f>
        <x:v>26</x:v>
      </x:c>
      <x:c r="H1802" s="24" t="n">
        <x:f>IFERROR('各站彙總來源'!H1802/'各站彙總來源'!I1802,"")</x:f>
        <x:v>3.5384615384615383</x:v>
      </x:c>
      <x:c r="I1802" s="19" t="n">
        <x:f>'各站彙總來源'!I1802</x:f>
        <x:v>26</x:v>
      </x:c>
      <x:c r="J1802" s="24" t="n">
        <x:f>IFERROR('各站彙總來源'!J1802/'各站彙總來源'!K1802,"")</x:f>
        <x:v>7.269230769230769</x:v>
      </x:c>
      <x:c r="K1802" s="19" t="n">
        <x:f>'各站彙總來源'!K1802</x:f>
        <x:v>26</x:v>
      </x:c>
      <x:c r="L1802" s="24" t="n">
        <x:f>IFERROR('各站彙總來源'!L1802/'各站彙總來源'!M1802,"")</x:f>
        <x:v>1.0384615384615385</x:v>
      </x:c>
      <x:c r="M1802" s="19" t="n">
        <x:f>'各站彙總來源'!M1802</x:f>
        <x:v>26</x:v>
      </x:c>
      <x:c r="N1802" s="24" t="n">
        <x:f>F1802+H1802</x:f>
        <x:v>16.384615384615387</x:v>
      </x:c>
      <x:c r="O1802" s="24" t="n">
        <x:f>J1802+L1802</x:f>
        <x:v>8.307692307692308</x:v>
      </x:c>
    </x:row>
    <x:row r="1803">
      <x:c r="A1803" s="22" t="str">
        <x:v>500113079</x:v>
      </x:c>
      <x:c r="B1803" s="17" t="str">
        <x:v>萬華區</x:v>
      </x:c>
      <x:c r="C1803" s="17" t="str">
        <x:v>青年公園4號出口</x:v>
      </x:c>
      <x:c r="D1803" s="18" t="n">
        <x:v>26</x:v>
      </x:c>
      <x:c r="E1803" s="18" t="n">
        <x:v>26</x:v>
      </x:c>
      <x:c r="F1803" s="24" t="n">
        <x:f>IFERROR('各站彙總來源'!F1803/'各站彙總來源'!G1803,"")</x:f>
        <x:v>22.26923076923077</x:v>
      </x:c>
      <x:c r="G1803" s="19" t="n">
        <x:f>'各站彙總來源'!G1803</x:f>
        <x:v>26</x:v>
      </x:c>
      <x:c r="H1803" s="24" t="n">
        <x:f>IFERROR('各站彙總來源'!H1803/'各站彙總來源'!I1803,"")</x:f>
        <x:v>2.6153846153846154</x:v>
      </x:c>
      <x:c r="I1803" s="19" t="n">
        <x:f>'各站彙總來源'!I1803</x:f>
        <x:v>26</x:v>
      </x:c>
      <x:c r="J1803" s="24" t="n">
        <x:f>IFERROR('各站彙總來源'!J1803/'各站彙總來源'!K1803,"")</x:f>
        <x:v>6.884615384615385</x:v>
      </x:c>
      <x:c r="K1803" s="19" t="n">
        <x:f>'各站彙總來源'!K1803</x:f>
        <x:v>26</x:v>
      </x:c>
      <x:c r="L1803" s="24" t="n">
        <x:f>IFERROR('各站彙總來源'!L1803/'各站彙總來源'!M1803,"")</x:f>
        <x:v>0.8076923076923077</x:v>
      </x:c>
      <x:c r="M1803" s="19" t="n">
        <x:f>'各站彙總來源'!M1803</x:f>
        <x:v>26</x:v>
      </x:c>
      <x:c r="N1803" s="24" t="n">
        <x:f>F1803+H1803</x:f>
        <x:v>24.884615384615387</x:v>
      </x:c>
      <x:c r="O1803" s="24" t="n">
        <x:f>J1803+L1803</x:f>
        <x:v>7.6923076923076925</x:v>
      </x:c>
    </x:row>
    <x:row r="1804">
      <x:c r="A1804" s="22" t="str">
        <x:v>500113080</x:v>
      </x:c>
      <x:c r="B1804" s="17" t="str">
        <x:v>萬華區</x:v>
      </x:c>
      <x:c r="C1804" s="17" t="str">
        <x:v>祥安水岸景觀大廈</x:v>
      </x:c>
      <x:c r="D1804" s="18" t="n">
        <x:v>26</x:v>
      </x:c>
      <x:c r="E1804" s="18" t="n">
        <x:v>26</x:v>
      </x:c>
      <x:c r="F1804" s="24" t="n">
        <x:f>IFERROR('各站彙總來源'!F1804/'各站彙總來源'!G1804,"")</x:f>
        <x:v>10.653846153846153</x:v>
      </x:c>
      <x:c r="G1804" s="19" t="n">
        <x:f>'各站彙總來源'!G1804</x:f>
        <x:v>26</x:v>
      </x:c>
      <x:c r="H1804" s="24" t="n">
        <x:f>IFERROR('各站彙總來源'!H1804/'各站彙總來源'!I1804,"")</x:f>
        <x:v>1.1538461538461537</x:v>
      </x:c>
      <x:c r="I1804" s="19" t="n">
        <x:f>'各站彙總來源'!I1804</x:f>
        <x:v>26</x:v>
      </x:c>
      <x:c r="J1804" s="24" t="n">
        <x:f>IFERROR('各站彙總來源'!J1804/'各站彙總來源'!K1804,"")</x:f>
        <x:v>4.538461538461538</x:v>
      </x:c>
      <x:c r="K1804" s="19" t="n">
        <x:f>'各站彙總來源'!K1804</x:f>
        <x:v>26</x:v>
      </x:c>
      <x:c r="L1804" s="24" t="n">
        <x:f>IFERROR('各站彙總來源'!L1804/'各站彙總來源'!M1804,"")</x:f>
        <x:v>0.4230769230769231</x:v>
      </x:c>
      <x:c r="M1804" s="19" t="n">
        <x:f>'各站彙總來源'!M1804</x:f>
        <x:v>26</x:v>
      </x:c>
      <x:c r="N1804" s="24" t="n">
        <x:f>F1804+H1804</x:f>
        <x:v>11.807692307692307</x:v>
      </x:c>
      <x:c r="O1804" s="24" t="n">
        <x:f>J1804+L1804</x:f>
        <x:v>4.961538461538462</x:v>
      </x:c>
    </x:row>
    <x:row r="1805">
      <x:c r="A1805" s="22" t="str">
        <x:v>500113081</x:v>
      </x:c>
      <x:c r="B1805" s="17" t="str">
        <x:v>萬華區</x:v>
      </x:c>
      <x:c r="C1805" s="17" t="str">
        <x:v>大理高中(西藏路)</x:v>
      </x:c>
      <x:c r="D1805" s="18" t="n">
        <x:v>26</x:v>
      </x:c>
      <x:c r="E1805" s="18" t="n">
        <x:v>26</x:v>
      </x:c>
      <x:c r="F1805" s="24" t="n">
        <x:f>IFERROR('各站彙總來源'!F1805/'各站彙總來源'!G1805,"")</x:f>
        <x:v>5.923076923076923</x:v>
      </x:c>
      <x:c r="G1805" s="19" t="n">
        <x:f>'各站彙總來源'!G1805</x:f>
        <x:v>26</x:v>
      </x:c>
      <x:c r="H1805" s="24" t="n">
        <x:f>IFERROR('各站彙總來源'!H1805/'各站彙總來源'!I1805,"")</x:f>
        <x:v>1.7307692307692308</x:v>
      </x:c>
      <x:c r="I1805" s="19" t="n">
        <x:f>'各站彙總來源'!I1805</x:f>
        <x:v>26</x:v>
      </x:c>
      <x:c r="J1805" s="24" t="n">
        <x:f>IFERROR('各站彙總來源'!J1805/'各站彙總來源'!K1805,"")</x:f>
        <x:v>20.346153846153847</x:v>
      </x:c>
      <x:c r="K1805" s="19" t="n">
        <x:f>'各站彙總來源'!K1805</x:f>
        <x:v>26</x:v>
      </x:c>
      <x:c r="L1805" s="24" t="n">
        <x:f>IFERROR('各站彙總來源'!L1805/'各站彙總來源'!M1805,"")</x:f>
        <x:v>1.7692307692307692</x:v>
      </x:c>
      <x:c r="M1805" s="19" t="n">
        <x:f>'各站彙總來源'!M1805</x:f>
        <x:v>26</x:v>
      </x:c>
      <x:c r="N1805" s="24" t="n">
        <x:f>F1805+H1805</x:f>
        <x:v>7.653846153846154</x:v>
      </x:c>
      <x:c r="O1805" s="24" t="n">
        <x:f>J1805+L1805</x:f>
        <x:v>22.115384615384617</x:v>
      </x:c>
    </x:row>
    <x:row r="1806">
      <x:c r="A1806" s="22" t="str">
        <x:v>500113082</x:v>
      </x:c>
      <x:c r="B1806" s="17" t="str">
        <x:v>萬華區</x:v>
      </x:c>
      <x:c r="C1806" s="17" t="str">
        <x:v>大理公園</x:v>
      </x:c>
      <x:c r="D1806" s="18" t="n">
        <x:v>26</x:v>
      </x:c>
      <x:c r="E1806" s="18" t="n">
        <x:v>26</x:v>
      </x:c>
      <x:c r="F1806" s="24" t="n">
        <x:f>IFERROR('各站彙總來源'!F1806/'各站彙總來源'!G1806,"")</x:f>
        <x:v>0</x:v>
      </x:c>
      <x:c r="G1806" s="19" t="n">
        <x:f>'各站彙總來源'!G1806</x:f>
        <x:v>26</x:v>
      </x:c>
      <x:c r="H1806" s="24" t="n">
        <x:f>IFERROR('各站彙總來源'!H1806/'各站彙總來源'!I1806,"")</x:f>
        <x:v>0</x:v>
      </x:c>
      <x:c r="I1806" s="19" t="n">
        <x:f>'各站彙總來源'!I1806</x:f>
        <x:v>26</x:v>
      </x:c>
      <x:c r="J1806" s="24" t="n">
        <x:f>IFERROR('各站彙總來源'!J1806/'各站彙總來源'!K1806,"")</x:f>
        <x:v>0</x:v>
      </x:c>
      <x:c r="K1806" s="19" t="n">
        <x:f>'各站彙總來源'!K1806</x:f>
        <x:v>26</x:v>
      </x:c>
      <x:c r="L1806" s="24" t="n">
        <x:f>IFERROR('各站彙總來源'!L1806/'各站彙總來源'!M1806,"")</x:f>
        <x:v>0</x:v>
      </x:c>
      <x:c r="M1806" s="19" t="n">
        <x:f>'各站彙總來源'!M1806</x:f>
        <x:v>26</x:v>
      </x:c>
      <x:c r="N1806" s="24" t="n">
        <x:f>F1806+H1806</x:f>
        <x:v>0</x:v>
      </x:c>
      <x:c r="O1806" s="24" t="n">
        <x:f>J1806+L1806</x:f>
        <x:v>0</x:v>
      </x:c>
    </x:row>
    <x:row r="1807">
      <x:c r="A1807" s="22" t="str">
        <x:v>500113083</x:v>
      </x:c>
      <x:c r="B1807" s="17" t="str">
        <x:v>萬華區</x:v>
      </x:c>
      <x:c r="C1807" s="17" t="str">
        <x:v>綠堤公園(西北側)</x:v>
      </x:c>
      <x:c r="D1807" s="18" t="n">
        <x:v>26</x:v>
      </x:c>
      <x:c r="E1807" s="18" t="n">
        <x:v>26</x:v>
      </x:c>
      <x:c r="F1807" s="24" t="n">
        <x:f>IFERROR('各站彙總來源'!F1807/'各站彙總來源'!G1807,"")</x:f>
        <x:v>8.73076923076923</x:v>
      </x:c>
      <x:c r="G1807" s="19" t="n">
        <x:f>'各站彙總來源'!G1807</x:f>
        <x:v>26</x:v>
      </x:c>
      <x:c r="H1807" s="24" t="n">
        <x:f>IFERROR('各站彙總來源'!H1807/'各站彙總來源'!I1807,"")</x:f>
        <x:v>0.9230769230769231</x:v>
      </x:c>
      <x:c r="I1807" s="19" t="n">
        <x:f>'各站彙總來源'!I1807</x:f>
        <x:v>26</x:v>
      </x:c>
      <x:c r="J1807" s="24" t="n">
        <x:f>IFERROR('各站彙總來源'!J1807/'各站彙總來源'!K1807,"")</x:f>
        <x:v>2.9615384615384617</x:v>
      </x:c>
      <x:c r="K1807" s="19" t="n">
        <x:f>'各站彙總來源'!K1807</x:f>
        <x:v>26</x:v>
      </x:c>
      <x:c r="L1807" s="24" t="n">
        <x:f>IFERROR('各站彙總來源'!L1807/'各站彙總來源'!M1807,"")</x:f>
        <x:v>0.2692307692307692</x:v>
      </x:c>
      <x:c r="M1807" s="19" t="n">
        <x:f>'各站彙總來源'!M1807</x:f>
        <x:v>26</x:v>
      </x:c>
      <x:c r="N1807" s="24" t="n">
        <x:f>F1807+H1807</x:f>
        <x:v>9.653846153846153</x:v>
      </x:c>
      <x:c r="O1807" s="24" t="n">
        <x:f>J1807+L1807</x:f>
        <x:v>3.230769230769231</x:v>
      </x:c>
    </x:row>
    <x:row r="1808">
      <x:c r="A1808" s="22" t="str">
        <x:v>500113084</x:v>
      </x:c>
      <x:c r="B1808" s="17" t="str">
        <x:v>萬華區</x:v>
      </x:c>
      <x:c r="C1808" s="17" t="str">
        <x:v>大理街160巷26弄口</x:v>
      </x:c>
      <x:c r="D1808" s="18" t="n">
        <x:v>26</x:v>
      </x:c>
      <x:c r="E1808" s="18" t="n">
        <x:v>26</x:v>
      </x:c>
      <x:c r="F1808" s="24" t="n">
        <x:f>IFERROR('各站彙總來源'!F1808/'各站彙總來源'!G1808,"")</x:f>
        <x:v>0</x:v>
      </x:c>
      <x:c r="G1808" s="19" t="n">
        <x:f>'各站彙總來源'!G1808</x:f>
        <x:v>26</x:v>
      </x:c>
      <x:c r="H1808" s="24" t="n">
        <x:f>IFERROR('各站彙總來源'!H1808/'各站彙總來源'!I1808,"")</x:f>
        <x:v>0</x:v>
      </x:c>
      <x:c r="I1808" s="19" t="n">
        <x:f>'各站彙總來源'!I1808</x:f>
        <x:v>26</x:v>
      </x:c>
      <x:c r="J1808" s="24" t="n">
        <x:f>IFERROR('各站彙總來源'!J1808/'各站彙總來源'!K1808,"")</x:f>
        <x:v>0</x:v>
      </x:c>
      <x:c r="K1808" s="19" t="n">
        <x:f>'各站彙總來源'!K1808</x:f>
        <x:v>26</x:v>
      </x:c>
      <x:c r="L1808" s="24" t="n">
        <x:f>IFERROR('各站彙總來源'!L1808/'各站彙總來源'!M1808,"")</x:f>
        <x:v>0</x:v>
      </x:c>
      <x:c r="M1808" s="19" t="n">
        <x:f>'各站彙總來源'!M1808</x:f>
        <x:v>26</x:v>
      </x:c>
      <x:c r="N1808" s="24" t="n">
        <x:f>F1808+H1808</x:f>
        <x:v>0</x:v>
      </x:c>
      <x:c r="O1808" s="24" t="n">
        <x:f>J1808+L1808</x:f>
        <x:v>0</x:v>
      </x:c>
    </x:row>
    <x:row r="1809">
      <x:c r="A1809" s="22" t="str">
        <x:v>500113085</x:v>
      </x:c>
      <x:c r="B1809" s="17" t="str">
        <x:v>萬華區</x:v>
      </x:c>
      <x:c r="C1809" s="17" t="str">
        <x:v>艋舺雙園街口</x:v>
      </x:c>
      <x:c r="D1809" s="18" t="n">
        <x:v>26</x:v>
      </x:c>
      <x:c r="E1809" s="18" t="n">
        <x:v>26</x:v>
      </x:c>
      <x:c r="F1809" s="24" t="n">
        <x:f>IFERROR('各站彙總來源'!F1809/'各站彙總來源'!G1809,"")</x:f>
        <x:v>14.384615384615385</x:v>
      </x:c>
      <x:c r="G1809" s="19" t="n">
        <x:f>'各站彙總來源'!G1809</x:f>
        <x:v>26</x:v>
      </x:c>
      <x:c r="H1809" s="24" t="n">
        <x:f>IFERROR('各站彙總來源'!H1809/'各站彙總來源'!I1809,"")</x:f>
        <x:v>1.2692307692307692</x:v>
      </x:c>
      <x:c r="I1809" s="19" t="n">
        <x:f>'各站彙總來源'!I1809</x:f>
        <x:v>26</x:v>
      </x:c>
      <x:c r="J1809" s="24" t="n">
        <x:f>IFERROR('各站彙總來源'!J1809/'各站彙總來源'!K1809,"")</x:f>
        <x:v>5.038461538461538</x:v>
      </x:c>
      <x:c r="K1809" s="19" t="n">
        <x:f>'各站彙總來源'!K1809</x:f>
        <x:v>26</x:v>
      </x:c>
      <x:c r="L1809" s="24" t="n">
        <x:f>IFERROR('各站彙總來源'!L1809/'各站彙總來源'!M1809,"")</x:f>
        <x:v>1.0384615384615385</x:v>
      </x:c>
      <x:c r="M1809" s="19" t="n">
        <x:f>'各站彙總來源'!M1809</x:f>
        <x:v>26</x:v>
      </x:c>
      <x:c r="N1809" s="24" t="n">
        <x:f>F1809+H1809</x:f>
        <x:v>15.653846153846153</x:v>
      </x:c>
      <x:c r="O1809" s="24" t="n">
        <x:f>J1809+L1809</x:f>
        <x:v>6.076923076923077</x:v>
      </x:c>
    </x:row>
    <x:row r="1810">
      <x:c r="A1810" s="22" t="str">
        <x:v>500113086</x:v>
      </x:c>
      <x:c r="B1810" s="17" t="str">
        <x:v>萬華區</x:v>
      </x:c>
      <x:c r="C1810" s="17" t="str">
        <x:v>德昌街125巷口</x:v>
      </x:c>
      <x:c r="D1810" s="18" t="n">
        <x:v>26</x:v>
      </x:c>
      <x:c r="E1810" s="18" t="n">
        <x:v>26</x:v>
      </x:c>
      <x:c r="F1810" s="24" t="n">
        <x:f>IFERROR('各站彙總來源'!F1810/'各站彙總來源'!G1810,"")</x:f>
        <x:v>18.5</x:v>
      </x:c>
      <x:c r="G1810" s="19" t="n">
        <x:f>'各站彙總來源'!G1810</x:f>
        <x:v>26</x:v>
      </x:c>
      <x:c r="H1810" s="24" t="n">
        <x:f>IFERROR('各站彙總來源'!H1810/'各站彙總來源'!I1810,"")</x:f>
        <x:v>1.6538461538461537</x:v>
      </x:c>
      <x:c r="I1810" s="19" t="n">
        <x:f>'各站彙總來源'!I1810</x:f>
        <x:v>26</x:v>
      </x:c>
      <x:c r="J1810" s="24" t="n">
        <x:f>IFERROR('各站彙總來源'!J1810/'各站彙總來源'!K1810,"")</x:f>
        <x:v>4.576923076923077</x:v>
      </x:c>
      <x:c r="K1810" s="19" t="n">
        <x:f>'各站彙總來源'!K1810</x:f>
        <x:v>26</x:v>
      </x:c>
      <x:c r="L1810" s="24" t="n">
        <x:f>IFERROR('各站彙總來源'!L1810/'各站彙總來源'!M1810,"")</x:f>
        <x:v>0.6538461538461539</x:v>
      </x:c>
      <x:c r="M1810" s="19" t="n">
        <x:f>'各站彙總來源'!M1810</x:f>
        <x:v>26</x:v>
      </x:c>
      <x:c r="N1810" s="24" t="n">
        <x:f>F1810+H1810</x:f>
        <x:v>20.153846153846153</x:v>
      </x:c>
      <x:c r="O1810" s="24" t="n">
        <x:f>J1810+L1810</x:f>
        <x:v>5.230769230769231</x:v>
      </x:c>
    </x:row>
    <x:row r="1811">
      <x:c r="A1811" s="22" t="str">
        <x:v>500113087</x:v>
      </x:c>
      <x:c r="B1811" s="17" t="str">
        <x:v>萬華區</x:v>
      </x:c>
      <x:c r="C1811" s="17" t="str">
        <x:v>萬青街186號</x:v>
      </x:c>
      <x:c r="D1811" s="18" t="n">
        <x:v>26</x:v>
      </x:c>
      <x:c r="E1811" s="18" t="n">
        <x:v>26</x:v>
      </x:c>
      <x:c r="F1811" s="24" t="n">
        <x:f>IFERROR('各站彙總來源'!F1811/'各站彙總來源'!G1811,"")</x:f>
        <x:v>23.76923076923077</x:v>
      </x:c>
      <x:c r="G1811" s="19" t="n">
        <x:f>'各站彙總來源'!G1811</x:f>
        <x:v>26</x:v>
      </x:c>
      <x:c r="H1811" s="24" t="n">
        <x:f>IFERROR('各站彙總來源'!H1811/'各站彙總來源'!I1811,"")</x:f>
        <x:v>2.6923076923076925</x:v>
      </x:c>
      <x:c r="I1811" s="19" t="n">
        <x:f>'各站彙總來源'!I1811</x:f>
        <x:v>26</x:v>
      </x:c>
      <x:c r="J1811" s="24" t="n">
        <x:f>IFERROR('各站彙總來源'!J1811/'各站彙總來源'!K1811,"")</x:f>
        <x:v>6.1923076923076925</x:v>
      </x:c>
      <x:c r="K1811" s="19" t="n">
        <x:f>'各站彙總來源'!K1811</x:f>
        <x:v>26</x:v>
      </x:c>
      <x:c r="L1811" s="24" t="n">
        <x:f>IFERROR('各站彙總來源'!L1811/'各站彙總來源'!M1811,"")</x:f>
        <x:v>0.7307692307692307</x:v>
      </x:c>
      <x:c r="M1811" s="19" t="n">
        <x:f>'各站彙總來源'!M1811</x:f>
        <x:v>26</x:v>
      </x:c>
      <x:c r="N1811" s="24" t="n">
        <x:f>F1811+H1811</x:f>
        <x:v>26.461538461538463</x:v>
      </x:c>
      <x:c r="O1811" s="24" t="n">
        <x:f>J1811+L1811</x:f>
        <x:v>6.923076923076923</x:v>
      </x:c>
    </x:row>
    <x:row r="1812">
      <x:c r="A1812" s="22" t="str">
        <x:v>500113088</x:v>
      </x:c>
      <x:c r="B1812" s="17" t="str">
        <x:v>萬華區</x:v>
      </x:c>
      <x:c r="C1812" s="17" t="str">
        <x:v>艋舺大道/西園路140巷口</x:v>
      </x:c>
      <x:c r="D1812" s="18" t="n">
        <x:v>26</x:v>
      </x:c>
      <x:c r="E1812" s="18" t="n">
        <x:v>26</x:v>
      </x:c>
      <x:c r="F1812" s="24" t="n">
        <x:f>IFERROR('各站彙總來源'!F1812/'各站彙總來源'!G1812,"")</x:f>
        <x:v>21.076923076923077</x:v>
      </x:c>
      <x:c r="G1812" s="19" t="n">
        <x:f>'各站彙總來源'!G1812</x:f>
        <x:v>26</x:v>
      </x:c>
      <x:c r="H1812" s="24" t="n">
        <x:f>IFERROR('各站彙總來源'!H1812/'各站彙總來源'!I1812,"")</x:f>
        <x:v>1.9615384615384615</x:v>
      </x:c>
      <x:c r="I1812" s="19" t="n">
        <x:f>'各站彙總來源'!I1812</x:f>
        <x:v>26</x:v>
      </x:c>
      <x:c r="J1812" s="24" t="n">
        <x:f>IFERROR('各站彙總來源'!J1812/'各站彙總來源'!K1812,"")</x:f>
        <x:v>5.461538461538462</x:v>
      </x:c>
      <x:c r="K1812" s="19" t="n">
        <x:f>'各站彙總來源'!K1812</x:f>
        <x:v>26</x:v>
      </x:c>
      <x:c r="L1812" s="24" t="n">
        <x:f>IFERROR('各站彙總來源'!L1812/'各站彙總來源'!M1812,"")</x:f>
        <x:v>0.6538461538461539</x:v>
      </x:c>
      <x:c r="M1812" s="19" t="n">
        <x:f>'各站彙總來源'!M1812</x:f>
        <x:v>26</x:v>
      </x:c>
      <x:c r="N1812" s="24" t="n">
        <x:f>F1812+H1812</x:f>
        <x:v>23.038461538461537</x:v>
      </x:c>
      <x:c r="O1812" s="24" t="n">
        <x:f>J1812+L1812</x:f>
        <x:v>6.115384615384616</x:v>
      </x:c>
    </x:row>
    <x:row r="1813">
      <x:c r="A1813" s="22" t="str">
        <x:v>500113089</x:v>
      </x:c>
      <x:c r="B1813" s="17" t="str">
        <x:v>萬華區</x:v>
      </x:c>
      <x:c r="C1813" s="17" t="str">
        <x:v>龍山國中(廣州街)</x:v>
      </x:c>
      <x:c r="D1813" s="18" t="n">
        <x:v>26</x:v>
      </x:c>
      <x:c r="E1813" s="18" t="n">
        <x:v>26</x:v>
      </x:c>
      <x:c r="F1813" s="24" t="n">
        <x:f>IFERROR('各站彙總來源'!F1813/'各站彙總來源'!G1813,"")</x:f>
        <x:v>4.115384615384615</x:v>
      </x:c>
      <x:c r="G1813" s="19" t="n">
        <x:f>'各站彙總來源'!G1813</x:f>
        <x:v>26</x:v>
      </x:c>
      <x:c r="H1813" s="24" t="n">
        <x:f>IFERROR('各站彙總來源'!H1813/'各站彙總來源'!I1813,"")</x:f>
        <x:v>0.5769230769230769</x:v>
      </x:c>
      <x:c r="I1813" s="19" t="n">
        <x:f>'各站彙總來源'!I1813</x:f>
        <x:v>26</x:v>
      </x:c>
      <x:c r="J1813" s="24" t="n">
        <x:f>IFERROR('各站彙總來源'!J1813/'各站彙總來源'!K1813,"")</x:f>
        <x:v>10.538461538461538</x:v>
      </x:c>
      <x:c r="K1813" s="19" t="n">
        <x:f>'各站彙總來源'!K1813</x:f>
        <x:v>26</x:v>
      </x:c>
      <x:c r="L1813" s="24" t="n">
        <x:f>IFERROR('各站彙總來源'!L1813/'各站彙總來源'!M1813,"")</x:f>
        <x:v>1</x:v>
      </x:c>
      <x:c r="M1813" s="19" t="n">
        <x:f>'各站彙總來源'!M1813</x:f>
        <x:v>26</x:v>
      </x:c>
      <x:c r="N1813" s="24" t="n">
        <x:f>F1813+H1813</x:f>
        <x:v>4.692307692307692</x:v>
      </x:c>
      <x:c r="O1813" s="24" t="n">
        <x:f>J1813+L1813</x:f>
        <x:v>11.538461538461538</x:v>
      </x:c>
    </x:row>
    <x:row r="1814">
      <x:c r="A1814" s="22" t="str">
        <x:v>500113090</x:v>
      </x:c>
      <x:c r="B1814" s="17" t="str">
        <x:v>萬華區</x:v>
      </x:c>
      <x:c r="C1814" s="17" t="str">
        <x:v>華江高中(西藏路)</x:v>
      </x:c>
      <x:c r="D1814" s="18" t="n">
        <x:v>26</x:v>
      </x:c>
      <x:c r="E1814" s="18" t="n">
        <x:v>26</x:v>
      </x:c>
      <x:c r="F1814" s="24" t="n">
        <x:f>IFERROR('各站彙總來源'!F1814/'各站彙總來源'!G1814,"")</x:f>
        <x:v>4.6923076923076925</x:v>
      </x:c>
      <x:c r="G1814" s="19" t="n">
        <x:f>'各站彙總來源'!G1814</x:f>
        <x:v>26</x:v>
      </x:c>
      <x:c r="H1814" s="24" t="n">
        <x:f>IFERROR('各站彙總來源'!H1814/'各站彙總來源'!I1814,"")</x:f>
        <x:v>0.5384615384615384</x:v>
      </x:c>
      <x:c r="I1814" s="19" t="n">
        <x:f>'各站彙總來源'!I1814</x:f>
        <x:v>26</x:v>
      </x:c>
      <x:c r="J1814" s="24" t="n">
        <x:f>IFERROR('各站彙總來源'!J1814/'各站彙總來源'!K1814,"")</x:f>
        <x:v>23.26923076923077</x:v>
      </x:c>
      <x:c r="K1814" s="19" t="n">
        <x:f>'各站彙總來源'!K1814</x:f>
        <x:v>26</x:v>
      </x:c>
      <x:c r="L1814" s="24" t="n">
        <x:f>IFERROR('各站彙總來源'!L1814/'各站彙總來源'!M1814,"")</x:f>
        <x:v>0.8461538461538461</x:v>
      </x:c>
      <x:c r="M1814" s="19" t="n">
        <x:f>'各站彙總來源'!M1814</x:f>
        <x:v>26</x:v>
      </x:c>
      <x:c r="N1814" s="24" t="n">
        <x:f>F1814+H1814</x:f>
        <x:v>5.230769230769231</x:v>
      </x:c>
      <x:c r="O1814" s="24" t="n">
        <x:f>J1814+L1814</x:f>
        <x:v>24.115384615384617</x:v>
      </x:c>
    </x:row>
    <x:row r="1815">
      <x:c r="A1815" s="22" t="str">
        <x:v>500113091</x:v>
      </x:c>
      <x:c r="B1815" s="17" t="str">
        <x:v>萬華區</x:v>
      </x:c>
      <x:c r="C1815" s="17" t="str">
        <x:v>新和國小(中華路二段416巷)</x:v>
      </x:c>
      <x:c r="D1815" s="18" t="n">
        <x:v>26</x:v>
      </x:c>
      <x:c r="E1815" s="18" t="n">
        <x:v>26</x:v>
      </x:c>
      <x:c r="F1815" s="24" t="n">
        <x:f>IFERROR('各站彙總來源'!F1815/'各站彙總來源'!G1815,"")</x:f>
        <x:v>18.884615384615383</x:v>
      </x:c>
      <x:c r="G1815" s="19" t="n">
        <x:f>'各站彙總來源'!G1815</x:f>
        <x:v>26</x:v>
      </x:c>
      <x:c r="H1815" s="24" t="n">
        <x:f>IFERROR('各站彙總來源'!H1815/'各站彙總來源'!I1815,"")</x:f>
        <x:v>3.730769230769231</x:v>
      </x:c>
      <x:c r="I1815" s="19" t="n">
        <x:f>'各站彙總來源'!I1815</x:f>
        <x:v>26</x:v>
      </x:c>
      <x:c r="J1815" s="24" t="n">
        <x:f>IFERROR('各站彙總來源'!J1815/'各站彙總來源'!K1815,"")</x:f>
        <x:v>5.653846153846154</x:v>
      </x:c>
      <x:c r="K1815" s="19" t="n">
        <x:f>'各站彙總來源'!K1815</x:f>
        <x:v>26</x:v>
      </x:c>
      <x:c r="L1815" s="24" t="n">
        <x:f>IFERROR('各站彙總來源'!L1815/'各站彙總來源'!M1815,"")</x:f>
        <x:v>1.1923076923076923</x:v>
      </x:c>
      <x:c r="M1815" s="19" t="n">
        <x:f>'各站彙總來源'!M1815</x:f>
        <x:v>26</x:v>
      </x:c>
      <x:c r="N1815" s="24" t="n">
        <x:f>F1815+H1815</x:f>
        <x:v>22.615384615384613</x:v>
      </x:c>
      <x:c r="O1815" s="24" t="n">
        <x:f>J1815+L1815</x:f>
        <x:v>6.846153846153847</x:v>
      </x:c>
    </x:row>
    <x:row r="1816">
      <x:c r="A1816" s="22" t="str">
        <x:v>500113092</x:v>
      </x:c>
      <x:c r="B1816" s="17" t="str">
        <x:v>萬華區</x:v>
      </x:c>
      <x:c r="C1816" s="17" t="str">
        <x:v>環南綜合市場(西藏路)</x:v>
      </x:c>
      <x:c r="D1816" s="18" t="n">
        <x:v>26</x:v>
      </x:c>
      <x:c r="E1816" s="18" t="n">
        <x:v>26</x:v>
      </x:c>
      <x:c r="F1816" s="24" t="n">
        <x:f>IFERROR('各站彙總來源'!F1816/'各站彙總來源'!G1816,"")</x:f>
        <x:v>5.3076923076923075</x:v>
      </x:c>
      <x:c r="G1816" s="19" t="n">
        <x:f>'各站彙總來源'!G1816</x:f>
        <x:v>26</x:v>
      </x:c>
      <x:c r="H1816" s="24" t="n">
        <x:f>IFERROR('各站彙總來源'!H1816/'各站彙總來源'!I1816,"")</x:f>
        <x:v>1.1923076923076923</x:v>
      </x:c>
      <x:c r="I1816" s="19" t="n">
        <x:f>'各站彙總來源'!I1816</x:f>
        <x:v>26</x:v>
      </x:c>
      <x:c r="J1816" s="24" t="n">
        <x:f>IFERROR('各站彙總來源'!J1816/'各站彙總來源'!K1816,"")</x:f>
        <x:v>4</x:v>
      </x:c>
      <x:c r="K1816" s="19" t="n">
        <x:f>'各站彙總來源'!K1816</x:f>
        <x:v>26</x:v>
      </x:c>
      <x:c r="L1816" s="24" t="n">
        <x:f>IFERROR('各站彙總來源'!L1816/'各站彙總來源'!M1816,"")</x:f>
        <x:v>0.5384615384615384</x:v>
      </x:c>
      <x:c r="M1816" s="19" t="n">
        <x:f>'各站彙總來源'!M1816</x:f>
        <x:v>26</x:v>
      </x:c>
      <x:c r="N1816" s="24" t="n">
        <x:f>F1816+H1816</x:f>
        <x:v>6.5</x:v>
      </x:c>
      <x:c r="O1816" s="24" t="n">
        <x:f>J1816+L1816</x:f>
        <x:v>4.538461538461538</x:v>
      </x:c>
    </x:row>
    <x:row r="1817">
      <x:c r="A1817" s="22" t="str">
        <x:v>500113093</x:v>
      </x:c>
      <x:c r="B1817" s="17" t="str">
        <x:v>萬華區</x:v>
      </x:c>
      <x:c r="C1817" s="17" t="str">
        <x:v>萬華青年社會住宅(青年路168巷49弄)</x:v>
      </x:c>
      <x:c r="D1817" s="18" t="n">
        <x:v>26</x:v>
      </x:c>
      <x:c r="E1817" s="18" t="n">
        <x:v>26</x:v>
      </x:c>
      <x:c r="F1817" s="24" t="n">
        <x:f>IFERROR('各站彙總來源'!F1817/'各站彙總來源'!G1817,"")</x:f>
        <x:v>17.576923076923077</x:v>
      </x:c>
      <x:c r="G1817" s="19" t="n">
        <x:f>'各站彙總來源'!G1817</x:f>
        <x:v>26</x:v>
      </x:c>
      <x:c r="H1817" s="24" t="n">
        <x:f>IFERROR('各站彙總來源'!H1817/'各站彙總來源'!I1817,"")</x:f>
        <x:v>2.269230769230769</x:v>
      </x:c>
      <x:c r="I1817" s="19" t="n">
        <x:f>'各站彙總來源'!I1817</x:f>
        <x:v>26</x:v>
      </x:c>
      <x:c r="J1817" s="24" t="n">
        <x:f>IFERROR('各站彙總來源'!J1817/'各站彙總來源'!K1817,"")</x:f>
        <x:v>4.153846153846154</x:v>
      </x:c>
      <x:c r="K1817" s="19" t="n">
        <x:f>'各站彙總來源'!K1817</x:f>
        <x:v>26</x:v>
      </x:c>
      <x:c r="L1817" s="24" t="n">
        <x:f>IFERROR('各站彙總來源'!L1817/'各站彙總來源'!M1817,"")</x:f>
        <x:v>0.4230769230769231</x:v>
      </x:c>
      <x:c r="M1817" s="19" t="n">
        <x:f>'各站彙總來源'!M1817</x:f>
        <x:v>26</x:v>
      </x:c>
      <x:c r="N1817" s="24" t="n">
        <x:f>F1817+H1817</x:f>
        <x:v>19.846153846153847</x:v>
      </x:c>
      <x:c r="O1817" s="24" t="n">
        <x:f>J1817+L1817</x:f>
        <x:v>4.5769230769230775</x:v>
      </x:c>
    </x:row>
    <x:row r="1818">
      <x:c r="A1818" s="22" t="str">
        <x:v>500113094</x:v>
      </x:c>
      <x:c r="B1818" s="17" t="str">
        <x:v>萬華區</x:v>
      </x:c>
      <x:c r="C1818" s="17" t="str">
        <x:v>萬華51號公園</x:v>
      </x:c>
      <x:c r="D1818" s="18" t="n">
        <x:v>26</x:v>
      </x:c>
      <x:c r="E1818" s="18" t="n">
        <x:v>26</x:v>
      </x:c>
      <x:c r="F1818" s="24" t="n">
        <x:f>IFERROR('各站彙總來源'!F1818/'各站彙總來源'!G1818,"")</x:f>
        <x:v>7.961538461538462</x:v>
      </x:c>
      <x:c r="G1818" s="19" t="n">
        <x:f>'各站彙總來源'!G1818</x:f>
        <x:v>26</x:v>
      </x:c>
      <x:c r="H1818" s="24" t="n">
        <x:f>IFERROR('各站彙總來源'!H1818/'各站彙總來源'!I1818,"")</x:f>
        <x:v>2.923076923076923</x:v>
      </x:c>
      <x:c r="I1818" s="19" t="n">
        <x:f>'各站彙總來源'!I1818</x:f>
        <x:v>26</x:v>
      </x:c>
      <x:c r="J1818" s="24" t="n">
        <x:f>IFERROR('各站彙總來源'!J1818/'各站彙總來源'!K1818,"")</x:f>
        <x:v>15.5</x:v>
      </x:c>
      <x:c r="K1818" s="19" t="n">
        <x:f>'各站彙總來源'!K1818</x:f>
        <x:v>26</x:v>
      </x:c>
      <x:c r="L1818" s="24" t="n">
        <x:f>IFERROR('各站彙總來源'!L1818/'各站彙總來源'!M1818,"")</x:f>
        <x:v>1.6153846153846154</x:v>
      </x:c>
      <x:c r="M1818" s="19" t="n">
        <x:f>'各站彙總來源'!M1818</x:f>
        <x:v>26</x:v>
      </x:c>
      <x:c r="N1818" s="24" t="n">
        <x:f>F1818+H1818</x:f>
        <x:v>10.884615384615385</x:v>
      </x:c>
      <x:c r="O1818" s="24" t="n">
        <x:f>J1818+L1818</x:f>
        <x:v>17.115384615384617</x:v>
      </x:c>
    </x:row>
    <x:row r="1819">
      <x:c r="A1819" s="22" t="str">
        <x:v>500113095</x:v>
      </x:c>
      <x:c r="B1819" s="17" t="str">
        <x:v>萬華區</x:v>
      </x:c>
      <x:c r="C1819" s="17" t="str">
        <x:v>萬華區公所(大理街)</x:v>
      </x:c>
      <x:c r="D1819" s="18" t="n">
        <x:v>26</x:v>
      </x:c>
      <x:c r="E1819" s="18" t="n">
        <x:v>26</x:v>
      </x:c>
      <x:c r="F1819" s="24" t="n">
        <x:f>IFERROR('各站彙總來源'!F1819/'各站彙總來源'!G1819,"")</x:f>
        <x:v>19.576923076923077</x:v>
      </x:c>
      <x:c r="G1819" s="19" t="n">
        <x:f>'各站彙總來源'!G1819</x:f>
        <x:v>26</x:v>
      </x:c>
      <x:c r="H1819" s="24" t="n">
        <x:f>IFERROR('各站彙總來源'!H1819/'各站彙總來源'!I1819,"")</x:f>
        <x:v>2.6538461538461537</x:v>
      </x:c>
      <x:c r="I1819" s="19" t="n">
        <x:f>'各站彙總來源'!I1819</x:f>
        <x:v>26</x:v>
      </x:c>
      <x:c r="J1819" s="24" t="n">
        <x:f>IFERROR('各站彙總來源'!J1819/'各站彙總來源'!K1819,"")</x:f>
        <x:v>20.03846153846154</x:v>
      </x:c>
      <x:c r="K1819" s="19" t="n">
        <x:f>'各站彙總來源'!K1819</x:f>
        <x:v>26</x:v>
      </x:c>
      <x:c r="L1819" s="24" t="n">
        <x:f>IFERROR('各站彙總來源'!L1819/'各站彙總來源'!M1819,"")</x:f>
        <x:v>1.8461538461538463</x:v>
      </x:c>
      <x:c r="M1819" s="19" t="n">
        <x:f>'各站彙總來源'!M1819</x:f>
        <x:v>26</x:v>
      </x:c>
      <x:c r="N1819" s="24" t="n">
        <x:f>F1819+H1819</x:f>
        <x:v>22.23076923076923</x:v>
      </x:c>
      <x:c r="O1819" s="24" t="n">
        <x:f>J1819+L1819</x:f>
        <x:v>21.884615384615387</x:v>
      </x:c>
    </x:row>
    <x:row r="1820">
      <x:c r="A1820" s="22" t="str">
        <x:v>500113096</x:v>
      </x:c>
      <x:c r="B1820" s="17" t="str">
        <x:v>萬華區</x:v>
      </x:c>
      <x:c r="C1820" s="17" t="str">
        <x:v>環河南路一段350巷口</x:v>
      </x:c>
      <x:c r="D1820" s="18" t="n">
        <x:v>26</x:v>
      </x:c>
      <x:c r="E1820" s="18" t="n">
        <x:v>26</x:v>
      </x:c>
      <x:c r="F1820" s="24" t="n">
        <x:f>IFERROR('各站彙總來源'!F1820/'各站彙總來源'!G1820,"")</x:f>
        <x:v>13.461538461538462</x:v>
      </x:c>
      <x:c r="G1820" s="19" t="n">
        <x:f>'各站彙總來源'!G1820</x:f>
        <x:v>26</x:v>
      </x:c>
      <x:c r="H1820" s="24" t="n">
        <x:f>IFERROR('各站彙總來源'!H1820/'各站彙總來源'!I1820,"")</x:f>
        <x:v>2.1153846153846154</x:v>
      </x:c>
      <x:c r="I1820" s="19" t="n">
        <x:f>'各站彙總來源'!I1820</x:f>
        <x:v>26</x:v>
      </x:c>
      <x:c r="J1820" s="24" t="n">
        <x:f>IFERROR('各站彙總來源'!J1820/'各站彙總來源'!K1820,"")</x:f>
        <x:v>9.307692307692308</x:v>
      </x:c>
      <x:c r="K1820" s="19" t="n">
        <x:f>'各站彙總來源'!K1820</x:f>
        <x:v>26</x:v>
      </x:c>
      <x:c r="L1820" s="24" t="n">
        <x:f>IFERROR('各站彙總來源'!L1820/'各站彙總來源'!M1820,"")</x:f>
        <x:v>1.4615384615384615</x:v>
      </x:c>
      <x:c r="M1820" s="19" t="n">
        <x:f>'各站彙總來源'!M1820</x:f>
        <x:v>26</x:v>
      </x:c>
      <x:c r="N1820" s="24" t="n">
        <x:f>F1820+H1820</x:f>
        <x:v>15.576923076923077</x:v>
      </x:c>
      <x:c r="O1820" s="24" t="n">
        <x:f>J1820+L1820</x:f>
        <x:v>10.76923076923077</x:v>
      </x:c>
    </x:row>
    <x:row r="1821">
      <x:c r="A1821" s="22" t="str">
        <x:v>500113097</x:v>
      </x:c>
      <x:c r="B1821" s="17" t="str">
        <x:v>萬華區</x:v>
      </x:c>
      <x:c r="C1821" s="17" t="str">
        <x:v>萬華安居社會住宅B區</x:v>
      </x:c>
      <x:c r="D1821" s="18" t="n">
        <x:v>26</x:v>
      </x:c>
      <x:c r="E1821" s="18" t="n">
        <x:v>26</x:v>
      </x:c>
      <x:c r="F1821" s="24" t="n">
        <x:f>IFERROR('各站彙總來源'!F1821/'各站彙總來源'!G1821,"")</x:f>
        <x:v>27.692307692307693</x:v>
      </x:c>
      <x:c r="G1821" s="19" t="n">
        <x:f>'各站彙總來源'!G1821</x:f>
        <x:v>26</x:v>
      </x:c>
      <x:c r="H1821" s="24" t="n">
        <x:f>IFERROR('各站彙總來源'!H1821/'各站彙總來源'!I1821,"")</x:f>
        <x:v>4.076923076923077</x:v>
      </x:c>
      <x:c r="I1821" s="19" t="n">
        <x:f>'各站彙總來源'!I1821</x:f>
        <x:v>26</x:v>
      </x:c>
      <x:c r="J1821" s="24" t="n">
        <x:f>IFERROR('各站彙總來源'!J1821/'各站彙總來源'!K1821,"")</x:f>
        <x:v>5.384615384615385</x:v>
      </x:c>
      <x:c r="K1821" s="19" t="n">
        <x:f>'各站彙總來源'!K1821</x:f>
        <x:v>26</x:v>
      </x:c>
      <x:c r="L1821" s="24" t="n">
        <x:f>IFERROR('各站彙總來源'!L1821/'各站彙總來源'!M1821,"")</x:f>
        <x:v>1.1923076923076923</x:v>
      </x:c>
      <x:c r="M1821" s="19" t="n">
        <x:f>'各站彙總來源'!M1821</x:f>
        <x:v>26</x:v>
      </x:c>
      <x:c r="N1821" s="24" t="n">
        <x:f>F1821+H1821</x:f>
        <x:v>31.76923076923077</x:v>
      </x:c>
      <x:c r="O1821" s="24" t="n">
        <x:f>J1821+L1821</x:f>
        <x:v>6.5769230769230775</x:v>
      </x:c>
    </x:row>
    <x:row r="1822">
      <x:c r="A1822" s="22" t="str">
        <x:v>500113098</x:v>
      </x:c>
      <x:c r="B1822" s="17" t="str">
        <x:v>萬華區</x:v>
      </x:c>
      <x:c r="C1822" s="17" t="str">
        <x:v>青年公園(西藏路125巷口)</x:v>
      </x:c>
      <x:c r="D1822" s="18" t="n">
        <x:v>26</x:v>
      </x:c>
      <x:c r="E1822" s="18" t="n">
        <x:v>26</x:v>
      </x:c>
      <x:c r="F1822" s="24" t="n">
        <x:f>IFERROR('各站彙總來源'!F1822/'各站彙總來源'!G1822,"")</x:f>
        <x:v>11.153846153846153</x:v>
      </x:c>
      <x:c r="G1822" s="19" t="n">
        <x:f>'各站彙總來源'!G1822</x:f>
        <x:v>26</x:v>
      </x:c>
      <x:c r="H1822" s="24" t="n">
        <x:f>IFERROR('各站彙總來源'!H1822/'各站彙總來源'!I1822,"")</x:f>
        <x:v>2.269230769230769</x:v>
      </x:c>
      <x:c r="I1822" s="19" t="n">
        <x:f>'各站彙總來源'!I1822</x:f>
        <x:v>26</x:v>
      </x:c>
      <x:c r="J1822" s="24" t="n">
        <x:f>IFERROR('各站彙總來源'!J1822/'各站彙總來源'!K1822,"")</x:f>
        <x:v>4.5</x:v>
      </x:c>
      <x:c r="K1822" s="19" t="n">
        <x:f>'各站彙總來源'!K1822</x:f>
        <x:v>26</x:v>
      </x:c>
      <x:c r="L1822" s="24" t="n">
        <x:f>IFERROR('各站彙總來源'!L1822/'各站彙總來源'!M1822,"")</x:f>
        <x:v>0.7692307692307693</x:v>
      </x:c>
      <x:c r="M1822" s="19" t="n">
        <x:f>'各站彙總來源'!M1822</x:f>
        <x:v>26</x:v>
      </x:c>
      <x:c r="N1822" s="24" t="n">
        <x:f>F1822+H1822</x:f>
        <x:v>13.423076923076923</x:v>
      </x:c>
      <x:c r="O1822" s="24" t="n">
        <x:f>J1822+L1822</x:f>
        <x:v>5.269230769230769</x:v>
      </x:c>
    </x:row>
    <x:row r="1823">
      <x:c r="A1823" s="22" t="str">
        <x:v>500113099</x:v>
      </x:c>
      <x:c r="B1823" s="17" t="str">
        <x:v>萬華區</x:v>
      </x:c>
      <x:c r="C1823" s="17" t="str">
        <x:v>漢口街二段53巷口</x:v>
      </x:c>
      <x:c r="D1823" s="18" t="n">
        <x:v>26</x:v>
      </x:c>
      <x:c r="E1823" s="18" t="n">
        <x:v>26</x:v>
      </x:c>
      <x:c r="F1823" s="24" t="n">
        <x:f>IFERROR('各站彙總來源'!F1823/'各站彙總來源'!G1823,"")</x:f>
        <x:v>6.423076923076923</x:v>
      </x:c>
      <x:c r="G1823" s="19" t="n">
        <x:f>'各站彙總來源'!G1823</x:f>
        <x:v>26</x:v>
      </x:c>
      <x:c r="H1823" s="24" t="n">
        <x:f>IFERROR('各站彙總來源'!H1823/'各站彙總來源'!I1823,"")</x:f>
        <x:v>0.7307692307692307</x:v>
      </x:c>
      <x:c r="I1823" s="19" t="n">
        <x:f>'各站彙總來源'!I1823</x:f>
        <x:v>26</x:v>
      </x:c>
      <x:c r="J1823" s="24" t="n">
        <x:f>IFERROR('各站彙總來源'!J1823/'各站彙總來源'!K1823,"")</x:f>
        <x:v>8.923076923076923</x:v>
      </x:c>
      <x:c r="K1823" s="19" t="n">
        <x:f>'各站彙總來源'!K1823</x:f>
        <x:v>26</x:v>
      </x:c>
      <x:c r="L1823" s="24" t="n">
        <x:f>IFERROR('各站彙總來源'!L1823/'各站彙總來源'!M1823,"")</x:f>
        <x:v>1.8076923076923077</x:v>
      </x:c>
      <x:c r="M1823" s="19" t="n">
        <x:f>'各站彙總來源'!M1823</x:f>
        <x:v>26</x:v>
      </x:c>
      <x:c r="N1823" s="24" t="n">
        <x:f>F1823+H1823</x:f>
        <x:v>7.153846153846154</x:v>
      </x:c>
      <x:c r="O1823" s="24" t="n">
        <x:f>J1823+L1823</x:f>
        <x:v>10.730769230769232</x:v>
      </x:c>
    </x:row>
    <x:row r="1824">
      <x:c r="A1824" s="22" t="str">
        <x:v>500113100</x:v>
      </x:c>
      <x:c r="B1824" s="17" t="str">
        <x:v>萬華區</x:v>
      </x:c>
      <x:c r="C1824" s="17" t="str">
        <x:v>環河福德宮</x:v>
      </x:c>
      <x:c r="D1824" s="18" t="n">
        <x:v>26</x:v>
      </x:c>
      <x:c r="E1824" s="18" t="n">
        <x:v>26</x:v>
      </x:c>
      <x:c r="F1824" s="24" t="n">
        <x:f>IFERROR('各站彙總來源'!F1824/'各站彙總來源'!G1824,"")</x:f>
        <x:v>11.384615384615385</x:v>
      </x:c>
      <x:c r="G1824" s="19" t="n">
        <x:f>'各站彙總來源'!G1824</x:f>
        <x:v>26</x:v>
      </x:c>
      <x:c r="H1824" s="24" t="n">
        <x:f>IFERROR('各站彙總來源'!H1824/'各站彙總來源'!I1824,"")</x:f>
        <x:v>1.1153846153846154</x:v>
      </x:c>
      <x:c r="I1824" s="19" t="n">
        <x:f>'各站彙總來源'!I1824</x:f>
        <x:v>26</x:v>
      </x:c>
      <x:c r="J1824" s="24" t="n">
        <x:f>IFERROR('各站彙總來源'!J1824/'各站彙總來源'!K1824,"")</x:f>
        <x:v>10</x:v>
      </x:c>
      <x:c r="K1824" s="19" t="n">
        <x:f>'各站彙總來源'!K1824</x:f>
        <x:v>26</x:v>
      </x:c>
      <x:c r="L1824" s="24" t="n">
        <x:f>IFERROR('各站彙總來源'!L1824/'各站彙總來源'!M1824,"")</x:f>
        <x:v>0.5384615384615384</x:v>
      </x:c>
      <x:c r="M1824" s="19" t="n">
        <x:f>'各站彙總來源'!M1824</x:f>
        <x:v>26</x:v>
      </x:c>
      <x:c r="N1824" s="24" t="n">
        <x:f>F1824+H1824</x:f>
        <x:v>12.5</x:v>
      </x:c>
      <x:c r="O1824" s="24" t="n">
        <x:f>J1824+L1824</x:f>
        <x:v>10.538461538461538</x:v>
      </x:c>
    </x:row>
    <x:row r="1825">
      <x:c r="A1825" s="22" t="str">
        <x:v>500113101</x:v>
      </x:c>
      <x:c r="B1825" s="17" t="str">
        <x:v>萬華區</x:v>
      </x:c>
      <x:c r="C1825" s="17" t="str">
        <x:v>崇仁花園(萬大路423巷)</x:v>
      </x:c>
      <x:c r="D1825" s="18" t="n">
        <x:v>26</x:v>
      </x:c>
      <x:c r="E1825" s="18" t="n">
        <x:v>26</x:v>
      </x:c>
      <x:c r="F1825" s="24" t="n">
        <x:f>IFERROR('各站彙總來源'!F1825/'各站彙總來源'!G1825,"")</x:f>
        <x:v>15.653846153846153</x:v>
      </x:c>
      <x:c r="G1825" s="19" t="n">
        <x:f>'各站彙總來源'!G1825</x:f>
        <x:v>26</x:v>
      </x:c>
      <x:c r="H1825" s="24" t="n">
        <x:f>IFERROR('各站彙總來源'!H1825/'各站彙總來源'!I1825,"")</x:f>
        <x:v>1.9230769230769231</x:v>
      </x:c>
      <x:c r="I1825" s="19" t="n">
        <x:f>'各站彙總來源'!I1825</x:f>
        <x:v>26</x:v>
      </x:c>
      <x:c r="J1825" s="24" t="n">
        <x:f>IFERROR('各站彙總來源'!J1825/'各站彙總來源'!K1825,"")</x:f>
        <x:v>4.153846153846154</x:v>
      </x:c>
      <x:c r="K1825" s="19" t="n">
        <x:f>'各站彙總來源'!K1825</x:f>
        <x:v>26</x:v>
      </x:c>
      <x:c r="L1825" s="24" t="n">
        <x:f>IFERROR('各站彙總來源'!L1825/'各站彙總來源'!M1825,"")</x:f>
        <x:v>0.7307692307692307</x:v>
      </x:c>
      <x:c r="M1825" s="19" t="n">
        <x:f>'各站彙總來源'!M1825</x:f>
        <x:v>26</x:v>
      </x:c>
      <x:c r="N1825" s="24" t="n">
        <x:f>F1825+H1825</x:f>
        <x:v>17.576923076923077</x:v>
      </x:c>
      <x:c r="O1825" s="24" t="n">
        <x:f>J1825+L1825</x:f>
        <x:v>4.884615384615385</x:v>
      </x:c>
    </x:row>
    <x:row r="1826">
      <x:c r="A1826" s="22" t="str">
        <x:v>500113102</x:v>
      </x:c>
      <x:c r="B1826" s="17" t="str">
        <x:v>萬華區</x:v>
      </x:c>
      <x:c r="C1826" s="17" t="str">
        <x:v>復華花園新城東側</x:v>
      </x:c>
      <x:c r="D1826" s="18" t="n">
        <x:v>26</x:v>
      </x:c>
      <x:c r="E1826" s="18" t="n">
        <x:v>26</x:v>
      </x:c>
      <x:c r="F1826" s="24" t="n">
        <x:f>IFERROR('各站彙總來源'!F1826/'各站彙總來源'!G1826,"")</x:f>
        <x:v>34.5</x:v>
      </x:c>
      <x:c r="G1826" s="19" t="n">
        <x:f>'各站彙總來源'!G1826</x:f>
        <x:v>26</x:v>
      </x:c>
      <x:c r="H1826" s="24" t="n">
        <x:f>IFERROR('各站彙總來源'!H1826/'各站彙總來源'!I1826,"")</x:f>
        <x:v>3.4615384615384617</x:v>
      </x:c>
      <x:c r="I1826" s="19" t="n">
        <x:f>'各站彙總來源'!I1826</x:f>
        <x:v>26</x:v>
      </x:c>
      <x:c r="J1826" s="24" t="n">
        <x:f>IFERROR('各站彙總來源'!J1826/'各站彙總來源'!K1826,"")</x:f>
        <x:v>10.961538461538462</x:v>
      </x:c>
      <x:c r="K1826" s="19" t="n">
        <x:f>'各站彙總來源'!K1826</x:f>
        <x:v>26</x:v>
      </x:c>
      <x:c r="L1826" s="24" t="n">
        <x:f>IFERROR('各站彙總來源'!L1826/'各站彙總來源'!M1826,"")</x:f>
        <x:v>1.4615384615384615</x:v>
      </x:c>
      <x:c r="M1826" s="19" t="n">
        <x:f>'各站彙總來源'!M1826</x:f>
        <x:v>26</x:v>
      </x:c>
      <x:c r="N1826" s="24" t="n">
        <x:f>F1826+H1826</x:f>
        <x:v>37.96153846153846</x:v>
      </x:c>
      <x:c r="O1826" s="24" t="n">
        <x:f>J1826+L1826</x:f>
        <x:v>12.423076923076923</x:v>
      </x:c>
    </x:row>
    <x:row r="1827">
      <x:c r="A1827" s="22" t="str">
        <x:v>500113103</x:v>
      </x:c>
      <x:c r="B1827" s="17" t="str">
        <x:v>萬華區</x:v>
      </x:c>
      <x:c r="C1827" s="17" t="str">
        <x:v>中華開封街口</x:v>
      </x:c>
      <x:c r="D1827" s="18" t="n">
        <x:v>26</x:v>
      </x:c>
      <x:c r="E1827" s="18" t="n">
        <x:v>26</x:v>
      </x:c>
      <x:c r="F1827" s="24" t="n">
        <x:f>IFERROR('各站彙總來源'!F1827/'各站彙總來源'!G1827,"")</x:f>
        <x:v>8.346153846153847</x:v>
      </x:c>
      <x:c r="G1827" s="19" t="n">
        <x:f>'各站彙總來源'!G1827</x:f>
        <x:v>26</x:v>
      </x:c>
      <x:c r="H1827" s="24" t="n">
        <x:f>IFERROR('各站彙總來源'!H1827/'各站彙總來源'!I1827,"")</x:f>
        <x:v>1.2692307692307692</x:v>
      </x:c>
      <x:c r="I1827" s="19" t="n">
        <x:f>'各站彙總來源'!I1827</x:f>
        <x:v>26</x:v>
      </x:c>
      <x:c r="J1827" s="24" t="n">
        <x:f>IFERROR('各站彙總來源'!J1827/'各站彙總來源'!K1827,"")</x:f>
        <x:v>10.153846153846153</x:v>
      </x:c>
      <x:c r="K1827" s="19" t="n">
        <x:f>'各站彙總來源'!K1827</x:f>
        <x:v>26</x:v>
      </x:c>
      <x:c r="L1827" s="24" t="n">
        <x:f>IFERROR('各站彙總來源'!L1827/'各站彙總來源'!M1827,"")</x:f>
        <x:v>2.923076923076923</x:v>
      </x:c>
      <x:c r="M1827" s="19" t="n">
        <x:f>'各站彙總來源'!M1827</x:f>
        <x:v>26</x:v>
      </x:c>
      <x:c r="N1827" s="24" t="n">
        <x:f>F1827+H1827</x:f>
        <x:v>9.615384615384617</x:v>
      </x:c>
      <x:c r="O1827" s="24" t="n">
        <x:f>J1827+L1827</x:f>
        <x:v>13.076923076923077</x:v>
      </x:c>
    </x:row>
    <x:row r="1828">
      <x:c r="A1828" s="22" t="str">
        <x:v>500113104</x:v>
      </x:c>
      <x:c r="B1828" s="17" t="str">
        <x:v>萬華區</x:v>
      </x:c>
      <x:c r="C1828" s="17" t="str">
        <x:v>中華忠孝路口(西南側)</x:v>
      </x:c>
      <x:c r="D1828" s="18" t="n">
        <x:v>26</x:v>
      </x:c>
      <x:c r="E1828" s="18" t="n">
        <x:v>26</x:v>
      </x:c>
      <x:c r="F1828" s="24" t="n">
        <x:f>IFERROR('各站彙總來源'!F1828/'各站彙總來源'!G1828,"")</x:f>
        <x:v>4.3076923076923075</x:v>
      </x:c>
      <x:c r="G1828" s="19" t="n">
        <x:f>'各站彙總來源'!G1828</x:f>
        <x:v>26</x:v>
      </x:c>
      <x:c r="H1828" s="24" t="n">
        <x:f>IFERROR('各站彙總來源'!H1828/'各站彙總來源'!I1828,"")</x:f>
        <x:v>0.5384615384615384</x:v>
      </x:c>
      <x:c r="I1828" s="19" t="n">
        <x:f>'各站彙總來源'!I1828</x:f>
        <x:v>26</x:v>
      </x:c>
      <x:c r="J1828" s="24" t="n">
        <x:f>IFERROR('各站彙總來源'!J1828/'各站彙總來源'!K1828,"")</x:f>
        <x:v>5.423076923076923</x:v>
      </x:c>
      <x:c r="K1828" s="19" t="n">
        <x:f>'各站彙總來源'!K1828</x:f>
        <x:v>26</x:v>
      </x:c>
      <x:c r="L1828" s="24" t="n">
        <x:f>IFERROR('各站彙總來源'!L1828/'各站彙總來源'!M1828,"")</x:f>
        <x:v>0.7307692307692307</x:v>
      </x:c>
      <x:c r="M1828" s="19" t="n">
        <x:f>'各站彙總來源'!M1828</x:f>
        <x:v>26</x:v>
      </x:c>
      <x:c r="N1828" s="24" t="n">
        <x:f>F1828+H1828</x:f>
        <x:v>4.846153846153846</x:v>
      </x:c>
      <x:c r="O1828" s="24" t="n">
        <x:f>J1828+L1828</x:f>
        <x:v>6.153846153846154</x:v>
      </x:c>
    </x:row>
    <x:row r="1829">
      <x:c r="A1829" s="22" t="str">
        <x:v>500113105</x:v>
      </x:c>
      <x:c r="B1829" s="17" t="str">
        <x:v>萬華區</x:v>
      </x:c>
      <x:c r="C1829" s="17" t="str">
        <x:v>祥安國宅</x:v>
      </x:c>
      <x:c r="D1829" s="18" t="n">
        <x:v>26</x:v>
      </x:c>
      <x:c r="E1829" s="18" t="n">
        <x:v>26</x:v>
      </x:c>
      <x:c r="F1829" s="24" t="n">
        <x:f>IFERROR('各站彙總來源'!F1829/'各站彙總來源'!G1829,"")</x:f>
        <x:v>10.576923076923077</x:v>
      </x:c>
      <x:c r="G1829" s="19" t="n">
        <x:f>'各站彙總來源'!G1829</x:f>
        <x:v>26</x:v>
      </x:c>
      <x:c r="H1829" s="24" t="n">
        <x:f>IFERROR('各站彙總來源'!H1829/'各站彙總來源'!I1829,"")</x:f>
        <x:v>1.7692307692307692</x:v>
      </x:c>
      <x:c r="I1829" s="19" t="n">
        <x:f>'各站彙總來源'!I1829</x:f>
        <x:v>26</x:v>
      </x:c>
      <x:c r="J1829" s="24" t="n">
        <x:f>IFERROR('各站彙總來源'!J1829/'各站彙總來源'!K1829,"")</x:f>
        <x:v>4.538461538461538</x:v>
      </x:c>
      <x:c r="K1829" s="19" t="n">
        <x:f>'各站彙總來源'!K1829</x:f>
        <x:v>26</x:v>
      </x:c>
      <x:c r="L1829" s="24" t="n">
        <x:f>IFERROR('各站彙總來源'!L1829/'各站彙總來源'!M1829,"")</x:f>
        <x:v>0.8076923076923077</x:v>
      </x:c>
      <x:c r="M1829" s="19" t="n">
        <x:f>'各站彙總來源'!M1829</x:f>
        <x:v>26</x:v>
      </x:c>
      <x:c r="N1829" s="24" t="n">
        <x:f>F1829+H1829</x:f>
        <x:v>12.346153846153847</x:v>
      </x:c>
      <x:c r="O1829" s="24" t="n">
        <x:f>J1829+L1829</x:f>
        <x:v>5.346153846153846</x:v>
      </x:c>
    </x:row>
    <x:row r="1830">
      <x:c r="A1830" s="22" t="str">
        <x:v>500113106</x:v>
      </x:c>
      <x:c r="B1830" s="17" t="str">
        <x:v>萬華區</x:v>
      </x:c>
      <x:c r="C1830" s="17" t="str">
        <x:v>西藏路199巷與萬大路198巷口</x:v>
      </x:c>
      <x:c r="D1830" s="18" t="n">
        <x:v>26</x:v>
      </x:c>
      <x:c r="E1830" s="18" t="n">
        <x:v>4</x:v>
      </x:c>
      <x:c r="F1830" s="24" t="n">
        <x:f>IFERROR('各站彙總來源'!F1830/'各站彙總來源'!G1830,"")</x:f>
        <x:v>3.6666666666666665</x:v>
      </x:c>
      <x:c r="G1830" s="19" t="n">
        <x:f>'各站彙總來源'!G1830</x:f>
        <x:v>3</x:v>
      </x:c>
      <x:c r="H1830" s="24" t="n">
        <x:f>IFERROR('各站彙總來源'!H1830/'各站彙總來源'!I1830,"")</x:f>
        <x:v>0</x:v>
      </x:c>
      <x:c r="I1830" s="19" t="n">
        <x:f>'各站彙總來源'!I1830</x:f>
        <x:v>3</x:v>
      </x:c>
      <x:c r="J1830" s="24" t="n">
        <x:f>IFERROR('各站彙總來源'!J1830/'各站彙總來源'!K1830,"")</x:f>
        <x:v>1.5</x:v>
      </x:c>
      <x:c r="K1830" s="19" t="n">
        <x:f>'各站彙總來源'!K1830</x:f>
        <x:v>4</x:v>
      </x:c>
      <x:c r="L1830" s="24" t="n">
        <x:f>IFERROR('各站彙總來源'!L1830/'各站彙總來源'!M1830,"")</x:f>
        <x:v>0.25</x:v>
      </x:c>
      <x:c r="M1830" s="19" t="n">
        <x:f>'各站彙總來源'!M1830</x:f>
        <x:v>4</x:v>
      </x:c>
      <x:c r="N1830" s="24" t="n">
        <x:f>F1830+H1830</x:f>
        <x:v>3.6666666666666665</x:v>
      </x:c>
      <x:c r="O1830" s="24" t="n">
        <x:f>J1830+L1830</x:f>
        <x:v>1.75</x:v>
      </x:c>
    </x:row>
    <x:row r="1831">
      <x:c r="A1831" s="22" t="str">
        <x:v>500119005</x:v>
      </x:c>
      <x:c r="B1831" s="17" t="str">
        <x:v>臺大公館校區</x:v>
      </x:c>
      <x:c r="C1831" s="17" t="str">
        <x:v>臺大水源舍區A棟</x:v>
      </x:c>
      <x:c r="D1831" s="18" t="n">
        <x:v>26</x:v>
      </x:c>
      <x:c r="E1831" s="18" t="n">
        <x:v>26</x:v>
      </x:c>
      <x:c r="F1831" s="24" t="n">
        <x:f>IFERROR('各站彙總來源'!F1831/'各站彙總來源'!G1831,"")</x:f>
        <x:v>24.307692307692307</x:v>
      </x:c>
      <x:c r="G1831" s="19" t="n">
        <x:f>'各站彙總來源'!G1831</x:f>
        <x:v>26</x:v>
      </x:c>
      <x:c r="H1831" s="24" t="n">
        <x:f>IFERROR('各站彙總來源'!H1831/'各站彙總來源'!I1831,"")</x:f>
        <x:v>1.9230769230769231</x:v>
      </x:c>
      <x:c r="I1831" s="19" t="n">
        <x:f>'各站彙總來源'!I1831</x:f>
        <x:v>26</x:v>
      </x:c>
      <x:c r="J1831" s="24" t="n">
        <x:f>IFERROR('各站彙總來源'!J1831/'各站彙總來源'!K1831,"")</x:f>
        <x:v>6.3076923076923075</x:v>
      </x:c>
      <x:c r="K1831" s="19" t="n">
        <x:f>'各站彙總來源'!K1831</x:f>
        <x:v>26</x:v>
      </x:c>
      <x:c r="L1831" s="24" t="n">
        <x:f>IFERROR('各站彙總來源'!L1831/'各站彙總來源'!M1831,"")</x:f>
        <x:v>0.6538461538461539</x:v>
      </x:c>
      <x:c r="M1831" s="19" t="n">
        <x:f>'各站彙總來源'!M1831</x:f>
        <x:v>26</x:v>
      </x:c>
      <x:c r="N1831" s="24" t="n">
        <x:f>F1831+H1831</x:f>
        <x:v>26.23076923076923</x:v>
      </x:c>
      <x:c r="O1831" s="24" t="n">
        <x:f>J1831+L1831</x:f>
        <x:v>6.961538461538462</x:v>
      </x:c>
    </x:row>
    <x:row r="1832">
      <x:c r="A1832" s="22" t="str">
        <x:v>500119006</x:v>
      </x:c>
      <x:c r="B1832" s="17" t="str">
        <x:v>臺大公館校區</x:v>
      </x:c>
      <x:c r="C1832" s="17" t="str">
        <x:v>臺大卓越研究大樓</x:v>
      </x:c>
      <x:c r="D1832" s="18" t="n">
        <x:v>26</x:v>
      </x:c>
      <x:c r="E1832" s="18" t="n">
        <x:v>26</x:v>
      </x:c>
      <x:c r="F1832" s="24" t="n">
        <x:f>IFERROR('各站彙總來源'!F1832/'各站彙總來源'!G1832,"")</x:f>
        <x:v>34.23076923076923</x:v>
      </x:c>
      <x:c r="G1832" s="19" t="n">
        <x:f>'各站彙總來源'!G1832</x:f>
        <x:v>26</x:v>
      </x:c>
      <x:c r="H1832" s="24" t="n">
        <x:f>IFERROR('各站彙總來源'!H1832/'各站彙總來源'!I1832,"")</x:f>
        <x:v>1.9230769230769231</x:v>
      </x:c>
      <x:c r="I1832" s="19" t="n">
        <x:f>'各站彙總來源'!I1832</x:f>
        <x:v>26</x:v>
      </x:c>
      <x:c r="J1832" s="24" t="n">
        <x:f>IFERROR('各站彙總來源'!J1832/'各站彙總來源'!K1832,"")</x:f>
        <x:v>5.076923076923077</x:v>
      </x:c>
      <x:c r="K1832" s="19" t="n">
        <x:f>'各站彙總來源'!K1832</x:f>
        <x:v>26</x:v>
      </x:c>
      <x:c r="L1832" s="24" t="n">
        <x:f>IFERROR('各站彙總來源'!L1832/'各站彙總來源'!M1832,"")</x:f>
        <x:v>1.0769230769230769</x:v>
      </x:c>
      <x:c r="M1832" s="19" t="n">
        <x:f>'各站彙總來源'!M1832</x:f>
        <x:v>26</x:v>
      </x:c>
      <x:c r="N1832" s="24" t="n">
        <x:f>F1832+H1832</x:f>
        <x:v>36.15384615384615</x:v>
      </x:c>
      <x:c r="O1832" s="24" t="n">
        <x:f>J1832+L1832</x:f>
        <x:v>6.153846153846153</x:v>
      </x:c>
    </x:row>
    <x:row r="1833">
      <x:c r="A1833" s="22" t="str">
        <x:v>500119007</x:v>
      </x:c>
      <x:c r="B1833" s="17" t="str">
        <x:v>臺大公館校區</x:v>
      </x:c>
      <x:c r="C1833" s="17" t="str">
        <x:v>臺大水源修齊會館</x:v>
      </x:c>
      <x:c r="D1833" s="18" t="n">
        <x:v>26</x:v>
      </x:c>
      <x:c r="E1833" s="18" t="n">
        <x:v>26</x:v>
      </x:c>
      <x:c r="F1833" s="24" t="n">
        <x:f>IFERROR('各站彙總來源'!F1833/'各站彙總來源'!G1833,"")</x:f>
        <x:v>16.923076923076923</x:v>
      </x:c>
      <x:c r="G1833" s="19" t="n">
        <x:f>'各站彙總來源'!G1833</x:f>
        <x:v>26</x:v>
      </x:c>
      <x:c r="H1833" s="24" t="n">
        <x:f>IFERROR('各站彙總來源'!H1833/'各站彙總來源'!I1833,"")</x:f>
        <x:v>1</x:v>
      </x:c>
      <x:c r="I1833" s="19" t="n">
        <x:f>'各站彙總來源'!I1833</x:f>
        <x:v>26</x:v>
      </x:c>
      <x:c r="J1833" s="24" t="n">
        <x:f>IFERROR('各站彙總來源'!J1833/'各站彙總來源'!K1833,"")</x:f>
        <x:v>3.923076923076923</x:v>
      </x:c>
      <x:c r="K1833" s="19" t="n">
        <x:f>'各站彙總來源'!K1833</x:f>
        <x:v>26</x:v>
      </x:c>
      <x:c r="L1833" s="24" t="n">
        <x:f>IFERROR('各站彙總來源'!L1833/'各站彙總來源'!M1833,"")</x:f>
        <x:v>1.2307692307692308</x:v>
      </x:c>
      <x:c r="M1833" s="19" t="n">
        <x:f>'各站彙總來源'!M1833</x:f>
        <x:v>26</x:v>
      </x:c>
      <x:c r="N1833" s="24" t="n">
        <x:f>F1833+H1833</x:f>
        <x:v>17.923076923076923</x:v>
      </x:c>
      <x:c r="O1833" s="24" t="n">
        <x:f>J1833+L1833</x:f>
        <x:v>5.153846153846153</x:v>
      </x:c>
    </x:row>
    <x:row r="1834">
      <x:c r="A1834" s="22" t="str">
        <x:v>500119008</x:v>
      </x:c>
      <x:c r="B1834" s="17" t="str">
        <x:v>臺大公館校區</x:v>
      </x:c>
      <x:c r="C1834" s="17" t="str">
        <x:v>臺大檔案展示館</x:v>
      </x:c>
      <x:c r="D1834" s="18" t="n">
        <x:v>26</x:v>
      </x:c>
      <x:c r="E1834" s="18" t="n">
        <x:v>26</x:v>
      </x:c>
      <x:c r="F1834" s="24" t="n">
        <x:f>IFERROR('各站彙總來源'!F1834/'各站彙總來源'!G1834,"")</x:f>
        <x:v>5</x:v>
      </x:c>
      <x:c r="G1834" s="19" t="n">
        <x:f>'各站彙總來源'!G1834</x:f>
        <x:v>26</x:v>
      </x:c>
      <x:c r="H1834" s="24" t="n">
        <x:f>IFERROR('各站彙總來源'!H1834/'各站彙總來源'!I1834,"")</x:f>
        <x:v>0.3076923076923077</x:v>
      </x:c>
      <x:c r="I1834" s="19" t="n">
        <x:f>'各站彙總來源'!I1834</x:f>
        <x:v>26</x:v>
      </x:c>
      <x:c r="J1834" s="24" t="n">
        <x:f>IFERROR('各站彙總來源'!J1834/'各站彙總來源'!K1834,"")</x:f>
        <x:v>3.1923076923076925</x:v>
      </x:c>
      <x:c r="K1834" s="19" t="n">
        <x:f>'各站彙總來源'!K1834</x:f>
        <x:v>26</x:v>
      </x:c>
      <x:c r="L1834" s="24" t="n">
        <x:f>IFERROR('各站彙總來源'!L1834/'各站彙總來源'!M1834,"")</x:f>
        <x:v>0.38461538461538464</x:v>
      </x:c>
      <x:c r="M1834" s="19" t="n">
        <x:f>'各站彙總來源'!M1834</x:f>
        <x:v>26</x:v>
      </x:c>
      <x:c r="N1834" s="24" t="n">
        <x:f>F1834+H1834</x:f>
        <x:v>5.3076923076923075</x:v>
      </x:c>
      <x:c r="O1834" s="24" t="n">
        <x:f>J1834+L1834</x:f>
        <x:v>3.576923076923077</x:v>
      </x:c>
    </x:row>
    <x:row r="1835">
      <x:c r="A1835" s="22" t="str">
        <x:v>500119009</x:v>
      </x:c>
      <x:c r="B1835" s="17" t="str">
        <x:v>臺大公館校區</x:v>
      </x:c>
      <x:c r="C1835" s="17" t="str">
        <x:v>臺大水源舍區B棟</x:v>
      </x:c>
      <x:c r="D1835" s="18" t="n">
        <x:v>26</x:v>
      </x:c>
      <x:c r="E1835" s="18" t="n">
        <x:v>26</x:v>
      </x:c>
      <x:c r="F1835" s="24" t="n">
        <x:f>IFERROR('各站彙總來源'!F1835/'各站彙總來源'!G1835,"")</x:f>
        <x:v>20.26923076923077</x:v>
      </x:c>
      <x:c r="G1835" s="19" t="n">
        <x:f>'各站彙總來源'!G1835</x:f>
        <x:v>26</x:v>
      </x:c>
      <x:c r="H1835" s="24" t="n">
        <x:f>IFERROR('各站彙總來源'!H1835/'各站彙總來源'!I1835,"")</x:f>
        <x:v>2.5384615384615383</x:v>
      </x:c>
      <x:c r="I1835" s="19" t="n">
        <x:f>'各站彙總來源'!I1835</x:f>
        <x:v>26</x:v>
      </x:c>
      <x:c r="J1835" s="24" t="n">
        <x:f>IFERROR('各站彙總來源'!J1835/'各站彙總來源'!K1835,"")</x:f>
        <x:v>6</x:v>
      </x:c>
      <x:c r="K1835" s="19" t="n">
        <x:f>'各站彙總來源'!K1835</x:f>
        <x:v>26</x:v>
      </x:c>
      <x:c r="L1835" s="24" t="n">
        <x:f>IFERROR('各站彙總來源'!L1835/'各站彙總來源'!M1835,"")</x:f>
        <x:v>0.6538461538461539</x:v>
      </x:c>
      <x:c r="M1835" s="19" t="n">
        <x:f>'各站彙總來源'!M1835</x:f>
        <x:v>26</x:v>
      </x:c>
      <x:c r="N1835" s="24" t="n">
        <x:f>F1835+H1835</x:f>
        <x:v>22.807692307692307</x:v>
      </x:c>
      <x:c r="O1835" s="24" t="n">
        <x:f>J1835+L1835</x:f>
        <x:v>6.653846153846154</x:v>
      </x:c>
    </x:row>
    <x:row r="1836">
      <x:c r="A1836" s="22" t="str">
        <x:v>500119043</x:v>
      </x:c>
      <x:c r="B1836" s="17" t="str">
        <x:v>臺大公館校區</x:v>
      </x:c>
      <x:c r="C1836" s="17" t="str">
        <x:v>臺大男八舍東側</x:v>
      </x:c>
      <x:c r="D1836" s="18" t="n">
        <x:v>26</x:v>
      </x:c>
      <x:c r="E1836" s="18" t="n">
        <x:v>26</x:v>
      </x:c>
      <x:c r="F1836" s="24" t="n">
        <x:f>IFERROR('各站彙總來源'!F1836/'各站彙總來源'!G1836,"")</x:f>
        <x:v>33.34615384615385</x:v>
      </x:c>
      <x:c r="G1836" s="19" t="n">
        <x:f>'各站彙總來源'!G1836</x:f>
        <x:v>26</x:v>
      </x:c>
      <x:c r="H1836" s="24" t="n">
        <x:f>IFERROR('各站彙總來源'!H1836/'各站彙總來源'!I1836,"")</x:f>
        <x:v>2.8461538461538463</x:v>
      </x:c>
      <x:c r="I1836" s="19" t="n">
        <x:f>'各站彙總來源'!I1836</x:f>
        <x:v>26</x:v>
      </x:c>
      <x:c r="J1836" s="24" t="n">
        <x:f>IFERROR('各站彙總來源'!J1836/'各站彙總來源'!K1836,"")</x:f>
        <x:v>6.384615384615385</x:v>
      </x:c>
      <x:c r="K1836" s="19" t="n">
        <x:f>'各站彙總來源'!K1836</x:f>
        <x:v>26</x:v>
      </x:c>
      <x:c r="L1836" s="24" t="n">
        <x:f>IFERROR('各站彙總來源'!L1836/'各站彙總來源'!M1836,"")</x:f>
        <x:v>0.8461538461538461</x:v>
      </x:c>
      <x:c r="M1836" s="19" t="n">
        <x:f>'各站彙總來源'!M1836</x:f>
        <x:v>26</x:v>
      </x:c>
      <x:c r="N1836" s="24" t="n">
        <x:f>F1836+H1836</x:f>
        <x:v>36.19230769230769</x:v>
      </x:c>
      <x:c r="O1836" s="24" t="n">
        <x:f>J1836+L1836</x:f>
        <x:v>7.230769230769231</x:v>
      </x:c>
    </x:row>
    <x:row r="1837">
      <x:c r="A1837" s="22" t="str">
        <x:v>500119044</x:v>
      </x:c>
      <x:c r="B1837" s="17" t="str">
        <x:v>臺大公館校區</x:v>
      </x:c>
      <x:c r="C1837" s="17" t="str">
        <x:v>臺大禮賢樓東南側</x:v>
      </x:c>
      <x:c r="D1837" s="18" t="n">
        <x:v>26</x:v>
      </x:c>
      <x:c r="E1837" s="18" t="n">
        <x:v>26</x:v>
      </x:c>
      <x:c r="F1837" s="24" t="n">
        <x:f>IFERROR('各站彙總來源'!F1837/'各站彙總來源'!G1837,"")</x:f>
        <x:v>3.5384615384615383</x:v>
      </x:c>
      <x:c r="G1837" s="19" t="n">
        <x:f>'各站彙總來源'!G1837</x:f>
        <x:v>26</x:v>
      </x:c>
      <x:c r="H1837" s="24" t="n">
        <x:f>IFERROR('各站彙總來源'!H1837/'各站彙總來源'!I1837,"")</x:f>
        <x:v>0.6538461538461539</x:v>
      </x:c>
      <x:c r="I1837" s="19" t="n">
        <x:f>'各站彙總來源'!I1837</x:f>
        <x:v>26</x:v>
      </x:c>
      <x:c r="J1837" s="24" t="n">
        <x:f>IFERROR('各站彙總來源'!J1837/'各站彙總來源'!K1837,"")</x:f>
        <x:v>18.846153846153847</x:v>
      </x:c>
      <x:c r="K1837" s="19" t="n">
        <x:f>'各站彙總來源'!K1837</x:f>
        <x:v>26</x:v>
      </x:c>
      <x:c r="L1837" s="24" t="n">
        <x:f>IFERROR('各站彙總來源'!L1837/'各站彙總來源'!M1837,"")</x:f>
        <x:v>2.769230769230769</x:v>
      </x:c>
      <x:c r="M1837" s="19" t="n">
        <x:f>'各站彙總來源'!M1837</x:f>
        <x:v>26</x:v>
      </x:c>
      <x:c r="N1837" s="24" t="n">
        <x:f>F1837+H1837</x:f>
        <x:v>4.1923076923076925</x:v>
      </x:c>
      <x:c r="O1837" s="24" t="n">
        <x:f>J1837+L1837</x:f>
        <x:v>21.615384615384617</x:v>
      </x:c>
    </x:row>
    <x:row r="1838">
      <x:c r="A1838" s="22" t="str">
        <x:v>500119045</x:v>
      </x:c>
      <x:c r="B1838" s="17" t="str">
        <x:v>臺大公館校區</x:v>
      </x:c>
      <x:c r="C1838" s="17" t="str">
        <x:v>臺大農業陳列館北側</x:v>
      </x:c>
      <x:c r="D1838" s="18" t="n">
        <x:v>26</x:v>
      </x:c>
      <x:c r="E1838" s="18" t="n">
        <x:v>26</x:v>
      </x:c>
      <x:c r="F1838" s="24" t="n">
        <x:f>IFERROR('各站彙總來源'!F1838/'各站彙總來源'!G1838,"")</x:f>
        <x:v>7.3076923076923075</x:v>
      </x:c>
      <x:c r="G1838" s="19" t="n">
        <x:f>'各站彙總來源'!G1838</x:f>
        <x:v>26</x:v>
      </x:c>
      <x:c r="H1838" s="24" t="n">
        <x:f>IFERROR('各站彙總來源'!H1838/'各站彙總來源'!I1838,"")</x:f>
        <x:v>1.4230769230769231</x:v>
      </x:c>
      <x:c r="I1838" s="19" t="n">
        <x:f>'各站彙總來源'!I1838</x:f>
        <x:v>26</x:v>
      </x:c>
      <x:c r="J1838" s="24" t="n">
        <x:f>IFERROR('各站彙總來源'!J1838/'各站彙總來源'!K1838,"")</x:f>
        <x:v>11.153846153846153</x:v>
      </x:c>
      <x:c r="K1838" s="19" t="n">
        <x:f>'各站彙總來源'!K1838</x:f>
        <x:v>26</x:v>
      </x:c>
      <x:c r="L1838" s="24" t="n">
        <x:f>IFERROR('各站彙總來源'!L1838/'各站彙總來源'!M1838,"")</x:f>
        <x:v>1.1538461538461537</x:v>
      </x:c>
      <x:c r="M1838" s="19" t="n">
        <x:f>'各站彙總來源'!M1838</x:f>
        <x:v>26</x:v>
      </x:c>
      <x:c r="N1838" s="24" t="n">
        <x:f>F1838+H1838</x:f>
        <x:v>8.73076923076923</x:v>
      </x:c>
      <x:c r="O1838" s="24" t="n">
        <x:f>J1838+L1838</x:f>
        <x:v>12.307692307692307</x:v>
      </x:c>
    </x:row>
    <x:row r="1839">
      <x:c r="A1839" s="22" t="str">
        <x:v>500119046</x:v>
      </x:c>
      <x:c r="B1839" s="17" t="str">
        <x:v>臺大公館校區</x:v>
      </x:c>
      <x:c r="C1839" s="17" t="str">
        <x:v>臺大管理學院二館北側</x:v>
      </x:c>
      <x:c r="D1839" s="18" t="n">
        <x:v>26</x:v>
      </x:c>
      <x:c r="E1839" s="18" t="n">
        <x:v>26</x:v>
      </x:c>
      <x:c r="F1839" s="24" t="n">
        <x:f>IFERROR('各站彙總來源'!F1839/'各站彙總來源'!G1839,"")</x:f>
        <x:v>3.769230769230769</x:v>
      </x:c>
      <x:c r="G1839" s="19" t="n">
        <x:f>'各站彙總來源'!G1839</x:f>
        <x:v>26</x:v>
      </x:c>
      <x:c r="H1839" s="24" t="n">
        <x:f>IFERROR('各站彙總來源'!H1839/'各站彙總來源'!I1839,"")</x:f>
        <x:v>0.5384615384615384</x:v>
      </x:c>
      <x:c r="I1839" s="19" t="n">
        <x:f>'各站彙總來源'!I1839</x:f>
        <x:v>26</x:v>
      </x:c>
      <x:c r="J1839" s="24" t="n">
        <x:f>IFERROR('各站彙總來源'!J1839/'各站彙總來源'!K1839,"")</x:f>
        <x:v>19.923076923076923</x:v>
      </x:c>
      <x:c r="K1839" s="19" t="n">
        <x:f>'各站彙總來源'!K1839</x:f>
        <x:v>26</x:v>
      </x:c>
      <x:c r="L1839" s="24" t="n">
        <x:f>IFERROR('各站彙總來源'!L1839/'各站彙總來源'!M1839,"")</x:f>
        <x:v>3.230769230769231</x:v>
      </x:c>
      <x:c r="M1839" s="19" t="n">
        <x:f>'各站彙總來源'!M1839</x:f>
        <x:v>26</x:v>
      </x:c>
      <x:c r="N1839" s="24" t="n">
        <x:f>F1839+H1839</x:f>
        <x:v>4.3076923076923075</x:v>
      </x:c>
      <x:c r="O1839" s="24" t="n">
        <x:f>J1839+L1839</x:f>
        <x:v>23.153846153846153</x:v>
      </x:c>
    </x:row>
    <x:row r="1840">
      <x:c r="A1840" s="22" t="str">
        <x:v>500119047</x:v>
      </x:c>
      <x:c r="B1840" s="17" t="str">
        <x:v>臺大公館校區</x:v>
      </x:c>
      <x:c r="C1840" s="17" t="str">
        <x:v>臺大土木系館</x:v>
      </x:c>
      <x:c r="D1840" s="18" t="n">
        <x:v>26</x:v>
      </x:c>
      <x:c r="E1840" s="18" t="n">
        <x:v>26</x:v>
      </x:c>
      <x:c r="F1840" s="24" t="n">
        <x:f>IFERROR('各站彙總來源'!F1840/'各站彙總來源'!G1840,"")</x:f>
        <x:v>4.961538461538462</x:v>
      </x:c>
      <x:c r="G1840" s="19" t="n">
        <x:f>'各站彙總來源'!G1840</x:f>
        <x:v>26</x:v>
      </x:c>
      <x:c r="H1840" s="24" t="n">
        <x:f>IFERROR('各站彙總來源'!H1840/'各站彙總來源'!I1840,"")</x:f>
        <x:v>0.15384615384615385</x:v>
      </x:c>
      <x:c r="I1840" s="19" t="n">
        <x:f>'各站彙總來源'!I1840</x:f>
        <x:v>26</x:v>
      </x:c>
      <x:c r="J1840" s="24" t="n">
        <x:f>IFERROR('各站彙總來源'!J1840/'各站彙總來源'!K1840,"")</x:f>
        <x:v>20.807692307692307</x:v>
      </x:c>
      <x:c r="K1840" s="19" t="n">
        <x:f>'各站彙總來源'!K1840</x:f>
        <x:v>26</x:v>
      </x:c>
      <x:c r="L1840" s="24" t="n">
        <x:f>IFERROR('各站彙總來源'!L1840/'各站彙總來源'!M1840,"")</x:f>
        <x:v>3.4615384615384617</x:v>
      </x:c>
      <x:c r="M1840" s="19" t="n">
        <x:f>'各站彙總來源'!M1840</x:f>
        <x:v>26</x:v>
      </x:c>
      <x:c r="N1840" s="24" t="n">
        <x:f>F1840+H1840</x:f>
        <x:v>5.115384615384616</x:v>
      </x:c>
      <x:c r="O1840" s="24" t="n">
        <x:f>J1840+L1840</x:f>
        <x:v>24.269230769230766</x:v>
      </x:c>
    </x:row>
    <x:row r="1841">
      <x:c r="A1841" s="22" t="str">
        <x:v>500119048</x:v>
      </x:c>
      <x:c r="B1841" s="17" t="str">
        <x:v>臺大公館校區</x:v>
      </x:c>
      <x:c r="C1841" s="17" t="str">
        <x:v>臺大大一女舍北側</x:v>
      </x:c>
      <x:c r="D1841" s="18" t="n">
        <x:v>26</x:v>
      </x:c>
      <x:c r="E1841" s="18" t="n">
        <x:v>26</x:v>
      </x:c>
      <x:c r="F1841" s="24" t="n">
        <x:f>IFERROR('各站彙總來源'!F1841/'各站彙總來源'!G1841,"")</x:f>
        <x:v>8.73076923076923</x:v>
      </x:c>
      <x:c r="G1841" s="19" t="n">
        <x:f>'各站彙總來源'!G1841</x:f>
        <x:v>26</x:v>
      </x:c>
      <x:c r="H1841" s="24" t="n">
        <x:f>IFERROR('各站彙總來源'!H1841/'各站彙總來源'!I1841,"")</x:f>
        <x:v>2.076923076923077</x:v>
      </x:c>
      <x:c r="I1841" s="19" t="n">
        <x:f>'各站彙總來源'!I1841</x:f>
        <x:v>26</x:v>
      </x:c>
      <x:c r="J1841" s="24" t="n">
        <x:f>IFERROR('各站彙總來源'!J1841/'各站彙總來源'!K1841,"")</x:f>
        <x:v>9.961538461538462</x:v>
      </x:c>
      <x:c r="K1841" s="19" t="n">
        <x:f>'各站彙總來源'!K1841</x:f>
        <x:v>26</x:v>
      </x:c>
      <x:c r="L1841" s="24" t="n">
        <x:f>IFERROR('各站彙總來源'!L1841/'各站彙總來源'!M1841,"")</x:f>
        <x:v>1.3846153846153846</x:v>
      </x:c>
      <x:c r="M1841" s="19" t="n">
        <x:f>'各站彙總來源'!M1841</x:f>
        <x:v>26</x:v>
      </x:c>
      <x:c r="N1841" s="24" t="n">
        <x:f>F1841+H1841</x:f>
        <x:v>10.807692307692307</x:v>
      </x:c>
      <x:c r="O1841" s="24" t="n">
        <x:f>J1841+L1841</x:f>
        <x:v>11.346153846153847</x:v>
      </x:c>
    </x:row>
    <x:row r="1842">
      <x:c r="A1842" s="22" t="str">
        <x:v>500119049</x:v>
      </x:c>
      <x:c r="B1842" s="17" t="str">
        <x:v>臺大公館校區</x:v>
      </x:c>
      <x:c r="C1842" s="17" t="str">
        <x:v>臺大女九舍西南側</x:v>
      </x:c>
      <x:c r="D1842" s="18" t="n">
        <x:v>26</x:v>
      </x:c>
      <x:c r="E1842" s="18" t="n">
        <x:v>26</x:v>
      </x:c>
      <x:c r="F1842" s="24" t="n">
        <x:f>IFERROR('各站彙總來源'!F1842/'各站彙總來源'!G1842,"")</x:f>
        <x:v>2.9615384615384617</x:v>
      </x:c>
      <x:c r="G1842" s="19" t="n">
        <x:f>'各站彙總來源'!G1842</x:f>
        <x:v>26</x:v>
      </x:c>
      <x:c r="H1842" s="24" t="n">
        <x:f>IFERROR('各站彙總來源'!H1842/'各站彙總來源'!I1842,"")</x:f>
        <x:v>0.4230769230769231</x:v>
      </x:c>
      <x:c r="I1842" s="19" t="n">
        <x:f>'各站彙總來源'!I1842</x:f>
        <x:v>26</x:v>
      </x:c>
      <x:c r="J1842" s="24" t="n">
        <x:f>IFERROR('各站彙總來源'!J1842/'各站彙總來源'!K1842,"")</x:f>
        <x:v>26.884615384615383</x:v>
      </x:c>
      <x:c r="K1842" s="19" t="n">
        <x:f>'各站彙總來源'!K1842</x:f>
        <x:v>26</x:v>
      </x:c>
      <x:c r="L1842" s="24" t="n">
        <x:f>IFERROR('各站彙總來源'!L1842/'各站彙總來源'!M1842,"")</x:f>
        <x:v>3.423076923076923</x:v>
      </x:c>
      <x:c r="M1842" s="19" t="n">
        <x:f>'各站彙總來源'!M1842</x:f>
        <x:v>26</x:v>
      </x:c>
      <x:c r="N1842" s="24" t="n">
        <x:f>F1842+H1842</x:f>
        <x:v>3.3846153846153846</x:v>
      </x:c>
      <x:c r="O1842" s="24" t="n">
        <x:f>J1842+L1842</x:f>
        <x:v>30.307692307692307</x:v>
      </x:c>
    </x:row>
    <x:row r="1843">
      <x:c r="A1843" s="22" t="str">
        <x:v>500119050</x:v>
      </x:c>
      <x:c r="B1843" s="17" t="str">
        <x:v>臺大公館校區</x:v>
      </x:c>
      <x:c r="C1843" s="17" t="str">
        <x:v>臺大小福樓東側</x:v>
      </x:c>
      <x:c r="D1843" s="18" t="n">
        <x:v>26</x:v>
      </x:c>
      <x:c r="E1843" s="18" t="n">
        <x:v>26</x:v>
      </x:c>
      <x:c r="F1843" s="24" t="n">
        <x:f>IFERROR('各站彙總來源'!F1843/'各站彙總來源'!G1843,"")</x:f>
        <x:v>4.076923076923077</x:v>
      </x:c>
      <x:c r="G1843" s="19" t="n">
        <x:f>'各站彙總來源'!G1843</x:f>
        <x:v>26</x:v>
      </x:c>
      <x:c r="H1843" s="24" t="n">
        <x:f>IFERROR('各站彙總來源'!H1843/'各站彙總來源'!I1843,"")</x:f>
        <x:v>0.3076923076923077</x:v>
      </x:c>
      <x:c r="I1843" s="19" t="n">
        <x:f>'各站彙總來源'!I1843</x:f>
        <x:v>26</x:v>
      </x:c>
      <x:c r="J1843" s="24" t="n">
        <x:f>IFERROR('各站彙總來源'!J1843/'各站彙總來源'!K1843,"")</x:f>
        <x:v>49.30769230769231</x:v>
      </x:c>
      <x:c r="K1843" s="19" t="n">
        <x:f>'各站彙總來源'!K1843</x:f>
        <x:v>26</x:v>
      </x:c>
      <x:c r="L1843" s="24" t="n">
        <x:f>IFERROR('各站彙總來源'!L1843/'各站彙總來源'!M1843,"")</x:f>
        <x:v>3.1923076923076925</x:v>
      </x:c>
      <x:c r="M1843" s="19" t="n">
        <x:f>'各站彙總來源'!M1843</x:f>
        <x:v>26</x:v>
      </x:c>
      <x:c r="N1843" s="24" t="n">
        <x:f>F1843+H1843</x:f>
        <x:v>4.384615384615384</x:v>
      </x:c>
      <x:c r="O1843" s="24" t="n">
        <x:f>J1843+L1843</x:f>
        <x:v>52.5</x:v>
      </x:c>
    </x:row>
    <x:row r="1844">
      <x:c r="A1844" s="22" t="str">
        <x:v>500119051</x:v>
      </x:c>
      <x:c r="B1844" s="17" t="str">
        <x:v>臺大公館校區</x:v>
      </x:c>
      <x:c r="C1844" s="17" t="str">
        <x:v>臺大立體機車停車場</x:v>
      </x:c>
      <x:c r="D1844" s="18" t="n">
        <x:v>26</x:v>
      </x:c>
      <x:c r="E1844" s="18" t="n">
        <x:v>26</x:v>
      </x:c>
      <x:c r="F1844" s="24" t="n">
        <x:f>IFERROR('各站彙總來源'!F1844/'各站彙總來源'!G1844,"")</x:f>
        <x:v>2.9615384615384617</x:v>
      </x:c>
      <x:c r="G1844" s="19" t="n">
        <x:f>'各站彙總來源'!G1844</x:f>
        <x:v>26</x:v>
      </x:c>
      <x:c r="H1844" s="24" t="n">
        <x:f>IFERROR('各站彙總來源'!H1844/'各站彙總來源'!I1844,"")</x:f>
        <x:v>0.38461538461538464</x:v>
      </x:c>
      <x:c r="I1844" s="19" t="n">
        <x:f>'各站彙總來源'!I1844</x:f>
        <x:v>26</x:v>
      </x:c>
      <x:c r="J1844" s="24" t="n">
        <x:f>IFERROR('各站彙總來源'!J1844/'各站彙總來源'!K1844,"")</x:f>
        <x:v>11.615384615384615</x:v>
      </x:c>
      <x:c r="K1844" s="19" t="n">
        <x:f>'各站彙總來源'!K1844</x:f>
        <x:v>26</x:v>
      </x:c>
      <x:c r="L1844" s="24" t="n">
        <x:f>IFERROR('各站彙總來源'!L1844/'各站彙總來源'!M1844,"")</x:f>
        <x:v>2.5384615384615383</x:v>
      </x:c>
      <x:c r="M1844" s="19" t="n">
        <x:f>'各站彙總來源'!M1844</x:f>
        <x:v>26</x:v>
      </x:c>
      <x:c r="N1844" s="24" t="n">
        <x:f>F1844+H1844</x:f>
        <x:v>3.3461538461538463</x:v>
      </x:c>
      <x:c r="O1844" s="24" t="n">
        <x:f>J1844+L1844</x:f>
        <x:v>14.153846153846153</x:v>
      </x:c>
    </x:row>
    <x:row r="1845">
      <x:c r="A1845" s="22" t="str">
        <x:v>500119052</x:v>
      </x:c>
      <x:c r="B1845" s="17" t="str">
        <x:v>臺大公館校區</x:v>
      </x:c>
      <x:c r="C1845" s="17" t="str">
        <x:v>臺大工綜館南側</x:v>
      </x:c>
      <x:c r="D1845" s="18" t="n">
        <x:v>26</x:v>
      </x:c>
      <x:c r="E1845" s="18" t="n">
        <x:v>26</x:v>
      </x:c>
      <x:c r="F1845" s="24" t="n">
        <x:f>IFERROR('各站彙總來源'!F1845/'各站彙總來源'!G1845,"")</x:f>
        <x:v>5.461538461538462</x:v>
      </x:c>
      <x:c r="G1845" s="19" t="n">
        <x:f>'各站彙總來源'!G1845</x:f>
        <x:v>26</x:v>
      </x:c>
      <x:c r="H1845" s="24" t="n">
        <x:f>IFERROR('各站彙總來源'!H1845/'各站彙總來源'!I1845,"")</x:f>
        <x:v>0.23076923076923078</x:v>
      </x:c>
      <x:c r="I1845" s="19" t="n">
        <x:f>'各站彙總來源'!I1845</x:f>
        <x:v>26</x:v>
      </x:c>
      <x:c r="J1845" s="24" t="n">
        <x:f>IFERROR('各站彙總來源'!J1845/'各站彙總來源'!K1845,"")</x:f>
        <x:v>55.84615384615385</x:v>
      </x:c>
      <x:c r="K1845" s="19" t="n">
        <x:f>'各站彙總來源'!K1845</x:f>
        <x:v>26</x:v>
      </x:c>
      <x:c r="L1845" s="24" t="n">
        <x:f>IFERROR('各站彙總來源'!L1845/'各站彙總來源'!M1845,"")</x:f>
        <x:v>6.461538461538462</x:v>
      </x:c>
      <x:c r="M1845" s="19" t="n">
        <x:f>'各站彙總來源'!M1845</x:f>
        <x:v>26</x:v>
      </x:c>
      <x:c r="N1845" s="24" t="n">
        <x:f>F1845+H1845</x:f>
        <x:v>5.6923076923076925</x:v>
      </x:c>
      <x:c r="O1845" s="24" t="n">
        <x:f>J1845+L1845</x:f>
        <x:v>62.30769230769231</x:v>
      </x:c>
    </x:row>
    <x:row r="1846">
      <x:c r="A1846" s="22" t="str">
        <x:v>500119053</x:v>
      </x:c>
      <x:c r="B1846" s="17" t="str">
        <x:v>臺大公館校區</x:v>
      </x:c>
      <x:c r="C1846" s="17" t="str">
        <x:v>臺大天文數學館南側</x:v>
      </x:c>
      <x:c r="D1846" s="18" t="n">
        <x:v>26</x:v>
      </x:c>
      <x:c r="E1846" s="18" t="n">
        <x:v>26</x:v>
      </x:c>
      <x:c r="F1846" s="24" t="n">
        <x:f>IFERROR('各站彙總來源'!F1846/'各站彙總來源'!G1846,"")</x:f>
        <x:v>4.6923076923076925</x:v>
      </x:c>
      <x:c r="G1846" s="19" t="n">
        <x:f>'各站彙總來源'!G1846</x:f>
        <x:v>26</x:v>
      </x:c>
      <x:c r="H1846" s="24" t="n">
        <x:f>IFERROR('各站彙總來源'!H1846/'各站彙總來源'!I1846,"")</x:f>
        <x:v>1.6153846153846154</x:v>
      </x:c>
      <x:c r="I1846" s="19" t="n">
        <x:f>'各站彙總來源'!I1846</x:f>
        <x:v>26</x:v>
      </x:c>
      <x:c r="J1846" s="24" t="n">
        <x:f>IFERROR('各站彙總來源'!J1846/'各站彙總來源'!K1846,"")</x:f>
        <x:v>52.88461538461539</x:v>
      </x:c>
      <x:c r="K1846" s="19" t="n">
        <x:f>'各站彙總來源'!K1846</x:f>
        <x:v>26</x:v>
      </x:c>
      <x:c r="L1846" s="24" t="n">
        <x:f>IFERROR('各站彙總來源'!L1846/'各站彙總來源'!M1846,"")</x:f>
        <x:v>5.538461538461538</x:v>
      </x:c>
      <x:c r="M1846" s="19" t="n">
        <x:f>'各站彙總來源'!M1846</x:f>
        <x:v>26</x:v>
      </x:c>
      <x:c r="N1846" s="24" t="n">
        <x:f>F1846+H1846</x:f>
        <x:v>6.307692307692308</x:v>
      </x:c>
      <x:c r="O1846" s="24" t="n">
        <x:f>J1846+L1846</x:f>
        <x:v>58.42307692307693</x:v>
      </x:c>
    </x:row>
    <x:row r="1847">
      <x:c r="A1847" s="22" t="str">
        <x:v>500119054</x:v>
      </x:c>
      <x:c r="B1847" s="17" t="str">
        <x:v>臺大公館校區</x:v>
      </x:c>
      <x:c r="C1847" s="17" t="str">
        <x:v>臺大心理系館南側</x:v>
      </x:c>
      <x:c r="D1847" s="18" t="n">
        <x:v>26</x:v>
      </x:c>
      <x:c r="E1847" s="18" t="n">
        <x:v>26</x:v>
      </x:c>
      <x:c r="F1847" s="24" t="n">
        <x:f>IFERROR('各站彙總來源'!F1847/'各站彙總來源'!G1847,"")</x:f>
        <x:v>3.6538461538461537</x:v>
      </x:c>
      <x:c r="G1847" s="19" t="n">
        <x:f>'各站彙總來源'!G1847</x:f>
        <x:v>26</x:v>
      </x:c>
      <x:c r="H1847" s="24" t="n">
        <x:f>IFERROR('各站彙總來源'!H1847/'各站彙總來源'!I1847,"")</x:f>
        <x:v>0.8076923076923077</x:v>
      </x:c>
      <x:c r="I1847" s="19" t="n">
        <x:f>'各站彙總來源'!I1847</x:f>
        <x:v>26</x:v>
      </x:c>
      <x:c r="J1847" s="24" t="n">
        <x:f>IFERROR('各站彙總來源'!J1847/'各站彙總來源'!K1847,"")</x:f>
        <x:v>39.80769230769231</x:v>
      </x:c>
      <x:c r="K1847" s="19" t="n">
        <x:f>'各站彙總來源'!K1847</x:f>
        <x:v>26</x:v>
      </x:c>
      <x:c r="L1847" s="24" t="n">
        <x:f>IFERROR('各站彙總來源'!L1847/'各站彙總來源'!M1847,"")</x:f>
        <x:v>4</x:v>
      </x:c>
      <x:c r="M1847" s="19" t="n">
        <x:f>'各站彙總來源'!M1847</x:f>
        <x:v>26</x:v>
      </x:c>
      <x:c r="N1847" s="24" t="n">
        <x:f>F1847+H1847</x:f>
        <x:v>4.461538461538462</x:v>
      </x:c>
      <x:c r="O1847" s="24" t="n">
        <x:f>J1847+L1847</x:f>
        <x:v>43.80769230769231</x:v>
      </x:c>
    </x:row>
    <x:row r="1848">
      <x:c r="A1848" s="22" t="str">
        <x:v>500119055</x:v>
      </x:c>
      <x:c r="B1848" s="17" t="str">
        <x:v>臺大公館校區</x:v>
      </x:c>
      <x:c r="C1848" s="17" t="str">
        <x:v>臺大樂學館東側</x:v>
      </x:c>
      <x:c r="D1848" s="18" t="n">
        <x:v>26</x:v>
      </x:c>
      <x:c r="E1848" s="18" t="n">
        <x:v>26</x:v>
      </x:c>
      <x:c r="F1848" s="24" t="n">
        <x:f>IFERROR('各站彙總來源'!F1848/'各站彙總來源'!G1848,"")</x:f>
        <x:v>3.6153846153846154</x:v>
      </x:c>
      <x:c r="G1848" s="19" t="n">
        <x:f>'各站彙總來源'!G1848</x:f>
        <x:v>26</x:v>
      </x:c>
      <x:c r="H1848" s="24" t="n">
        <x:f>IFERROR('各站彙總來源'!H1848/'各站彙總來源'!I1848,"")</x:f>
        <x:v>0.5769230769230769</x:v>
      </x:c>
      <x:c r="I1848" s="19" t="n">
        <x:f>'各站彙總來源'!I1848</x:f>
        <x:v>26</x:v>
      </x:c>
      <x:c r="J1848" s="24" t="n">
        <x:f>IFERROR('各站彙總來源'!J1848/'各站彙總來源'!K1848,"")</x:f>
        <x:v>13.923076923076923</x:v>
      </x:c>
      <x:c r="K1848" s="19" t="n">
        <x:f>'各站彙總來源'!K1848</x:f>
        <x:v>26</x:v>
      </x:c>
      <x:c r="L1848" s="24" t="n">
        <x:f>IFERROR('各站彙總來源'!L1848/'各站彙總來源'!M1848,"")</x:f>
        <x:v>4.461538461538462</x:v>
      </x:c>
      <x:c r="M1848" s="19" t="n">
        <x:f>'各站彙總來源'!M1848</x:f>
        <x:v>26</x:v>
      </x:c>
      <x:c r="N1848" s="24" t="n">
        <x:f>F1848+H1848</x:f>
        <x:v>4.1923076923076925</x:v>
      </x:c>
      <x:c r="O1848" s="24" t="n">
        <x:f>J1848+L1848</x:f>
        <x:v>18.384615384615387</x:v>
      </x:c>
    </x:row>
    <x:row r="1849">
      <x:c r="A1849" s="22" t="str">
        <x:v>500119056</x:v>
      </x:c>
      <x:c r="B1849" s="17" t="str">
        <x:v>臺大公館校區</x:v>
      </x:c>
      <x:c r="C1849" s="17" t="str">
        <x:v>臺大農化新館西側</x:v>
      </x:c>
      <x:c r="D1849" s="18" t="n">
        <x:v>26</x:v>
      </x:c>
      <x:c r="E1849" s="18" t="n">
        <x:v>26</x:v>
      </x:c>
      <x:c r="F1849" s="24" t="n">
        <x:f>IFERROR('各站彙總來源'!F1849/'各站彙總來源'!G1849,"")</x:f>
        <x:v>1.8076923076923077</x:v>
      </x:c>
      <x:c r="G1849" s="19" t="n">
        <x:f>'各站彙總來源'!G1849</x:f>
        <x:v>26</x:v>
      </x:c>
      <x:c r="H1849" s="24" t="n">
        <x:f>IFERROR('各站彙總來源'!H1849/'各站彙總來源'!I1849,"")</x:f>
        <x:v>0.19230769230769232</x:v>
      </x:c>
      <x:c r="I1849" s="19" t="n">
        <x:f>'各站彙總來源'!I1849</x:f>
        <x:v>26</x:v>
      </x:c>
      <x:c r="J1849" s="24" t="n">
        <x:f>IFERROR('各站彙總來源'!J1849/'各站彙總來源'!K1849,"")</x:f>
        <x:v>2.8846153846153846</x:v>
      </x:c>
      <x:c r="K1849" s="19" t="n">
        <x:f>'各站彙總來源'!K1849</x:f>
        <x:v>26</x:v>
      </x:c>
      <x:c r="L1849" s="24" t="n">
        <x:f>IFERROR('各站彙總來源'!L1849/'各站彙總來源'!M1849,"")</x:f>
        <x:v>0.7307692307692307</x:v>
      </x:c>
      <x:c r="M1849" s="19" t="n">
        <x:f>'各站彙總來源'!M1849</x:f>
        <x:v>26</x:v>
      </x:c>
      <x:c r="N1849" s="24" t="n">
        <x:f>F1849+H1849</x:f>
        <x:v>2</x:v>
      </x:c>
      <x:c r="O1849" s="24" t="n">
        <x:f>J1849+L1849</x:f>
        <x:v>3.6153846153846154</x:v>
      </x:c>
    </x:row>
    <x:row r="1850">
      <x:c r="A1850" s="22" t="str">
        <x:v>500119057</x:v>
      </x:c>
      <x:c r="B1850" s="17" t="str">
        <x:v>臺大公館校區</x:v>
      </x:c>
      <x:c r="C1850" s="17" t="str">
        <x:v>臺大五號館西側</x:v>
      </x:c>
      <x:c r="D1850" s="18" t="n">
        <x:v>26</x:v>
      </x:c>
      <x:c r="E1850" s="18" t="n">
        <x:v>26</x:v>
      </x:c>
      <x:c r="F1850" s="24" t="n">
        <x:f>IFERROR('各站彙總來源'!F1850/'各站彙總來源'!G1850,"")</x:f>
        <x:v>3.8461538461538463</x:v>
      </x:c>
      <x:c r="G1850" s="19" t="n">
        <x:f>'各站彙總來源'!G1850</x:f>
        <x:v>26</x:v>
      </x:c>
      <x:c r="H1850" s="24" t="n">
        <x:f>IFERROR('各站彙總來源'!H1850/'各站彙總來源'!I1850,"")</x:f>
        <x:v>0.19230769230769232</x:v>
      </x:c>
      <x:c r="I1850" s="19" t="n">
        <x:f>'各站彙總來源'!I1850</x:f>
        <x:v>26</x:v>
      </x:c>
      <x:c r="J1850" s="24" t="n">
        <x:f>IFERROR('各站彙總來源'!J1850/'各站彙總來源'!K1850,"")</x:f>
        <x:v>14.615384615384615</x:v>
      </x:c>
      <x:c r="K1850" s="19" t="n">
        <x:f>'各站彙總來源'!K1850</x:f>
        <x:v>26</x:v>
      </x:c>
      <x:c r="L1850" s="24" t="n">
        <x:f>IFERROR('各站彙總來源'!L1850/'各站彙總來源'!M1850,"")</x:f>
        <x:v>3.076923076923077</x:v>
      </x:c>
      <x:c r="M1850" s="19" t="n">
        <x:f>'各站彙總來源'!M1850</x:f>
        <x:v>26</x:v>
      </x:c>
      <x:c r="N1850" s="24" t="n">
        <x:f>F1850+H1850</x:f>
        <x:v>4.038461538461538</x:v>
      </x:c>
      <x:c r="O1850" s="24" t="n">
        <x:f>J1850+L1850</x:f>
        <x:v>17.692307692307693</x:v>
      </x:c>
    </x:row>
    <x:row r="1851">
      <x:c r="A1851" s="22" t="str">
        <x:v>500119058</x:v>
      </x:c>
      <x:c r="B1851" s="17" t="str">
        <x:v>臺大公館校區</x:v>
      </x:c>
      <x:c r="C1851" s="17" t="str">
        <x:v>臺大舊體育館西側</x:v>
      </x:c>
      <x:c r="D1851" s="18" t="n">
        <x:v>26</x:v>
      </x:c>
      <x:c r="E1851" s="18" t="n">
        <x:v>26</x:v>
      </x:c>
      <x:c r="F1851" s="24" t="n">
        <x:f>IFERROR('各站彙總來源'!F1851/'各站彙總來源'!G1851,"")</x:f>
        <x:v>7.115384615384615</x:v>
      </x:c>
      <x:c r="G1851" s="19" t="n">
        <x:f>'各站彙總來源'!G1851</x:f>
        <x:v>26</x:v>
      </x:c>
      <x:c r="H1851" s="24" t="n">
        <x:f>IFERROR('各站彙總來源'!H1851/'各站彙總來源'!I1851,"")</x:f>
        <x:v>1.2307692307692308</x:v>
      </x:c>
      <x:c r="I1851" s="19" t="n">
        <x:f>'各站彙總來源'!I1851</x:f>
        <x:v>26</x:v>
      </x:c>
      <x:c r="J1851" s="24" t="n">
        <x:f>IFERROR('各站彙總來源'!J1851/'各站彙總來源'!K1851,"")</x:f>
        <x:v>22.076923076923077</x:v>
      </x:c>
      <x:c r="K1851" s="19" t="n">
        <x:f>'各站彙總來源'!K1851</x:f>
        <x:v>26</x:v>
      </x:c>
      <x:c r="L1851" s="24" t="n">
        <x:f>IFERROR('各站彙總來源'!L1851/'各站彙總來源'!M1851,"")</x:f>
        <x:v>3.1538461538461537</x:v>
      </x:c>
      <x:c r="M1851" s="19" t="n">
        <x:f>'各站彙總來源'!M1851</x:f>
        <x:v>26</x:v>
      </x:c>
      <x:c r="N1851" s="24" t="n">
        <x:f>F1851+H1851</x:f>
        <x:v>8.346153846153847</x:v>
      </x:c>
      <x:c r="O1851" s="24" t="n">
        <x:f>J1851+L1851</x:f>
        <x:v>25.23076923076923</x:v>
      </x:c>
    </x:row>
    <x:row r="1852">
      <x:c r="A1852" s="22" t="str">
        <x:v>500119059</x:v>
      </x:c>
      <x:c r="B1852" s="17" t="str">
        <x:v>臺大公館校區</x:v>
      </x:c>
      <x:c r="C1852" s="17" t="str">
        <x:v>臺大共同教室北側</x:v>
      </x:c>
      <x:c r="D1852" s="18" t="n">
        <x:v>26</x:v>
      </x:c>
      <x:c r="E1852" s="18" t="n">
        <x:v>26</x:v>
      </x:c>
      <x:c r="F1852" s="24" t="n">
        <x:f>IFERROR('各站彙總來源'!F1852/'各站彙總來源'!G1852,"")</x:f>
        <x:v>3.8461538461538463</x:v>
      </x:c>
      <x:c r="G1852" s="19" t="n">
        <x:f>'各站彙總來源'!G1852</x:f>
        <x:v>26</x:v>
      </x:c>
      <x:c r="H1852" s="24" t="n">
        <x:f>IFERROR('各站彙總來源'!H1852/'各站彙總來源'!I1852,"")</x:f>
        <x:v>0.2692307692307692</x:v>
      </x:c>
      <x:c r="I1852" s="19" t="n">
        <x:f>'各站彙總來源'!I1852</x:f>
        <x:v>26</x:v>
      </x:c>
      <x:c r="J1852" s="24" t="n">
        <x:f>IFERROR('各站彙總來源'!J1852/'各站彙總來源'!K1852,"")</x:f>
        <x:v>30.923076923076923</x:v>
      </x:c>
      <x:c r="K1852" s="19" t="n">
        <x:f>'各站彙總來源'!K1852</x:f>
        <x:v>26</x:v>
      </x:c>
      <x:c r="L1852" s="24" t="n">
        <x:f>IFERROR('各站彙總來源'!L1852/'各站彙總來源'!M1852,"")</x:f>
        <x:v>4.038461538461538</x:v>
      </x:c>
      <x:c r="M1852" s="19" t="n">
        <x:f>'各站彙總來源'!M1852</x:f>
        <x:v>26</x:v>
      </x:c>
      <x:c r="N1852" s="24" t="n">
        <x:f>F1852+H1852</x:f>
        <x:v>4.115384615384616</x:v>
      </x:c>
      <x:c r="O1852" s="24" t="n">
        <x:f>J1852+L1852</x:f>
        <x:v>34.96153846153846</x:v>
      </x:c>
    </x:row>
    <x:row r="1853">
      <x:c r="A1853" s="22" t="str">
        <x:v>500119060</x:v>
      </x:c>
      <x:c r="B1853" s="17" t="str">
        <x:v>臺大公館校區</x:v>
      </x:c>
      <x:c r="C1853" s="17" t="str">
        <x:v>臺大共同教室東南側</x:v>
      </x:c>
      <x:c r="D1853" s="18" t="n">
        <x:v>26</x:v>
      </x:c>
      <x:c r="E1853" s="18" t="n">
        <x:v>26</x:v>
      </x:c>
      <x:c r="F1853" s="24" t="n">
        <x:f>IFERROR('各站彙總來源'!F1853/'各站彙總來源'!G1853,"")</x:f>
        <x:v>3.0384615384615383</x:v>
      </x:c>
      <x:c r="G1853" s="19" t="n">
        <x:f>'各站彙總來源'!G1853</x:f>
        <x:v>26</x:v>
      </x:c>
      <x:c r="H1853" s="24" t="n">
        <x:f>IFERROR('各站彙總來源'!H1853/'各站彙總來源'!I1853,"")</x:f>
        <x:v>0.07692307692307693</x:v>
      </x:c>
      <x:c r="I1853" s="19" t="n">
        <x:f>'各站彙總來源'!I1853</x:f>
        <x:v>26</x:v>
      </x:c>
      <x:c r="J1853" s="24" t="n">
        <x:f>IFERROR('各站彙總來源'!J1853/'各站彙總來源'!K1853,"")</x:f>
        <x:v>7.576923076923077</x:v>
      </x:c>
      <x:c r="K1853" s="19" t="n">
        <x:f>'各站彙總來源'!K1853</x:f>
        <x:v>26</x:v>
      </x:c>
      <x:c r="L1853" s="24" t="n">
        <x:f>IFERROR('各站彙總來源'!L1853/'各站彙總來源'!M1853,"")</x:f>
        <x:v>1.4230769230769231</x:v>
      </x:c>
      <x:c r="M1853" s="19" t="n">
        <x:f>'各站彙總來源'!M1853</x:f>
        <x:v>26</x:v>
      </x:c>
      <x:c r="N1853" s="24" t="n">
        <x:f>F1853+H1853</x:f>
        <x:v>3.1153846153846154</x:v>
      </x:c>
      <x:c r="O1853" s="24" t="n">
        <x:f>J1853+L1853</x:f>
        <x:v>9</x:v>
      </x:c>
    </x:row>
    <x:row r="1854">
      <x:c r="A1854" s="22" t="str">
        <x:v>500119061</x:v>
      </x:c>
      <x:c r="B1854" s="17" t="str">
        <x:v>臺大公館校區</x:v>
      </x:c>
      <x:c r="C1854" s="17" t="str">
        <x:v>臺大鹿鳴堂東側</x:v>
      </x:c>
      <x:c r="D1854" s="18" t="n">
        <x:v>26</x:v>
      </x:c>
      <x:c r="E1854" s="18" t="n">
        <x:v>26</x:v>
      </x:c>
      <x:c r="F1854" s="24" t="n">
        <x:f>IFERROR('各站彙總來源'!F1854/'各站彙總來源'!G1854,"")</x:f>
        <x:v>6.846153846153846</x:v>
      </x:c>
      <x:c r="G1854" s="19" t="n">
        <x:f>'各站彙總來源'!G1854</x:f>
        <x:v>26</x:v>
      </x:c>
      <x:c r="H1854" s="24" t="n">
        <x:f>IFERROR('各站彙總來源'!H1854/'各站彙總來源'!I1854,"")</x:f>
        <x:v>0.38461538461538464</x:v>
      </x:c>
      <x:c r="I1854" s="19" t="n">
        <x:f>'各站彙總來源'!I1854</x:f>
        <x:v>26</x:v>
      </x:c>
      <x:c r="J1854" s="24" t="n">
        <x:f>IFERROR('各站彙總來源'!J1854/'各站彙總來源'!K1854,"")</x:f>
        <x:v>14.346153846153847</x:v>
      </x:c>
      <x:c r="K1854" s="19" t="n">
        <x:f>'各站彙總來源'!K1854</x:f>
        <x:v>26</x:v>
      </x:c>
      <x:c r="L1854" s="24" t="n">
        <x:f>IFERROR('各站彙總來源'!L1854/'各站彙總來源'!M1854,"")</x:f>
        <x:v>2</x:v>
      </x:c>
      <x:c r="M1854" s="19" t="n">
        <x:f>'各站彙總來源'!M1854</x:f>
        <x:v>26</x:v>
      </x:c>
      <x:c r="N1854" s="24" t="n">
        <x:f>F1854+H1854</x:f>
        <x:v>7.230769230769231</x:v>
      </x:c>
      <x:c r="O1854" s="24" t="n">
        <x:f>J1854+L1854</x:f>
        <x:v>16.346153846153847</x:v>
      </x:c>
    </x:row>
    <x:row r="1855">
      <x:c r="A1855" s="22" t="str">
        <x:v>500119062</x:v>
      </x:c>
      <x:c r="B1855" s="17" t="str">
        <x:v>臺大公館校區</x:v>
      </x:c>
      <x:c r="C1855" s="17" t="str">
        <x:v>臺大公館停車場西北側</x:v>
      </x:c>
      <x:c r="D1855" s="18" t="n">
        <x:v>26</x:v>
      </x:c>
      <x:c r="E1855" s="18" t="n">
        <x:v>26</x:v>
      </x:c>
      <x:c r="F1855" s="24" t="n">
        <x:f>IFERROR('各站彙總來源'!F1855/'各站彙總來源'!G1855,"")</x:f>
        <x:v>2</x:v>
      </x:c>
      <x:c r="G1855" s="19" t="n">
        <x:f>'各站彙總來源'!G1855</x:f>
        <x:v>26</x:v>
      </x:c>
      <x:c r="H1855" s="24" t="n">
        <x:f>IFERROR('各站彙總來源'!H1855/'各站彙總來源'!I1855,"")</x:f>
        <x:v>0.3076923076923077</x:v>
      </x:c>
      <x:c r="I1855" s="19" t="n">
        <x:f>'各站彙總來源'!I1855</x:f>
        <x:v>26</x:v>
      </x:c>
      <x:c r="J1855" s="24" t="n">
        <x:f>IFERROR('各站彙總來源'!J1855/'各站彙總來源'!K1855,"")</x:f>
        <x:v>2.4615384615384617</x:v>
      </x:c>
      <x:c r="K1855" s="19" t="n">
        <x:f>'各站彙總來源'!K1855</x:f>
        <x:v>26</x:v>
      </x:c>
      <x:c r="L1855" s="24" t="n">
        <x:f>IFERROR('各站彙總來源'!L1855/'各站彙總來源'!M1855,"")</x:f>
        <x:v>1.3846153846153846</x:v>
      </x:c>
      <x:c r="M1855" s="19" t="n">
        <x:f>'各站彙總來源'!M1855</x:f>
        <x:v>26</x:v>
      </x:c>
      <x:c r="N1855" s="24" t="n">
        <x:f>F1855+H1855</x:f>
        <x:v>2.3076923076923075</x:v>
      </x:c>
      <x:c r="O1855" s="24" t="n">
        <x:f>J1855+L1855</x:f>
        <x:v>3.8461538461538463</x:v>
      </x:c>
    </x:row>
    <x:row r="1856">
      <x:c r="A1856" s="22" t="str">
        <x:v>500119063</x:v>
      </x:c>
      <x:c r="B1856" s="17" t="str">
        <x:v>臺大公館校區</x:v>
      </x:c>
      <x:c r="C1856" s="17" t="str">
        <x:v>臺大第二行政大樓南側</x:v>
      </x:c>
      <x:c r="D1856" s="18" t="n">
        <x:v>26</x:v>
      </x:c>
      <x:c r="E1856" s="18" t="n">
        <x:v>26</x:v>
      </x:c>
      <x:c r="F1856" s="24" t="n">
        <x:f>IFERROR('各站彙總來源'!F1856/'各站彙總來源'!G1856,"")</x:f>
        <x:v>3.8076923076923075</x:v>
      </x:c>
      <x:c r="G1856" s="19" t="n">
        <x:f>'各站彙總來源'!G1856</x:f>
        <x:v>26</x:v>
      </x:c>
      <x:c r="H1856" s="24" t="n">
        <x:f>IFERROR('各站彙總來源'!H1856/'各站彙總來源'!I1856,"")</x:f>
        <x:v>0.38461538461538464</x:v>
      </x:c>
      <x:c r="I1856" s="19" t="n">
        <x:f>'各站彙總來源'!I1856</x:f>
        <x:v>26</x:v>
      </x:c>
      <x:c r="J1856" s="24" t="n">
        <x:f>IFERROR('各站彙總來源'!J1856/'各站彙總來源'!K1856,"")</x:f>
        <x:v>6.461538461538462</x:v>
      </x:c>
      <x:c r="K1856" s="19" t="n">
        <x:f>'各站彙總來源'!K1856</x:f>
        <x:v>26</x:v>
      </x:c>
      <x:c r="L1856" s="24" t="n">
        <x:f>IFERROR('各站彙總來源'!L1856/'各站彙總來源'!M1856,"")</x:f>
        <x:v>0.6538461538461539</x:v>
      </x:c>
      <x:c r="M1856" s="19" t="n">
        <x:f>'各站彙總來源'!M1856</x:f>
        <x:v>26</x:v>
      </x:c>
      <x:c r="N1856" s="24" t="n">
        <x:f>F1856+H1856</x:f>
        <x:v>4.1923076923076925</x:v>
      </x:c>
      <x:c r="O1856" s="24" t="n">
        <x:f>J1856+L1856</x:f>
        <x:v>7.115384615384616</x:v>
      </x:c>
    </x:row>
    <x:row r="1857">
      <x:c r="A1857" s="22" t="str">
        <x:v>500119064</x:v>
      </x:c>
      <x:c r="B1857" s="17" t="str">
        <x:v>臺大公館校區</x:v>
      </x:c>
      <x:c r="C1857" s="17" t="str">
        <x:v>臺大明達館機車停車場</x:v>
      </x:c>
      <x:c r="D1857" s="18" t="n">
        <x:v>26</x:v>
      </x:c>
      <x:c r="E1857" s="18" t="n">
        <x:v>26</x:v>
      </x:c>
      <x:c r="F1857" s="24" t="n">
        <x:f>IFERROR('各站彙總來源'!F1857/'各站彙總來源'!G1857,"")</x:f>
        <x:v>10.461538461538462</x:v>
      </x:c>
      <x:c r="G1857" s="19" t="n">
        <x:f>'各站彙總來源'!G1857</x:f>
        <x:v>26</x:v>
      </x:c>
      <x:c r="H1857" s="24" t="n">
        <x:f>IFERROR('各站彙總來源'!H1857/'各站彙總來源'!I1857,"")</x:f>
        <x:v>0.9615384615384616</x:v>
      </x:c>
      <x:c r="I1857" s="19" t="n">
        <x:f>'各站彙總來源'!I1857</x:f>
        <x:v>26</x:v>
      </x:c>
      <x:c r="J1857" s="24" t="n">
        <x:f>IFERROR('各站彙總來源'!J1857/'各站彙總來源'!K1857,"")</x:f>
        <x:v>13.76923076923077</x:v>
      </x:c>
      <x:c r="K1857" s="19" t="n">
        <x:f>'各站彙總來源'!K1857</x:f>
        <x:v>26</x:v>
      </x:c>
      <x:c r="L1857" s="24" t="n">
        <x:f>IFERROR('各站彙總來源'!L1857/'各站彙總來源'!M1857,"")</x:f>
        <x:v>1.5769230769230769</x:v>
      </x:c>
      <x:c r="M1857" s="19" t="n">
        <x:f>'各站彙總來源'!M1857</x:f>
        <x:v>26</x:v>
      </x:c>
      <x:c r="N1857" s="24" t="n">
        <x:f>F1857+H1857</x:f>
        <x:v>11.423076923076923</x:v>
      </x:c>
      <x:c r="O1857" s="24" t="n">
        <x:f>J1857+L1857</x:f>
        <x:v>15.346153846153847</x:v>
      </x:c>
    </x:row>
    <x:row r="1858">
      <x:c r="A1858" s="22" t="str">
        <x:v>500119065</x:v>
      </x:c>
      <x:c r="B1858" s="17" t="str">
        <x:v>臺大公館校區</x:v>
      </x:c>
      <x:c r="C1858" s="17" t="str">
        <x:v>臺大二號館</x:v>
      </x:c>
      <x:c r="D1858" s="18" t="n">
        <x:v>26</x:v>
      </x:c>
      <x:c r="E1858" s="18" t="n">
        <x:v>26</x:v>
      </x:c>
      <x:c r="F1858" s="24" t="n">
        <x:f>IFERROR('各站彙總來源'!F1858/'各站彙總來源'!G1858,"")</x:f>
        <x:v>2.6923076923076925</x:v>
      </x:c>
      <x:c r="G1858" s="19" t="n">
        <x:f>'各站彙總來源'!G1858</x:f>
        <x:v>26</x:v>
      </x:c>
      <x:c r="H1858" s="24" t="n">
        <x:f>IFERROR('各站彙總來源'!H1858/'各站彙總來源'!I1858,"")</x:f>
        <x:v>0.11538461538461539</x:v>
      </x:c>
      <x:c r="I1858" s="19" t="n">
        <x:f>'各站彙總來源'!I1858</x:f>
        <x:v>26</x:v>
      </x:c>
      <x:c r="J1858" s="24" t="n">
        <x:f>IFERROR('各站彙總來源'!J1858/'各站彙總來源'!K1858,"")</x:f>
        <x:v>3.9615384615384617</x:v>
      </x:c>
      <x:c r="K1858" s="19" t="n">
        <x:f>'各站彙總來源'!K1858</x:f>
        <x:v>26</x:v>
      </x:c>
      <x:c r="L1858" s="24" t="n">
        <x:f>IFERROR('各站彙總來源'!L1858/'各站彙總來源'!M1858,"")</x:f>
        <x:v>0.5769230769230769</x:v>
      </x:c>
      <x:c r="M1858" s="19" t="n">
        <x:f>'各站彙總來源'!M1858</x:f>
        <x:v>26</x:v>
      </x:c>
      <x:c r="N1858" s="24" t="n">
        <x:f>F1858+H1858</x:f>
        <x:v>2.807692307692308</x:v>
      </x:c>
      <x:c r="O1858" s="24" t="n">
        <x:f>J1858+L1858</x:f>
        <x:v>4.538461538461538</x:v>
      </x:c>
    </x:row>
    <x:row r="1859">
      <x:c r="A1859" s="22" t="str">
        <x:v>500119066</x:v>
      </x:c>
      <x:c r="B1859" s="17" t="str">
        <x:v>臺大公館校區</x:v>
      </x:c>
      <x:c r="C1859" s="17" t="str">
        <x:v>臺大凝態館南側</x:v>
      </x:c>
      <x:c r="D1859" s="18" t="n">
        <x:v>26</x:v>
      </x:c>
      <x:c r="E1859" s="18" t="n">
        <x:v>26</x:v>
      </x:c>
      <x:c r="F1859" s="24" t="n">
        <x:f>IFERROR('各站彙總來源'!F1859/'各站彙總來源'!G1859,"")</x:f>
        <x:v>2.923076923076923</x:v>
      </x:c>
      <x:c r="G1859" s="19" t="n">
        <x:f>'各站彙總來源'!G1859</x:f>
        <x:v>26</x:v>
      </x:c>
      <x:c r="H1859" s="24" t="n">
        <x:f>IFERROR('各站彙總來源'!H1859/'各站彙總來源'!I1859,"")</x:f>
        <x:v>0.38461538461538464</x:v>
      </x:c>
      <x:c r="I1859" s="19" t="n">
        <x:f>'各站彙總來源'!I1859</x:f>
        <x:v>26</x:v>
      </x:c>
      <x:c r="J1859" s="24" t="n">
        <x:f>IFERROR('各站彙總來源'!J1859/'各站彙總來源'!K1859,"")</x:f>
        <x:v>11.807692307692308</x:v>
      </x:c>
      <x:c r="K1859" s="19" t="n">
        <x:f>'各站彙總來源'!K1859</x:f>
        <x:v>26</x:v>
      </x:c>
      <x:c r="L1859" s="24" t="n">
        <x:f>IFERROR('各站彙總來源'!L1859/'各站彙總來源'!M1859,"")</x:f>
        <x:v>2.269230769230769</x:v>
      </x:c>
      <x:c r="M1859" s="19" t="n">
        <x:f>'各站彙總來源'!M1859</x:f>
        <x:v>26</x:v>
      </x:c>
      <x:c r="N1859" s="24" t="n">
        <x:f>F1859+H1859</x:f>
        <x:v>3.3076923076923075</x:v>
      </x:c>
      <x:c r="O1859" s="24" t="n">
        <x:f>J1859+L1859</x:f>
        <x:v>14.076923076923077</x:v>
      </x:c>
    </x:row>
    <x:row r="1860">
      <x:c r="A1860" s="22" t="str">
        <x:v>500119067</x:v>
      </x:c>
      <x:c r="B1860" s="17" t="str">
        <x:v>臺大公館校區</x:v>
      </x:c>
      <x:c r="C1860" s="17" t="str">
        <x:v>臺大社科院西側</x:v>
      </x:c>
      <x:c r="D1860" s="18" t="n">
        <x:v>26</x:v>
      </x:c>
      <x:c r="E1860" s="18" t="n">
        <x:v>26</x:v>
      </x:c>
      <x:c r="F1860" s="24" t="n">
        <x:f>IFERROR('各站彙總來源'!F1860/'各站彙總來源'!G1860,"")</x:f>
        <x:v>5.8076923076923075</x:v>
      </x:c>
      <x:c r="G1860" s="19" t="n">
        <x:f>'各站彙總來源'!G1860</x:f>
        <x:v>26</x:v>
      </x:c>
      <x:c r="H1860" s="24" t="n">
        <x:f>IFERROR('各站彙總來源'!H1860/'各站彙總來源'!I1860,"")</x:f>
        <x:v>0.34615384615384615</x:v>
      </x:c>
      <x:c r="I1860" s="19" t="n">
        <x:f>'各站彙總來源'!I1860</x:f>
        <x:v>26</x:v>
      </x:c>
      <x:c r="J1860" s="24" t="n">
        <x:f>IFERROR('各站彙總來源'!J1860/'各站彙總來源'!K1860,"")</x:f>
        <x:v>52.76923076923077</x:v>
      </x:c>
      <x:c r="K1860" s="19" t="n">
        <x:f>'各站彙總來源'!K1860</x:f>
        <x:v>26</x:v>
      </x:c>
      <x:c r="L1860" s="24" t="n">
        <x:f>IFERROR('各站彙總來源'!L1860/'各站彙總來源'!M1860,"")</x:f>
        <x:v>4.923076923076923</x:v>
      </x:c>
      <x:c r="M1860" s="19" t="n">
        <x:f>'各站彙總來源'!M1860</x:f>
        <x:v>26</x:v>
      </x:c>
      <x:c r="N1860" s="24" t="n">
        <x:f>F1860+H1860</x:f>
        <x:v>6.153846153846153</x:v>
      </x:c>
      <x:c r="O1860" s="24" t="n">
        <x:f>J1860+L1860</x:f>
        <x:v>57.69230769230769</x:v>
      </x:c>
    </x:row>
    <x:row r="1861">
      <x:c r="A1861" s="22" t="str">
        <x:v>500119068</x:v>
      </x:c>
      <x:c r="B1861" s="17" t="str">
        <x:v>臺大公館校區</x:v>
      </x:c>
      <x:c r="C1861" s="17" t="str">
        <x:v>臺大社會系館南側</x:v>
      </x:c>
      <x:c r="D1861" s="18" t="n">
        <x:v>26</x:v>
      </x:c>
      <x:c r="E1861" s="18" t="n">
        <x:v>26</x:v>
      </x:c>
      <x:c r="F1861" s="24" t="n">
        <x:f>IFERROR('各站彙總來源'!F1861/'各站彙總來源'!G1861,"")</x:f>
        <x:v>3.8461538461538463</x:v>
      </x:c>
      <x:c r="G1861" s="19" t="n">
        <x:f>'各站彙總來源'!G1861</x:f>
        <x:v>26</x:v>
      </x:c>
      <x:c r="H1861" s="24" t="n">
        <x:f>IFERROR('各站彙總來源'!H1861/'各站彙總來源'!I1861,"")</x:f>
        <x:v>0.07692307692307693</x:v>
      </x:c>
      <x:c r="I1861" s="19" t="n">
        <x:f>'各站彙總來源'!I1861</x:f>
        <x:v>26</x:v>
      </x:c>
      <x:c r="J1861" s="24" t="n">
        <x:f>IFERROR('各站彙總來源'!J1861/'各站彙總來源'!K1861,"")</x:f>
        <x:v>58.03846153846154</x:v>
      </x:c>
      <x:c r="K1861" s="19" t="n">
        <x:f>'各站彙總來源'!K1861</x:f>
        <x:v>26</x:v>
      </x:c>
      <x:c r="L1861" s="24" t="n">
        <x:f>IFERROR('各站彙總來源'!L1861/'各站彙總來源'!M1861,"")</x:f>
        <x:v>5.884615384615385</x:v>
      </x:c>
      <x:c r="M1861" s="19" t="n">
        <x:f>'各站彙總來源'!M1861</x:f>
        <x:v>26</x:v>
      </x:c>
      <x:c r="N1861" s="24" t="n">
        <x:f>F1861+H1861</x:f>
        <x:v>3.9230769230769234</x:v>
      </x:c>
      <x:c r="O1861" s="24" t="n">
        <x:f>J1861+L1861</x:f>
        <x:v>63.92307692307693</x:v>
      </x:c>
    </x:row>
    <x:row r="1862">
      <x:c r="A1862" s="22" t="str">
        <x:v>500119069</x:v>
      </x:c>
      <x:c r="B1862" s="17" t="str">
        <x:v>臺大公館校區</x:v>
      </x:c>
      <x:c r="C1862" s="17" t="str">
        <x:v>臺大思亮館東南側</x:v>
      </x:c>
      <x:c r="D1862" s="18" t="n">
        <x:v>26</x:v>
      </x:c>
      <x:c r="E1862" s="18" t="n">
        <x:v>26</x:v>
      </x:c>
      <x:c r="F1862" s="24" t="n">
        <x:f>IFERROR('各站彙總來源'!F1862/'各站彙總來源'!G1862,"")</x:f>
        <x:v>3.8846153846153846</x:v>
      </x:c>
      <x:c r="G1862" s="19" t="n">
        <x:f>'各站彙總來源'!G1862</x:f>
        <x:v>26</x:v>
      </x:c>
      <x:c r="H1862" s="24" t="n">
        <x:f>IFERROR('各站彙總來源'!H1862/'各站彙總來源'!I1862,"")</x:f>
        <x:v>0.6538461538461539</x:v>
      </x:c>
      <x:c r="I1862" s="19" t="n">
        <x:f>'各站彙總來源'!I1862</x:f>
        <x:v>26</x:v>
      </x:c>
      <x:c r="J1862" s="24" t="n">
        <x:f>IFERROR('各站彙總來源'!J1862/'各站彙總來源'!K1862,"")</x:f>
        <x:v>45.03846153846154</x:v>
      </x:c>
      <x:c r="K1862" s="19" t="n">
        <x:f>'各站彙總來源'!K1862</x:f>
        <x:v>26</x:v>
      </x:c>
      <x:c r="L1862" s="24" t="n">
        <x:f>IFERROR('各站彙總來源'!L1862/'各站彙總來源'!M1862,"")</x:f>
        <x:v>4.923076923076923</x:v>
      </x:c>
      <x:c r="M1862" s="19" t="n">
        <x:f>'各站彙總來源'!M1862</x:f>
        <x:v>26</x:v>
      </x:c>
      <x:c r="N1862" s="24" t="n">
        <x:f>F1862+H1862</x:f>
        <x:v>4.538461538461538</x:v>
      </x:c>
      <x:c r="O1862" s="24" t="n">
        <x:f>J1862+L1862</x:f>
        <x:v>49.96153846153847</x:v>
      </x:c>
    </x:row>
    <x:row r="1863">
      <x:c r="A1863" s="22" t="str">
        <x:v>500119070</x:v>
      </x:c>
      <x:c r="B1863" s="17" t="str">
        <x:v>臺大公館校區</x:v>
      </x:c>
      <x:c r="C1863" s="17" t="str">
        <x:v>臺大椰林小舖</x:v>
      </x:c>
      <x:c r="D1863" s="18" t="n">
        <x:v>26</x:v>
      </x:c>
      <x:c r="E1863" s="18" t="n">
        <x:v>26</x:v>
      </x:c>
      <x:c r="F1863" s="24" t="n">
        <x:f>IFERROR('各站彙總來源'!F1863/'各站彙總來源'!G1863,"")</x:f>
        <x:v>12.5</x:v>
      </x:c>
      <x:c r="G1863" s="19" t="n">
        <x:f>'各站彙總來源'!G1863</x:f>
        <x:v>26</x:v>
      </x:c>
      <x:c r="H1863" s="24" t="n">
        <x:f>IFERROR('各站彙總來源'!H1863/'各站彙總來源'!I1863,"")</x:f>
        <x:v>1.6153846153846154</x:v>
      </x:c>
      <x:c r="I1863" s="19" t="n">
        <x:f>'各站彙總來源'!I1863</x:f>
        <x:v>26</x:v>
      </x:c>
      <x:c r="J1863" s="24" t="n">
        <x:f>IFERROR('各站彙總來源'!J1863/'各站彙總來源'!K1863,"")</x:f>
        <x:v>7.923076923076923</x:v>
      </x:c>
      <x:c r="K1863" s="19" t="n">
        <x:f>'各站彙總來源'!K1863</x:f>
        <x:v>26</x:v>
      </x:c>
      <x:c r="L1863" s="24" t="n">
        <x:f>IFERROR('各站彙總來源'!L1863/'各站彙總來源'!M1863,"")</x:f>
        <x:v>0.9230769230769231</x:v>
      </x:c>
      <x:c r="M1863" s="19" t="n">
        <x:f>'各站彙總來源'!M1863</x:f>
        <x:v>26</x:v>
      </x:c>
      <x:c r="N1863" s="24" t="n">
        <x:f>F1863+H1863</x:f>
        <x:v>14.115384615384615</x:v>
      </x:c>
      <x:c r="O1863" s="24" t="n">
        <x:f>J1863+L1863</x:f>
        <x:v>8.846153846153847</x:v>
      </x:c>
    </x:row>
    <x:row r="1864">
      <x:c r="A1864" s="22" t="str">
        <x:v>500119071</x:v>
      </x:c>
      <x:c r="B1864" s="17" t="str">
        <x:v>臺大公館校區</x:v>
      </x:c>
      <x:c r="C1864" s="17" t="str">
        <x:v>臺大計資中心南側</x:v>
      </x:c>
      <x:c r="D1864" s="18" t="n">
        <x:v>26</x:v>
      </x:c>
      <x:c r="E1864" s="18" t="n">
        <x:v>26</x:v>
      </x:c>
      <x:c r="F1864" s="24" t="n">
        <x:f>IFERROR('各站彙總來源'!F1864/'各站彙總來源'!G1864,"")</x:f>
        <x:v>3.423076923076923</x:v>
      </x:c>
      <x:c r="G1864" s="19" t="n">
        <x:f>'各站彙總來源'!G1864</x:f>
        <x:v>26</x:v>
      </x:c>
      <x:c r="H1864" s="24" t="n">
        <x:f>IFERROR('各站彙總來源'!H1864/'各站彙總來源'!I1864,"")</x:f>
        <x:v>0.9615384615384616</x:v>
      </x:c>
      <x:c r="I1864" s="19" t="n">
        <x:f>'各站彙總來源'!I1864</x:f>
        <x:v>26</x:v>
      </x:c>
      <x:c r="J1864" s="24" t="n">
        <x:f>IFERROR('各站彙總來源'!J1864/'各站彙總來源'!K1864,"")</x:f>
        <x:v>93.88461538461539</x:v>
      </x:c>
      <x:c r="K1864" s="19" t="n">
        <x:f>'各站彙總來源'!K1864</x:f>
        <x:v>26</x:v>
      </x:c>
      <x:c r="L1864" s="24" t="n">
        <x:f>IFERROR('各站彙總來源'!L1864/'各站彙總來源'!M1864,"")</x:f>
        <x:v>7.384615384615385</x:v>
      </x:c>
      <x:c r="M1864" s="19" t="n">
        <x:f>'各站彙總來源'!M1864</x:f>
        <x:v>26</x:v>
      </x:c>
      <x:c r="N1864" s="24" t="n">
        <x:f>F1864+H1864</x:f>
        <x:v>4.384615384615384</x:v>
      </x:c>
      <x:c r="O1864" s="24" t="n">
        <x:f>J1864+L1864</x:f>
        <x:v>101.26923076923077</x:v>
      </x:c>
    </x:row>
    <x:row r="1865">
      <x:c r="A1865" s="22" t="str">
        <x:v>500119072</x:v>
      </x:c>
      <x:c r="B1865" s="17" t="str">
        <x:v>臺大公館校區</x:v>
      </x:c>
      <x:c r="C1865" s="17" t="str">
        <x:v>臺大原分所北側</x:v>
      </x:c>
      <x:c r="D1865" s="18" t="n">
        <x:v>26</x:v>
      </x:c>
      <x:c r="E1865" s="18" t="n">
        <x:v>26</x:v>
      </x:c>
      <x:c r="F1865" s="24" t="n">
        <x:f>IFERROR('各站彙總來源'!F1865/'各站彙總來源'!G1865,"")</x:f>
        <x:v>2.269230769230769</x:v>
      </x:c>
      <x:c r="G1865" s="19" t="n">
        <x:f>'各站彙總來源'!G1865</x:f>
        <x:v>26</x:v>
      </x:c>
      <x:c r="H1865" s="24" t="n">
        <x:f>IFERROR('各站彙總來源'!H1865/'各站彙總來源'!I1865,"")</x:f>
        <x:v>0.3076923076923077</x:v>
      </x:c>
      <x:c r="I1865" s="19" t="n">
        <x:f>'各站彙總來源'!I1865</x:f>
        <x:v>26</x:v>
      </x:c>
      <x:c r="J1865" s="24" t="n">
        <x:f>IFERROR('各站彙總來源'!J1865/'各站彙總來源'!K1865,"")</x:f>
        <x:v>16.346153846153847</x:v>
      </x:c>
      <x:c r="K1865" s="19" t="n">
        <x:f>'各站彙總來源'!K1865</x:f>
        <x:v>26</x:v>
      </x:c>
      <x:c r="L1865" s="24" t="n">
        <x:f>IFERROR('各站彙總來源'!L1865/'各站彙總來源'!M1865,"")</x:f>
        <x:v>1.7307692307692308</x:v>
      </x:c>
      <x:c r="M1865" s="19" t="n">
        <x:f>'各站彙總來源'!M1865</x:f>
        <x:v>26</x:v>
      </x:c>
      <x:c r="N1865" s="24" t="n">
        <x:f>F1865+H1865</x:f>
        <x:v>2.5769230769230766</x:v>
      </x:c>
      <x:c r="O1865" s="24" t="n">
        <x:f>J1865+L1865</x:f>
        <x:v>18.076923076923077</x:v>
      </x:c>
    </x:row>
    <x:row r="1866">
      <x:c r="A1866" s="22" t="str">
        <x:v>500119073</x:v>
      </x:c>
      <x:c r="B1866" s="17" t="str">
        <x:v>臺大公館校區</x:v>
      </x:c>
      <x:c r="C1866" s="17" t="str">
        <x:v>臺大校史館南側</x:v>
      </x:c>
      <x:c r="D1866" s="18" t="n">
        <x:v>26</x:v>
      </x:c>
      <x:c r="E1866" s="18" t="n">
        <x:v>26</x:v>
      </x:c>
      <x:c r="F1866" s="24" t="n">
        <x:f>IFERROR('各站彙總來源'!F1866/'各站彙總來源'!G1866,"")</x:f>
        <x:v>0</x:v>
      </x:c>
      <x:c r="G1866" s="19" t="n">
        <x:f>'各站彙總來源'!G1866</x:f>
        <x:v>26</x:v>
      </x:c>
      <x:c r="H1866" s="24" t="n">
        <x:f>IFERROR('各站彙總來源'!H1866/'各站彙總來源'!I1866,"")</x:f>
        <x:v>0</x:v>
      </x:c>
      <x:c r="I1866" s="19" t="n">
        <x:f>'各站彙總來源'!I1866</x:f>
        <x:v>26</x:v>
      </x:c>
      <x:c r="J1866" s="24" t="n">
        <x:f>IFERROR('各站彙總來源'!J1866/'各站彙總來源'!K1866,"")</x:f>
        <x:v>0</x:v>
      </x:c>
      <x:c r="K1866" s="19" t="n">
        <x:f>'各站彙總來源'!K1866</x:f>
        <x:v>26</x:v>
      </x:c>
      <x:c r="L1866" s="24" t="n">
        <x:f>IFERROR('各站彙總來源'!L1866/'各站彙總來源'!M1866,"")</x:f>
        <x:v>0</x:v>
      </x:c>
      <x:c r="M1866" s="19" t="n">
        <x:f>'各站彙總來源'!M1866</x:f>
        <x:v>26</x:v>
      </x:c>
      <x:c r="N1866" s="24" t="n">
        <x:f>F1866+H1866</x:f>
        <x:v>0</x:v>
      </x:c>
      <x:c r="O1866" s="24" t="n">
        <x:f>J1866+L1866</x:f>
        <x:v>0</x:v>
      </x:c>
    </x:row>
    <x:row r="1867">
      <x:c r="A1867" s="22" t="str">
        <x:v>500119074</x:v>
      </x:c>
      <x:c r="B1867" s="17" t="str">
        <x:v>臺大公館校區</x:v>
      </x:c>
      <x:c r="C1867" s="17" t="str">
        <x:v>臺大生命科學館西北側</x:v>
      </x:c>
      <x:c r="D1867" s="18" t="n">
        <x:v>26</x:v>
      </x:c>
      <x:c r="E1867" s="18" t="n">
        <x:v>26</x:v>
      </x:c>
      <x:c r="F1867" s="24" t="n">
        <x:f>IFERROR('各站彙總來源'!F1867/'各站彙總來源'!G1867,"")</x:f>
        <x:v>4.076923076923077</x:v>
      </x:c>
      <x:c r="G1867" s="19" t="n">
        <x:f>'各站彙總來源'!G1867</x:f>
        <x:v>26</x:v>
      </x:c>
      <x:c r="H1867" s="24" t="n">
        <x:f>IFERROR('各站彙總來源'!H1867/'各站彙總來源'!I1867,"")</x:f>
        <x:v>0.23076923076923078</x:v>
      </x:c>
      <x:c r="I1867" s="19" t="n">
        <x:f>'各站彙總來源'!I1867</x:f>
        <x:v>26</x:v>
      </x:c>
      <x:c r="J1867" s="24" t="n">
        <x:f>IFERROR('各站彙總來源'!J1867/'各站彙總來源'!K1867,"")</x:f>
        <x:v>11.807692307692308</x:v>
      </x:c>
      <x:c r="K1867" s="19" t="n">
        <x:f>'各站彙總來源'!K1867</x:f>
        <x:v>26</x:v>
      </x:c>
      <x:c r="L1867" s="24" t="n">
        <x:f>IFERROR('各站彙總來源'!L1867/'各站彙總來源'!M1867,"")</x:f>
        <x:v>1.9230769230769231</x:v>
      </x:c>
      <x:c r="M1867" s="19" t="n">
        <x:f>'各站彙總來源'!M1867</x:f>
        <x:v>26</x:v>
      </x:c>
      <x:c r="N1867" s="24" t="n">
        <x:f>F1867+H1867</x:f>
        <x:v>4.3076923076923075</x:v>
      </x:c>
      <x:c r="O1867" s="24" t="n">
        <x:f>J1867+L1867</x:f>
        <x:v>13.730769230769232</x:v>
      </x:c>
    </x:row>
    <x:row r="1868">
      <x:c r="A1868" s="22" t="str">
        <x:v>500119075</x:v>
      </x:c>
      <x:c r="B1868" s="17" t="str">
        <x:v>臺大公館校區</x:v>
      </x:c>
      <x:c r="C1868" s="17" t="str">
        <x:v>臺大第一活動中心西南側</x:v>
      </x:c>
      <x:c r="D1868" s="18" t="n">
        <x:v>26</x:v>
      </x:c>
      <x:c r="E1868" s="18" t="n">
        <x:v>26</x:v>
      </x:c>
      <x:c r="F1868" s="24" t="n">
        <x:f>IFERROR('各站彙總來源'!F1868/'各站彙總來源'!G1868,"")</x:f>
        <x:v>3.9615384615384617</x:v>
      </x:c>
      <x:c r="G1868" s="19" t="n">
        <x:f>'各站彙總來源'!G1868</x:f>
        <x:v>26</x:v>
      </x:c>
      <x:c r="H1868" s="24" t="n">
        <x:f>IFERROR('各站彙總來源'!H1868/'各站彙總來源'!I1868,"")</x:f>
        <x:v>0.6923076923076923</x:v>
      </x:c>
      <x:c r="I1868" s="19" t="n">
        <x:f>'各站彙總來源'!I1868</x:f>
        <x:v>26</x:v>
      </x:c>
      <x:c r="J1868" s="24" t="n">
        <x:f>IFERROR('各站彙總來源'!J1868/'各站彙總來源'!K1868,"")</x:f>
        <x:v>83.73076923076923</x:v>
      </x:c>
      <x:c r="K1868" s="19" t="n">
        <x:f>'各站彙總來源'!K1868</x:f>
        <x:v>26</x:v>
      </x:c>
      <x:c r="L1868" s="24" t="n">
        <x:f>IFERROR('各站彙總來源'!L1868/'各站彙總來源'!M1868,"")</x:f>
        <x:v>4.5</x:v>
      </x:c>
      <x:c r="M1868" s="19" t="n">
        <x:f>'各站彙總來源'!M1868</x:f>
        <x:v>26</x:v>
      </x:c>
      <x:c r="N1868" s="24" t="n">
        <x:f>F1868+H1868</x:f>
        <x:v>4.653846153846154</x:v>
      </x:c>
      <x:c r="O1868" s="24" t="n">
        <x:f>J1868+L1868</x:f>
        <x:v>88.23076923076923</x:v>
      </x:c>
    </x:row>
    <x:row r="1869">
      <x:c r="A1869" s="22" t="str">
        <x:v>500119076</x:v>
      </x:c>
      <x:c r="B1869" s="17" t="str">
        <x:v>臺大公館校區</x:v>
      </x:c>
      <x:c r="C1869" s="17" t="str">
        <x:v>臺大博理館西側</x:v>
      </x:c>
      <x:c r="D1869" s="18" t="n">
        <x:v>26</x:v>
      </x:c>
      <x:c r="E1869" s="18" t="n">
        <x:v>26</x:v>
      </x:c>
      <x:c r="F1869" s="24" t="n">
        <x:f>IFERROR('各站彙總來源'!F1869/'各站彙總來源'!G1869,"")</x:f>
        <x:v>3.269230769230769</x:v>
      </x:c>
      <x:c r="G1869" s="19" t="n">
        <x:f>'各站彙總來源'!G1869</x:f>
        <x:v>26</x:v>
      </x:c>
      <x:c r="H1869" s="24" t="n">
        <x:f>IFERROR('各站彙總來源'!H1869/'各站彙總來源'!I1869,"")</x:f>
        <x:v>0.11538461538461539</x:v>
      </x:c>
      <x:c r="I1869" s="19" t="n">
        <x:f>'各站彙總來源'!I1869</x:f>
        <x:v>26</x:v>
      </x:c>
      <x:c r="J1869" s="24" t="n">
        <x:f>IFERROR('各站彙總來源'!J1869/'各站彙總來源'!K1869,"")</x:f>
        <x:v>27.923076923076923</x:v>
      </x:c>
      <x:c r="K1869" s="19" t="n">
        <x:f>'各站彙總來源'!K1869</x:f>
        <x:v>26</x:v>
      </x:c>
      <x:c r="L1869" s="24" t="n">
        <x:f>IFERROR('各站彙總來源'!L1869/'各站彙總來源'!M1869,"")</x:f>
        <x:v>2.3076923076923075</x:v>
      </x:c>
      <x:c r="M1869" s="19" t="n">
        <x:f>'各站彙總來源'!M1869</x:f>
        <x:v>26</x:v>
      </x:c>
      <x:c r="N1869" s="24" t="n">
        <x:f>F1869+H1869</x:f>
        <x:v>3.3846153846153846</x:v>
      </x:c>
      <x:c r="O1869" s="24" t="n">
        <x:f>J1869+L1869</x:f>
        <x:v>30.23076923076923</x:v>
      </x:c>
    </x:row>
    <x:row r="1870">
      <x:c r="A1870" s="22" t="str">
        <x:v>500119077</x:v>
      </x:c>
      <x:c r="B1870" s="17" t="str">
        <x:v>臺大公館校區</x:v>
      </x:c>
      <x:c r="C1870" s="17" t="str">
        <x:v>臺大博雅館西側</x:v>
      </x:c>
      <x:c r="D1870" s="18" t="n">
        <x:v>26</x:v>
      </x:c>
      <x:c r="E1870" s="18" t="n">
        <x:v>26</x:v>
      </x:c>
      <x:c r="F1870" s="24" t="n">
        <x:f>IFERROR('各站彙總來源'!F1870/'各站彙總來源'!G1870,"")</x:f>
        <x:v>4.076923076923077</x:v>
      </x:c>
      <x:c r="G1870" s="19" t="n">
        <x:f>'各站彙總來源'!G1870</x:f>
        <x:v>26</x:v>
      </x:c>
      <x:c r="H1870" s="24" t="n">
        <x:f>IFERROR('各站彙總來源'!H1870/'各站彙總來源'!I1870,"")</x:f>
        <x:v>1.4230769230769231</x:v>
      </x:c>
      <x:c r="I1870" s="19" t="n">
        <x:f>'各站彙總來源'!I1870</x:f>
        <x:v>26</x:v>
      </x:c>
      <x:c r="J1870" s="24" t="n">
        <x:f>IFERROR('各站彙總來源'!J1870/'各站彙總來源'!K1870,"")</x:f>
        <x:v>62</x:v>
      </x:c>
      <x:c r="K1870" s="19" t="n">
        <x:f>'各站彙總來源'!K1870</x:f>
        <x:v>26</x:v>
      </x:c>
      <x:c r="L1870" s="24" t="n">
        <x:f>IFERROR('各站彙總來源'!L1870/'各站彙總來源'!M1870,"")</x:f>
        <x:v>8.26923076923077</x:v>
      </x:c>
      <x:c r="M1870" s="19" t="n">
        <x:f>'各站彙總來源'!M1870</x:f>
        <x:v>26</x:v>
      </x:c>
      <x:c r="N1870" s="24" t="n">
        <x:f>F1870+H1870</x:f>
        <x:v>5.5</x:v>
      </x:c>
      <x:c r="O1870" s="24" t="n">
        <x:f>J1870+L1870</x:f>
        <x:v>70.26923076923077</x:v>
      </x:c>
    </x:row>
    <x:row r="1871">
      <x:c r="A1871" s="22" t="str">
        <x:v>500119078</x:v>
      </x:c>
      <x:c r="B1871" s="17" t="str">
        <x:v>臺大公館校區</x:v>
      </x:c>
      <x:c r="C1871" s="17" t="str">
        <x:v>臺大森林館北側</x:v>
      </x:c>
      <x:c r="D1871" s="18" t="n">
        <x:v>26</x:v>
      </x:c>
      <x:c r="E1871" s="18" t="n">
        <x:v>26</x:v>
      </x:c>
      <x:c r="F1871" s="24" t="n">
        <x:f>IFERROR('各站彙總來源'!F1871/'各站彙總來源'!G1871,"")</x:f>
        <x:v>2.9615384615384617</x:v>
      </x:c>
      <x:c r="G1871" s="19" t="n">
        <x:f>'各站彙總來源'!G1871</x:f>
        <x:v>26</x:v>
      </x:c>
      <x:c r="H1871" s="24" t="n">
        <x:f>IFERROR('各站彙總來源'!H1871/'各站彙總來源'!I1871,"")</x:f>
        <x:v>0.11538461538461539</x:v>
      </x:c>
      <x:c r="I1871" s="19" t="n">
        <x:f>'各站彙總來源'!I1871</x:f>
        <x:v>26</x:v>
      </x:c>
      <x:c r="J1871" s="24" t="n">
        <x:f>IFERROR('各站彙總來源'!J1871/'各站彙總來源'!K1871,"")</x:f>
        <x:v>5.884615384615385</x:v>
      </x:c>
      <x:c r="K1871" s="19" t="n">
        <x:f>'各站彙總來源'!K1871</x:f>
        <x:v>26</x:v>
      </x:c>
      <x:c r="L1871" s="24" t="n">
        <x:f>IFERROR('各站彙總來源'!L1871/'各站彙總來源'!M1871,"")</x:f>
        <x:v>0.8846153846153846</x:v>
      </x:c>
      <x:c r="M1871" s="19" t="n">
        <x:f>'各站彙總來源'!M1871</x:f>
        <x:v>26</x:v>
      </x:c>
      <x:c r="N1871" s="24" t="n">
        <x:f>F1871+H1871</x:f>
        <x:v>3.076923076923077</x:v>
      </x:c>
      <x:c r="O1871" s="24" t="n">
        <x:f>J1871+L1871</x:f>
        <x:v>6.76923076923077</x:v>
      </x:c>
    </x:row>
    <x:row r="1872">
      <x:c r="A1872" s="22" t="str">
        <x:v>500119079</x:v>
      </x:c>
      <x:c r="B1872" s="17" t="str">
        <x:v>臺大公館校區</x:v>
      </x:c>
      <x:c r="C1872" s="17" t="str">
        <x:v>臺大一號館</x:v>
      </x:c>
      <x:c r="D1872" s="18" t="n">
        <x:v>26</x:v>
      </x:c>
      <x:c r="E1872" s="18" t="n">
        <x:v>26</x:v>
      </x:c>
      <x:c r="F1872" s="24" t="n">
        <x:f>IFERROR('各站彙總來源'!F1872/'各站彙總來源'!G1872,"")</x:f>
        <x:v>3.4615384615384617</x:v>
      </x:c>
      <x:c r="G1872" s="19" t="n">
        <x:f>'各站彙總來源'!G1872</x:f>
        <x:v>26</x:v>
      </x:c>
      <x:c r="H1872" s="24" t="n">
        <x:f>IFERROR('各站彙總來源'!H1872/'各站彙總來源'!I1872,"")</x:f>
        <x:v>0.4230769230769231</x:v>
      </x:c>
      <x:c r="I1872" s="19" t="n">
        <x:f>'各站彙總來源'!I1872</x:f>
        <x:v>26</x:v>
      </x:c>
      <x:c r="J1872" s="24" t="n">
        <x:f>IFERROR('各站彙總來源'!J1872/'各站彙總來源'!K1872,"")</x:f>
        <x:v>5.5</x:v>
      </x:c>
      <x:c r="K1872" s="19" t="n">
        <x:f>'各站彙總來源'!K1872</x:f>
        <x:v>26</x:v>
      </x:c>
      <x:c r="L1872" s="24" t="n">
        <x:f>IFERROR('各站彙總來源'!L1872/'各站彙總來源'!M1872,"")</x:f>
        <x:v>0.7692307692307693</x:v>
      </x:c>
      <x:c r="M1872" s="19" t="n">
        <x:f>'各站彙總來源'!M1872</x:f>
        <x:v>26</x:v>
      </x:c>
      <x:c r="N1872" s="24" t="n">
        <x:f>F1872+H1872</x:f>
        <x:v>3.8846153846153846</x:v>
      </x:c>
      <x:c r="O1872" s="24" t="n">
        <x:f>J1872+L1872</x:f>
        <x:v>6.269230769230769</x:v>
      </x:c>
    </x:row>
    <x:row r="1873">
      <x:c r="A1873" s="22" t="str">
        <x:v>500119080</x:v>
      </x:c>
      <x:c r="B1873" s="17" t="str">
        <x:v>臺大公館校區</x:v>
      </x:c>
      <x:c r="C1873" s="17" t="str">
        <x:v>臺大小小福西南側</x:v>
      </x:c>
      <x:c r="D1873" s="18" t="n">
        <x:v>26</x:v>
      </x:c>
      <x:c r="E1873" s="18" t="n">
        <x:v>26</x:v>
      </x:c>
      <x:c r="F1873" s="24" t="n">
        <x:f>IFERROR('各站彙總來源'!F1873/'各站彙總來源'!G1873,"")</x:f>
        <x:v>1.9615384615384615</x:v>
      </x:c>
      <x:c r="G1873" s="19" t="n">
        <x:f>'各站彙總來源'!G1873</x:f>
        <x:v>26</x:v>
      </x:c>
      <x:c r="H1873" s="24" t="n">
        <x:f>IFERROR('各站彙總來源'!H1873/'各站彙總來源'!I1873,"")</x:f>
        <x:v>0.11538461538461539</x:v>
      </x:c>
      <x:c r="I1873" s="19" t="n">
        <x:f>'各站彙總來源'!I1873</x:f>
        <x:v>26</x:v>
      </x:c>
      <x:c r="J1873" s="24" t="n">
        <x:f>IFERROR('各站彙總來源'!J1873/'各站彙總來源'!K1873,"")</x:f>
        <x:v>3.076923076923077</x:v>
      </x:c>
      <x:c r="K1873" s="19" t="n">
        <x:f>'各站彙總來源'!K1873</x:f>
        <x:v>26</x:v>
      </x:c>
      <x:c r="L1873" s="24" t="n">
        <x:f>IFERROR('各站彙總來源'!L1873/'各站彙總來源'!M1873,"")</x:f>
        <x:v>0.15384615384615385</x:v>
      </x:c>
      <x:c r="M1873" s="19" t="n">
        <x:f>'各站彙總來源'!M1873</x:f>
        <x:v>26</x:v>
      </x:c>
      <x:c r="N1873" s="24" t="n">
        <x:f>F1873+H1873</x:f>
        <x:v>2.0769230769230766</x:v>
      </x:c>
      <x:c r="O1873" s="24" t="n">
        <x:f>J1873+L1873</x:f>
        <x:v>3.230769230769231</x:v>
      </x:c>
    </x:row>
    <x:row r="1874">
      <x:c r="A1874" s="22" t="str">
        <x:v>500119081</x:v>
      </x:c>
      <x:c r="B1874" s="17" t="str">
        <x:v>臺大公館校區</x:v>
      </x:c>
      <x:c r="C1874" s="17" t="str">
        <x:v>臺大教研館北側</x:v>
      </x:c>
      <x:c r="D1874" s="18" t="n">
        <x:v>26</x:v>
      </x:c>
      <x:c r="E1874" s="18" t="n">
        <x:v>26</x:v>
      </x:c>
      <x:c r="F1874" s="24" t="n">
        <x:f>IFERROR('各站彙總來源'!F1874/'各站彙總來源'!G1874,"")</x:f>
        <x:v>4.076923076923077</x:v>
      </x:c>
      <x:c r="G1874" s="19" t="n">
        <x:f>'各站彙總來源'!G1874</x:f>
        <x:v>26</x:v>
      </x:c>
      <x:c r="H1874" s="24" t="n">
        <x:f>IFERROR('各站彙總來源'!H1874/'各站彙總來源'!I1874,"")</x:f>
        <x:v>0.15384615384615385</x:v>
      </x:c>
      <x:c r="I1874" s="19" t="n">
        <x:f>'各站彙總來源'!I1874</x:f>
        <x:v>26</x:v>
      </x:c>
      <x:c r="J1874" s="24" t="n">
        <x:f>IFERROR('各站彙總來源'!J1874/'各站彙總來源'!K1874,"")</x:f>
        <x:v>11.73076923076923</x:v>
      </x:c>
      <x:c r="K1874" s="19" t="n">
        <x:f>'各站彙總來源'!K1874</x:f>
        <x:v>26</x:v>
      </x:c>
      <x:c r="L1874" s="24" t="n">
        <x:f>IFERROR('各站彙總來源'!L1874/'各站彙總來源'!M1874,"")</x:f>
        <x:v>2</x:v>
      </x:c>
      <x:c r="M1874" s="19" t="n">
        <x:f>'各站彙總來源'!M1874</x:f>
        <x:v>26</x:v>
      </x:c>
      <x:c r="N1874" s="24" t="n">
        <x:f>F1874+H1874</x:f>
        <x:v>4.230769230769231</x:v>
      </x:c>
      <x:c r="O1874" s="24" t="n">
        <x:f>J1874+L1874</x:f>
        <x:v>13.73076923076923</x:v>
      </x:c>
    </x:row>
    <x:row r="1875">
      <x:c r="A1875" s="22" t="str">
        <x:v>500119082</x:v>
      </x:c>
      <x:c r="B1875" s="17" t="str">
        <x:v>臺大公館校區</x:v>
      </x:c>
      <x:c r="C1875" s="17" t="str">
        <x:v>臺大四號館東北側</x:v>
      </x:c>
      <x:c r="D1875" s="18" t="n">
        <x:v>26</x:v>
      </x:c>
      <x:c r="E1875" s="18" t="n">
        <x:v>26</x:v>
      </x:c>
      <x:c r="F1875" s="24" t="n">
        <x:f>IFERROR('各站彙總來源'!F1875/'各站彙總來源'!G1875,"")</x:f>
        <x:v>3.230769230769231</x:v>
      </x:c>
      <x:c r="G1875" s="19" t="n">
        <x:f>'各站彙總來源'!G1875</x:f>
        <x:v>26</x:v>
      </x:c>
      <x:c r="H1875" s="24" t="n">
        <x:f>IFERROR('各站彙總來源'!H1875/'各站彙總來源'!I1875,"")</x:f>
        <x:v>0.23076923076923078</x:v>
      </x:c>
      <x:c r="I1875" s="19" t="n">
        <x:f>'各站彙總來源'!I1875</x:f>
        <x:v>26</x:v>
      </x:c>
      <x:c r="J1875" s="24" t="n">
        <x:f>IFERROR('各站彙總來源'!J1875/'各站彙總來源'!K1875,"")</x:f>
        <x:v>15.423076923076923</x:v>
      </x:c>
      <x:c r="K1875" s="19" t="n">
        <x:f>'各站彙總來源'!K1875</x:f>
        <x:v>26</x:v>
      </x:c>
      <x:c r="L1875" s="24" t="n">
        <x:f>IFERROR('各站彙總來源'!L1875/'各站彙總來源'!M1875,"")</x:f>
        <x:v>2.4615384615384617</x:v>
      </x:c>
      <x:c r="M1875" s="19" t="n">
        <x:f>'各站彙總來源'!M1875</x:f>
        <x:v>26</x:v>
      </x:c>
      <x:c r="N1875" s="24" t="n">
        <x:f>F1875+H1875</x:f>
        <x:v>3.4615384615384617</x:v>
      </x:c>
      <x:c r="O1875" s="24" t="n">
        <x:f>J1875+L1875</x:f>
        <x:v>17.884615384615387</x:v>
      </x:c>
    </x:row>
    <x:row r="1876">
      <x:c r="A1876" s="22" t="str">
        <x:v>500119083</x:v>
      </x:c>
      <x:c r="B1876" s="17" t="str">
        <x:v>臺大公館校區</x:v>
      </x:c>
      <x:c r="C1876" s="17" t="str">
        <x:v>臺大新生教室南側</x:v>
      </x:c>
      <x:c r="D1876" s="18" t="n">
        <x:v>26</x:v>
      </x:c>
      <x:c r="E1876" s="18" t="n">
        <x:v>26</x:v>
      </x:c>
      <x:c r="F1876" s="24" t="n">
        <x:f>IFERROR('各站彙總來源'!F1876/'各站彙總來源'!G1876,"")</x:f>
        <x:v>4.730769230769231</x:v>
      </x:c>
      <x:c r="G1876" s="19" t="n">
        <x:f>'各站彙總來源'!G1876</x:f>
        <x:v>26</x:v>
      </x:c>
      <x:c r="H1876" s="24" t="n">
        <x:f>IFERROR('各站彙總來源'!H1876/'各站彙總來源'!I1876,"")</x:f>
        <x:v>0.7692307692307693</x:v>
      </x:c>
      <x:c r="I1876" s="19" t="n">
        <x:f>'各站彙總來源'!I1876</x:f>
        <x:v>26</x:v>
      </x:c>
      <x:c r="J1876" s="24" t="n">
        <x:f>IFERROR('各站彙總來源'!J1876/'各站彙總來源'!K1876,"")</x:f>
        <x:v>19.807692307692307</x:v>
      </x:c>
      <x:c r="K1876" s="19" t="n">
        <x:f>'各站彙總來源'!K1876</x:f>
        <x:v>26</x:v>
      </x:c>
      <x:c r="L1876" s="24" t="n">
        <x:f>IFERROR('各站彙總來源'!L1876/'各站彙總來源'!M1876,"")</x:f>
        <x:v>2.0384615384615383</x:v>
      </x:c>
      <x:c r="M1876" s="19" t="n">
        <x:f>'各站彙總來源'!M1876</x:f>
        <x:v>26</x:v>
      </x:c>
      <x:c r="N1876" s="24" t="n">
        <x:f>F1876+H1876</x:f>
        <x:v>5.5</x:v>
      </x:c>
      <x:c r="O1876" s="24" t="n">
        <x:f>J1876+L1876</x:f>
        <x:v>21.846153846153847</x:v>
      </x:c>
    </x:row>
    <x:row r="1877">
      <x:c r="A1877" s="22" t="str">
        <x:v>500119084</x:v>
      </x:c>
      <x:c r="B1877" s="17" t="str">
        <x:v>臺大公館校區</x:v>
      </x:c>
      <x:c r="C1877" s="17" t="str">
        <x:v>臺大鄭江樓北側</x:v>
      </x:c>
      <x:c r="D1877" s="18" t="n">
        <x:v>26</x:v>
      </x:c>
      <x:c r="E1877" s="18" t="n">
        <x:v>26</x:v>
      </x:c>
      <x:c r="F1877" s="24" t="n">
        <x:f>IFERROR('各站彙總來源'!F1877/'各站彙總來源'!G1877,"")</x:f>
        <x:v>6.961538461538462</x:v>
      </x:c>
      <x:c r="G1877" s="19" t="n">
        <x:f>'各站彙總來源'!G1877</x:f>
        <x:v>26</x:v>
      </x:c>
      <x:c r="H1877" s="24" t="n">
        <x:f>IFERROR('各站彙總來源'!H1877/'各站彙總來源'!I1877,"")</x:f>
        <x:v>0.5384615384615384</x:v>
      </x:c>
      <x:c r="I1877" s="19" t="n">
        <x:f>'各站彙總來源'!I1877</x:f>
        <x:v>26</x:v>
      </x:c>
      <x:c r="J1877" s="24" t="n">
        <x:f>IFERROR('各站彙總來源'!J1877/'各站彙總來源'!K1877,"")</x:f>
        <x:v>22.03846153846154</x:v>
      </x:c>
      <x:c r="K1877" s="19" t="n">
        <x:f>'各站彙總來源'!K1877</x:f>
        <x:v>26</x:v>
      </x:c>
      <x:c r="L1877" s="24" t="n">
        <x:f>IFERROR('各站彙總來源'!L1877/'各站彙總來源'!M1877,"")</x:f>
        <x:v>3.6923076923076925</x:v>
      </x:c>
      <x:c r="M1877" s="19" t="n">
        <x:f>'各站彙總來源'!M1877</x:f>
        <x:v>26</x:v>
      </x:c>
      <x:c r="N1877" s="24" t="n">
        <x:f>F1877+H1877</x:f>
        <x:v>7.5</x:v>
      </x:c>
      <x:c r="O1877" s="24" t="n">
        <x:f>J1877+L1877</x:f>
        <x:v>25.730769230769234</x:v>
      </x:c>
    </x:row>
    <x:row r="1878">
      <x:c r="A1878" s="22" t="str">
        <x:v>500119085</x:v>
      </x:c>
      <x:c r="B1878" s="17" t="str">
        <x:v>臺大公館校區</x:v>
      </x:c>
      <x:c r="C1878" s="17" t="str">
        <x:v>臺大電機二館東南側</x:v>
      </x:c>
      <x:c r="D1878" s="18" t="n">
        <x:v>26</x:v>
      </x:c>
      <x:c r="E1878" s="18" t="n">
        <x:v>26</x:v>
      </x:c>
      <x:c r="F1878" s="24" t="n">
        <x:f>IFERROR('各站彙總來源'!F1878/'各站彙總來源'!G1878,"")</x:f>
        <x:v>3.3461538461538463</x:v>
      </x:c>
      <x:c r="G1878" s="19" t="n">
        <x:f>'各站彙總來源'!G1878</x:f>
        <x:v>26</x:v>
      </x:c>
      <x:c r="H1878" s="24" t="n">
        <x:f>IFERROR('各站彙總來源'!H1878/'各站彙總來源'!I1878,"")</x:f>
        <x:v>0.11538461538461539</x:v>
      </x:c>
      <x:c r="I1878" s="19" t="n">
        <x:f>'各站彙總來源'!I1878</x:f>
        <x:v>26</x:v>
      </x:c>
      <x:c r="J1878" s="24" t="n">
        <x:f>IFERROR('各站彙總來源'!J1878/'各站彙總來源'!K1878,"")</x:f>
        <x:v>9.076923076923077</x:v>
      </x:c>
      <x:c r="K1878" s="19" t="n">
        <x:f>'各站彙總來源'!K1878</x:f>
        <x:v>26</x:v>
      </x:c>
      <x:c r="L1878" s="24" t="n">
        <x:f>IFERROR('各站彙總來源'!L1878/'各站彙總來源'!M1878,"")</x:f>
        <x:v>2.576923076923077</x:v>
      </x:c>
      <x:c r="M1878" s="19" t="n">
        <x:f>'各站彙總來源'!M1878</x:f>
        <x:v>26</x:v>
      </x:c>
      <x:c r="N1878" s="24" t="n">
        <x:f>F1878+H1878</x:f>
        <x:v>3.4615384615384617</x:v>
      </x:c>
      <x:c r="O1878" s="24" t="n">
        <x:f>J1878+L1878</x:f>
        <x:v>11.653846153846153</x:v>
      </x:c>
    </x:row>
    <x:row r="1879">
      <x:c r="A1879" s="22" t="str">
        <x:v>500119086</x:v>
      </x:c>
      <x:c r="B1879" s="17" t="str">
        <x:v>臺大公館校區</x:v>
      </x:c>
      <x:c r="C1879" s="17" t="str">
        <x:v>臺大圖資系館北側</x:v>
      </x:c>
      <x:c r="D1879" s="18" t="n">
        <x:v>26</x:v>
      </x:c>
      <x:c r="E1879" s="18" t="n">
        <x:v>26</x:v>
      </x:c>
      <x:c r="F1879" s="24" t="n">
        <x:f>IFERROR('各站彙總來源'!F1879/'各站彙總來源'!G1879,"")</x:f>
        <x:v>4</x:v>
      </x:c>
      <x:c r="G1879" s="19" t="n">
        <x:f>'各站彙總來源'!G1879</x:f>
        <x:v>26</x:v>
      </x:c>
      <x:c r="H1879" s="24" t="n">
        <x:f>IFERROR('各站彙總來源'!H1879/'各站彙總來源'!I1879,"")</x:f>
        <x:v>0.19230769230769232</x:v>
      </x:c>
      <x:c r="I1879" s="19" t="n">
        <x:f>'各站彙總來源'!I1879</x:f>
        <x:v>26</x:v>
      </x:c>
      <x:c r="J1879" s="24" t="n">
        <x:f>IFERROR('各站彙總來源'!J1879/'各站彙總來源'!K1879,"")</x:f>
        <x:v>88.73076923076923</x:v>
      </x:c>
      <x:c r="K1879" s="19" t="n">
        <x:f>'各站彙總來源'!K1879</x:f>
        <x:v>26</x:v>
      </x:c>
      <x:c r="L1879" s="24" t="n">
        <x:f>IFERROR('各站彙總來源'!L1879/'各站彙總來源'!M1879,"")</x:f>
        <x:v>3.576923076923077</x:v>
      </x:c>
      <x:c r="M1879" s="19" t="n">
        <x:f>'各站彙總來源'!M1879</x:f>
        <x:v>26</x:v>
      </x:c>
      <x:c r="N1879" s="24" t="n">
        <x:f>F1879+H1879</x:f>
        <x:v>4.1923076923076925</x:v>
      </x:c>
      <x:c r="O1879" s="24" t="n">
        <x:f>J1879+L1879</x:f>
        <x:v>92.3076923076923</x:v>
      </x:c>
    </x:row>
    <x:row r="1880">
      <x:c r="A1880" s="22" t="str">
        <x:v>500119087</x:v>
      </x:c>
      <x:c r="B1880" s="17" t="str">
        <x:v>臺大公館校區</x:v>
      </x:c>
      <x:c r="C1880" s="17" t="str">
        <x:v>臺大總圖書館西南側</x:v>
      </x:c>
      <x:c r="D1880" s="18" t="n">
        <x:v>26</x:v>
      </x:c>
      <x:c r="E1880" s="18" t="n">
        <x:v>26</x:v>
      </x:c>
      <x:c r="F1880" s="24" t="n">
        <x:f>IFERROR('各站彙總來源'!F1880/'各站彙總來源'!G1880,"")</x:f>
        <x:v>4.153846153846154</x:v>
      </x:c>
      <x:c r="G1880" s="19" t="n">
        <x:f>'各站彙總來源'!G1880</x:f>
        <x:v>26</x:v>
      </x:c>
      <x:c r="H1880" s="24" t="n">
        <x:f>IFERROR('各站彙總來源'!H1880/'各站彙總來源'!I1880,"")</x:f>
        <x:v>0.6538461538461539</x:v>
      </x:c>
      <x:c r="I1880" s="19" t="n">
        <x:f>'各站彙總來源'!I1880</x:f>
        <x:v>26</x:v>
      </x:c>
      <x:c r="J1880" s="24" t="n">
        <x:f>IFERROR('各站彙總來源'!J1880/'各站彙總來源'!K1880,"")</x:f>
        <x:v>64.96153846153847</x:v>
      </x:c>
      <x:c r="K1880" s="19" t="n">
        <x:f>'各站彙總來源'!K1880</x:f>
        <x:v>26</x:v>
      </x:c>
      <x:c r="L1880" s="24" t="n">
        <x:f>IFERROR('各站彙總來源'!L1880/'各站彙總來源'!M1880,"")</x:f>
        <x:v>5.269230769230769</x:v>
      </x:c>
      <x:c r="M1880" s="19" t="n">
        <x:f>'各站彙總來源'!M1880</x:f>
        <x:v>26</x:v>
      </x:c>
      <x:c r="N1880" s="24" t="n">
        <x:f>F1880+H1880</x:f>
        <x:v>4.807692307692308</x:v>
      </x:c>
      <x:c r="O1880" s="24" t="n">
        <x:f>J1880+L1880</x:f>
        <x:v>70.23076923076924</x:v>
      </x:c>
    </x:row>
    <x:row r="1881">
      <x:c r="A1881" s="22" t="str">
        <x:v>500119088</x:v>
      </x:c>
      <x:c r="B1881" s="17" t="str">
        <x:v>臺大公館校區</x:v>
      </x:c>
      <x:c r="C1881" s="17" t="str">
        <x:v>臺大黑森林西側</x:v>
      </x:c>
      <x:c r="D1881" s="18" t="n">
        <x:v>26</x:v>
      </x:c>
      <x:c r="E1881" s="18" t="n">
        <x:v>26</x:v>
      </x:c>
      <x:c r="F1881" s="24" t="n">
        <x:f>IFERROR('各站彙總來源'!F1881/'各站彙總來源'!G1881,"")</x:f>
        <x:v>10</x:v>
      </x:c>
      <x:c r="G1881" s="19" t="n">
        <x:f>'各站彙總來源'!G1881</x:f>
        <x:v>26</x:v>
      </x:c>
      <x:c r="H1881" s="24" t="n">
        <x:f>IFERROR('各站彙總來源'!H1881/'各站彙總來源'!I1881,"")</x:f>
        <x:v>0.6153846153846154</x:v>
      </x:c>
      <x:c r="I1881" s="19" t="n">
        <x:f>'各站彙總來源'!I1881</x:f>
        <x:v>26</x:v>
      </x:c>
      <x:c r="J1881" s="24" t="n">
        <x:f>IFERROR('各站彙總來源'!J1881/'各站彙總來源'!K1881,"")</x:f>
        <x:v>23.923076923076923</x:v>
      </x:c>
      <x:c r="K1881" s="19" t="n">
        <x:f>'各站彙總來源'!K1881</x:f>
        <x:v>26</x:v>
      </x:c>
      <x:c r="L1881" s="24" t="n">
        <x:f>IFERROR('各站彙總來源'!L1881/'各站彙總來源'!M1881,"")</x:f>
        <x:v>3.5384615384615383</x:v>
      </x:c>
      <x:c r="M1881" s="19" t="n">
        <x:f>'各站彙總來源'!M1881</x:f>
        <x:v>26</x:v>
      </x:c>
      <x:c r="N1881" s="24" t="n">
        <x:f>F1881+H1881</x:f>
        <x:v>10.615384615384615</x:v>
      </x:c>
      <x:c r="O1881" s="24" t="n">
        <x:f>J1881+L1881</x:f>
        <x:v>27.46153846153846</x:v>
      </x:c>
    </x:row>
    <x:row r="1882">
      <x:c r="A1882" s="22" t="str">
        <x:v>500119089</x:v>
      </x:c>
      <x:c r="B1882" s="17" t="str">
        <x:v>臺大公館校區</x:v>
      </x:c>
      <x:c r="C1882" s="17" t="str">
        <x:v>臺大獸醫館南側</x:v>
      </x:c>
      <x:c r="D1882" s="18" t="n">
        <x:v>26</x:v>
      </x:c>
      <x:c r="E1882" s="18" t="n">
        <x:v>26</x:v>
      </x:c>
      <x:c r="F1882" s="24" t="n">
        <x:f>IFERROR('各站彙總來源'!F1882/'各站彙總來源'!G1882,"")</x:f>
        <x:v>5.769230769230769</x:v>
      </x:c>
      <x:c r="G1882" s="19" t="n">
        <x:f>'各站彙總來源'!G1882</x:f>
        <x:v>26</x:v>
      </x:c>
      <x:c r="H1882" s="24" t="n">
        <x:f>IFERROR('各站彙總來源'!H1882/'各站彙總來源'!I1882,"")</x:f>
        <x:v>0.2692307692307692</x:v>
      </x:c>
      <x:c r="I1882" s="19" t="n">
        <x:f>'各站彙總來源'!I1882</x:f>
        <x:v>26</x:v>
      </x:c>
      <x:c r="J1882" s="24" t="n">
        <x:f>IFERROR('各站彙總來源'!J1882/'各站彙總來源'!K1882,"")</x:f>
        <x:v>19.615384615384617</x:v>
      </x:c>
      <x:c r="K1882" s="19" t="n">
        <x:f>'各站彙總來源'!K1882</x:f>
        <x:v>26</x:v>
      </x:c>
      <x:c r="L1882" s="24" t="n">
        <x:f>IFERROR('各站彙總來源'!L1882/'各站彙總來源'!M1882,"")</x:f>
        <x:v>2.230769230769231</x:v>
      </x:c>
      <x:c r="M1882" s="19" t="n">
        <x:f>'各站彙總來源'!M1882</x:f>
        <x:v>26</x:v>
      </x:c>
      <x:c r="N1882" s="24" t="n">
        <x:f>F1882+H1882</x:f>
        <x:v>6.038461538461538</x:v>
      </x:c>
      <x:c r="O1882" s="24" t="n">
        <x:f>J1882+L1882</x:f>
        <x:v>21.846153846153847</x:v>
      </x:c>
    </x:row>
    <x:row r="1883">
      <x:c r="A1883" s="22" t="str">
        <x:v>500119090</x:v>
      </x:c>
      <x:c r="B1883" s="17" t="str">
        <x:v>臺大公館校區</x:v>
      </x:c>
      <x:c r="C1883" s="17" t="str">
        <x:v>臺大新體育館東南側</x:v>
      </x:c>
      <x:c r="D1883" s="18" t="n">
        <x:v>26</x:v>
      </x:c>
      <x:c r="E1883" s="18" t="n">
        <x:v>26</x:v>
      </x:c>
      <x:c r="F1883" s="24" t="n">
        <x:f>IFERROR('各站彙總來源'!F1883/'各站彙總來源'!G1883,"")</x:f>
        <x:v>9.461538461538462</x:v>
      </x:c>
      <x:c r="G1883" s="19" t="n">
        <x:f>'各站彙總來源'!G1883</x:f>
        <x:v>26</x:v>
      </x:c>
      <x:c r="H1883" s="24" t="n">
        <x:f>IFERROR('各站彙總來源'!H1883/'各站彙總來源'!I1883,"")</x:f>
        <x:v>0.8076923076923077</x:v>
      </x:c>
      <x:c r="I1883" s="19" t="n">
        <x:f>'各站彙總來源'!I1883</x:f>
        <x:v>26</x:v>
      </x:c>
      <x:c r="J1883" s="24" t="n">
        <x:f>IFERROR('各站彙總來源'!J1883/'各站彙總來源'!K1883,"")</x:f>
        <x:v>34.23076923076923</x:v>
      </x:c>
      <x:c r="K1883" s="19" t="n">
        <x:f>'各站彙總來源'!K1883</x:f>
        <x:v>26</x:v>
      </x:c>
      <x:c r="L1883" s="24" t="n">
        <x:f>IFERROR('各站彙總來源'!L1883/'各站彙總來源'!M1883,"")</x:f>
        <x:v>5.153846153846154</x:v>
      </x:c>
      <x:c r="M1883" s="19" t="n">
        <x:f>'各站彙總來源'!M1883</x:f>
        <x:v>26</x:v>
      </x:c>
      <x:c r="N1883" s="24" t="n">
        <x:f>F1883+H1883</x:f>
        <x:v>10.26923076923077</x:v>
      </x:c>
      <x:c r="O1883" s="24" t="n">
        <x:f>J1883+L1883</x:f>
        <x:v>39.38461538461539</x:v>
      </x:c>
    </x:row>
    <x:row r="1884">
      <x:c r="A1884" s="22" t="str">
        <x:v>500119091</x:v>
      </x:c>
      <x:c r="B1884" s="17" t="str">
        <x:v>臺大公館校區</x:v>
      </x:c>
      <x:c r="C1884" s="17" t="str">
        <x:v>臺大明達館北側(員工宿舍)</x:v>
      </x:c>
      <x:c r="D1884" s="18" t="n">
        <x:v>26</x:v>
      </x:c>
      <x:c r="E1884" s="18" t="n">
        <x:v>26</x:v>
      </x:c>
      <x:c r="F1884" s="24" t="n">
        <x:f>IFERROR('各站彙總來源'!F1884/'各站彙總來源'!G1884,"")</x:f>
        <x:v>10.26923076923077</x:v>
      </x:c>
      <x:c r="G1884" s="19" t="n">
        <x:f>'各站彙總來源'!G1884</x:f>
        <x:v>26</x:v>
      </x:c>
      <x:c r="H1884" s="24" t="n">
        <x:f>IFERROR('各站彙總來源'!H1884/'各站彙總來源'!I1884,"")</x:f>
        <x:v>1.0769230769230769</x:v>
      </x:c>
      <x:c r="I1884" s="19" t="n">
        <x:f>'各站彙總來源'!I1884</x:f>
        <x:v>26</x:v>
      </x:c>
      <x:c r="J1884" s="24" t="n">
        <x:f>IFERROR('各站彙總來源'!J1884/'各站彙總來源'!K1884,"")</x:f>
        <x:v>13.076923076923077</x:v>
      </x:c>
      <x:c r="K1884" s="19" t="n">
        <x:f>'各站彙總來源'!K1884</x:f>
        <x:v>26</x:v>
      </x:c>
      <x:c r="L1884" s="24" t="n">
        <x:f>IFERROR('各站彙總來源'!L1884/'各站彙總來源'!M1884,"")</x:f>
        <x:v>2.6153846153846154</x:v>
      </x:c>
      <x:c r="M1884" s="19" t="n">
        <x:f>'各站彙總來源'!M1884</x:f>
        <x:v>26</x:v>
      </x:c>
      <x:c r="N1884" s="24" t="n">
        <x:f>F1884+H1884</x:f>
        <x:v>11.346153846153847</x:v>
      </x:c>
      <x:c r="O1884" s="24" t="n">
        <x:f>J1884+L1884</x:f>
        <x:v>15.692307692307692</x:v>
      </x:c>
    </x:row>
    <x:row r="1885">
      <x:c r="A1885" s="22" t="str">
        <x:v>500119092</x:v>
      </x:c>
      <x:c r="B1885" s="17" t="str">
        <x:v>臺大公館校區</x:v>
      </x:c>
      <x:c r="C1885" s="17" t="str">
        <x:v>臺大管理學院一館</x:v>
      </x:c>
      <x:c r="D1885" s="18" t="n">
        <x:v>26</x:v>
      </x:c>
      <x:c r="E1885" s="18" t="n">
        <x:v>26</x:v>
      </x:c>
      <x:c r="F1885" s="24" t="n">
        <x:f>IFERROR('各站彙總來源'!F1885/'各站彙總來源'!G1885,"")</x:f>
        <x:v>3.8461538461538463</x:v>
      </x:c>
      <x:c r="G1885" s="19" t="n">
        <x:f>'各站彙總來源'!G1885</x:f>
        <x:v>26</x:v>
      </x:c>
      <x:c r="H1885" s="24" t="n">
        <x:f>IFERROR('各站彙總來源'!H1885/'各站彙總來源'!I1885,"")</x:f>
        <x:v>0.2692307692307692</x:v>
      </x:c>
      <x:c r="I1885" s="19" t="n">
        <x:f>'各站彙總來源'!I1885</x:f>
        <x:v>26</x:v>
      </x:c>
      <x:c r="J1885" s="24" t="n">
        <x:f>IFERROR('各站彙總來源'!J1885/'各站彙總來源'!K1885,"")</x:f>
        <x:v>8.5</x:v>
      </x:c>
      <x:c r="K1885" s="19" t="n">
        <x:f>'各站彙總來源'!K1885</x:f>
        <x:v>26</x:v>
      </x:c>
      <x:c r="L1885" s="24" t="n">
        <x:f>IFERROR('各站彙總來源'!L1885/'各站彙總來源'!M1885,"")</x:f>
        <x:v>1.8846153846153846</x:v>
      </x:c>
      <x:c r="M1885" s="19" t="n">
        <x:f>'各站彙總來源'!M1885</x:f>
        <x:v>26</x:v>
      </x:c>
      <x:c r="N1885" s="24" t="n">
        <x:f>F1885+H1885</x:f>
        <x:v>4.115384615384616</x:v>
      </x:c>
      <x:c r="O1885" s="24" t="n">
        <x:f>J1885+L1885</x:f>
        <x:v>10.384615384615385</x:v>
      </x:c>
    </x:row>
    <x:row r="1886">
      <x:c r="A1886" s="22" t="str">
        <x:v>500119093</x:v>
      </x:c>
      <x:c r="B1886" s="17" t="str">
        <x:v>臺大公館校區</x:v>
      </x:c>
      <x:c r="C1886" s="17" t="str">
        <x:v>臺大禮賢樓西側</x:v>
      </x:c>
      <x:c r="D1886" s="18" t="n">
        <x:v>26</x:v>
      </x:c>
      <x:c r="E1886" s="18" t="n">
        <x:v>26</x:v>
      </x:c>
      <x:c r="F1886" s="24" t="n">
        <x:f>IFERROR('各站彙總來源'!F1886/'各站彙總來源'!G1886,"")</x:f>
        <x:v>6.346153846153846</x:v>
      </x:c>
      <x:c r="G1886" s="19" t="n">
        <x:f>'各站彙總來源'!G1886</x:f>
        <x:v>26</x:v>
      </x:c>
      <x:c r="H1886" s="24" t="n">
        <x:f>IFERROR('各站彙總來源'!H1886/'各站彙總來源'!I1886,"")</x:f>
        <x:v>0.34615384615384615</x:v>
      </x:c>
      <x:c r="I1886" s="19" t="n">
        <x:f>'各站彙總來源'!I1886</x:f>
        <x:v>26</x:v>
      </x:c>
      <x:c r="J1886" s="24" t="n">
        <x:f>IFERROR('各站彙總來源'!J1886/'各站彙總來源'!K1886,"")</x:f>
        <x:v>11.307692307692308</x:v>
      </x:c>
      <x:c r="K1886" s="19" t="n">
        <x:f>'各站彙總來源'!K1886</x:f>
        <x:v>26</x:v>
      </x:c>
      <x:c r="L1886" s="24" t="n">
        <x:f>IFERROR('各站彙總來源'!L1886/'各站彙總來源'!M1886,"")</x:f>
        <x:v>0.9615384615384616</x:v>
      </x:c>
      <x:c r="M1886" s="19" t="n">
        <x:f>'各站彙總來源'!M1886</x:f>
        <x:v>26</x:v>
      </x:c>
      <x:c r="N1886" s="24" t="n">
        <x:f>F1886+H1886</x:f>
        <x:v>6.692307692307692</x:v>
      </x:c>
      <x:c r="O1886" s="24" t="n">
        <x:f>J1886+L1886</x:f>
        <x:v>12.26923076923077</x:v>
      </x:c>
    </x:row>
    <x:row r="1887">
      <x:c r="A1887" s="22" t="str">
        <x:v>500119094</x:v>
      </x:c>
      <x:c r="B1887" s="17" t="str">
        <x:v>臺大公館校區</x:v>
      </x:c>
      <x:c r="C1887" s="17" t="str">
        <x:v>臺大大一女餐廳廣場</x:v>
      </x:c>
      <x:c r="D1887" s="18" t="n">
        <x:v>26</x:v>
      </x:c>
      <x:c r="E1887" s="18" t="n">
        <x:v>26</x:v>
      </x:c>
      <x:c r="F1887" s="24" t="n">
        <x:f>IFERROR('各站彙總來源'!F1887/'各站彙總來源'!G1887,"")</x:f>
        <x:v>55.57692307692308</x:v>
      </x:c>
      <x:c r="G1887" s="19" t="n">
        <x:f>'各站彙總來源'!G1887</x:f>
        <x:v>26</x:v>
      </x:c>
      <x:c r="H1887" s="24" t="n">
        <x:f>IFERROR('各站彙總來源'!H1887/'各站彙總來源'!I1887,"")</x:f>
        <x:v>1.3846153846153846</x:v>
      </x:c>
      <x:c r="I1887" s="19" t="n">
        <x:f>'各站彙總來源'!I1887</x:f>
        <x:v>26</x:v>
      </x:c>
      <x:c r="J1887" s="24" t="n">
        <x:f>IFERROR('各站彙總來源'!J1887/'各站彙總來源'!K1887,"")</x:f>
        <x:v>15.23076923076923</x:v>
      </x:c>
      <x:c r="K1887" s="19" t="n">
        <x:f>'各站彙總來源'!K1887</x:f>
        <x:v>26</x:v>
      </x:c>
      <x:c r="L1887" s="24" t="n">
        <x:f>IFERROR('各站彙總來源'!L1887/'各站彙總來源'!M1887,"")</x:f>
        <x:v>1</x:v>
      </x:c>
      <x:c r="M1887" s="19" t="n">
        <x:f>'各站彙總來源'!M1887</x:f>
        <x:v>26</x:v>
      </x:c>
      <x:c r="N1887" s="24" t="n">
        <x:f>F1887+H1887</x:f>
        <x:v>56.96153846153847</x:v>
      </x:c>
      <x:c r="O1887" s="24" t="n">
        <x:f>J1887+L1887</x:f>
        <x:v>16.23076923076923</x:v>
      </x:c>
    </x:row>
    <x:row r="1888">
      <x:c r="A1888" s="22" t="str">
        <x:v>500119095</x:v>
      </x:c>
      <x:c r="B1888" s="17" t="str">
        <x:v>臺大公館校區</x:v>
      </x:c>
      <x:c r="C1888" s="17" t="str">
        <x:v>臺大學新館</x:v>
      </x:c>
      <x:c r="D1888" s="18" t="n">
        <x:v>26</x:v>
      </x:c>
      <x:c r="E1888" s="18" t="n">
        <x:v>26</x:v>
      </x:c>
      <x:c r="F1888" s="24" t="n">
        <x:f>IFERROR('各站彙總來源'!F1888/'各站彙總來源'!G1888,"")</x:f>
        <x:v>5.8076923076923075</x:v>
      </x:c>
      <x:c r="G1888" s="19" t="n">
        <x:f>'各站彙總來源'!G1888</x:f>
        <x:v>26</x:v>
      </x:c>
      <x:c r="H1888" s="24" t="n">
        <x:f>IFERROR('各站彙總來源'!H1888/'各站彙總來源'!I1888,"")</x:f>
        <x:v>0.3076923076923077</x:v>
      </x:c>
      <x:c r="I1888" s="19" t="n">
        <x:f>'各站彙總來源'!I1888</x:f>
        <x:v>26</x:v>
      </x:c>
      <x:c r="J1888" s="24" t="n">
        <x:f>IFERROR('各站彙總來源'!J1888/'各站彙總來源'!K1888,"")</x:f>
        <x:v>30.03846153846154</x:v>
      </x:c>
      <x:c r="K1888" s="19" t="n">
        <x:f>'各站彙總來源'!K1888</x:f>
        <x:v>26</x:v>
      </x:c>
      <x:c r="L1888" s="24" t="n">
        <x:f>IFERROR('各站彙總來源'!L1888/'各站彙總來源'!M1888,"")</x:f>
        <x:v>2.6538461538461537</x:v>
      </x:c>
      <x:c r="M1888" s="19" t="n">
        <x:f>'各站彙總來源'!M1888</x:f>
        <x:v>26</x:v>
      </x:c>
      <x:c r="N1888" s="24" t="n">
        <x:f>F1888+H1888</x:f>
        <x:v>6.115384615384615</x:v>
      </x:c>
      <x:c r="O1888" s="24" t="n">
        <x:f>J1888+L1888</x:f>
        <x:v>32.69230769230769</x:v>
      </x:c>
    </x:row>
    <x:row r="1889">
      <x:c r="A1889" s="22" t="str">
        <x:v>500119096</x:v>
      </x:c>
      <x:c r="B1889" s="17" t="str">
        <x:v>臺大公館校區</x:v>
      </x:c>
      <x:c r="C1889" s="17" t="str">
        <x:v>臺大水源舍區C棟</x:v>
      </x:c>
      <x:c r="D1889" s="18" t="n">
        <x:v>26</x:v>
      </x:c>
      <x:c r="E1889" s="18" t="n">
        <x:v>26</x:v>
      </x:c>
      <x:c r="F1889" s="24" t="n">
        <x:f>IFERROR('各站彙總來源'!F1889/'各站彙總來源'!G1889,"")</x:f>
        <x:v>32.96153846153846</x:v>
      </x:c>
      <x:c r="G1889" s="19" t="n">
        <x:f>'各站彙總來源'!G1889</x:f>
        <x:v>26</x:v>
      </x:c>
      <x:c r="H1889" s="24" t="n">
        <x:f>IFERROR('各站彙總來源'!H1889/'各站彙總來源'!I1889,"")</x:f>
        <x:v>2.269230769230769</x:v>
      </x:c>
      <x:c r="I1889" s="19" t="n">
        <x:f>'各站彙總來源'!I1889</x:f>
        <x:v>26</x:v>
      </x:c>
      <x:c r="J1889" s="24" t="n">
        <x:f>IFERROR('各站彙總來源'!J1889/'各站彙總來源'!K1889,"")</x:f>
        <x:v>4.1923076923076925</x:v>
      </x:c>
      <x:c r="K1889" s="19" t="n">
        <x:f>'各站彙總來源'!K1889</x:f>
        <x:v>26</x:v>
      </x:c>
      <x:c r="L1889" s="24" t="n">
        <x:f>IFERROR('各站彙總來源'!L1889/'各站彙總來源'!M1889,"")</x:f>
        <x:v>0.19230769230769232</x:v>
      </x:c>
      <x:c r="M1889" s="19" t="n">
        <x:f>'各站彙總來源'!M1889</x:f>
        <x:v>26</x:v>
      </x:c>
      <x:c r="N1889" s="24" t="n">
        <x:f>F1889+H1889</x:f>
        <x:v>35.230769230769226</x:v>
      </x:c>
      <x:c r="O1889" s="24" t="n">
        <x:f>J1889+L1889</x:f>
        <x:v>4.384615384615385</x:v>
      </x:c>
    </x:row>
    <x:row r="1890">
      <x:c r="A1890" s="22" t="str">
        <x:v>500119097</x:v>
      </x:c>
      <x:c r="B1890" s="17" t="str">
        <x:v>臺大公館校區</x:v>
      </x:c>
      <x:c r="C1890" s="17" t="str">
        <x:v>臺大人文館</x:v>
      </x:c>
      <x:c r="D1890" s="18" t="n">
        <x:v>26</x:v>
      </x:c>
      <x:c r="E1890" s="18" t="n">
        <x:v>26</x:v>
      </x:c>
      <x:c r="F1890" s="24" t="n">
        <x:f>IFERROR('各站彙總來源'!F1890/'各站彙總來源'!G1890,"")</x:f>
        <x:v>13.076923076923077</x:v>
      </x:c>
      <x:c r="G1890" s="19" t="n">
        <x:f>'各站彙總來源'!G1890</x:f>
        <x:v>26</x:v>
      </x:c>
      <x:c r="H1890" s="24" t="n">
        <x:f>IFERROR('各站彙總來源'!H1890/'各站彙總來源'!I1890,"")</x:f>
        <x:v>0.11538461538461539</x:v>
      </x:c>
      <x:c r="I1890" s="19" t="n">
        <x:f>'各站彙總來源'!I1890</x:f>
        <x:v>26</x:v>
      </x:c>
      <x:c r="J1890" s="24" t="n">
        <x:f>IFERROR('各站彙總來源'!J1890/'各站彙總來源'!K1890,"")</x:f>
        <x:v>18.653846153846153</x:v>
      </x:c>
      <x:c r="K1890" s="19" t="n">
        <x:f>'各站彙總來源'!K1890</x:f>
        <x:v>26</x:v>
      </x:c>
      <x:c r="L1890" s="24" t="n">
        <x:f>IFERROR('各站彙總來源'!L1890/'各站彙總來源'!M1890,"")</x:f>
        <x:v>2</x:v>
      </x:c>
      <x:c r="M1890" s="19" t="n">
        <x:f>'各站彙總來源'!M1890</x:f>
        <x:v>26</x:v>
      </x:c>
      <x:c r="N1890" s="24" t="n">
        <x:f>F1890+H1890</x:f>
        <x:v>13.192307692307692</x:v>
      </x:c>
      <x:c r="O1890" s="24" t="n">
        <x:f>J1890+L1890</x:f>
        <x:v>20.653846153846153</x:v>
      </x:c>
    </x:row>
    <x:row r="1891">
      <x:c r="A1891" s="22" t="str">
        <x:v>500119098</x:v>
      </x:c>
      <x:c r="B1891" s="17" t="str">
        <x:v>臺大公館校區</x:v>
      </x:c>
      <x:c r="C1891" s="17" t="str">
        <x:v>臺大數學研究中心(東側)</x:v>
      </x:c>
      <x:c r="D1891" s="18" t="n">
        <x:v>26</x:v>
      </x:c>
      <x:c r="E1891" s="18" t="n">
        <x:v>26</x:v>
      </x:c>
      <x:c r="F1891" s="24" t="n">
        <x:f>IFERROR('各站彙總來源'!F1891/'各站彙總來源'!G1891,"")</x:f>
        <x:v>5.8076923076923075</x:v>
      </x:c>
      <x:c r="G1891" s="19" t="n">
        <x:f>'各站彙總來源'!G1891</x:f>
        <x:v>26</x:v>
      </x:c>
      <x:c r="H1891" s="24" t="n">
        <x:f>IFERROR('各站彙總來源'!H1891/'各站彙總來源'!I1891,"")</x:f>
        <x:v>0.5</x:v>
      </x:c>
      <x:c r="I1891" s="19" t="n">
        <x:f>'各站彙總來源'!I1891</x:f>
        <x:v>26</x:v>
      </x:c>
      <x:c r="J1891" s="24" t="n">
        <x:f>IFERROR('各站彙總來源'!J1891/'各站彙總來源'!K1891,"")</x:f>
        <x:v>106.5</x:v>
      </x:c>
      <x:c r="K1891" s="19" t="n">
        <x:f>'各站彙總來源'!K1891</x:f>
        <x:v>26</x:v>
      </x:c>
      <x:c r="L1891" s="24" t="n">
        <x:f>IFERROR('各站彙總來源'!L1891/'各站彙總來源'!M1891,"")</x:f>
        <x:v>5.538461538461538</x:v>
      </x:c>
      <x:c r="M1891" s="19" t="n">
        <x:f>'各站彙總來源'!M1891</x:f>
        <x:v>26</x:v>
      </x:c>
      <x:c r="N1891" s="24" t="n">
        <x:f>F1891+H1891</x:f>
        <x:v>6.3076923076923075</x:v>
      </x:c>
      <x:c r="O1891" s="24" t="n">
        <x:f>J1891+L1891</x:f>
        <x:v>112.03846153846153</x:v>
      </x:c>
    </x:row>
    <x:row r="1892">
      <x:c r="A1892" s="22" t="str">
        <x:v>500119099</x:v>
      </x:c>
      <x:c r="B1892" s="17" t="str">
        <x:v>臺大公館校區</x:v>
      </x:c>
      <x:c r="C1892" s="17" t="str">
        <x:v>臺大博理館北側</x:v>
      </x:c>
      <x:c r="D1892" s="18" t="n">
        <x:v>26</x:v>
      </x:c>
      <x:c r="E1892" s="18" t="n">
        <x:v>26</x:v>
      </x:c>
      <x:c r="F1892" s="24" t="n">
        <x:f>IFERROR('各站彙總來源'!F1892/'各站彙總來源'!G1892,"")</x:f>
        <x:v>4.269230769230769</x:v>
      </x:c>
      <x:c r="G1892" s="19" t="n">
        <x:f>'各站彙總來源'!G1892</x:f>
        <x:v>26</x:v>
      </x:c>
      <x:c r="H1892" s="24" t="n">
        <x:f>IFERROR('各站彙總來源'!H1892/'各站彙總來源'!I1892,"")</x:f>
        <x:v>0.34615384615384615</x:v>
      </x:c>
      <x:c r="I1892" s="19" t="n">
        <x:f>'各站彙總來源'!I1892</x:f>
        <x:v>26</x:v>
      </x:c>
      <x:c r="J1892" s="24" t="n">
        <x:f>IFERROR('各站彙總來源'!J1892/'各站彙總來源'!K1892,"")</x:f>
        <x:v>26.346153846153847</x:v>
      </x:c>
      <x:c r="K1892" s="19" t="n">
        <x:f>'各站彙總來源'!K1892</x:f>
        <x:v>26</x:v>
      </x:c>
      <x:c r="L1892" s="24" t="n">
        <x:f>IFERROR('各站彙總來源'!L1892/'各站彙總來源'!M1892,"")</x:f>
        <x:v>1.8076923076923077</x:v>
      </x:c>
      <x:c r="M1892" s="19" t="n">
        <x:f>'各站彙總來源'!M1892</x:f>
        <x:v>26</x:v>
      </x:c>
      <x:c r="N1892" s="24" t="n">
        <x:f>F1892+H1892</x:f>
        <x:v>4.615384615384615</x:v>
      </x:c>
      <x:c r="O1892" s="24" t="n">
        <x:f>J1892+L1892</x:f>
        <x:v>28.153846153846153</x:v>
      </x:c>
    </x:row>
    <x:row r="1893">
      <x:c r="A1893" s="22" t="str">
        <x:v>500119100</x:v>
      </x:c>
      <x:c r="B1893" s="17" t="str">
        <x:v>臺大公館校區</x:v>
      </x:c>
      <x:c r="C1893" s="17" t="str">
        <x:v>臺大博理館東側</x:v>
      </x:c>
      <x:c r="D1893" s="18" t="n">
        <x:v>26</x:v>
      </x:c>
      <x:c r="E1893" s="18" t="n">
        <x:v>26</x:v>
      </x:c>
      <x:c r="F1893" s="24" t="n">
        <x:f>IFERROR('各站彙總來源'!F1893/'各站彙總來源'!G1893,"")</x:f>
        <x:v>5.230769230769231</x:v>
      </x:c>
      <x:c r="G1893" s="19" t="n">
        <x:f>'各站彙總來源'!G1893</x:f>
        <x:v>26</x:v>
      </x:c>
      <x:c r="H1893" s="24" t="n">
        <x:f>IFERROR('各站彙總來源'!H1893/'各站彙總來源'!I1893,"")</x:f>
        <x:v>0.11538461538461539</x:v>
      </x:c>
      <x:c r="I1893" s="19" t="n">
        <x:f>'各站彙總來源'!I1893</x:f>
        <x:v>26</x:v>
      </x:c>
      <x:c r="J1893" s="24" t="n">
        <x:f>IFERROR('各站彙總來源'!J1893/'各站彙總來源'!K1893,"")</x:f>
        <x:v>16.346153846153847</x:v>
      </x:c>
      <x:c r="K1893" s="19" t="n">
        <x:f>'各站彙總來源'!K1893</x:f>
        <x:v>26</x:v>
      </x:c>
      <x:c r="L1893" s="24" t="n">
        <x:f>IFERROR('各站彙總來源'!L1893/'各站彙總來源'!M1893,"")</x:f>
        <x:v>1.9230769230769231</x:v>
      </x:c>
      <x:c r="M1893" s="19" t="n">
        <x:f>'各站彙總來源'!M1893</x:f>
        <x:v>26</x:v>
      </x:c>
      <x:c r="N1893" s="24" t="n">
        <x:f>F1893+H1893</x:f>
        <x:v>5.346153846153846</x:v>
      </x:c>
      <x:c r="O1893" s="24" t="n">
        <x:f>J1893+L1893</x:f>
        <x:v>18.26923076923077</x:v>
      </x:c>
    </x:row>
    <x:row r="1894">
      <x:c r="A1894" s="22" t="str">
        <x:v>500119101</x:v>
      </x:c>
      <x:c r="B1894" s="17" t="str">
        <x:v>臺大公館校區</x:v>
      </x:c>
      <x:c r="C1894" s="17" t="str">
        <x:v>臺大德田館東北側</x:v>
      </x:c>
      <x:c r="D1894" s="18" t="n">
        <x:v>26</x:v>
      </x:c>
      <x:c r="E1894" s="18" t="n">
        <x:v>26</x:v>
      </x:c>
      <x:c r="F1894" s="24" t="n">
        <x:f>IFERROR('各站彙總來源'!F1894/'各站彙總來源'!G1894,"")</x:f>
        <x:v>5.538461538461538</x:v>
      </x:c>
      <x:c r="G1894" s="19" t="n">
        <x:f>'各站彙總來源'!G1894</x:f>
        <x:v>26</x:v>
      </x:c>
      <x:c r="H1894" s="24" t="n">
        <x:f>IFERROR('各站彙總來源'!H1894/'各站彙總來源'!I1894,"")</x:f>
        <x:v>0.11538461538461539</x:v>
      </x:c>
      <x:c r="I1894" s="19" t="n">
        <x:f>'各站彙總來源'!I1894</x:f>
        <x:v>26</x:v>
      </x:c>
      <x:c r="J1894" s="24" t="n">
        <x:f>IFERROR('各站彙總來源'!J1894/'各站彙總來源'!K1894,"")</x:f>
        <x:v>95.46153846153847</x:v>
      </x:c>
      <x:c r="K1894" s="19" t="n">
        <x:f>'各站彙總來源'!K1894</x:f>
        <x:v>26</x:v>
      </x:c>
      <x:c r="L1894" s="24" t="n">
        <x:f>IFERROR('各站彙總來源'!L1894/'各站彙總來源'!M1894,"")</x:f>
        <x:v>6.6923076923076925</x:v>
      </x:c>
      <x:c r="M1894" s="19" t="n">
        <x:f>'各站彙總來源'!M1894</x:f>
        <x:v>26</x:v>
      </x:c>
      <x:c r="N1894" s="24" t="n">
        <x:f>F1894+H1894</x:f>
        <x:v>5.653846153846153</x:v>
      </x:c>
      <x:c r="O1894" s="24" t="n">
        <x:f>J1894+L1894</x:f>
        <x:v>102.15384615384616</x:v>
      </x:c>
    </x:row>
    <x:row r="1895">
      <x:c r="A1895" s="22" t="str">
        <x:v>500119102</x:v>
      </x:c>
      <x:c r="B1895" s="17" t="str">
        <x:v>臺大公館校區</x:v>
      </x:c>
      <x:c r="C1895" s="17" t="str">
        <x:v>臺大普通教學館東側</x:v>
      </x:c>
      <x:c r="D1895" s="18" t="n">
        <x:v>26</x:v>
      </x:c>
      <x:c r="E1895" s="18" t="n">
        <x:v>26</x:v>
      </x:c>
      <x:c r="F1895" s="24" t="n">
        <x:f>IFERROR('各站彙總來源'!F1895/'各站彙總來源'!G1895,"")</x:f>
        <x:v>3.5</x:v>
      </x:c>
      <x:c r="G1895" s="19" t="n">
        <x:f>'各站彙總來源'!G1895</x:f>
        <x:v>26</x:v>
      </x:c>
      <x:c r="H1895" s="24" t="n">
        <x:f>IFERROR('各站彙總來源'!H1895/'各站彙總來源'!I1895,"")</x:f>
        <x:v>0.3076923076923077</x:v>
      </x:c>
      <x:c r="I1895" s="19" t="n">
        <x:f>'各站彙總來源'!I1895</x:f>
        <x:v>26</x:v>
      </x:c>
      <x:c r="J1895" s="24" t="n">
        <x:f>IFERROR('各站彙總來源'!J1895/'各站彙總來源'!K1895,"")</x:f>
        <x:v>45.61538461538461</x:v>
      </x:c>
      <x:c r="K1895" s="19" t="n">
        <x:f>'各站彙總來源'!K1895</x:f>
        <x:v>26</x:v>
      </x:c>
      <x:c r="L1895" s="24" t="n">
        <x:f>IFERROR('各站彙總來源'!L1895/'各站彙總來源'!M1895,"")</x:f>
        <x:v>4.769230769230769</x:v>
      </x:c>
      <x:c r="M1895" s="19" t="n">
        <x:f>'各站彙總來源'!M1895</x:f>
        <x:v>26</x:v>
      </x:c>
      <x:c r="N1895" s="24" t="n">
        <x:f>F1895+H1895</x:f>
        <x:v>3.8076923076923075</x:v>
      </x:c>
      <x:c r="O1895" s="24" t="n">
        <x:f>J1895+L1895</x:f>
        <x:v>50.38461538461538</x:v>
      </x:c>
    </x:row>
    <x:row r="1896">
      <x:c r="A1896" s="22" t="str">
        <x:v>500119103</x:v>
      </x:c>
      <x:c r="B1896" s="17" t="str">
        <x:v>臺大公館校區</x:v>
      </x:c>
      <x:c r="C1896" s="17" t="str">
        <x:v>臺大次震宇宙館西側</x:v>
      </x:c>
      <x:c r="D1896" s="18" t="n">
        <x:v>26</x:v>
      </x:c>
      <x:c r="E1896" s="18" t="n">
        <x:v>26</x:v>
      </x:c>
      <x:c r="F1896" s="24" t="n">
        <x:f>IFERROR('各站彙總來源'!F1896/'各站彙總來源'!G1896,"")</x:f>
        <x:v>3.5</x:v>
      </x:c>
      <x:c r="G1896" s="19" t="n">
        <x:f>'各站彙總來源'!G1896</x:f>
        <x:v>26</x:v>
      </x:c>
      <x:c r="H1896" s="24" t="n">
        <x:f>IFERROR('各站彙總來源'!H1896/'各站彙總來源'!I1896,"")</x:f>
        <x:v>0.11538461538461539</x:v>
      </x:c>
      <x:c r="I1896" s="19" t="n">
        <x:f>'各站彙總來源'!I1896</x:f>
        <x:v>26</x:v>
      </x:c>
      <x:c r="J1896" s="24" t="n">
        <x:f>IFERROR('各站彙總來源'!J1896/'各站彙總來源'!K1896,"")</x:f>
        <x:v>31.846153846153847</x:v>
      </x:c>
      <x:c r="K1896" s="19" t="n">
        <x:f>'各站彙總來源'!K1896</x:f>
        <x:v>26</x:v>
      </x:c>
      <x:c r="L1896" s="24" t="n">
        <x:f>IFERROR('各站彙總來源'!L1896/'各站彙總來源'!M1896,"")</x:f>
        <x:v>3</x:v>
      </x:c>
      <x:c r="M1896" s="19" t="n">
        <x:f>'各站彙總來源'!M1896</x:f>
        <x:v>26</x:v>
      </x:c>
      <x:c r="N1896" s="24" t="n">
        <x:f>F1896+H1896</x:f>
        <x:v>3.6153846153846154</x:v>
      </x:c>
      <x:c r="O1896" s="24" t="n">
        <x:f>J1896+L1896</x:f>
        <x:v>34.84615384615385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252926d0df34a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4" customHeight="1">
      <x:c r="A1" s="3" t="str">
        <x:v>各站彙總來源｜加總與有效日數</x:v>
      </x:c>
      <x:c r="B1" s="3" t="str">
        <x:v>各站彙總來源｜加總與有效日數</x:v>
      </x:c>
      <x:c r="C1" s="3" t="str">
        <x:v>各站彙總來源｜加總與有效日數</x:v>
      </x:c>
      <x:c r="D1" s="3" t="str">
        <x:v>各站彙總來源｜加總與有效日數</x:v>
      </x:c>
      <x:c r="E1" s="3" t="str">
        <x:v>各站彙總來源｜加總與有效日數</x:v>
      </x:c>
      <x:c r="F1" s="3" t="str">
        <x:v>各站彙總來源｜加總與有效日數</x:v>
      </x:c>
      <x:c r="G1" s="3" t="str">
        <x:v>各站彙總來源｜加總與有效日數</x:v>
      </x:c>
      <x:c r="H1" s="3" t="str">
        <x:v>各站彙總來源｜加總與有效日數</x:v>
      </x:c>
      <x:c r="I1" s="3" t="str">
        <x:v>各站彙總來源｜加總與有效日數</x:v>
      </x:c>
      <x:c r="J1" s="3" t="str">
        <x:v>各站彙總來源｜加總與有效日數</x:v>
      </x:c>
      <x:c r="K1" s="3" t="str">
        <x:v>各站彙總來源｜加總與有效日數</x:v>
      </x:c>
      <x:c r="L1" s="3" t="str">
        <x:v>各站彙總來源｜加總與有效日數</x:v>
      </x:c>
      <x:c r="M1" s="3" t="str">
        <x:v>各站彙總來源｜加總與有效日數</x:v>
      </x:c>
    </x:row>
    <x:row r="2" ht="32" customHeight="1">
      <x:c r="A2" s="8" t="str">
        <x:v>來源為逐站逐日VDS計算結果的加總與筆數；「各站平均」以公式引用本表計算，缺站日不補0。</x:v>
      </x:c>
      <x:c r="B2" s="8" t="str">
        <x:v>來源為逐站逐日VDS計算結果的加總與筆數；「各站平均」以公式引用本表計算，缺站日不補0。</x:v>
      </x:c>
      <x:c r="C2" s="8" t="str">
        <x:v>來源為逐站逐日VDS計算結果的加總與筆數；「各站平均」以公式引用本表計算，缺站日不補0。</x:v>
      </x:c>
      <x:c r="D2" s="8" t="str">
        <x:v>來源為逐站逐日VDS計算結果的加總與筆數；「各站平均」以公式引用本表計算，缺站日不補0。</x:v>
      </x:c>
      <x:c r="E2" s="8" t="str">
        <x:v>來源為逐站逐日VDS計算結果的加總與筆數；「各站平均」以公式引用本表計算，缺站日不補0。</x:v>
      </x:c>
      <x:c r="F2" s="8" t="str">
        <x:v>來源為逐站逐日VDS計算結果的加總與筆數；「各站平均」以公式引用本表計算，缺站日不補0。</x:v>
      </x:c>
      <x:c r="G2" s="8" t="str">
        <x:v>來源為逐站逐日VDS計算結果的加總與筆數；「各站平均」以公式引用本表計算，缺站日不補0。</x:v>
      </x:c>
      <x:c r="H2" s="8" t="str">
        <x:v>來源為逐站逐日VDS計算結果的加總與筆數；「各站平均」以公式引用本表計算，缺站日不補0。</x:v>
      </x:c>
      <x:c r="I2" s="8" t="str">
        <x:v>來源為逐站逐日VDS計算結果的加總與筆數；「各站平均」以公式引用本表計算，缺站日不補0。</x:v>
      </x:c>
      <x:c r="J2" s="8" t="str">
        <x:v>來源為逐站逐日VDS計算結果的加總與筆數；「各站平均」以公式引用本表計算，缺站日不補0。</x:v>
      </x:c>
      <x:c r="K2" s="8" t="str">
        <x:v>來源為逐站逐日VDS計算結果的加總與筆數；「各站平均」以公式引用本表計算，缺站日不補0。</x:v>
      </x:c>
      <x:c r="L2" s="8" t="str">
        <x:v>來源為逐站逐日VDS計算結果的加總與筆數；「各站平均」以公式引用本表計算，缺站日不補0。</x:v>
      </x:c>
      <x:c r="M2" s="8" t="str">
        <x:v>來源為逐站逐日VDS計算結果的加總與筆數；「各站平均」以公式引用本表計算，缺站日不補0。</x:v>
      </x:c>
    </x:row>
    <x:row r="3" ht="36" customHeight="1">
      <x:c r="A3" s="14" t="str">
        <x:v>場站代碼</x:v>
      </x:c>
      <x:c r="B3" s="14" t="str">
        <x:v>行政區</x:v>
      </x:c>
      <x:c r="C3" s="14" t="str">
        <x:v>場站名稱</x:v>
      </x:c>
      <x:c r="D3" s="14" t="str">
        <x:v>入選日期數</x:v>
      </x:c>
      <x:c r="E3" s="14" t="str">
        <x:v>出現日期數</x:v>
      </x:c>
      <x:c r="F3" s="14" t="str">
        <x:v>06點2.0加總</x:v>
      </x:c>
      <x:c r="G3" s="14" t="str">
        <x:v>有效日數</x:v>
      </x:c>
      <x:c r="H3" s="14" t="str">
        <x:v>06點2.0E加總</x:v>
      </x:c>
      <x:c r="I3" s="14" t="str">
        <x:v>有效日數</x:v>
      </x:c>
      <x:c r="J3" s="14" t="str">
        <x:v>15點2.0加總</x:v>
      </x:c>
      <x:c r="K3" s="14" t="str">
        <x:v>有效日數</x:v>
      </x:c>
      <x:c r="L3" s="14" t="str">
        <x:v>15點2.0E加總</x:v>
      </x:c>
      <x:c r="M3" s="14" t="str">
        <x:v>有效日數</x:v>
      </x:c>
    </x:row>
    <x:row r="4">
      <x:c r="A4" s="22" t="str">
        <x:v>500101001</x:v>
      </x:c>
      <x:c r="B4" s="17" t="str">
        <x:v>大安區</x:v>
      </x:c>
      <x:c r="C4" s="17" t="str">
        <x:v>捷運科技大樓站</x:v>
      </x:c>
      <x:c r="D4" s="18" t="n">
        <x:v>26</x:v>
      </x:c>
      <x:c r="E4" s="18" t="n">
        <x:v>26</x:v>
      </x:c>
      <x:c r="F4" s="18" t="n">
        <x:v>404</x:v>
      </x:c>
      <x:c r="G4" s="18" t="n">
        <x:v>26</x:v>
      </x:c>
      <x:c r="H4" s="18" t="n">
        <x:v>107</x:v>
      </x:c>
      <x:c r="I4" s="18" t="n">
        <x:v>26</x:v>
      </x:c>
      <x:c r="J4" s="18" t="n">
        <x:v>329</x:v>
      </x:c>
      <x:c r="K4" s="18" t="n">
        <x:v>26</x:v>
      </x:c>
      <x:c r="L4" s="18" t="n">
        <x:v>55</x:v>
      </x:c>
      <x:c r="M4" s="18" t="n">
        <x:v>26</x:v>
      </x:c>
    </x:row>
    <x:row r="5">
      <x:c r="A5" s="22" t="str">
        <x:v>500101002</x:v>
      </x:c>
      <x:c r="B5" s="17" t="str">
        <x:v>大安區</x:v>
      </x:c>
      <x:c r="C5" s="17" t="str">
        <x:v>復興南路二段273號前</x:v>
      </x:c>
      <x:c r="D5" s="18" t="n">
        <x:v>26</x:v>
      </x:c>
      <x:c r="E5" s="18" t="n">
        <x:v>26</x:v>
      </x:c>
      <x:c r="F5" s="18" t="n">
        <x:v>261</x:v>
      </x:c>
      <x:c r="G5" s="18" t="n">
        <x:v>26</x:v>
      </x:c>
      <x:c r="H5" s="18" t="n">
        <x:v>68</x:v>
      </x:c>
      <x:c r="I5" s="18" t="n">
        <x:v>26</x:v>
      </x:c>
      <x:c r="J5" s="18" t="n">
        <x:v>162</x:v>
      </x:c>
      <x:c r="K5" s="18" t="n">
        <x:v>26</x:v>
      </x:c>
      <x:c r="L5" s="18" t="n">
        <x:v>19</x:v>
      </x:c>
      <x:c r="M5" s="18" t="n">
        <x:v>26</x:v>
      </x:c>
    </x:row>
    <x:row r="6">
      <x:c r="A6" s="22" t="str">
        <x:v>500101003</x:v>
      </x:c>
      <x:c r="B6" s="17" t="str">
        <x:v>大安區</x:v>
      </x:c>
      <x:c r="C6" s="17" t="str">
        <x:v>國北教大實小東側門</x:v>
      </x:c>
      <x:c r="D6" s="18" t="n">
        <x:v>26</x:v>
      </x:c>
      <x:c r="E6" s="18" t="n">
        <x:v>26</x:v>
      </x:c>
      <x:c r="F6" s="18" t="n">
        <x:v>272</x:v>
      </x:c>
      <x:c r="G6" s="18" t="n">
        <x:v>26</x:v>
      </x:c>
      <x:c r="H6" s="18" t="n">
        <x:v>43</x:v>
      </x:c>
      <x:c r="I6" s="18" t="n">
        <x:v>26</x:v>
      </x:c>
      <x:c r="J6" s="18" t="n">
        <x:v>119</x:v>
      </x:c>
      <x:c r="K6" s="18" t="n">
        <x:v>26</x:v>
      </x:c>
      <x:c r="L6" s="18" t="n">
        <x:v>20</x:v>
      </x:c>
      <x:c r="M6" s="18" t="n">
        <x:v>26</x:v>
      </x:c>
    </x:row>
    <x:row r="7">
      <x:c r="A7" s="22" t="str">
        <x:v>500101004</x:v>
      </x:c>
      <x:c r="B7" s="17" t="str">
        <x:v>大安區</x:v>
      </x:c>
      <x:c r="C7" s="17" t="str">
        <x:v>和平公園東側</x:v>
      </x:c>
      <x:c r="D7" s="18" t="n">
        <x:v>26</x:v>
      </x:c>
      <x:c r="E7" s="18" t="n">
        <x:v>26</x:v>
      </x:c>
      <x:c r="F7" s="18" t="n">
        <x:v>62</x:v>
      </x:c>
      <x:c r="G7" s="18" t="n">
        <x:v>26</x:v>
      </x:c>
      <x:c r="H7" s="18" t="n">
        <x:v>25</x:v>
      </x:c>
      <x:c r="I7" s="18" t="n">
        <x:v>26</x:v>
      </x:c>
      <x:c r="J7" s="18" t="n">
        <x:v>68</x:v>
      </x:c>
      <x:c r="K7" s="18" t="n">
        <x:v>26</x:v>
      </x:c>
      <x:c r="L7" s="18" t="n">
        <x:v>22</x:v>
      </x:c>
      <x:c r="M7" s="18" t="n">
        <x:v>26</x:v>
      </x:c>
    </x:row>
    <x:row r="8">
      <x:c r="A8" s="22" t="str">
        <x:v>500101005</x:v>
      </x:c>
      <x:c r="B8" s="17" t="str">
        <x:v>大安區</x:v>
      </x:c>
      <x:c r="C8" s="17" t="str">
        <x:v>辛亥復興路口西北側</x:v>
      </x:c>
      <x:c r="D8" s="18" t="n">
        <x:v>26</x:v>
      </x:c>
      <x:c r="E8" s="18" t="n">
        <x:v>26</x:v>
      </x:c>
      <x:c r="F8" s="18" t="n">
        <x:v>175</x:v>
      </x:c>
      <x:c r="G8" s="18" t="n">
        <x:v>26</x:v>
      </x:c>
      <x:c r="H8" s="18" t="n">
        <x:v>16</x:v>
      </x:c>
      <x:c r="I8" s="18" t="n">
        <x:v>26</x:v>
      </x:c>
      <x:c r="J8" s="18" t="n">
        <x:v>106</x:v>
      </x:c>
      <x:c r="K8" s="18" t="n">
        <x:v>26</x:v>
      </x:c>
      <x:c r="L8" s="18" t="n">
        <x:v>20</x:v>
      </x:c>
      <x:c r="M8" s="18" t="n">
        <x:v>26</x:v>
      </x:c>
    </x:row>
    <x:row r="9">
      <x:c r="A9" s="22" t="str">
        <x:v>500101006</x:v>
      </x:c>
      <x:c r="B9" s="17" t="str">
        <x:v>大安區</x:v>
      </x:c>
      <x:c r="C9" s="17" t="str">
        <x:v>復興南路二段280號前</x:v>
      </x:c>
      <x:c r="D9" s="18" t="n">
        <x:v>26</x:v>
      </x:c>
      <x:c r="E9" s="18" t="n">
        <x:v>26</x:v>
      </x:c>
      <x:c r="F9" s="18" t="n">
        <x:v>145</x:v>
      </x:c>
      <x:c r="G9" s="18" t="n">
        <x:v>26</x:v>
      </x:c>
      <x:c r="H9" s="18" t="n">
        <x:v>22</x:v>
      </x:c>
      <x:c r="I9" s="18" t="n">
        <x:v>26</x:v>
      </x:c>
      <x:c r="J9" s="18" t="n">
        <x:v>118</x:v>
      </x:c>
      <x:c r="K9" s="18" t="n">
        <x:v>26</x:v>
      </x:c>
      <x:c r="L9" s="18" t="n">
        <x:v>18</x:v>
      </x:c>
      <x:c r="M9" s="18" t="n">
        <x:v>26</x:v>
      </x:c>
    </x:row>
    <x:row r="10">
      <x:c r="A10" s="22" t="str">
        <x:v>500101007</x:v>
      </x:c>
      <x:c r="B10" s="17" t="str">
        <x:v>大安區</x:v>
      </x:c>
      <x:c r="C10" s="17" t="str">
        <x:v>復興南路二段340巷口</x:v>
      </x:c>
      <x:c r="D10" s="18" t="n">
        <x:v>26</x:v>
      </x:c>
      <x:c r="E10" s="18" t="n">
        <x:v>26</x:v>
      </x:c>
      <x:c r="F10" s="18" t="n">
        <x:v>95</x:v>
      </x:c>
      <x:c r="G10" s="18" t="n">
        <x:v>26</x:v>
      </x:c>
      <x:c r="H10" s="18" t="n">
        <x:v>24</x:v>
      </x:c>
      <x:c r="I10" s="18" t="n">
        <x:v>26</x:v>
      </x:c>
      <x:c r="J10" s="18" t="n">
        <x:v>45</x:v>
      </x:c>
      <x:c r="K10" s="18" t="n">
        <x:v>26</x:v>
      </x:c>
      <x:c r="L10" s="18" t="n">
        <x:v>14</x:v>
      </x:c>
      <x:c r="M10" s="18" t="n">
        <x:v>26</x:v>
      </x:c>
    </x:row>
    <x:row r="11">
      <x:c r="A11" s="22" t="str">
        <x:v>500101008</x:v>
      </x:c>
      <x:c r="B11" s="17" t="str">
        <x:v>大安區</x:v>
      </x:c>
      <x:c r="C11" s="17" t="str">
        <x:v>新生南路三段52號前</x:v>
      </x:c>
      <x:c r="D11" s="18" t="n">
        <x:v>26</x:v>
      </x:c>
      <x:c r="E11" s="18" t="n">
        <x:v>26</x:v>
      </x:c>
      <x:c r="F11" s="18" t="n">
        <x:v>95</x:v>
      </x:c>
      <x:c r="G11" s="18" t="n">
        <x:v>26</x:v>
      </x:c>
      <x:c r="H11" s="18" t="n">
        <x:v>45</x:v>
      </x:c>
      <x:c r="I11" s="18" t="n">
        <x:v>26</x:v>
      </x:c>
      <x:c r="J11" s="18" t="n">
        <x:v>80</x:v>
      </x:c>
      <x:c r="K11" s="18" t="n">
        <x:v>26</x:v>
      </x:c>
      <x:c r="L11" s="18" t="n">
        <x:v>21</x:v>
      </x:c>
      <x:c r="M11" s="18" t="n">
        <x:v>26</x:v>
      </x:c>
    </x:row>
    <x:row r="12">
      <x:c r="A12" s="22" t="str">
        <x:v>500101009</x:v>
      </x:c>
      <x:c r="B12" s="17" t="str">
        <x:v>大安區</x:v>
      </x:c>
      <x:c r="C12" s="17" t="str">
        <x:v>新生南路三段66號前</x:v>
      </x:c>
      <x:c r="D12" s="18" t="n">
        <x:v>26</x:v>
      </x:c>
      <x:c r="E12" s="18" t="n">
        <x:v>26</x:v>
      </x:c>
      <x:c r="F12" s="18" t="n">
        <x:v>112</x:v>
      </x:c>
      <x:c r="G12" s="18" t="n">
        <x:v>26</x:v>
      </x:c>
      <x:c r="H12" s="18" t="n">
        <x:v>18</x:v>
      </x:c>
      <x:c r="I12" s="18" t="n">
        <x:v>26</x:v>
      </x:c>
      <x:c r="J12" s="18" t="n">
        <x:v>95</x:v>
      </x:c>
      <x:c r="K12" s="18" t="n">
        <x:v>26</x:v>
      </x:c>
      <x:c r="L12" s="18" t="n">
        <x:v>13</x:v>
      </x:c>
      <x:c r="M12" s="18" t="n">
        <x:v>26</x:v>
      </x:c>
    </x:row>
    <x:row r="13">
      <x:c r="A13" s="22" t="str">
        <x:v>500101010</x:v>
      </x:c>
      <x:c r="B13" s="17" t="str">
        <x:v>大安區</x:v>
      </x:c>
      <x:c r="C13" s="17" t="str">
        <x:v>新生南路三段82號前</x:v>
      </x:c>
      <x:c r="D13" s="18" t="n">
        <x:v>26</x:v>
      </x:c>
      <x:c r="E13" s="18" t="n">
        <x:v>26</x:v>
      </x:c>
      <x:c r="F13" s="18" t="n">
        <x:v>123</x:v>
      </x:c>
      <x:c r="G13" s="18" t="n">
        <x:v>26</x:v>
      </x:c>
      <x:c r="H13" s="18" t="n">
        <x:v>14</x:v>
      </x:c>
      <x:c r="I13" s="18" t="n">
        <x:v>26</x:v>
      </x:c>
      <x:c r="J13" s="18" t="n">
        <x:v>116</x:v>
      </x:c>
      <x:c r="K13" s="18" t="n">
        <x:v>26</x:v>
      </x:c>
      <x:c r="L13" s="18" t="n">
        <x:v>14</x:v>
      </x:c>
      <x:c r="M13" s="18" t="n">
        <x:v>26</x:v>
      </x:c>
    </x:row>
    <x:row r="14">
      <x:c r="A14" s="22" t="str">
        <x:v>500101011</x:v>
      </x:c>
      <x:c r="B14" s="17" t="str">
        <x:v>大安區</x:v>
      </x:c>
      <x:c r="C14" s="17" t="str">
        <x:v>羅斯福路三段333巷9號旁</x:v>
      </x:c>
      <x:c r="D14" s="18" t="n">
        <x:v>26</x:v>
      </x:c>
      <x:c r="E14" s="18" t="n">
        <x:v>26</x:v>
      </x:c>
      <x:c r="F14" s="18" t="n">
        <x:v>0</x:v>
      </x:c>
      <x:c r="G14" s="18" t="n">
        <x:v>26</x:v>
      </x:c>
      <x:c r="H14" s="18" t="n">
        <x:v>0</x:v>
      </x:c>
      <x:c r="I14" s="18" t="n">
        <x:v>26</x:v>
      </x:c>
      <x:c r="J14" s="18" t="n">
        <x:v>0</x:v>
      </x:c>
      <x:c r="K14" s="18" t="n">
        <x:v>26</x:v>
      </x:c>
      <x:c r="L14" s="18" t="n">
        <x:v>0</x:v>
      </x:c>
      <x:c r="M14" s="18" t="n">
        <x:v>26</x:v>
      </x:c>
    </x:row>
    <x:row r="15">
      <x:c r="A15" s="22" t="str">
        <x:v>500101012</x:v>
      </x:c>
      <x:c r="B15" s="17" t="str">
        <x:v>大安區</x:v>
      </x:c>
      <x:c r="C15" s="17" t="str">
        <x:v>辛亥路一段30號前</x:v>
      </x:c>
      <x:c r="D15" s="18" t="n">
        <x:v>26</x:v>
      </x:c>
      <x:c r="E15" s="18" t="n">
        <x:v>26</x:v>
      </x:c>
      <x:c r="F15" s="18" t="n">
        <x:v>83</x:v>
      </x:c>
      <x:c r="G15" s="18" t="n">
        <x:v>26</x:v>
      </x:c>
      <x:c r="H15" s="18" t="n">
        <x:v>12</x:v>
      </x:c>
      <x:c r="I15" s="18" t="n">
        <x:v>26</x:v>
      </x:c>
      <x:c r="J15" s="18" t="n">
        <x:v>55</x:v>
      </x:c>
      <x:c r="K15" s="18" t="n">
        <x:v>26</x:v>
      </x:c>
      <x:c r="L15" s="18" t="n">
        <x:v>17</x:v>
      </x:c>
      <x:c r="M15" s="18" t="n">
        <x:v>26</x:v>
      </x:c>
    </x:row>
    <x:row r="16">
      <x:c r="A16" s="22" t="str">
        <x:v>500101013</x:v>
      </x:c>
      <x:c r="B16" s="17" t="str">
        <x:v>大安區</x:v>
      </x:c>
      <x:c r="C16" s="17" t="str">
        <x:v>和平復興路口西北側</x:v>
      </x:c>
      <x:c r="D16" s="18" t="n">
        <x:v>26</x:v>
      </x:c>
      <x:c r="E16" s="18" t="n">
        <x:v>26</x:v>
      </x:c>
      <x:c r="F16" s="18" t="n">
        <x:v>140</x:v>
      </x:c>
      <x:c r="G16" s="18" t="n">
        <x:v>26</x:v>
      </x:c>
      <x:c r="H16" s="18" t="n">
        <x:v>21</x:v>
      </x:c>
      <x:c r="I16" s="18" t="n">
        <x:v>26</x:v>
      </x:c>
      <x:c r="J16" s="18" t="n">
        <x:v>104</x:v>
      </x:c>
      <x:c r="K16" s="18" t="n">
        <x:v>26</x:v>
      </x:c>
      <x:c r="L16" s="18" t="n">
        <x:v>22</x:v>
      </x:c>
      <x:c r="M16" s="18" t="n">
        <x:v>26</x:v>
      </x:c>
    </x:row>
    <x:row r="17">
      <x:c r="A17" s="22" t="str">
        <x:v>500101014</x:v>
      </x:c>
      <x:c r="B17" s="17" t="str">
        <x:v>大安區</x:v>
      </x:c>
      <x:c r="C17" s="17" t="str">
        <x:v>羅斯福路三段311號前</x:v>
      </x:c>
      <x:c r="D17" s="18" t="n">
        <x:v>26</x:v>
      </x:c>
      <x:c r="E17" s="18" t="n">
        <x:v>26</x:v>
      </x:c>
      <x:c r="F17" s="18" t="n">
        <x:v>69</x:v>
      </x:c>
      <x:c r="G17" s="18" t="n">
        <x:v>26</x:v>
      </x:c>
      <x:c r="H17" s="18" t="n">
        <x:v>7</x:v>
      </x:c>
      <x:c r="I17" s="18" t="n">
        <x:v>26</x:v>
      </x:c>
      <x:c r="J17" s="18" t="n">
        <x:v>138</x:v>
      </x:c>
      <x:c r="K17" s="18" t="n">
        <x:v>26</x:v>
      </x:c>
      <x:c r="L17" s="18" t="n">
        <x:v>25</x:v>
      </x:c>
      <x:c r="M17" s="18" t="n">
        <x:v>26</x:v>
      </x:c>
    </x:row>
    <x:row r="18">
      <x:c r="A18" s="22" t="str">
        <x:v>500101015</x:v>
      </x:c>
      <x:c r="B18" s="17" t="str">
        <x:v>大安區</x:v>
      </x:c>
      <x:c r="C18" s="17" t="str">
        <x:v>大安運動中心停車場</x:v>
      </x:c>
      <x:c r="D18" s="18" t="n">
        <x:v>26</x:v>
      </x:c>
      <x:c r="E18" s="18" t="n">
        <x:v>26</x:v>
      </x:c>
      <x:c r="F18" s="18" t="n">
        <x:v>150</x:v>
      </x:c>
      <x:c r="G18" s="18" t="n">
        <x:v>26</x:v>
      </x:c>
      <x:c r="H18" s="18" t="n">
        <x:v>36</x:v>
      </x:c>
      <x:c r="I18" s="18" t="n">
        <x:v>26</x:v>
      </x:c>
      <x:c r="J18" s="18" t="n">
        <x:v>244</x:v>
      </x:c>
      <x:c r="K18" s="18" t="n">
        <x:v>26</x:v>
      </x:c>
      <x:c r="L18" s="18" t="n">
        <x:v>81</x:v>
      </x:c>
      <x:c r="M18" s="18" t="n">
        <x:v>26</x:v>
      </x:c>
    </x:row>
    <x:row r="19">
      <x:c r="A19" s="22" t="str">
        <x:v>500101016</x:v>
      </x:c>
      <x:c r="B19" s="17" t="str">
        <x:v>大安區</x:v>
      </x:c>
      <x:c r="C19" s="17" t="str">
        <x:v>羅斯福路三段245號前</x:v>
      </x:c>
      <x:c r="D19" s="18" t="n">
        <x:v>26</x:v>
      </x:c>
      <x:c r="E19" s="18" t="n">
        <x:v>26</x:v>
      </x:c>
      <x:c r="F19" s="18" t="n">
        <x:v>90</x:v>
      </x:c>
      <x:c r="G19" s="18" t="n">
        <x:v>26</x:v>
      </x:c>
      <x:c r="H19" s="18" t="n">
        <x:v>16</x:v>
      </x:c>
      <x:c r="I19" s="18" t="n">
        <x:v>26</x:v>
      </x:c>
      <x:c r="J19" s="18" t="n">
        <x:v>46</x:v>
      </x:c>
      <x:c r="K19" s="18" t="n">
        <x:v>26</x:v>
      </x:c>
      <x:c r="L19" s="18" t="n">
        <x:v>9</x:v>
      </x:c>
      <x:c r="M19" s="18" t="n">
        <x:v>26</x:v>
      </x:c>
    </x:row>
    <x:row r="20">
      <x:c r="A20" s="22" t="str">
        <x:v>500101017</x:v>
      </x:c>
      <x:c r="B20" s="17" t="str">
        <x:v>大安區</x:v>
      </x:c>
      <x:c r="C20" s="17" t="str">
        <x:v>羅斯福路三段269巷5號前</x:v>
      </x:c>
      <x:c r="D20" s="18" t="n">
        <x:v>26</x:v>
      </x:c>
      <x:c r="E20" s="18" t="n">
        <x:v>26</x:v>
      </x:c>
      <x:c r="F20" s="18" t="n">
        <x:v>0</x:v>
      </x:c>
      <x:c r="G20" s="18" t="n">
        <x:v>26</x:v>
      </x:c>
      <x:c r="H20" s="18" t="n">
        <x:v>0</x:v>
      </x:c>
      <x:c r="I20" s="18" t="n">
        <x:v>26</x:v>
      </x:c>
      <x:c r="J20" s="18" t="n">
        <x:v>0</x:v>
      </x:c>
      <x:c r="K20" s="18" t="n">
        <x:v>26</x:v>
      </x:c>
      <x:c r="L20" s="18" t="n">
        <x:v>0</x:v>
      </x:c>
      <x:c r="M20" s="18" t="n">
        <x:v>26</x:v>
      </x:c>
    </x:row>
    <x:row r="21">
      <x:c r="A21" s="22" t="str">
        <x:v>500101018</x:v>
      </x:c>
      <x:c r="B21" s="17" t="str">
        <x:v>大安區</x:v>
      </x:c>
      <x:c r="C21" s="17" t="str">
        <x:v>溫州公園</x:v>
      </x:c>
      <x:c r="D21" s="18" t="n">
        <x:v>26</x:v>
      </x:c>
      <x:c r="E21" s="18" t="n">
        <x:v>26</x:v>
      </x:c>
      <x:c r="F21" s="18" t="n">
        <x:v>112</x:v>
      </x:c>
      <x:c r="G21" s="18" t="n">
        <x:v>26</x:v>
      </x:c>
      <x:c r="H21" s="18" t="n">
        <x:v>17</x:v>
      </x:c>
      <x:c r="I21" s="18" t="n">
        <x:v>26</x:v>
      </x:c>
      <x:c r="J21" s="18" t="n">
        <x:v>90</x:v>
      </x:c>
      <x:c r="K21" s="18" t="n">
        <x:v>26</x:v>
      </x:c>
      <x:c r="L21" s="18" t="n">
        <x:v>15</x:v>
      </x:c>
      <x:c r="M21" s="18" t="n">
        <x:v>26</x:v>
      </x:c>
    </x:row>
    <x:row r="22">
      <x:c r="A22" s="22" t="str">
        <x:v>500101019</x:v>
      </x:c>
      <x:c r="B22" s="17" t="str">
        <x:v>大安區</x:v>
      </x:c>
      <x:c r="C22" s="17" t="str">
        <x:v>和平臥龍街口</x:v>
      </x:c>
      <x:c r="D22" s="18" t="n">
        <x:v>26</x:v>
      </x:c>
      <x:c r="E22" s="18" t="n">
        <x:v>26</x:v>
      </x:c>
      <x:c r="F22" s="18" t="n">
        <x:v>343</x:v>
      </x:c>
      <x:c r="G22" s="18" t="n">
        <x:v>26</x:v>
      </x:c>
      <x:c r="H22" s="18" t="n">
        <x:v>55</x:v>
      </x:c>
      <x:c r="I22" s="18" t="n">
        <x:v>26</x:v>
      </x:c>
      <x:c r="J22" s="18" t="n">
        <x:v>161</x:v>
      </x:c>
      <x:c r="K22" s="18" t="n">
        <x:v>26</x:v>
      </x:c>
      <x:c r="L22" s="18" t="n">
        <x:v>47</x:v>
      </x:c>
      <x:c r="M22" s="18" t="n">
        <x:v>26</x:v>
      </x:c>
    </x:row>
    <x:row r="23">
      <x:c r="A23" s="22" t="str">
        <x:v>500101020</x:v>
      </x:c>
      <x:c r="B23" s="17" t="str">
        <x:v>大安區</x:v>
      </x:c>
      <x:c r="C23" s="17" t="str">
        <x:v>溫州停車場</x:v>
      </x:c>
      <x:c r="D23" s="18" t="n">
        <x:v>26</x:v>
      </x:c>
      <x:c r="E23" s="18" t="n">
        <x:v>26</x:v>
      </x:c>
      <x:c r="F23" s="18" t="n">
        <x:v>0</x:v>
      </x:c>
      <x:c r="G23" s="18" t="n">
        <x:v>26</x:v>
      </x:c>
      <x:c r="H23" s="18" t="n">
        <x:v>0</x:v>
      </x:c>
      <x:c r="I23" s="18" t="n">
        <x:v>26</x:v>
      </x:c>
      <x:c r="J23" s="18" t="n">
        <x:v>0</x:v>
      </x:c>
      <x:c r="K23" s="18" t="n">
        <x:v>26</x:v>
      </x:c>
      <x:c r="L23" s="18" t="n">
        <x:v>0</x:v>
      </x:c>
      <x:c r="M23" s="18" t="n">
        <x:v>26</x:v>
      </x:c>
    </x:row>
    <x:row r="24">
      <x:c r="A24" s="22" t="str">
        <x:v>500101021</x:v>
      </x:c>
      <x:c r="B24" s="17" t="str">
        <x:v>大安區</x:v>
      </x:c>
      <x:c r="C24" s="17" t="str">
        <x:v>銘傳國小側門</x:v>
      </x:c>
      <x:c r="D24" s="18" t="n">
        <x:v>26</x:v>
      </x:c>
      <x:c r="E24" s="18" t="n">
        <x:v>26</x:v>
      </x:c>
      <x:c r="F24" s="18" t="n">
        <x:v>33</x:v>
      </x:c>
      <x:c r="G24" s="18" t="n">
        <x:v>26</x:v>
      </x:c>
      <x:c r="H24" s="18" t="n">
        <x:v>19</x:v>
      </x:c>
      <x:c r="I24" s="18" t="n">
        <x:v>26</x:v>
      </x:c>
      <x:c r="J24" s="18" t="n">
        <x:v>82</x:v>
      </x:c>
      <x:c r="K24" s="18" t="n">
        <x:v>26</x:v>
      </x:c>
      <x:c r="L24" s="18" t="n">
        <x:v>18</x:v>
      </x:c>
      <x:c r="M24" s="18" t="n">
        <x:v>26</x:v>
      </x:c>
    </x:row>
    <x:row r="25">
      <x:c r="A25" s="22" t="str">
        <x:v>500101022</x:v>
      </x:c>
      <x:c r="B25" s="17" t="str">
        <x:v>大安區</x:v>
      </x:c>
      <x:c r="C25" s="17" t="str">
        <x:v>捷運公館站(2號出口)</x:v>
      </x:c>
      <x:c r="D25" s="18" t="n">
        <x:v>26</x:v>
      </x:c>
      <x:c r="E25" s="18" t="n">
        <x:v>26</x:v>
      </x:c>
      <x:c r="F25" s="18" t="n">
        <x:v>2080</x:v>
      </x:c>
      <x:c r="G25" s="18" t="n">
        <x:v>26</x:v>
      </x:c>
      <x:c r="H25" s="18" t="n">
        <x:v>111</x:v>
      </x:c>
      <x:c r="I25" s="18" t="n">
        <x:v>26</x:v>
      </x:c>
      <x:c r="J25" s="18" t="n">
        <x:v>1125</x:v>
      </x:c>
      <x:c r="K25" s="18" t="n">
        <x:v>26</x:v>
      </x:c>
      <x:c r="L25" s="18" t="n">
        <x:v>144</x:v>
      </x:c>
      <x:c r="M25" s="18" t="n">
        <x:v>26</x:v>
      </x:c>
    </x:row>
    <x:row r="26">
      <x:c r="A26" s="22" t="str">
        <x:v>500101023</x:v>
      </x:c>
      <x:c r="B26" s="17" t="str">
        <x:v>大安區</x:v>
      </x:c>
      <x:c r="C26" s="17" t="str">
        <x:v>第二學生活動中心</x:v>
      </x:c>
      <x:c r="D26" s="18" t="n">
        <x:v>26</x:v>
      </x:c>
      <x:c r="E26" s="18" t="n">
        <x:v>26</x:v>
      </x:c>
      <x:c r="F26" s="18" t="n">
        <x:v>432</x:v>
      </x:c>
      <x:c r="G26" s="18" t="n">
        <x:v>26</x:v>
      </x:c>
      <x:c r="H26" s="18" t="n">
        <x:v>40</x:v>
      </x:c>
      <x:c r="I26" s="18" t="n">
        <x:v>26</x:v>
      </x:c>
      <x:c r="J26" s="18" t="n">
        <x:v>228</x:v>
      </x:c>
      <x:c r="K26" s="18" t="n">
        <x:v>26</x:v>
      </x:c>
      <x:c r="L26" s="18" t="n">
        <x:v>47</x:v>
      </x:c>
      <x:c r="M26" s="18" t="n">
        <x:v>26</x:v>
      </x:c>
    </x:row>
    <x:row r="27">
      <x:c r="A27" s="22" t="str">
        <x:v>500101024</x:v>
      </x:c>
      <x:c r="B27" s="17" t="str">
        <x:v>大安區</x:v>
      </x:c>
      <x:c r="C27" s="17" t="str">
        <x:v>臺灣科技大學正門</x:v>
      </x:c>
      <x:c r="D27" s="18" t="n">
        <x:v>26</x:v>
      </x:c>
      <x:c r="E27" s="18" t="n">
        <x:v>26</x:v>
      </x:c>
      <x:c r="F27" s="18" t="n">
        <x:v>100</x:v>
      </x:c>
      <x:c r="G27" s="18" t="n">
        <x:v>26</x:v>
      </x:c>
      <x:c r="H27" s="18" t="n">
        <x:v>15</x:v>
      </x:c>
      <x:c r="I27" s="18" t="n">
        <x:v>26</x:v>
      </x:c>
      <x:c r="J27" s="18" t="n">
        <x:v>1814</x:v>
      </x:c>
      <x:c r="K27" s="18" t="n">
        <x:v>26</x:v>
      </x:c>
      <x:c r="L27" s="18" t="n">
        <x:v>166</x:v>
      </x:c>
      <x:c r="M27" s="18" t="n">
        <x:v>26</x:v>
      </x:c>
    </x:row>
    <x:row r="28">
      <x:c r="A28" s="22" t="str">
        <x:v>500101025</x:v>
      </x:c>
      <x:c r="B28" s="17" t="str">
        <x:v>大安區</x:v>
      </x:c>
      <x:c r="C28" s="17" t="str">
        <x:v>臺灣科技大學側門</x:v>
      </x:c>
      <x:c r="D28" s="18" t="n">
        <x:v>26</x:v>
      </x:c>
      <x:c r="E28" s="18" t="n">
        <x:v>26</x:v>
      </x:c>
      <x:c r="F28" s="18" t="n">
        <x:v>123</x:v>
      </x:c>
      <x:c r="G28" s="18" t="n">
        <x:v>26</x:v>
      </x:c>
      <x:c r="H28" s="18" t="n">
        <x:v>18</x:v>
      </x:c>
      <x:c r="I28" s="18" t="n">
        <x:v>26</x:v>
      </x:c>
      <x:c r="J28" s="18" t="n">
        <x:v>2081</x:v>
      </x:c>
      <x:c r="K28" s="18" t="n">
        <x:v>26</x:v>
      </x:c>
      <x:c r="L28" s="18" t="n">
        <x:v>287</x:v>
      </x:c>
      <x:c r="M28" s="18" t="n">
        <x:v>26</x:v>
      </x:c>
    </x:row>
    <x:row r="29">
      <x:c r="A29" s="22" t="str">
        <x:v>500101026</x:v>
      </x:c>
      <x:c r="B29" s="17" t="str">
        <x:v>大安區</x:v>
      </x:c>
      <x:c r="C29" s="17" t="str">
        <x:v>公館公園</x:v>
      </x:c>
      <x:c r="D29" s="18" t="n">
        <x:v>26</x:v>
      </x:c>
      <x:c r="E29" s="18" t="n">
        <x:v>26</x:v>
      </x:c>
      <x:c r="F29" s="18" t="n">
        <x:v>450</x:v>
      </x:c>
      <x:c r="G29" s="18" t="n">
        <x:v>26</x:v>
      </x:c>
      <x:c r="H29" s="18" t="n">
        <x:v>52</x:v>
      </x:c>
      <x:c r="I29" s="18" t="n">
        <x:v>26</x:v>
      </x:c>
      <x:c r="J29" s="18" t="n">
        <x:v>665</x:v>
      </x:c>
      <x:c r="K29" s="18" t="n">
        <x:v>26</x:v>
      </x:c>
      <x:c r="L29" s="18" t="n">
        <x:v>77</x:v>
      </x:c>
      <x:c r="M29" s="18" t="n">
        <x:v>26</x:v>
      </x:c>
    </x:row>
    <x:row r="30">
      <x:c r="A30" s="22" t="str">
        <x:v>500101027</x:v>
      </x:c>
      <x:c r="B30" s="17" t="str">
        <x:v>大安區</x:v>
      </x:c>
      <x:c r="C30" s="17" t="str">
        <x:v>臺灣科技大學後門</x:v>
      </x:c>
      <x:c r="D30" s="18" t="n">
        <x:v>26</x:v>
      </x:c>
      <x:c r="E30" s="18" t="n">
        <x:v>26</x:v>
      </x:c>
      <x:c r="F30" s="18" t="n">
        <x:v>1232</x:v>
      </x:c>
      <x:c r="G30" s="18" t="n">
        <x:v>26</x:v>
      </x:c>
      <x:c r="H30" s="18" t="n">
        <x:v>128</x:v>
      </x:c>
      <x:c r="I30" s="18" t="n">
        <x:v>26</x:v>
      </x:c>
      <x:c r="J30" s="18" t="n">
        <x:v>1196</x:v>
      </x:c>
      <x:c r="K30" s="18" t="n">
        <x:v>26</x:v>
      </x:c>
      <x:c r="L30" s="18" t="n">
        <x:v>164</x:v>
      </x:c>
      <x:c r="M30" s="18" t="n">
        <x:v>26</x:v>
      </x:c>
    </x:row>
    <x:row r="31">
      <x:c r="A31" s="22" t="str">
        <x:v>500101028</x:v>
      </x:c>
      <x:c r="B31" s="17" t="str">
        <x:v>大安區</x:v>
      </x:c>
      <x:c r="C31" s="17" t="str">
        <x:v>臺大醫學院附設癌醫中心</x:v>
      </x:c>
      <x:c r="D31" s="18" t="n">
        <x:v>26</x:v>
      </x:c>
      <x:c r="E31" s="18" t="n">
        <x:v>26</x:v>
      </x:c>
      <x:c r="F31" s="18" t="n">
        <x:v>209</x:v>
      </x:c>
      <x:c r="G31" s="18" t="n">
        <x:v>26</x:v>
      </x:c>
      <x:c r="H31" s="18" t="n">
        <x:v>51</x:v>
      </x:c>
      <x:c r="I31" s="18" t="n">
        <x:v>26</x:v>
      </x:c>
      <x:c r="J31" s="18" t="n">
        <x:v>1013</x:v>
      </x:c>
      <x:c r="K31" s="18" t="n">
        <x:v>26</x:v>
      </x:c>
      <x:c r="L31" s="18" t="n">
        <x:v>98</x:v>
      </x:c>
      <x:c r="M31" s="18" t="n">
        <x:v>26</x:v>
      </x:c>
    </x:row>
    <x:row r="32">
      <x:c r="A32" s="22" t="str">
        <x:v>500101029</x:v>
      </x:c>
      <x:c r="B32" s="17" t="str">
        <x:v>大安區</x:v>
      </x:c>
      <x:c r="C32" s="17" t="str">
        <x:v>臺大環研大樓</x:v>
      </x:c>
      <x:c r="D32" s="18" t="n">
        <x:v>26</x:v>
      </x:c>
      <x:c r="E32" s="18" t="n">
        <x:v>26</x:v>
      </x:c>
      <x:c r="F32" s="18" t="n">
        <x:v>178</x:v>
      </x:c>
      <x:c r="G32" s="18" t="n">
        <x:v>26</x:v>
      </x:c>
      <x:c r="H32" s="18" t="n">
        <x:v>26</x:v>
      </x:c>
      <x:c r="I32" s="18" t="n">
        <x:v>26</x:v>
      </x:c>
      <x:c r="J32" s="18" t="n">
        <x:v>629</x:v>
      </x:c>
      <x:c r="K32" s="18" t="n">
        <x:v>26</x:v>
      </x:c>
      <x:c r="L32" s="18" t="n">
        <x:v>82</x:v>
      </x:c>
      <x:c r="M32" s="18" t="n">
        <x:v>26</x:v>
      </x:c>
    </x:row>
    <x:row r="33">
      <x:c r="A33" s="22" t="str">
        <x:v>500101030</x:v>
      </x:c>
      <x:c r="B33" s="17" t="str">
        <x:v>大安區</x:v>
      </x:c>
      <x:c r="C33" s="17" t="str">
        <x:v>臺大永齡生醫工程館</x:v>
      </x:c>
      <x:c r="D33" s="18" t="n">
        <x:v>26</x:v>
      </x:c>
      <x:c r="E33" s="18" t="n">
        <x:v>26</x:v>
      </x:c>
      <x:c r="F33" s="18" t="n">
        <x:v>457</x:v>
      </x:c>
      <x:c r="G33" s="18" t="n">
        <x:v>26</x:v>
      </x:c>
      <x:c r="H33" s="18" t="n">
        <x:v>52</x:v>
      </x:c>
      <x:c r="I33" s="18" t="n">
        <x:v>26</x:v>
      </x:c>
      <x:c r="J33" s="18" t="n">
        <x:v>847</x:v>
      </x:c>
      <x:c r="K33" s="18" t="n">
        <x:v>26</x:v>
      </x:c>
      <x:c r="L33" s="18" t="n">
        <x:v>66</x:v>
      </x:c>
      <x:c r="M33" s="18" t="n">
        <x:v>26</x:v>
      </x:c>
    </x:row>
    <x:row r="34">
      <x:c r="A34" s="22" t="str">
        <x:v>500101031</x:v>
      </x:c>
      <x:c r="B34" s="17" t="str">
        <x:v>大安區</x:v>
      </x:c>
      <x:c r="C34" s="17" t="str">
        <x:v>臺大男七舍前</x:v>
      </x:c>
      <x:c r="D34" s="18" t="n">
        <x:v>26</x:v>
      </x:c>
      <x:c r="E34" s="18" t="n">
        <x:v>26</x:v>
      </x:c>
      <x:c r="F34" s="18" t="n">
        <x:v>376</x:v>
      </x:c>
      <x:c r="G34" s="18" t="n">
        <x:v>26</x:v>
      </x:c>
      <x:c r="H34" s="18" t="n">
        <x:v>19</x:v>
      </x:c>
      <x:c r="I34" s="18" t="n">
        <x:v>26</x:v>
      </x:c>
      <x:c r="J34" s="18" t="n">
        <x:v>237</x:v>
      </x:c>
      <x:c r="K34" s="18" t="n">
        <x:v>26</x:v>
      </x:c>
      <x:c r="L34" s="18" t="n">
        <x:v>35</x:v>
      </x:c>
      <x:c r="M34" s="18" t="n">
        <x:v>26</x:v>
      </x:c>
    </x:row>
    <x:row r="35">
      <x:c r="A35" s="22" t="str">
        <x:v>500101032</x:v>
      </x:c>
      <x:c r="B35" s="17" t="str">
        <x:v>大安區</x:v>
      </x:c>
      <x:c r="C35" s="17" t="str">
        <x:v>臺大男一舍前</x:v>
      </x:c>
      <x:c r="D35" s="18" t="n">
        <x:v>26</x:v>
      </x:c>
      <x:c r="E35" s="18" t="n">
        <x:v>26</x:v>
      </x:c>
      <x:c r="F35" s="18" t="n">
        <x:v>1275</x:v>
      </x:c>
      <x:c r="G35" s="18" t="n">
        <x:v>26</x:v>
      </x:c>
      <x:c r="H35" s="18" t="n">
        <x:v>101</x:v>
      </x:c>
      <x:c r="I35" s="18" t="n">
        <x:v>26</x:v>
      </x:c>
      <x:c r="J35" s="18" t="n">
        <x:v>414</x:v>
      </x:c>
      <x:c r="K35" s="18" t="n">
        <x:v>26</x:v>
      </x:c>
      <x:c r="L35" s="18" t="n">
        <x:v>34</x:v>
      </x:c>
      <x:c r="M35" s="18" t="n">
        <x:v>26</x:v>
      </x:c>
    </x:row>
    <x:row r="36">
      <x:c r="A36" s="22" t="str">
        <x:v>500101033</x:v>
      </x:c>
      <x:c r="B36" s="17" t="str">
        <x:v>大安區</x:v>
      </x:c>
      <x:c r="C36" s="17" t="str">
        <x:v>臺大男六舍前</x:v>
      </x:c>
      <x:c r="D36" s="18" t="n">
        <x:v>26</x:v>
      </x:c>
      <x:c r="E36" s="18" t="n">
        <x:v>26</x:v>
      </x:c>
      <x:c r="F36" s="18" t="n">
        <x:v>779</x:v>
      </x:c>
      <x:c r="G36" s="18" t="n">
        <x:v>26</x:v>
      </x:c>
      <x:c r="H36" s="18" t="n">
        <x:v>85</x:v>
      </x:c>
      <x:c r="I36" s="18" t="n">
        <x:v>26</x:v>
      </x:c>
      <x:c r="J36" s="18" t="n">
        <x:v>239</x:v>
      </x:c>
      <x:c r="K36" s="18" t="n">
        <x:v>26</x:v>
      </x:c>
      <x:c r="L36" s="18" t="n">
        <x:v>16</x:v>
      </x:c>
      <x:c r="M36" s="18" t="n">
        <x:v>26</x:v>
      </x:c>
    </x:row>
    <x:row r="37">
      <x:c r="A37" s="22" t="str">
        <x:v>500101034</x:v>
      </x:c>
      <x:c r="B37" s="17" t="str">
        <x:v>大安區</x:v>
      </x:c>
      <x:c r="C37" s="17" t="str">
        <x:v>臺大動物醫院前</x:v>
      </x:c>
      <x:c r="D37" s="18" t="n">
        <x:v>26</x:v>
      </x:c>
      <x:c r="E37" s="18" t="n">
        <x:v>26</x:v>
      </x:c>
      <x:c r="F37" s="18" t="n">
        <x:v>142</x:v>
      </x:c>
      <x:c r="G37" s="18" t="n">
        <x:v>26</x:v>
      </x:c>
      <x:c r="H37" s="18" t="n">
        <x:v>18</x:v>
      </x:c>
      <x:c r="I37" s="18" t="n">
        <x:v>26</x:v>
      </x:c>
      <x:c r="J37" s="18" t="n">
        <x:v>286</x:v>
      </x:c>
      <x:c r="K37" s="18" t="n">
        <x:v>26</x:v>
      </x:c>
      <x:c r="L37" s="18" t="n">
        <x:v>71</x:v>
      </x:c>
      <x:c r="M37" s="18" t="n">
        <x:v>26</x:v>
      </x:c>
    </x:row>
    <x:row r="38">
      <x:c r="A38" s="22" t="str">
        <x:v>500101035</x:v>
      </x:c>
      <x:c r="B38" s="17" t="str">
        <x:v>大安區</x:v>
      </x:c>
      <x:c r="C38" s="17" t="str">
        <x:v>臺大土木研究大樓前</x:v>
      </x:c>
      <x:c r="D38" s="18" t="n">
        <x:v>26</x:v>
      </x:c>
      <x:c r="E38" s="18" t="n">
        <x:v>26</x:v>
      </x:c>
      <x:c r="F38" s="18" t="n">
        <x:v>138</x:v>
      </x:c>
      <x:c r="G38" s="18" t="n">
        <x:v>26</x:v>
      </x:c>
      <x:c r="H38" s="18" t="n">
        <x:v>18</x:v>
      </x:c>
      <x:c r="I38" s="18" t="n">
        <x:v>26</x:v>
      </x:c>
      <x:c r="J38" s="18" t="n">
        <x:v>322</x:v>
      </x:c>
      <x:c r="K38" s="18" t="n">
        <x:v>26</x:v>
      </x:c>
      <x:c r="L38" s="18" t="n">
        <x:v>54</x:v>
      </x:c>
      <x:c r="M38" s="18" t="n">
        <x:v>26</x:v>
      </x:c>
    </x:row>
    <x:row r="39">
      <x:c r="A39" s="22" t="str">
        <x:v>500101036</x:v>
      </x:c>
      <x:c r="B39" s="17" t="str">
        <x:v>大安區</x:v>
      </x:c>
      <x:c r="C39" s="17" t="str">
        <x:v>臺大萬才館前</x:v>
      </x:c>
      <x:c r="D39" s="18" t="n">
        <x:v>26</x:v>
      </x:c>
      <x:c r="E39" s="18" t="n">
        <x:v>26</x:v>
      </x:c>
      <x:c r="F39" s="18" t="n">
        <x:v>113</x:v>
      </x:c>
      <x:c r="G39" s="18" t="n">
        <x:v>26</x:v>
      </x:c>
      <x:c r="H39" s="18" t="n">
        <x:v>7</x:v>
      </x:c>
      <x:c r="I39" s="18" t="n">
        <x:v>26</x:v>
      </x:c>
      <x:c r="J39" s="18" t="n">
        <x:v>172</x:v>
      </x:c>
      <x:c r="K39" s="18" t="n">
        <x:v>26</x:v>
      </x:c>
      <x:c r="L39" s="18" t="n">
        <x:v>27</x:v>
      </x:c>
      <x:c r="M39" s="18" t="n">
        <x:v>26</x:v>
      </x:c>
    </x:row>
    <x:row r="40">
      <x:c r="A40" s="22" t="str">
        <x:v>500101037</x:v>
      </x:c>
      <x:c r="B40" s="17" t="str">
        <x:v>大安區</x:v>
      </x:c>
      <x:c r="C40" s="17" t="str">
        <x:v>臺大國青大樓宿舍前</x:v>
      </x:c>
      <x:c r="D40" s="18" t="n">
        <x:v>26</x:v>
      </x:c>
      <x:c r="E40" s="18" t="n">
        <x:v>26</x:v>
      </x:c>
      <x:c r="F40" s="18" t="n">
        <x:v>219</x:v>
      </x:c>
      <x:c r="G40" s="18" t="n">
        <x:v>26</x:v>
      </x:c>
      <x:c r="H40" s="18" t="n">
        <x:v>15</x:v>
      </x:c>
      <x:c r="I40" s="18" t="n">
        <x:v>26</x:v>
      </x:c>
      <x:c r="J40" s="18" t="n">
        <x:v>159</x:v>
      </x:c>
      <x:c r="K40" s="18" t="n">
        <x:v>26</x:v>
      </x:c>
      <x:c r="L40" s="18" t="n">
        <x:v>34</x:v>
      </x:c>
      <x:c r="M40" s="18" t="n">
        <x:v>26</x:v>
      </x:c>
    </x:row>
    <x:row r="41">
      <x:c r="A41" s="22" t="str">
        <x:v>500101038</x:v>
      </x:c>
      <x:c r="B41" s="17" t="str">
        <x:v>大安區</x:v>
      </x:c>
      <x:c r="C41" s="17" t="str">
        <x:v>臺大社科院圖書館前</x:v>
      </x:c>
      <x:c r="D41" s="18" t="n">
        <x:v>26</x:v>
      </x:c>
      <x:c r="E41" s="18" t="n">
        <x:v>26</x:v>
      </x:c>
      <x:c r="F41" s="18" t="n">
        <x:v>110</x:v>
      </x:c>
      <x:c r="G41" s="18" t="n">
        <x:v>26</x:v>
      </x:c>
      <x:c r="H41" s="18" t="n">
        <x:v>5</x:v>
      </x:c>
      <x:c r="I41" s="18" t="n">
        <x:v>26</x:v>
      </x:c>
      <x:c r="J41" s="18" t="n">
        <x:v>240</x:v>
      </x:c>
      <x:c r="K41" s="18" t="n">
        <x:v>26</x:v>
      </x:c>
      <x:c r="L41" s="18" t="n">
        <x:v>66</x:v>
      </x:c>
      <x:c r="M41" s="18" t="n">
        <x:v>26</x:v>
      </x:c>
    </x:row>
    <x:row r="42">
      <x:c r="A42" s="22" t="str">
        <x:v>500101039</x:v>
      </x:c>
      <x:c r="B42" s="17" t="str">
        <x:v>大安區</x:v>
      </x:c>
      <x:c r="C42" s="17" t="str">
        <x:v>臺大法人語言訓練中心前</x:v>
      </x:c>
      <x:c r="D42" s="18" t="n">
        <x:v>26</x:v>
      </x:c>
      <x:c r="E42" s="18" t="n">
        <x:v>26</x:v>
      </x:c>
      <x:c r="F42" s="18" t="n">
        <x:v>72</x:v>
      </x:c>
      <x:c r="G42" s="18" t="n">
        <x:v>26</x:v>
      </x:c>
      <x:c r="H42" s="18" t="n">
        <x:v>26</x:v>
      </x:c>
      <x:c r="I42" s="18" t="n">
        <x:v>26</x:v>
      </x:c>
      <x:c r="J42" s="18" t="n">
        <x:v>482</x:v>
      </x:c>
      <x:c r="K42" s="18" t="n">
        <x:v>26</x:v>
      </x:c>
      <x:c r="L42" s="18" t="n">
        <x:v>107</x:v>
      </x:c>
      <x:c r="M42" s="18" t="n">
        <x:v>26</x:v>
      </x:c>
    </x:row>
    <x:row r="43">
      <x:c r="A43" s="22" t="str">
        <x:v>500101040</x:v>
      </x:c>
      <x:c r="B43" s="17" t="str">
        <x:v>大安區</x:v>
      </x:c>
      <x:c r="C43" s="17" t="str">
        <x:v>臺大綜合體育館停車場前</x:v>
      </x:c>
      <x:c r="D43" s="18" t="n">
        <x:v>26</x:v>
      </x:c>
      <x:c r="E43" s="18" t="n">
        <x:v>26</x:v>
      </x:c>
      <x:c r="F43" s="18" t="n">
        <x:v>196</x:v>
      </x:c>
      <x:c r="G43" s="18" t="n">
        <x:v>26</x:v>
      </x:c>
      <x:c r="H43" s="18" t="n">
        <x:v>6</x:v>
      </x:c>
      <x:c r="I43" s="18" t="n">
        <x:v>26</x:v>
      </x:c>
      <x:c r="J43" s="18" t="n">
        <x:v>243</x:v>
      </x:c>
      <x:c r="K43" s="18" t="n">
        <x:v>26</x:v>
      </x:c>
      <x:c r="L43" s="18" t="n">
        <x:v>36</x:v>
      </x:c>
      <x:c r="M43" s="18" t="n">
        <x:v>26</x:v>
      </x:c>
    </x:row>
    <x:row r="44">
      <x:c r="A44" s="22" t="str">
        <x:v>500101041</x:v>
      </x:c>
      <x:c r="B44" s="17" t="str">
        <x:v>大安區</x:v>
      </x:c>
      <x:c r="C44" s="17" t="str">
        <x:v>辛亥新生路口東南側</x:v>
      </x:c>
      <x:c r="D44" s="18" t="n">
        <x:v>26</x:v>
      </x:c>
      <x:c r="E44" s="18" t="n">
        <x:v>26</x:v>
      </x:c>
      <x:c r="F44" s="18" t="n">
        <x:v>296</x:v>
      </x:c>
      <x:c r="G44" s="18" t="n">
        <x:v>26</x:v>
      </x:c>
      <x:c r="H44" s="18" t="n">
        <x:v>15</x:v>
      </x:c>
      <x:c r="I44" s="18" t="n">
        <x:v>26</x:v>
      </x:c>
      <x:c r="J44" s="18" t="n">
        <x:v>207</x:v>
      </x:c>
      <x:c r="K44" s="18" t="n">
        <x:v>26</x:v>
      </x:c>
      <x:c r="L44" s="18" t="n">
        <x:v>41</x:v>
      </x:c>
      <x:c r="M44" s="18" t="n">
        <x:v>26</x:v>
      </x:c>
    </x:row>
    <x:row r="45">
      <x:c r="A45" s="22" t="str">
        <x:v>500101042</x:v>
      </x:c>
      <x:c r="B45" s="17" t="str">
        <x:v>大安區</x:v>
      </x:c>
      <x:c r="C45" s="17" t="str">
        <x:v>基隆長興路口東側</x:v>
      </x:c>
      <x:c r="D45" s="18" t="n">
        <x:v>26</x:v>
      </x:c>
      <x:c r="E45" s="18" t="n">
        <x:v>26</x:v>
      </x:c>
      <x:c r="F45" s="18" t="n">
        <x:v>297</x:v>
      </x:c>
      <x:c r="G45" s="18" t="n">
        <x:v>26</x:v>
      </x:c>
      <x:c r="H45" s="18" t="n">
        <x:v>36</x:v>
      </x:c>
      <x:c r="I45" s="18" t="n">
        <x:v>26</x:v>
      </x:c>
      <x:c r="J45" s="18" t="n">
        <x:v>115</x:v>
      </x:c>
      <x:c r="K45" s="18" t="n">
        <x:v>26</x:v>
      </x:c>
      <x:c r="L45" s="18" t="n">
        <x:v>19</x:v>
      </x:c>
      <x:c r="M45" s="18" t="n">
        <x:v>26</x:v>
      </x:c>
    </x:row>
    <x:row r="46">
      <x:c r="A46" s="22" t="str">
        <x:v>500101091</x:v>
      </x:c>
      <x:c r="B46" s="17" t="str">
        <x:v>大安區</x:v>
      </x:c>
      <x:c r="C46" s="17" t="str">
        <x:v>國北教大側門南側</x:v>
      </x:c>
      <x:c r="D46" s="18" t="n">
        <x:v>26</x:v>
      </x:c>
      <x:c r="E46" s="18" t="n">
        <x:v>26</x:v>
      </x:c>
      <x:c r="F46" s="18" t="n">
        <x:v>411</x:v>
      </x:c>
      <x:c r="G46" s="18" t="n">
        <x:v>26</x:v>
      </x:c>
      <x:c r="H46" s="18" t="n">
        <x:v>60</x:v>
      </x:c>
      <x:c r="I46" s="18" t="n">
        <x:v>26</x:v>
      </x:c>
      <x:c r="J46" s="18" t="n">
        <x:v>394</x:v>
      </x:c>
      <x:c r="K46" s="18" t="n">
        <x:v>26</x:v>
      </x:c>
      <x:c r="L46" s="18" t="n">
        <x:v>83</x:v>
      </x:c>
      <x:c r="M46" s="18" t="n">
        <x:v>26</x:v>
      </x:c>
    </x:row>
    <x:row r="47">
      <x:c r="A47" s="22" t="str">
        <x:v>500101092</x:v>
      </x:c>
      <x:c r="B47" s="17" t="str">
        <x:v>大安區</x:v>
      </x:c>
      <x:c r="C47" s="17" t="str">
        <x:v>和平實小東北側</x:v>
      </x:c>
      <x:c r="D47" s="18" t="n">
        <x:v>26</x:v>
      </x:c>
      <x:c r="E47" s="18" t="n">
        <x:v>26</x:v>
      </x:c>
      <x:c r="F47" s="18" t="n">
        <x:v>218</x:v>
      </x:c>
      <x:c r="G47" s="18" t="n">
        <x:v>26</x:v>
      </x:c>
      <x:c r="H47" s="18" t="n">
        <x:v>23</x:v>
      </x:c>
      <x:c r="I47" s="18" t="n">
        <x:v>26</x:v>
      </x:c>
      <x:c r="J47" s="18" t="n">
        <x:v>397</x:v>
      </x:c>
      <x:c r="K47" s="18" t="n">
        <x:v>26</x:v>
      </x:c>
      <x:c r="L47" s="18" t="n">
        <x:v>56</x:v>
      </x:c>
      <x:c r="M47" s="18" t="n">
        <x:v>26</x:v>
      </x:c>
    </x:row>
    <x:row r="48">
      <x:c r="A48" s="22" t="str">
        <x:v>500101093</x:v>
      </x:c>
      <x:c r="B48" s="17" t="str">
        <x:v>大安區</x:v>
      </x:c>
      <x:c r="C48" s="17" t="str">
        <x:v>大安區健康服務中心</x:v>
      </x:c>
      <x:c r="D48" s="18" t="n">
        <x:v>26</x:v>
      </x:c>
      <x:c r="E48" s="18" t="n">
        <x:v>26</x:v>
      </x:c>
      <x:c r="F48" s="18" t="n">
        <x:v>135</x:v>
      </x:c>
      <x:c r="G48" s="18" t="n">
        <x:v>26</x:v>
      </x:c>
      <x:c r="H48" s="18" t="n">
        <x:v>25</x:v>
      </x:c>
      <x:c r="I48" s="18" t="n">
        <x:v>26</x:v>
      </x:c>
      <x:c r="J48" s="18" t="n">
        <x:v>172</x:v>
      </x:c>
      <x:c r="K48" s="18" t="n">
        <x:v>26</x:v>
      </x:c>
      <x:c r="L48" s="18" t="n">
        <x:v>35</x:v>
      </x:c>
      <x:c r="M48" s="18" t="n">
        <x:v>26</x:v>
      </x:c>
    </x:row>
    <x:row r="49">
      <x:c r="A49" s="22" t="str">
        <x:v>500101094</x:v>
      </x:c>
      <x:c r="B49" s="17" t="str">
        <x:v>大安區</x:v>
      </x:c>
      <x:c r="C49" s="17" t="str">
        <x:v>辛亥泰順街口</x:v>
      </x:c>
      <x:c r="D49" s="18" t="n">
        <x:v>26</x:v>
      </x:c>
      <x:c r="E49" s="18" t="n">
        <x:v>26</x:v>
      </x:c>
      <x:c r="F49" s="18" t="n">
        <x:v>610</x:v>
      </x:c>
      <x:c r="G49" s="18" t="n">
        <x:v>26</x:v>
      </x:c>
      <x:c r="H49" s="18" t="n">
        <x:v>116</x:v>
      </x:c>
      <x:c r="I49" s="18" t="n">
        <x:v>26</x:v>
      </x:c>
      <x:c r="J49" s="18" t="n">
        <x:v>121</x:v>
      </x:c>
      <x:c r="K49" s="18" t="n">
        <x:v>26</x:v>
      </x:c>
      <x:c r="L49" s="18" t="n">
        <x:v>16</x:v>
      </x:c>
      <x:c r="M49" s="18" t="n">
        <x:v>26</x:v>
      </x:c>
    </x:row>
    <x:row r="50">
      <x:c r="A50" s="22" t="str">
        <x:v>500101095</x:v>
      </x:c>
      <x:c r="B50" s="17" t="str">
        <x:v>大安區</x:v>
      </x:c>
      <x:c r="C50" s="17" t="str">
        <x:v>臺北市芳和實驗中學</x:v>
      </x:c>
      <x:c r="D50" s="18" t="n">
        <x:v>26</x:v>
      </x:c>
      <x:c r="E50" s="18" t="n">
        <x:v>26</x:v>
      </x:c>
      <x:c r="F50" s="18" t="n">
        <x:v>769</x:v>
      </x:c>
      <x:c r="G50" s="18" t="n">
        <x:v>26</x:v>
      </x:c>
      <x:c r="H50" s="18" t="n">
        <x:v>64</x:v>
      </x:c>
      <x:c r="I50" s="18" t="n">
        <x:v>26</x:v>
      </x:c>
      <x:c r="J50" s="18" t="n">
        <x:v>334</x:v>
      </x:c>
      <x:c r="K50" s="18" t="n">
        <x:v>26</x:v>
      </x:c>
      <x:c r="L50" s="18" t="n">
        <x:v>45</x:v>
      </x:c>
      <x:c r="M50" s="18" t="n">
        <x:v>26</x:v>
      </x:c>
    </x:row>
    <x:row r="51">
      <x:c r="A51" s="22" t="str">
        <x:v>500101096</x:v>
      </x:c>
      <x:c r="B51" s="17" t="str">
        <x:v>大安區</x:v>
      </x:c>
      <x:c r="C51" s="17" t="str">
        <x:v>辛亥基隆路口</x:v>
      </x:c>
      <x:c r="D51" s="18" t="n">
        <x:v>26</x:v>
      </x:c>
      <x:c r="E51" s="18" t="n">
        <x:v>26</x:v>
      </x:c>
      <x:c r="F51" s="18" t="n">
        <x:v>0</x:v>
      </x:c>
      <x:c r="G51" s="18" t="n">
        <x:v>26</x:v>
      </x:c>
      <x:c r="H51" s="18" t="n">
        <x:v>0</x:v>
      </x:c>
      <x:c r="I51" s="18" t="n">
        <x:v>26</x:v>
      </x:c>
      <x:c r="J51" s="18" t="n">
        <x:v>0</x:v>
      </x:c>
      <x:c r="K51" s="18" t="n">
        <x:v>26</x:v>
      </x:c>
      <x:c r="L51" s="18" t="n">
        <x:v>0</x:v>
      </x:c>
      <x:c r="M51" s="18" t="n">
        <x:v>26</x:v>
      </x:c>
    </x:row>
    <x:row r="52">
      <x:c r="A52" s="22" t="str">
        <x:v>500101097</x:v>
      </x:c>
      <x:c r="B52" s="17" t="str">
        <x:v>大安區</x:v>
      </x:c>
      <x:c r="C52" s="17" t="str">
        <x:v>臥龍樂業街口</x:v>
      </x:c>
      <x:c r="D52" s="18" t="n">
        <x:v>26</x:v>
      </x:c>
      <x:c r="E52" s="18" t="n">
        <x:v>26</x:v>
      </x:c>
      <x:c r="F52" s="18" t="n">
        <x:v>903</x:v>
      </x:c>
      <x:c r="G52" s="18" t="n">
        <x:v>26</x:v>
      </x:c>
      <x:c r="H52" s="18" t="n">
        <x:v>199</x:v>
      </x:c>
      <x:c r="I52" s="18" t="n">
        <x:v>26</x:v>
      </x:c>
      <x:c r="J52" s="18" t="n">
        <x:v>150</x:v>
      </x:c>
      <x:c r="K52" s="18" t="n">
        <x:v>26</x:v>
      </x:c>
      <x:c r="L52" s="18" t="n">
        <x:v>27</x:v>
      </x:c>
      <x:c r="M52" s="18" t="n">
        <x:v>26</x:v>
      </x:c>
    </x:row>
    <x:row r="53">
      <x:c r="A53" s="22" t="str">
        <x:v>500101098</x:v>
      </x:c>
      <x:c r="B53" s="17" t="str">
        <x:v>大安區</x:v>
      </x:c>
      <x:c r="C53" s="17" t="str">
        <x:v>臥龍公園</x:v>
      </x:c>
      <x:c r="D53" s="18" t="n">
        <x:v>26</x:v>
      </x:c>
      <x:c r="E53" s="18" t="n">
        <x:v>26</x:v>
      </x:c>
      <x:c r="F53" s="18" t="n">
        <x:v>273</x:v>
      </x:c>
      <x:c r="G53" s="18" t="n">
        <x:v>26</x:v>
      </x:c>
      <x:c r="H53" s="18" t="n">
        <x:v>17</x:v>
      </x:c>
      <x:c r="I53" s="18" t="n">
        <x:v>26</x:v>
      </x:c>
      <x:c r="J53" s="18" t="n">
        <x:v>151</x:v>
      </x:c>
      <x:c r="K53" s="18" t="n">
        <x:v>26</x:v>
      </x:c>
      <x:c r="L53" s="18" t="n">
        <x:v>30</x:v>
      </x:c>
      <x:c r="M53" s="18" t="n">
        <x:v>26</x:v>
      </x:c>
    </x:row>
    <x:row r="54">
      <x:c r="A54" s="22" t="str">
        <x:v>500101099</x:v>
      </x:c>
      <x:c r="B54" s="17" t="str">
        <x:v>大安區</x:v>
      </x:c>
      <x:c r="C54" s="17" t="str">
        <x:v>嘉興公園</x:v>
      </x:c>
      <x:c r="D54" s="18" t="n">
        <x:v>26</x:v>
      </x:c>
      <x:c r="E54" s="18" t="n">
        <x:v>26</x:v>
      </x:c>
      <x:c r="F54" s="18" t="n">
        <x:v>1454</x:v>
      </x:c>
      <x:c r="G54" s="18" t="n">
        <x:v>26</x:v>
      </x:c>
      <x:c r="H54" s="18" t="n">
        <x:v>139</x:v>
      </x:c>
      <x:c r="I54" s="18" t="n">
        <x:v>26</x:v>
      </x:c>
      <x:c r="J54" s="18" t="n">
        <x:v>109</x:v>
      </x:c>
      <x:c r="K54" s="18" t="n">
        <x:v>26</x:v>
      </x:c>
      <x:c r="L54" s="18" t="n">
        <x:v>44</x:v>
      </x:c>
      <x:c r="M54" s="18" t="n">
        <x:v>26</x:v>
      </x:c>
    </x:row>
    <x:row r="55">
      <x:c r="A55" s="22" t="str">
        <x:v>500101100</x:v>
      </x:c>
      <x:c r="B55" s="17" t="str">
        <x:v>大安區</x:v>
      </x:c>
      <x:c r="C55" s="17" t="str">
        <x:v>捷運麟光站(2號出口)</x:v>
      </x:c>
      <x:c r="D55" s="18" t="n">
        <x:v>26</x:v>
      </x:c>
      <x:c r="E55" s="18" t="n">
        <x:v>26</x:v>
      </x:c>
      <x:c r="F55" s="18" t="n">
        <x:v>532</x:v>
      </x:c>
      <x:c r="G55" s="18" t="n">
        <x:v>26</x:v>
      </x:c>
      <x:c r="H55" s="18" t="n">
        <x:v>107</x:v>
      </x:c>
      <x:c r="I55" s="18" t="n">
        <x:v>26</x:v>
      </x:c>
      <x:c r="J55" s="18" t="n">
        <x:v>319</x:v>
      </x:c>
      <x:c r="K55" s="18" t="n">
        <x:v>26</x:v>
      </x:c>
      <x:c r="L55" s="18" t="n">
        <x:v>40</x:v>
      </x:c>
      <x:c r="M55" s="18" t="n">
        <x:v>26</x:v>
      </x:c>
    </x:row>
    <x:row r="56">
      <x:c r="A56" s="22" t="str">
        <x:v>500101101</x:v>
      </x:c>
      <x:c r="B56" s="17" t="str">
        <x:v>大安區</x:v>
      </x:c>
      <x:c r="C56" s="17" t="str">
        <x:v>捷運六張犁站</x:v>
      </x:c>
      <x:c r="D56" s="18" t="n">
        <x:v>26</x:v>
      </x:c>
      <x:c r="E56" s="18" t="n">
        <x:v>26</x:v>
      </x:c>
      <x:c r="F56" s="18" t="n">
        <x:v>589</x:v>
      </x:c>
      <x:c r="G56" s="18" t="n">
        <x:v>26</x:v>
      </x:c>
      <x:c r="H56" s="18" t="n">
        <x:v>56</x:v>
      </x:c>
      <x:c r="I56" s="18" t="n">
        <x:v>26</x:v>
      </x:c>
      <x:c r="J56" s="18" t="n">
        <x:v>246</x:v>
      </x:c>
      <x:c r="K56" s="18" t="n">
        <x:v>26</x:v>
      </x:c>
      <x:c r="L56" s="18" t="n">
        <x:v>89</x:v>
      </x:c>
      <x:c r="M56" s="18" t="n">
        <x:v>26</x:v>
      </x:c>
    </x:row>
    <x:row r="57">
      <x:c r="A57" s="22" t="str">
        <x:v>500101102</x:v>
      </x:c>
      <x:c r="B57" s="17" t="str">
        <x:v>大安區</x:v>
      </x:c>
      <x:c r="C57" s="17" t="str">
        <x:v>喬治工商</x:v>
      </x:c>
      <x:c r="D57" s="18" t="n">
        <x:v>26</x:v>
      </x:c>
      <x:c r="E57" s="18" t="n">
        <x:v>26</x:v>
      </x:c>
      <x:c r="F57" s="18" t="n">
        <x:v>367</x:v>
      </x:c>
      <x:c r="G57" s="18" t="n">
        <x:v>26</x:v>
      </x:c>
      <x:c r="H57" s="18" t="n">
        <x:v>70</x:v>
      </x:c>
      <x:c r="I57" s="18" t="n">
        <x:v>26</x:v>
      </x:c>
      <x:c r="J57" s="18" t="n">
        <x:v>139</x:v>
      </x:c>
      <x:c r="K57" s="18" t="n">
        <x:v>26</x:v>
      </x:c>
      <x:c r="L57" s="18" t="n">
        <x:v>37</x:v>
      </x:c>
      <x:c r="M57" s="18" t="n">
        <x:v>26</x:v>
      </x:c>
    </x:row>
    <x:row r="58">
      <x:c r="A58" s="22" t="str">
        <x:v>500101103</x:v>
      </x:c>
      <x:c r="B58" s="17" t="str">
        <x:v>大安區</x:v>
      </x:c>
      <x:c r="C58" s="17" t="str">
        <x:v>法治公園</x:v>
      </x:c>
      <x:c r="D58" s="18" t="n">
        <x:v>26</x:v>
      </x:c>
      <x:c r="E58" s="18" t="n">
        <x:v>26</x:v>
      </x:c>
      <x:c r="F58" s="18" t="n">
        <x:v>957</x:v>
      </x:c>
      <x:c r="G58" s="18" t="n">
        <x:v>26</x:v>
      </x:c>
      <x:c r="H58" s="18" t="n">
        <x:v>119</x:v>
      </x:c>
      <x:c r="I58" s="18" t="n">
        <x:v>26</x:v>
      </x:c>
      <x:c r="J58" s="18" t="n">
        <x:v>85</x:v>
      </x:c>
      <x:c r="K58" s="18" t="n">
        <x:v>26</x:v>
      </x:c>
      <x:c r="L58" s="18" t="n">
        <x:v>36</x:v>
      </x:c>
      <x:c r="M58" s="18" t="n">
        <x:v>26</x:v>
      </x:c>
    </x:row>
    <x:row r="59">
      <x:c r="A59" s="22" t="str">
        <x:v>500101104</x:v>
      </x:c>
      <x:c r="B59" s="17" t="str">
        <x:v>大安區</x:v>
      </x:c>
      <x:c r="C59" s="17" t="str">
        <x:v>捷運臺電大樓站(2號出口)</x:v>
      </x:c>
      <x:c r="D59" s="18" t="n">
        <x:v>26</x:v>
      </x:c>
      <x:c r="E59" s="18" t="n">
        <x:v>26</x:v>
      </x:c>
      <x:c r="F59" s="18" t="n">
        <x:v>171</x:v>
      </x:c>
      <x:c r="G59" s="18" t="n">
        <x:v>26</x:v>
      </x:c>
      <x:c r="H59" s="18" t="n">
        <x:v>25</x:v>
      </x:c>
      <x:c r="I59" s="18" t="n">
        <x:v>26</x:v>
      </x:c>
      <x:c r="J59" s="18" t="n">
        <x:v>107</x:v>
      </x:c>
      <x:c r="K59" s="18" t="n">
        <x:v>26</x:v>
      </x:c>
      <x:c r="L59" s="18" t="n">
        <x:v>13</x:v>
      </x:c>
      <x:c r="M59" s="18" t="n">
        <x:v>26</x:v>
      </x:c>
    </x:row>
    <x:row r="60">
      <x:c r="A60" s="22" t="str">
        <x:v>500101105</x:v>
      </x:c>
      <x:c r="B60" s="17" t="str">
        <x:v>大安區</x:v>
      </x:c>
      <x:c r="C60" s="17" t="str">
        <x:v>和平金山路口</x:v>
      </x:c>
      <x:c r="D60" s="18" t="n">
        <x:v>26</x:v>
      </x:c>
      <x:c r="E60" s="18" t="n">
        <x:v>26</x:v>
      </x:c>
      <x:c r="F60" s="18" t="n">
        <x:v>217</x:v>
      </x:c>
      <x:c r="G60" s="18" t="n">
        <x:v>26</x:v>
      </x:c>
      <x:c r="H60" s="18" t="n">
        <x:v>41</x:v>
      </x:c>
      <x:c r="I60" s="18" t="n">
        <x:v>26</x:v>
      </x:c>
      <x:c r="J60" s="18" t="n">
        <x:v>128</x:v>
      </x:c>
      <x:c r="K60" s="18" t="n">
        <x:v>26</x:v>
      </x:c>
      <x:c r="L60" s="18" t="n">
        <x:v>33</x:v>
      </x:c>
      <x:c r="M60" s="18" t="n">
        <x:v>26</x:v>
      </x:c>
    </x:row>
    <x:row r="61">
      <x:c r="A61" s="22" t="str">
        <x:v>500101106</x:v>
      </x:c>
      <x:c r="B61" s="17" t="str">
        <x:v>大安區</x:v>
      </x:c>
      <x:c r="C61" s="17" t="str">
        <x:v>捷運古亭站(4號出口)</x:v>
      </x:c>
      <x:c r="D61" s="18" t="n">
        <x:v>26</x:v>
      </x:c>
      <x:c r="E61" s="18" t="n">
        <x:v>26</x:v>
      </x:c>
      <x:c r="F61" s="18" t="n">
        <x:v>0</x:v>
      </x:c>
      <x:c r="G61" s="18" t="n">
        <x:v>26</x:v>
      </x:c>
      <x:c r="H61" s="18" t="n">
        <x:v>0</x:v>
      </x:c>
      <x:c r="I61" s="18" t="n">
        <x:v>26</x:v>
      </x:c>
      <x:c r="J61" s="18" t="n">
        <x:v>0</x:v>
      </x:c>
      <x:c r="K61" s="18" t="n">
        <x:v>26</x:v>
      </x:c>
      <x:c r="L61" s="18" t="n">
        <x:v>0</x:v>
      </x:c>
      <x:c r="M61" s="18" t="n">
        <x:v>26</x:v>
      </x:c>
    </x:row>
    <x:row r="62">
      <x:c r="A62" s="22" t="str">
        <x:v>500101107</x:v>
      </x:c>
      <x:c r="B62" s="17" t="str">
        <x:v>大安區</x:v>
      </x:c>
      <x:c r="C62" s="17" t="str">
        <x:v>和平龍泉街口</x:v>
      </x:c>
      <x:c r="D62" s="18" t="n">
        <x:v>26</x:v>
      </x:c>
      <x:c r="E62" s="18" t="n">
        <x:v>26</x:v>
      </x:c>
      <x:c r="F62" s="18" t="n">
        <x:v>808</x:v>
      </x:c>
      <x:c r="G62" s="18" t="n">
        <x:v>26</x:v>
      </x:c>
      <x:c r="H62" s="18" t="n">
        <x:v>82</x:v>
      </x:c>
      <x:c r="I62" s="18" t="n">
        <x:v>26</x:v>
      </x:c>
      <x:c r="J62" s="18" t="n">
        <x:v>258</x:v>
      </x:c>
      <x:c r="K62" s="18" t="n">
        <x:v>26</x:v>
      </x:c>
      <x:c r="L62" s="18" t="n">
        <x:v>67</x:v>
      </x:c>
      <x:c r="M62" s="18" t="n">
        <x:v>26</x:v>
      </x:c>
    </x:row>
    <x:row r="63">
      <x:c r="A63" s="22" t="str">
        <x:v>500101108</x:v>
      </x:c>
      <x:c r="B63" s="17" t="str">
        <x:v>大安區</x:v>
      </x:c>
      <x:c r="C63" s="17" t="str">
        <x:v>和平泰順街口</x:v>
      </x:c>
      <x:c r="D63" s="18" t="n">
        <x:v>26</x:v>
      </x:c>
      <x:c r="E63" s="18" t="n">
        <x:v>26</x:v>
      </x:c>
      <x:c r="F63" s="18" t="n">
        <x:v>602</x:v>
      </x:c>
      <x:c r="G63" s="18" t="n">
        <x:v>26</x:v>
      </x:c>
      <x:c r="H63" s="18" t="n">
        <x:v>74</x:v>
      </x:c>
      <x:c r="I63" s="18" t="n">
        <x:v>26</x:v>
      </x:c>
      <x:c r="J63" s="18" t="n">
        <x:v>116</x:v>
      </x:c>
      <x:c r="K63" s="18" t="n">
        <x:v>26</x:v>
      </x:c>
      <x:c r="L63" s="18" t="n">
        <x:v>23</x:v>
      </x:c>
      <x:c r="M63" s="18" t="n">
        <x:v>26</x:v>
      </x:c>
    </x:row>
    <x:row r="64">
      <x:c r="A64" s="22" t="str">
        <x:v>500101109</x:v>
      </x:c>
      <x:c r="B64" s="17" t="str">
        <x:v>大安區</x:v>
      </x:c>
      <x:c r="C64" s="17" t="str">
        <x:v>臺灣師範大學(圖書館)</x:v>
      </x:c>
      <x:c r="D64" s="18" t="n">
        <x:v>26</x:v>
      </x:c>
      <x:c r="E64" s="18" t="n">
        <x:v>26</x:v>
      </x:c>
      <x:c r="F64" s="18" t="n">
        <x:v>334</x:v>
      </x:c>
      <x:c r="G64" s="18" t="n">
        <x:v>26</x:v>
      </x:c>
      <x:c r="H64" s="18" t="n">
        <x:v>75</x:v>
      </x:c>
      <x:c r="I64" s="18" t="n">
        <x:v>26</x:v>
      </x:c>
      <x:c r="J64" s="18" t="n">
        <x:v>345</x:v>
      </x:c>
      <x:c r="K64" s="18" t="n">
        <x:v>26</x:v>
      </x:c>
      <x:c r="L64" s="18" t="n">
        <x:v>108</x:v>
      </x:c>
      <x:c r="M64" s="18" t="n">
        <x:v>26</x:v>
      </x:c>
    </x:row>
    <x:row r="65">
      <x:c r="A65" s="22" t="str">
        <x:v>500101110</x:v>
      </x:c>
      <x:c r="B65" s="17" t="str">
        <x:v>大安區</x:v>
      </x:c>
      <x:c r="C65" s="17" t="str">
        <x:v>捷運古亭站(6號出口)</x:v>
      </x:c>
      <x:c r="D65" s="18" t="n">
        <x:v>26</x:v>
      </x:c>
      <x:c r="E65" s="18" t="n">
        <x:v>26</x:v>
      </x:c>
      <x:c r="F65" s="18" t="n">
        <x:v>583</x:v>
      </x:c>
      <x:c r="G65" s="18" t="n">
        <x:v>26</x:v>
      </x:c>
      <x:c r="H65" s="18" t="n">
        <x:v>58</x:v>
      </x:c>
      <x:c r="I65" s="18" t="n">
        <x:v>26</x:v>
      </x:c>
      <x:c r="J65" s="18" t="n">
        <x:v>344</x:v>
      </x:c>
      <x:c r="K65" s="18" t="n">
        <x:v>26</x:v>
      </x:c>
      <x:c r="L65" s="18" t="n">
        <x:v>68</x:v>
      </x:c>
      <x:c r="M65" s="18" t="n">
        <x:v>26</x:v>
      </x:c>
    </x:row>
    <x:row r="66">
      <x:c r="A66" s="22" t="str">
        <x:v>500101111</x:v>
      </x:c>
      <x:c r="B66" s="17" t="str">
        <x:v>大安區</x:v>
      </x:c>
      <x:c r="C66" s="17" t="str">
        <x:v>捷運古亭站(5號出口)</x:v>
      </x:c>
      <x:c r="D66" s="18" t="n">
        <x:v>26</x:v>
      </x:c>
      <x:c r="E66" s="18" t="n">
        <x:v>26</x:v>
      </x:c>
      <x:c r="F66" s="18" t="n">
        <x:v>0</x:v>
      </x:c>
      <x:c r="G66" s="18" t="n">
        <x:v>26</x:v>
      </x:c>
      <x:c r="H66" s="18" t="n">
        <x:v>0</x:v>
      </x:c>
      <x:c r="I66" s="18" t="n">
        <x:v>26</x:v>
      </x:c>
      <x:c r="J66" s="18" t="n">
        <x:v>0</x:v>
      </x:c>
      <x:c r="K66" s="18" t="n">
        <x:v>26</x:v>
      </x:c>
      <x:c r="L66" s="18" t="n">
        <x:v>0</x:v>
      </x:c>
      <x:c r="M66" s="18" t="n">
        <x:v>26</x:v>
      </x:c>
    </x:row>
    <x:row r="67">
      <x:c r="A67" s="22" t="str">
        <x:v>500101112</x:v>
      </x:c>
      <x:c r="B67" s="17" t="str">
        <x:v>大安區</x:v>
      </x:c>
      <x:c r="C67" s="17" t="str">
        <x:v>和平東路一段41巷口</x:v>
      </x:c>
      <x:c r="D67" s="18" t="n">
        <x:v>26</x:v>
      </x:c>
      <x:c r="E67" s="18" t="n">
        <x:v>26</x:v>
      </x:c>
      <x:c r="F67" s="18" t="n">
        <x:v>0</x:v>
      </x:c>
      <x:c r="G67" s="18" t="n">
        <x:v>26</x:v>
      </x:c>
      <x:c r="H67" s="18" t="n">
        <x:v>0</x:v>
      </x:c>
      <x:c r="I67" s="18" t="n">
        <x:v>26</x:v>
      </x:c>
      <x:c r="J67" s="18" t="n">
        <x:v>0</x:v>
      </x:c>
      <x:c r="K67" s="18" t="n">
        <x:v>26</x:v>
      </x:c>
      <x:c r="L67" s="18" t="n">
        <x:v>0</x:v>
      </x:c>
      <x:c r="M67" s="18" t="n">
        <x:v>26</x:v>
      </x:c>
    </x:row>
    <x:row r="68">
      <x:c r="A68" s="22" t="str">
        <x:v>500101113</x:v>
      </x:c>
      <x:c r="B68" s="17" t="str">
        <x:v>大安區</x:v>
      </x:c>
      <x:c r="C68" s="17" t="str">
        <x:v>臺北市立圖書館(總館)</x:v>
      </x:c>
      <x:c r="D68" s="18" t="n">
        <x:v>26</x:v>
      </x:c>
      <x:c r="E68" s="18" t="n">
        <x:v>26</x:v>
      </x:c>
      <x:c r="F68" s="18" t="n">
        <x:v>1466</x:v>
      </x:c>
      <x:c r="G68" s="18" t="n">
        <x:v>26</x:v>
      </x:c>
      <x:c r="H68" s="18" t="n">
        <x:v>179</x:v>
      </x:c>
      <x:c r="I68" s="18" t="n">
        <x:v>26</x:v>
      </x:c>
      <x:c r="J68" s="18" t="n">
        <x:v>462</x:v>
      </x:c>
      <x:c r="K68" s="18" t="n">
        <x:v>26</x:v>
      </x:c>
      <x:c r="L68" s="18" t="n">
        <x:v>92</x:v>
      </x:c>
      <x:c r="M68" s="18" t="n">
        <x:v>26</x:v>
      </x:c>
    </x:row>
    <x:row r="69">
      <x:c r="A69" s="22" t="str">
        <x:v>500101114</x:v>
      </x:c>
      <x:c r="B69" s="17" t="str">
        <x:v>大安區</x:v>
      </x:c>
      <x:c r="C69" s="17" t="str">
        <x:v>新生和平路口東北側</x:v>
      </x:c>
      <x:c r="D69" s="18" t="n">
        <x:v>26</x:v>
      </x:c>
      <x:c r="E69" s="18" t="n">
        <x:v>26</x:v>
      </x:c>
      <x:c r="F69" s="18" t="n">
        <x:v>263</x:v>
      </x:c>
      <x:c r="G69" s="18" t="n">
        <x:v>26</x:v>
      </x:c>
      <x:c r="H69" s="18" t="n">
        <x:v>67</x:v>
      </x:c>
      <x:c r="I69" s="18" t="n">
        <x:v>26</x:v>
      </x:c>
      <x:c r="J69" s="18" t="n">
        <x:v>231</x:v>
      </x:c>
      <x:c r="K69" s="18" t="n">
        <x:v>26</x:v>
      </x:c>
      <x:c r="L69" s="18" t="n">
        <x:v>55</x:v>
      </x:c>
      <x:c r="M69" s="18" t="n">
        <x:v>26</x:v>
      </x:c>
    </x:row>
    <x:row r="70">
      <x:c r="A70" s="22" t="str">
        <x:v>500101115</x:v>
      </x:c>
      <x:c r="B70" s="17" t="str">
        <x:v>大安區</x:v>
      </x:c>
      <x:c r="C70" s="17" t="str">
        <x:v>建國和平路口西北側</x:v>
      </x:c>
      <x:c r="D70" s="18" t="n">
        <x:v>26</x:v>
      </x:c>
      <x:c r="E70" s="18" t="n">
        <x:v>26</x:v>
      </x:c>
      <x:c r="F70" s="18" t="n">
        <x:v>236</x:v>
      </x:c>
      <x:c r="G70" s="18" t="n">
        <x:v>26</x:v>
      </x:c>
      <x:c r="H70" s="18" t="n">
        <x:v>84</x:v>
      </x:c>
      <x:c r="I70" s="18" t="n">
        <x:v>26</x:v>
      </x:c>
      <x:c r="J70" s="18" t="n">
        <x:v>440</x:v>
      </x:c>
      <x:c r="K70" s="18" t="n">
        <x:v>26</x:v>
      </x:c>
      <x:c r="L70" s="18" t="n">
        <x:v>75</x:v>
      </x:c>
      <x:c r="M70" s="18" t="n">
        <x:v>26</x:v>
      </x:c>
    </x:row>
    <x:row r="71">
      <x:c r="A71" s="22" t="str">
        <x:v>500101116</x:v>
      </x:c>
      <x:c r="B71" s="17" t="str">
        <x:v>大安區</x:v>
      </x:c>
      <x:c r="C71" s="17" t="str">
        <x:v>金華公園</x:v>
      </x:c>
      <x:c r="D71" s="18" t="n">
        <x:v>26</x:v>
      </x:c>
      <x:c r="E71" s="18" t="n">
        <x:v>26</x:v>
      </x:c>
      <x:c r="F71" s="18" t="n">
        <x:v>612</x:v>
      </x:c>
      <x:c r="G71" s="18" t="n">
        <x:v>26</x:v>
      </x:c>
      <x:c r="H71" s="18" t="n">
        <x:v>67</x:v>
      </x:c>
      <x:c r="I71" s="18" t="n">
        <x:v>26</x:v>
      </x:c>
      <x:c r="J71" s="18" t="n">
        <x:v>276</x:v>
      </x:c>
      <x:c r="K71" s="18" t="n">
        <x:v>26</x:v>
      </x:c>
      <x:c r="L71" s="18" t="n">
        <x:v>55</x:v>
      </x:c>
      <x:c r="M71" s="18" t="n">
        <x:v>26</x:v>
      </x:c>
    </x:row>
    <x:row r="72">
      <x:c r="A72" s="22" t="str">
        <x:v>500101117</x:v>
      </x:c>
      <x:c r="B72" s="17" t="str">
        <x:v>大安區</x:v>
      </x:c>
      <x:c r="C72" s="17" t="str">
        <x:v>捷運東門站(3號出口)</x:v>
      </x:c>
      <x:c r="D72" s="18" t="n">
        <x:v>26</x:v>
      </x:c>
      <x:c r="E72" s="18" t="n">
        <x:v>26</x:v>
      </x:c>
      <x:c r="F72" s="18" t="n">
        <x:v>0</x:v>
      </x:c>
      <x:c r="G72" s="18" t="n">
        <x:v>26</x:v>
      </x:c>
      <x:c r="H72" s="18" t="n">
        <x:v>0</x:v>
      </x:c>
      <x:c r="I72" s="18" t="n">
        <x:v>26</x:v>
      </x:c>
      <x:c r="J72" s="18" t="n">
        <x:v>0</x:v>
      </x:c>
      <x:c r="K72" s="18" t="n">
        <x:v>26</x:v>
      </x:c>
      <x:c r="L72" s="18" t="n">
        <x:v>0</x:v>
      </x:c>
      <x:c r="M72" s="18" t="n">
        <x:v>26</x:v>
      </x:c>
    </x:row>
    <x:row r="73">
      <x:c r="A73" s="22" t="str">
        <x:v>500101118</x:v>
      </x:c>
      <x:c r="B73" s="17" t="str">
        <x:v>大安區</x:v>
      </x:c>
      <x:c r="C73" s="17" t="str">
        <x:v>金甌女中</x:v>
      </x:c>
      <x:c r="D73" s="18" t="n">
        <x:v>26</x:v>
      </x:c>
      <x:c r="E73" s="18" t="n">
        <x:v>26</x:v>
      </x:c>
      <x:c r="F73" s="18" t="n">
        <x:v>141</x:v>
      </x:c>
      <x:c r="G73" s="18" t="n">
        <x:v>26</x:v>
      </x:c>
      <x:c r="H73" s="18" t="n">
        <x:v>25</x:v>
      </x:c>
      <x:c r="I73" s="18" t="n">
        <x:v>26</x:v>
      </x:c>
      <x:c r="J73" s="18" t="n">
        <x:v>162</x:v>
      </x:c>
      <x:c r="K73" s="18" t="n">
        <x:v>26</x:v>
      </x:c>
      <x:c r="L73" s="18" t="n">
        <x:v>24</x:v>
      </x:c>
      <x:c r="M73" s="18" t="n">
        <x:v>26</x:v>
      </x:c>
    </x:row>
    <x:row r="74">
      <x:c r="A74" s="22" t="str">
        <x:v>500101119</x:v>
      </x:c>
      <x:c r="B74" s="17" t="str">
        <x:v>大安區</x:v>
      </x:c>
      <x:c r="C74" s="17" t="str">
        <x:v>金杭公園</x:v>
      </x:c>
      <x:c r="D74" s="18" t="n">
        <x:v>26</x:v>
      </x:c>
      <x:c r="E74" s="18" t="n">
        <x:v>26</x:v>
      </x:c>
      <x:c r="F74" s="18" t="n">
        <x:v>265</x:v>
      </x:c>
      <x:c r="G74" s="18" t="n">
        <x:v>26</x:v>
      </x:c>
      <x:c r="H74" s="18" t="n">
        <x:v>51</x:v>
      </x:c>
      <x:c r="I74" s="18" t="n">
        <x:v>26</x:v>
      </x:c>
      <x:c r="J74" s="18" t="n">
        <x:v>121</x:v>
      </x:c>
      <x:c r="K74" s="18" t="n">
        <x:v>26</x:v>
      </x:c>
      <x:c r="L74" s="18" t="n">
        <x:v>22</x:v>
      </x:c>
      <x:c r="M74" s="18" t="n">
        <x:v>26</x:v>
      </x:c>
    </x:row>
    <x:row r="75">
      <x:c r="A75" s="22" t="str">
        <x:v>500101120</x:v>
      </x:c>
      <x:c r="B75" s="17" t="str">
        <x:v>大安區</x:v>
      </x:c>
      <x:c r="C75" s="17" t="str">
        <x:v>愛國金山路口</x:v>
      </x:c>
      <x:c r="D75" s="18" t="n">
        <x:v>26</x:v>
      </x:c>
      <x:c r="E75" s="18" t="n">
        <x:v>26</x:v>
      </x:c>
      <x:c r="F75" s="18" t="n">
        <x:v>176</x:v>
      </x:c>
      <x:c r="G75" s="18" t="n">
        <x:v>26</x:v>
      </x:c>
      <x:c r="H75" s="18" t="n">
        <x:v>27</x:v>
      </x:c>
      <x:c r="I75" s="18" t="n">
        <x:v>26</x:v>
      </x:c>
      <x:c r="J75" s="18" t="n">
        <x:v>311</x:v>
      </x:c>
      <x:c r="K75" s="18" t="n">
        <x:v>26</x:v>
      </x:c>
      <x:c r="L75" s="18" t="n">
        <x:v>31</x:v>
      </x:c>
      <x:c r="M75" s="18" t="n">
        <x:v>26</x:v>
      </x:c>
    </x:row>
    <x:row r="76">
      <x:c r="A76" s="22" t="str">
        <x:v>500101122</x:v>
      </x:c>
      <x:c r="B76" s="17" t="str">
        <x:v>大安區</x:v>
      </x:c>
      <x:c r="C76" s="17" t="str">
        <x:v>敦化南路二段293巷口南側</x:v>
      </x:c>
      <x:c r="D76" s="18" t="n">
        <x:v>26</x:v>
      </x:c>
      <x:c r="E76" s="18" t="n">
        <x:v>26</x:v>
      </x:c>
      <x:c r="F76" s="18" t="n">
        <x:v>146</x:v>
      </x:c>
      <x:c r="G76" s="18" t="n">
        <x:v>26</x:v>
      </x:c>
      <x:c r="H76" s="18" t="n">
        <x:v>34</x:v>
      </x:c>
      <x:c r="I76" s="18" t="n">
        <x:v>26</x:v>
      </x:c>
      <x:c r="J76" s="18" t="n">
        <x:v>134</x:v>
      </x:c>
      <x:c r="K76" s="18" t="n">
        <x:v>26</x:v>
      </x:c>
      <x:c r="L76" s="18" t="n">
        <x:v>37</x:v>
      </x:c>
      <x:c r="M76" s="18" t="n">
        <x:v>26</x:v>
      </x:c>
    </x:row>
    <x:row r="77">
      <x:c r="A77" s="22" t="str">
        <x:v>500101123</x:v>
      </x:c>
      <x:c r="B77" s="17" t="str">
        <x:v>大安區</x:v>
      </x:c>
      <x:c r="C77" s="17" t="str">
        <x:v>敦化基隆路口</x:v>
      </x:c>
      <x:c r="D77" s="18" t="n">
        <x:v>26</x:v>
      </x:c>
      <x:c r="E77" s="18" t="n">
        <x:v>26</x:v>
      </x:c>
      <x:c r="F77" s="18" t="n">
        <x:v>222</x:v>
      </x:c>
      <x:c r="G77" s="18" t="n">
        <x:v>26</x:v>
      </x:c>
      <x:c r="H77" s="18" t="n">
        <x:v>63</x:v>
      </x:c>
      <x:c r="I77" s="18" t="n">
        <x:v>26</x:v>
      </x:c>
      <x:c r="J77" s="18" t="n">
        <x:v>1830</x:v>
      </x:c>
      <x:c r="K77" s="18" t="n">
        <x:v>26</x:v>
      </x:c>
      <x:c r="L77" s="18" t="n">
        <x:v>75</x:v>
      </x:c>
      <x:c r="M77" s="18" t="n">
        <x:v>26</x:v>
      </x:c>
    </x:row>
    <x:row r="78">
      <x:c r="A78" s="22" t="str">
        <x:v>500101124</x:v>
      </x:c>
      <x:c r="B78" s="17" t="str">
        <x:v>大安區</x:v>
      </x:c>
      <x:c r="C78" s="17" t="str">
        <x:v>安和路二段181巷口</x:v>
      </x:c>
      <x:c r="D78" s="18" t="n">
        <x:v>26</x:v>
      </x:c>
      <x:c r="E78" s="18" t="n">
        <x:v>26</x:v>
      </x:c>
      <x:c r="F78" s="18" t="n">
        <x:v>212</x:v>
      </x:c>
      <x:c r="G78" s="18" t="n">
        <x:v>26</x:v>
      </x:c>
      <x:c r="H78" s="18" t="n">
        <x:v>70</x:v>
      </x:c>
      <x:c r="I78" s="18" t="n">
        <x:v>26</x:v>
      </x:c>
      <x:c r="J78" s="18" t="n">
        <x:v>213</x:v>
      </x:c>
      <x:c r="K78" s="18" t="n">
        <x:v>26</x:v>
      </x:c>
      <x:c r="L78" s="18" t="n">
        <x:v>59</x:v>
      </x:c>
      <x:c r="M78" s="18" t="n">
        <x:v>26</x:v>
      </x:c>
    </x:row>
    <x:row r="79">
      <x:c r="A79" s="22" t="str">
        <x:v>500101125</x:v>
      </x:c>
      <x:c r="B79" s="17" t="str">
        <x:v>大安區</x:v>
      </x:c>
      <x:c r="C79" s="17" t="str">
        <x:v>臨江街夜市(通化街101巷口)</x:v>
      </x:c>
      <x:c r="D79" s="18" t="n">
        <x:v>26</x:v>
      </x:c>
      <x:c r="E79" s="18" t="n">
        <x:v>26</x:v>
      </x:c>
      <x:c r="F79" s="18" t="n">
        <x:v>1143</x:v>
      </x:c>
      <x:c r="G79" s="18" t="n">
        <x:v>26</x:v>
      </x:c>
      <x:c r="H79" s="18" t="n">
        <x:v>53</x:v>
      </x:c>
      <x:c r="I79" s="18" t="n">
        <x:v>26</x:v>
      </x:c>
      <x:c r="J79" s="18" t="n">
        <x:v>170</x:v>
      </x:c>
      <x:c r="K79" s="18" t="n">
        <x:v>26</x:v>
      </x:c>
      <x:c r="L79" s="18" t="n">
        <x:v>37</x:v>
      </x:c>
      <x:c r="M79" s="18" t="n">
        <x:v>26</x:v>
      </x:c>
    </x:row>
    <x:row r="80">
      <x:c r="A80" s="22" t="str">
        <x:v>500101126</x:v>
      </x:c>
      <x:c r="B80" s="17" t="str">
        <x:v>大安區</x:v>
      </x:c>
      <x:c r="C80" s="17" t="str">
        <x:v>臨江街夜市(基隆路)</x:v>
      </x:c>
      <x:c r="D80" s="18" t="n">
        <x:v>26</x:v>
      </x:c>
      <x:c r="E80" s="18" t="n">
        <x:v>26</x:v>
      </x:c>
      <x:c r="F80" s="18" t="n">
        <x:v>424</x:v>
      </x:c>
      <x:c r="G80" s="18" t="n">
        <x:v>26</x:v>
      </x:c>
      <x:c r="H80" s="18" t="n">
        <x:v>108</x:v>
      </x:c>
      <x:c r="I80" s="18" t="n">
        <x:v>26</x:v>
      </x:c>
      <x:c r="J80" s="18" t="n">
        <x:v>111</x:v>
      </x:c>
      <x:c r="K80" s="18" t="n">
        <x:v>26</x:v>
      </x:c>
      <x:c r="L80" s="18" t="n">
        <x:v>33</x:v>
      </x:c>
      <x:c r="M80" s="18" t="n">
        <x:v>26</x:v>
      </x:c>
    </x:row>
    <x:row r="81">
      <x:c r="A81" s="22" t="str">
        <x:v>500101127</x:v>
      </x:c>
      <x:c r="B81" s="17" t="str">
        <x:v>大安區</x:v>
      </x:c>
      <x:c r="C81" s="17" t="str">
        <x:v>台北科技大學億光大樓</x:v>
      </x:c>
      <x:c r="D81" s="18" t="n">
        <x:v>26</x:v>
      </x:c>
      <x:c r="E81" s="18" t="n">
        <x:v>26</x:v>
      </x:c>
      <x:c r="F81" s="18" t="n">
        <x:v>485</x:v>
      </x:c>
      <x:c r="G81" s="18" t="n">
        <x:v>26</x:v>
      </x:c>
      <x:c r="H81" s="18" t="n">
        <x:v>59</x:v>
      </x:c>
      <x:c r="I81" s="18" t="n">
        <x:v>26</x:v>
      </x:c>
      <x:c r="J81" s="18" t="n">
        <x:v>1025</x:v>
      </x:c>
      <x:c r="K81" s="18" t="n">
        <x:v>26</x:v>
      </x:c>
      <x:c r="L81" s="18" t="n">
        <x:v>95</x:v>
      </x:c>
      <x:c r="M81" s="18" t="n">
        <x:v>26</x:v>
      </x:c>
    </x:row>
    <x:row r="82">
      <x:c r="A82" s="22" t="str">
        <x:v>500101128</x:v>
      </x:c>
      <x:c r="B82" s="17" t="str">
        <x:v>大安區</x:v>
      </x:c>
      <x:c r="C82" s="17" t="str">
        <x:v>新生南路一段119巷口</x:v>
      </x:c>
      <x:c r="D82" s="18" t="n">
        <x:v>26</x:v>
      </x:c>
      <x:c r="E82" s="18" t="n">
        <x:v>26</x:v>
      </x:c>
      <x:c r="F82" s="18" t="n">
        <x:v>590</x:v>
      </x:c>
      <x:c r="G82" s="18" t="n">
        <x:v>26</x:v>
      </x:c>
      <x:c r="H82" s="18" t="n">
        <x:v>73</x:v>
      </x:c>
      <x:c r="I82" s="18" t="n">
        <x:v>26</x:v>
      </x:c>
      <x:c r="J82" s="18" t="n">
        <x:v>277</x:v>
      </x:c>
      <x:c r="K82" s="18" t="n">
        <x:v>26</x:v>
      </x:c>
      <x:c r="L82" s="18" t="n">
        <x:v>45</x:v>
      </x:c>
      <x:c r="M82" s="18" t="n">
        <x:v>26</x:v>
      </x:c>
    </x:row>
    <x:row r="83">
      <x:c r="A83" s="22" t="str">
        <x:v>500101129</x:v>
      </x:c>
      <x:c r="B83" s="17" t="str">
        <x:v>大安區</x:v>
      </x:c>
      <x:c r="C83" s="17" t="str">
        <x:v>幸安國小(仁愛路)</x:v>
      </x:c>
      <x:c r="D83" s="18" t="n">
        <x:v>26</x:v>
      </x:c>
      <x:c r="E83" s="18" t="n">
        <x:v>26</x:v>
      </x:c>
      <x:c r="F83" s="18" t="n">
        <x:v>400</x:v>
      </x:c>
      <x:c r="G83" s="18" t="n">
        <x:v>26</x:v>
      </x:c>
      <x:c r="H83" s="18" t="n">
        <x:v>112</x:v>
      </x:c>
      <x:c r="I83" s="18" t="n">
        <x:v>26</x:v>
      </x:c>
      <x:c r="J83" s="18" t="n">
        <x:v>166</x:v>
      </x:c>
      <x:c r="K83" s="18" t="n">
        <x:v>26</x:v>
      </x:c>
      <x:c r="L83" s="18" t="n">
        <x:v>56</x:v>
      </x:c>
      <x:c r="M83" s="18" t="n">
        <x:v>26</x:v>
      </x:c>
    </x:row>
    <x:row r="84">
      <x:c r="A84" s="22" t="str">
        <x:v>500101130</x:v>
      </x:c>
      <x:c r="B84" s="17" t="str">
        <x:v>大安區</x:v>
      </x:c>
      <x:c r="C84" s="17" t="str">
        <x:v>民榮公園</x:v>
      </x:c>
      <x:c r="D84" s="18" t="n">
        <x:v>26</x:v>
      </x:c>
      <x:c r="E84" s="18" t="n">
        <x:v>26</x:v>
      </x:c>
      <x:c r="F84" s="18" t="n">
        <x:v>481</x:v>
      </x:c>
      <x:c r="G84" s="18" t="n">
        <x:v>26</x:v>
      </x:c>
      <x:c r="H84" s="18" t="n">
        <x:v>115</x:v>
      </x:c>
      <x:c r="I84" s="18" t="n">
        <x:v>26</x:v>
      </x:c>
      <x:c r="J84" s="18" t="n">
        <x:v>206</x:v>
      </x:c>
      <x:c r="K84" s="18" t="n">
        <x:v>26</x:v>
      </x:c>
      <x:c r="L84" s="18" t="n">
        <x:v>42</x:v>
      </x:c>
      <x:c r="M84" s="18" t="n">
        <x:v>26</x:v>
      </x:c>
    </x:row>
    <x:row r="85">
      <x:c r="A85" s="22" t="str">
        <x:v>500101131</x:v>
      </x:c>
      <x:c r="B85" s="17" t="str">
        <x:v>大安區</x:v>
      </x:c>
      <x:c r="C85" s="17" t="str">
        <x:v>復興南路1段340巷口</x:v>
      </x:c>
      <x:c r="D85" s="18" t="n">
        <x:v>26</x:v>
      </x:c>
      <x:c r="E85" s="18" t="n">
        <x:v>26</x:v>
      </x:c>
      <x:c r="F85" s="18" t="n">
        <x:v>212</x:v>
      </x:c>
      <x:c r="G85" s="18" t="n">
        <x:v>26</x:v>
      </x:c>
      <x:c r="H85" s="18" t="n">
        <x:v>45</x:v>
      </x:c>
      <x:c r="I85" s="18" t="n">
        <x:v>26</x:v>
      </x:c>
      <x:c r="J85" s="18" t="n">
        <x:v>432</x:v>
      </x:c>
      <x:c r="K85" s="18" t="n">
        <x:v>26</x:v>
      </x:c>
      <x:c r="L85" s="18" t="n">
        <x:v>75</x:v>
      </x:c>
      <x:c r="M85" s="18" t="n">
        <x:v>26</x:v>
      </x:c>
    </x:row>
    <x:row r="86">
      <x:c r="A86" s="22" t="str">
        <x:v>500101132</x:v>
      </x:c>
      <x:c r="B86" s="17" t="str">
        <x:v>大安區</x:v>
      </x:c>
      <x:c r="C86" s="17" t="str">
        <x:v>建國濟南路口</x:v>
      </x:c>
      <x:c r="D86" s="18" t="n">
        <x:v>26</x:v>
      </x:c>
      <x:c r="E86" s="18" t="n">
        <x:v>26</x:v>
      </x:c>
      <x:c r="F86" s="18" t="n">
        <x:v>185</x:v>
      </x:c>
      <x:c r="G86" s="18" t="n">
        <x:v>26</x:v>
      </x:c>
      <x:c r="H86" s="18" t="n">
        <x:v>46</x:v>
      </x:c>
      <x:c r="I86" s="18" t="n">
        <x:v>26</x:v>
      </x:c>
      <x:c r="J86" s="18" t="n">
        <x:v>241</x:v>
      </x:c>
      <x:c r="K86" s="18" t="n">
        <x:v>26</x:v>
      </x:c>
      <x:c r="L86" s="18" t="n">
        <x:v>59</x:v>
      </x:c>
      <x:c r="M86" s="18" t="n">
        <x:v>26</x:v>
      </x:c>
    </x:row>
    <x:row r="87">
      <x:c r="A87" s="22" t="str">
        <x:v>500101133</x:v>
      </x:c>
      <x:c r="B87" s="17" t="str">
        <x:v>大安區</x:v>
      </x:c>
      <x:c r="C87" s="17" t="str">
        <x:v>捷運忠孝復興站(2號出口)</x:v>
      </x:c>
      <x:c r="D87" s="18" t="n">
        <x:v>26</x:v>
      </x:c>
      <x:c r="E87" s="18" t="n">
        <x:v>26</x:v>
      </x:c>
      <x:c r="F87" s="18" t="n">
        <x:v>438</x:v>
      </x:c>
      <x:c r="G87" s="18" t="n">
        <x:v>26</x:v>
      </x:c>
      <x:c r="H87" s="18" t="n">
        <x:v>70</x:v>
      </x:c>
      <x:c r="I87" s="18" t="n">
        <x:v>26</x:v>
      </x:c>
      <x:c r="J87" s="18" t="n">
        <x:v>302</x:v>
      </x:c>
      <x:c r="K87" s="18" t="n">
        <x:v>26</x:v>
      </x:c>
      <x:c r="L87" s="18" t="n">
        <x:v>73</x:v>
      </x:c>
      <x:c r="M87" s="18" t="n">
        <x:v>26</x:v>
      </x:c>
    </x:row>
    <x:row r="88">
      <x:c r="A88" s="22" t="str">
        <x:v>500101134</x:v>
      </x:c>
      <x:c r="B88" s="17" t="str">
        <x:v>大安區</x:v>
      </x:c>
      <x:c r="C88" s="17" t="str">
        <x:v>捷運大安站(4號出口)</x:v>
      </x:c>
      <x:c r="D88" s="18" t="n">
        <x:v>26</x:v>
      </x:c>
      <x:c r="E88" s="18" t="n">
        <x:v>26</x:v>
      </x:c>
      <x:c r="F88" s="18" t="n">
        <x:v>224</x:v>
      </x:c>
      <x:c r="G88" s="18" t="n">
        <x:v>26</x:v>
      </x:c>
      <x:c r="H88" s="18" t="n">
        <x:v>58</x:v>
      </x:c>
      <x:c r="I88" s="18" t="n">
        <x:v>26</x:v>
      </x:c>
      <x:c r="J88" s="18" t="n">
        <x:v>90</x:v>
      </x:c>
      <x:c r="K88" s="18" t="n">
        <x:v>26</x:v>
      </x:c>
      <x:c r="L88" s="18" t="n">
        <x:v>35</x:v>
      </x:c>
      <x:c r="M88" s="18" t="n">
        <x:v>26</x:v>
      </x:c>
    </x:row>
    <x:row r="89">
      <x:c r="A89" s="22" t="str">
        <x:v>500101135</x:v>
      </x:c>
      <x:c r="B89" s="17" t="str">
        <x:v>大安區</x:v>
      </x:c>
      <x:c r="C89" s="17" t="str">
        <x:v>捷運大安站(2號出口)</x:v>
      </x:c>
      <x:c r="D89" s="18" t="n">
        <x:v>26</x:v>
      </x:c>
      <x:c r="E89" s="18" t="n">
        <x:v>26</x:v>
      </x:c>
      <x:c r="F89" s="18" t="n">
        <x:v>129</x:v>
      </x:c>
      <x:c r="G89" s="18" t="n">
        <x:v>26</x:v>
      </x:c>
      <x:c r="H89" s="18" t="n">
        <x:v>41</x:v>
      </x:c>
      <x:c r="I89" s="18" t="n">
        <x:v>26</x:v>
      </x:c>
      <x:c r="J89" s="18" t="n">
        <x:v>516</x:v>
      </x:c>
      <x:c r="K89" s="18" t="n">
        <x:v>26</x:v>
      </x:c>
      <x:c r="L89" s="18" t="n">
        <x:v>138</x:v>
      </x:c>
      <x:c r="M89" s="18" t="n">
        <x:v>26</x:v>
      </x:c>
    </x:row>
    <x:row r="90">
      <x:c r="A90" s="22" t="str">
        <x:v>500101136</x:v>
      </x:c>
      <x:c r="B90" s="17" t="str">
        <x:v>大安區</x:v>
      </x:c>
      <x:c r="C90" s="17" t="str">
        <x:v>信義大安路口(信維大樓)</x:v>
      </x:c>
      <x:c r="D90" s="18" t="n">
        <x:v>26</x:v>
      </x:c>
      <x:c r="E90" s="18" t="n">
        <x:v>26</x:v>
      </x:c>
      <x:c r="F90" s="18" t="n">
        <x:v>263</x:v>
      </x:c>
      <x:c r="G90" s="18" t="n">
        <x:v>26</x:v>
      </x:c>
      <x:c r="H90" s="18" t="n">
        <x:v>67</x:v>
      </x:c>
      <x:c r="I90" s="18" t="n">
        <x:v>26</x:v>
      </x:c>
      <x:c r="J90" s="18" t="n">
        <x:v>139</x:v>
      </x:c>
      <x:c r="K90" s="18" t="n">
        <x:v>26</x:v>
      </x:c>
      <x:c r="L90" s="18" t="n">
        <x:v>44</x:v>
      </x:c>
      <x:c r="M90" s="18" t="n">
        <x:v>26</x:v>
      </x:c>
    </x:row>
    <x:row r="91">
      <x:c r="A91" s="22" t="str">
        <x:v>500101137</x:v>
      </x:c>
      <x:c r="B91" s="17" t="str">
        <x:v>大安區</x:v>
      </x:c>
      <x:c r="C91" s="17" t="str">
        <x:v>龍門廣場</x:v>
      </x:c>
      <x:c r="D91" s="18" t="n">
        <x:v>26</x:v>
      </x:c>
      <x:c r="E91" s="18" t="n">
        <x:v>26</x:v>
      </x:c>
      <x:c r="F91" s="18" t="n">
        <x:v>399</x:v>
      </x:c>
      <x:c r="G91" s="18" t="n">
        <x:v>26</x:v>
      </x:c>
      <x:c r="H91" s="18" t="n">
        <x:v>62</x:v>
      </x:c>
      <x:c r="I91" s="18" t="n">
        <x:v>26</x:v>
      </x:c>
      <x:c r="J91" s="18" t="n">
        <x:v>872</x:v>
      </x:c>
      <x:c r="K91" s="18" t="n">
        <x:v>26</x:v>
      </x:c>
      <x:c r="L91" s="18" t="n">
        <x:v>182</x:v>
      </x:c>
      <x:c r="M91" s="18" t="n">
        <x:v>26</x:v>
      </x:c>
    </x:row>
    <x:row r="92">
      <x:c r="A92" s="22" t="str">
        <x:v>500101138</x:v>
      </x:c>
      <x:c r="B92" s="17" t="str">
        <x:v>大安區</x:v>
      </x:c>
      <x:c r="C92" s="17" t="str">
        <x:v>仁愛安和路口</x:v>
      </x:c>
      <x:c r="D92" s="18" t="n">
        <x:v>26</x:v>
      </x:c>
      <x:c r="E92" s="18" t="n">
        <x:v>26</x:v>
      </x:c>
      <x:c r="F92" s="18" t="n">
        <x:v>151</x:v>
      </x:c>
      <x:c r="G92" s="18" t="n">
        <x:v>26</x:v>
      </x:c>
      <x:c r="H92" s="18" t="n">
        <x:v>22</x:v>
      </x:c>
      <x:c r="I92" s="18" t="n">
        <x:v>26</x:v>
      </x:c>
      <x:c r="J92" s="18" t="n">
        <x:v>534</x:v>
      </x:c>
      <x:c r="K92" s="18" t="n">
        <x:v>26</x:v>
      </x:c>
      <x:c r="L92" s="18" t="n">
        <x:v>131</x:v>
      </x:c>
      <x:c r="M92" s="18" t="n">
        <x:v>26</x:v>
      </x:c>
    </x:row>
    <x:row r="93">
      <x:c r="A93" s="22" t="str">
        <x:v>500101139</x:v>
      </x:c>
      <x:c r="B93" s="17" t="str">
        <x:v>大安區</x:v>
      </x:c>
      <x:c r="C93" s="17" t="str">
        <x:v>信義敦化路口</x:v>
      </x:c>
      <x:c r="D93" s="18" t="n">
        <x:v>26</x:v>
      </x:c>
      <x:c r="E93" s="18" t="n">
        <x:v>26</x:v>
      </x:c>
      <x:c r="F93" s="18" t="n">
        <x:v>592</x:v>
      </x:c>
      <x:c r="G93" s="18" t="n">
        <x:v>26</x:v>
      </x:c>
      <x:c r="H93" s="18" t="n">
        <x:v>75</x:v>
      </x:c>
      <x:c r="I93" s="18" t="n">
        <x:v>26</x:v>
      </x:c>
      <x:c r="J93" s="18" t="n">
        <x:v>451</x:v>
      </x:c>
      <x:c r="K93" s="18" t="n">
        <x:v>26</x:v>
      </x:c>
      <x:c r="L93" s="18" t="n">
        <x:v>111</x:v>
      </x:c>
      <x:c r="M93" s="18" t="n">
        <x:v>26</x:v>
      </x:c>
    </x:row>
    <x:row r="94">
      <x:c r="A94" s="22" t="str">
        <x:v>500101140</x:v>
      </x:c>
      <x:c r="B94" s="17" t="str">
        <x:v>大安區</x:v>
      </x:c>
      <x:c r="C94" s="17" t="str">
        <x:v>仁愛國中</x:v>
      </x:c>
      <x:c r="D94" s="18" t="n">
        <x:v>26</x:v>
      </x:c>
      <x:c r="E94" s="18" t="n">
        <x:v>26</x:v>
      </x:c>
      <x:c r="F94" s="18" t="n">
        <x:v>118</x:v>
      </x:c>
      <x:c r="G94" s="18" t="n">
        <x:v>26</x:v>
      </x:c>
      <x:c r="H94" s="18" t="n">
        <x:v>25</x:v>
      </x:c>
      <x:c r="I94" s="18" t="n">
        <x:v>26</x:v>
      </x:c>
      <x:c r="J94" s="18" t="n">
        <x:v>356</x:v>
      </x:c>
      <x:c r="K94" s="18" t="n">
        <x:v>26</x:v>
      </x:c>
      <x:c r="L94" s="18" t="n">
        <x:v>72</x:v>
      </x:c>
      <x:c r="M94" s="18" t="n">
        <x:v>26</x:v>
      </x:c>
    </x:row>
    <x:row r="95">
      <x:c r="A95" s="22" t="str">
        <x:v>500101141</x:v>
      </x:c>
      <x:c r="B95" s="17" t="str">
        <x:v>大安區</x:v>
      </x:c>
      <x:c r="C95" s="17" t="str">
        <x:v>捷運信義安和站(2號出口)</x:v>
      </x:c>
      <x:c r="D95" s="18" t="n">
        <x:v>26</x:v>
      </x:c>
      <x:c r="E95" s="18" t="n">
        <x:v>26</x:v>
      </x:c>
      <x:c r="F95" s="18" t="n">
        <x:v>314</x:v>
      </x:c>
      <x:c r="G95" s="18" t="n">
        <x:v>26</x:v>
      </x:c>
      <x:c r="H95" s="18" t="n">
        <x:v>52</x:v>
      </x:c>
      <x:c r="I95" s="18" t="n">
        <x:v>26</x:v>
      </x:c>
      <x:c r="J95" s="18" t="n">
        <x:v>142</x:v>
      </x:c>
      <x:c r="K95" s="18" t="n">
        <x:v>26</x:v>
      </x:c>
      <x:c r="L95" s="18" t="n">
        <x:v>35</x:v>
      </x:c>
      <x:c r="M95" s="18" t="n">
        <x:v>26</x:v>
      </x:c>
    </x:row>
    <x:row r="96">
      <x:c r="A96" s="22" t="str">
        <x:v>500101142</x:v>
      </x:c>
      <x:c r="B96" s="17" t="str">
        <x:v>大安區</x:v>
      </x:c>
      <x:c r="C96" s="17" t="str">
        <x:v>八德市場</x:v>
      </x:c>
      <x:c r="D96" s="18" t="n">
        <x:v>26</x:v>
      </x:c>
      <x:c r="E96" s="18" t="n">
        <x:v>26</x:v>
      </x:c>
      <x:c r="F96" s="18" t="n">
        <x:v>205</x:v>
      </x:c>
      <x:c r="G96" s="18" t="n">
        <x:v>26</x:v>
      </x:c>
      <x:c r="H96" s="18" t="n">
        <x:v>52</x:v>
      </x:c>
      <x:c r="I96" s="18" t="n">
        <x:v>26</x:v>
      </x:c>
      <x:c r="J96" s="18" t="n">
        <x:v>430</x:v>
      </x:c>
      <x:c r="K96" s="18" t="n">
        <x:v>26</x:v>
      </x:c>
      <x:c r="L96" s="18" t="n">
        <x:v>56</x:v>
      </x:c>
      <x:c r="M96" s="18" t="n">
        <x:v>26</x:v>
      </x:c>
    </x:row>
    <x:row r="97">
      <x:c r="A97" s="22" t="str">
        <x:v>500101143</x:v>
      </x:c>
      <x:c r="B97" s="17" t="str">
        <x:v>大安區</x:v>
      </x:c>
      <x:c r="C97" s="17" t="str">
        <x:v>昌隆公園</x:v>
      </x:c>
      <x:c r="D97" s="18" t="n">
        <x:v>26</x:v>
      </x:c>
      <x:c r="E97" s="18" t="n">
        <x:v>26</x:v>
      </x:c>
      <x:c r="F97" s="18" t="n">
        <x:v>200</x:v>
      </x:c>
      <x:c r="G97" s="18" t="n">
        <x:v>26</x:v>
      </x:c>
      <x:c r="H97" s="18" t="n">
        <x:v>36</x:v>
      </x:c>
      <x:c r="I97" s="18" t="n">
        <x:v>26</x:v>
      </x:c>
      <x:c r="J97" s="18" t="n">
        <x:v>201</x:v>
      </x:c>
      <x:c r="K97" s="18" t="n">
        <x:v>26</x:v>
      </x:c>
      <x:c r="L97" s="18" t="n">
        <x:v>60</x:v>
      </x:c>
      <x:c r="M97" s="18" t="n">
        <x:v>26</x:v>
      </x:c>
    </x:row>
    <x:row r="98">
      <x:c r="A98" s="22" t="str">
        <x:v>500101144</x:v>
      </x:c>
      <x:c r="B98" s="17" t="str">
        <x:v>大安區</x:v>
      </x:c>
      <x:c r="C98" s="17" t="str">
        <x:v>捷運大安森林公園站(2號出口)</x:v>
      </x:c>
      <x:c r="D98" s="18" t="n">
        <x:v>26</x:v>
      </x:c>
      <x:c r="E98" s="18" t="n">
        <x:v>26</x:v>
      </x:c>
      <x:c r="F98" s="18" t="n">
        <x:v>1024</x:v>
      </x:c>
      <x:c r="G98" s="18" t="n">
        <x:v>26</x:v>
      </x:c>
      <x:c r="H98" s="18" t="n">
        <x:v>181</x:v>
      </x:c>
      <x:c r="I98" s="18" t="n">
        <x:v>26</x:v>
      </x:c>
      <x:c r="J98" s="18" t="n">
        <x:v>496</x:v>
      </x:c>
      <x:c r="K98" s="18" t="n">
        <x:v>26</x:v>
      </x:c>
      <x:c r="L98" s="18" t="n">
        <x:v>189</x:v>
      </x:c>
      <x:c r="M98" s="18" t="n">
        <x:v>26</x:v>
      </x:c>
    </x:row>
    <x:row r="99">
      <x:c r="A99" s="22" t="str">
        <x:v>500101145</x:v>
      </x:c>
      <x:c r="B99" s="17" t="str">
        <x:v>大安區</x:v>
      </x:c>
      <x:c r="C99" s="17" t="str">
        <x:v>信義延吉街口</x:v>
      </x:c>
      <x:c r="D99" s="18" t="n">
        <x:v>26</x:v>
      </x:c>
      <x:c r="E99" s="18" t="n">
        <x:v>26</x:v>
      </x:c>
      <x:c r="F99" s="18" t="n">
        <x:v>127</x:v>
      </x:c>
      <x:c r="G99" s="18" t="n">
        <x:v>26</x:v>
      </x:c>
      <x:c r="H99" s="18" t="n">
        <x:v>25</x:v>
      </x:c>
      <x:c r="I99" s="18" t="n">
        <x:v>26</x:v>
      </x:c>
      <x:c r="J99" s="18" t="n">
        <x:v>175</x:v>
      </x:c>
      <x:c r="K99" s="18" t="n">
        <x:v>26</x:v>
      </x:c>
      <x:c r="L99" s="18" t="n">
        <x:v>29</x:v>
      </x:c>
      <x:c r="M99" s="18" t="n">
        <x:v>26</x:v>
      </x:c>
    </x:row>
    <x:row r="100">
      <x:c r="A100" s="22" t="str">
        <x:v>500101146</x:v>
      </x:c>
      <x:c r="B100" s="17" t="str">
        <x:v>大安區</x:v>
      </x:c>
      <x:c r="C100" s="17" t="str">
        <x:v>光信公園(光復南路456巷)</x:v>
      </x:c>
      <x:c r="D100" s="18" t="n">
        <x:v>26</x:v>
      </x:c>
      <x:c r="E100" s="18" t="n">
        <x:v>26</x:v>
      </x:c>
      <x:c r="F100" s="18" t="n">
        <x:v>451</x:v>
      </x:c>
      <x:c r="G100" s="18" t="n">
        <x:v>26</x:v>
      </x:c>
      <x:c r="H100" s="18" t="n">
        <x:v>35</x:v>
      </x:c>
      <x:c r="I100" s="18" t="n">
        <x:v>26</x:v>
      </x:c>
      <x:c r="J100" s="18" t="n">
        <x:v>163</x:v>
      </x:c>
      <x:c r="K100" s="18" t="n">
        <x:v>26</x:v>
      </x:c>
      <x:c r="L100" s="18" t="n">
        <x:v>56</x:v>
      </x:c>
      <x:c r="M100" s="18" t="n">
        <x:v>26</x:v>
      </x:c>
    </x:row>
    <x:row r="101">
      <x:c r="A101" s="22" t="str">
        <x:v>500101147</x:v>
      </x:c>
      <x:c r="B101" s="17" t="str">
        <x:v>大安區</x:v>
      </x:c>
      <x:c r="C101" s="17" t="str">
        <x:v>僑安地下停車場(2號出口)東南側</x:v>
      </x:c>
      <x:c r="D101" s="18" t="n">
        <x:v>26</x:v>
      </x:c>
      <x:c r="E101" s="18" t="n">
        <x:v>26</x:v>
      </x:c>
      <x:c r="F101" s="18" t="n">
        <x:v>147</x:v>
      </x:c>
      <x:c r="G101" s="18" t="n">
        <x:v>26</x:v>
      </x:c>
      <x:c r="H101" s="18" t="n">
        <x:v>18</x:v>
      </x:c>
      <x:c r="I101" s="18" t="n">
        <x:v>26</x:v>
      </x:c>
      <x:c r="J101" s="18" t="n">
        <x:v>201</x:v>
      </x:c>
      <x:c r="K101" s="18" t="n">
        <x:v>26</x:v>
      </x:c>
      <x:c r="L101" s="18" t="n">
        <x:v>61</x:v>
      </x:c>
      <x:c r="M101" s="18" t="n">
        <x:v>26</x:v>
      </x:c>
    </x:row>
    <x:row r="102">
      <x:c r="A102" s="22" t="str">
        <x:v>500101148</x:v>
      </x:c>
      <x:c r="B102" s="17" t="str">
        <x:v>大安區</x:v>
      </x:c>
      <x:c r="C102" s="17" t="str">
        <x:v>建國南路一段279巷口</x:v>
      </x:c>
      <x:c r="D102" s="18" t="n">
        <x:v>26</x:v>
      </x:c>
      <x:c r="E102" s="18" t="n">
        <x:v>26</x:v>
      </x:c>
      <x:c r="F102" s="18" t="n">
        <x:v>414</x:v>
      </x:c>
      <x:c r="G102" s="18" t="n">
        <x:v>26</x:v>
      </x:c>
      <x:c r="H102" s="18" t="n">
        <x:v>71</x:v>
      </x:c>
      <x:c r="I102" s="18" t="n">
        <x:v>26</x:v>
      </x:c>
      <x:c r="J102" s="18" t="n">
        <x:v>254</x:v>
      </x:c>
      <x:c r="K102" s="18" t="n">
        <x:v>26</x:v>
      </x:c>
      <x:c r="L102" s="18" t="n">
        <x:v>71</x:v>
      </x:c>
      <x:c r="M102" s="18" t="n">
        <x:v>26</x:v>
      </x:c>
    </x:row>
    <x:row r="103">
      <x:c r="A103" s="22" t="str">
        <x:v>500101149</x:v>
      </x:c>
      <x:c r="B103" s="17" t="str">
        <x:v>大安區</x:v>
      </x:c>
      <x:c r="C103" s="17" t="str">
        <x:v>捷運忠孝新生站(6號出口)</x:v>
      </x:c>
      <x:c r="D103" s="18" t="n">
        <x:v>26</x:v>
      </x:c>
      <x:c r="E103" s="18" t="n">
        <x:v>26</x:v>
      </x:c>
      <x:c r="F103" s="18" t="n">
        <x:v>340</x:v>
      </x:c>
      <x:c r="G103" s="18" t="n">
        <x:v>26</x:v>
      </x:c>
      <x:c r="H103" s="18" t="n">
        <x:v>44</x:v>
      </x:c>
      <x:c r="I103" s="18" t="n">
        <x:v>26</x:v>
      </x:c>
      <x:c r="J103" s="18" t="n">
        <x:v>186</x:v>
      </x:c>
      <x:c r="K103" s="18" t="n">
        <x:v>26</x:v>
      </x:c>
      <x:c r="L103" s="18" t="n">
        <x:v>26</x:v>
      </x:c>
      <x:c r="M103" s="18" t="n">
        <x:v>26</x:v>
      </x:c>
    </x:row>
    <x:row r="104">
      <x:c r="A104" s="22" t="str">
        <x:v>500101150</x:v>
      </x:c>
      <x:c r="B104" s="17" t="str">
        <x:v>大安區</x:v>
      </x:c>
      <x:c r="C104" s="17" t="str">
        <x:v>捷運忠孝新生站(4號出口)</x:v>
      </x:c>
      <x:c r="D104" s="18" t="n">
        <x:v>26</x:v>
      </x:c>
      <x:c r="E104" s="18" t="n">
        <x:v>26</x:v>
      </x:c>
      <x:c r="F104" s="18" t="n">
        <x:v>393</x:v>
      </x:c>
      <x:c r="G104" s="18" t="n">
        <x:v>26</x:v>
      </x:c>
      <x:c r="H104" s="18" t="n">
        <x:v>92</x:v>
      </x:c>
      <x:c r="I104" s="18" t="n">
        <x:v>26</x:v>
      </x:c>
      <x:c r="J104" s="18" t="n">
        <x:v>427</x:v>
      </x:c>
      <x:c r="K104" s="18" t="n">
        <x:v>26</x:v>
      </x:c>
      <x:c r="L104" s="18" t="n">
        <x:v>75</x:v>
      </x:c>
      <x:c r="M104" s="18" t="n">
        <x:v>26</x:v>
      </x:c>
    </x:row>
    <x:row r="105">
      <x:c r="A105" s="22" t="str">
        <x:v>500101151</x:v>
      </x:c>
      <x:c r="B105" s="17" t="str">
        <x:v>大安區</x:v>
      </x:c>
      <x:c r="C105" s="17" t="str">
        <x:v>大安高工</x:v>
      </x:c>
      <x:c r="D105" s="18" t="n">
        <x:v>26</x:v>
      </x:c>
      <x:c r="E105" s="18" t="n">
        <x:v>26</x:v>
      </x:c>
      <x:c r="F105" s="18" t="n">
        <x:v>248</x:v>
      </x:c>
      <x:c r="G105" s="18" t="n">
        <x:v>26</x:v>
      </x:c>
      <x:c r="H105" s="18" t="n">
        <x:v>40</x:v>
      </x:c>
      <x:c r="I105" s="18" t="n">
        <x:v>26</x:v>
      </x:c>
      <x:c r="J105" s="18" t="n">
        <x:v>83</x:v>
      </x:c>
      <x:c r="K105" s="18" t="n">
        <x:v>26</x:v>
      </x:c>
      <x:c r="L105" s="18" t="n">
        <x:v>26</x:v>
      </x:c>
      <x:c r="M105" s="18" t="n">
        <x:v>26</x:v>
      </x:c>
    </x:row>
    <x:row r="106">
      <x:c r="A106" s="22" t="str">
        <x:v>500101152</x:v>
      </x:c>
      <x:c r="B106" s="17" t="str">
        <x:v>大安區</x:v>
      </x:c>
      <x:c r="C106" s="17" t="str">
        <x:v>捷運忠孝新生站(3號出口)</x:v>
      </x:c>
      <x:c r="D106" s="18" t="n">
        <x:v>26</x:v>
      </x:c>
      <x:c r="E106" s="18" t="n">
        <x:v>26</x:v>
      </x:c>
      <x:c r="F106" s="18" t="n">
        <x:v>402</x:v>
      </x:c>
      <x:c r="G106" s="18" t="n">
        <x:v>26</x:v>
      </x:c>
      <x:c r="H106" s="18" t="n">
        <x:v>68</x:v>
      </x:c>
      <x:c r="I106" s="18" t="n">
        <x:v>26</x:v>
      </x:c>
      <x:c r="J106" s="18" t="n">
        <x:v>187</x:v>
      </x:c>
      <x:c r="K106" s="18" t="n">
        <x:v>26</x:v>
      </x:c>
      <x:c r="L106" s="18" t="n">
        <x:v>32</x:v>
      </x:c>
      <x:c r="M106" s="18" t="n">
        <x:v>26</x:v>
      </x:c>
    </x:row>
    <x:row r="107">
      <x:c r="A107" s="22" t="str">
        <x:v>500101153</x:v>
      </x:c>
      <x:c r="B107" s="17" t="str">
        <x:v>大安區</x:v>
      </x:c>
      <x:c r="C107" s="17" t="str">
        <x:v>瑠公公園</x:v>
      </x:c>
      <x:c r="D107" s="18" t="n">
        <x:v>26</x:v>
      </x:c>
      <x:c r="E107" s="18" t="n">
        <x:v>26</x:v>
      </x:c>
      <x:c r="F107" s="18" t="n">
        <x:v>261</x:v>
      </x:c>
      <x:c r="G107" s="18" t="n">
        <x:v>26</x:v>
      </x:c>
      <x:c r="H107" s="18" t="n">
        <x:v>10</x:v>
      </x:c>
      <x:c r="I107" s="18" t="n">
        <x:v>26</x:v>
      </x:c>
      <x:c r="J107" s="18" t="n">
        <x:v>241</x:v>
      </x:c>
      <x:c r="K107" s="18" t="n">
        <x:v>26</x:v>
      </x:c>
      <x:c r="L107" s="18" t="n">
        <x:v>70</x:v>
      </x:c>
      <x:c r="M107" s="18" t="n">
        <x:v>26</x:v>
      </x:c>
    </x:row>
    <x:row r="108">
      <x:c r="A108" s="22" t="str">
        <x:v>500101154</x:v>
      </x:c>
      <x:c r="B108" s="17" t="str">
        <x:v>大安區</x:v>
      </x:c>
      <x:c r="C108" s="17" t="str">
        <x:v>敦化市民路口</x:v>
      </x:c>
      <x:c r="D108" s="18" t="n">
        <x:v>26</x:v>
      </x:c>
      <x:c r="E108" s="18" t="n">
        <x:v>26</x:v>
      </x:c>
      <x:c r="F108" s="18" t="n">
        <x:v>320</x:v>
      </x:c>
      <x:c r="G108" s="18" t="n">
        <x:v>26</x:v>
      </x:c>
      <x:c r="H108" s="18" t="n">
        <x:v>30</x:v>
      </x:c>
      <x:c r="I108" s="18" t="n">
        <x:v>26</x:v>
      </x:c>
      <x:c r="J108" s="18" t="n">
        <x:v>218</x:v>
      </x:c>
      <x:c r="K108" s="18" t="n">
        <x:v>26</x:v>
      </x:c>
      <x:c r="L108" s="18" t="n">
        <x:v>60</x:v>
      </x:c>
      <x:c r="M108" s="18" t="n">
        <x:v>26</x:v>
      </x:c>
    </x:row>
    <x:row r="109">
      <x:c r="A109" s="22" t="str">
        <x:v>500101155</x:v>
      </x:c>
      <x:c r="B109" s="17" t="str">
        <x:v>大安區</x:v>
      </x:c>
      <x:c r="C109" s="17" t="str">
        <x:v>捷運大安森林公園站(5號出口)</x:v>
      </x:c>
      <x:c r="D109" s="18" t="n">
        <x:v>26</x:v>
      </x:c>
      <x:c r="E109" s="18" t="n">
        <x:v>26</x:v>
      </x:c>
      <x:c r="F109" s="18" t="n">
        <x:v>252</x:v>
      </x:c>
      <x:c r="G109" s="18" t="n">
        <x:v>26</x:v>
      </x:c>
      <x:c r="H109" s="18" t="n">
        <x:v>102</x:v>
      </x:c>
      <x:c r="I109" s="18" t="n">
        <x:v>26</x:v>
      </x:c>
      <x:c r="J109" s="18" t="n">
        <x:v>171</x:v>
      </x:c>
      <x:c r="K109" s="18" t="n">
        <x:v>26</x:v>
      </x:c>
      <x:c r="L109" s="18" t="n">
        <x:v>39</x:v>
      </x:c>
      <x:c r="M109" s="18" t="n">
        <x:v>26</x:v>
      </x:c>
    </x:row>
    <x:row r="110">
      <x:c r="A110" s="22" t="str">
        <x:v>500101156</x:v>
      </x:c>
      <x:c r="B110" s="17" t="str">
        <x:v>大安區</x:v>
      </x:c>
      <x:c r="C110" s="17" t="str">
        <x:v>信義建國路口</x:v>
      </x:c>
      <x:c r="D110" s="18" t="n">
        <x:v>26</x:v>
      </x:c>
      <x:c r="E110" s="18" t="n">
        <x:v>26</x:v>
      </x:c>
      <x:c r="F110" s="18" t="n">
        <x:v>629</x:v>
      </x:c>
      <x:c r="G110" s="18" t="n">
        <x:v>26</x:v>
      </x:c>
      <x:c r="H110" s="18" t="n">
        <x:v>204</x:v>
      </x:c>
      <x:c r="I110" s="18" t="n">
        <x:v>26</x:v>
      </x:c>
      <x:c r="J110" s="18" t="n">
        <x:v>270</x:v>
      </x:c>
      <x:c r="K110" s="18" t="n">
        <x:v>26</x:v>
      </x:c>
      <x:c r="L110" s="18" t="n">
        <x:v>163</x:v>
      </x:c>
      <x:c r="M110" s="18" t="n">
        <x:v>26</x:v>
      </x:c>
    </x:row>
    <x:row r="111">
      <x:c r="A111" s="22" t="str">
        <x:v>500101157</x:v>
      </x:c>
      <x:c r="B111" s="17" t="str">
        <x:v>大安區</x:v>
      </x:c>
      <x:c r="C111" s="17" t="str">
        <x:v>東豐公園</x:v>
      </x:c>
      <x:c r="D111" s="18" t="n">
        <x:v>26</x:v>
      </x:c>
      <x:c r="E111" s="18" t="n">
        <x:v>26</x:v>
      </x:c>
      <x:c r="F111" s="18" t="n">
        <x:v>245</x:v>
      </x:c>
      <x:c r="G111" s="18" t="n">
        <x:v>26</x:v>
      </x:c>
      <x:c r="H111" s="18" t="n">
        <x:v>66</x:v>
      </x:c>
      <x:c r="I111" s="18" t="n">
        <x:v>26</x:v>
      </x:c>
      <x:c r="J111" s="18" t="n">
        <x:v>145</x:v>
      </x:c>
      <x:c r="K111" s="18" t="n">
        <x:v>26</x:v>
      </x:c>
      <x:c r="L111" s="18" t="n">
        <x:v>51</x:v>
      </x:c>
      <x:c r="M111" s="18" t="n">
        <x:v>26</x:v>
      </x:c>
    </x:row>
    <x:row r="112">
      <x:c r="A112" s="22" t="str">
        <x:v>500101158</x:v>
      </x:c>
      <x:c r="B112" s="17" t="str">
        <x:v>大安區</x:v>
      </x:c>
      <x:c r="C112" s="17" t="str">
        <x:v>德安公園(四維路66巷)</x:v>
      </x:c>
      <x:c r="D112" s="18" t="n">
        <x:v>26</x:v>
      </x:c>
      <x:c r="E112" s="18" t="n">
        <x:v>26</x:v>
      </x:c>
      <x:c r="F112" s="18" t="n">
        <x:v>315</x:v>
      </x:c>
      <x:c r="G112" s="18" t="n">
        <x:v>26</x:v>
      </x:c>
      <x:c r="H112" s="18" t="n">
        <x:v>53</x:v>
      </x:c>
      <x:c r="I112" s="18" t="n">
        <x:v>26</x:v>
      </x:c>
      <x:c r="J112" s="18" t="n">
        <x:v>160</x:v>
      </x:c>
      <x:c r="K112" s="18" t="n">
        <x:v>26</x:v>
      </x:c>
      <x:c r="L112" s="18" t="n">
        <x:v>35</x:v>
      </x:c>
      <x:c r="M112" s="18" t="n">
        <x:v>26</x:v>
      </x:c>
    </x:row>
    <x:row r="113">
      <x:c r="A113" s="22" t="str">
        <x:v>500101159</x:v>
      </x:c>
      <x:c r="B113" s="17" t="str">
        <x:v>大安區</x:v>
      </x:c>
      <x:c r="C113" s="17" t="str">
        <x:v>捷運忠孝復興站(5號出口)</x:v>
      </x:c>
      <x:c r="D113" s="18" t="n">
        <x:v>26</x:v>
      </x:c>
      <x:c r="E113" s="18" t="n">
        <x:v>26</x:v>
      </x:c>
      <x:c r="F113" s="18" t="n">
        <x:v>344</x:v>
      </x:c>
      <x:c r="G113" s="18" t="n">
        <x:v>26</x:v>
      </x:c>
      <x:c r="H113" s="18" t="n">
        <x:v>97</x:v>
      </x:c>
      <x:c r="I113" s="18" t="n">
        <x:v>26</x:v>
      </x:c>
      <x:c r="J113" s="18" t="n">
        <x:v>291</x:v>
      </x:c>
      <x:c r="K113" s="18" t="n">
        <x:v>26</x:v>
      </x:c>
      <x:c r="L113" s="18" t="n">
        <x:v>76</x:v>
      </x:c>
      <x:c r="M113" s="18" t="n">
        <x:v>26</x:v>
      </x:c>
    </x:row>
    <x:row r="114">
      <x:c r="A114" s="22" t="str">
        <x:v>500101160</x:v>
      </x:c>
      <x:c r="B114" s="17" t="str">
        <x:v>大安區</x:v>
      </x:c>
      <x:c r="C114" s="17" t="str">
        <x:v>捷運忠孝敦化站(2號出口)</x:v>
      </x:c>
      <x:c r="D114" s="18" t="n">
        <x:v>26</x:v>
      </x:c>
      <x:c r="E114" s="18" t="n">
        <x:v>26</x:v>
      </x:c>
      <x:c r="F114" s="18" t="n">
        <x:v>180</x:v>
      </x:c>
      <x:c r="G114" s="18" t="n">
        <x:v>26</x:v>
      </x:c>
      <x:c r="H114" s="18" t="n">
        <x:v>26</x:v>
      </x:c>
      <x:c r="I114" s="18" t="n">
        <x:v>26</x:v>
      </x:c>
      <x:c r="J114" s="18" t="n">
        <x:v>244</x:v>
      </x:c>
      <x:c r="K114" s="18" t="n">
        <x:v>26</x:v>
      </x:c>
      <x:c r="L114" s="18" t="n">
        <x:v>77</x:v>
      </x:c>
      <x:c r="M114" s="18" t="n">
        <x:v>26</x:v>
      </x:c>
    </x:row>
    <x:row r="115">
      <x:c r="A115" s="22" t="str">
        <x:v>500101161</x:v>
      </x:c>
      <x:c r="B115" s="17" t="str">
        <x:v>大安區</x:v>
      </x:c>
      <x:c r="C115" s="17" t="str">
        <x:v>捷運忠孝敦化站(7號出口)</x:v>
      </x:c>
      <x:c r="D115" s="18" t="n">
        <x:v>26</x:v>
      </x:c>
      <x:c r="E115" s="18" t="n">
        <x:v>26</x:v>
      </x:c>
      <x:c r="F115" s="18" t="n">
        <x:v>224</x:v>
      </x:c>
      <x:c r="G115" s="18" t="n">
        <x:v>26</x:v>
      </x:c>
      <x:c r="H115" s="18" t="n">
        <x:v>39</x:v>
      </x:c>
      <x:c r="I115" s="18" t="n">
        <x:v>26</x:v>
      </x:c>
      <x:c r="J115" s="18" t="n">
        <x:v>292</x:v>
      </x:c>
      <x:c r="K115" s="18" t="n">
        <x:v>26</x:v>
      </x:c>
      <x:c r="L115" s="18" t="n">
        <x:v>76</x:v>
      </x:c>
      <x:c r="M115" s="18" t="n">
        <x:v>26</x:v>
      </x:c>
    </x:row>
    <x:row r="116">
      <x:c r="A116" s="22" t="str">
        <x:v>500101162</x:v>
      </x:c>
      <x:c r="B116" s="17" t="str">
        <x:v>大安區</x:v>
      </x:c>
      <x:c r="C116" s="17" t="str">
        <x:v>忠孝東路四段223巷口(市民大道側)</x:v>
      </x:c>
      <x:c r="D116" s="18" t="n">
        <x:v>26</x:v>
      </x:c>
      <x:c r="E116" s="18" t="n">
        <x:v>26</x:v>
      </x:c>
      <x:c r="F116" s="18" t="n">
        <x:v>590</x:v>
      </x:c>
      <x:c r="G116" s="18" t="n">
        <x:v>26</x:v>
      </x:c>
      <x:c r="H116" s="18" t="n">
        <x:v>134</x:v>
      </x:c>
      <x:c r="I116" s="18" t="n">
        <x:v>26</x:v>
      </x:c>
      <x:c r="J116" s="18" t="n">
        <x:v>227</x:v>
      </x:c>
      <x:c r="K116" s="18" t="n">
        <x:v>26</x:v>
      </x:c>
      <x:c r="L116" s="18" t="n">
        <x:v>42</x:v>
      </x:c>
      <x:c r="M116" s="18" t="n">
        <x:v>26</x:v>
      </x:c>
    </x:row>
    <x:row r="117">
      <x:c r="A117" s="22" t="str">
        <x:v>500101163</x:v>
      </x:c>
      <x:c r="B117" s="17" t="str">
        <x:v>大安區</x:v>
      </x:c>
      <x:c r="C117" s="17" t="str">
        <x:v>瑞安街208巷</x:v>
      </x:c>
      <x:c r="D117" s="18" t="n">
        <x:v>26</x:v>
      </x:c>
      <x:c r="E117" s="18" t="n">
        <x:v>26</x:v>
      </x:c>
      <x:c r="F117" s="18" t="n">
        <x:v>447</x:v>
      </x:c>
      <x:c r="G117" s="18" t="n">
        <x:v>26</x:v>
      </x:c>
      <x:c r="H117" s="18" t="n">
        <x:v>87</x:v>
      </x:c>
      <x:c r="I117" s="18" t="n">
        <x:v>26</x:v>
      </x:c>
      <x:c r="J117" s="18" t="n">
        <x:v>127</x:v>
      </x:c>
      <x:c r="K117" s="18" t="n">
        <x:v>26</x:v>
      </x:c>
      <x:c r="L117" s="18" t="n">
        <x:v>34</x:v>
      </x:c>
      <x:c r="M117" s="18" t="n">
        <x:v>26</x:v>
      </x:c>
    </x:row>
    <x:row r="118">
      <x:c r="A118" s="22" t="str">
        <x:v>500101164</x:v>
      </x:c>
      <x:c r="B118" s="17" t="str">
        <x:v>大安區</x:v>
      </x:c>
      <x:c r="C118" s="17" t="str">
        <x:v>和安公園</x:v>
      </x:c>
      <x:c r="D118" s="18" t="n">
        <x:v>26</x:v>
      </x:c>
      <x:c r="E118" s="18" t="n">
        <x:v>26</x:v>
      </x:c>
      <x:c r="F118" s="18" t="n">
        <x:v>0</x:v>
      </x:c>
      <x:c r="G118" s="18" t="n">
        <x:v>26</x:v>
      </x:c>
      <x:c r="H118" s="18" t="n">
        <x:v>0</x:v>
      </x:c>
      <x:c r="I118" s="18" t="n">
        <x:v>26</x:v>
      </x:c>
      <x:c r="J118" s="18" t="n">
        <x:v>0</x:v>
      </x:c>
      <x:c r="K118" s="18" t="n">
        <x:v>26</x:v>
      </x:c>
      <x:c r="L118" s="18" t="n">
        <x:v>0</x:v>
      </x:c>
      <x:c r="M118" s="18" t="n">
        <x:v>26</x:v>
      </x:c>
    </x:row>
    <x:row r="119">
      <x:c r="A119" s="22" t="str">
        <x:v>500101165</x:v>
      </x:c>
      <x:c r="B119" s="17" t="str">
        <x:v>大安區</x:v>
      </x:c>
      <x:c r="C119" s="17" t="str">
        <x:v>樂利路21巷口</x:v>
      </x:c>
      <x:c r="D119" s="18" t="n">
        <x:v>26</x:v>
      </x:c>
      <x:c r="E119" s="18" t="n">
        <x:v>26</x:v>
      </x:c>
      <x:c r="F119" s="18" t="n">
        <x:v>411</x:v>
      </x:c>
      <x:c r="G119" s="18" t="n">
        <x:v>26</x:v>
      </x:c>
      <x:c r="H119" s="18" t="n">
        <x:v>59</x:v>
      </x:c>
      <x:c r="I119" s="18" t="n">
        <x:v>26</x:v>
      </x:c>
      <x:c r="J119" s="18" t="n">
        <x:v>86</x:v>
      </x:c>
      <x:c r="K119" s="18" t="n">
        <x:v>26</x:v>
      </x:c>
      <x:c r="L119" s="18" t="n">
        <x:v>22</x:v>
      </x:c>
      <x:c r="M119" s="18" t="n">
        <x:v>26</x:v>
      </x:c>
    </x:row>
    <x:row r="120">
      <x:c r="A120" s="22" t="str">
        <x:v>500101166</x:v>
      </x:c>
      <x:c r="B120" s="17" t="str">
        <x:v>大安區</x:v>
      </x:c>
      <x:c r="C120" s="17" t="str">
        <x:v>捷運科技大樓站(台北教育大學)</x:v>
      </x:c>
      <x:c r="D120" s="18" t="n">
        <x:v>26</x:v>
      </x:c>
      <x:c r="E120" s="18" t="n">
        <x:v>26</x:v>
      </x:c>
      <x:c r="F120" s="18" t="n">
        <x:v>737</x:v>
      </x:c>
      <x:c r="G120" s="18" t="n">
        <x:v>26</x:v>
      </x:c>
      <x:c r="H120" s="18" t="n">
        <x:v>81</x:v>
      </x:c>
      <x:c r="I120" s="18" t="n">
        <x:v>26</x:v>
      </x:c>
      <x:c r="J120" s="18" t="n">
        <x:v>284</x:v>
      </x:c>
      <x:c r="K120" s="18" t="n">
        <x:v>26</x:v>
      </x:c>
      <x:c r="L120" s="18" t="n">
        <x:v>52</x:v>
      </x:c>
      <x:c r="M120" s="18" t="n">
        <x:v>26</x:v>
      </x:c>
    </x:row>
    <x:row r="121">
      <x:c r="A121" s="22" t="str">
        <x:v>500101167</x:v>
      </x:c>
      <x:c r="B121" s="17" t="str">
        <x:v>大安區</x:v>
      </x:c>
      <x:c r="C121" s="17" t="str">
        <x:v>捷運國父紀念館站(2號出口)</x:v>
      </x:c>
      <x:c r="D121" s="18" t="n">
        <x:v>26</x:v>
      </x:c>
      <x:c r="E121" s="18" t="n">
        <x:v>26</x:v>
      </x:c>
      <x:c r="F121" s="18" t="n">
        <x:v>413</x:v>
      </x:c>
      <x:c r="G121" s="18" t="n">
        <x:v>26</x:v>
      </x:c>
      <x:c r="H121" s="18" t="n">
        <x:v>80</x:v>
      </x:c>
      <x:c r="I121" s="18" t="n">
        <x:v>26</x:v>
      </x:c>
      <x:c r="J121" s="18" t="n">
        <x:v>541</x:v>
      </x:c>
      <x:c r="K121" s="18" t="n">
        <x:v>26</x:v>
      </x:c>
      <x:c r="L121" s="18" t="n">
        <x:v>158</x:v>
      </x:c>
      <x:c r="M121" s="18" t="n">
        <x:v>26</x:v>
      </x:c>
    </x:row>
    <x:row r="122">
      <x:c r="A122" s="22" t="str">
        <x:v>500101168</x:v>
      </x:c>
      <x:c r="B122" s="17" t="str">
        <x:v>大安區</x:v>
      </x:c>
      <x:c r="C122" s="17" t="str">
        <x:v>仁愛醫院</x:v>
      </x:c>
      <x:c r="D122" s="18" t="n">
        <x:v>26</x:v>
      </x:c>
      <x:c r="E122" s="18" t="n">
        <x:v>26</x:v>
      </x:c>
      <x:c r="F122" s="18" t="n">
        <x:v>132</x:v>
      </x:c>
      <x:c r="G122" s="18" t="n">
        <x:v>26</x:v>
      </x:c>
      <x:c r="H122" s="18" t="n">
        <x:v>33</x:v>
      </x:c>
      <x:c r="I122" s="18" t="n">
        <x:v>26</x:v>
      </x:c>
      <x:c r="J122" s="18" t="n">
        <x:v>603</x:v>
      </x:c>
      <x:c r="K122" s="18" t="n">
        <x:v>26</x:v>
      </x:c>
      <x:c r="L122" s="18" t="n">
        <x:v>62</x:v>
      </x:c>
      <x:c r="M122" s="18" t="n">
        <x:v>26</x:v>
      </x:c>
    </x:row>
    <x:row r="123">
      <x:c r="A123" s="22" t="str">
        <x:v>500101169</x:v>
      </x:c>
      <x:c r="B123" s="17" t="str">
        <x:v>大安區</x:v>
      </x:c>
      <x:c r="C123" s="17" t="str">
        <x:v>捷運信義安和站(4號出口)</x:v>
      </x:c>
      <x:c r="D123" s="18" t="n">
        <x:v>26</x:v>
      </x:c>
      <x:c r="E123" s="18" t="n">
        <x:v>26</x:v>
      </x:c>
      <x:c r="F123" s="18" t="n">
        <x:v>738</x:v>
      </x:c>
      <x:c r="G123" s="18" t="n">
        <x:v>26</x:v>
      </x:c>
      <x:c r="H123" s="18" t="n">
        <x:v>79</x:v>
      </x:c>
      <x:c r="I123" s="18" t="n">
        <x:v>26</x:v>
      </x:c>
      <x:c r="J123" s="18" t="n">
        <x:v>162</x:v>
      </x:c>
      <x:c r="K123" s="18" t="n">
        <x:v>26</x:v>
      </x:c>
      <x:c r="L123" s="18" t="n">
        <x:v>85</x:v>
      </x:c>
      <x:c r="M123" s="18" t="n">
        <x:v>26</x:v>
      </x:c>
    </x:row>
    <x:row r="124">
      <x:c r="A124" s="22" t="str">
        <x:v>500101170</x:v>
      </x:c>
      <x:c r="B124" s="17" t="str">
        <x:v>大安區</x:v>
      </x:c>
      <x:c r="C124" s="17" t="str">
        <x:v>成功國宅</x:v>
      </x:c>
      <x:c r="D124" s="18" t="n">
        <x:v>26</x:v>
      </x:c>
      <x:c r="E124" s="18" t="n">
        <x:v>26</x:v>
      </x:c>
      <x:c r="F124" s="18" t="n">
        <x:v>941</x:v>
      </x:c>
      <x:c r="G124" s="18" t="n">
        <x:v>26</x:v>
      </x:c>
      <x:c r="H124" s="18" t="n">
        <x:v>123</x:v>
      </x:c>
      <x:c r="I124" s="18" t="n">
        <x:v>26</x:v>
      </x:c>
      <x:c r="J124" s="18" t="n">
        <x:v>184</x:v>
      </x:c>
      <x:c r="K124" s="18" t="n">
        <x:v>26</x:v>
      </x:c>
      <x:c r="L124" s="18" t="n">
        <x:v>40</x:v>
      </x:c>
      <x:c r="M124" s="18" t="n">
        <x:v>26</x:v>
      </x:c>
    </x:row>
    <x:row r="125">
      <x:c r="A125" s="22" t="str">
        <x:v>500101171</x:v>
      </x:c>
      <x:c r="B125" s="17" t="str">
        <x:v>大安區</x:v>
      </x:c>
      <x:c r="C125" s="17" t="str">
        <x:v>仁愛延吉街口</x:v>
      </x:c>
      <x:c r="D125" s="18" t="n">
        <x:v>26</x:v>
      </x:c>
      <x:c r="E125" s="18" t="n">
        <x:v>26</x:v>
      </x:c>
      <x:c r="F125" s="18" t="n">
        <x:v>196</x:v>
      </x:c>
      <x:c r="G125" s="18" t="n">
        <x:v>26</x:v>
      </x:c>
      <x:c r="H125" s="18" t="n">
        <x:v>32</x:v>
      </x:c>
      <x:c r="I125" s="18" t="n">
        <x:v>26</x:v>
      </x:c>
      <x:c r="J125" s="18" t="n">
        <x:v>379</x:v>
      </x:c>
      <x:c r="K125" s="18" t="n">
        <x:v>26</x:v>
      </x:c>
      <x:c r="L125" s="18" t="n">
        <x:v>50</x:v>
      </x:c>
      <x:c r="M125" s="18" t="n">
        <x:v>26</x:v>
      </x:c>
    </x:row>
    <x:row r="126">
      <x:c r="A126" s="22" t="str">
        <x:v>500101172</x:v>
      </x:c>
      <x:c r="B126" s="17" t="str">
        <x:v>大安區</x:v>
      </x:c>
      <x:c r="C126" s="17" t="str">
        <x:v>捷運信義安和站(1號出口)</x:v>
      </x:c>
      <x:c r="D126" s="18" t="n">
        <x:v>26</x:v>
      </x:c>
      <x:c r="E126" s="18" t="n">
        <x:v>26</x:v>
      </x:c>
      <x:c r="F126" s="18" t="n">
        <x:v>684</x:v>
      </x:c>
      <x:c r="G126" s="18" t="n">
        <x:v>26</x:v>
      </x:c>
      <x:c r="H126" s="18" t="n">
        <x:v>109</x:v>
      </x:c>
      <x:c r="I126" s="18" t="n">
        <x:v>26</x:v>
      </x:c>
      <x:c r="J126" s="18" t="n">
        <x:v>205</x:v>
      </x:c>
      <x:c r="K126" s="18" t="n">
        <x:v>26</x:v>
      </x:c>
      <x:c r="L126" s="18" t="n">
        <x:v>89</x:v>
      </x:c>
      <x:c r="M126" s="18" t="n">
        <x:v>26</x:v>
      </x:c>
    </x:row>
    <x:row r="127">
      <x:c r="A127" s="22" t="str">
        <x:v>500101173</x:v>
      </x:c>
      <x:c r="B127" s="17" t="str">
        <x:v>大安區</x:v>
      </x:c>
      <x:c r="C127" s="17" t="str">
        <x:v>敦化南路二段103巷口</x:v>
      </x:c>
      <x:c r="D127" s="18" t="n">
        <x:v>26</x:v>
      </x:c>
      <x:c r="E127" s="18" t="n">
        <x:v>26</x:v>
      </x:c>
      <x:c r="F127" s="18" t="n">
        <x:v>129</x:v>
      </x:c>
      <x:c r="G127" s="18" t="n">
        <x:v>26</x:v>
      </x:c>
      <x:c r="H127" s="18" t="n">
        <x:v>59</x:v>
      </x:c>
      <x:c r="I127" s="18" t="n">
        <x:v>26</x:v>
      </x:c>
      <x:c r="J127" s="18" t="n">
        <x:v>3567</x:v>
      </x:c>
      <x:c r="K127" s="18" t="n">
        <x:v>26</x:v>
      </x:c>
      <x:c r="L127" s="18" t="n">
        <x:v>84</x:v>
      </x:c>
      <x:c r="M127" s="18" t="n">
        <x:v>26</x:v>
      </x:c>
    </x:row>
    <x:row r="128">
      <x:c r="A128" s="22" t="str">
        <x:v>500101174</x:v>
      </x:c>
      <x:c r="B128" s="17" t="str">
        <x:v>大安區</x:v>
      </x:c>
      <x:c r="C128" s="17" t="str">
        <x:v>復興南路二段128巷口</x:v>
      </x:c>
      <x:c r="D128" s="18" t="n">
        <x:v>26</x:v>
      </x:c>
      <x:c r="E128" s="18" t="n">
        <x:v>26</x:v>
      </x:c>
      <x:c r="F128" s="18" t="n">
        <x:v>320</x:v>
      </x:c>
      <x:c r="G128" s="18" t="n">
        <x:v>26</x:v>
      </x:c>
      <x:c r="H128" s="18" t="n">
        <x:v>73</x:v>
      </x:c>
      <x:c r="I128" s="18" t="n">
        <x:v>26</x:v>
      </x:c>
      <x:c r="J128" s="18" t="n">
        <x:v>206</x:v>
      </x:c>
      <x:c r="K128" s="18" t="n">
        <x:v>26</x:v>
      </x:c>
      <x:c r="L128" s="18" t="n">
        <x:v>80</x:v>
      </x:c>
      <x:c r="M128" s="18" t="n">
        <x:v>26</x:v>
      </x:c>
    </x:row>
    <x:row r="129">
      <x:c r="A129" s="22" t="str">
        <x:v>500101175</x:v>
      </x:c>
      <x:c r="B129" s="17" t="str">
        <x:v>大安區</x:v>
      </x:c>
      <x:c r="C129" s="17" t="str">
        <x:v>和平東建國南路口</x:v>
      </x:c>
      <x:c r="D129" s="18" t="n">
        <x:v>26</x:v>
      </x:c>
      <x:c r="E129" s="18" t="n">
        <x:v>26</x:v>
      </x:c>
      <x:c r="F129" s="18" t="n">
        <x:v>142</x:v>
      </x:c>
      <x:c r="G129" s="18" t="n">
        <x:v>26</x:v>
      </x:c>
      <x:c r="H129" s="18" t="n">
        <x:v>21</x:v>
      </x:c>
      <x:c r="I129" s="18" t="n">
        <x:v>26</x:v>
      </x:c>
      <x:c r="J129" s="18" t="n">
        <x:v>153</x:v>
      </x:c>
      <x:c r="K129" s="18" t="n">
        <x:v>26</x:v>
      </x:c>
      <x:c r="L129" s="18" t="n">
        <x:v>33</x:v>
      </x:c>
      <x:c r="M129" s="18" t="n">
        <x:v>26</x:v>
      </x:c>
    </x:row>
    <x:row r="130">
      <x:c r="A130" s="22" t="str">
        <x:v>500101176</x:v>
      </x:c>
      <x:c r="B130" s="17" t="str">
        <x:v>大安區</x:v>
      </x:c>
      <x:c r="C130" s="17" t="str">
        <x:v>芳蘭山莊</x:v>
      </x:c>
      <x:c r="D130" s="18" t="n">
        <x:v>26</x:v>
      </x:c>
      <x:c r="E130" s="18" t="n">
        <x:v>26</x:v>
      </x:c>
      <x:c r="F130" s="18" t="n">
        <x:v>249</x:v>
      </x:c>
      <x:c r="G130" s="18" t="n">
        <x:v>26</x:v>
      </x:c>
      <x:c r="H130" s="18" t="n">
        <x:v>52</x:v>
      </x:c>
      <x:c r="I130" s="18" t="n">
        <x:v>26</x:v>
      </x:c>
      <x:c r="J130" s="18" t="n">
        <x:v>128</x:v>
      </x:c>
      <x:c r="K130" s="18" t="n">
        <x:v>26</x:v>
      </x:c>
      <x:c r="L130" s="18" t="n">
        <x:v>24</x:v>
      </x:c>
      <x:c r="M130" s="18" t="n">
        <x:v>26</x:v>
      </x:c>
    </x:row>
    <x:row r="131">
      <x:c r="A131" s="22" t="str">
        <x:v>500101177</x:v>
      </x:c>
      <x:c r="B131" s="17" t="str">
        <x:v>大安區</x:v>
      </x:c>
      <x:c r="C131" s="17" t="str">
        <x:v>復興南路一段126巷口</x:v>
      </x:c>
      <x:c r="D131" s="18" t="n">
        <x:v>26</x:v>
      </x:c>
      <x:c r="E131" s="18" t="n">
        <x:v>26</x:v>
      </x:c>
      <x:c r="F131" s="18" t="n">
        <x:v>150</x:v>
      </x:c>
      <x:c r="G131" s="18" t="n">
        <x:v>26</x:v>
      </x:c>
      <x:c r="H131" s="18" t="n">
        <x:v>28</x:v>
      </x:c>
      <x:c r="I131" s="18" t="n">
        <x:v>26</x:v>
      </x:c>
      <x:c r="J131" s="18" t="n">
        <x:v>131</x:v>
      </x:c>
      <x:c r="K131" s="18" t="n">
        <x:v>26</x:v>
      </x:c>
      <x:c r="L131" s="18" t="n">
        <x:v>33</x:v>
      </x:c>
      <x:c r="M131" s="18" t="n">
        <x:v>26</x:v>
      </x:c>
    </x:row>
    <x:row r="132">
      <x:c r="A132" s="22" t="str">
        <x:v>500101178</x:v>
      </x:c>
      <x:c r="B132" s="17" t="str">
        <x:v>大安區</x:v>
      </x:c>
      <x:c r="C132" s="17" t="str">
        <x:v>羅斯福新生南路口</x:v>
      </x:c>
      <x:c r="D132" s="18" t="n">
        <x:v>26</x:v>
      </x:c>
      <x:c r="E132" s="18" t="n">
        <x:v>14</x:v>
      </x:c>
      <x:c r="F132" s="18" t="n">
        <x:v>0</x:v>
      </x:c>
      <x:c r="G132" s="18" t="n">
        <x:v>14</x:v>
      </x:c>
      <x:c r="H132" s="18" t="n">
        <x:v>0</x:v>
      </x:c>
      <x:c r="I132" s="18" t="n">
        <x:v>14</x:v>
      </x:c>
      <x:c r="J132" s="18" t="n">
        <x:v>0</x:v>
      </x:c>
      <x:c r="K132" s="18" t="n">
        <x:v>13</x:v>
      </x:c>
      <x:c r="L132" s="18" t="n">
        <x:v>0</x:v>
      </x:c>
      <x:c r="M132" s="18" t="n">
        <x:v>13</x:v>
      </x:c>
    </x:row>
    <x:row r="133">
      <x:c r="A133" s="22" t="str">
        <x:v>500101179</x:v>
      </x:c>
      <x:c r="B133" s="17" t="str">
        <x:v>大安區</x:v>
      </x:c>
      <x:c r="C133" s="17" t="str">
        <x:v>捷運東門站(5號出口)</x:v>
      </x:c>
      <x:c r="D133" s="18" t="n">
        <x:v>26</x:v>
      </x:c>
      <x:c r="E133" s="18" t="n">
        <x:v>26</x:v>
      </x:c>
      <x:c r="F133" s="18" t="n">
        <x:v>369</x:v>
      </x:c>
      <x:c r="G133" s="18" t="n">
        <x:v>26</x:v>
      </x:c>
      <x:c r="H133" s="18" t="n">
        <x:v>60</x:v>
      </x:c>
      <x:c r="I133" s="18" t="n">
        <x:v>26</x:v>
      </x:c>
      <x:c r="J133" s="18" t="n">
        <x:v>284</x:v>
      </x:c>
      <x:c r="K133" s="18" t="n">
        <x:v>26</x:v>
      </x:c>
      <x:c r="L133" s="18" t="n">
        <x:v>58</x:v>
      </x:c>
      <x:c r="M133" s="18" t="n">
        <x:v>26</x:v>
      </x:c>
    </x:row>
    <x:row r="134">
      <x:c r="A134" s="22" t="str">
        <x:v>500101180</x:v>
      </x:c>
      <x:c r="B134" s="17" t="str">
        <x:v>大安區</x:v>
      </x:c>
      <x:c r="C134" s="17" t="str">
        <x:v>仁愛路四段48巷口</x:v>
      </x:c>
      <x:c r="D134" s="18" t="n">
        <x:v>26</x:v>
      </x:c>
      <x:c r="E134" s="18" t="n">
        <x:v>26</x:v>
      </x:c>
      <x:c r="F134" s="18" t="n">
        <x:v>114</x:v>
      </x:c>
      <x:c r="G134" s="18" t="n">
        <x:v>26</x:v>
      </x:c>
      <x:c r="H134" s="18" t="n">
        <x:v>35</x:v>
      </x:c>
      <x:c r="I134" s="18" t="n">
        <x:v>26</x:v>
      </x:c>
      <x:c r="J134" s="18" t="n">
        <x:v>147</x:v>
      </x:c>
      <x:c r="K134" s="18" t="n">
        <x:v>26</x:v>
      </x:c>
      <x:c r="L134" s="18" t="n">
        <x:v>28</x:v>
      </x:c>
      <x:c r="M134" s="18" t="n">
        <x:v>26</x:v>
      </x:c>
    </x:row>
    <x:row r="135">
      <x:c r="A135" s="22" t="str">
        <x:v>500101181</x:v>
      </x:c>
      <x:c r="B135" s="17" t="str">
        <x:v>大安區</x:v>
      </x:c>
      <x:c r="C135" s="17" t="str">
        <x:v>捷運公館站(3號出口)</x:v>
      </x:c>
      <x:c r="D135" s="18" t="n">
        <x:v>26</x:v>
      </x:c>
      <x:c r="E135" s="18" t="n">
        <x:v>26</x:v>
      </x:c>
      <x:c r="F135" s="18" t="n">
        <x:v>2099</x:v>
      </x:c>
      <x:c r="G135" s="18" t="n">
        <x:v>26</x:v>
      </x:c>
      <x:c r="H135" s="18" t="n">
        <x:v>64</x:v>
      </x:c>
      <x:c r="I135" s="18" t="n">
        <x:v>26</x:v>
      </x:c>
      <x:c r="J135" s="18" t="n">
        <x:v>918</x:v>
      </x:c>
      <x:c r="K135" s="18" t="n">
        <x:v>26</x:v>
      </x:c>
      <x:c r="L135" s="18" t="n">
        <x:v>84</x:v>
      </x:c>
      <x:c r="M135" s="18" t="n">
        <x:v>26</x:v>
      </x:c>
    </x:row>
    <x:row r="136">
      <x:c r="A136" s="22" t="str">
        <x:v>500101182</x:v>
      </x:c>
      <x:c r="B136" s="17" t="str">
        <x:v>大安區</x:v>
      </x:c>
      <x:c r="C136" s="17" t="str">
        <x:v>臺北科技大學(電機工程系)</x:v>
      </x:c>
      <x:c r="D136" s="18" t="n">
        <x:v>26</x:v>
      </x:c>
      <x:c r="E136" s="18" t="n">
        <x:v>26</x:v>
      </x:c>
      <x:c r="F136" s="18" t="n">
        <x:v>186</x:v>
      </x:c>
      <x:c r="G136" s="18" t="n">
        <x:v>26</x:v>
      </x:c>
      <x:c r="H136" s="18" t="n">
        <x:v>49</x:v>
      </x:c>
      <x:c r="I136" s="18" t="n">
        <x:v>26</x:v>
      </x:c>
      <x:c r="J136" s="18" t="n">
        <x:v>485</x:v>
      </x:c>
      <x:c r="K136" s="18" t="n">
        <x:v>26</x:v>
      </x:c>
      <x:c r="L136" s="18" t="n">
        <x:v>75</x:v>
      </x:c>
      <x:c r="M136" s="18" t="n">
        <x:v>26</x:v>
      </x:c>
    </x:row>
    <x:row r="137">
      <x:c r="A137" s="22" t="str">
        <x:v>500101183</x:v>
      </x:c>
      <x:c r="B137" s="17" t="str">
        <x:v>大安區</x:v>
      </x:c>
      <x:c r="C137" s="17" t="str">
        <x:v>忠孝東路三段217巷口</x:v>
      </x:c>
      <x:c r="D137" s="18" t="n">
        <x:v>26</x:v>
      </x:c>
      <x:c r="E137" s="18" t="n">
        <x:v>26</x:v>
      </x:c>
      <x:c r="F137" s="18" t="n">
        <x:v>0</x:v>
      </x:c>
      <x:c r="G137" s="18" t="n">
        <x:v>26</x:v>
      </x:c>
      <x:c r="H137" s="18" t="n">
        <x:v>0</x:v>
      </x:c>
      <x:c r="I137" s="18" t="n">
        <x:v>26</x:v>
      </x:c>
      <x:c r="J137" s="18" t="n">
        <x:v>0</x:v>
      </x:c>
      <x:c r="K137" s="18" t="n">
        <x:v>26</x:v>
      </x:c>
      <x:c r="L137" s="18" t="n">
        <x:v>0</x:v>
      </x:c>
      <x:c r="M137" s="18" t="n">
        <x:v>26</x:v>
      </x:c>
    </x:row>
    <x:row r="138">
      <x:c r="A138" s="22" t="str">
        <x:v>500101184</x:v>
      </x:c>
      <x:c r="B138" s="17" t="str">
        <x:v>大安區</x:v>
      </x:c>
      <x:c r="C138" s="17" t="str">
        <x:v>新生南路三段94巷口</x:v>
      </x:c>
      <x:c r="D138" s="18" t="n">
        <x:v>26</x:v>
      </x:c>
      <x:c r="E138" s="18" t="n">
        <x:v>26</x:v>
      </x:c>
      <x:c r="F138" s="18" t="n">
        <x:v>143</x:v>
      </x:c>
      <x:c r="G138" s="18" t="n">
        <x:v>26</x:v>
      </x:c>
      <x:c r="H138" s="18" t="n">
        <x:v>9</x:v>
      </x:c>
      <x:c r="I138" s="18" t="n">
        <x:v>26</x:v>
      </x:c>
      <x:c r="J138" s="18" t="n">
        <x:v>133</x:v>
      </x:c>
      <x:c r="K138" s="18" t="n">
        <x:v>26</x:v>
      </x:c>
      <x:c r="L138" s="18" t="n">
        <x:v>19</x:v>
      </x:c>
      <x:c r="M138" s="18" t="n">
        <x:v>26</x:v>
      </x:c>
    </x:row>
    <x:row r="139">
      <x:c r="A139" s="22" t="str">
        <x:v>500101185</x:v>
      </x:c>
      <x:c r="B139" s="17" t="str">
        <x:v>大安區</x:v>
      </x:c>
      <x:c r="C139" s="17" t="str">
        <x:v>辛亥新生路口西北側</x:v>
      </x:c>
      <x:c r="D139" s="18" t="n">
        <x:v>26</x:v>
      </x:c>
      <x:c r="E139" s="18" t="n">
        <x:v>26</x:v>
      </x:c>
      <x:c r="F139" s="18" t="n">
        <x:v>398</x:v>
      </x:c>
      <x:c r="G139" s="18" t="n">
        <x:v>26</x:v>
      </x:c>
      <x:c r="H139" s="18" t="n">
        <x:v>102</x:v>
      </x:c>
      <x:c r="I139" s="18" t="n">
        <x:v>26</x:v>
      </x:c>
      <x:c r="J139" s="18" t="n">
        <x:v>139</x:v>
      </x:c>
      <x:c r="K139" s="18" t="n">
        <x:v>26</x:v>
      </x:c>
      <x:c r="L139" s="18" t="n">
        <x:v>37</x:v>
      </x:c>
      <x:c r="M139" s="18" t="n">
        <x:v>26</x:v>
      </x:c>
    </x:row>
    <x:row r="140">
      <x:c r="A140" s="22" t="str">
        <x:v>500101186</x:v>
      </x:c>
      <x:c r="B140" s="17" t="str">
        <x:v>大安區</x:v>
      </x:c>
      <x:c r="C140" s="17" t="str">
        <x:v>捷運大安站(6號出口)</x:v>
      </x:c>
      <x:c r="D140" s="18" t="n">
        <x:v>26</x:v>
      </x:c>
      <x:c r="E140" s="18" t="n">
        <x:v>26</x:v>
      </x:c>
      <x:c r="F140" s="18" t="n">
        <x:v>430</x:v>
      </x:c>
      <x:c r="G140" s="18" t="n">
        <x:v>26</x:v>
      </x:c>
      <x:c r="H140" s="18" t="n">
        <x:v>37</x:v>
      </x:c>
      <x:c r="I140" s="18" t="n">
        <x:v>26</x:v>
      </x:c>
      <x:c r="J140" s="18" t="n">
        <x:v>211</x:v>
      </x:c>
      <x:c r="K140" s="18" t="n">
        <x:v>26</x:v>
      </x:c>
      <x:c r="L140" s="18" t="n">
        <x:v>38</x:v>
      </x:c>
      <x:c r="M140" s="18" t="n">
        <x:v>26</x:v>
      </x:c>
    </x:row>
    <x:row r="141">
      <x:c r="A141" s="22" t="str">
        <x:v>500101187</x:v>
      </x:c>
      <x:c r="B141" s="17" t="str">
        <x:v>大安區</x:v>
      </x:c>
      <x:c r="C141" s="17" t="str">
        <x:v>臥龍街195巷口</x:v>
      </x:c>
      <x:c r="D141" s="18" t="n">
        <x:v>26</x:v>
      </x:c>
      <x:c r="E141" s="18" t="n">
        <x:v>26</x:v>
      </x:c>
      <x:c r="F141" s="18" t="n">
        <x:v>290</x:v>
      </x:c>
      <x:c r="G141" s="18" t="n">
        <x:v>26</x:v>
      </x:c>
      <x:c r="H141" s="18" t="n">
        <x:v>34</x:v>
      </x:c>
      <x:c r="I141" s="18" t="n">
        <x:v>26</x:v>
      </x:c>
      <x:c r="J141" s="18" t="n">
        <x:v>87</x:v>
      </x:c>
      <x:c r="K141" s="18" t="n">
        <x:v>26</x:v>
      </x:c>
      <x:c r="L141" s="18" t="n">
        <x:v>29</x:v>
      </x:c>
      <x:c r="M141" s="18" t="n">
        <x:v>26</x:v>
      </x:c>
    </x:row>
    <x:row r="142">
      <x:c r="A142" s="22" t="str">
        <x:v>500101188</x:v>
      </x:c>
      <x:c r="B142" s="17" t="str">
        <x:v>大安區</x:v>
      </x:c>
      <x:c r="C142" s="17" t="str">
        <x:v>辛亥路三段157巷口</x:v>
      </x:c>
      <x:c r="D142" s="18" t="n">
        <x:v>26</x:v>
      </x:c>
      <x:c r="E142" s="18" t="n">
        <x:v>26</x:v>
      </x:c>
      <x:c r="F142" s="18" t="n">
        <x:v>321</x:v>
      </x:c>
      <x:c r="G142" s="18" t="n">
        <x:v>26</x:v>
      </x:c>
      <x:c r="H142" s="18" t="n">
        <x:v>30</x:v>
      </x:c>
      <x:c r="I142" s="18" t="n">
        <x:v>26</x:v>
      </x:c>
      <x:c r="J142" s="18" t="n">
        <x:v>278</x:v>
      </x:c>
      <x:c r="K142" s="18" t="n">
        <x:v>26</x:v>
      </x:c>
      <x:c r="L142" s="18" t="n">
        <x:v>14</x:v>
      </x:c>
      <x:c r="M142" s="18" t="n">
        <x:v>26</x:v>
      </x:c>
    </x:row>
    <x:row r="143">
      <x:c r="A143" s="22" t="str">
        <x:v>500101189</x:v>
      </x:c>
      <x:c r="B143" s="17" t="str">
        <x:v>大安區</x:v>
      </x:c>
      <x:c r="C143" s="17" t="str">
        <x:v>臥龍基隆路口</x:v>
      </x:c>
      <x:c r="D143" s="18" t="n">
        <x:v>26</x:v>
      </x:c>
      <x:c r="E143" s="18" t="n">
        <x:v>26</x:v>
      </x:c>
      <x:c r="F143" s="18" t="n">
        <x:v>110</x:v>
      </x:c>
      <x:c r="G143" s="18" t="n">
        <x:v>26</x:v>
      </x:c>
      <x:c r="H143" s="18" t="n">
        <x:v>15</x:v>
      </x:c>
      <x:c r="I143" s="18" t="n">
        <x:v>26</x:v>
      </x:c>
      <x:c r="J143" s="18" t="n">
        <x:v>157</x:v>
      </x:c>
      <x:c r="K143" s="18" t="n">
        <x:v>26</x:v>
      </x:c>
      <x:c r="L143" s="18" t="n">
        <x:v>20</x:v>
      </x:c>
      <x:c r="M143" s="18" t="n">
        <x:v>26</x:v>
      </x:c>
    </x:row>
    <x:row r="144">
      <x:c r="A144" s="22" t="str">
        <x:v>500101190</x:v>
      </x:c>
      <x:c r="B144" s="17" t="str">
        <x:v>大安區</x:v>
      </x:c>
      <x:c r="C144" s="17" t="str">
        <x:v>敦親公園</x:v>
      </x:c>
      <x:c r="D144" s="18" t="n">
        <x:v>26</x:v>
      </x:c>
      <x:c r="E144" s="18" t="n">
        <x:v>26</x:v>
      </x:c>
      <x:c r="F144" s="18" t="n">
        <x:v>504</x:v>
      </x:c>
      <x:c r="G144" s="18" t="n">
        <x:v>26</x:v>
      </x:c>
      <x:c r="H144" s="18" t="n">
        <x:v>69</x:v>
      </x:c>
      <x:c r="I144" s="18" t="n">
        <x:v>26</x:v>
      </x:c>
      <x:c r="J144" s="18" t="n">
        <x:v>163</x:v>
      </x:c>
      <x:c r="K144" s="18" t="n">
        <x:v>26</x:v>
      </x:c>
      <x:c r="L144" s="18" t="n">
        <x:v>45</x:v>
      </x:c>
      <x:c r="M144" s="18" t="n">
        <x:v>26</x:v>
      </x:c>
    </x:row>
    <x:row r="145">
      <x:c r="A145" s="22" t="str">
        <x:v>500101191</x:v>
      </x:c>
      <x:c r="B145" s="17" t="str">
        <x:v>大安區</x:v>
      </x:c>
      <x:c r="C145" s="17" t="str">
        <x:v>大安運動中心</x:v>
      </x:c>
      <x:c r="D145" s="18" t="n">
        <x:v>26</x:v>
      </x:c>
      <x:c r="E145" s="18" t="n">
        <x:v>26</x:v>
      </x:c>
      <x:c r="F145" s="18" t="n">
        <x:v>356</x:v>
      </x:c>
      <x:c r="G145" s="18" t="n">
        <x:v>26</x:v>
      </x:c>
      <x:c r="H145" s="18" t="n">
        <x:v>82</x:v>
      </x:c>
      <x:c r="I145" s="18" t="n">
        <x:v>26</x:v>
      </x:c>
      <x:c r="J145" s="18" t="n">
        <x:v>531</x:v>
      </x:c>
      <x:c r="K145" s="18" t="n">
        <x:v>26</x:v>
      </x:c>
      <x:c r="L145" s="18" t="n">
        <x:v>167</x:v>
      </x:c>
      <x:c r="M145" s="18" t="n">
        <x:v>26</x:v>
      </x:c>
    </x:row>
    <x:row r="146">
      <x:c r="A146" s="22" t="str">
        <x:v>500101192</x:v>
      </x:c>
      <x:c r="B146" s="17" t="str">
        <x:v>大安區</x:v>
      </x:c>
      <x:c r="C146" s="17" t="str">
        <x:v>和平敦化路口</x:v>
      </x:c>
      <x:c r="D146" s="18" t="n">
        <x:v>26</x:v>
      </x:c>
      <x:c r="E146" s="18" t="n">
        <x:v>26</x:v>
      </x:c>
      <x:c r="F146" s="18" t="n">
        <x:v>324</x:v>
      </x:c>
      <x:c r="G146" s="18" t="n">
        <x:v>26</x:v>
      </x:c>
      <x:c r="H146" s="18" t="n">
        <x:v>38</x:v>
      </x:c>
      <x:c r="I146" s="18" t="n">
        <x:v>26</x:v>
      </x:c>
      <x:c r="J146" s="18" t="n">
        <x:v>265</x:v>
      </x:c>
      <x:c r="K146" s="18" t="n">
        <x:v>26</x:v>
      </x:c>
      <x:c r="L146" s="18" t="n">
        <x:v>44</x:v>
      </x:c>
      <x:c r="M146" s="18" t="n">
        <x:v>26</x:v>
      </x:c>
    </x:row>
    <x:row r="147">
      <x:c r="A147" s="22" t="str">
        <x:v>500101193</x:v>
      </x:c>
      <x:c r="B147" s="17" t="str">
        <x:v>大安區</x:v>
      </x:c>
      <x:c r="C147" s="17" t="str">
        <x:v>基隆長興路口</x:v>
      </x:c>
      <x:c r="D147" s="18" t="n">
        <x:v>26</x:v>
      </x:c>
      <x:c r="E147" s="18" t="n">
        <x:v>26</x:v>
      </x:c>
      <x:c r="F147" s="18" t="n">
        <x:v>1135</x:v>
      </x:c>
      <x:c r="G147" s="18" t="n">
        <x:v>26</x:v>
      </x:c>
      <x:c r="H147" s="18" t="n">
        <x:v>90</x:v>
      </x:c>
      <x:c r="I147" s="18" t="n">
        <x:v>26</x:v>
      </x:c>
      <x:c r="J147" s="18" t="n">
        <x:v>284</x:v>
      </x:c>
      <x:c r="K147" s="18" t="n">
        <x:v>26</x:v>
      </x:c>
      <x:c r="L147" s="18" t="n">
        <x:v>82</x:v>
      </x:c>
      <x:c r="M147" s="18" t="n">
        <x:v>26</x:v>
      </x:c>
    </x:row>
    <x:row r="148">
      <x:c r="A148" s="22" t="str">
        <x:v>500101194</x:v>
      </x:c>
      <x:c r="B148" s="17" t="str">
        <x:v>大安區</x:v>
      </x:c>
      <x:c r="C148" s="17" t="str">
        <x:v>仁愛路四段122巷口</x:v>
      </x:c>
      <x:c r="D148" s="18" t="n">
        <x:v>26</x:v>
      </x:c>
      <x:c r="E148" s="18" t="n">
        <x:v>26</x:v>
      </x:c>
      <x:c r="F148" s="18" t="n">
        <x:v>122</x:v>
      </x:c>
      <x:c r="G148" s="18" t="n">
        <x:v>26</x:v>
      </x:c>
      <x:c r="H148" s="18" t="n">
        <x:v>18</x:v>
      </x:c>
      <x:c r="I148" s="18" t="n">
        <x:v>26</x:v>
      </x:c>
      <x:c r="J148" s="18" t="n">
        <x:v>402</x:v>
      </x:c>
      <x:c r="K148" s="18" t="n">
        <x:v>26</x:v>
      </x:c>
      <x:c r="L148" s="18" t="n">
        <x:v>40</x:v>
      </x:c>
      <x:c r="M148" s="18" t="n">
        <x:v>26</x:v>
      </x:c>
    </x:row>
    <x:row r="149">
      <x:c r="A149" s="22" t="str">
        <x:v>500101195</x:v>
      </x:c>
      <x:c r="B149" s="17" t="str">
        <x:v>大安區</x:v>
      </x:c>
      <x:c r="C149" s="17" t="str">
        <x:v>忠孝延吉街口</x:v>
      </x:c>
      <x:c r="D149" s="18" t="n">
        <x:v>26</x:v>
      </x:c>
      <x:c r="E149" s="18" t="n">
        <x:v>26</x:v>
      </x:c>
      <x:c r="F149" s="18" t="n">
        <x:v>0</x:v>
      </x:c>
      <x:c r="G149" s="18" t="n">
        <x:v>26</x:v>
      </x:c>
      <x:c r="H149" s="18" t="n">
        <x:v>0</x:v>
      </x:c>
      <x:c r="I149" s="18" t="n">
        <x:v>26</x:v>
      </x:c>
      <x:c r="J149" s="18" t="n">
        <x:v>0</x:v>
      </x:c>
      <x:c r="K149" s="18" t="n">
        <x:v>26</x:v>
      </x:c>
      <x:c r="L149" s="18" t="n">
        <x:v>0</x:v>
      </x:c>
      <x:c r="M149" s="18" t="n">
        <x:v>26</x:v>
      </x:c>
    </x:row>
    <x:row r="150">
      <x:c r="A150" s="22" t="str">
        <x:v>500101196</x:v>
      </x:c>
      <x:c r="B150" s="17" t="str">
        <x:v>大安區</x:v>
      </x:c>
      <x:c r="C150" s="17" t="str">
        <x:v>市民敦化路口</x:v>
      </x:c>
      <x:c r="D150" s="18" t="n">
        <x:v>26</x:v>
      </x:c>
      <x:c r="E150" s="18" t="n">
        <x:v>26</x:v>
      </x:c>
      <x:c r="F150" s="18" t="n">
        <x:v>222</x:v>
      </x:c>
      <x:c r="G150" s="18" t="n">
        <x:v>26</x:v>
      </x:c>
      <x:c r="H150" s="18" t="n">
        <x:v>38</x:v>
      </x:c>
      <x:c r="I150" s="18" t="n">
        <x:v>26</x:v>
      </x:c>
      <x:c r="J150" s="18" t="n">
        <x:v>311</x:v>
      </x:c>
      <x:c r="K150" s="18" t="n">
        <x:v>26</x:v>
      </x:c>
      <x:c r="L150" s="18" t="n">
        <x:v>59</x:v>
      </x:c>
      <x:c r="M150" s="18" t="n">
        <x:v>26</x:v>
      </x:c>
    </x:row>
    <x:row r="151">
      <x:c r="A151" s="22" t="str">
        <x:v>500101197</x:v>
      </x:c>
      <x:c r="B151" s="17" t="str">
        <x:v>大安區</x:v>
      </x:c>
      <x:c r="C151" s="17" t="str">
        <x:v>忠孝東路四段49巷口</x:v>
      </x:c>
      <x:c r="D151" s="18" t="n">
        <x:v>26</x:v>
      </x:c>
      <x:c r="E151" s="18" t="n">
        <x:v>26</x:v>
      </x:c>
      <x:c r="F151" s="18" t="n">
        <x:v>181</x:v>
      </x:c>
      <x:c r="G151" s="18" t="n">
        <x:v>26</x:v>
      </x:c>
      <x:c r="H151" s="18" t="n">
        <x:v>19</x:v>
      </x:c>
      <x:c r="I151" s="18" t="n">
        <x:v>26</x:v>
      </x:c>
      <x:c r="J151" s="18" t="n">
        <x:v>188</x:v>
      </x:c>
      <x:c r="K151" s="18" t="n">
        <x:v>26</x:v>
      </x:c>
      <x:c r="L151" s="18" t="n">
        <x:v>32</x:v>
      </x:c>
      <x:c r="M151" s="18" t="n">
        <x:v>26</x:v>
      </x:c>
    </x:row>
    <x:row r="152">
      <x:c r="A152" s="22" t="str">
        <x:v>500101198</x:v>
      </x:c>
      <x:c r="B152" s="17" t="str">
        <x:v>大安區</x:v>
      </x:c>
      <x:c r="C152" s="17" t="str">
        <x:v>市民復興路口(東南側)</x:v>
      </x:c>
      <x:c r="D152" s="18" t="n">
        <x:v>26</x:v>
      </x:c>
      <x:c r="E152" s="18" t="n">
        <x:v>26</x:v>
      </x:c>
      <x:c r="F152" s="18" t="n">
        <x:v>166</x:v>
      </x:c>
      <x:c r="G152" s="18" t="n">
        <x:v>26</x:v>
      </x:c>
      <x:c r="H152" s="18" t="n">
        <x:v>19</x:v>
      </x:c>
      <x:c r="I152" s="18" t="n">
        <x:v>26</x:v>
      </x:c>
      <x:c r="J152" s="18" t="n">
        <x:v>264</x:v>
      </x:c>
      <x:c r="K152" s="18" t="n">
        <x:v>26</x:v>
      </x:c>
      <x:c r="L152" s="18" t="n">
        <x:v>76</x:v>
      </x:c>
      <x:c r="M152" s="18" t="n">
        <x:v>26</x:v>
      </x:c>
    </x:row>
    <x:row r="153">
      <x:c r="A153" s="22" t="str">
        <x:v>500101199</x:v>
      </x:c>
      <x:c r="B153" s="17" t="str">
        <x:v>大安區</x:v>
      </x:c>
      <x:c r="C153" s="17" t="str">
        <x:v>和平新生路口西南側</x:v>
      </x:c>
      <x:c r="D153" s="18" t="n">
        <x:v>26</x:v>
      </x:c>
      <x:c r="E153" s="18" t="n">
        <x:v>26</x:v>
      </x:c>
      <x:c r="F153" s="18" t="n">
        <x:v>332</x:v>
      </x:c>
      <x:c r="G153" s="18" t="n">
        <x:v>26</x:v>
      </x:c>
      <x:c r="H153" s="18" t="n">
        <x:v>84</x:v>
      </x:c>
      <x:c r="I153" s="18" t="n">
        <x:v>26</x:v>
      </x:c>
      <x:c r="J153" s="18" t="n">
        <x:v>139</x:v>
      </x:c>
      <x:c r="K153" s="18" t="n">
        <x:v>26</x:v>
      </x:c>
      <x:c r="L153" s="18" t="n">
        <x:v>43</x:v>
      </x:c>
      <x:c r="M153" s="18" t="n">
        <x:v>26</x:v>
      </x:c>
    </x:row>
    <x:row r="154">
      <x:c r="A154" s="22" t="str">
        <x:v>500101200</x:v>
      </x:c>
      <x:c r="B154" s="17" t="str">
        <x:v>大安區</x:v>
      </x:c>
      <x:c r="C154" s="17" t="str">
        <x:v>全安公園</x:v>
      </x:c>
      <x:c r="D154" s="18" t="n">
        <x:v>26</x:v>
      </x:c>
      <x:c r="E154" s="18" t="n">
        <x:v>26</x:v>
      </x:c>
      <x:c r="F154" s="18" t="n">
        <x:v>265</x:v>
      </x:c>
      <x:c r="G154" s="18" t="n">
        <x:v>26</x:v>
      </x:c>
      <x:c r="H154" s="18" t="n">
        <x:v>43</x:v>
      </x:c>
      <x:c r="I154" s="18" t="n">
        <x:v>26</x:v>
      </x:c>
      <x:c r="J154" s="18" t="n">
        <x:v>108</x:v>
      </x:c>
      <x:c r="K154" s="18" t="n">
        <x:v>26</x:v>
      </x:c>
      <x:c r="L154" s="18" t="n">
        <x:v>45</x:v>
      </x:c>
      <x:c r="M154" s="18" t="n">
        <x:v>26</x:v>
      </x:c>
    </x:row>
    <x:row r="155">
      <x:c r="A155" s="22" t="str">
        <x:v>500101201</x:v>
      </x:c>
      <x:c r="B155" s="17" t="str">
        <x:v>大安區</x:v>
      </x:c>
      <x:c r="C155" s="17" t="str">
        <x:v>信義路三段134巷口</x:v>
      </x:c>
      <x:c r="D155" s="18" t="n">
        <x:v>26</x:v>
      </x:c>
      <x:c r="E155" s="18" t="n">
        <x:v>26</x:v>
      </x:c>
      <x:c r="F155" s="18" t="n">
        <x:v>109</x:v>
      </x:c>
      <x:c r="G155" s="18" t="n">
        <x:v>26</x:v>
      </x:c>
      <x:c r="H155" s="18" t="n">
        <x:v>24</x:v>
      </x:c>
      <x:c r="I155" s="18" t="n">
        <x:v>26</x:v>
      </x:c>
      <x:c r="J155" s="18" t="n">
        <x:v>195</x:v>
      </x:c>
      <x:c r="K155" s="18" t="n">
        <x:v>26</x:v>
      </x:c>
      <x:c r="L155" s="18" t="n">
        <x:v>28</x:v>
      </x:c>
      <x:c r="M155" s="18" t="n">
        <x:v>26</x:v>
      </x:c>
    </x:row>
    <x:row r="156">
      <x:c r="A156" s="22" t="str">
        <x:v>500101202</x:v>
      </x:c>
      <x:c r="B156" s="17" t="str">
        <x:v>大安區</x:v>
      </x:c>
      <x:c r="C156" s="17" t="str">
        <x:v>仁愛敦南圓環(東南側)</x:v>
      </x:c>
      <x:c r="D156" s="18" t="n">
        <x:v>26</x:v>
      </x:c>
      <x:c r="E156" s="18" t="n">
        <x:v>26</x:v>
      </x:c>
      <x:c r="F156" s="18" t="n">
        <x:v>70</x:v>
      </x:c>
      <x:c r="G156" s="18" t="n">
        <x:v>26</x:v>
      </x:c>
      <x:c r="H156" s="18" t="n">
        <x:v>31</x:v>
      </x:c>
      <x:c r="I156" s="18" t="n">
        <x:v>26</x:v>
      </x:c>
      <x:c r="J156" s="18" t="n">
        <x:v>252</x:v>
      </x:c>
      <x:c r="K156" s="18" t="n">
        <x:v>26</x:v>
      </x:c>
      <x:c r="L156" s="18" t="n">
        <x:v>34</x:v>
      </x:c>
      <x:c r="M156" s="18" t="n">
        <x:v>26</x:v>
      </x:c>
    </x:row>
    <x:row r="157">
      <x:c r="A157" s="22" t="str">
        <x:v>500101203</x:v>
      </x:c>
      <x:c r="B157" s="17" t="str">
        <x:v>大安區</x:v>
      </x:c>
      <x:c r="C157" s="17" t="str">
        <x:v>臺北遠企購物中心</x:v>
      </x:c>
      <x:c r="D157" s="18" t="n">
        <x:v>26</x:v>
      </x:c>
      <x:c r="E157" s="18" t="n">
        <x:v>26</x:v>
      </x:c>
      <x:c r="F157" s="18" t="n">
        <x:v>103</x:v>
      </x:c>
      <x:c r="G157" s="18" t="n">
        <x:v>26</x:v>
      </x:c>
      <x:c r="H157" s="18" t="n">
        <x:v>44</x:v>
      </x:c>
      <x:c r="I157" s="18" t="n">
        <x:v>26</x:v>
      </x:c>
      <x:c r="J157" s="18" t="n">
        <x:v>359</x:v>
      </x:c>
      <x:c r="K157" s="18" t="n">
        <x:v>26</x:v>
      </x:c>
      <x:c r="L157" s="18" t="n">
        <x:v>125</x:v>
      </x:c>
      <x:c r="M157" s="18" t="n">
        <x:v>26</x:v>
      </x:c>
    </x:row>
    <x:row r="158">
      <x:c r="A158" s="22" t="str">
        <x:v>500101204</x:v>
      </x:c>
      <x:c r="B158" s="17" t="str">
        <x:v>大安區</x:v>
      </x:c>
      <x:c r="C158" s="17" t="str">
        <x:v>外交部外交及國際事務學院</x:v>
      </x:c>
      <x:c r="D158" s="18" t="n">
        <x:v>26</x:v>
      </x:c>
      <x:c r="E158" s="18" t="n">
        <x:v>26</x:v>
      </x:c>
      <x:c r="F158" s="18" t="n">
        <x:v>82</x:v>
      </x:c>
      <x:c r="G158" s="18" t="n">
        <x:v>26</x:v>
      </x:c>
      <x:c r="H158" s="18" t="n">
        <x:v>21</x:v>
      </x:c>
      <x:c r="I158" s="18" t="n">
        <x:v>26</x:v>
      </x:c>
      <x:c r="J158" s="18" t="n">
        <x:v>313</x:v>
      </x:c>
      <x:c r="K158" s="18" t="n">
        <x:v>26</x:v>
      </x:c>
      <x:c r="L158" s="18" t="n">
        <x:v>58</x:v>
      </x:c>
      <x:c r="M158" s="18" t="n">
        <x:v>26</x:v>
      </x:c>
    </x:row>
    <x:row r="159">
      <x:c r="A159" s="22" t="str">
        <x:v>500101205</x:v>
      </x:c>
      <x:c r="B159" s="17" t="str">
        <x:v>大安區</x:v>
      </x:c>
      <x:c r="C159" s="17" t="str">
        <x:v>四維路170巷口</x:v>
      </x:c>
      <x:c r="D159" s="18" t="n">
        <x:v>26</x:v>
      </x:c>
      <x:c r="E159" s="18" t="n">
        <x:v>26</x:v>
      </x:c>
      <x:c r="F159" s="18" t="n">
        <x:v>138</x:v>
      </x:c>
      <x:c r="G159" s="18" t="n">
        <x:v>26</x:v>
      </x:c>
      <x:c r="H159" s="18" t="n">
        <x:v>38</x:v>
      </x:c>
      <x:c r="I159" s="18" t="n">
        <x:v>26</x:v>
      </x:c>
      <x:c r="J159" s="18" t="n">
        <x:v>277</x:v>
      </x:c>
      <x:c r="K159" s="18" t="n">
        <x:v>26</x:v>
      </x:c>
      <x:c r="L159" s="18" t="n">
        <x:v>66</x:v>
      </x:c>
      <x:c r="M159" s="18" t="n">
        <x:v>26</x:v>
      </x:c>
    </x:row>
    <x:row r="160">
      <x:c r="A160" s="22" t="str">
        <x:v>500101206</x:v>
      </x:c>
      <x:c r="B160" s="17" t="str">
        <x:v>大安區</x:v>
      </x:c>
      <x:c r="C160" s="17" t="str">
        <x:v>捷運大安站(3號出口)</x:v>
      </x:c>
      <x:c r="D160" s="18" t="n">
        <x:v>26</x:v>
      </x:c>
      <x:c r="E160" s="18" t="n">
        <x:v>26</x:v>
      </x:c>
      <x:c r="F160" s="18" t="n">
        <x:v>646</x:v>
      </x:c>
      <x:c r="G160" s="18" t="n">
        <x:v>26</x:v>
      </x:c>
      <x:c r="H160" s="18" t="n">
        <x:v>63</x:v>
      </x:c>
      <x:c r="I160" s="18" t="n">
        <x:v>26</x:v>
      </x:c>
      <x:c r="J160" s="18" t="n">
        <x:v>256</x:v>
      </x:c>
      <x:c r="K160" s="18" t="n">
        <x:v>26</x:v>
      </x:c>
      <x:c r="L160" s="18" t="n">
        <x:v>96</x:v>
      </x:c>
      <x:c r="M160" s="18" t="n">
        <x:v>26</x:v>
      </x:c>
    </x:row>
    <x:row r="161">
      <x:c r="A161" s="22" t="str">
        <x:v>500101207</x:v>
      </x:c>
      <x:c r="B161" s="17" t="str">
        <x:v>大安區</x:v>
      </x:c>
      <x:c r="C161" s="17" t="str">
        <x:v>捷運臺電大樓站(2號出口)_1</x:v>
      </x:c>
      <x:c r="D161" s="18" t="n">
        <x:v>26</x:v>
      </x:c>
      <x:c r="E161" s="18" t="n">
        <x:v>26</x:v>
      </x:c>
      <x:c r="F161" s="18" t="n">
        <x:v>418</x:v>
      </x:c>
      <x:c r="G161" s="18" t="n">
        <x:v>26</x:v>
      </x:c>
      <x:c r="H161" s="18" t="n">
        <x:v>50</x:v>
      </x:c>
      <x:c r="I161" s="18" t="n">
        <x:v>26</x:v>
      </x:c>
      <x:c r="J161" s="18" t="n">
        <x:v>132</x:v>
      </x:c>
      <x:c r="K161" s="18" t="n">
        <x:v>26</x:v>
      </x:c>
      <x:c r="L161" s="18" t="n">
        <x:v>16</x:v>
      </x:c>
      <x:c r="M161" s="18" t="n">
        <x:v>26</x:v>
      </x:c>
    </x:row>
    <x:row r="162">
      <x:c r="A162" s="22" t="str">
        <x:v>500101208</x:v>
      </x:c>
      <x:c r="B162" s="17" t="str">
        <x:v>大安區</x:v>
      </x:c>
      <x:c r="C162" s="17" t="str">
        <x:v>信義路四段199巷</x:v>
      </x:c>
      <x:c r="D162" s="18" t="n">
        <x:v>26</x:v>
      </x:c>
      <x:c r="E162" s="18" t="n">
        <x:v>26</x:v>
      </x:c>
      <x:c r="F162" s="18" t="n">
        <x:v>232</x:v>
      </x:c>
      <x:c r="G162" s="18" t="n">
        <x:v>26</x:v>
      </x:c>
      <x:c r="H162" s="18" t="n">
        <x:v>62</x:v>
      </x:c>
      <x:c r="I162" s="18" t="n">
        <x:v>26</x:v>
      </x:c>
      <x:c r="J162" s="18" t="n">
        <x:v>122</x:v>
      </x:c>
      <x:c r="K162" s="18" t="n">
        <x:v>26</x:v>
      </x:c>
      <x:c r="L162" s="18" t="n">
        <x:v>33</x:v>
      </x:c>
      <x:c r="M162" s="18" t="n">
        <x:v>26</x:v>
      </x:c>
    </x:row>
    <x:row r="163">
      <x:c r="A163" s="22" t="str">
        <x:v>500101209</x:v>
      </x:c>
      <x:c r="B163" s="17" t="str">
        <x:v>大安區</x:v>
      </x:c>
      <x:c r="C163" s="17" t="str">
        <x:v>臺大資訊大樓</x:v>
      </x:c>
      <x:c r="D163" s="18" t="n">
        <x:v>26</x:v>
      </x:c>
      <x:c r="E163" s="18" t="n">
        <x:v>26</x:v>
      </x:c>
      <x:c r="F163" s="18" t="n">
        <x:v>130</x:v>
      </x:c>
      <x:c r="G163" s="18" t="n">
        <x:v>26</x:v>
      </x:c>
      <x:c r="H163" s="18" t="n">
        <x:v>6</x:v>
      </x:c>
      <x:c r="I163" s="18" t="n">
        <x:v>26</x:v>
      </x:c>
      <x:c r="J163" s="18" t="n">
        <x:v>1413</x:v>
      </x:c>
      <x:c r="K163" s="18" t="n">
        <x:v>26</x:v>
      </x:c>
      <x:c r="L163" s="18" t="n">
        <x:v>192</x:v>
      </x:c>
      <x:c r="M163" s="18" t="n">
        <x:v>26</x:v>
      </x:c>
    </x:row>
    <x:row r="164">
      <x:c r="A164" s="22" t="str">
        <x:v>500101210</x:v>
      </x:c>
      <x:c r="B164" s="17" t="str">
        <x:v>大安區</x:v>
      </x:c>
      <x:c r="C164" s="17" t="str">
        <x:v>敦化南路二段81巷</x:v>
      </x:c>
      <x:c r="D164" s="18" t="n">
        <x:v>26</x:v>
      </x:c>
      <x:c r="E164" s="18" t="n">
        <x:v>26</x:v>
      </x:c>
      <x:c r="F164" s="18" t="n">
        <x:v>173</x:v>
      </x:c>
      <x:c r="G164" s="18" t="n">
        <x:v>26</x:v>
      </x:c>
      <x:c r="H164" s="18" t="n">
        <x:v>43</x:v>
      </x:c>
      <x:c r="I164" s="18" t="n">
        <x:v>26</x:v>
      </x:c>
      <x:c r="J164" s="18" t="n">
        <x:v>558</x:v>
      </x:c>
      <x:c r="K164" s="18" t="n">
        <x:v>26</x:v>
      </x:c>
      <x:c r="L164" s="18" t="n">
        <x:v>75</x:v>
      </x:c>
      <x:c r="M164" s="18" t="n">
        <x:v>26</x:v>
      </x:c>
    </x:row>
    <x:row r="165">
      <x:c r="A165" s="22" t="str">
        <x:v>500101211</x:v>
      </x:c>
      <x:c r="B165" s="17" t="str">
        <x:v>大安區</x:v>
      </x:c>
      <x:c r="C165" s="17" t="str">
        <x:v>原臺北刑務所官舍</x:v>
      </x:c>
      <x:c r="D165" s="18" t="n">
        <x:v>26</x:v>
      </x:c>
      <x:c r="E165" s="18" t="n">
        <x:v>26</x:v>
      </x:c>
      <x:c r="F165" s="18" t="n">
        <x:v>143</x:v>
      </x:c>
      <x:c r="G165" s="18" t="n">
        <x:v>26</x:v>
      </x:c>
      <x:c r="H165" s="18" t="n">
        <x:v>44</x:v>
      </x:c>
      <x:c r="I165" s="18" t="n">
        <x:v>26</x:v>
      </x:c>
      <x:c r="J165" s="18" t="n">
        <x:v>143</x:v>
      </x:c>
      <x:c r="K165" s="18" t="n">
        <x:v>26</x:v>
      </x:c>
      <x:c r="L165" s="18" t="n">
        <x:v>30</x:v>
      </x:c>
      <x:c r="M165" s="18" t="n">
        <x:v>26</x:v>
      </x:c>
    </x:row>
    <x:row r="166">
      <x:c r="A166" s="22" t="str">
        <x:v>500101212</x:v>
      </x:c>
      <x:c r="B166" s="17" t="str">
        <x:v>大安區</x:v>
      </x:c>
      <x:c r="C166" s="17" t="str">
        <x:v>捷運國父紀念館站(1號出口)</x:v>
      </x:c>
      <x:c r="D166" s="18" t="n">
        <x:v>26</x:v>
      </x:c>
      <x:c r="E166" s="18" t="n">
        <x:v>26</x:v>
      </x:c>
      <x:c r="F166" s="18" t="n">
        <x:v>183</x:v>
      </x:c>
      <x:c r="G166" s="18" t="n">
        <x:v>26</x:v>
      </x:c>
      <x:c r="H166" s="18" t="n">
        <x:v>24</x:v>
      </x:c>
      <x:c r="I166" s="18" t="n">
        <x:v>26</x:v>
      </x:c>
      <x:c r="J166" s="18" t="n">
        <x:v>249</x:v>
      </x:c>
      <x:c r="K166" s="18" t="n">
        <x:v>26</x:v>
      </x:c>
      <x:c r="L166" s="18" t="n">
        <x:v>83</x:v>
      </x:c>
      <x:c r="M166" s="18" t="n">
        <x:v>26</x:v>
      </x:c>
    </x:row>
    <x:row r="167">
      <x:c r="A167" s="22" t="str">
        <x:v>500101213</x:v>
      </x:c>
      <x:c r="B167" s="17" t="str">
        <x:v>大安區</x:v>
      </x:c>
      <x:c r="C167" s="17" t="str">
        <x:v>懷生國中</x:v>
      </x:c>
      <x:c r="D167" s="18" t="n">
        <x:v>26</x:v>
      </x:c>
      <x:c r="E167" s="18" t="n">
        <x:v>26</x:v>
      </x:c>
      <x:c r="F167" s="18" t="n">
        <x:v>207</x:v>
      </x:c>
      <x:c r="G167" s="18" t="n">
        <x:v>26</x:v>
      </x:c>
      <x:c r="H167" s="18" t="n">
        <x:v>23</x:v>
      </x:c>
      <x:c r="I167" s="18" t="n">
        <x:v>26</x:v>
      </x:c>
      <x:c r="J167" s="18" t="n">
        <x:v>163</x:v>
      </x:c>
      <x:c r="K167" s="18" t="n">
        <x:v>26</x:v>
      </x:c>
      <x:c r="L167" s="18" t="n">
        <x:v>57</x:v>
      </x:c>
      <x:c r="M167" s="18" t="n">
        <x:v>26</x:v>
      </x:c>
    </x:row>
    <x:row r="168">
      <x:c r="A168" s="22" t="str">
        <x:v>500101214</x:v>
      </x:c>
      <x:c r="B168" s="17" t="str">
        <x:v>大安區</x:v>
      </x:c>
      <x:c r="C168" s="17" t="str">
        <x:v>仁愛敦南圓環(西北側)</x:v>
      </x:c>
      <x:c r="D168" s="18" t="n">
        <x:v>26</x:v>
      </x:c>
      <x:c r="E168" s="18" t="n">
        <x:v>26</x:v>
      </x:c>
      <x:c r="F168" s="18" t="n">
        <x:v>78</x:v>
      </x:c>
      <x:c r="G168" s="18" t="n">
        <x:v>26</x:v>
      </x:c>
      <x:c r="H168" s="18" t="n">
        <x:v>25</x:v>
      </x:c>
      <x:c r="I168" s="18" t="n">
        <x:v>26</x:v>
      </x:c>
      <x:c r="J168" s="18" t="n">
        <x:v>168</x:v>
      </x:c>
      <x:c r="K168" s="18" t="n">
        <x:v>26</x:v>
      </x:c>
      <x:c r="L168" s="18" t="n">
        <x:v>72</x:v>
      </x:c>
      <x:c r="M168" s="18" t="n">
        <x:v>26</x:v>
      </x:c>
    </x:row>
    <x:row r="169">
      <x:c r="A169" s="22" t="str">
        <x:v>500101215</x:v>
      </x:c>
      <x:c r="B169" s="17" t="str">
        <x:v>大安區</x:v>
      </x:c>
      <x:c r="C169" s="17" t="str">
        <x:v>立人國小</x:v>
      </x:c>
      <x:c r="D169" s="18" t="n">
        <x:v>26</x:v>
      </x:c>
      <x:c r="E169" s="18" t="n">
        <x:v>26</x:v>
      </x:c>
      <x:c r="F169" s="18" t="n">
        <x:v>149</x:v>
      </x:c>
      <x:c r="G169" s="18" t="n">
        <x:v>26</x:v>
      </x:c>
      <x:c r="H169" s="18" t="n">
        <x:v>77</x:v>
      </x:c>
      <x:c r="I169" s="18" t="n">
        <x:v>26</x:v>
      </x:c>
      <x:c r="J169" s="18" t="n">
        <x:v>149</x:v>
      </x:c>
      <x:c r="K169" s="18" t="n">
        <x:v>26</x:v>
      </x:c>
      <x:c r="L169" s="18" t="n">
        <x:v>46</x:v>
      </x:c>
      <x:c r="M169" s="18" t="n">
        <x:v>26</x:v>
      </x:c>
    </x:row>
    <x:row r="170">
      <x:c r="A170" s="22" t="str">
        <x:v>500101216</x:v>
      </x:c>
      <x:c r="B170" s="17" t="str">
        <x:v>大安區</x:v>
      </x:c>
      <x:c r="C170" s="17" t="str">
        <x:v>和平東路二段18巷口</x:v>
      </x:c>
      <x:c r="D170" s="18" t="n">
        <x:v>26</x:v>
      </x:c>
      <x:c r="E170" s="18" t="n">
        <x:v>26</x:v>
      </x:c>
      <x:c r="F170" s="18" t="n">
        <x:v>323</x:v>
      </x:c>
      <x:c r="G170" s="18" t="n">
        <x:v>26</x:v>
      </x:c>
      <x:c r="H170" s="18" t="n">
        <x:v>70</x:v>
      </x:c>
      <x:c r="I170" s="18" t="n">
        <x:v>26</x:v>
      </x:c>
      <x:c r="J170" s="18" t="n">
        <x:v>192</x:v>
      </x:c>
      <x:c r="K170" s="18" t="n">
        <x:v>26</x:v>
      </x:c>
      <x:c r="L170" s="18" t="n">
        <x:v>33</x:v>
      </x:c>
      <x:c r="M170" s="18" t="n">
        <x:v>26</x:v>
      </x:c>
    </x:row>
    <x:row r="171">
      <x:c r="A171" s="22" t="str">
        <x:v>500101217</x:v>
      </x:c>
      <x:c r="B171" s="17" t="str">
        <x:v>大安區</x:v>
      </x:c>
      <x:c r="C171" s="17" t="str">
        <x:v>捷運大安站(5號出口)</x:v>
      </x:c>
      <x:c r="D171" s="18" t="n">
        <x:v>26</x:v>
      </x:c>
      <x:c r="E171" s="18" t="n">
        <x:v>26</x:v>
      </x:c>
      <x:c r="F171" s="18" t="n">
        <x:v>454</x:v>
      </x:c>
      <x:c r="G171" s="18" t="n">
        <x:v>26</x:v>
      </x:c>
      <x:c r="H171" s="18" t="n">
        <x:v>39</x:v>
      </x:c>
      <x:c r="I171" s="18" t="n">
        <x:v>26</x:v>
      </x:c>
      <x:c r="J171" s="18" t="n">
        <x:v>149</x:v>
      </x:c>
      <x:c r="K171" s="18" t="n">
        <x:v>26</x:v>
      </x:c>
      <x:c r="L171" s="18" t="n">
        <x:v>24</x:v>
      </x:c>
      <x:c r="M171" s="18" t="n">
        <x:v>26</x:v>
      </x:c>
    </x:row>
    <x:row r="172">
      <x:c r="A172" s="22" t="str">
        <x:v>500101218</x:v>
      </x:c>
      <x:c r="B172" s="17" t="str">
        <x:v>大安區</x:v>
      </x:c>
      <x:c r="C172" s="17" t="str">
        <x:v>臨江公園</x:v>
      </x:c>
      <x:c r="D172" s="18" t="n">
        <x:v>26</x:v>
      </x:c>
      <x:c r="E172" s="18" t="n">
        <x:v>26</x:v>
      </x:c>
      <x:c r="F172" s="18" t="n">
        <x:v>582</x:v>
      </x:c>
      <x:c r="G172" s="18" t="n">
        <x:v>26</x:v>
      </x:c>
      <x:c r="H172" s="18" t="n">
        <x:v>93</x:v>
      </x:c>
      <x:c r="I172" s="18" t="n">
        <x:v>26</x:v>
      </x:c>
      <x:c r="J172" s="18" t="n">
        <x:v>96</x:v>
      </x:c>
      <x:c r="K172" s="18" t="n">
        <x:v>26</x:v>
      </x:c>
      <x:c r="L172" s="18" t="n">
        <x:v>36</x:v>
      </x:c>
      <x:c r="M172" s="18" t="n">
        <x:v>26</x:v>
      </x:c>
    </x:row>
    <x:row r="173">
      <x:c r="A173" s="22" t="str">
        <x:v>500101219</x:v>
      </x:c>
      <x:c r="B173" s="17" t="str">
        <x:v>大安區</x:v>
      </x:c>
      <x:c r="C173" s="17" t="str">
        <x:v>羅斯福路四段113巷19弄口</x:v>
      </x:c>
      <x:c r="D173" s="18" t="n">
        <x:v>26</x:v>
      </x:c>
      <x:c r="E173" s="18" t="n">
        <x:v>26</x:v>
      </x:c>
      <x:c r="F173" s="18" t="n">
        <x:v>227</x:v>
      </x:c>
      <x:c r="G173" s="18" t="n">
        <x:v>26</x:v>
      </x:c>
      <x:c r="H173" s="18" t="n">
        <x:v>16</x:v>
      </x:c>
      <x:c r="I173" s="18" t="n">
        <x:v>26</x:v>
      </x:c>
      <x:c r="J173" s="18" t="n">
        <x:v>83</x:v>
      </x:c>
      <x:c r="K173" s="18" t="n">
        <x:v>26</x:v>
      </x:c>
      <x:c r="L173" s="18" t="n">
        <x:v>13</x:v>
      </x:c>
      <x:c r="M173" s="18" t="n">
        <x:v>26</x:v>
      </x:c>
    </x:row>
    <x:row r="174">
      <x:c r="A174" s="22" t="str">
        <x:v>500101220</x:v>
      </x:c>
      <x:c r="B174" s="17" t="str">
        <x:v>大安區</x:v>
      </x:c>
      <x:c r="C174" s="17" t="str">
        <x:v>大安高工(復興南路二段78巷)</x:v>
      </x:c>
      <x:c r="D174" s="18" t="n">
        <x:v>26</x:v>
      </x:c>
      <x:c r="E174" s="18" t="n">
        <x:v>26</x:v>
      </x:c>
      <x:c r="F174" s="18" t="n">
        <x:v>0</x:v>
      </x:c>
      <x:c r="G174" s="18" t="n">
        <x:v>26</x:v>
      </x:c>
      <x:c r="H174" s="18" t="n">
        <x:v>0</x:v>
      </x:c>
      <x:c r="I174" s="18" t="n">
        <x:v>26</x:v>
      </x:c>
      <x:c r="J174" s="18" t="n">
        <x:v>0</x:v>
      </x:c>
      <x:c r="K174" s="18" t="n">
        <x:v>26</x:v>
      </x:c>
      <x:c r="L174" s="18" t="n">
        <x:v>0</x:v>
      </x:c>
      <x:c r="M174" s="18" t="n">
        <x:v>26</x:v>
      </x:c>
    </x:row>
    <x:row r="175">
      <x:c r="A175" s="22" t="str">
        <x:v>500101221</x:v>
      </x:c>
      <x:c r="B175" s="17" t="str">
        <x:v>大安區</x:v>
      </x:c>
      <x:c r="C175" s="17" t="str">
        <x:v>忠孝東路四段248巷口</x:v>
      </x:c>
      <x:c r="D175" s="18" t="n">
        <x:v>26</x:v>
      </x:c>
      <x:c r="E175" s="18" t="n">
        <x:v>26</x:v>
      </x:c>
      <x:c r="F175" s="18" t="n">
        <x:v>219</x:v>
      </x:c>
      <x:c r="G175" s="18" t="n">
        <x:v>26</x:v>
      </x:c>
      <x:c r="H175" s="18" t="n">
        <x:v>52</x:v>
      </x:c>
      <x:c r="I175" s="18" t="n">
        <x:v>26</x:v>
      </x:c>
      <x:c r="J175" s="18" t="n">
        <x:v>265</x:v>
      </x:c>
      <x:c r="K175" s="18" t="n">
        <x:v>26</x:v>
      </x:c>
      <x:c r="L175" s="18" t="n">
        <x:v>79</x:v>
      </x:c>
      <x:c r="M175" s="18" t="n">
        <x:v>26</x:v>
      </x:c>
    </x:row>
    <x:row r="176">
      <x:c r="A176" s="22" t="str">
        <x:v>500101222</x:v>
      </x:c>
      <x:c r="B176" s="17" t="str">
        <x:v>大安區</x:v>
      </x:c>
      <x:c r="C176" s="17" t="str">
        <x:v>仁愛延吉路口(西北側)</x:v>
      </x:c>
      <x:c r="D176" s="18" t="n">
        <x:v>26</x:v>
      </x:c>
      <x:c r="E176" s="18" t="n">
        <x:v>26</x:v>
      </x:c>
      <x:c r="F176" s="18" t="n">
        <x:v>99</x:v>
      </x:c>
      <x:c r="G176" s="18" t="n">
        <x:v>26</x:v>
      </x:c>
      <x:c r="H176" s="18" t="n">
        <x:v>22</x:v>
      </x:c>
      <x:c r="I176" s="18" t="n">
        <x:v>26</x:v>
      </x:c>
      <x:c r="J176" s="18" t="n">
        <x:v>270</x:v>
      </x:c>
      <x:c r="K176" s="18" t="n">
        <x:v>26</x:v>
      </x:c>
      <x:c r="L176" s="18" t="n">
        <x:v>80</x:v>
      </x:c>
      <x:c r="M176" s="18" t="n">
        <x:v>26</x:v>
      </x:c>
    </x:row>
    <x:row r="177">
      <x:c r="A177" s="22" t="str">
        <x:v>500101223</x:v>
      </x:c>
      <x:c r="B177" s="17" t="str">
        <x:v>大安區</x:v>
      </x:c>
      <x:c r="C177" s="17" t="str">
        <x:v>樂利路101巷口</x:v>
      </x:c>
      <x:c r="D177" s="18" t="n">
        <x:v>26</x:v>
      </x:c>
      <x:c r="E177" s="18" t="n">
        <x:v>26</x:v>
      </x:c>
      <x:c r="F177" s="18" t="n">
        <x:v>191</x:v>
      </x:c>
      <x:c r="G177" s="18" t="n">
        <x:v>26</x:v>
      </x:c>
      <x:c r="H177" s="18" t="n">
        <x:v>25</x:v>
      </x:c>
      <x:c r="I177" s="18" t="n">
        <x:v>26</x:v>
      </x:c>
      <x:c r="J177" s="18" t="n">
        <x:v>62</x:v>
      </x:c>
      <x:c r="K177" s="18" t="n">
        <x:v>26</x:v>
      </x:c>
      <x:c r="L177" s="18" t="n">
        <x:v>19</x:v>
      </x:c>
      <x:c r="M177" s="18" t="n">
        <x:v>26</x:v>
      </x:c>
    </x:row>
    <x:row r="178">
      <x:c r="A178" s="22" t="str">
        <x:v>500101224</x:v>
      </x:c>
      <x:c r="B178" s="17" t="str">
        <x:v>大安區</x:v>
      </x:c>
      <x:c r="C178" s="17" t="str">
        <x:v>羅斯福浦城街口</x:v>
      </x:c>
      <x:c r="D178" s="18" t="n">
        <x:v>26</x:v>
      </x:c>
      <x:c r="E178" s="18" t="n">
        <x:v>26</x:v>
      </x:c>
      <x:c r="F178" s="18" t="n">
        <x:v>428</x:v>
      </x:c>
      <x:c r="G178" s="18" t="n">
        <x:v>26</x:v>
      </x:c>
      <x:c r="H178" s="18" t="n">
        <x:v>62</x:v>
      </x:c>
      <x:c r="I178" s="18" t="n">
        <x:v>26</x:v>
      </x:c>
      <x:c r="J178" s="18" t="n">
        <x:v>107</x:v>
      </x:c>
      <x:c r="K178" s="18" t="n">
        <x:v>26</x:v>
      </x:c>
      <x:c r="L178" s="18" t="n">
        <x:v>26</x:v>
      </x:c>
      <x:c r="M178" s="18" t="n">
        <x:v>26</x:v>
      </x:c>
    </x:row>
    <x:row r="179">
      <x:c r="A179" s="22" t="str">
        <x:v>500101225</x:v>
      </x:c>
      <x:c r="B179" s="17" t="str">
        <x:v>大安區</x:v>
      </x:c>
      <x:c r="C179" s="17" t="str">
        <x:v>敦化南路一段295巷口</x:v>
      </x:c>
      <x:c r="D179" s="18" t="n">
        <x:v>26</x:v>
      </x:c>
      <x:c r="E179" s="18" t="n">
        <x:v>26</x:v>
      </x:c>
      <x:c r="F179" s="18" t="n">
        <x:v>203</x:v>
      </x:c>
      <x:c r="G179" s="18" t="n">
        <x:v>26</x:v>
      </x:c>
      <x:c r="H179" s="18" t="n">
        <x:v>29</x:v>
      </x:c>
      <x:c r="I179" s="18" t="n">
        <x:v>26</x:v>
      </x:c>
      <x:c r="J179" s="18" t="n">
        <x:v>170</x:v>
      </x:c>
      <x:c r="K179" s="18" t="n">
        <x:v>26</x:v>
      </x:c>
      <x:c r="L179" s="18" t="n">
        <x:v>49</x:v>
      </x:c>
      <x:c r="M179" s="18" t="n">
        <x:v>26</x:v>
      </x:c>
    </x:row>
    <x:row r="180">
      <x:c r="A180" s="22" t="str">
        <x:v>500101226</x:v>
      </x:c>
      <x:c r="B180" s="17" t="str">
        <x:v>大安區</x:v>
      </x:c>
      <x:c r="C180" s="17" t="str">
        <x:v>通安區民活動中心</x:v>
      </x:c>
      <x:c r="D180" s="18" t="n">
        <x:v>26</x:v>
      </x:c>
      <x:c r="E180" s="18" t="n">
        <x:v>26</x:v>
      </x:c>
      <x:c r="F180" s="18" t="n">
        <x:v>828</x:v>
      </x:c>
      <x:c r="G180" s="18" t="n">
        <x:v>26</x:v>
      </x:c>
      <x:c r="H180" s="18" t="n">
        <x:v>72</x:v>
      </x:c>
      <x:c r="I180" s="18" t="n">
        <x:v>26</x:v>
      </x:c>
      <x:c r="J180" s="18" t="n">
        <x:v>67</x:v>
      </x:c>
      <x:c r="K180" s="18" t="n">
        <x:v>26</x:v>
      </x:c>
      <x:c r="L180" s="18" t="n">
        <x:v>33</x:v>
      </x:c>
      <x:c r="M180" s="18" t="n">
        <x:v>26</x:v>
      </x:c>
    </x:row>
    <x:row r="181">
      <x:c r="A181" s="22" t="str">
        <x:v>500101227</x:v>
      </x:c>
      <x:c r="B181" s="17" t="str">
        <x:v>大安區</x:v>
      </x:c>
      <x:c r="C181" s="17" t="str">
        <x:v>復興忠孝東路口(東南側)</x:v>
      </x:c>
      <x:c r="D181" s="18" t="n">
        <x:v>26</x:v>
      </x:c>
      <x:c r="E181" s="18" t="n">
        <x:v>26</x:v>
      </x:c>
      <x:c r="F181" s="18" t="n">
        <x:v>341</x:v>
      </x:c>
      <x:c r="G181" s="18" t="n">
        <x:v>26</x:v>
      </x:c>
      <x:c r="H181" s="18" t="n">
        <x:v>35</x:v>
      </x:c>
      <x:c r="I181" s="18" t="n">
        <x:v>26</x:v>
      </x:c>
      <x:c r="J181" s="18" t="n">
        <x:v>304</x:v>
      </x:c>
      <x:c r="K181" s="18" t="n">
        <x:v>26</x:v>
      </x:c>
      <x:c r="L181" s="18" t="n">
        <x:v>57</x:v>
      </x:c>
      <x:c r="M181" s="18" t="n">
        <x:v>26</x:v>
      </x:c>
    </x:row>
    <x:row r="182">
      <x:c r="A182" s="22" t="str">
        <x:v>500101228</x:v>
      </x:c>
      <x:c r="B182" s="17" t="str">
        <x:v>大安區</x:v>
      </x:c>
      <x:c r="C182" s="17" t="str">
        <x:v>仁愛大安路口(東北側)</x:v>
      </x:c>
      <x:c r="D182" s="18" t="n">
        <x:v>26</x:v>
      </x:c>
      <x:c r="E182" s="18" t="n">
        <x:v>26</x:v>
      </x:c>
      <x:c r="F182" s="18" t="n">
        <x:v>115</x:v>
      </x:c>
      <x:c r="G182" s="18" t="n">
        <x:v>26</x:v>
      </x:c>
      <x:c r="H182" s="18" t="n">
        <x:v>13</x:v>
      </x:c>
      <x:c r="I182" s="18" t="n">
        <x:v>26</x:v>
      </x:c>
      <x:c r="J182" s="18" t="n">
        <x:v>277</x:v>
      </x:c>
      <x:c r="K182" s="18" t="n">
        <x:v>26</x:v>
      </x:c>
      <x:c r="L182" s="18" t="n">
        <x:v>50</x:v>
      </x:c>
      <x:c r="M182" s="18" t="n">
        <x:v>26</x:v>
      </x:c>
    </x:row>
    <x:row r="183">
      <x:c r="A183" s="22" t="str">
        <x:v>500101229</x:v>
      </x:c>
      <x:c r="B183" s="17" t="str">
        <x:v>大安區</x:v>
      </x:c>
      <x:c r="C183" s="17" t="str">
        <x:v>臺灣師範大學(浦城街)</x:v>
      </x:c>
      <x:c r="D183" s="18" t="n">
        <x:v>26</x:v>
      </x:c>
      <x:c r="E183" s="18" t="n">
        <x:v>26</x:v>
      </x:c>
      <x:c r="F183" s="18" t="n">
        <x:v>316</x:v>
      </x:c>
      <x:c r="G183" s="18" t="n">
        <x:v>26</x:v>
      </x:c>
      <x:c r="H183" s="18" t="n">
        <x:v>81</x:v>
      </x:c>
      <x:c r="I183" s="18" t="n">
        <x:v>26</x:v>
      </x:c>
      <x:c r="J183" s="18" t="n">
        <x:v>213</x:v>
      </x:c>
      <x:c r="K183" s="18" t="n">
        <x:v>26</x:v>
      </x:c>
      <x:c r="L183" s="18" t="n">
        <x:v>30</x:v>
      </x:c>
      <x:c r="M183" s="18" t="n">
        <x:v>26</x:v>
      </x:c>
    </x:row>
    <x:row r="184">
      <x:c r="A184" s="22" t="str">
        <x:v>500101230</x:v>
      </x:c>
      <x:c r="B184" s="17" t="str">
        <x:v>大安區</x:v>
      </x:c>
      <x:c r="C184" s="17" t="str">
        <x:v>安和路二段69巷口</x:v>
      </x:c>
      <x:c r="D184" s="18" t="n">
        <x:v>26</x:v>
      </x:c>
      <x:c r="E184" s="18" t="n">
        <x:v>26</x:v>
      </x:c>
      <x:c r="F184" s="18" t="n">
        <x:v>197</x:v>
      </x:c>
      <x:c r="G184" s="18" t="n">
        <x:v>26</x:v>
      </x:c>
      <x:c r="H184" s="18" t="n">
        <x:v>64</x:v>
      </x:c>
      <x:c r="I184" s="18" t="n">
        <x:v>26</x:v>
      </x:c>
      <x:c r="J184" s="18" t="n">
        <x:v>111</x:v>
      </x:c>
      <x:c r="K184" s="18" t="n">
        <x:v>26</x:v>
      </x:c>
      <x:c r="L184" s="18" t="n">
        <x:v>25</x:v>
      </x:c>
      <x:c r="M184" s="18" t="n">
        <x:v>26</x:v>
      </x:c>
    </x:row>
    <x:row r="185">
      <x:c r="A185" s="22" t="str">
        <x:v>500101231</x:v>
      </x:c>
      <x:c r="B185" s="17" t="str">
        <x:v>大安區</x:v>
      </x:c>
      <x:c r="C185" s="17" t="str">
        <x:v>大安國小</x:v>
      </x:c>
      <x:c r="D185" s="18" t="n">
        <x:v>26</x:v>
      </x:c>
      <x:c r="E185" s="18" t="n">
        <x:v>26</x:v>
      </x:c>
      <x:c r="F185" s="18" t="n">
        <x:v>465</x:v>
      </x:c>
      <x:c r="G185" s="18" t="n">
        <x:v>26</x:v>
      </x:c>
      <x:c r="H185" s="18" t="n">
        <x:v>75</x:v>
      </x:c>
      <x:c r="I185" s="18" t="n">
        <x:v>26</x:v>
      </x:c>
      <x:c r="J185" s="18" t="n">
        <x:v>80</x:v>
      </x:c>
      <x:c r="K185" s="18" t="n">
        <x:v>26</x:v>
      </x:c>
      <x:c r="L185" s="18" t="n">
        <x:v>13</x:v>
      </x:c>
      <x:c r="M185" s="18" t="n">
        <x:v>26</x:v>
      </x:c>
    </x:row>
    <x:row r="186">
      <x:c r="A186" s="22" t="str">
        <x:v>500101232</x:v>
      </x:c>
      <x:c r="B186" s="17" t="str">
        <x:v>大安區</x:v>
      </x:c>
      <x:c r="C186" s="17" t="str">
        <x:v>捷運古亭站(3號出口)</x:v>
      </x:c>
      <x:c r="D186" s="18" t="n">
        <x:v>26</x:v>
      </x:c>
      <x:c r="E186" s="18" t="n">
        <x:v>26</x:v>
      </x:c>
      <x:c r="F186" s="18" t="n">
        <x:v>187</x:v>
      </x:c>
      <x:c r="G186" s="18" t="n">
        <x:v>26</x:v>
      </x:c>
      <x:c r="H186" s="18" t="n">
        <x:v>17</x:v>
      </x:c>
      <x:c r="I186" s="18" t="n">
        <x:v>26</x:v>
      </x:c>
      <x:c r="J186" s="18" t="n">
        <x:v>150</x:v>
      </x:c>
      <x:c r="K186" s="18" t="n">
        <x:v>26</x:v>
      </x:c>
      <x:c r="L186" s="18" t="n">
        <x:v>24</x:v>
      </x:c>
      <x:c r="M186" s="18" t="n">
        <x:v>26</x:v>
      </x:c>
    </x:row>
    <x:row r="187">
      <x:c r="A187" s="22" t="str">
        <x:v>500101233</x:v>
      </x:c>
      <x:c r="B187" s="17" t="str">
        <x:v>大安區</x:v>
      </x:c>
      <x:c r="C187" s="17" t="str">
        <x:v>捷運忠孝復興站(3號出口)</x:v>
      </x:c>
      <x:c r="D187" s="18" t="n">
        <x:v>26</x:v>
      </x:c>
      <x:c r="E187" s="18" t="n">
        <x:v>26</x:v>
      </x:c>
      <x:c r="F187" s="18" t="n">
        <x:v>211</x:v>
      </x:c>
      <x:c r="G187" s="18" t="n">
        <x:v>26</x:v>
      </x:c>
      <x:c r="H187" s="18" t="n">
        <x:v>25</x:v>
      </x:c>
      <x:c r="I187" s="18" t="n">
        <x:v>26</x:v>
      </x:c>
      <x:c r="J187" s="18" t="n">
        <x:v>220</x:v>
      </x:c>
      <x:c r="K187" s="18" t="n">
        <x:v>26</x:v>
      </x:c>
      <x:c r="L187" s="18" t="n">
        <x:v>47</x:v>
      </x:c>
      <x:c r="M187" s="18" t="n">
        <x:v>26</x:v>
      </x:c>
    </x:row>
    <x:row r="188">
      <x:c r="A188" s="22" t="str">
        <x:v>500101234</x:v>
      </x:c>
      <x:c r="B188" s="17" t="str">
        <x:v>大安區</x:v>
      </x:c>
      <x:c r="C188" s="17" t="str">
        <x:v>和平東路二段90巷</x:v>
      </x:c>
      <x:c r="D188" s="18" t="n">
        <x:v>26</x:v>
      </x:c>
      <x:c r="E188" s="18" t="n">
        <x:v>26</x:v>
      </x:c>
      <x:c r="F188" s="18" t="n">
        <x:v>254</x:v>
      </x:c>
      <x:c r="G188" s="18" t="n">
        <x:v>26</x:v>
      </x:c>
      <x:c r="H188" s="18" t="n">
        <x:v>32</x:v>
      </x:c>
      <x:c r="I188" s="18" t="n">
        <x:v>26</x:v>
      </x:c>
      <x:c r="J188" s="18" t="n">
        <x:v>112</x:v>
      </x:c>
      <x:c r="K188" s="18" t="n">
        <x:v>26</x:v>
      </x:c>
      <x:c r="L188" s="18" t="n">
        <x:v>20</x:v>
      </x:c>
      <x:c r="M188" s="18" t="n">
        <x:v>26</x:v>
      </x:c>
    </x:row>
    <x:row r="189">
      <x:c r="A189" s="22" t="str">
        <x:v>500101235</x:v>
      </x:c>
      <x:c r="B189" s="17" t="str">
        <x:v>大安區</x:v>
      </x:c>
      <x:c r="C189" s="17" t="str">
        <x:v>光復南路420巷口</x:v>
      </x:c>
      <x:c r="D189" s="18" t="n">
        <x:v>26</x:v>
      </x:c>
      <x:c r="E189" s="18" t="n">
        <x:v>26</x:v>
      </x:c>
      <x:c r="F189" s="18" t="n">
        <x:v>179</x:v>
      </x:c>
      <x:c r="G189" s="18" t="n">
        <x:v>26</x:v>
      </x:c>
      <x:c r="H189" s="18" t="n">
        <x:v>28</x:v>
      </x:c>
      <x:c r="I189" s="18" t="n">
        <x:v>26</x:v>
      </x:c>
      <x:c r="J189" s="18" t="n">
        <x:v>143</x:v>
      </x:c>
      <x:c r="K189" s="18" t="n">
        <x:v>26</x:v>
      </x:c>
      <x:c r="L189" s="18" t="n">
        <x:v>39</x:v>
      </x:c>
      <x:c r="M189" s="18" t="n">
        <x:v>26</x:v>
      </x:c>
    </x:row>
    <x:row r="190">
      <x:c r="A190" s="22" t="str">
        <x:v>500101236</x:v>
      </x:c>
      <x:c r="B190" s="17" t="str">
        <x:v>大安區</x:v>
      </x:c>
      <x:c r="C190" s="17" t="str">
        <x:v>富陽臥龍街口</x:v>
      </x:c>
      <x:c r="D190" s="18" t="n">
        <x:v>26</x:v>
      </x:c>
      <x:c r="E190" s="18" t="n">
        <x:v>26</x:v>
      </x:c>
      <x:c r="F190" s="18" t="n">
        <x:v>426</x:v>
      </x:c>
      <x:c r="G190" s="18" t="n">
        <x:v>26</x:v>
      </x:c>
      <x:c r="H190" s="18" t="n">
        <x:v>85</x:v>
      </x:c>
      <x:c r="I190" s="18" t="n">
        <x:v>26</x:v>
      </x:c>
      <x:c r="J190" s="18" t="n">
        <x:v>97</x:v>
      </x:c>
      <x:c r="K190" s="18" t="n">
        <x:v>26</x:v>
      </x:c>
      <x:c r="L190" s="18" t="n">
        <x:v>16</x:v>
      </x:c>
      <x:c r="M190" s="18" t="n">
        <x:v>26</x:v>
      </x:c>
    </x:row>
    <x:row r="191">
      <x:c r="A191" s="22" t="str">
        <x:v>500101237</x:v>
      </x:c>
      <x:c r="B191" s="17" t="str">
        <x:v>大安區</x:v>
      </x:c>
      <x:c r="C191" s="17" t="str">
        <x:v>仁愛復興路口</x:v>
      </x:c>
      <x:c r="D191" s="18" t="n">
        <x:v>26</x:v>
      </x:c>
      <x:c r="E191" s="18" t="n">
        <x:v>26</x:v>
      </x:c>
      <x:c r="F191" s="18" t="n">
        <x:v>139</x:v>
      </x:c>
      <x:c r="G191" s="18" t="n">
        <x:v>26</x:v>
      </x:c>
      <x:c r="H191" s="18" t="n">
        <x:v>13</x:v>
      </x:c>
      <x:c r="I191" s="18" t="n">
        <x:v>26</x:v>
      </x:c>
      <x:c r="J191" s="18" t="n">
        <x:v>447</x:v>
      </x:c>
      <x:c r="K191" s="18" t="n">
        <x:v>26</x:v>
      </x:c>
      <x:c r="L191" s="18" t="n">
        <x:v>51</x:v>
      </x:c>
      <x:c r="M191" s="18" t="n">
        <x:v>26</x:v>
      </x:c>
    </x:row>
    <x:row r="192">
      <x:c r="A192" s="22" t="str">
        <x:v>500101238</x:v>
      </x:c>
      <x:c r="B192" s="17" t="str">
        <x:v>大安區</x:v>
      </x:c>
      <x:c r="C192" s="17" t="str">
        <x:v>仁愛敦南圓環(東側)</x:v>
      </x:c>
      <x:c r="D192" s="18" t="n">
        <x:v>26</x:v>
      </x:c>
      <x:c r="E192" s="18" t="n">
        <x:v>26</x:v>
      </x:c>
      <x:c r="F192" s="18" t="n">
        <x:v>92</x:v>
      </x:c>
      <x:c r="G192" s="18" t="n">
        <x:v>26</x:v>
      </x:c>
      <x:c r="H192" s="18" t="n">
        <x:v>21</x:v>
      </x:c>
      <x:c r="I192" s="18" t="n">
        <x:v>26</x:v>
      </x:c>
      <x:c r="J192" s="18" t="n">
        <x:v>397</x:v>
      </x:c>
      <x:c r="K192" s="18" t="n">
        <x:v>26</x:v>
      </x:c>
      <x:c r="L192" s="18" t="n">
        <x:v>84</x:v>
      </x:c>
      <x:c r="M192" s="18" t="n">
        <x:v>26</x:v>
      </x:c>
    </x:row>
    <x:row r="193">
      <x:c r="A193" s="22" t="str">
        <x:v>500101239</x:v>
      </x:c>
      <x:c r="B193" s="17" t="str">
        <x:v>大安區</x:v>
      </x:c>
      <x:c r="C193" s="17" t="str">
        <x:v>古風公園</x:v>
      </x:c>
      <x:c r="D193" s="18" t="n">
        <x:v>26</x:v>
      </x:c>
      <x:c r="E193" s="18" t="n">
        <x:v>26</x:v>
      </x:c>
      <x:c r="F193" s="18" t="n">
        <x:v>406</x:v>
      </x:c>
      <x:c r="G193" s="18" t="n">
        <x:v>26</x:v>
      </x:c>
      <x:c r="H193" s="18" t="n">
        <x:v>68</x:v>
      </x:c>
      <x:c r="I193" s="18" t="n">
        <x:v>26</x:v>
      </x:c>
      <x:c r="J193" s="18" t="n">
        <x:v>75</x:v>
      </x:c>
      <x:c r="K193" s="18" t="n">
        <x:v>26</x:v>
      </x:c>
      <x:c r="L193" s="18" t="n">
        <x:v>20</x:v>
      </x:c>
      <x:c r="M193" s="18" t="n">
        <x:v>26</x:v>
      </x:c>
    </x:row>
    <x:row r="194">
      <x:c r="A194" s="22" t="str">
        <x:v>500101240</x:v>
      </x:c>
      <x:c r="B194" s="17" t="str">
        <x:v>大安區</x:v>
      </x:c>
      <x:c r="C194" s="17" t="str">
        <x:v>和平東路二段76巷</x:v>
      </x:c>
      <x:c r="D194" s="18" t="n">
        <x:v>26</x:v>
      </x:c>
      <x:c r="E194" s="18" t="n">
        <x:v>26</x:v>
      </x:c>
      <x:c r="F194" s="18" t="n">
        <x:v>780</x:v>
      </x:c>
      <x:c r="G194" s="18" t="n">
        <x:v>26</x:v>
      </x:c>
      <x:c r="H194" s="18" t="n">
        <x:v>90</x:v>
      </x:c>
      <x:c r="I194" s="18" t="n">
        <x:v>26</x:v>
      </x:c>
      <x:c r="J194" s="18" t="n">
        <x:v>108</x:v>
      </x:c>
      <x:c r="K194" s="18" t="n">
        <x:v>26</x:v>
      </x:c>
      <x:c r="L194" s="18" t="n">
        <x:v>32</x:v>
      </x:c>
      <x:c r="M194" s="18" t="n">
        <x:v>26</x:v>
      </x:c>
    </x:row>
    <x:row r="195">
      <x:c r="A195" s="22" t="str">
        <x:v>500101241</x:v>
      </x:c>
      <x:c r="B195" s="17" t="str">
        <x:v>大安區</x:v>
      </x:c>
      <x:c r="C195" s="17" t="str">
        <x:v>敦化信義路口(東南側)</x:v>
      </x:c>
      <x:c r="D195" s="18" t="n">
        <x:v>26</x:v>
      </x:c>
      <x:c r="E195" s="18" t="n">
        <x:v>26</x:v>
      </x:c>
      <x:c r="F195" s="18" t="n">
        <x:v>222</x:v>
      </x:c>
      <x:c r="G195" s="18" t="n">
        <x:v>26</x:v>
      </x:c>
      <x:c r="H195" s="18" t="n">
        <x:v>32</x:v>
      </x:c>
      <x:c r="I195" s="18" t="n">
        <x:v>26</x:v>
      </x:c>
      <x:c r="J195" s="18" t="n">
        <x:v>194</x:v>
      </x:c>
      <x:c r="K195" s="18" t="n">
        <x:v>26</x:v>
      </x:c>
      <x:c r="L195" s="18" t="n">
        <x:v>62</x:v>
      </x:c>
      <x:c r="M195" s="18" t="n">
        <x:v>26</x:v>
      </x:c>
    </x:row>
    <x:row r="196">
      <x:c r="A196" s="22" t="str">
        <x:v>500101242</x:v>
      </x:c>
      <x:c r="B196" s="17" t="str">
        <x:v>大安區</x:v>
      </x:c>
      <x:c r="C196" s="17" t="str">
        <x:v>和平東路三段308巷口</x:v>
      </x:c>
      <x:c r="D196" s="18" t="n">
        <x:v>26</x:v>
      </x:c>
      <x:c r="E196" s="18" t="n">
        <x:v>26</x:v>
      </x:c>
      <x:c r="F196" s="18" t="n">
        <x:v>410</x:v>
      </x:c>
      <x:c r="G196" s="18" t="n">
        <x:v>26</x:v>
      </x:c>
      <x:c r="H196" s="18" t="n">
        <x:v>84</x:v>
      </x:c>
      <x:c r="I196" s="18" t="n">
        <x:v>26</x:v>
      </x:c>
      <x:c r="J196" s="18" t="n">
        <x:v>65</x:v>
      </x:c>
      <x:c r="K196" s="18" t="n">
        <x:v>26</x:v>
      </x:c>
      <x:c r="L196" s="18" t="n">
        <x:v>21</x:v>
      </x:c>
      <x:c r="M196" s="18" t="n">
        <x:v>26</x:v>
      </x:c>
    </x:row>
    <x:row r="197">
      <x:c r="A197" s="22" t="str">
        <x:v>500101243</x:v>
      </x:c>
      <x:c r="B197" s="17" t="str">
        <x:v>大安區</x:v>
      </x:c>
      <x:c r="C197" s="17" t="str">
        <x:v>忠孝建國路口(東南側)</x:v>
      </x:c>
      <x:c r="D197" s="18" t="n">
        <x:v>26</x:v>
      </x:c>
      <x:c r="E197" s="18" t="n">
        <x:v>26</x:v>
      </x:c>
      <x:c r="F197" s="18" t="n">
        <x:v>233</x:v>
      </x:c>
      <x:c r="G197" s="18" t="n">
        <x:v>26</x:v>
      </x:c>
      <x:c r="H197" s="18" t="n">
        <x:v>60</x:v>
      </x:c>
      <x:c r="I197" s="18" t="n">
        <x:v>26</x:v>
      </x:c>
      <x:c r="J197" s="18" t="n">
        <x:v>181</x:v>
      </x:c>
      <x:c r="K197" s="18" t="n">
        <x:v>26</x:v>
      </x:c>
      <x:c r="L197" s="18" t="n">
        <x:v>48</x:v>
      </x:c>
      <x:c r="M197" s="18" t="n">
        <x:v>26</x:v>
      </x:c>
    </x:row>
    <x:row r="198">
      <x:c r="A198" s="22" t="str">
        <x:v>500101244</x:v>
      </x:c>
      <x:c r="B198" s="17" t="str">
        <x:v>大安區</x:v>
      </x:c>
      <x:c r="C198" s="17" t="str">
        <x:v>浦城街26巷</x:v>
      </x:c>
      <x:c r="D198" s="18" t="n">
        <x:v>26</x:v>
      </x:c>
      <x:c r="E198" s="18" t="n">
        <x:v>26</x:v>
      </x:c>
      <x:c r="F198" s="18" t="n">
        <x:v>457</x:v>
      </x:c>
      <x:c r="G198" s="18" t="n">
        <x:v>26</x:v>
      </x:c>
      <x:c r="H198" s="18" t="n">
        <x:v>61</x:v>
      </x:c>
      <x:c r="I198" s="18" t="n">
        <x:v>26</x:v>
      </x:c>
      <x:c r="J198" s="18" t="n">
        <x:v>95</x:v>
      </x:c>
      <x:c r="K198" s="18" t="n">
        <x:v>26</x:v>
      </x:c>
      <x:c r="L198" s="18" t="n">
        <x:v>10</x:v>
      </x:c>
      <x:c r="M198" s="18" t="n">
        <x:v>26</x:v>
      </x:c>
    </x:row>
    <x:row r="199">
      <x:c r="A199" s="22" t="str">
        <x:v>500101245</x:v>
      </x:c>
      <x:c r="B199" s="17" t="str">
        <x:v>大安區</x:v>
      </x:c>
      <x:c r="C199" s="17" t="str">
        <x:v>青峰活動中心</x:v>
      </x:c>
      <x:c r="D199" s="18" t="n">
        <x:v>26</x:v>
      </x:c>
      <x:c r="E199" s="18" t="n">
        <x:v>26</x:v>
      </x:c>
      <x:c r="F199" s="18" t="n">
        <x:v>171</x:v>
      </x:c>
      <x:c r="G199" s="18" t="n">
        <x:v>26</x:v>
      </x:c>
      <x:c r="H199" s="18" t="n">
        <x:v>47</x:v>
      </x:c>
      <x:c r="I199" s="18" t="n">
        <x:v>26</x:v>
      </x:c>
      <x:c r="J199" s="18" t="n">
        <x:v>275</x:v>
      </x:c>
      <x:c r="K199" s="18" t="n">
        <x:v>26</x:v>
      </x:c>
      <x:c r="L199" s="18" t="n">
        <x:v>82</x:v>
      </x:c>
      <x:c r="M199" s="18" t="n">
        <x:v>26</x:v>
      </x:c>
    </x:row>
    <x:row r="200">
      <x:c r="A200" s="22" t="str">
        <x:v>500101246</x:v>
      </x:c>
      <x:c r="B200" s="17" t="str">
        <x:v>大安區</x:v>
      </x:c>
      <x:c r="C200" s="17" t="str">
        <x:v>忠孝東路三段216巷口</x:v>
      </x:c>
      <x:c r="D200" s="18" t="n">
        <x:v>26</x:v>
      </x:c>
      <x:c r="E200" s="18" t="n">
        <x:v>26</x:v>
      </x:c>
      <x:c r="F200" s="18" t="n">
        <x:v>433</x:v>
      </x:c>
      <x:c r="G200" s="18" t="n">
        <x:v>26</x:v>
      </x:c>
      <x:c r="H200" s="18" t="n">
        <x:v>52</x:v>
      </x:c>
      <x:c r="I200" s="18" t="n">
        <x:v>26</x:v>
      </x:c>
      <x:c r="J200" s="18" t="n">
        <x:v>150</x:v>
      </x:c>
      <x:c r="K200" s="18" t="n">
        <x:v>26</x:v>
      </x:c>
      <x:c r="L200" s="18" t="n">
        <x:v>56</x:v>
      </x:c>
      <x:c r="M200" s="18" t="n">
        <x:v>26</x:v>
      </x:c>
    </x:row>
    <x:row r="201">
      <x:c r="A201" s="22" t="str">
        <x:v>500101247</x:v>
      </x:c>
      <x:c r="B201" s="17" t="str">
        <x:v>大安區</x:v>
      </x:c>
      <x:c r="C201" s="17" t="str">
        <x:v>捷運忠孝復興站(4號出口)</x:v>
      </x:c>
      <x:c r="D201" s="18" t="n">
        <x:v>26</x:v>
      </x:c>
      <x:c r="E201" s="18" t="n">
        <x:v>26</x:v>
      </x:c>
      <x:c r="F201" s="18" t="n">
        <x:v>387</x:v>
      </x:c>
      <x:c r="G201" s="18" t="n">
        <x:v>26</x:v>
      </x:c>
      <x:c r="H201" s="18" t="n">
        <x:v>51</x:v>
      </x:c>
      <x:c r="I201" s="18" t="n">
        <x:v>26</x:v>
      </x:c>
      <x:c r="J201" s="18" t="n">
        <x:v>187</x:v>
      </x:c>
      <x:c r="K201" s="18" t="n">
        <x:v>26</x:v>
      </x:c>
      <x:c r="L201" s="18" t="n">
        <x:v>27</x:v>
      </x:c>
      <x:c r="M201" s="18" t="n">
        <x:v>26</x:v>
      </x:c>
    </x:row>
    <x:row r="202">
      <x:c r="A202" s="22" t="str">
        <x:v>500101248</x:v>
      </x:c>
      <x:c r="B202" s="17" t="str">
        <x:v>大安區</x:v>
      </x:c>
      <x:c r="C202" s="17" t="str">
        <x:v>和平溫州街口</x:v>
      </x:c>
      <x:c r="D202" s="18" t="n">
        <x:v>26</x:v>
      </x:c>
      <x:c r="E202" s="18" t="n">
        <x:v>26</x:v>
      </x:c>
      <x:c r="F202" s="18" t="n">
        <x:v>562</x:v>
      </x:c>
      <x:c r="G202" s="18" t="n">
        <x:v>26</x:v>
      </x:c>
      <x:c r="H202" s="18" t="n">
        <x:v>67</x:v>
      </x:c>
      <x:c r="I202" s="18" t="n">
        <x:v>26</x:v>
      </x:c>
      <x:c r="J202" s="18" t="n">
        <x:v>144</x:v>
      </x:c>
      <x:c r="K202" s="18" t="n">
        <x:v>26</x:v>
      </x:c>
      <x:c r="L202" s="18" t="n">
        <x:v>24</x:v>
      </x:c>
      <x:c r="M202" s="18" t="n">
        <x:v>26</x:v>
      </x:c>
    </x:row>
    <x:row r="203">
      <x:c r="A203" s="22" t="str">
        <x:v>500101249</x:v>
      </x:c>
      <x:c r="B203" s="17" t="str">
        <x:v>大安區</x:v>
      </x:c>
      <x:c r="C203" s="17" t="str">
        <x:v>安居街75巷</x:v>
      </x:c>
      <x:c r="D203" s="18" t="n">
        <x:v>26</x:v>
      </x:c>
      <x:c r="E203" s="18" t="n">
        <x:v>26</x:v>
      </x:c>
      <x:c r="F203" s="18" t="n">
        <x:v>0</x:v>
      </x:c>
      <x:c r="G203" s="18" t="n">
        <x:v>26</x:v>
      </x:c>
      <x:c r="H203" s="18" t="n">
        <x:v>0</x:v>
      </x:c>
      <x:c r="I203" s="18" t="n">
        <x:v>26</x:v>
      </x:c>
      <x:c r="J203" s="18" t="n">
        <x:v>0</x:v>
      </x:c>
      <x:c r="K203" s="18" t="n">
        <x:v>26</x:v>
      </x:c>
      <x:c r="L203" s="18" t="n">
        <x:v>0</x:v>
      </x:c>
      <x:c r="M203" s="18" t="n">
        <x:v>26</x:v>
      </x:c>
    </x:row>
    <x:row r="204">
      <x:c r="A204" s="22" t="str">
        <x:v>500101250</x:v>
      </x:c>
      <x:c r="B204" s="17" t="str">
        <x:v>大安區</x:v>
      </x:c>
      <x:c r="C204" s="17" t="str">
        <x:v>國立臺北教育大學創意館</x:v>
      </x:c>
      <x:c r="D204" s="18" t="n">
        <x:v>26</x:v>
      </x:c>
      <x:c r="E204" s="18" t="n">
        <x:v>26</x:v>
      </x:c>
      <x:c r="F204" s="18" t="n">
        <x:v>210</x:v>
      </x:c>
      <x:c r="G204" s="18" t="n">
        <x:v>26</x:v>
      </x:c>
      <x:c r="H204" s="18" t="n">
        <x:v>57</x:v>
      </x:c>
      <x:c r="I204" s="18" t="n">
        <x:v>26</x:v>
      </x:c>
      <x:c r="J204" s="18" t="n">
        <x:v>145</x:v>
      </x:c>
      <x:c r="K204" s="18" t="n">
        <x:v>26</x:v>
      </x:c>
      <x:c r="L204" s="18" t="n">
        <x:v>25</x:v>
      </x:c>
      <x:c r="M204" s="18" t="n">
        <x:v>26</x:v>
      </x:c>
    </x:row>
    <x:row r="205">
      <x:c r="A205" s="22" t="str">
        <x:v>500101251</x:v>
      </x:c>
      <x:c r="B205" s="17" t="str">
        <x:v>大安區</x:v>
      </x:c>
      <x:c r="C205" s="17" t="str">
        <x:v>捷運忠孝復興站(1號出口)</x:v>
      </x:c>
      <x:c r="D205" s="18" t="n">
        <x:v>26</x:v>
      </x:c>
      <x:c r="E205" s="18" t="n">
        <x:v>26</x:v>
      </x:c>
      <x:c r="F205" s="18" t="n">
        <x:v>395</x:v>
      </x:c>
      <x:c r="G205" s="18" t="n">
        <x:v>26</x:v>
      </x:c>
      <x:c r="H205" s="18" t="n">
        <x:v>66</x:v>
      </x:c>
      <x:c r="I205" s="18" t="n">
        <x:v>26</x:v>
      </x:c>
      <x:c r="J205" s="18" t="n">
        <x:v>235</x:v>
      </x:c>
      <x:c r="K205" s="18" t="n">
        <x:v>26</x:v>
      </x:c>
      <x:c r="L205" s="18" t="n">
        <x:v>54</x:v>
      </x:c>
      <x:c r="M205" s="18" t="n">
        <x:v>26</x:v>
      </x:c>
    </x:row>
    <x:row r="206">
      <x:c r="A206" s="22" t="str">
        <x:v>500101252</x:v>
      </x:c>
      <x:c r="B206" s="17" t="str">
        <x:v>大安區</x:v>
      </x:c>
      <x:c r="C206" s="17" t="str">
        <x:v>政大公企中心</x:v>
      </x:c>
      <x:c r="D206" s="18" t="n">
        <x:v>26</x:v>
      </x:c>
      <x:c r="E206" s="18" t="n">
        <x:v>26</x:v>
      </x:c>
      <x:c r="F206" s="18" t="n">
        <x:v>113</x:v>
      </x:c>
      <x:c r="G206" s="18" t="n">
        <x:v>26</x:v>
      </x:c>
      <x:c r="H206" s="18" t="n">
        <x:v>27</x:v>
      </x:c>
      <x:c r="I206" s="18" t="n">
        <x:v>26</x:v>
      </x:c>
      <x:c r="J206" s="18" t="n">
        <x:v>145</x:v>
      </x:c>
      <x:c r="K206" s="18" t="n">
        <x:v>26</x:v>
      </x:c>
      <x:c r="L206" s="18" t="n">
        <x:v>52</x:v>
      </x:c>
      <x:c r="M206" s="18" t="n">
        <x:v>26</x:v>
      </x:c>
    </x:row>
    <x:row r="207">
      <x:c r="A207" s="22" t="str">
        <x:v>500101253</x:v>
      </x:c>
      <x:c r="B207" s="17" t="str">
        <x:v>大安區</x:v>
      </x:c>
      <x:c r="C207" s="17" t="str">
        <x:v>大安路二段90巷口</x:v>
      </x:c>
      <x:c r="D207" s="18" t="n">
        <x:v>26</x:v>
      </x:c>
      <x:c r="E207" s="18" t="n">
        <x:v>26</x:v>
      </x:c>
      <x:c r="F207" s="18" t="n">
        <x:v>120</x:v>
      </x:c>
      <x:c r="G207" s="18" t="n">
        <x:v>26</x:v>
      </x:c>
      <x:c r="H207" s="18" t="n">
        <x:v>47</x:v>
      </x:c>
      <x:c r="I207" s="18" t="n">
        <x:v>26</x:v>
      </x:c>
      <x:c r="J207" s="18" t="n">
        <x:v>132</x:v>
      </x:c>
      <x:c r="K207" s="18" t="n">
        <x:v>26</x:v>
      </x:c>
      <x:c r="L207" s="18" t="n">
        <x:v>32</x:v>
      </x:c>
      <x:c r="M207" s="18" t="n">
        <x:v>26</x:v>
      </x:c>
    </x:row>
    <x:row r="208">
      <x:c r="A208" s="22" t="str">
        <x:v>500101254</x:v>
      </x:c>
      <x:c r="B208" s="17" t="str">
        <x:v>大安區</x:v>
      </x:c>
      <x:c r="C208" s="17" t="str">
        <x:v>師大附中運動中心</x:v>
      </x:c>
      <x:c r="D208" s="18" t="n">
        <x:v>26</x:v>
      </x:c>
      <x:c r="E208" s="18" t="n">
        <x:v>26</x:v>
      </x:c>
      <x:c r="F208" s="18" t="n">
        <x:v>295</x:v>
      </x:c>
      <x:c r="G208" s="18" t="n">
        <x:v>26</x:v>
      </x:c>
      <x:c r="H208" s="18" t="n">
        <x:v>31</x:v>
      </x:c>
      <x:c r="I208" s="18" t="n">
        <x:v>26</x:v>
      </x:c>
      <x:c r="J208" s="18" t="n">
        <x:v>316</x:v>
      </x:c>
      <x:c r="K208" s="18" t="n">
        <x:v>26</x:v>
      </x:c>
      <x:c r="L208" s="18" t="n">
        <x:v>45</x:v>
      </x:c>
      <x:c r="M208" s="18" t="n">
        <x:v>26</x:v>
      </x:c>
    </x:row>
    <x:row r="209">
      <x:c r="A209" s="22" t="str">
        <x:v>500101255</x:v>
      </x:c>
      <x:c r="B209" s="17" t="str">
        <x:v>大安區</x:v>
      </x:c>
      <x:c r="C209" s="17" t="str">
        <x:v>錦安區民活動中心</x:v>
      </x:c>
      <x:c r="D209" s="18" t="n">
        <x:v>26</x:v>
      </x:c>
      <x:c r="E209" s="18" t="n">
        <x:v>26</x:v>
      </x:c>
      <x:c r="F209" s="18" t="n">
        <x:v>139</x:v>
      </x:c>
      <x:c r="G209" s="18" t="n">
        <x:v>26</x:v>
      </x:c>
      <x:c r="H209" s="18" t="n">
        <x:v>81</x:v>
      </x:c>
      <x:c r="I209" s="18" t="n">
        <x:v>26</x:v>
      </x:c>
      <x:c r="J209" s="18" t="n">
        <x:v>191</x:v>
      </x:c>
      <x:c r="K209" s="18" t="n">
        <x:v>26</x:v>
      </x:c>
      <x:c r="L209" s="18" t="n">
        <x:v>52</x:v>
      </x:c>
      <x:c r="M209" s="18" t="n">
        <x:v>26</x:v>
      </x:c>
    </x:row>
    <x:row r="210">
      <x:c r="A210" s="22" t="str">
        <x:v>500101256</x:v>
      </x:c>
      <x:c r="B210" s="17" t="str">
        <x:v>大安區</x:v>
      </x:c>
      <x:c r="C210" s="17" t="str">
        <x:v>敦化基隆路口(東北側)</x:v>
      </x:c>
      <x:c r="D210" s="18" t="n">
        <x:v>26</x:v>
      </x:c>
      <x:c r="E210" s="18" t="n">
        <x:v>26</x:v>
      </x:c>
      <x:c r="F210" s="18" t="n">
        <x:v>193</x:v>
      </x:c>
      <x:c r="G210" s="18" t="n">
        <x:v>26</x:v>
      </x:c>
      <x:c r="H210" s="18" t="n">
        <x:v>41</x:v>
      </x:c>
      <x:c r="I210" s="18" t="n">
        <x:v>26</x:v>
      </x:c>
      <x:c r="J210" s="18" t="n">
        <x:v>177</x:v>
      </x:c>
      <x:c r="K210" s="18" t="n">
        <x:v>26</x:v>
      </x:c>
      <x:c r="L210" s="18" t="n">
        <x:v>61</x:v>
      </x:c>
      <x:c r="M210" s="18" t="n">
        <x:v>26</x:v>
      </x:c>
    </x:row>
    <x:row r="211">
      <x:c r="A211" s="22" t="str">
        <x:v>500101257</x:v>
      </x:c>
      <x:c r="B211" s="17" t="str">
        <x:v>大安區</x:v>
      </x:c>
      <x:c r="C211" s="17" t="str">
        <x:v>龍圖公園</x:v>
      </x:c>
      <x:c r="D211" s="18" t="n">
        <x:v>26</x:v>
      </x:c>
      <x:c r="E211" s="18" t="n">
        <x:v>26</x:v>
      </x:c>
      <x:c r="F211" s="18" t="n">
        <x:v>290</x:v>
      </x:c>
      <x:c r="G211" s="18" t="n">
        <x:v>26</x:v>
      </x:c>
      <x:c r="H211" s="18" t="n">
        <x:v>62</x:v>
      </x:c>
      <x:c r="I211" s="18" t="n">
        <x:v>26</x:v>
      </x:c>
      <x:c r="J211" s="18" t="n">
        <x:v>76</x:v>
      </x:c>
      <x:c r="K211" s="18" t="n">
        <x:v>26</x:v>
      </x:c>
      <x:c r="L211" s="18" t="n">
        <x:v>23</x:v>
      </x:c>
      <x:c r="M211" s="18" t="n">
        <x:v>26</x:v>
      </x:c>
    </x:row>
    <x:row r="212">
      <x:c r="A212" s="22" t="str">
        <x:v>500101258</x:v>
      </x:c>
      <x:c r="B212" s="17" t="str">
        <x:v>大安區</x:v>
      </x:c>
      <x:c r="C212" s="17" t="str">
        <x:v>新生南路二段54巷口</x:v>
      </x:c>
      <x:c r="D212" s="18" t="n">
        <x:v>26</x:v>
      </x:c>
      <x:c r="E212" s="18" t="n">
        <x:v>26</x:v>
      </x:c>
      <x:c r="F212" s="18" t="n">
        <x:v>191</x:v>
      </x:c>
      <x:c r="G212" s="18" t="n">
        <x:v>26</x:v>
      </x:c>
      <x:c r="H212" s="18" t="n">
        <x:v>35</x:v>
      </x:c>
      <x:c r="I212" s="18" t="n">
        <x:v>26</x:v>
      </x:c>
      <x:c r="J212" s="18" t="n">
        <x:v>135</x:v>
      </x:c>
      <x:c r="K212" s="18" t="n">
        <x:v>26</x:v>
      </x:c>
      <x:c r="L212" s="18" t="n">
        <x:v>29</x:v>
      </x:c>
      <x:c r="M212" s="18" t="n">
        <x:v>26</x:v>
      </x:c>
    </x:row>
    <x:row r="213">
      <x:c r="A213" s="22" t="str">
        <x:v>500101259</x:v>
      </x:c>
      <x:c r="B213" s="17" t="str">
        <x:v>大安區</x:v>
      </x:c>
      <x:c r="C213" s="17" t="str">
        <x:v>臺靜農人文會館</x:v>
      </x:c>
      <x:c r="D213" s="18" t="n">
        <x:v>26</x:v>
      </x:c>
      <x:c r="E213" s="18" t="n">
        <x:v>26</x:v>
      </x:c>
      <x:c r="F213" s="18" t="n">
        <x:v>235</x:v>
      </x:c>
      <x:c r="G213" s="18" t="n">
        <x:v>26</x:v>
      </x:c>
      <x:c r="H213" s="18" t="n">
        <x:v>43</x:v>
      </x:c>
      <x:c r="I213" s="18" t="n">
        <x:v>26</x:v>
      </x:c>
      <x:c r="J213" s="18" t="n">
        <x:v>118</x:v>
      </x:c>
      <x:c r="K213" s="18" t="n">
        <x:v>26</x:v>
      </x:c>
      <x:c r="L213" s="18" t="n">
        <x:v>17</x:v>
      </x:c>
      <x:c r="M213" s="18" t="n">
        <x:v>26</x:v>
      </x:c>
    </x:row>
    <x:row r="214">
      <x:c r="A214" s="22" t="str">
        <x:v>500101260</x:v>
      </x:c>
      <x:c r="B214" s="17" t="str">
        <x:v>大安區</x:v>
      </x:c>
      <x:c r="C214" s="17" t="str">
        <x:v>建國南路二段瑞安街264巷口</x:v>
      </x:c>
      <x:c r="D214" s="18" t="n">
        <x:v>26</x:v>
      </x:c>
      <x:c r="E214" s="18" t="n">
        <x:v>26</x:v>
      </x:c>
      <x:c r="F214" s="18" t="n">
        <x:v>232</x:v>
      </x:c>
      <x:c r="G214" s="18" t="n">
        <x:v>26</x:v>
      </x:c>
      <x:c r="H214" s="18" t="n">
        <x:v>47</x:v>
      </x:c>
      <x:c r="I214" s="18" t="n">
        <x:v>26</x:v>
      </x:c>
      <x:c r="J214" s="18" t="n">
        <x:v>95</x:v>
      </x:c>
      <x:c r="K214" s="18" t="n">
        <x:v>26</x:v>
      </x:c>
      <x:c r="L214" s="18" t="n">
        <x:v>24</x:v>
      </x:c>
      <x:c r="M214" s="18" t="n">
        <x:v>26</x:v>
      </x:c>
    </x:row>
    <x:row r="215">
      <x:c r="A215" s="22" t="str">
        <x:v>500101261</x:v>
      </x:c>
      <x:c r="B215" s="17" t="str">
        <x:v>大安區</x:v>
      </x:c>
      <x:c r="C215" s="17" t="str">
        <x:v>辛亥路一段77巷口</x:v>
      </x:c>
      <x:c r="D215" s="18" t="n">
        <x:v>26</x:v>
      </x:c>
      <x:c r="E215" s="18" t="n">
        <x:v>26</x:v>
      </x:c>
      <x:c r="F215" s="18" t="n">
        <x:v>445</x:v>
      </x:c>
      <x:c r="G215" s="18" t="n">
        <x:v>26</x:v>
      </x:c>
      <x:c r="H215" s="18" t="n">
        <x:v>66</x:v>
      </x:c>
      <x:c r="I215" s="18" t="n">
        <x:v>26</x:v>
      </x:c>
      <x:c r="J215" s="18" t="n">
        <x:v>129</x:v>
      </x:c>
      <x:c r="K215" s="18" t="n">
        <x:v>26</x:v>
      </x:c>
      <x:c r="L215" s="18" t="n">
        <x:v>19</x:v>
      </x:c>
      <x:c r="M215" s="18" t="n">
        <x:v>26</x:v>
      </x:c>
    </x:row>
    <x:row r="216">
      <x:c r="A216" s="22" t="str">
        <x:v>500101262</x:v>
      </x:c>
      <x:c r="B216" s="17" t="str">
        <x:v>大安區</x:v>
      </x:c>
      <x:c r="C216" s="17" t="str">
        <x:v>愛國東路210巷口</x:v>
      </x:c>
      <x:c r="D216" s="18" t="n">
        <x:v>26</x:v>
      </x:c>
      <x:c r="E216" s="18" t="n">
        <x:v>26</x:v>
      </x:c>
      <x:c r="F216" s="18" t="n">
        <x:v>207</x:v>
      </x:c>
      <x:c r="G216" s="18" t="n">
        <x:v>26</x:v>
      </x:c>
      <x:c r="H216" s="18" t="n">
        <x:v>26</x:v>
      </x:c>
      <x:c r="I216" s="18" t="n">
        <x:v>26</x:v>
      </x:c>
      <x:c r="J216" s="18" t="n">
        <x:v>470</x:v>
      </x:c>
      <x:c r="K216" s="18" t="n">
        <x:v>26</x:v>
      </x:c>
      <x:c r="L216" s="18" t="n">
        <x:v>36</x:v>
      </x:c>
      <x:c r="M216" s="18" t="n">
        <x:v>26</x:v>
      </x:c>
    </x:row>
    <x:row r="217">
      <x:c r="A217" s="22" t="str">
        <x:v>500101263</x:v>
      </x:c>
      <x:c r="B217" s="17" t="str">
        <x:v>大安區</x:v>
      </x:c>
      <x:c r="C217" s="17" t="str">
        <x:v>信義路三段134巷</x:v>
      </x:c>
      <x:c r="D217" s="18" t="n">
        <x:v>26</x:v>
      </x:c>
      <x:c r="E217" s="18" t="n">
        <x:v>26</x:v>
      </x:c>
      <x:c r="F217" s="18" t="n">
        <x:v>0</x:v>
      </x:c>
      <x:c r="G217" s="18" t="n">
        <x:v>26</x:v>
      </x:c>
      <x:c r="H217" s="18" t="n">
        <x:v>0</x:v>
      </x:c>
      <x:c r="I217" s="18" t="n">
        <x:v>26</x:v>
      </x:c>
      <x:c r="J217" s="18" t="n">
        <x:v>0</x:v>
      </x:c>
      <x:c r="K217" s="18" t="n">
        <x:v>26</x:v>
      </x:c>
      <x:c r="L217" s="18" t="n">
        <x:v>0</x:v>
      </x:c>
      <x:c r="M217" s="18" t="n">
        <x:v>26</x:v>
      </x:c>
    </x:row>
    <x:row r="218">
      <x:c r="A218" s="22" t="str">
        <x:v>500101264</x:v>
      </x:c>
      <x:c r="B218" s="17" t="str">
        <x:v>大安區</x:v>
      </x:c>
      <x:c r="C218" s="17" t="str">
        <x:v>金華國中</x:v>
      </x:c>
      <x:c r="D218" s="18" t="n">
        <x:v>26</x:v>
      </x:c>
      <x:c r="E218" s="18" t="n">
        <x:v>26</x:v>
      </x:c>
      <x:c r="F218" s="18" t="n">
        <x:v>121</x:v>
      </x:c>
      <x:c r="G218" s="18" t="n">
        <x:v>26</x:v>
      </x:c>
      <x:c r="H218" s="18" t="n">
        <x:v>20</x:v>
      </x:c>
      <x:c r="I218" s="18" t="n">
        <x:v>26</x:v>
      </x:c>
      <x:c r="J218" s="18" t="n">
        <x:v>136</x:v>
      </x:c>
      <x:c r="K218" s="18" t="n">
        <x:v>26</x:v>
      </x:c>
      <x:c r="L218" s="18" t="n">
        <x:v>29</x:v>
      </x:c>
      <x:c r="M218" s="18" t="n">
        <x:v>26</x:v>
      </x:c>
    </x:row>
    <x:row r="219">
      <x:c r="A219" s="22" t="str">
        <x:v>500101265</x:v>
      </x:c>
      <x:c r="B219" s="17" t="str">
        <x:v>大安區</x:v>
      </x:c>
      <x:c r="C219" s="17" t="str">
        <x:v>羅斯福路三段283巷</x:v>
      </x:c>
      <x:c r="D219" s="18" t="n">
        <x:v>26</x:v>
      </x:c>
      <x:c r="E219" s="18" t="n">
        <x:v>26</x:v>
      </x:c>
      <x:c r="F219" s="18" t="n">
        <x:v>447</x:v>
      </x:c>
      <x:c r="G219" s="18" t="n">
        <x:v>26</x:v>
      </x:c>
      <x:c r="H219" s="18" t="n">
        <x:v>47</x:v>
      </x:c>
      <x:c r="I219" s="18" t="n">
        <x:v>26</x:v>
      </x:c>
      <x:c r="J219" s="18" t="n">
        <x:v>98</x:v>
      </x:c>
      <x:c r="K219" s="18" t="n">
        <x:v>26</x:v>
      </x:c>
      <x:c r="L219" s="18" t="n">
        <x:v>24</x:v>
      </x:c>
      <x:c r="M219" s="18" t="n">
        <x:v>26</x:v>
      </x:c>
    </x:row>
    <x:row r="220">
      <x:c r="A220" s="22" t="str">
        <x:v>500101266</x:v>
      </x:c>
      <x:c r="B220" s="17" t="str">
        <x:v>大安區</x:v>
      </x:c>
      <x:c r="C220" s="17" t="str">
        <x:v>臺科大側門(基隆路四段73巷)</x:v>
      </x:c>
      <x:c r="D220" s="18" t="n">
        <x:v>26</x:v>
      </x:c>
      <x:c r="E220" s="18" t="n">
        <x:v>26</x:v>
      </x:c>
      <x:c r="F220" s="18" t="n">
        <x:v>0</x:v>
      </x:c>
      <x:c r="G220" s="18" t="n">
        <x:v>26</x:v>
      </x:c>
      <x:c r="H220" s="18" t="n">
        <x:v>0</x:v>
      </x:c>
      <x:c r="I220" s="18" t="n">
        <x:v>26</x:v>
      </x:c>
      <x:c r="J220" s="18" t="n">
        <x:v>0</x:v>
      </x:c>
      <x:c r="K220" s="18" t="n">
        <x:v>26</x:v>
      </x:c>
      <x:c r="L220" s="18" t="n">
        <x:v>0</x:v>
      </x:c>
      <x:c r="M220" s="18" t="n">
        <x:v>26</x:v>
      </x:c>
    </x:row>
    <x:row r="221">
      <x:c r="A221" s="22" t="str">
        <x:v>500101267</x:v>
      </x:c>
      <x:c r="B221" s="17" t="str">
        <x:v>大安區</x:v>
      </x:c>
      <x:c r="C221" s="17" t="str">
        <x:v>黎和公園</x:v>
      </x:c>
      <x:c r="D221" s="18" t="n">
        <x:v>26</x:v>
      </x:c>
      <x:c r="E221" s="18" t="n">
        <x:v>26</x:v>
      </x:c>
      <x:c r="F221" s="18" t="n">
        <x:v>278</x:v>
      </x:c>
      <x:c r="G221" s="18" t="n">
        <x:v>26</x:v>
      </x:c>
      <x:c r="H221" s="18" t="n">
        <x:v>42</x:v>
      </x:c>
      <x:c r="I221" s="18" t="n">
        <x:v>26</x:v>
      </x:c>
      <x:c r="J221" s="18" t="n">
        <x:v>98</x:v>
      </x:c>
      <x:c r="K221" s="18" t="n">
        <x:v>26</x:v>
      </x:c>
      <x:c r="L221" s="18" t="n">
        <x:v>22</x:v>
      </x:c>
      <x:c r="M221" s="18" t="n">
        <x:v>26</x:v>
      </x:c>
    </x:row>
    <x:row r="222">
      <x:c r="A222" s="22" t="str">
        <x:v>500101268</x:v>
      </x:c>
      <x:c r="B222" s="17" t="str">
        <x:v>大安區</x:v>
      </x:c>
      <x:c r="C222" s="17" t="str">
        <x:v>信義四維路口</x:v>
      </x:c>
      <x:c r="D222" s="18" t="n">
        <x:v>26</x:v>
      </x:c>
      <x:c r="E222" s="18" t="n">
        <x:v>26</x:v>
      </x:c>
      <x:c r="F222" s="18" t="n">
        <x:v>149</x:v>
      </x:c>
      <x:c r="G222" s="18" t="n">
        <x:v>26</x:v>
      </x:c>
      <x:c r="H222" s="18" t="n">
        <x:v>38</x:v>
      </x:c>
      <x:c r="I222" s="18" t="n">
        <x:v>26</x:v>
      </x:c>
      <x:c r="J222" s="18" t="n">
        <x:v>127</x:v>
      </x:c>
      <x:c r="K222" s="18" t="n">
        <x:v>26</x:v>
      </x:c>
      <x:c r="L222" s="18" t="n">
        <x:v>30</x:v>
      </x:c>
      <x:c r="M222" s="18" t="n">
        <x:v>26</x:v>
      </x:c>
    </x:row>
    <x:row r="223">
      <x:c r="A223" s="22" t="str">
        <x:v>500101269</x:v>
      </x:c>
      <x:c r="B223" s="17" t="str">
        <x:v>大安區</x:v>
      </x:c>
      <x:c r="C223" s="17" t="str">
        <x:v>和平高中(辛亥基隆路口)</x:v>
      </x:c>
      <x:c r="D223" s="18" t="n">
        <x:v>26</x:v>
      </x:c>
      <x:c r="E223" s="18" t="n">
        <x:v>26</x:v>
      </x:c>
      <x:c r="F223" s="18" t="n">
        <x:v>206</x:v>
      </x:c>
      <x:c r="G223" s="18" t="n">
        <x:v>26</x:v>
      </x:c>
      <x:c r="H223" s="18" t="n">
        <x:v>18</x:v>
      </x:c>
      <x:c r="I223" s="18" t="n">
        <x:v>26</x:v>
      </x:c>
      <x:c r="J223" s="18" t="n">
        <x:v>382</x:v>
      </x:c>
      <x:c r="K223" s="18" t="n">
        <x:v>26</x:v>
      </x:c>
      <x:c r="L223" s="18" t="n">
        <x:v>35</x:v>
      </x:c>
      <x:c r="M223" s="18" t="n">
        <x:v>26</x:v>
      </x:c>
    </x:row>
    <x:row r="224">
      <x:c r="A224" s="22" t="str">
        <x:v>500101270</x:v>
      </x:c>
      <x:c r="B224" s="17" t="str">
        <x:v>大安區</x:v>
      </x:c>
      <x:c r="C224" s="17" t="str">
        <x:v>和平東路二段107巷口</x:v>
      </x:c>
      <x:c r="D224" s="18" t="n">
        <x:v>26</x:v>
      </x:c>
      <x:c r="E224" s="18" t="n">
        <x:v>26</x:v>
      </x:c>
      <x:c r="F224" s="18" t="n">
        <x:v>131</x:v>
      </x:c>
      <x:c r="G224" s="18" t="n">
        <x:v>26</x:v>
      </x:c>
      <x:c r="H224" s="18" t="n">
        <x:v>27</x:v>
      </x:c>
      <x:c r="I224" s="18" t="n">
        <x:v>26</x:v>
      </x:c>
      <x:c r="J224" s="18" t="n">
        <x:v>111</x:v>
      </x:c>
      <x:c r="K224" s="18" t="n">
        <x:v>26</x:v>
      </x:c>
      <x:c r="L224" s="18" t="n">
        <x:v>29</x:v>
      </x:c>
      <x:c r="M224" s="18" t="n">
        <x:v>26</x:v>
      </x:c>
    </x:row>
    <x:row r="225">
      <x:c r="A225" s="22" t="str">
        <x:v>500101271</x:v>
      </x:c>
      <x:c r="B225" s="17" t="str">
        <x:v>大安區</x:v>
      </x:c>
      <x:c r="C225" s="17" t="str">
        <x:v>信義金山路口(西南側)</x:v>
      </x:c>
      <x:c r="D225" s="18" t="n">
        <x:v>26</x:v>
      </x:c>
      <x:c r="E225" s="18" t="n">
        <x:v>26</x:v>
      </x:c>
      <x:c r="F225" s="18" t="n">
        <x:v>104</x:v>
      </x:c>
      <x:c r="G225" s="18" t="n">
        <x:v>26</x:v>
      </x:c>
      <x:c r="H225" s="18" t="n">
        <x:v>29</x:v>
      </x:c>
      <x:c r="I225" s="18" t="n">
        <x:v>26</x:v>
      </x:c>
      <x:c r="J225" s="18" t="n">
        <x:v>83</x:v>
      </x:c>
      <x:c r="K225" s="18" t="n">
        <x:v>26</x:v>
      </x:c>
      <x:c r="L225" s="18" t="n">
        <x:v>25</x:v>
      </x:c>
      <x:c r="M225" s="18" t="n">
        <x:v>26</x:v>
      </x:c>
    </x:row>
    <x:row r="226">
      <x:c r="A226" s="22" t="str">
        <x:v>500101272</x:v>
      </x:c>
      <x:c r="B226" s="17" t="str">
        <x:v>大安區</x:v>
      </x:c>
      <x:c r="C226" s="17" t="str">
        <x:v>金華國中(新生南路二段30巷)</x:v>
      </x:c>
      <x:c r="D226" s="18" t="n">
        <x:v>26</x:v>
      </x:c>
      <x:c r="E226" s="18" t="n">
        <x:v>26</x:v>
      </x:c>
      <x:c r="F226" s="18" t="n">
        <x:v>214</x:v>
      </x:c>
      <x:c r="G226" s="18" t="n">
        <x:v>26</x:v>
      </x:c>
      <x:c r="H226" s="18" t="n">
        <x:v>30</x:v>
      </x:c>
      <x:c r="I226" s="18" t="n">
        <x:v>26</x:v>
      </x:c>
      <x:c r="J226" s="18" t="n">
        <x:v>107</x:v>
      </x:c>
      <x:c r="K226" s="18" t="n">
        <x:v>26</x:v>
      </x:c>
      <x:c r="L226" s="18" t="n">
        <x:v>23</x:v>
      </x:c>
      <x:c r="M226" s="18" t="n">
        <x:v>26</x:v>
      </x:c>
    </x:row>
    <x:row r="227">
      <x:c r="A227" s="22" t="str">
        <x:v>500101273</x:v>
      </x:c>
      <x:c r="B227" s="17" t="str">
        <x:v>大安區</x:v>
      </x:c>
      <x:c r="C227" s="17" t="str">
        <x:v>羅斯福路四段123巷</x:v>
      </x:c>
      <x:c r="D227" s="18" t="n">
        <x:v>26</x:v>
      </x:c>
      <x:c r="E227" s="18" t="n">
        <x:v>26</x:v>
      </x:c>
      <x:c r="F227" s="18" t="n">
        <x:v>96</x:v>
      </x:c>
      <x:c r="G227" s="18" t="n">
        <x:v>26</x:v>
      </x:c>
      <x:c r="H227" s="18" t="n">
        <x:v>12</x:v>
      </x:c>
      <x:c r="I227" s="18" t="n">
        <x:v>26</x:v>
      </x:c>
      <x:c r="J227" s="18" t="n">
        <x:v>90</x:v>
      </x:c>
      <x:c r="K227" s="18" t="n">
        <x:v>26</x:v>
      </x:c>
      <x:c r="L227" s="18" t="n">
        <x:v>25</x:v>
      </x:c>
      <x:c r="M227" s="18" t="n">
        <x:v>26</x:v>
      </x:c>
    </x:row>
    <x:row r="228">
      <x:c r="A228" s="22" t="str">
        <x:v>500101274</x:v>
      </x:c>
      <x:c r="B228" s="17" t="str">
        <x:v>大安區</x:v>
      </x:c>
      <x:c r="C228" s="17" t="str">
        <x:v>捷運科技大樓站(2號出口)</x:v>
      </x:c>
      <x:c r="D228" s="18" t="n">
        <x:v>26</x:v>
      </x:c>
      <x:c r="E228" s="18" t="n">
        <x:v>26</x:v>
      </x:c>
      <x:c r="F228" s="18" t="n">
        <x:v>545</x:v>
      </x:c>
      <x:c r="G228" s="18" t="n">
        <x:v>26</x:v>
      </x:c>
      <x:c r="H228" s="18" t="n">
        <x:v>49</x:v>
      </x:c>
      <x:c r="I228" s="18" t="n">
        <x:v>26</x:v>
      </x:c>
      <x:c r="J228" s="18" t="n">
        <x:v>240</x:v>
      </x:c>
      <x:c r="K228" s="18" t="n">
        <x:v>26</x:v>
      </x:c>
      <x:c r="L228" s="18" t="n">
        <x:v>40</x:v>
      </x:c>
      <x:c r="M228" s="18" t="n">
        <x:v>26</x:v>
      </x:c>
    </x:row>
    <x:row r="229">
      <x:c r="A229" s="22" t="str">
        <x:v>500101275</x:v>
      </x:c>
      <x:c r="B229" s="17" t="str">
        <x:v>大安區</x:v>
      </x:c>
      <x:c r="C229" s="17" t="str">
        <x:v>敦化南路一段252巷口</x:v>
      </x:c>
      <x:c r="D229" s="18" t="n">
        <x:v>26</x:v>
      </x:c>
      <x:c r="E229" s="18" t="n">
        <x:v>26</x:v>
      </x:c>
      <x:c r="F229" s="18" t="n">
        <x:v>0</x:v>
      </x:c>
      <x:c r="G229" s="18" t="n">
        <x:v>26</x:v>
      </x:c>
      <x:c r="H229" s="18" t="n">
        <x:v>0</x:v>
      </x:c>
      <x:c r="I229" s="18" t="n">
        <x:v>26</x:v>
      </x:c>
      <x:c r="J229" s="18" t="n">
        <x:v>0</x:v>
      </x:c>
      <x:c r="K229" s="18" t="n">
        <x:v>26</x:v>
      </x:c>
      <x:c r="L229" s="18" t="n">
        <x:v>0</x:v>
      </x:c>
      <x:c r="M229" s="18" t="n">
        <x:v>26</x:v>
      </x:c>
    </x:row>
    <x:row r="230">
      <x:c r="A230" s="22" t="str">
        <x:v>500101276</x:v>
      </x:c>
      <x:c r="B230" s="17" t="str">
        <x:v>大安區</x:v>
      </x:c>
      <x:c r="C230" s="17" t="str">
        <x:v>羅斯福新生南路口</x:v>
      </x:c>
      <x:c r="D230" s="18" t="n">
        <x:v>26</x:v>
      </x:c>
      <x:c r="E230" s="18" t="n">
        <x:v>26</x:v>
      </x:c>
      <x:c r="F230" s="18" t="n">
        <x:v>112</x:v>
      </x:c>
      <x:c r="G230" s="18" t="n">
        <x:v>26</x:v>
      </x:c>
      <x:c r="H230" s="18" t="n">
        <x:v>33</x:v>
      </x:c>
      <x:c r="I230" s="18" t="n">
        <x:v>26</x:v>
      </x:c>
      <x:c r="J230" s="18" t="n">
        <x:v>247</x:v>
      </x:c>
      <x:c r="K230" s="18" t="n">
        <x:v>26</x:v>
      </x:c>
      <x:c r="L230" s="18" t="n">
        <x:v>41</x:v>
      </x:c>
      <x:c r="M230" s="18" t="n">
        <x:v>26</x:v>
      </x:c>
    </x:row>
    <x:row r="231">
      <x:c r="A231" s="22" t="str">
        <x:v>500101277</x:v>
      </x:c>
      <x:c r="B231" s="17" t="str">
        <x:v>大安區</x:v>
      </x:c>
      <x:c r="C231" s="17" t="str">
        <x:v>金山南路二段156巷口</x:v>
      </x:c>
      <x:c r="D231" s="18" t="n">
        <x:v>26</x:v>
      </x:c>
      <x:c r="E231" s="18" t="n">
        <x:v>26</x:v>
      </x:c>
      <x:c r="F231" s="18" t="n">
        <x:v>119</x:v>
      </x:c>
      <x:c r="G231" s="18" t="n">
        <x:v>26</x:v>
      </x:c>
      <x:c r="H231" s="18" t="n">
        <x:v>56</x:v>
      </x:c>
      <x:c r="I231" s="18" t="n">
        <x:v>26</x:v>
      </x:c>
      <x:c r="J231" s="18" t="n">
        <x:v>109</x:v>
      </x:c>
      <x:c r="K231" s="18" t="n">
        <x:v>26</x:v>
      </x:c>
      <x:c r="L231" s="18" t="n">
        <x:v>26</x:v>
      </x:c>
      <x:c r="M231" s="18" t="n">
        <x:v>26</x:v>
      </x:c>
    </x:row>
    <x:row r="232">
      <x:c r="A232" s="22" t="str">
        <x:v>500101278</x:v>
      </x:c>
      <x:c r="B232" s="17" t="str">
        <x:v>大安區</x:v>
      </x:c>
      <x:c r="C232" s="17" t="str">
        <x:v>安祥公園旁平面停車場</x:v>
      </x:c>
      <x:c r="D232" s="18" t="n">
        <x:v>26</x:v>
      </x:c>
      <x:c r="E232" s="18" t="n">
        <x:v>26</x:v>
      </x:c>
      <x:c r="F232" s="18" t="n">
        <x:v>34</x:v>
      </x:c>
      <x:c r="G232" s="18" t="n">
        <x:v>26</x:v>
      </x:c>
      <x:c r="H232" s="18" t="n">
        <x:v>3</x:v>
      </x:c>
      <x:c r="I232" s="18" t="n">
        <x:v>26</x:v>
      </x:c>
      <x:c r="J232" s="18" t="n">
        <x:v>22</x:v>
      </x:c>
      <x:c r="K232" s="18" t="n">
        <x:v>26</x:v>
      </x:c>
      <x:c r="L232" s="18" t="n">
        <x:v>4</x:v>
      </x:c>
      <x:c r="M232" s="18" t="n">
        <x:v>26</x:v>
      </x:c>
    </x:row>
    <x:row r="233">
      <x:c r="A233" s="22" t="str">
        <x:v>500101279</x:v>
      </x:c>
      <x:c r="B233" s="17" t="str">
        <x:v>大安區</x:v>
      </x:c>
      <x:c r="C233" s="17" t="str">
        <x:v>和平金山路口(西北側)</x:v>
      </x:c>
      <x:c r="D233" s="18" t="n">
        <x:v>26</x:v>
      </x:c>
      <x:c r="E233" s="18" t="n">
        <x:v>25</x:v>
      </x:c>
      <x:c r="F233" s="18" t="n">
        <x:v>48</x:v>
      </x:c>
      <x:c r="G233" s="18" t="n">
        <x:v>24</x:v>
      </x:c>
      <x:c r="H233" s="18" t="n">
        <x:v>6</x:v>
      </x:c>
      <x:c r="I233" s="18" t="n">
        <x:v>24</x:v>
      </x:c>
      <x:c r="J233" s="18" t="n">
        <x:v>50</x:v>
      </x:c>
      <x:c r="K233" s="18" t="n">
        <x:v>25</x:v>
      </x:c>
      <x:c r="L233" s="18" t="n">
        <x:v>13</x:v>
      </x:c>
      <x:c r="M233" s="18" t="n">
        <x:v>25</x:v>
      </x:c>
    </x:row>
    <x:row r="234">
      <x:c r="A234" s="22" t="str">
        <x:v>500101280</x:v>
      </x:c>
      <x:c r="B234" s="17" t="str">
        <x:v>大安區</x:v>
      </x:c>
      <x:c r="C234" s="17" t="str">
        <x:v>大安11號綠地</x:v>
      </x:c>
      <x:c r="D234" s="18" t="n">
        <x:v>26</x:v>
      </x:c>
      <x:c r="E234" s="18" t="n">
        <x:v>13</x:v>
      </x:c>
      <x:c r="F234" s="18" t="n">
        <x:v>71</x:v>
      </x:c>
      <x:c r="G234" s="18" t="n">
        <x:v>12</x:v>
      </x:c>
      <x:c r="H234" s="18" t="n">
        <x:v>11</x:v>
      </x:c>
      <x:c r="I234" s="18" t="n">
        <x:v>12</x:v>
      </x:c>
      <x:c r="J234" s="18" t="n">
        <x:v>27</x:v>
      </x:c>
      <x:c r="K234" s="18" t="n">
        <x:v>13</x:v>
      </x:c>
      <x:c r="L234" s="18" t="n">
        <x:v>14</x:v>
      </x:c>
      <x:c r="M234" s="18" t="n">
        <x:v>13</x:v>
      </x:c>
    </x:row>
    <x:row r="235">
      <x:c r="A235" s="22" t="str">
        <x:v>500102111</x:v>
      </x:c>
      <x:c r="B235" s="17" t="str">
        <x:v>其他</x:v>
      </x:c>
      <x:c r="C235" s="17" t="str">
        <x:v>500102111</x:v>
      </x:c>
      <x:c r="D235" s="18" t="n">
        <x:v>26</x:v>
      </x:c>
      <x:c r="E235" s="18" t="n">
        <x:v>26</x:v>
      </x:c>
      <x:c r="F235" s="18" t="n">
        <x:v>0</x:v>
      </x:c>
      <x:c r="G235" s="18" t="n">
        <x:v>26</x:v>
      </x:c>
      <x:c r="H235" s="18" t="n">
        <x:v>0</x:v>
      </x:c>
      <x:c r="I235" s="18" t="n">
        <x:v>26</x:v>
      </x:c>
      <x:c r="J235" s="18" t="n">
        <x:v>0</x:v>
      </x:c>
      <x:c r="K235" s="18" t="n">
        <x:v>26</x:v>
      </x:c>
      <x:c r="L235" s="18" t="n">
        <x:v>0</x:v>
      </x:c>
      <x:c r="M235" s="18" t="n">
        <x:v>26</x:v>
      </x:c>
    </x:row>
    <x:row r="236">
      <x:c r="A236" s="22" t="str">
        <x:v>500103001</x:v>
      </x:c>
      <x:c r="B236" s="17" t="str">
        <x:v>大同區</x:v>
      </x:c>
      <x:c r="C236" s="17" t="str">
        <x:v>延平國宅</x:v>
      </x:c>
      <x:c r="D236" s="18" t="n">
        <x:v>26</x:v>
      </x:c>
      <x:c r="E236" s="18" t="n">
        <x:v>26</x:v>
      </x:c>
      <x:c r="F236" s="18" t="n">
        <x:v>879</x:v>
      </x:c>
      <x:c r="G236" s="18" t="n">
        <x:v>26</x:v>
      </x:c>
      <x:c r="H236" s="18" t="n">
        <x:v>81</x:v>
      </x:c>
      <x:c r="I236" s="18" t="n">
        <x:v>26</x:v>
      </x:c>
      <x:c r="J236" s="18" t="n">
        <x:v>322</x:v>
      </x:c>
      <x:c r="K236" s="18" t="n">
        <x:v>26</x:v>
      </x:c>
      <x:c r="L236" s="18" t="n">
        <x:v>37</x:v>
      </x:c>
      <x:c r="M236" s="18" t="n">
        <x:v>26</x:v>
      </x:c>
    </x:row>
    <x:row r="237">
      <x:c r="A237" s="22" t="str">
        <x:v>500103002</x:v>
      </x:c>
      <x:c r="B237" s="17" t="str">
        <x:v>大同區</x:v>
      </x:c>
      <x:c r="C237" s="17" t="str">
        <x:v>臺北市立圖書館大同分館</x:v>
      </x:c>
      <x:c r="D237" s="18" t="n">
        <x:v>26</x:v>
      </x:c>
      <x:c r="E237" s="18" t="n">
        <x:v>26</x:v>
      </x:c>
      <x:c r="F237" s="18" t="n">
        <x:v>575</x:v>
      </x:c>
      <x:c r="G237" s="18" t="n">
        <x:v>26</x:v>
      </x:c>
      <x:c r="H237" s="18" t="n">
        <x:v>140</x:v>
      </x:c>
      <x:c r="I237" s="18" t="n">
        <x:v>26</x:v>
      </x:c>
      <x:c r="J237" s="18" t="n">
        <x:v>142</x:v>
      </x:c>
      <x:c r="K237" s="18" t="n">
        <x:v>26</x:v>
      </x:c>
      <x:c r="L237" s="18" t="n">
        <x:v>44</x:v>
      </x:c>
      <x:c r="M237" s="18" t="n">
        <x:v>26</x:v>
      </x:c>
    </x:row>
    <x:row r="238">
      <x:c r="A238" s="22" t="str">
        <x:v>500103003</x:v>
      </x:c>
      <x:c r="B238" s="17" t="str">
        <x:v>大同區</x:v>
      </x:c>
      <x:c r="C238" s="17" t="str">
        <x:v>合昌宮</x:v>
      </x:c>
      <x:c r="D238" s="18" t="n">
        <x:v>26</x:v>
      </x:c>
      <x:c r="E238" s="18" t="n">
        <x:v>26</x:v>
      </x:c>
      <x:c r="F238" s="18" t="n">
        <x:v>462</x:v>
      </x:c>
      <x:c r="G238" s="18" t="n">
        <x:v>26</x:v>
      </x:c>
      <x:c r="H238" s="18" t="n">
        <x:v>33</x:v>
      </x:c>
      <x:c r="I238" s="18" t="n">
        <x:v>26</x:v>
      </x:c>
      <x:c r="J238" s="18" t="n">
        <x:v>184</x:v>
      </x:c>
      <x:c r="K238" s="18" t="n">
        <x:v>26</x:v>
      </x:c>
      <x:c r="L238" s="18" t="n">
        <x:v>31</x:v>
      </x:c>
      <x:c r="M238" s="18" t="n">
        <x:v>26</x:v>
      </x:c>
    </x:row>
    <x:row r="239">
      <x:c r="A239" s="22" t="str">
        <x:v>500103004</x:v>
      </x:c>
      <x:c r="B239" s="17" t="str">
        <x:v>大同區</x:v>
      </x:c>
      <x:c r="C239" s="17" t="str">
        <x:v>民族延平路口</x:v>
      </x:c>
      <x:c r="D239" s="18" t="n">
        <x:v>26</x:v>
      </x:c>
      <x:c r="E239" s="18" t="n">
        <x:v>26</x:v>
      </x:c>
      <x:c r="F239" s="18" t="n">
        <x:v>1206</x:v>
      </x:c>
      <x:c r="G239" s="18" t="n">
        <x:v>26</x:v>
      </x:c>
      <x:c r="H239" s="18" t="n">
        <x:v>58</x:v>
      </x:c>
      <x:c r="I239" s="18" t="n">
        <x:v>26</x:v>
      </x:c>
      <x:c r="J239" s="18" t="n">
        <x:v>149</x:v>
      </x:c>
      <x:c r="K239" s="18" t="n">
        <x:v>26</x:v>
      </x:c>
      <x:c r="L239" s="18" t="n">
        <x:v>67</x:v>
      </x:c>
      <x:c r="M239" s="18" t="n">
        <x:v>26</x:v>
      </x:c>
    </x:row>
    <x:row r="240">
      <x:c r="A240" s="22" t="str">
        <x:v>500103005</x:v>
      </x:c>
      <x:c r="B240" s="17" t="str">
        <x:v>大同區</x:v>
      </x:c>
      <x:c r="C240" s="17" t="str">
        <x:v>重慶酒泉街口</x:v>
      </x:c>
      <x:c r="D240" s="18" t="n">
        <x:v>26</x:v>
      </x:c>
      <x:c r="E240" s="18" t="n">
        <x:v>26</x:v>
      </x:c>
      <x:c r="F240" s="18" t="n">
        <x:v>891</x:v>
      </x:c>
      <x:c r="G240" s="18" t="n">
        <x:v>26</x:v>
      </x:c>
      <x:c r="H240" s="18" t="n">
        <x:v>78</x:v>
      </x:c>
      <x:c r="I240" s="18" t="n">
        <x:v>26</x:v>
      </x:c>
      <x:c r="J240" s="18" t="n">
        <x:v>116</x:v>
      </x:c>
      <x:c r="K240" s="18" t="n">
        <x:v>26</x:v>
      </x:c>
      <x:c r="L240" s="18" t="n">
        <x:v>32</x:v>
      </x:c>
      <x:c r="M240" s="18" t="n">
        <x:v>26</x:v>
      </x:c>
    </x:row>
    <x:row r="241">
      <x:c r="A241" s="22" t="str">
        <x:v>500103006</x:v>
      </x:c>
      <x:c r="B241" s="17" t="str">
        <x:v>大同區</x:v>
      </x:c>
      <x:c r="C241" s="17" t="str">
        <x:v>樹德公園</x:v>
      </x:c>
      <x:c r="D241" s="18" t="n">
        <x:v>26</x:v>
      </x:c>
      <x:c r="E241" s="18" t="n">
        <x:v>26</x:v>
      </x:c>
      <x:c r="F241" s="18" t="n">
        <x:v>337</x:v>
      </x:c>
      <x:c r="G241" s="18" t="n">
        <x:v>26</x:v>
      </x:c>
      <x:c r="H241" s="18" t="n">
        <x:v>43</x:v>
      </x:c>
      <x:c r="I241" s="18" t="n">
        <x:v>26</x:v>
      </x:c>
      <x:c r="J241" s="18" t="n">
        <x:v>83</x:v>
      </x:c>
      <x:c r="K241" s="18" t="n">
        <x:v>26</x:v>
      </x:c>
      <x:c r="L241" s="18" t="n">
        <x:v>23</x:v>
      </x:c>
      <x:c r="M241" s="18" t="n">
        <x:v>26</x:v>
      </x:c>
    </x:row>
    <x:row r="242">
      <x:c r="A242" s="22" t="str">
        <x:v>500103007</x:v>
      </x:c>
      <x:c r="B242" s="17" t="str">
        <x:v>大同區</x:v>
      </x:c>
      <x:c r="C242" s="17" t="str">
        <x:v>陳天來故居</x:v>
      </x:c>
      <x:c r="D242" s="18" t="n">
        <x:v>26</x:v>
      </x:c>
      <x:c r="E242" s="18" t="n">
        <x:v>26</x:v>
      </x:c>
      <x:c r="F242" s="18" t="n">
        <x:v>225</x:v>
      </x:c>
      <x:c r="G242" s="18" t="n">
        <x:v>26</x:v>
      </x:c>
      <x:c r="H242" s="18" t="n">
        <x:v>37</x:v>
      </x:c>
      <x:c r="I242" s="18" t="n">
        <x:v>26</x:v>
      </x:c>
      <x:c r="J242" s="18" t="n">
        <x:v>229</x:v>
      </x:c>
      <x:c r="K242" s="18" t="n">
        <x:v>26</x:v>
      </x:c>
      <x:c r="L242" s="18" t="n">
        <x:v>45</x:v>
      </x:c>
      <x:c r="M242" s="18" t="n">
        <x:v>26</x:v>
      </x:c>
    </x:row>
    <x:row r="243">
      <x:c r="A243" s="22" t="str">
        <x:v>500103008</x:v>
      </x:c>
      <x:c r="B243" s="17" t="str">
        <x:v>大同區</x:v>
      </x:c>
      <x:c r="C243" s="17" t="str">
        <x:v>臺北孔廟</x:v>
      </x:c>
      <x:c r="D243" s="18" t="n">
        <x:v>26</x:v>
      </x:c>
      <x:c r="E243" s="18" t="n">
        <x:v>26</x:v>
      </x:c>
      <x:c r="F243" s="18" t="n">
        <x:v>682</x:v>
      </x:c>
      <x:c r="G243" s="18" t="n">
        <x:v>26</x:v>
      </x:c>
      <x:c r="H243" s="18" t="n">
        <x:v>96</x:v>
      </x:c>
      <x:c r="I243" s="18" t="n">
        <x:v>26</x:v>
      </x:c>
      <x:c r="J243" s="18" t="n">
        <x:v>165</x:v>
      </x:c>
      <x:c r="K243" s="18" t="n">
        <x:v>26</x:v>
      </x:c>
      <x:c r="L243" s="18" t="n">
        <x:v>32</x:v>
      </x:c>
      <x:c r="M243" s="18" t="n">
        <x:v>26</x:v>
      </x:c>
    </x:row>
    <x:row r="244">
      <x:c r="A244" s="22" t="str">
        <x:v>500103009</x:v>
      </x:c>
      <x:c r="B244" s="17" t="str">
        <x:v>大同區</x:v>
      </x:c>
      <x:c r="C244" s="17" t="str">
        <x:v>捷運圓山站(1號出口)</x:v>
      </x:c>
      <x:c r="D244" s="18" t="n">
        <x:v>26</x:v>
      </x:c>
      <x:c r="E244" s="18" t="n">
        <x:v>26</x:v>
      </x:c>
      <x:c r="F244" s="18" t="n">
        <x:v>738</x:v>
      </x:c>
      <x:c r="G244" s="18" t="n">
        <x:v>26</x:v>
      </x:c>
      <x:c r="H244" s="18" t="n">
        <x:v>126</x:v>
      </x:c>
      <x:c r="I244" s="18" t="n">
        <x:v>26</x:v>
      </x:c>
      <x:c r="J244" s="18" t="n">
        <x:v>779</x:v>
      </x:c>
      <x:c r="K244" s="18" t="n">
        <x:v>26</x:v>
      </x:c>
      <x:c r="L244" s="18" t="n">
        <x:v>91</x:v>
      </x:c>
      <x:c r="M244" s="18" t="n">
        <x:v>26</x:v>
      </x:c>
    </x:row>
    <x:row r="245">
      <x:c r="A245" s="22" t="str">
        <x:v>500103010</x:v>
      </x:c>
      <x:c r="B245" s="17" t="str">
        <x:v>大同區</x:v>
      </x:c>
      <x:c r="C245" s="17" t="str">
        <x:v>酒泉延平路口</x:v>
      </x:c>
      <x:c r="D245" s="18" t="n">
        <x:v>26</x:v>
      </x:c>
      <x:c r="E245" s="18" t="n">
        <x:v>26</x:v>
      </x:c>
      <x:c r="F245" s="18" t="n">
        <x:v>276</x:v>
      </x:c>
      <x:c r="G245" s="18" t="n">
        <x:v>26</x:v>
      </x:c>
      <x:c r="H245" s="18" t="n">
        <x:v>39</x:v>
      </x:c>
      <x:c r="I245" s="18" t="n">
        <x:v>26</x:v>
      </x:c>
      <x:c r="J245" s="18" t="n">
        <x:v>282</x:v>
      </x:c>
      <x:c r="K245" s="18" t="n">
        <x:v>26</x:v>
      </x:c>
      <x:c r="L245" s="18" t="n">
        <x:v>55</x:v>
      </x:c>
      <x:c r="M245" s="18" t="n">
        <x:v>26</x:v>
      </x:c>
    </x:row>
    <x:row r="246">
      <x:c r="A246" s="22" t="str">
        <x:v>500103011</x:v>
      </x:c>
      <x:c r="B246" s="17" t="str">
        <x:v>大同區</x:v>
      </x:c>
      <x:c r="C246" s="17" t="str">
        <x:v>重慶國中</x:v>
      </x:c>
      <x:c r="D246" s="18" t="n">
        <x:v>26</x:v>
      </x:c>
      <x:c r="E246" s="18" t="n">
        <x:v>26</x:v>
      </x:c>
      <x:c r="F246" s="18" t="n">
        <x:v>200</x:v>
      </x:c>
      <x:c r="G246" s="18" t="n">
        <x:v>26</x:v>
      </x:c>
      <x:c r="H246" s="18" t="n">
        <x:v>23</x:v>
      </x:c>
      <x:c r="I246" s="18" t="n">
        <x:v>26</x:v>
      </x:c>
      <x:c r="J246" s="18" t="n">
        <x:v>961</x:v>
      </x:c>
      <x:c r="K246" s="18" t="n">
        <x:v>26</x:v>
      </x:c>
      <x:c r="L246" s="18" t="n">
        <x:v>46</x:v>
      </x:c>
      <x:c r="M246" s="18" t="n">
        <x:v>26</x:v>
      </x:c>
    </x:row>
    <x:row r="247">
      <x:c r="A247" s="22" t="str">
        <x:v>500103012</x:v>
      </x:c>
      <x:c r="B247" s="17" t="str">
        <x:v>大同區</x:v>
      </x:c>
      <x:c r="C247" s="17" t="str">
        <x:v>重慶北路三段383巷口</x:v>
      </x:c>
      <x:c r="D247" s="18" t="n">
        <x:v>26</x:v>
      </x:c>
      <x:c r="E247" s="18" t="n">
        <x:v>26</x:v>
      </x:c>
      <x:c r="F247" s="18" t="n">
        <x:v>576</x:v>
      </x:c>
      <x:c r="G247" s="18" t="n">
        <x:v>26</x:v>
      </x:c>
      <x:c r="H247" s="18" t="n">
        <x:v>54</x:v>
      </x:c>
      <x:c r="I247" s="18" t="n">
        <x:v>26</x:v>
      </x:c>
      <x:c r="J247" s="18" t="n">
        <x:v>146</x:v>
      </x:c>
      <x:c r="K247" s="18" t="n">
        <x:v>26</x:v>
      </x:c>
      <x:c r="L247" s="18" t="n">
        <x:v>35</x:v>
      </x:c>
      <x:c r="M247" s="18" t="n">
        <x:v>26</x:v>
      </x:c>
    </x:row>
    <x:row r="248">
      <x:c r="A248" s="22" t="str">
        <x:v>500103013</x:v>
      </x:c>
      <x:c r="B248" s="17" t="str">
        <x:v>大同區</x:v>
      </x:c>
      <x:c r="C248" s="17" t="str">
        <x:v>台北數位產業園區</x:v>
      </x:c>
      <x:c r="D248" s="18" t="n">
        <x:v>26</x:v>
      </x:c>
      <x:c r="E248" s="18" t="n">
        <x:v>26</x:v>
      </x:c>
      <x:c r="F248" s="18" t="n">
        <x:v>165</x:v>
      </x:c>
      <x:c r="G248" s="18" t="n">
        <x:v>26</x:v>
      </x:c>
      <x:c r="H248" s="18" t="n">
        <x:v>28</x:v>
      </x:c>
      <x:c r="I248" s="18" t="n">
        <x:v>26</x:v>
      </x:c>
      <x:c r="J248" s="18" t="n">
        <x:v>258</x:v>
      </x:c>
      <x:c r="K248" s="18" t="n">
        <x:v>26</x:v>
      </x:c>
      <x:c r="L248" s="18" t="n">
        <x:v>42</x:v>
      </x:c>
      <x:c r="M248" s="18" t="n">
        <x:v>26</x:v>
      </x:c>
    </x:row>
    <x:row r="249">
      <x:c r="A249" s="22" t="str">
        <x:v>500103019</x:v>
      </x:c>
      <x:c r="B249" s="17" t="str">
        <x:v>大同區</x:v>
      </x:c>
      <x:c r="C249" s="17" t="str">
        <x:v>民權延平路口(西北側)</x:v>
      </x:c>
      <x:c r="D249" s="18" t="n">
        <x:v>26</x:v>
      </x:c>
      <x:c r="E249" s="18" t="n">
        <x:v>26</x:v>
      </x:c>
      <x:c r="F249" s="18" t="n">
        <x:v>243</x:v>
      </x:c>
      <x:c r="G249" s="18" t="n">
        <x:v>26</x:v>
      </x:c>
      <x:c r="H249" s="18" t="n">
        <x:v>20</x:v>
      </x:c>
      <x:c r="I249" s="18" t="n">
        <x:v>26</x:v>
      </x:c>
      <x:c r="J249" s="18" t="n">
        <x:v>83</x:v>
      </x:c>
      <x:c r="K249" s="18" t="n">
        <x:v>26</x:v>
      </x:c>
      <x:c r="L249" s="18" t="n">
        <x:v>18</x:v>
      </x:c>
      <x:c r="M249" s="18" t="n">
        <x:v>26</x:v>
      </x:c>
    </x:row>
    <x:row r="250">
      <x:c r="A250" s="22" t="str">
        <x:v>500103020</x:v>
      </x:c>
      <x:c r="B250" s="17" t="str">
        <x:v>大同區</x:v>
      </x:c>
      <x:c r="C250" s="17" t="str">
        <x:v>民權迪化街口</x:v>
      </x:c>
      <x:c r="D250" s="18" t="n">
        <x:v>26</x:v>
      </x:c>
      <x:c r="E250" s="18" t="n">
        <x:v>26</x:v>
      </x:c>
      <x:c r="F250" s="18" t="n">
        <x:v>624</x:v>
      </x:c>
      <x:c r="G250" s="18" t="n">
        <x:v>26</x:v>
      </x:c>
      <x:c r="H250" s="18" t="n">
        <x:v>54</x:v>
      </x:c>
      <x:c r="I250" s="18" t="n">
        <x:v>26</x:v>
      </x:c>
      <x:c r="J250" s="18" t="n">
        <x:v>164</x:v>
      </x:c>
      <x:c r="K250" s="18" t="n">
        <x:v>26</x:v>
      </x:c>
      <x:c r="L250" s="18" t="n">
        <x:v>52</x:v>
      </x:c>
      <x:c r="M250" s="18" t="n">
        <x:v>26</x:v>
      </x:c>
    </x:row>
    <x:row r="251">
      <x:c r="A251" s="22" t="str">
        <x:v>500103021</x:v>
      </x:c>
      <x:c r="B251" s="17" t="str">
        <x:v>大同區</x:v>
      </x:c>
      <x:c r="C251" s="17" t="str">
        <x:v>大稻埕公園</x:v>
      </x:c>
      <x:c r="D251" s="18" t="n">
        <x:v>26</x:v>
      </x:c>
      <x:c r="E251" s="18" t="n">
        <x:v>26</x:v>
      </x:c>
      <x:c r="F251" s="18" t="n">
        <x:v>362</x:v>
      </x:c>
      <x:c r="G251" s="18" t="n">
        <x:v>26</x:v>
      </x:c>
      <x:c r="H251" s="18" t="n">
        <x:v>58</x:v>
      </x:c>
      <x:c r="I251" s="18" t="n">
        <x:v>26</x:v>
      </x:c>
      <x:c r="J251" s="18" t="n">
        <x:v>260</x:v>
      </x:c>
      <x:c r="K251" s="18" t="n">
        <x:v>26</x:v>
      </x:c>
      <x:c r="L251" s="18" t="n">
        <x:v>61</x:v>
      </x:c>
      <x:c r="M251" s="18" t="n">
        <x:v>26</x:v>
      </x:c>
    </x:row>
    <x:row r="252">
      <x:c r="A252" s="22" t="str">
        <x:v>500103022</x:v>
      </x:c>
      <x:c r="B252" s="17" t="str">
        <x:v>大同區</x:v>
      </x:c>
      <x:c r="C252" s="17" t="str">
        <x:v>大龍老人住宅</x:v>
      </x:c>
      <x:c r="D252" s="18" t="n">
        <x:v>26</x:v>
      </x:c>
      <x:c r="E252" s="18" t="n">
        <x:v>26</x:v>
      </x:c>
      <x:c r="F252" s="18" t="n">
        <x:v>221</x:v>
      </x:c>
      <x:c r="G252" s="18" t="n">
        <x:v>26</x:v>
      </x:c>
      <x:c r="H252" s="18" t="n">
        <x:v>30</x:v>
      </x:c>
      <x:c r="I252" s="18" t="n">
        <x:v>26</x:v>
      </x:c>
      <x:c r="J252" s="18" t="n">
        <x:v>113</x:v>
      </x:c>
      <x:c r="K252" s="18" t="n">
        <x:v>26</x:v>
      </x:c>
      <x:c r="L252" s="18" t="n">
        <x:v>30</x:v>
      </x:c>
      <x:c r="M252" s="18" t="n">
        <x:v>26</x:v>
      </x:c>
    </x:row>
    <x:row r="253">
      <x:c r="A253" s="22" t="str">
        <x:v>500103023</x:v>
      </x:c>
      <x:c r="B253" s="17" t="str">
        <x:v>大同區</x:v>
      </x:c>
      <x:c r="C253" s="17" t="str">
        <x:v>大龍峒社會住宅</x:v>
      </x:c>
      <x:c r="D253" s="18" t="n">
        <x:v>26</x:v>
      </x:c>
      <x:c r="E253" s="18" t="n">
        <x:v>26</x:v>
      </x:c>
      <x:c r="F253" s="18" t="n">
        <x:v>503</x:v>
      </x:c>
      <x:c r="G253" s="18" t="n">
        <x:v>26</x:v>
      </x:c>
      <x:c r="H253" s="18" t="n">
        <x:v>38</x:v>
      </x:c>
      <x:c r="I253" s="18" t="n">
        <x:v>26</x:v>
      </x:c>
      <x:c r="J253" s="18" t="n">
        <x:v>173</x:v>
      </x:c>
      <x:c r="K253" s="18" t="n">
        <x:v>26</x:v>
      </x:c>
      <x:c r="L253" s="18" t="n">
        <x:v>29</x:v>
      </x:c>
      <x:c r="M253" s="18" t="n">
        <x:v>26</x:v>
      </x:c>
    </x:row>
    <x:row r="254">
      <x:c r="A254" s="22" t="str">
        <x:v>500103024</x:v>
      </x:c>
      <x:c r="B254" s="17" t="str">
        <x:v>大同區</x:v>
      </x:c>
      <x:c r="C254" s="17" t="str">
        <x:v>捷運大橋頭站(2號出口)</x:v>
      </x:c>
      <x:c r="D254" s="18" t="n">
        <x:v>26</x:v>
      </x:c>
      <x:c r="E254" s="18" t="n">
        <x:v>26</x:v>
      </x:c>
      <x:c r="F254" s="18" t="n">
        <x:v>456</x:v>
      </x:c>
      <x:c r="G254" s="18" t="n">
        <x:v>26</x:v>
      </x:c>
      <x:c r="H254" s="18" t="n">
        <x:v>114</x:v>
      </x:c>
      <x:c r="I254" s="18" t="n">
        <x:v>26</x:v>
      </x:c>
      <x:c r="J254" s="18" t="n">
        <x:v>223</x:v>
      </x:c>
      <x:c r="K254" s="18" t="n">
        <x:v>26</x:v>
      </x:c>
      <x:c r="L254" s="18" t="n">
        <x:v>30</x:v>
      </x:c>
      <x:c r="M254" s="18" t="n">
        <x:v>26</x:v>
      </x:c>
    </x:row>
    <x:row r="255">
      <x:c r="A255" s="22" t="str">
        <x:v>500103025</x:v>
      </x:c>
      <x:c r="B255" s="17" t="str">
        <x:v>大同區</x:v>
      </x:c>
      <x:c r="C255" s="17" t="str">
        <x:v>捷運大橋頭站(1A出口)</x:v>
      </x:c>
      <x:c r="D255" s="18" t="n">
        <x:v>26</x:v>
      </x:c>
      <x:c r="E255" s="18" t="n">
        <x:v>26</x:v>
      </x:c>
      <x:c r="F255" s="18" t="n">
        <x:v>326</x:v>
      </x:c>
      <x:c r="G255" s="18" t="n">
        <x:v>26</x:v>
      </x:c>
      <x:c r="H255" s="18" t="n">
        <x:v>59</x:v>
      </x:c>
      <x:c r="I255" s="18" t="n">
        <x:v>26</x:v>
      </x:c>
      <x:c r="J255" s="18" t="n">
        <x:v>109</x:v>
      </x:c>
      <x:c r="K255" s="18" t="n">
        <x:v>26</x:v>
      </x:c>
      <x:c r="L255" s="18" t="n">
        <x:v>25</x:v>
      </x:c>
      <x:c r="M255" s="18" t="n">
        <x:v>26</x:v>
      </x:c>
    </x:row>
    <x:row r="256">
      <x:c r="A256" s="22" t="str">
        <x:v>500103026</x:v>
      </x:c>
      <x:c r="B256" s="17" t="str">
        <x:v>大同區</x:v>
      </x:c>
      <x:c r="C256" s="17" t="str">
        <x:v>捷運民權西路站(2號出口)</x:v>
      </x:c>
      <x:c r="D256" s="18" t="n">
        <x:v>26</x:v>
      </x:c>
      <x:c r="E256" s="18" t="n">
        <x:v>26</x:v>
      </x:c>
      <x:c r="F256" s="18" t="n">
        <x:v>140</x:v>
      </x:c>
      <x:c r="G256" s="18" t="n">
        <x:v>26</x:v>
      </x:c>
      <x:c r="H256" s="18" t="n">
        <x:v>13</x:v>
      </x:c>
      <x:c r="I256" s="18" t="n">
        <x:v>26</x:v>
      </x:c>
      <x:c r="J256" s="18" t="n">
        <x:v>97</x:v>
      </x:c>
      <x:c r="K256" s="18" t="n">
        <x:v>26</x:v>
      </x:c>
      <x:c r="L256" s="18" t="n">
        <x:v>26</x:v>
      </x:c>
      <x:c r="M256" s="18" t="n">
        <x:v>26</x:v>
      </x:c>
    </x:row>
    <x:row r="257">
      <x:c r="A257" s="22" t="str">
        <x:v>500103027</x:v>
      </x:c>
      <x:c r="B257" s="17" t="str">
        <x:v>大同區</x:v>
      </x:c>
      <x:c r="C257" s="17" t="str">
        <x:v>捷運雙連站(2號出口)</x:v>
      </x:c>
      <x:c r="D257" s="18" t="n">
        <x:v>26</x:v>
      </x:c>
      <x:c r="E257" s="18" t="n">
        <x:v>26</x:v>
      </x:c>
      <x:c r="F257" s="18" t="n">
        <x:v>208</x:v>
      </x:c>
      <x:c r="G257" s="18" t="n">
        <x:v>26</x:v>
      </x:c>
      <x:c r="H257" s="18" t="n">
        <x:v>48</x:v>
      </x:c>
      <x:c r="I257" s="18" t="n">
        <x:v>26</x:v>
      </x:c>
      <x:c r="J257" s="18" t="n">
        <x:v>347</x:v>
      </x:c>
      <x:c r="K257" s="18" t="n">
        <x:v>26</x:v>
      </x:c>
      <x:c r="L257" s="18" t="n">
        <x:v>70</x:v>
      </x:c>
      <x:c r="M257" s="18" t="n">
        <x:v>26</x:v>
      </x:c>
    </x:row>
    <x:row r="258">
      <x:c r="A258" s="22" t="str">
        <x:v>500103028</x:v>
      </x:c>
      <x:c r="B258" s="17" t="str">
        <x:v>大同區</x:v>
      </x:c>
      <x:c r="C258" s="17" t="str">
        <x:v>捷運北門站(3號出口)</x:v>
      </x:c>
      <x:c r="D258" s="18" t="n">
        <x:v>26</x:v>
      </x:c>
      <x:c r="E258" s="18" t="n">
        <x:v>26</x:v>
      </x:c>
      <x:c r="F258" s="18" t="n">
        <x:v>476</x:v>
      </x:c>
      <x:c r="G258" s="18" t="n">
        <x:v>26</x:v>
      </x:c>
      <x:c r="H258" s="18" t="n">
        <x:v>90</x:v>
      </x:c>
      <x:c r="I258" s="18" t="n">
        <x:v>26</x:v>
      </x:c>
      <x:c r="J258" s="18" t="n">
        <x:v>485</x:v>
      </x:c>
      <x:c r="K258" s="18" t="n">
        <x:v>26</x:v>
      </x:c>
      <x:c r="L258" s="18" t="n">
        <x:v>148</x:v>
      </x:c>
      <x:c r="M258" s="18" t="n">
        <x:v>26</x:v>
      </x:c>
    </x:row>
    <x:row r="259">
      <x:c r="A259" s="22" t="str">
        <x:v>500103029</x:v>
      </x:c>
      <x:c r="B259" s="17" t="str">
        <x:v>大同區</x:v>
      </x:c>
      <x:c r="C259" s="17" t="str">
        <x:v>朝陽公園</x:v>
      </x:c>
      <x:c r="D259" s="18" t="n">
        <x:v>26</x:v>
      </x:c>
      <x:c r="E259" s="18" t="n">
        <x:v>26</x:v>
      </x:c>
      <x:c r="F259" s="18" t="n">
        <x:v>116</x:v>
      </x:c>
      <x:c r="G259" s="18" t="n">
        <x:v>26</x:v>
      </x:c>
      <x:c r="H259" s="18" t="n">
        <x:v>31</x:v>
      </x:c>
      <x:c r="I259" s="18" t="n">
        <x:v>26</x:v>
      </x:c>
      <x:c r="J259" s="18" t="n">
        <x:v>134</x:v>
      </x:c>
      <x:c r="K259" s="18" t="n">
        <x:v>26</x:v>
      </x:c>
      <x:c r="L259" s="18" t="n">
        <x:v>30</x:v>
      </x:c>
      <x:c r="M259" s="18" t="n">
        <x:v>26</x:v>
      </x:c>
    </x:row>
    <x:row r="260">
      <x:c r="A260" s="22" t="str">
        <x:v>500103030</x:v>
      </x:c>
      <x:c r="B260" s="17" t="str">
        <x:v>大同區</x:v>
      </x:c>
      <x:c r="C260" s="17" t="str">
        <x:v>永樂市場</x:v>
      </x:c>
      <x:c r="D260" s="18" t="n">
        <x:v>26</x:v>
      </x:c>
      <x:c r="E260" s="18" t="n">
        <x:v>26</x:v>
      </x:c>
      <x:c r="F260" s="18" t="n">
        <x:v>89</x:v>
      </x:c>
      <x:c r="G260" s="18" t="n">
        <x:v>26</x:v>
      </x:c>
      <x:c r="H260" s="18" t="n">
        <x:v>61</x:v>
      </x:c>
      <x:c r="I260" s="18" t="n">
        <x:v>26</x:v>
      </x:c>
      <x:c r="J260" s="18" t="n">
        <x:v>1356</x:v>
      </x:c>
      <x:c r="K260" s="18" t="n">
        <x:v>26</x:v>
      </x:c>
      <x:c r="L260" s="18" t="n">
        <x:v>107</x:v>
      </x:c>
      <x:c r="M260" s="18" t="n">
        <x:v>26</x:v>
      </x:c>
    </x:row>
    <x:row r="261">
      <x:c r="A261" s="22" t="str">
        <x:v>500103031</x:v>
      </x:c>
      <x:c r="B261" s="17" t="str">
        <x:v>大同區</x:v>
      </x:c>
      <x:c r="C261" s="17" t="str">
        <x:v>大龍公園</x:v>
      </x:c>
      <x:c r="D261" s="18" t="n">
        <x:v>26</x:v>
      </x:c>
      <x:c r="E261" s="18" t="n">
        <x:v>26</x:v>
      </x:c>
      <x:c r="F261" s="18" t="n">
        <x:v>492</x:v>
      </x:c>
      <x:c r="G261" s="18" t="n">
        <x:v>26</x:v>
      </x:c>
      <x:c r="H261" s="18" t="n">
        <x:v>76</x:v>
      </x:c>
      <x:c r="I261" s="18" t="n">
        <x:v>26</x:v>
      </x:c>
      <x:c r="J261" s="18" t="n">
        <x:v>107</x:v>
      </x:c>
      <x:c r="K261" s="18" t="n">
        <x:v>26</x:v>
      </x:c>
      <x:c r="L261" s="18" t="n">
        <x:v>32</x:v>
      </x:c>
      <x:c r="M261" s="18" t="n">
        <x:v>26</x:v>
      </x:c>
    </x:row>
    <x:row r="262">
      <x:c r="A262" s="22" t="str">
        <x:v>500103032</x:v>
      </x:c>
      <x:c r="B262" s="17" t="str">
        <x:v>大同區</x:v>
      </x:c>
      <x:c r="C262" s="17" t="str">
        <x:v>重慶涼州街口</x:v>
      </x:c>
      <x:c r="D262" s="18" t="n">
        <x:v>26</x:v>
      </x:c>
      <x:c r="E262" s="18" t="n">
        <x:v>26</x:v>
      </x:c>
      <x:c r="F262" s="18" t="n">
        <x:v>155</x:v>
      </x:c>
      <x:c r="G262" s="18" t="n">
        <x:v>26</x:v>
      </x:c>
      <x:c r="H262" s="18" t="n">
        <x:v>38</x:v>
      </x:c>
      <x:c r="I262" s="18" t="n">
        <x:v>26</x:v>
      </x:c>
      <x:c r="J262" s="18" t="n">
        <x:v>104</x:v>
      </x:c>
      <x:c r="K262" s="18" t="n">
        <x:v>26</x:v>
      </x:c>
      <x:c r="L262" s="18" t="n">
        <x:v>22</x:v>
      </x:c>
      <x:c r="M262" s="18" t="n">
        <x:v>26</x:v>
      </x:c>
    </x:row>
    <x:row r="263">
      <x:c r="A263" s="22" t="str">
        <x:v>500103033</x:v>
      </x:c>
      <x:c r="B263" s="17" t="str">
        <x:v>大同區</x:v>
      </x:c>
      <x:c r="C263" s="17" t="str">
        <x:v>圓山線形公園</x:v>
      </x:c>
      <x:c r="D263" s="18" t="n">
        <x:v>26</x:v>
      </x:c>
      <x:c r="E263" s="18" t="n">
        <x:v>26</x:v>
      </x:c>
      <x:c r="F263" s="18" t="n">
        <x:v>99</x:v>
      </x:c>
      <x:c r="G263" s="18" t="n">
        <x:v>26</x:v>
      </x:c>
      <x:c r="H263" s="18" t="n">
        <x:v>21</x:v>
      </x:c>
      <x:c r="I263" s="18" t="n">
        <x:v>26</x:v>
      </x:c>
      <x:c r="J263" s="18" t="n">
        <x:v>241</x:v>
      </x:c>
      <x:c r="K263" s="18" t="n">
        <x:v>26</x:v>
      </x:c>
      <x:c r="L263" s="18" t="n">
        <x:v>22</x:v>
      </x:c>
      <x:c r="M263" s="18" t="n">
        <x:v>26</x:v>
      </x:c>
    </x:row>
    <x:row r="264">
      <x:c r="A264" s="22" t="str">
        <x:v>500103034</x:v>
      </x:c>
      <x:c r="B264" s="17" t="str">
        <x:v>大同區</x:v>
      </x:c>
      <x:c r="C264" s="17" t="str">
        <x:v>圓環站</x:v>
      </x:c>
      <x:c r="D264" s="18" t="n">
        <x:v>26</x:v>
      </x:c>
      <x:c r="E264" s="18" t="n">
        <x:v>26</x:v>
      </x:c>
      <x:c r="F264" s="18" t="n">
        <x:v>469</x:v>
      </x:c>
      <x:c r="G264" s="18" t="n">
        <x:v>26</x:v>
      </x:c>
      <x:c r="H264" s="18" t="n">
        <x:v>60</x:v>
      </x:c>
      <x:c r="I264" s="18" t="n">
        <x:v>26</x:v>
      </x:c>
      <x:c r="J264" s="18" t="n">
        <x:v>303</x:v>
      </x:c>
      <x:c r="K264" s="18" t="n">
        <x:v>26</x:v>
      </x:c>
      <x:c r="L264" s="18" t="n">
        <x:v>49</x:v>
      </x:c>
      <x:c r="M264" s="18" t="n">
        <x:v>26</x:v>
      </x:c>
    </x:row>
    <x:row r="265">
      <x:c r="A265" s="22" t="str">
        <x:v>500103035</x:v>
      </x:c>
      <x:c r="B265" s="17" t="str">
        <x:v>大同區</x:v>
      </x:c>
      <x:c r="C265" s="17" t="str">
        <x:v>重慶民族路口</x:v>
      </x:c>
      <x:c r="D265" s="18" t="n">
        <x:v>26</x:v>
      </x:c>
      <x:c r="E265" s="18" t="n">
        <x:v>26</x:v>
      </x:c>
      <x:c r="F265" s="18" t="n">
        <x:v>955</x:v>
      </x:c>
      <x:c r="G265" s="18" t="n">
        <x:v>26</x:v>
      </x:c>
      <x:c r="H265" s="18" t="n">
        <x:v>60</x:v>
      </x:c>
      <x:c r="I265" s="18" t="n">
        <x:v>26</x:v>
      </x:c>
      <x:c r="J265" s="18" t="n">
        <x:v>145</x:v>
      </x:c>
      <x:c r="K265" s="18" t="n">
        <x:v>26</x:v>
      </x:c>
      <x:c r="L265" s="18" t="n">
        <x:v>35</x:v>
      </x:c>
      <x:c r="M265" s="18" t="n">
        <x:v>26</x:v>
      </x:c>
    </x:row>
    <x:row r="266">
      <x:c r="A266" s="22" t="str">
        <x:v>500103036</x:v>
      </x:c>
      <x:c r="B266" s="17" t="str">
        <x:v>大同區</x:v>
      </x:c>
      <x:c r="C266" s="17" t="str">
        <x:v>承德路三段8巷口</x:v>
      </x:c>
      <x:c r="D266" s="18" t="n">
        <x:v>26</x:v>
      </x:c>
      <x:c r="E266" s="18" t="n">
        <x:v>26</x:v>
      </x:c>
      <x:c r="F266" s="18" t="n">
        <x:v>68</x:v>
      </x:c>
      <x:c r="G266" s="18" t="n">
        <x:v>26</x:v>
      </x:c>
      <x:c r="H266" s="18" t="n">
        <x:v>28</x:v>
      </x:c>
      <x:c r="I266" s="18" t="n">
        <x:v>26</x:v>
      </x:c>
      <x:c r="J266" s="18" t="n">
        <x:v>157</x:v>
      </x:c>
      <x:c r="K266" s="18" t="n">
        <x:v>26</x:v>
      </x:c>
      <x:c r="L266" s="18" t="n">
        <x:v>13</x:v>
      </x:c>
      <x:c r="M266" s="18" t="n">
        <x:v>26</x:v>
      </x:c>
    </x:row>
    <x:row r="267">
      <x:c r="A267" s="22" t="str">
        <x:v>500103037</x:v>
      </x:c>
      <x:c r="B267" s="17" t="str">
        <x:v>大同區</x:v>
      </x:c>
      <x:c r="C267" s="17" t="str">
        <x:v>太原廣場</x:v>
      </x:c>
      <x:c r="D267" s="18" t="n">
        <x:v>26</x:v>
      </x:c>
      <x:c r="E267" s="18" t="n">
        <x:v>26</x:v>
      </x:c>
      <x:c r="F267" s="18" t="n">
        <x:v>446</x:v>
      </x:c>
      <x:c r="G267" s="18" t="n">
        <x:v>26</x:v>
      </x:c>
      <x:c r="H267" s="18" t="n">
        <x:v>69</x:v>
      </x:c>
      <x:c r="I267" s="18" t="n">
        <x:v>26</x:v>
      </x:c>
      <x:c r="J267" s="18" t="n">
        <x:v>449</x:v>
      </x:c>
      <x:c r="K267" s="18" t="n">
        <x:v>26</x:v>
      </x:c>
      <x:c r="L267" s="18" t="n">
        <x:v>53</x:v>
      </x:c>
      <x:c r="M267" s="18" t="n">
        <x:v>26</x:v>
      </x:c>
    </x:row>
    <x:row r="268">
      <x:c r="A268" s="22" t="str">
        <x:v>500103038</x:v>
      </x:c>
      <x:c r="B268" s="17" t="str">
        <x:v>大同區</x:v>
      </x:c>
      <x:c r="C268" s="17" t="str">
        <x:v>國順公園</x:v>
      </x:c>
      <x:c r="D268" s="18" t="n">
        <x:v>26</x:v>
      </x:c>
      <x:c r="E268" s="18" t="n">
        <x:v>26</x:v>
      </x:c>
      <x:c r="F268" s="18" t="n">
        <x:v>567</x:v>
      </x:c>
      <x:c r="G268" s="18" t="n">
        <x:v>26</x:v>
      </x:c>
      <x:c r="H268" s="18" t="n">
        <x:v>26</x:v>
      </x:c>
      <x:c r="I268" s="18" t="n">
        <x:v>26</x:v>
      </x:c>
      <x:c r="J268" s="18" t="n">
        <x:v>144</x:v>
      </x:c>
      <x:c r="K268" s="18" t="n">
        <x:v>26</x:v>
      </x:c>
      <x:c r="L268" s="18" t="n">
        <x:v>39</x:v>
      </x:c>
      <x:c r="M268" s="18" t="n">
        <x:v>26</x:v>
      </x:c>
    </x:row>
    <x:row r="269">
      <x:c r="A269" s="22" t="str">
        <x:v>500103039</x:v>
      </x:c>
      <x:c r="B269" s="17" t="str">
        <x:v>大同區</x:v>
      </x:c>
      <x:c r="C269" s="17" t="str">
        <x:v>聯合醫院中興院區</x:v>
      </x:c>
      <x:c r="D269" s="18" t="n">
        <x:v>26</x:v>
      </x:c>
      <x:c r="E269" s="18" t="n">
        <x:v>26</x:v>
      </x:c>
      <x:c r="F269" s="18" t="n">
        <x:v>258</x:v>
      </x:c>
      <x:c r="G269" s="18" t="n">
        <x:v>26</x:v>
      </x:c>
      <x:c r="H269" s="18" t="n">
        <x:v>40</x:v>
      </x:c>
      <x:c r="I269" s="18" t="n">
        <x:v>26</x:v>
      </x:c>
      <x:c r="J269" s="18" t="n">
        <x:v>515</x:v>
      </x:c>
      <x:c r="K269" s="18" t="n">
        <x:v>26</x:v>
      </x:c>
      <x:c r="L269" s="18" t="n">
        <x:v>85</x:v>
      </x:c>
      <x:c r="M269" s="18" t="n">
        <x:v>26</x:v>
      </x:c>
    </x:row>
    <x:row r="270">
      <x:c r="A270" s="22" t="str">
        <x:v>500103040</x:v>
      </x:c>
      <x:c r="B270" s="17" t="str">
        <x:v>大同區</x:v>
      </x:c>
      <x:c r="C270" s="17" t="str">
        <x:v>蔣渭水紀念公園</x:v>
      </x:c>
      <x:c r="D270" s="18" t="n">
        <x:v>26</x:v>
      </x:c>
      <x:c r="E270" s="18" t="n">
        <x:v>26</x:v>
      </x:c>
      <x:c r="F270" s="18" t="n">
        <x:v>620</x:v>
      </x:c>
      <x:c r="G270" s="18" t="n">
        <x:v>26</x:v>
      </x:c>
      <x:c r="H270" s="18" t="n">
        <x:v>146</x:v>
      </x:c>
      <x:c r="I270" s="18" t="n">
        <x:v>26</x:v>
      </x:c>
      <x:c r="J270" s="18" t="n">
        <x:v>185</x:v>
      </x:c>
      <x:c r="K270" s="18" t="n">
        <x:v>26</x:v>
      </x:c>
      <x:c r="L270" s="18" t="n">
        <x:v>43</x:v>
      </x:c>
      <x:c r="M270" s="18" t="n">
        <x:v>26</x:v>
      </x:c>
    </x:row>
    <x:row r="271">
      <x:c r="A271" s="22" t="str">
        <x:v>500103041</x:v>
      </x:c>
      <x:c r="B271" s="17" t="str">
        <x:v>大同區</x:v>
      </x:c>
      <x:c r="C271" s="17" t="str">
        <x:v>迪化休閒運動公園</x:v>
      </x:c>
      <x:c r="D271" s="18" t="n">
        <x:v>26</x:v>
      </x:c>
      <x:c r="E271" s="18" t="n">
        <x:v>26</x:v>
      </x:c>
      <x:c r="F271" s="18" t="n">
        <x:v>331</x:v>
      </x:c>
      <x:c r="G271" s="18" t="n">
        <x:v>26</x:v>
      </x:c>
      <x:c r="H271" s="18" t="n">
        <x:v>60</x:v>
      </x:c>
      <x:c r="I271" s="18" t="n">
        <x:v>26</x:v>
      </x:c>
      <x:c r="J271" s="18" t="n">
        <x:v>173</x:v>
      </x:c>
      <x:c r="K271" s="18" t="n">
        <x:v>26</x:v>
      </x:c>
      <x:c r="L271" s="18" t="n">
        <x:v>31</x:v>
      </x:c>
      <x:c r="M271" s="18" t="n">
        <x:v>26</x:v>
      </x:c>
    </x:row>
    <x:row r="272">
      <x:c r="A272" s="22" t="str">
        <x:v>500103042</x:v>
      </x:c>
      <x:c r="B272" s="17" t="str">
        <x:v>大同區</x:v>
      </x:c>
      <x:c r="C272" s="17" t="str">
        <x:v>大同運動中心</x:v>
      </x:c>
      <x:c r="D272" s="18" t="n">
        <x:v>26</x:v>
      </x:c>
      <x:c r="E272" s="18" t="n">
        <x:v>26</x:v>
      </x:c>
      <x:c r="F272" s="18" t="n">
        <x:v>253</x:v>
      </x:c>
      <x:c r="G272" s="18" t="n">
        <x:v>26</x:v>
      </x:c>
      <x:c r="H272" s="18" t="n">
        <x:v>47</x:v>
      </x:c>
      <x:c r="I272" s="18" t="n">
        <x:v>26</x:v>
      </x:c>
      <x:c r="J272" s="18" t="n">
        <x:v>216</x:v>
      </x:c>
      <x:c r="K272" s="18" t="n">
        <x:v>26</x:v>
      </x:c>
      <x:c r="L272" s="18" t="n">
        <x:v>41</x:v>
      </x:c>
      <x:c r="M272" s="18" t="n">
        <x:v>26</x:v>
      </x:c>
    </x:row>
    <x:row r="273">
      <x:c r="A273" s="22" t="str">
        <x:v>500103043</x:v>
      </x:c>
      <x:c r="B273" s="17" t="str">
        <x:v>大同區</x:v>
      </x:c>
      <x:c r="C273" s="17" t="str">
        <x:v>重慶保安街口(家樂福重慶店)</x:v>
      </x:c>
      <x:c r="D273" s="18" t="n">
        <x:v>26</x:v>
      </x:c>
      <x:c r="E273" s="18" t="n">
        <x:v>26</x:v>
      </x:c>
      <x:c r="F273" s="18" t="n">
        <x:v>232</x:v>
      </x:c>
      <x:c r="G273" s="18" t="n">
        <x:v>26</x:v>
      </x:c>
      <x:c r="H273" s="18" t="n">
        <x:v>34</x:v>
      </x:c>
      <x:c r="I273" s="18" t="n">
        <x:v>26</x:v>
      </x:c>
      <x:c r="J273" s="18" t="n">
        <x:v>186</x:v>
      </x:c>
      <x:c r="K273" s="18" t="n">
        <x:v>26</x:v>
      </x:c>
      <x:c r="L273" s="18" t="n">
        <x:v>31</x:v>
      </x:c>
      <x:c r="M273" s="18" t="n">
        <x:v>26</x:v>
      </x:c>
    </x:row>
    <x:row r="274">
      <x:c r="A274" s="22" t="str">
        <x:v>500103044</x:v>
      </x:c>
      <x:c r="B274" s="17" t="str">
        <x:v>大同區</x:v>
      </x:c>
      <x:c r="C274" s="17" t="str">
        <x:v>大稻埕碼頭</x:v>
      </x:c>
      <x:c r="D274" s="18" t="n">
        <x:v>26</x:v>
      </x:c>
      <x:c r="E274" s="18" t="n">
        <x:v>26</x:v>
      </x:c>
      <x:c r="F274" s="18" t="n">
        <x:v>383</x:v>
      </x:c>
      <x:c r="G274" s="18" t="n">
        <x:v>26</x:v>
      </x:c>
      <x:c r="H274" s="18" t="n">
        <x:v>92</x:v>
      </x:c>
      <x:c r="I274" s="18" t="n">
        <x:v>26</x:v>
      </x:c>
      <x:c r="J274" s="18" t="n">
        <x:v>496</x:v>
      </x:c>
      <x:c r="K274" s="18" t="n">
        <x:v>26</x:v>
      </x:c>
      <x:c r="L274" s="18" t="n">
        <x:v>98</x:v>
      </x:c>
      <x:c r="M274" s="18" t="n">
        <x:v>26</x:v>
      </x:c>
    </x:row>
    <x:row r="275">
      <x:c r="A275" s="22" t="str">
        <x:v>500103045</x:v>
      </x:c>
      <x:c r="B275" s="17" t="str">
        <x:v>大同區</x:v>
      </x:c>
      <x:c r="C275" s="17" t="str">
        <x:v>歸綏戲曲公園</x:v>
      </x:c>
      <x:c r="D275" s="18" t="n">
        <x:v>26</x:v>
      </x:c>
      <x:c r="E275" s="18" t="n">
        <x:v>26</x:v>
      </x:c>
      <x:c r="F275" s="18" t="n">
        <x:v>422</x:v>
      </x:c>
      <x:c r="G275" s="18" t="n">
        <x:v>26</x:v>
      </x:c>
      <x:c r="H275" s="18" t="n">
        <x:v>80</x:v>
      </x:c>
      <x:c r="I275" s="18" t="n">
        <x:v>26</x:v>
      </x:c>
      <x:c r="J275" s="18" t="n">
        <x:v>113</x:v>
      </x:c>
      <x:c r="K275" s="18" t="n">
        <x:v>26</x:v>
      </x:c>
      <x:c r="L275" s="18" t="n">
        <x:v>27</x:v>
      </x:c>
      <x:c r="M275" s="18" t="n">
        <x:v>26</x:v>
      </x:c>
    </x:row>
    <x:row r="276">
      <x:c r="A276" s="22" t="str">
        <x:v>500103046</x:v>
      </x:c>
      <x:c r="B276" s="17" t="str">
        <x:v>大同區</x:v>
      </x:c>
      <x:c r="C276" s="17" t="str">
        <x:v>民權國中(民權西路)</x:v>
      </x:c>
      <x:c r="D276" s="18" t="n">
        <x:v>26</x:v>
      </x:c>
      <x:c r="E276" s="18" t="n">
        <x:v>26</x:v>
      </x:c>
      <x:c r="F276" s="18" t="n">
        <x:v>161</x:v>
      </x:c>
      <x:c r="G276" s="18" t="n">
        <x:v>26</x:v>
      </x:c>
      <x:c r="H276" s="18" t="n">
        <x:v>29</x:v>
      </x:c>
      <x:c r="I276" s="18" t="n">
        <x:v>26</x:v>
      </x:c>
      <x:c r="J276" s="18" t="n">
        <x:v>147</x:v>
      </x:c>
      <x:c r="K276" s="18" t="n">
        <x:v>26</x:v>
      </x:c>
      <x:c r="L276" s="18" t="n">
        <x:v>26</x:v>
      </x:c>
      <x:c r="M276" s="18" t="n">
        <x:v>26</x:v>
      </x:c>
    </x:row>
    <x:row r="277">
      <x:c r="A277" s="22" t="str">
        <x:v>500103047</x:v>
      </x:c>
      <x:c r="B277" s="17" t="str">
        <x:v>大同區</x:v>
      </x:c>
      <x:c r="C277" s="17" t="str">
        <x:v>承德民權路口</x:v>
      </x:c>
      <x:c r="D277" s="18" t="n">
        <x:v>26</x:v>
      </x:c>
      <x:c r="E277" s="18" t="n">
        <x:v>26</x:v>
      </x:c>
      <x:c r="F277" s="18" t="n">
        <x:v>67</x:v>
      </x:c>
      <x:c r="G277" s="18" t="n">
        <x:v>26</x:v>
      </x:c>
      <x:c r="H277" s="18" t="n">
        <x:v>16</x:v>
      </x:c>
      <x:c r="I277" s="18" t="n">
        <x:v>26</x:v>
      </x:c>
      <x:c r="J277" s="18" t="n">
        <x:v>337</x:v>
      </x:c>
      <x:c r="K277" s="18" t="n">
        <x:v>26</x:v>
      </x:c>
      <x:c r="L277" s="18" t="n">
        <x:v>41</x:v>
      </x:c>
      <x:c r="M277" s="18" t="n">
        <x:v>26</x:v>
      </x:c>
    </x:row>
    <x:row r="278">
      <x:c r="A278" s="22" t="str">
        <x:v>500103048</x:v>
      </x:c>
      <x:c r="B278" s="17" t="str">
        <x:v>大同區</x:v>
      </x:c>
      <x:c r="C278" s="17" t="str">
        <x:v>南京太原路口</x:v>
      </x:c>
      <x:c r="D278" s="18" t="n">
        <x:v>26</x:v>
      </x:c>
      <x:c r="E278" s="18" t="n">
        <x:v>26</x:v>
      </x:c>
      <x:c r="F278" s="18" t="n">
        <x:v>265</x:v>
      </x:c>
      <x:c r="G278" s="18" t="n">
        <x:v>26</x:v>
      </x:c>
      <x:c r="H278" s="18" t="n">
        <x:v>51</x:v>
      </x:c>
      <x:c r="I278" s="18" t="n">
        <x:v>26</x:v>
      </x:c>
      <x:c r="J278" s="18" t="n">
        <x:v>222</x:v>
      </x:c>
      <x:c r="K278" s="18" t="n">
        <x:v>26</x:v>
      </x:c>
      <x:c r="L278" s="18" t="n">
        <x:v>37</x:v>
      </x:c>
      <x:c r="M278" s="18" t="n">
        <x:v>26</x:v>
      </x:c>
    </x:row>
    <x:row r="279">
      <x:c r="A279" s="22" t="str">
        <x:v>500103049</x:v>
      </x:c>
      <x:c r="B279" s="17" t="str">
        <x:v>大同區</x:v>
      </x:c>
      <x:c r="C279" s="17" t="str">
        <x:v>承德民生西路口</x:v>
      </x:c>
      <x:c r="D279" s="18" t="n">
        <x:v>26</x:v>
      </x:c>
      <x:c r="E279" s="18" t="n">
        <x:v>26</x:v>
      </x:c>
      <x:c r="F279" s="18" t="n">
        <x:v>148</x:v>
      </x:c>
      <x:c r="G279" s="18" t="n">
        <x:v>26</x:v>
      </x:c>
      <x:c r="H279" s="18" t="n">
        <x:v>21</x:v>
      </x:c>
      <x:c r="I279" s="18" t="n">
        <x:v>26</x:v>
      </x:c>
      <x:c r="J279" s="18" t="n">
        <x:v>145</x:v>
      </x:c>
      <x:c r="K279" s="18" t="n">
        <x:v>26</x:v>
      </x:c>
      <x:c r="L279" s="18" t="n">
        <x:v>32</x:v>
      </x:c>
      <x:c r="M279" s="18" t="n">
        <x:v>26</x:v>
      </x:c>
    </x:row>
    <x:row r="280">
      <x:c r="A280" s="22" t="str">
        <x:v>500103050</x:v>
      </x:c>
      <x:c r="B280" s="17" t="str">
        <x:v>大同區</x:v>
      </x:c>
      <x:c r="C280" s="17" t="str">
        <x:v>太原五原路口</x:v>
      </x:c>
      <x:c r="D280" s="18" t="n">
        <x:v>26</x:v>
      </x:c>
      <x:c r="E280" s="18" t="n">
        <x:v>26</x:v>
      </x:c>
      <x:c r="F280" s="18" t="n">
        <x:v>766</x:v>
      </x:c>
      <x:c r="G280" s="18" t="n">
        <x:v>26</x:v>
      </x:c>
      <x:c r="H280" s="18" t="n">
        <x:v>65</x:v>
      </x:c>
      <x:c r="I280" s="18" t="n">
        <x:v>26</x:v>
      </x:c>
      <x:c r="J280" s="18" t="n">
        <x:v>254</x:v>
      </x:c>
      <x:c r="K280" s="18" t="n">
        <x:v>26</x:v>
      </x:c>
      <x:c r="L280" s="18" t="n">
        <x:v>53</x:v>
      </x:c>
      <x:c r="M280" s="18" t="n">
        <x:v>26</x:v>
      </x:c>
    </x:row>
    <x:row r="281">
      <x:c r="A281" s="22" t="str">
        <x:v>500103051</x:v>
      </x:c>
      <x:c r="B281" s="17" t="str">
        <x:v>大同區</x:v>
      </x:c>
      <x:c r="C281" s="17" t="str">
        <x:v>臺北轉運站(華陰街)</x:v>
      </x:c>
      <x:c r="D281" s="18" t="n">
        <x:v>26</x:v>
      </x:c>
      <x:c r="E281" s="18" t="n">
        <x:v>26</x:v>
      </x:c>
      <x:c r="F281" s="18" t="n">
        <x:v>184</x:v>
      </x:c>
      <x:c r="G281" s="18" t="n">
        <x:v>26</x:v>
      </x:c>
      <x:c r="H281" s="18" t="n">
        <x:v>43</x:v>
      </x:c>
      <x:c r="I281" s="18" t="n">
        <x:v>26</x:v>
      </x:c>
      <x:c r="J281" s="18" t="n">
        <x:v>215</x:v>
      </x:c>
      <x:c r="K281" s="18" t="n">
        <x:v>26</x:v>
      </x:c>
      <x:c r="L281" s="18" t="n">
        <x:v>46</x:v>
      </x:c>
      <x:c r="M281" s="18" t="n">
        <x:v>26</x:v>
      </x:c>
    </x:row>
    <x:row r="282">
      <x:c r="A282" s="22" t="str">
        <x:v>500103052</x:v>
      </x:c>
      <x:c r="B282" s="17" t="str">
        <x:v>大同區</x:v>
      </x:c>
      <x:c r="C282" s="17" t="str">
        <x:v>捷運民權西路站(3號出口)</x:v>
      </x:c>
      <x:c r="D282" s="18" t="n">
        <x:v>26</x:v>
      </x:c>
      <x:c r="E282" s="18" t="n">
        <x:v>26</x:v>
      </x:c>
      <x:c r="F282" s="18" t="n">
        <x:v>248</x:v>
      </x:c>
      <x:c r="G282" s="18" t="n">
        <x:v>26</x:v>
      </x:c>
      <x:c r="H282" s="18" t="n">
        <x:v>49</x:v>
      </x:c>
      <x:c r="I282" s="18" t="n">
        <x:v>26</x:v>
      </x:c>
      <x:c r="J282" s="18" t="n">
        <x:v>273</x:v>
      </x:c>
      <x:c r="K282" s="18" t="n">
        <x:v>26</x:v>
      </x:c>
      <x:c r="L282" s="18" t="n">
        <x:v>36</x:v>
      </x:c>
      <x:c r="M282" s="18" t="n">
        <x:v>26</x:v>
      </x:c>
    </x:row>
    <x:row r="283">
      <x:c r="A283" s="22" t="str">
        <x:v>500103053</x:v>
      </x:c>
      <x:c r="B283" s="17" t="str">
        <x:v>大同區</x:v>
      </x:c>
      <x:c r="C283" s="17" t="str">
        <x:v>捷運中山站(5號出口)</x:v>
      </x:c>
      <x:c r="D283" s="18" t="n">
        <x:v>26</x:v>
      </x:c>
      <x:c r="E283" s="18" t="n">
        <x:v>26</x:v>
      </x:c>
      <x:c r="F283" s="18" t="n">
        <x:v>112</x:v>
      </x:c>
      <x:c r="G283" s="18" t="n">
        <x:v>26</x:v>
      </x:c>
      <x:c r="H283" s="18" t="n">
        <x:v>17</x:v>
      </x:c>
      <x:c r="I283" s="18" t="n">
        <x:v>26</x:v>
      </x:c>
      <x:c r="J283" s="18" t="n">
        <x:v>179</x:v>
      </x:c>
      <x:c r="K283" s="18" t="n">
        <x:v>26</x:v>
      </x:c>
      <x:c r="L283" s="18" t="n">
        <x:v>52</x:v>
      </x:c>
      <x:c r="M283" s="18" t="n">
        <x:v>26</x:v>
      </x:c>
    </x:row>
    <x:row r="284">
      <x:c r="A284" s="22" t="str">
        <x:v>500103054</x:v>
      </x:c>
      <x:c r="B284" s="17" t="str">
        <x:v>大同區</x:v>
      </x:c>
      <x:c r="C284" s="17" t="str">
        <x:v>重慶長安路口</x:v>
      </x:c>
      <x:c r="D284" s="18" t="n">
        <x:v>26</x:v>
      </x:c>
      <x:c r="E284" s="18" t="n">
        <x:v>26</x:v>
      </x:c>
      <x:c r="F284" s="18" t="n">
        <x:v>283</x:v>
      </x:c>
      <x:c r="G284" s="18" t="n">
        <x:v>26</x:v>
      </x:c>
      <x:c r="H284" s="18" t="n">
        <x:v>47</x:v>
      </x:c>
      <x:c r="I284" s="18" t="n">
        <x:v>26</x:v>
      </x:c>
      <x:c r="J284" s="18" t="n">
        <x:v>256</x:v>
      </x:c>
      <x:c r="K284" s="18" t="n">
        <x:v>26</x:v>
      </x:c>
      <x:c r="L284" s="18" t="n">
        <x:v>48</x:v>
      </x:c>
      <x:c r="M284" s="18" t="n">
        <x:v>26</x:v>
      </x:c>
    </x:row>
    <x:row r="285">
      <x:c r="A285" s="22" t="str">
        <x:v>500103055</x:v>
      </x:c>
      <x:c r="B285" s="17" t="str">
        <x:v>大同區</x:v>
      </x:c>
      <x:c r="C285" s="17" t="str">
        <x:v>承德昌吉街口</x:v>
      </x:c>
      <x:c r="D285" s="18" t="n">
        <x:v>26</x:v>
      </x:c>
      <x:c r="E285" s="18" t="n">
        <x:v>26</x:v>
      </x:c>
      <x:c r="F285" s="18" t="n">
        <x:v>204</x:v>
      </x:c>
      <x:c r="G285" s="18" t="n">
        <x:v>26</x:v>
      </x:c>
      <x:c r="H285" s="18" t="n">
        <x:v>38</x:v>
      </x:c>
      <x:c r="I285" s="18" t="n">
        <x:v>26</x:v>
      </x:c>
      <x:c r="J285" s="18" t="n">
        <x:v>219</x:v>
      </x:c>
      <x:c r="K285" s="18" t="n">
        <x:v>26</x:v>
      </x:c>
      <x:c r="L285" s="18" t="n">
        <x:v>17</x:v>
      </x:c>
      <x:c r="M285" s="18" t="n">
        <x:v>26</x:v>
      </x:c>
    </x:row>
    <x:row r="286">
      <x:c r="A286" s="22" t="str">
        <x:v>500103056</x:v>
      </x:c>
      <x:c r="B286" s="17" t="str">
        <x:v>大同區</x:v>
      </x:c>
      <x:c r="C286" s="17" t="str">
        <x:v>大同16號廣場</x:v>
      </x:c>
      <x:c r="D286" s="18" t="n">
        <x:v>26</x:v>
      </x:c>
      <x:c r="E286" s="18" t="n">
        <x:v>26</x:v>
      </x:c>
      <x:c r="F286" s="18" t="n">
        <x:v>265</x:v>
      </x:c>
      <x:c r="G286" s="18" t="n">
        <x:v>26</x:v>
      </x:c>
      <x:c r="H286" s="18" t="n">
        <x:v>17</x:v>
      </x:c>
      <x:c r="I286" s="18" t="n">
        <x:v>26</x:v>
      </x:c>
      <x:c r="J286" s="18" t="n">
        <x:v>128</x:v>
      </x:c>
      <x:c r="K286" s="18" t="n">
        <x:v>26</x:v>
      </x:c>
      <x:c r="L286" s="18" t="n">
        <x:v>20</x:v>
      </x:c>
      <x:c r="M286" s="18" t="n">
        <x:v>26</x:v>
      </x:c>
    </x:row>
    <x:row r="287">
      <x:c r="A287" s="22" t="str">
        <x:v>500103057</x:v>
      </x:c>
      <x:c r="B287" s="17" t="str">
        <x:v>大同區</x:v>
      </x:c>
      <x:c r="C287" s="17" t="str">
        <x:v>捷運圓山站(2號出口)</x:v>
      </x:c>
      <x:c r="D287" s="18" t="n">
        <x:v>26</x:v>
      </x:c>
      <x:c r="E287" s="18" t="n">
        <x:v>26</x:v>
      </x:c>
      <x:c r="F287" s="18" t="n">
        <x:v>321</x:v>
      </x:c>
      <x:c r="G287" s="18" t="n">
        <x:v>26</x:v>
      </x:c>
      <x:c r="H287" s="18" t="n">
        <x:v>44</x:v>
      </x:c>
      <x:c r="I287" s="18" t="n">
        <x:v>26</x:v>
      </x:c>
      <x:c r="J287" s="18" t="n">
        <x:v>474</x:v>
      </x:c>
      <x:c r="K287" s="18" t="n">
        <x:v>26</x:v>
      </x:c>
      <x:c r="L287" s="18" t="n">
        <x:v>86</x:v>
      </x:c>
      <x:c r="M287" s="18" t="n">
        <x:v>26</x:v>
      </x:c>
    </x:row>
    <x:row r="288">
      <x:c r="A288" s="22" t="str">
        <x:v>500103058</x:v>
      </x:c>
      <x:c r="B288" s="17" t="str">
        <x:v>大同區</x:v>
      </x:c>
      <x:c r="C288" s="17" t="str">
        <x:v>樹德公園_1</x:v>
      </x:c>
      <x:c r="D288" s="18" t="n">
        <x:v>26</x:v>
      </x:c>
      <x:c r="E288" s="18" t="n">
        <x:v>26</x:v>
      </x:c>
      <x:c r="F288" s="18" t="n">
        <x:v>931</x:v>
      </x:c>
      <x:c r="G288" s="18" t="n">
        <x:v>26</x:v>
      </x:c>
      <x:c r="H288" s="18" t="n">
        <x:v>82</x:v>
      </x:c>
      <x:c r="I288" s="18" t="n">
        <x:v>26</x:v>
      </x:c>
      <x:c r="J288" s="18" t="n">
        <x:v>180</x:v>
      </x:c>
      <x:c r="K288" s="18" t="n">
        <x:v>26</x:v>
      </x:c>
      <x:c r="L288" s="18" t="n">
        <x:v>46</x:v>
      </x:c>
      <x:c r="M288" s="18" t="n">
        <x:v>26</x:v>
      </x:c>
    </x:row>
    <x:row r="289">
      <x:c r="A289" s="22" t="str">
        <x:v>500103059</x:v>
      </x:c>
      <x:c r="B289" s="17" t="str">
        <x:v>大同區</x:v>
      </x:c>
      <x:c r="C289" s="17" t="str">
        <x:v>承德鄭州路口(市民高架下)</x:v>
      </x:c>
      <x:c r="D289" s="18" t="n">
        <x:v>26</x:v>
      </x:c>
      <x:c r="E289" s="18" t="n">
        <x:v>26</x:v>
      </x:c>
      <x:c r="F289" s="18" t="n">
        <x:v>404</x:v>
      </x:c>
      <x:c r="G289" s="18" t="n">
        <x:v>26</x:v>
      </x:c>
      <x:c r="H289" s="18" t="n">
        <x:v>77</x:v>
      </x:c>
      <x:c r="I289" s="18" t="n">
        <x:v>26</x:v>
      </x:c>
      <x:c r="J289" s="18" t="n">
        <x:v>396</x:v>
      </x:c>
      <x:c r="K289" s="18" t="n">
        <x:v>26</x:v>
      </x:c>
      <x:c r="L289" s="18" t="n">
        <x:v>66</x:v>
      </x:c>
      <x:c r="M289" s="18" t="n">
        <x:v>26</x:v>
      </x:c>
    </x:row>
    <x:row r="290">
      <x:c r="A290" s="22" t="str">
        <x:v>500103060</x:v>
      </x:c>
      <x:c r="B290" s="17" t="str">
        <x:v>大同區</x:v>
      </x:c>
      <x:c r="C290" s="17" t="str">
        <x:v>成淵高中</x:v>
      </x:c>
      <x:c r="D290" s="18" t="n">
        <x:v>26</x:v>
      </x:c>
      <x:c r="E290" s="18" t="n">
        <x:v>26</x:v>
      </x:c>
      <x:c r="F290" s="18" t="n">
        <x:v>144</x:v>
      </x:c>
      <x:c r="G290" s="18" t="n">
        <x:v>26</x:v>
      </x:c>
      <x:c r="H290" s="18" t="n">
        <x:v>26</x:v>
      </x:c>
      <x:c r="I290" s="18" t="n">
        <x:v>26</x:v>
      </x:c>
      <x:c r="J290" s="18" t="n">
        <x:v>183</x:v>
      </x:c>
      <x:c r="K290" s="18" t="n">
        <x:v>26</x:v>
      </x:c>
      <x:c r="L290" s="18" t="n">
        <x:v>39</x:v>
      </x:c>
      <x:c r="M290" s="18" t="n">
        <x:v>26</x:v>
      </x:c>
    </x:row>
    <x:row r="291">
      <x:c r="A291" s="22" t="str">
        <x:v>500103061</x:v>
      </x:c>
      <x:c r="B291" s="17" t="str">
        <x:v>大同區</x:v>
      </x:c>
      <x:c r="C291" s="17" t="str">
        <x:v>雙蓮國小</x:v>
      </x:c>
      <x:c r="D291" s="18" t="n">
        <x:v>26</x:v>
      </x:c>
      <x:c r="E291" s="18" t="n">
        <x:v>26</x:v>
      </x:c>
      <x:c r="F291" s="18" t="n">
        <x:v>262</x:v>
      </x:c>
      <x:c r="G291" s="18" t="n">
        <x:v>26</x:v>
      </x:c>
      <x:c r="H291" s="18" t="n">
        <x:v>44</x:v>
      </x:c>
      <x:c r="I291" s="18" t="n">
        <x:v>26</x:v>
      </x:c>
      <x:c r="J291" s="18" t="n">
        <x:v>145</x:v>
      </x:c>
      <x:c r="K291" s="18" t="n">
        <x:v>26</x:v>
      </x:c>
      <x:c r="L291" s="18" t="n">
        <x:v>25</x:v>
      </x:c>
      <x:c r="M291" s="18" t="n">
        <x:v>26</x:v>
      </x:c>
    </x:row>
    <x:row r="292">
      <x:c r="A292" s="22" t="str">
        <x:v>500103062</x:v>
      </x:c>
      <x:c r="B292" s="17" t="str">
        <x:v>大同區</x:v>
      </x:c>
      <x:c r="C292" s="17" t="str">
        <x:v>寧夏涼州街口</x:v>
      </x:c>
      <x:c r="D292" s="18" t="n">
        <x:v>26</x:v>
      </x:c>
      <x:c r="E292" s="18" t="n">
        <x:v>26</x:v>
      </x:c>
      <x:c r="F292" s="18" t="n">
        <x:v>222</x:v>
      </x:c>
      <x:c r="G292" s="18" t="n">
        <x:v>26</x:v>
      </x:c>
      <x:c r="H292" s="18" t="n">
        <x:v>32</x:v>
      </x:c>
      <x:c r="I292" s="18" t="n">
        <x:v>26</x:v>
      </x:c>
      <x:c r="J292" s="18" t="n">
        <x:v>109</x:v>
      </x:c>
      <x:c r="K292" s="18" t="n">
        <x:v>26</x:v>
      </x:c>
      <x:c r="L292" s="18" t="n">
        <x:v>28</x:v>
      </x:c>
      <x:c r="M292" s="18" t="n">
        <x:v>26</x:v>
      </x:c>
    </x:row>
    <x:row r="293">
      <x:c r="A293" s="22" t="str">
        <x:v>500103063</x:v>
      </x:c>
      <x:c r="B293" s="17" t="str">
        <x:v>大同區</x:v>
      </x:c>
      <x:c r="C293" s="17" t="str">
        <x:v>延平涼州街口</x:v>
      </x:c>
      <x:c r="D293" s="18" t="n">
        <x:v>26</x:v>
      </x:c>
      <x:c r="E293" s="18" t="n">
        <x:v>26</x:v>
      </x:c>
      <x:c r="F293" s="18" t="n">
        <x:v>323</x:v>
      </x:c>
      <x:c r="G293" s="18" t="n">
        <x:v>26</x:v>
      </x:c>
      <x:c r="H293" s="18" t="n">
        <x:v>47</x:v>
      </x:c>
      <x:c r="I293" s="18" t="n">
        <x:v>26</x:v>
      </x:c>
      <x:c r="J293" s="18" t="n">
        <x:v>119</x:v>
      </x:c>
      <x:c r="K293" s="18" t="n">
        <x:v>26</x:v>
      </x:c>
      <x:c r="L293" s="18" t="n">
        <x:v>32</x:v>
      </x:c>
      <x:c r="M293" s="18" t="n">
        <x:v>26</x:v>
      </x:c>
    </x:row>
    <x:row r="294">
      <x:c r="A294" s="22" t="str">
        <x:v>500103064</x:v>
      </x:c>
      <x:c r="B294" s="17" t="str">
        <x:v>大同區</x:v>
      </x:c>
      <x:c r="C294" s="17" t="str">
        <x:v>大同行政中心</x:v>
      </x:c>
      <x:c r="D294" s="18" t="n">
        <x:v>26</x:v>
      </x:c>
      <x:c r="E294" s="18" t="n">
        <x:v>26</x:v>
      </x:c>
      <x:c r="F294" s="18" t="n">
        <x:v>409</x:v>
      </x:c>
      <x:c r="G294" s="18" t="n">
        <x:v>26</x:v>
      </x:c>
      <x:c r="H294" s="18" t="n">
        <x:v>30</x:v>
      </x:c>
      <x:c r="I294" s="18" t="n">
        <x:v>26</x:v>
      </x:c>
      <x:c r="J294" s="18" t="n">
        <x:v>156</x:v>
      </x:c>
      <x:c r="K294" s="18" t="n">
        <x:v>26</x:v>
      </x:c>
      <x:c r="L294" s="18" t="n">
        <x:v>41</x:v>
      </x:c>
      <x:c r="M294" s="18" t="n">
        <x:v>26</x:v>
      </x:c>
    </x:row>
    <x:row r="295">
      <x:c r="A295" s="22" t="str">
        <x:v>500103065</x:v>
      </x:c>
      <x:c r="B295" s="17" t="str">
        <x:v>大同區</x:v>
      </x:c>
      <x:c r="C295" s="17" t="str">
        <x:v>大龍市場</x:v>
      </x:c>
      <x:c r="D295" s="18" t="n">
        <x:v>26</x:v>
      </x:c>
      <x:c r="E295" s="18" t="n">
        <x:v>26</x:v>
      </x:c>
      <x:c r="F295" s="18" t="n">
        <x:v>356</x:v>
      </x:c>
      <x:c r="G295" s="18" t="n">
        <x:v>26</x:v>
      </x:c>
      <x:c r="H295" s="18" t="n">
        <x:v>37</x:v>
      </x:c>
      <x:c r="I295" s="18" t="n">
        <x:v>26</x:v>
      </x:c>
      <x:c r="J295" s="18" t="n">
        <x:v>139</x:v>
      </x:c>
      <x:c r="K295" s="18" t="n">
        <x:v>26</x:v>
      </x:c>
      <x:c r="L295" s="18" t="n">
        <x:v>30</x:v>
      </x:c>
      <x:c r="M295" s="18" t="n">
        <x:v>26</x:v>
      </x:c>
    </x:row>
    <x:row r="296">
      <x:c r="A296" s="22" t="str">
        <x:v>500103066</x:v>
      </x:c>
      <x:c r="B296" s="17" t="str">
        <x:v>大同區</x:v>
      </x:c>
      <x:c r="C296" s="17" t="str">
        <x:v>南京西寧北路口(西北側)</x:v>
      </x:c>
      <x:c r="D296" s="18" t="n">
        <x:v>26</x:v>
      </x:c>
      <x:c r="E296" s="18" t="n">
        <x:v>26</x:v>
      </x:c>
      <x:c r="F296" s="18" t="n">
        <x:v>246</x:v>
      </x:c>
      <x:c r="G296" s="18" t="n">
        <x:v>26</x:v>
      </x:c>
      <x:c r="H296" s="18" t="n">
        <x:v>36</x:v>
      </x:c>
      <x:c r="I296" s="18" t="n">
        <x:v>26</x:v>
      </x:c>
      <x:c r="J296" s="18" t="n">
        <x:v>232</x:v>
      </x:c>
      <x:c r="K296" s="18" t="n">
        <x:v>26</x:v>
      </x:c>
      <x:c r="L296" s="18" t="n">
        <x:v>49</x:v>
      </x:c>
      <x:c r="M296" s="18" t="n">
        <x:v>26</x:v>
      </x:c>
    </x:row>
    <x:row r="297">
      <x:c r="A297" s="22" t="str">
        <x:v>500103067</x:v>
      </x:c>
      <x:c r="B297" s="17" t="str">
        <x:v>大同區</x:v>
      </x:c>
      <x:c r="C297" s="17" t="str">
        <x:v>重慶昌吉街口</x:v>
      </x:c>
      <x:c r="D297" s="18" t="n">
        <x:v>26</x:v>
      </x:c>
      <x:c r="E297" s="18" t="n">
        <x:v>26</x:v>
      </x:c>
      <x:c r="F297" s="18" t="n">
        <x:v>0</x:v>
      </x:c>
      <x:c r="G297" s="18" t="n">
        <x:v>26</x:v>
      </x:c>
      <x:c r="H297" s="18" t="n">
        <x:v>0</x:v>
      </x:c>
      <x:c r="I297" s="18" t="n">
        <x:v>26</x:v>
      </x:c>
      <x:c r="J297" s="18" t="n">
        <x:v>0</x:v>
      </x:c>
      <x:c r="K297" s="18" t="n">
        <x:v>26</x:v>
      </x:c>
      <x:c r="L297" s="18" t="n">
        <x:v>0</x:v>
      </x:c>
      <x:c r="M297" s="18" t="n">
        <x:v>26</x:v>
      </x:c>
    </x:row>
    <x:row r="298">
      <x:c r="A298" s="22" t="str">
        <x:v>500103068</x:v>
      </x:c>
      <x:c r="B298" s="17" t="str">
        <x:v>大同區</x:v>
      </x:c>
      <x:c r="C298" s="17" t="str">
        <x:v>哈密街23巷19弄口</x:v>
      </x:c>
      <x:c r="D298" s="18" t="n">
        <x:v>26</x:v>
      </x:c>
      <x:c r="E298" s="18" t="n">
        <x:v>26</x:v>
      </x:c>
      <x:c r="F298" s="18" t="n">
        <x:v>517</x:v>
      </x:c>
      <x:c r="G298" s="18" t="n">
        <x:v>26</x:v>
      </x:c>
      <x:c r="H298" s="18" t="n">
        <x:v>33</x:v>
      </x:c>
      <x:c r="I298" s="18" t="n">
        <x:v>26</x:v>
      </x:c>
      <x:c r="J298" s="18" t="n">
        <x:v>187</x:v>
      </x:c>
      <x:c r="K298" s="18" t="n">
        <x:v>26</x:v>
      </x:c>
      <x:c r="L298" s="18" t="n">
        <x:v>26</x:v>
      </x:c>
      <x:c r="M298" s="18" t="n">
        <x:v>26</x:v>
      </x:c>
    </x:row>
    <x:row r="299">
      <x:c r="A299" s="22" t="str">
        <x:v>500103069</x:v>
      </x:c>
      <x:c r="B299" s="17" t="str">
        <x:v>大同區</x:v>
      </x:c>
      <x:c r="C299" s="17" t="str">
        <x:v>民權西路160巷口</x:v>
      </x:c>
      <x:c r="D299" s="18" t="n">
        <x:v>26</x:v>
      </x:c>
      <x:c r="E299" s="18" t="n">
        <x:v>26</x:v>
      </x:c>
      <x:c r="F299" s="18" t="n">
        <x:v>132</x:v>
      </x:c>
      <x:c r="G299" s="18" t="n">
        <x:v>26</x:v>
      </x:c>
      <x:c r="H299" s="18" t="n">
        <x:v>32</x:v>
      </x:c>
      <x:c r="I299" s="18" t="n">
        <x:v>26</x:v>
      </x:c>
      <x:c r="J299" s="18" t="n">
        <x:v>130</x:v>
      </x:c>
      <x:c r="K299" s="18" t="n">
        <x:v>26</x:v>
      </x:c>
      <x:c r="L299" s="18" t="n">
        <x:v>46</x:v>
      </x:c>
      <x:c r="M299" s="18" t="n">
        <x:v>26</x:v>
      </x:c>
    </x:row>
    <x:row r="300">
      <x:c r="A300" s="22" t="str">
        <x:v>500103070</x:v>
      </x:c>
      <x:c r="B300" s="17" t="str">
        <x:v>大同區</x:v>
      </x:c>
      <x:c r="C300" s="17" t="str">
        <x:v>重慶北路三段205巷口</x:v>
      </x:c>
      <x:c r="D300" s="18" t="n">
        <x:v>26</x:v>
      </x:c>
      <x:c r="E300" s="18" t="n">
        <x:v>26</x:v>
      </x:c>
      <x:c r="F300" s="18" t="n">
        <x:v>406</x:v>
      </x:c>
      <x:c r="G300" s="18" t="n">
        <x:v>26</x:v>
      </x:c>
      <x:c r="H300" s="18" t="n">
        <x:v>52</x:v>
      </x:c>
      <x:c r="I300" s="18" t="n">
        <x:v>26</x:v>
      </x:c>
      <x:c r="J300" s="18" t="n">
        <x:v>88</x:v>
      </x:c>
      <x:c r="K300" s="18" t="n">
        <x:v>26</x:v>
      </x:c>
      <x:c r="L300" s="18" t="n">
        <x:v>28</x:v>
      </x:c>
      <x:c r="M300" s="18" t="n">
        <x:v>26</x:v>
      </x:c>
    </x:row>
    <x:row r="301">
      <x:c r="A301" s="22" t="str">
        <x:v>500103071</x:v>
      </x:c>
      <x:c r="B301" s="17" t="str">
        <x:v>大同區</x:v>
      </x:c>
      <x:c r="C301" s="17" t="str">
        <x:v>承德路二段91巷口</x:v>
      </x:c>
      <x:c r="D301" s="18" t="n">
        <x:v>26</x:v>
      </x:c>
      <x:c r="E301" s="18" t="n">
        <x:v>26</x:v>
      </x:c>
      <x:c r="F301" s="18" t="n">
        <x:v>117</x:v>
      </x:c>
      <x:c r="G301" s="18" t="n">
        <x:v>26</x:v>
      </x:c>
      <x:c r="H301" s="18" t="n">
        <x:v>38</x:v>
      </x:c>
      <x:c r="I301" s="18" t="n">
        <x:v>26</x:v>
      </x:c>
      <x:c r="J301" s="18" t="n">
        <x:v>306</x:v>
      </x:c>
      <x:c r="K301" s="18" t="n">
        <x:v>26</x:v>
      </x:c>
      <x:c r="L301" s="18" t="n">
        <x:v>66</x:v>
      </x:c>
      <x:c r="M301" s="18" t="n">
        <x:v>26</x:v>
      </x:c>
    </x:row>
    <x:row r="302">
      <x:c r="A302" s="22" t="str">
        <x:v>500103072</x:v>
      </x:c>
      <x:c r="B302" s="17" t="str">
        <x:v>大同區</x:v>
      </x:c>
      <x:c r="C302" s="17" t="str">
        <x:v>酒泉庫倫街口</x:v>
      </x:c>
      <x:c r="D302" s="18" t="n">
        <x:v>26</x:v>
      </x:c>
      <x:c r="E302" s="18" t="n">
        <x:v>26</x:v>
      </x:c>
      <x:c r="F302" s="18" t="n">
        <x:v>182</x:v>
      </x:c>
      <x:c r="G302" s="18" t="n">
        <x:v>26</x:v>
      </x:c>
      <x:c r="H302" s="18" t="n">
        <x:v>32</x:v>
      </x:c>
      <x:c r="I302" s="18" t="n">
        <x:v>26</x:v>
      </x:c>
      <x:c r="J302" s="18" t="n">
        <x:v>122</x:v>
      </x:c>
      <x:c r="K302" s="18" t="n">
        <x:v>26</x:v>
      </x:c>
      <x:c r="L302" s="18" t="n">
        <x:v>21</x:v>
      </x:c>
      <x:c r="M302" s="18" t="n">
        <x:v>26</x:v>
      </x:c>
    </x:row>
    <x:row r="303">
      <x:c r="A303" s="22" t="str">
        <x:v>500103073</x:v>
      </x:c>
      <x:c r="B303" s="17" t="str">
        <x:v>大同區</x:v>
      </x:c>
      <x:c r="C303" s="17" t="str">
        <x:v>民族西大龍街口</x:v>
      </x:c>
      <x:c r="D303" s="18" t="n">
        <x:v>26</x:v>
      </x:c>
      <x:c r="E303" s="18" t="n">
        <x:v>26</x:v>
      </x:c>
      <x:c r="F303" s="18" t="n">
        <x:v>397</x:v>
      </x:c>
      <x:c r="G303" s="18" t="n">
        <x:v>26</x:v>
      </x:c>
      <x:c r="H303" s="18" t="n">
        <x:v>52</x:v>
      </x:c>
      <x:c r="I303" s="18" t="n">
        <x:v>26</x:v>
      </x:c>
      <x:c r="J303" s="18" t="n">
        <x:v>134</x:v>
      </x:c>
      <x:c r="K303" s="18" t="n">
        <x:v>26</x:v>
      </x:c>
      <x:c r="L303" s="18" t="n">
        <x:v>20</x:v>
      </x:c>
      <x:c r="M303" s="18" t="n">
        <x:v>26</x:v>
      </x:c>
    </x:row>
    <x:row r="304">
      <x:c r="A304" s="22" t="str">
        <x:v>500103074</x:v>
      </x:c>
      <x:c r="B304" s="17" t="str">
        <x:v>大同區</x:v>
      </x:c>
      <x:c r="C304" s="17" t="str">
        <x:v>承德路三段324巷口</x:v>
      </x:c>
      <x:c r="D304" s="18" t="n">
        <x:v>26</x:v>
      </x:c>
      <x:c r="E304" s="18" t="n">
        <x:v>26</x:v>
      </x:c>
      <x:c r="F304" s="18" t="n">
        <x:v>261</x:v>
      </x:c>
      <x:c r="G304" s="18" t="n">
        <x:v>26</x:v>
      </x:c>
      <x:c r="H304" s="18" t="n">
        <x:v>23</x:v>
      </x:c>
      <x:c r="I304" s="18" t="n">
        <x:v>26</x:v>
      </x:c>
      <x:c r="J304" s="18" t="n">
        <x:v>253</x:v>
      </x:c>
      <x:c r="K304" s="18" t="n">
        <x:v>26</x:v>
      </x:c>
      <x:c r="L304" s="18" t="n">
        <x:v>41</x:v>
      </x:c>
      <x:c r="M304" s="18" t="n">
        <x:v>26</x:v>
      </x:c>
    </x:row>
    <x:row r="305">
      <x:c r="A305" s="22" t="str">
        <x:v>500103075</x:v>
      </x:c>
      <x:c r="B305" s="17" t="str">
        <x:v>大同區</x:v>
      </x:c>
      <x:c r="C305" s="17" t="str">
        <x:v>玉泉公園(鄭州路)</x:v>
      </x:c>
      <x:c r="D305" s="18" t="n">
        <x:v>26</x:v>
      </x:c>
      <x:c r="E305" s="18" t="n">
        <x:v>26</x:v>
      </x:c>
      <x:c r="F305" s="18" t="n">
        <x:v>133</x:v>
      </x:c>
      <x:c r="G305" s="18" t="n">
        <x:v>26</x:v>
      </x:c>
      <x:c r="H305" s="18" t="n">
        <x:v>15</x:v>
      </x:c>
      <x:c r="I305" s="18" t="n">
        <x:v>26</x:v>
      </x:c>
      <x:c r="J305" s="18" t="n">
        <x:v>263</x:v>
      </x:c>
      <x:c r="K305" s="18" t="n">
        <x:v>26</x:v>
      </x:c>
      <x:c r="L305" s="18" t="n">
        <x:v>31</x:v>
      </x:c>
      <x:c r="M305" s="18" t="n">
        <x:v>26</x:v>
      </x:c>
    </x:row>
    <x:row r="306">
      <x:c r="A306" s="22" t="str">
        <x:v>500103076</x:v>
      </x:c>
      <x:c r="B306" s="17" t="str">
        <x:v>大同區</x:v>
      </x:c>
      <x:c r="C306" s="17" t="str">
        <x:v>玉泉公園(忠孝西路)</x:v>
      </x:c>
      <x:c r="D306" s="18" t="n">
        <x:v>26</x:v>
      </x:c>
      <x:c r="E306" s="18" t="n">
        <x:v>26</x:v>
      </x:c>
      <x:c r="F306" s="18" t="n">
        <x:v>229</x:v>
      </x:c>
      <x:c r="G306" s="18" t="n">
        <x:v>26</x:v>
      </x:c>
      <x:c r="H306" s="18" t="n">
        <x:v>37</x:v>
      </x:c>
      <x:c r="I306" s="18" t="n">
        <x:v>26</x:v>
      </x:c>
      <x:c r="J306" s="18" t="n">
        <x:v>244</x:v>
      </x:c>
      <x:c r="K306" s="18" t="n">
        <x:v>26</x:v>
      </x:c>
      <x:c r="L306" s="18" t="n">
        <x:v>36</x:v>
      </x:c>
      <x:c r="M306" s="18" t="n">
        <x:v>26</x:v>
      </x:c>
    </x:row>
    <x:row r="307">
      <x:c r="A307" s="22" t="str">
        <x:v>500103077</x:v>
      </x:c>
      <x:c r="B307" s="17" t="str">
        <x:v>大同區</x:v>
      </x:c>
      <x:c r="C307" s="17" t="str">
        <x:v>太平國小</x:v>
      </x:c>
      <x:c r="D307" s="18" t="n">
        <x:v>26</x:v>
      </x:c>
      <x:c r="E307" s="18" t="n">
        <x:v>26</x:v>
      </x:c>
      <x:c r="F307" s="18" t="n">
        <x:v>197</x:v>
      </x:c>
      <x:c r="G307" s="18" t="n">
        <x:v>26</x:v>
      </x:c>
      <x:c r="H307" s="18" t="n">
        <x:v>33</x:v>
      </x:c>
      <x:c r="I307" s="18" t="n">
        <x:v>26</x:v>
      </x:c>
      <x:c r="J307" s="18" t="n">
        <x:v>127</x:v>
      </x:c>
      <x:c r="K307" s="18" t="n">
        <x:v>26</x:v>
      </x:c>
      <x:c r="L307" s="18" t="n">
        <x:v>20</x:v>
      </x:c>
      <x:c r="M307" s="18" t="n">
        <x:v>26</x:v>
      </x:c>
    </x:row>
    <x:row r="308">
      <x:c r="A308" s="22" t="str">
        <x:v>500103078</x:v>
      </x:c>
      <x:c r="B308" s="17" t="str">
        <x:v>大同區</x:v>
      </x:c>
      <x:c r="C308" s="17" t="str">
        <x:v>明倫高中</x:v>
      </x:c>
      <x:c r="D308" s="18" t="n">
        <x:v>26</x:v>
      </x:c>
      <x:c r="E308" s="18" t="n">
        <x:v>26</x:v>
      </x:c>
      <x:c r="F308" s="18" t="n">
        <x:v>102</x:v>
      </x:c>
      <x:c r="G308" s="18" t="n">
        <x:v>26</x:v>
      </x:c>
      <x:c r="H308" s="18" t="n">
        <x:v>23</x:v>
      </x:c>
      <x:c r="I308" s="18" t="n">
        <x:v>26</x:v>
      </x:c>
      <x:c r="J308" s="18" t="n">
        <x:v>571</x:v>
      </x:c>
      <x:c r="K308" s="18" t="n">
        <x:v>26</x:v>
      </x:c>
      <x:c r="L308" s="18" t="n">
        <x:v>24</x:v>
      </x:c>
      <x:c r="M308" s="18" t="n">
        <x:v>26</x:v>
      </x:c>
    </x:row>
    <x:row r="309">
      <x:c r="A309" s="22" t="str">
        <x:v>500103079</x:v>
      </x:c>
      <x:c r="B309" s="17" t="str">
        <x:v>大同區</x:v>
      </x:c>
      <x:c r="C309" s="17" t="str">
        <x:v>伊寧重慶北路口</x:v>
      </x:c>
      <x:c r="D309" s="18" t="n">
        <x:v>26</x:v>
      </x:c>
      <x:c r="E309" s="18" t="n">
        <x:v>26</x:v>
      </x:c>
      <x:c r="F309" s="18" t="n">
        <x:v>109</x:v>
      </x:c>
      <x:c r="G309" s="18" t="n">
        <x:v>26</x:v>
      </x:c>
      <x:c r="H309" s="18" t="n">
        <x:v>14</x:v>
      </x:c>
      <x:c r="I309" s="18" t="n">
        <x:v>26</x:v>
      </x:c>
      <x:c r="J309" s="18" t="n">
        <x:v>163</x:v>
      </x:c>
      <x:c r="K309" s="18" t="n">
        <x:v>26</x:v>
      </x:c>
      <x:c r="L309" s="18" t="n">
        <x:v>37</x:v>
      </x:c>
      <x:c r="M309" s="18" t="n">
        <x:v>26</x:v>
      </x:c>
    </x:row>
    <x:row r="310">
      <x:c r="A310" s="22" t="str">
        <x:v>500103080</x:v>
      </x:c>
      <x:c r="B310" s="17" t="str">
        <x:v>大同區</x:v>
      </x:c>
      <x:c r="C310" s="17" t="str">
        <x:v>永樂國小</x:v>
      </x:c>
      <x:c r="D310" s="18" t="n">
        <x:v>26</x:v>
      </x:c>
      <x:c r="E310" s="18" t="n">
        <x:v>26</x:v>
      </x:c>
      <x:c r="F310" s="18" t="n">
        <x:v>362</x:v>
      </x:c>
      <x:c r="G310" s="18" t="n">
        <x:v>26</x:v>
      </x:c>
      <x:c r="H310" s="18" t="n">
        <x:v>47</x:v>
      </x:c>
      <x:c r="I310" s="18" t="n">
        <x:v>26</x:v>
      </x:c>
      <x:c r="J310" s="18" t="n">
        <x:v>146</x:v>
      </x:c>
      <x:c r="K310" s="18" t="n">
        <x:v>26</x:v>
      </x:c>
      <x:c r="L310" s="18" t="n">
        <x:v>41</x:v>
      </x:c>
      <x:c r="M310" s="18" t="n">
        <x:v>26</x:v>
      </x:c>
    </x:row>
    <x:row r="311">
      <x:c r="A311" s="22" t="str">
        <x:v>500103081</x:v>
      </x:c>
      <x:c r="B311" s="17" t="str">
        <x:v>大同區</x:v>
      </x:c>
      <x:c r="C311" s="17" t="str">
        <x:v>民權延平路口(西南側)</x:v>
      </x:c>
      <x:c r="D311" s="18" t="n">
        <x:v>26</x:v>
      </x:c>
      <x:c r="E311" s="18" t="n">
        <x:v>26</x:v>
      </x:c>
      <x:c r="F311" s="18" t="n">
        <x:v>199</x:v>
      </x:c>
      <x:c r="G311" s="18" t="n">
        <x:v>26</x:v>
      </x:c>
      <x:c r="H311" s="18" t="n">
        <x:v>51</x:v>
      </x:c>
      <x:c r="I311" s="18" t="n">
        <x:v>26</x:v>
      </x:c>
      <x:c r="J311" s="18" t="n">
        <x:v>91</x:v>
      </x:c>
      <x:c r="K311" s="18" t="n">
        <x:v>26</x:v>
      </x:c>
      <x:c r="L311" s="18" t="n">
        <x:v>23</x:v>
      </x:c>
      <x:c r="M311" s="18" t="n">
        <x:v>26</x:v>
      </x:c>
    </x:row>
    <x:row r="312">
      <x:c r="A312" s="22" t="str">
        <x:v>500103082</x:v>
      </x:c>
      <x:c r="B312" s="17" t="str">
        <x:v>大同區</x:v>
      </x:c>
      <x:c r="C312" s="17" t="str">
        <x:v>捷運民權西路站(1號出口)</x:v>
      </x:c>
      <x:c r="D312" s="18" t="n">
        <x:v>26</x:v>
      </x:c>
      <x:c r="E312" s="18" t="n">
        <x:v>26</x:v>
      </x:c>
      <x:c r="F312" s="18" t="n">
        <x:v>252</x:v>
      </x:c>
      <x:c r="G312" s="18" t="n">
        <x:v>26</x:v>
      </x:c>
      <x:c r="H312" s="18" t="n">
        <x:v>46</x:v>
      </x:c>
      <x:c r="I312" s="18" t="n">
        <x:v>26</x:v>
      </x:c>
      <x:c r="J312" s="18" t="n">
        <x:v>183</x:v>
      </x:c>
      <x:c r="K312" s="18" t="n">
        <x:v>26</x:v>
      </x:c>
      <x:c r="L312" s="18" t="n">
        <x:v>54</x:v>
      </x:c>
      <x:c r="M312" s="18" t="n">
        <x:v>26</x:v>
      </x:c>
    </x:row>
    <x:row r="313">
      <x:c r="A313" s="22" t="str">
        <x:v>500103083</x:v>
      </x:c>
      <x:c r="B313" s="17" t="str">
        <x:v>大同區</x:v>
      </x:c>
      <x:c r="C313" s="17" t="str">
        <x:v>承德路三段301巷</x:v>
      </x:c>
      <x:c r="D313" s="18" t="n">
        <x:v>26</x:v>
      </x:c>
      <x:c r="E313" s="18" t="n">
        <x:v>26</x:v>
      </x:c>
      <x:c r="F313" s="18" t="n">
        <x:v>524</x:v>
      </x:c>
      <x:c r="G313" s="18" t="n">
        <x:v>26</x:v>
      </x:c>
      <x:c r="H313" s="18" t="n">
        <x:v>74</x:v>
      </x:c>
      <x:c r="I313" s="18" t="n">
        <x:v>26</x:v>
      </x:c>
      <x:c r="J313" s="18" t="n">
        <x:v>137</x:v>
      </x:c>
      <x:c r="K313" s="18" t="n">
        <x:v>26</x:v>
      </x:c>
      <x:c r="L313" s="18" t="n">
        <x:v>24</x:v>
      </x:c>
      <x:c r="M313" s="18" t="n">
        <x:v>26</x:v>
      </x:c>
    </x:row>
    <x:row r="314">
      <x:c r="A314" s="22" t="str">
        <x:v>500103084</x:v>
      </x:c>
      <x:c r="B314" s="17" t="str">
        <x:v>大同區</x:v>
      </x:c>
      <x:c r="C314" s="17" t="str">
        <x:v>捷運圓山站(庫倫街61巷口)</x:v>
      </x:c>
      <x:c r="D314" s="18" t="n">
        <x:v>26</x:v>
      </x:c>
      <x:c r="E314" s="18" t="n">
        <x:v>26</x:v>
      </x:c>
      <x:c r="F314" s="18" t="n">
        <x:v>404</x:v>
      </x:c>
      <x:c r="G314" s="18" t="n">
        <x:v>26</x:v>
      </x:c>
      <x:c r="H314" s="18" t="n">
        <x:v>46</x:v>
      </x:c>
      <x:c r="I314" s="18" t="n">
        <x:v>26</x:v>
      </x:c>
      <x:c r="J314" s="18" t="n">
        <x:v>518</x:v>
      </x:c>
      <x:c r="K314" s="18" t="n">
        <x:v>26</x:v>
      </x:c>
      <x:c r="L314" s="18" t="n">
        <x:v>59</x:v>
      </x:c>
      <x:c r="M314" s="18" t="n">
        <x:v>26</x:v>
      </x:c>
    </x:row>
    <x:row r="315">
      <x:c r="A315" s="22" t="str">
        <x:v>500103085</x:v>
      </x:c>
      <x:c r="B315" s="17" t="str">
        <x:v>大同區</x:v>
      </x:c>
      <x:c r="C315" s="17" t="str">
        <x:v>大龍國小地下停車場</x:v>
      </x:c>
      <x:c r="D315" s="18" t="n">
        <x:v>26</x:v>
      </x:c>
      <x:c r="E315" s="18" t="n">
        <x:v>26</x:v>
      </x:c>
      <x:c r="F315" s="18" t="n">
        <x:v>409</x:v>
      </x:c>
      <x:c r="G315" s="18" t="n">
        <x:v>26</x:v>
      </x:c>
      <x:c r="H315" s="18" t="n">
        <x:v>35</x:v>
      </x:c>
      <x:c r="I315" s="18" t="n">
        <x:v>26</x:v>
      </x:c>
      <x:c r="J315" s="18" t="n">
        <x:v>183</x:v>
      </x:c>
      <x:c r="K315" s="18" t="n">
        <x:v>26</x:v>
      </x:c>
      <x:c r="L315" s="18" t="n">
        <x:v>28</x:v>
      </x:c>
      <x:c r="M315" s="18" t="n">
        <x:v>26</x:v>
      </x:c>
    </x:row>
    <x:row r="316">
      <x:c r="A316" s="22" t="str">
        <x:v>500103086</x:v>
      </x:c>
      <x:c r="B316" s="17" t="str">
        <x:v>大同區</x:v>
      </x:c>
      <x:c r="C316" s="17" t="str">
        <x:v>捷運北門站(1號出口)</x:v>
      </x:c>
      <x:c r="D316" s="18" t="n">
        <x:v>26</x:v>
      </x:c>
      <x:c r="E316" s="18" t="n">
        <x:v>26</x:v>
      </x:c>
      <x:c r="F316" s="18" t="n">
        <x:v>149</x:v>
      </x:c>
      <x:c r="G316" s="18" t="n">
        <x:v>26</x:v>
      </x:c>
      <x:c r="H316" s="18" t="n">
        <x:v>13</x:v>
      </x:c>
      <x:c r="I316" s="18" t="n">
        <x:v>26</x:v>
      </x:c>
      <x:c r="J316" s="18" t="n">
        <x:v>207</x:v>
      </x:c>
      <x:c r="K316" s="18" t="n">
        <x:v>26</x:v>
      </x:c>
      <x:c r="L316" s="18" t="n">
        <x:v>27</x:v>
      </x:c>
      <x:c r="M316" s="18" t="n">
        <x:v>26</x:v>
      </x:c>
    </x:row>
    <x:row r="317">
      <x:c r="A317" s="22" t="str">
        <x:v>500103087</x:v>
      </x:c>
      <x:c r="B317" s="17" t="str">
        <x:v>大同區</x:v>
      </x:c>
      <x:c r="C317" s="17" t="str">
        <x:v>重慶北路派出所</x:v>
      </x:c>
      <x:c r="D317" s="18" t="n">
        <x:v>26</x:v>
      </x:c>
      <x:c r="E317" s="18" t="n">
        <x:v>26</x:v>
      </x:c>
      <x:c r="F317" s="18" t="n">
        <x:v>262</x:v>
      </x:c>
      <x:c r="G317" s="18" t="n">
        <x:v>26</x:v>
      </x:c>
      <x:c r="H317" s="18" t="n">
        <x:v>36</x:v>
      </x:c>
      <x:c r="I317" s="18" t="n">
        <x:v>26</x:v>
      </x:c>
      <x:c r="J317" s="18" t="n">
        <x:v>104</x:v>
      </x:c>
      <x:c r="K317" s="18" t="n">
        <x:v>26</x:v>
      </x:c>
      <x:c r="L317" s="18" t="n">
        <x:v>22</x:v>
      </x:c>
      <x:c r="M317" s="18" t="n">
        <x:v>26</x:v>
      </x:c>
    </x:row>
    <x:row r="318">
      <x:c r="A318" s="22" t="str">
        <x:v>500103088</x:v>
      </x:c>
      <x:c r="B318" s="17" t="str">
        <x:v>大同區</x:v>
      </x:c>
      <x:c r="C318" s="17" t="str">
        <x:v>承德路三段251巷口</x:v>
      </x:c>
      <x:c r="D318" s="18" t="n">
        <x:v>26</x:v>
      </x:c>
      <x:c r="E318" s="18" t="n">
        <x:v>26</x:v>
      </x:c>
      <x:c r="F318" s="18" t="n">
        <x:v>136</x:v>
      </x:c>
      <x:c r="G318" s="18" t="n">
        <x:v>26</x:v>
      </x:c>
      <x:c r="H318" s="18" t="n">
        <x:v>28</x:v>
      </x:c>
      <x:c r="I318" s="18" t="n">
        <x:v>26</x:v>
      </x:c>
      <x:c r="J318" s="18" t="n">
        <x:v>172</x:v>
      </x:c>
      <x:c r="K318" s="18" t="n">
        <x:v>26</x:v>
      </x:c>
      <x:c r="L318" s="18" t="n">
        <x:v>38</x:v>
      </x:c>
      <x:c r="M318" s="18" t="n">
        <x:v>26</x:v>
      </x:c>
    </x:row>
    <x:row r="319">
      <x:c r="A319" s="22" t="str">
        <x:v>500103089</x:v>
      </x:c>
      <x:c r="B319" s="17" t="str">
        <x:v>大同區</x:v>
      </x:c>
      <x:c r="C319" s="17" t="str">
        <x:v>忠和公園</x:v>
      </x:c>
      <x:c r="D319" s="18" t="n">
        <x:v>26</x:v>
      </x:c>
      <x:c r="E319" s="18" t="n">
        <x:v>26</x:v>
      </x:c>
      <x:c r="F319" s="18" t="n">
        <x:v>248</x:v>
      </x:c>
      <x:c r="G319" s="18" t="n">
        <x:v>26</x:v>
      </x:c>
      <x:c r="H319" s="18" t="n">
        <x:v>21</x:v>
      </x:c>
      <x:c r="I319" s="18" t="n">
        <x:v>26</x:v>
      </x:c>
      <x:c r="J319" s="18" t="n">
        <x:v>157</x:v>
      </x:c>
      <x:c r="K319" s="18" t="n">
        <x:v>26</x:v>
      </x:c>
      <x:c r="L319" s="18" t="n">
        <x:v>33</x:v>
      </x:c>
      <x:c r="M319" s="18" t="n">
        <x:v>26</x:v>
      </x:c>
    </x:row>
    <x:row r="320">
      <x:c r="A320" s="22" t="str">
        <x:v>500103090</x:v>
      </x:c>
      <x:c r="B320" s="17" t="str">
        <x:v>大同區</x:v>
      </x:c>
      <x:c r="C320" s="17" t="str">
        <x:v>臺北當代藝術館</x:v>
      </x:c>
      <x:c r="D320" s="18" t="n">
        <x:v>26</x:v>
      </x:c>
      <x:c r="E320" s="18" t="n">
        <x:v>26</x:v>
      </x:c>
      <x:c r="F320" s="18" t="n">
        <x:v>110</x:v>
      </x:c>
      <x:c r="G320" s="18" t="n">
        <x:v>26</x:v>
      </x:c>
      <x:c r="H320" s="18" t="n">
        <x:v>28</x:v>
      </x:c>
      <x:c r="I320" s="18" t="n">
        <x:v>26</x:v>
      </x:c>
      <x:c r="J320" s="18" t="n">
        <x:v>238</x:v>
      </x:c>
      <x:c r="K320" s="18" t="n">
        <x:v>26</x:v>
      </x:c>
      <x:c r="L320" s="18" t="n">
        <x:v>30</x:v>
      </x:c>
      <x:c r="M320" s="18" t="n">
        <x:v>26</x:v>
      </x:c>
    </x:row>
    <x:row r="321">
      <x:c r="A321" s="22" t="str">
        <x:v>500103091</x:v>
      </x:c>
      <x:c r="B321" s="17" t="str">
        <x:v>大同區</x:v>
      </x:c>
      <x:c r="C321" s="17" t="str">
        <x:v>明倫社會住宅(庫倫街61巷)</x:v>
      </x:c>
      <x:c r="D321" s="18" t="n">
        <x:v>26</x:v>
      </x:c>
      <x:c r="E321" s="18" t="n">
        <x:v>26</x:v>
      </x:c>
      <x:c r="F321" s="18" t="n">
        <x:v>0</x:v>
      </x:c>
      <x:c r="G321" s="18" t="n">
        <x:v>26</x:v>
      </x:c>
      <x:c r="H321" s="18" t="n">
        <x:v>0</x:v>
      </x:c>
      <x:c r="I321" s="18" t="n">
        <x:v>26</x:v>
      </x:c>
      <x:c r="J321" s="18" t="n">
        <x:v>0</x:v>
      </x:c>
      <x:c r="K321" s="18" t="n">
        <x:v>26</x:v>
      </x:c>
      <x:c r="L321" s="18" t="n">
        <x:v>0</x:v>
      </x:c>
      <x:c r="M321" s="18" t="n">
        <x:v>26</x:v>
      </x:c>
    </x:row>
    <x:row r="322">
      <x:c r="A322" s="22" t="str">
        <x:v>500104001</x:v>
      </x:c>
      <x:c r="B322" s="17" t="str">
        <x:v>士林區</x:v>
      </x:c>
      <x:c r="C322" s="17" t="str">
        <x:v>劍潭抽水站</x:v>
      </x:c>
      <x:c r="D322" s="18" t="n">
        <x:v>26</x:v>
      </x:c>
      <x:c r="E322" s="18" t="n">
        <x:v>26</x:v>
      </x:c>
      <x:c r="F322" s="18" t="n">
        <x:v>384</x:v>
      </x:c>
      <x:c r="G322" s="18" t="n">
        <x:v>26</x:v>
      </x:c>
      <x:c r="H322" s="18" t="n">
        <x:v>64</x:v>
      </x:c>
      <x:c r="I322" s="18" t="n">
        <x:v>26</x:v>
      </x:c>
      <x:c r="J322" s="18" t="n">
        <x:v>126</x:v>
      </x:c>
      <x:c r="K322" s="18" t="n">
        <x:v>26</x:v>
      </x:c>
      <x:c r="L322" s="18" t="n">
        <x:v>21</x:v>
      </x:c>
      <x:c r="M322" s="18" t="n">
        <x:v>26</x:v>
      </x:c>
    </x:row>
    <x:row r="323">
      <x:c r="A323" s="22" t="str">
        <x:v>500104002</x:v>
      </x:c>
      <x:c r="B323" s="17" t="str">
        <x:v>士林區</x:v>
      </x:c>
      <x:c r="C323" s="17" t="str">
        <x:v>通河東街大南路口</x:v>
      </x:c>
      <x:c r="D323" s="18" t="n">
        <x:v>26</x:v>
      </x:c>
      <x:c r="E323" s="18" t="n">
        <x:v>26</x:v>
      </x:c>
      <x:c r="F323" s="18" t="n">
        <x:v>329</x:v>
      </x:c>
      <x:c r="G323" s="18" t="n">
        <x:v>26</x:v>
      </x:c>
      <x:c r="H323" s="18" t="n">
        <x:v>41</x:v>
      </x:c>
      <x:c r="I323" s="18" t="n">
        <x:v>26</x:v>
      </x:c>
      <x:c r="J323" s="18" t="n">
        <x:v>189</x:v>
      </x:c>
      <x:c r="K323" s="18" t="n">
        <x:v>26</x:v>
      </x:c>
      <x:c r="L323" s="18" t="n">
        <x:v>13</x:v>
      </x:c>
      <x:c r="M323" s="18" t="n">
        <x:v>26</x:v>
      </x:c>
    </x:row>
    <x:row r="324">
      <x:c r="A324" s="22" t="str">
        <x:v>500104003</x:v>
      </x:c>
      <x:c r="B324" s="17" t="str">
        <x:v>士林區</x:v>
      </x:c>
      <x:c r="C324" s="17" t="str">
        <x:v>福港街停車場</x:v>
      </x:c>
      <x:c r="D324" s="18" t="n">
        <x:v>26</x:v>
      </x:c>
      <x:c r="E324" s="18" t="n">
        <x:v>26</x:v>
      </x:c>
      <x:c r="F324" s="18" t="n">
        <x:v>1642</x:v>
      </x:c>
      <x:c r="G324" s="18" t="n">
        <x:v>26</x:v>
      </x:c>
      <x:c r="H324" s="18" t="n">
        <x:v>109</x:v>
      </x:c>
      <x:c r="I324" s="18" t="n">
        <x:v>26</x:v>
      </x:c>
      <x:c r="J324" s="18" t="n">
        <x:v>229</x:v>
      </x:c>
      <x:c r="K324" s="18" t="n">
        <x:v>26</x:v>
      </x:c>
      <x:c r="L324" s="18" t="n">
        <x:v>24</x:v>
      </x:c>
      <x:c r="M324" s="18" t="n">
        <x:v>26</x:v>
      </x:c>
    </x:row>
    <x:row r="325">
      <x:c r="A325" s="22" t="str">
        <x:v>500104004</x:v>
      </x:c>
      <x:c r="B325" s="17" t="str">
        <x:v>士林區</x:v>
      </x:c>
      <x:c r="C325" s="17" t="str">
        <x:v>百齡國小</x:v>
      </x:c>
      <x:c r="D325" s="18" t="n">
        <x:v>26</x:v>
      </x:c>
      <x:c r="E325" s="18" t="n">
        <x:v>26</x:v>
      </x:c>
      <x:c r="F325" s="18" t="n">
        <x:v>3045</x:v>
      </x:c>
      <x:c r="G325" s="18" t="n">
        <x:v>26</x:v>
      </x:c>
      <x:c r="H325" s="18" t="n">
        <x:v>193</x:v>
      </x:c>
      <x:c r="I325" s="18" t="n">
        <x:v>26</x:v>
      </x:c>
      <x:c r="J325" s="18" t="n">
        <x:v>223</x:v>
      </x:c>
      <x:c r="K325" s="18" t="n">
        <x:v>26</x:v>
      </x:c>
      <x:c r="L325" s="18" t="n">
        <x:v>26</x:v>
      </x:c>
      <x:c r="M325" s="18" t="n">
        <x:v>26</x:v>
      </x:c>
    </x:row>
    <x:row r="326">
      <x:c r="A326" s="22" t="str">
        <x:v>500104005</x:v>
      </x:c>
      <x:c r="B326" s="17" t="str">
        <x:v>士林區</x:v>
      </x:c>
      <x:c r="C326" s="17" t="str">
        <x:v>雨聲街165巷口</x:v>
      </x:c>
      <x:c r="D326" s="18" t="n">
        <x:v>26</x:v>
      </x:c>
      <x:c r="E326" s="18" t="n">
        <x:v>26</x:v>
      </x:c>
      <x:c r="F326" s="18" t="n">
        <x:v>167</x:v>
      </x:c>
      <x:c r="G326" s="18" t="n">
        <x:v>26</x:v>
      </x:c>
      <x:c r="H326" s="18" t="n">
        <x:v>40</x:v>
      </x:c>
      <x:c r="I326" s="18" t="n">
        <x:v>26</x:v>
      </x:c>
      <x:c r="J326" s="18" t="n">
        <x:v>201</x:v>
      </x:c>
      <x:c r="K326" s="18" t="n">
        <x:v>26</x:v>
      </x:c>
      <x:c r="L326" s="18" t="n">
        <x:v>28</x:v>
      </x:c>
      <x:c r="M326" s="18" t="n">
        <x:v>26</x:v>
      </x:c>
    </x:row>
    <x:row r="327">
      <x:c r="A327" s="22" t="str">
        <x:v>500104006</x:v>
      </x:c>
      <x:c r="B327" s="17" t="str">
        <x:v>士林區</x:v>
      </x:c>
      <x:c r="C327" s="17" t="str">
        <x:v>天和公園</x:v>
      </x:c>
      <x:c r="D327" s="18" t="n">
        <x:v>26</x:v>
      </x:c>
      <x:c r="E327" s="18" t="n">
        <x:v>26</x:v>
      </x:c>
      <x:c r="F327" s="18" t="n">
        <x:v>419</x:v>
      </x:c>
      <x:c r="G327" s="18" t="n">
        <x:v>26</x:v>
      </x:c>
      <x:c r="H327" s="18" t="n">
        <x:v>84</x:v>
      </x:c>
      <x:c r="I327" s="18" t="n">
        <x:v>26</x:v>
      </x:c>
      <x:c r="J327" s="18" t="n">
        <x:v>131</x:v>
      </x:c>
      <x:c r="K327" s="18" t="n">
        <x:v>26</x:v>
      </x:c>
      <x:c r="L327" s="18" t="n">
        <x:v>38</x:v>
      </x:c>
      <x:c r="M327" s="18" t="n">
        <x:v>26</x:v>
      </x:c>
    </x:row>
    <x:row r="328">
      <x:c r="A328" s="22" t="str">
        <x:v>500104007</x:v>
      </x:c>
      <x:c r="B328" s="17" t="str">
        <x:v>士林區</x:v>
      </x:c>
      <x:c r="C328" s="17" t="str">
        <x:v>中山天母路口</x:v>
      </x:c>
      <x:c r="D328" s="18" t="n">
        <x:v>26</x:v>
      </x:c>
      <x:c r="E328" s="18" t="n">
        <x:v>26</x:v>
      </x:c>
      <x:c r="F328" s="18" t="n">
        <x:v>478</x:v>
      </x:c>
      <x:c r="G328" s="18" t="n">
        <x:v>26</x:v>
      </x:c>
      <x:c r="H328" s="18" t="n">
        <x:v>119</x:v>
      </x:c>
      <x:c r="I328" s="18" t="n">
        <x:v>26</x:v>
      </x:c>
      <x:c r="J328" s="18" t="n">
        <x:v>295</x:v>
      </x:c>
      <x:c r="K328" s="18" t="n">
        <x:v>26</x:v>
      </x:c>
      <x:c r="L328" s="18" t="n">
        <x:v>107</x:v>
      </x:c>
      <x:c r="M328" s="18" t="n">
        <x:v>26</x:v>
      </x:c>
    </x:row>
    <x:row r="329">
      <x:c r="A329" s="22" t="str">
        <x:v>500104008</x:v>
      </x:c>
      <x:c r="B329" s="17" t="str">
        <x:v>士林區</x:v>
      </x:c>
      <x:c r="C329" s="17" t="str">
        <x:v>天母運動公園</x:v>
      </x:c>
      <x:c r="D329" s="18" t="n">
        <x:v>26</x:v>
      </x:c>
      <x:c r="E329" s="18" t="n">
        <x:v>26</x:v>
      </x:c>
      <x:c r="F329" s="18" t="n">
        <x:v>306</x:v>
      </x:c>
      <x:c r="G329" s="18" t="n">
        <x:v>26</x:v>
      </x:c>
      <x:c r="H329" s="18" t="n">
        <x:v>64</x:v>
      </x:c>
      <x:c r="I329" s="18" t="n">
        <x:v>26</x:v>
      </x:c>
      <x:c r="J329" s="18" t="n">
        <x:v>626</x:v>
      </x:c>
      <x:c r="K329" s="18" t="n">
        <x:v>26</x:v>
      </x:c>
      <x:c r="L329" s="18" t="n">
        <x:v>119</x:v>
      </x:c>
      <x:c r="M329" s="18" t="n">
        <x:v>26</x:v>
      </x:c>
    </x:row>
    <x:row r="330">
      <x:c r="A330" s="22" t="str">
        <x:v>500104009</x:v>
      </x:c>
      <x:c r="B330" s="17" t="str">
        <x:v>士林區</x:v>
      </x:c>
      <x:c r="C330" s="17" t="str">
        <x:v>臺北市立大學(天母校區)</x:v>
      </x:c>
      <x:c r="D330" s="18" t="n">
        <x:v>26</x:v>
      </x:c>
      <x:c r="E330" s="18" t="n">
        <x:v>26</x:v>
      </x:c>
      <x:c r="F330" s="18" t="n">
        <x:v>514</x:v>
      </x:c>
      <x:c r="G330" s="18" t="n">
        <x:v>26</x:v>
      </x:c>
      <x:c r="H330" s="18" t="n">
        <x:v>102</x:v>
      </x:c>
      <x:c r="I330" s="18" t="n">
        <x:v>26</x:v>
      </x:c>
      <x:c r="J330" s="18" t="n">
        <x:v>757</x:v>
      </x:c>
      <x:c r="K330" s="18" t="n">
        <x:v>26</x:v>
      </x:c>
      <x:c r="L330" s="18" t="n">
        <x:v>126</x:v>
      </x:c>
      <x:c r="M330" s="18" t="n">
        <x:v>26</x:v>
      </x:c>
    </x:row>
    <x:row r="331">
      <x:c r="A331" s="22" t="str">
        <x:v>500104010</x:v>
      </x:c>
      <x:c r="B331" s="17" t="str">
        <x:v>士林區</x:v>
      </x:c>
      <x:c r="C331" s="17" t="str">
        <x:v>忠誠路二段53巷</x:v>
      </x:c>
      <x:c r="D331" s="18" t="n">
        <x:v>26</x:v>
      </x:c>
      <x:c r="E331" s="18" t="n">
        <x:v>26</x:v>
      </x:c>
      <x:c r="F331" s="18" t="n">
        <x:v>155</x:v>
      </x:c>
      <x:c r="G331" s="18" t="n">
        <x:v>26</x:v>
      </x:c>
      <x:c r="H331" s="18" t="n">
        <x:v>35</x:v>
      </x:c>
      <x:c r="I331" s="18" t="n">
        <x:v>26</x:v>
      </x:c>
      <x:c r="J331" s="18" t="n">
        <x:v>1589</x:v>
      </x:c>
      <x:c r="K331" s="18" t="n">
        <x:v>26</x:v>
      </x:c>
      <x:c r="L331" s="18" t="n">
        <x:v>90</x:v>
      </x:c>
      <x:c r="M331" s="18" t="n">
        <x:v>26</x:v>
      </x:c>
    </x:row>
    <x:row r="332">
      <x:c r="A332" s="22" t="str">
        <x:v>500104011</x:v>
      </x:c>
      <x:c r="B332" s="17" t="str">
        <x:v>士林區</x:v>
      </x:c>
      <x:c r="C332" s="17" t="str">
        <x:v>天母國中</x:v>
      </x:c>
      <x:c r="D332" s="18" t="n">
        <x:v>26</x:v>
      </x:c>
      <x:c r="E332" s="18" t="n">
        <x:v>26</x:v>
      </x:c>
      <x:c r="F332" s="18" t="n">
        <x:v>0</x:v>
      </x:c>
      <x:c r="G332" s="18" t="n">
        <x:v>26</x:v>
      </x:c>
      <x:c r="H332" s="18" t="n">
        <x:v>0</x:v>
      </x:c>
      <x:c r="I332" s="18" t="n">
        <x:v>26</x:v>
      </x:c>
      <x:c r="J332" s="18" t="n">
        <x:v>0</x:v>
      </x:c>
      <x:c r="K332" s="18" t="n">
        <x:v>26</x:v>
      </x:c>
      <x:c r="L332" s="18" t="n">
        <x:v>0</x:v>
      </x:c>
      <x:c r="M332" s="18" t="n">
        <x:v>26</x:v>
      </x:c>
    </x:row>
    <x:row r="333">
      <x:c r="A333" s="22" t="str">
        <x:v>500104012</x:v>
      </x:c>
      <x:c r="B333" s="17" t="str">
        <x:v>士林區</x:v>
      </x:c>
      <x:c r="C333" s="17" t="str">
        <x:v>天母棒球場</x:v>
      </x:c>
      <x:c r="D333" s="18" t="n">
        <x:v>26</x:v>
      </x:c>
      <x:c r="E333" s="18" t="n">
        <x:v>26</x:v>
      </x:c>
      <x:c r="F333" s="18" t="n">
        <x:v>217</x:v>
      </x:c>
      <x:c r="G333" s="18" t="n">
        <x:v>26</x:v>
      </x:c>
      <x:c r="H333" s="18" t="n">
        <x:v>10</x:v>
      </x:c>
      <x:c r="I333" s="18" t="n">
        <x:v>26</x:v>
      </x:c>
      <x:c r="J333" s="18" t="n">
        <x:v>193</x:v>
      </x:c>
      <x:c r="K333" s="18" t="n">
        <x:v>26</x:v>
      </x:c>
      <x:c r="L333" s="18" t="n">
        <x:v>35</x:v>
      </x:c>
      <x:c r="M333" s="18" t="n">
        <x:v>26</x:v>
      </x:c>
    </x:row>
    <x:row r="334">
      <x:c r="A334" s="22" t="str">
        <x:v>500104013</x:v>
      </x:c>
      <x:c r="B334" s="17" t="str">
        <x:v>士林區</x:v>
      </x:c>
      <x:c r="C334" s="17" t="str">
        <x:v>天母北天玉街口</x:v>
      </x:c>
      <x:c r="D334" s="18" t="n">
        <x:v>26</x:v>
      </x:c>
      <x:c r="E334" s="18" t="n">
        <x:v>26</x:v>
      </x:c>
      <x:c r="F334" s="18" t="n">
        <x:v>206</x:v>
      </x:c>
      <x:c r="G334" s="18" t="n">
        <x:v>26</x:v>
      </x:c>
      <x:c r="H334" s="18" t="n">
        <x:v>19</x:v>
      </x:c>
      <x:c r="I334" s="18" t="n">
        <x:v>26</x:v>
      </x:c>
      <x:c r="J334" s="18" t="n">
        <x:v>99</x:v>
      </x:c>
      <x:c r="K334" s="18" t="n">
        <x:v>26</x:v>
      </x:c>
      <x:c r="L334" s="18" t="n">
        <x:v>57</x:v>
      </x:c>
      <x:c r="M334" s="18" t="n">
        <x:v>26</x:v>
      </x:c>
    </x:row>
    <x:row r="335">
      <x:c r="A335" s="22" t="str">
        <x:v>500104014</x:v>
      </x:c>
      <x:c r="B335" s="17" t="str">
        <x:v>士林區</x:v>
      </x:c>
      <x:c r="C335" s="17" t="str">
        <x:v>蘭興公園</x:v>
      </x:c>
      <x:c r="D335" s="18" t="n">
        <x:v>26</x:v>
      </x:c>
      <x:c r="E335" s="18" t="n">
        <x:v>26</x:v>
      </x:c>
      <x:c r="F335" s="18" t="n">
        <x:v>1183</x:v>
      </x:c>
      <x:c r="G335" s="18" t="n">
        <x:v>26</x:v>
      </x:c>
      <x:c r="H335" s="18" t="n">
        <x:v>80</x:v>
      </x:c>
      <x:c r="I335" s="18" t="n">
        <x:v>26</x:v>
      </x:c>
      <x:c r="J335" s="18" t="n">
        <x:v>215</x:v>
      </x:c>
      <x:c r="K335" s="18" t="n">
        <x:v>26</x:v>
      </x:c>
      <x:c r="L335" s="18" t="n">
        <x:v>29</x:v>
      </x:c>
      <x:c r="M335" s="18" t="n">
        <x:v>26</x:v>
      </x:c>
    </x:row>
    <x:row r="336">
      <x:c r="A336" s="22" t="str">
        <x:v>500104015</x:v>
      </x:c>
      <x:c r="B336" s="17" t="str">
        <x:v>士林區</x:v>
      </x:c>
      <x:c r="C336" s="17" t="str">
        <x:v>明勝公園</x:v>
      </x:c>
      <x:c r="D336" s="18" t="n">
        <x:v>26</x:v>
      </x:c>
      <x:c r="E336" s="18" t="n">
        <x:v>26</x:v>
      </x:c>
      <x:c r="F336" s="18" t="n">
        <x:v>486</x:v>
      </x:c>
      <x:c r="G336" s="18" t="n">
        <x:v>26</x:v>
      </x:c>
      <x:c r="H336" s="18" t="n">
        <x:v>37</x:v>
      </x:c>
      <x:c r="I336" s="18" t="n">
        <x:v>26</x:v>
      </x:c>
      <x:c r="J336" s="18" t="n">
        <x:v>106</x:v>
      </x:c>
      <x:c r="K336" s="18" t="n">
        <x:v>26</x:v>
      </x:c>
      <x:c r="L336" s="18" t="n">
        <x:v>7</x:v>
      </x:c>
      <x:c r="M336" s="18" t="n">
        <x:v>26</x:v>
      </x:c>
    </x:row>
    <x:row r="337">
      <x:c r="A337" s="22" t="str">
        <x:v>500104016</x:v>
      </x:c>
      <x:c r="B337" s="17" t="str">
        <x:v>士林區</x:v>
      </x:c>
      <x:c r="C337" s="17" t="str">
        <x:v>劍潭海外青年活動中心</x:v>
      </x:c>
      <x:c r="D337" s="18" t="n">
        <x:v>26</x:v>
      </x:c>
      <x:c r="E337" s="18" t="n">
        <x:v>26</x:v>
      </x:c>
      <x:c r="F337" s="18" t="n">
        <x:v>173</x:v>
      </x:c>
      <x:c r="G337" s="18" t="n">
        <x:v>26</x:v>
      </x:c>
      <x:c r="H337" s="18" t="n">
        <x:v>61</x:v>
      </x:c>
      <x:c r="I337" s="18" t="n">
        <x:v>26</x:v>
      </x:c>
      <x:c r="J337" s="18" t="n">
        <x:v>224</x:v>
      </x:c>
      <x:c r="K337" s="18" t="n">
        <x:v>26</x:v>
      </x:c>
      <x:c r="L337" s="18" t="n">
        <x:v>31</x:v>
      </x:c>
      <x:c r="M337" s="18" t="n">
        <x:v>26</x:v>
      </x:c>
    </x:row>
    <x:row r="338">
      <x:c r="A338" s="22" t="str">
        <x:v>500104017</x:v>
      </x:c>
      <x:c r="B338" s="17" t="str">
        <x:v>士林區</x:v>
      </x:c>
      <x:c r="C338" s="17" t="str">
        <x:v>忠義街137號</x:v>
      </x:c>
      <x:c r="D338" s="18" t="n">
        <x:v>26</x:v>
      </x:c>
      <x:c r="E338" s="18" t="n">
        <x:v>26</x:v>
      </x:c>
      <x:c r="F338" s="18" t="n">
        <x:v>0</x:v>
      </x:c>
      <x:c r="G338" s="18" t="n">
        <x:v>26</x:v>
      </x:c>
      <x:c r="H338" s="18" t="n">
        <x:v>0</x:v>
      </x:c>
      <x:c r="I338" s="18" t="n">
        <x:v>26</x:v>
      </x:c>
      <x:c r="J338" s="18" t="n">
        <x:v>0</x:v>
      </x:c>
      <x:c r="K338" s="18" t="n">
        <x:v>26</x:v>
      </x:c>
      <x:c r="L338" s="18" t="n">
        <x:v>0</x:v>
      </x:c>
      <x:c r="M338" s="18" t="n">
        <x:v>26</x:v>
      </x:c>
    </x:row>
    <x:row r="339">
      <x:c r="A339" s="22" t="str">
        <x:v>500104018</x:v>
      </x:c>
      <x:c r="B339" s="17" t="str">
        <x:v>士林區</x:v>
      </x:c>
      <x:c r="C339" s="17" t="str">
        <x:v>忠誠路一段173巷口</x:v>
      </x:c>
      <x:c r="D339" s="18" t="n">
        <x:v>26</x:v>
      </x:c>
      <x:c r="E339" s="18" t="n">
        <x:v>26</x:v>
      </x:c>
      <x:c r="F339" s="18" t="n">
        <x:v>194</x:v>
      </x:c>
      <x:c r="G339" s="18" t="n">
        <x:v>26</x:v>
      </x:c>
      <x:c r="H339" s="18" t="n">
        <x:v>42</x:v>
      </x:c>
      <x:c r="I339" s="18" t="n">
        <x:v>26</x:v>
      </x:c>
      <x:c r="J339" s="18" t="n">
        <x:v>116</x:v>
      </x:c>
      <x:c r="K339" s="18" t="n">
        <x:v>26</x:v>
      </x:c>
      <x:c r="L339" s="18" t="n">
        <x:v>41</x:v>
      </x:c>
      <x:c r="M339" s="18" t="n">
        <x:v>26</x:v>
      </x:c>
    </x:row>
    <x:row r="340">
      <x:c r="A340" s="22" t="str">
        <x:v>500104019</x:v>
      </x:c>
      <x:c r="B340" s="17" t="str">
        <x:v>士林區</x:v>
      </x:c>
      <x:c r="C340" s="17" t="str">
        <x:v>雨農國小</x:v>
      </x:c>
      <x:c r="D340" s="18" t="n">
        <x:v>26</x:v>
      </x:c>
      <x:c r="E340" s="18" t="n">
        <x:v>26</x:v>
      </x:c>
      <x:c r="F340" s="18" t="n">
        <x:v>374</x:v>
      </x:c>
      <x:c r="G340" s="18" t="n">
        <x:v>26</x:v>
      </x:c>
      <x:c r="H340" s="18" t="n">
        <x:v>38</x:v>
      </x:c>
      <x:c r="I340" s="18" t="n">
        <x:v>26</x:v>
      </x:c>
      <x:c r="J340" s="18" t="n">
        <x:v>116</x:v>
      </x:c>
      <x:c r="K340" s="18" t="n">
        <x:v>26</x:v>
      </x:c>
      <x:c r="L340" s="18" t="n">
        <x:v>14</x:v>
      </x:c>
      <x:c r="M340" s="18" t="n">
        <x:v>26</x:v>
      </x:c>
    </x:row>
    <x:row r="341">
      <x:c r="A341" s="22" t="str">
        <x:v>500104020</x:v>
      </x:c>
      <x:c r="B341" s="17" t="str">
        <x:v>士林區</x:v>
      </x:c>
      <x:c r="C341" s="17" t="str">
        <x:v>忠誠公園</x:v>
      </x:c>
      <x:c r="D341" s="18" t="n">
        <x:v>26</x:v>
      </x:c>
      <x:c r="E341" s="18" t="n">
        <x:v>26</x:v>
      </x:c>
      <x:c r="F341" s="18" t="n">
        <x:v>176</x:v>
      </x:c>
      <x:c r="G341" s="18" t="n">
        <x:v>26</x:v>
      </x:c>
      <x:c r="H341" s="18" t="n">
        <x:v>22</x:v>
      </x:c>
      <x:c r="I341" s="18" t="n">
        <x:v>26</x:v>
      </x:c>
      <x:c r="J341" s="18" t="n">
        <x:v>215</x:v>
      </x:c>
      <x:c r="K341" s="18" t="n">
        <x:v>26</x:v>
      </x:c>
      <x:c r="L341" s="18" t="n">
        <x:v>44</x:v>
      </x:c>
      <x:c r="M341" s="18" t="n">
        <x:v>26</x:v>
      </x:c>
    </x:row>
    <x:row r="342">
      <x:c r="A342" s="22" t="str">
        <x:v>500104021</x:v>
      </x:c>
      <x:c r="B342" s="17" t="str">
        <x:v>士林區</x:v>
      </x:c>
      <x:c r="C342" s="17" t="str">
        <x:v>芝山抽水站</x:v>
      </x:c>
      <x:c r="D342" s="18" t="n">
        <x:v>26</x:v>
      </x:c>
      <x:c r="E342" s="18" t="n">
        <x:v>26</x:v>
      </x:c>
      <x:c r="F342" s="18" t="n">
        <x:v>1044</x:v>
      </x:c>
      <x:c r="G342" s="18" t="n">
        <x:v>26</x:v>
      </x:c>
      <x:c r="H342" s="18" t="n">
        <x:v>95</x:v>
      </x:c>
      <x:c r="I342" s="18" t="n">
        <x:v>26</x:v>
      </x:c>
      <x:c r="J342" s="18" t="n">
        <x:v>168</x:v>
      </x:c>
      <x:c r="K342" s="18" t="n">
        <x:v>26</x:v>
      </x:c>
      <x:c r="L342" s="18" t="n">
        <x:v>21</x:v>
      </x:c>
      <x:c r="M342" s="18" t="n">
        <x:v>26</x:v>
      </x:c>
    </x:row>
    <x:row r="343">
      <x:c r="A343" s="22" t="str">
        <x:v>500104022</x:v>
      </x:c>
      <x:c r="B343" s="17" t="str">
        <x:v>士林區</x:v>
      </x:c>
      <x:c r="C343" s="17" t="str">
        <x:v>至誠路一段305巷口</x:v>
      </x:c>
      <x:c r="D343" s="18" t="n">
        <x:v>26</x:v>
      </x:c>
      <x:c r="E343" s="18" t="n">
        <x:v>26</x:v>
      </x:c>
      <x:c r="F343" s="18" t="n">
        <x:v>601</x:v>
      </x:c>
      <x:c r="G343" s="18" t="n">
        <x:v>26</x:v>
      </x:c>
      <x:c r="H343" s="18" t="n">
        <x:v>61</x:v>
      </x:c>
      <x:c r="I343" s="18" t="n">
        <x:v>26</x:v>
      </x:c>
      <x:c r="J343" s="18" t="n">
        <x:v>92</x:v>
      </x:c>
      <x:c r="K343" s="18" t="n">
        <x:v>26</x:v>
      </x:c>
      <x:c r="L343" s="18" t="n">
        <x:v>18</x:v>
      </x:c>
      <x:c r="M343" s="18" t="n">
        <x:v>26</x:v>
      </x:c>
    </x:row>
    <x:row r="344">
      <x:c r="A344" s="22" t="str">
        <x:v>500104023</x:v>
      </x:c>
      <x:c r="B344" s="17" t="str">
        <x:v>士林區</x:v>
      </x:c>
      <x:c r="C344" s="17" t="str">
        <x:v>華齡公園</x:v>
      </x:c>
      <x:c r="D344" s="18" t="n">
        <x:v>26</x:v>
      </x:c>
      <x:c r="E344" s="18" t="n">
        <x:v>26</x:v>
      </x:c>
      <x:c r="F344" s="18" t="n">
        <x:v>1049</x:v>
      </x:c>
      <x:c r="G344" s="18" t="n">
        <x:v>26</x:v>
      </x:c>
      <x:c r="H344" s="18" t="n">
        <x:v>81</x:v>
      </x:c>
      <x:c r="I344" s="18" t="n">
        <x:v>26</x:v>
      </x:c>
      <x:c r="J344" s="18" t="n">
        <x:v>163</x:v>
      </x:c>
      <x:c r="K344" s="18" t="n">
        <x:v>26</x:v>
      </x:c>
      <x:c r="L344" s="18" t="n">
        <x:v>26</x:v>
      </x:c>
      <x:c r="M344" s="18" t="n">
        <x:v>26</x:v>
      </x:c>
    </x:row>
    <x:row r="345">
      <x:c r="A345" s="22" t="str">
        <x:v>500104024</x:v>
      </x:c>
      <x:c r="B345" s="17" t="str">
        <x:v>士林區</x:v>
      </x:c>
      <x:c r="C345" s="17" t="str">
        <x:v>前港公園(福德宮)</x:v>
      </x:c>
      <x:c r="D345" s="18" t="n">
        <x:v>26</x:v>
      </x:c>
      <x:c r="E345" s="18" t="n">
        <x:v>26</x:v>
      </x:c>
      <x:c r="F345" s="18" t="n">
        <x:v>423</x:v>
      </x:c>
      <x:c r="G345" s="18" t="n">
        <x:v>26</x:v>
      </x:c>
      <x:c r="H345" s="18" t="n">
        <x:v>53</x:v>
      </x:c>
      <x:c r="I345" s="18" t="n">
        <x:v>26</x:v>
      </x:c>
      <x:c r="J345" s="18" t="n">
        <x:v>110</x:v>
      </x:c>
      <x:c r="K345" s="18" t="n">
        <x:v>26</x:v>
      </x:c>
      <x:c r="L345" s="18" t="n">
        <x:v>25</x:v>
      </x:c>
      <x:c r="M345" s="18" t="n">
        <x:v>26</x:v>
      </x:c>
    </x:row>
    <x:row r="346">
      <x:c r="A346" s="22" t="str">
        <x:v>500104025</x:v>
      </x:c>
      <x:c r="B346" s="17" t="str">
        <x:v>士林區</x:v>
      </x:c>
      <x:c r="C346" s="17" t="str">
        <x:v>華齡街185巷口</x:v>
      </x:c>
      <x:c r="D346" s="18" t="n">
        <x:v>26</x:v>
      </x:c>
      <x:c r="E346" s="18" t="n">
        <x:v>26</x:v>
      </x:c>
      <x:c r="F346" s="18" t="n">
        <x:v>532</x:v>
      </x:c>
      <x:c r="G346" s="18" t="n">
        <x:v>26</x:v>
      </x:c>
      <x:c r="H346" s="18" t="n">
        <x:v>49</x:v>
      </x:c>
      <x:c r="I346" s="18" t="n">
        <x:v>26</x:v>
      </x:c>
      <x:c r="J346" s="18" t="n">
        <x:v>96</x:v>
      </x:c>
      <x:c r="K346" s="18" t="n">
        <x:v>26</x:v>
      </x:c>
      <x:c r="L346" s="18" t="n">
        <x:v>17</x:v>
      </x:c>
      <x:c r="M346" s="18" t="n">
        <x:v>26</x:v>
      </x:c>
    </x:row>
    <x:row r="347">
      <x:c r="A347" s="22" t="str">
        <x:v>500104026</x:v>
      </x:c>
      <x:c r="B347" s="17" t="str">
        <x:v>士林區</x:v>
      </x:c>
      <x:c r="C347" s="17" t="str">
        <x:v>前港公園(前港街)</x:v>
      </x:c>
      <x:c r="D347" s="18" t="n">
        <x:v>26</x:v>
      </x:c>
      <x:c r="E347" s="18" t="n">
        <x:v>26</x:v>
      </x:c>
      <x:c r="F347" s="18" t="n">
        <x:v>322</x:v>
      </x:c>
      <x:c r="G347" s="18" t="n">
        <x:v>26</x:v>
      </x:c>
      <x:c r="H347" s="18" t="n">
        <x:v>33</x:v>
      </x:c>
      <x:c r="I347" s="18" t="n">
        <x:v>26</x:v>
      </x:c>
      <x:c r="J347" s="18" t="n">
        <x:v>115</x:v>
      </x:c>
      <x:c r="K347" s="18" t="n">
        <x:v>26</x:v>
      </x:c>
      <x:c r="L347" s="18" t="n">
        <x:v>21</x:v>
      </x:c>
      <x:c r="M347" s="18" t="n">
        <x:v>26</x:v>
      </x:c>
    </x:row>
    <x:row r="348">
      <x:c r="A348" s="22" t="str">
        <x:v>500104027</x:v>
      </x:c>
      <x:c r="B348" s="17" t="str">
        <x:v>士林區</x:v>
      </x:c>
      <x:c r="C348" s="17" t="str">
        <x:v>百齡高中</x:v>
      </x:c>
      <x:c r="D348" s="18" t="n">
        <x:v>26</x:v>
      </x:c>
      <x:c r="E348" s="18" t="n">
        <x:v>26</x:v>
      </x:c>
      <x:c r="F348" s="18" t="n">
        <x:v>99</x:v>
      </x:c>
      <x:c r="G348" s="18" t="n">
        <x:v>26</x:v>
      </x:c>
      <x:c r="H348" s="18" t="n">
        <x:v>18</x:v>
      </x:c>
      <x:c r="I348" s="18" t="n">
        <x:v>26</x:v>
      </x:c>
      <x:c r="J348" s="18" t="n">
        <x:v>729</x:v>
      </x:c>
      <x:c r="K348" s="18" t="n">
        <x:v>26</x:v>
      </x:c>
      <x:c r="L348" s="18" t="n">
        <x:v>64</x:v>
      </x:c>
      <x:c r="M348" s="18" t="n">
        <x:v>26</x:v>
      </x:c>
    </x:row>
    <x:row r="349">
      <x:c r="A349" s="22" t="str">
        <x:v>500104028</x:v>
      </x:c>
      <x:c r="B349" s="17" t="str">
        <x:v>士林區</x:v>
      </x:c>
      <x:c r="C349" s="17" t="str">
        <x:v>捷運芝山站(2號出口)</x:v>
      </x:c>
      <x:c r="D349" s="18" t="n">
        <x:v>26</x:v>
      </x:c>
      <x:c r="E349" s="18" t="n">
        <x:v>26</x:v>
      </x:c>
      <x:c r="F349" s="18" t="n">
        <x:v>193</x:v>
      </x:c>
      <x:c r="G349" s="18" t="n">
        <x:v>26</x:v>
      </x:c>
      <x:c r="H349" s="18" t="n">
        <x:v>28</x:v>
      </x:c>
      <x:c r="I349" s="18" t="n">
        <x:v>26</x:v>
      </x:c>
      <x:c r="J349" s="18" t="n">
        <x:v>419</x:v>
      </x:c>
      <x:c r="K349" s="18" t="n">
        <x:v>26</x:v>
      </x:c>
      <x:c r="L349" s="18" t="n">
        <x:v>77</x:v>
      </x:c>
      <x:c r="M349" s="18" t="n">
        <x:v>26</x:v>
      </x:c>
    </x:row>
    <x:row r="350">
      <x:c r="A350" s="22" t="str">
        <x:v>500104029</x:v>
      </x:c>
      <x:c r="B350" s="17" t="str">
        <x:v>士林區</x:v>
      </x:c>
      <x:c r="C350" s="17" t="str">
        <x:v>臺灣戲曲中心</x:v>
      </x:c>
      <x:c r="D350" s="18" t="n">
        <x:v>26</x:v>
      </x:c>
      <x:c r="E350" s="18" t="n">
        <x:v>26</x:v>
      </x:c>
      <x:c r="F350" s="18" t="n">
        <x:v>203</x:v>
      </x:c>
      <x:c r="G350" s="18" t="n">
        <x:v>26</x:v>
      </x:c>
      <x:c r="H350" s="18" t="n">
        <x:v>33</x:v>
      </x:c>
      <x:c r="I350" s="18" t="n">
        <x:v>26</x:v>
      </x:c>
      <x:c r="J350" s="18" t="n">
        <x:v>630</x:v>
      </x:c>
      <x:c r="K350" s="18" t="n">
        <x:v>26</x:v>
      </x:c>
      <x:c r="L350" s="18" t="n">
        <x:v>83</x:v>
      </x:c>
      <x:c r="M350" s="18" t="n">
        <x:v>26</x:v>
      </x:c>
    </x:row>
    <x:row r="351">
      <x:c r="A351" s="22" t="str">
        <x:v>500104030</x:v>
      </x:c>
      <x:c r="B351" s="17" t="str">
        <x:v>士林區</x:v>
      </x:c>
      <x:c r="C351" s="17" t="str">
        <x:v>捷運劍潭站(2號出口)</x:v>
      </x:c>
      <x:c r="D351" s="18" t="n">
        <x:v>26</x:v>
      </x:c>
      <x:c r="E351" s="18" t="n">
        <x:v>26</x:v>
      </x:c>
      <x:c r="F351" s="18" t="n">
        <x:v>110</x:v>
      </x:c>
      <x:c r="G351" s="18" t="n">
        <x:v>26</x:v>
      </x:c>
      <x:c r="H351" s="18" t="n">
        <x:v>23</x:v>
      </x:c>
      <x:c r="I351" s="18" t="n">
        <x:v>26</x:v>
      </x:c>
      <x:c r="J351" s="18" t="n">
        <x:v>867</x:v>
      </x:c>
      <x:c r="K351" s="18" t="n">
        <x:v>26</x:v>
      </x:c>
      <x:c r="L351" s="18" t="n">
        <x:v>121</x:v>
      </x:c>
      <x:c r="M351" s="18" t="n">
        <x:v>26</x:v>
      </x:c>
    </x:row>
    <x:row r="352">
      <x:c r="A352" s="22" t="str">
        <x:v>500104031</x:v>
      </x:c>
      <x:c r="B352" s="17" t="str">
        <x:v>士林區</x:v>
      </x:c>
      <x:c r="C352" s="17" t="str">
        <x:v>劍潭基河路口</x:v>
      </x:c>
      <x:c r="D352" s="18" t="n">
        <x:v>26</x:v>
      </x:c>
      <x:c r="E352" s="18" t="n">
        <x:v>26</x:v>
      </x:c>
      <x:c r="F352" s="18" t="n">
        <x:v>530</x:v>
      </x:c>
      <x:c r="G352" s="18" t="n">
        <x:v>26</x:v>
      </x:c>
      <x:c r="H352" s="18" t="n">
        <x:v>94</x:v>
      </x:c>
      <x:c r="I352" s="18" t="n">
        <x:v>26</x:v>
      </x:c>
      <x:c r="J352" s="18" t="n">
        <x:v>3618</x:v>
      </x:c>
      <x:c r="K352" s="18" t="n">
        <x:v>26</x:v>
      </x:c>
      <x:c r="L352" s="18" t="n">
        <x:v>192</x:v>
      </x:c>
      <x:c r="M352" s="18" t="n">
        <x:v>26</x:v>
      </x:c>
    </x:row>
    <x:row r="353">
      <x:c r="A353" s="22" t="str">
        <x:v>500104032</x:v>
      </x:c>
      <x:c r="B353" s="17" t="str">
        <x:v>士林區</x:v>
      </x:c>
      <x:c r="C353" s="17" t="str">
        <x:v>志成公園</x:v>
      </x:c>
      <x:c r="D353" s="18" t="n">
        <x:v>26</x:v>
      </x:c>
      <x:c r="E353" s="18" t="n">
        <x:v>26</x:v>
      </x:c>
      <x:c r="F353" s="18" t="n">
        <x:v>394</x:v>
      </x:c>
      <x:c r="G353" s="18" t="n">
        <x:v>26</x:v>
      </x:c>
      <x:c r="H353" s="18" t="n">
        <x:v>48</x:v>
      </x:c>
      <x:c r="I353" s="18" t="n">
        <x:v>26</x:v>
      </x:c>
      <x:c r="J353" s="18" t="n">
        <x:v>158</x:v>
      </x:c>
      <x:c r="K353" s="18" t="n">
        <x:v>26</x:v>
      </x:c>
      <x:c r="L353" s="18" t="n">
        <x:v>24</x:v>
      </x:c>
      <x:c r="M353" s="18" t="n">
        <x:v>26</x:v>
      </x:c>
    </x:row>
    <x:row r="354">
      <x:c r="A354" s="22" t="str">
        <x:v>500104033</x:v>
      </x:c>
      <x:c r="B354" s="17" t="str">
        <x:v>士林區</x:v>
      </x:c>
      <x:c r="C354" s="17" t="str">
        <x:v>福林國小</x:v>
      </x:c>
      <x:c r="D354" s="18" t="n">
        <x:v>26</x:v>
      </x:c>
      <x:c r="E354" s="18" t="n">
        <x:v>26</x:v>
      </x:c>
      <x:c r="F354" s="18" t="n">
        <x:v>521</x:v>
      </x:c>
      <x:c r="G354" s="18" t="n">
        <x:v>26</x:v>
      </x:c>
      <x:c r="H354" s="18" t="n">
        <x:v>42</x:v>
      </x:c>
      <x:c r="I354" s="18" t="n">
        <x:v>26</x:v>
      </x:c>
      <x:c r="J354" s="18" t="n">
        <x:v>67</x:v>
      </x:c>
      <x:c r="K354" s="18" t="n">
        <x:v>26</x:v>
      </x:c>
      <x:c r="L354" s="18" t="n">
        <x:v>39</x:v>
      </x:c>
      <x:c r="M354" s="18" t="n">
        <x:v>26</x:v>
      </x:c>
    </x:row>
    <x:row r="355">
      <x:c r="A355" s="22" t="str">
        <x:v>500104034</x:v>
      </x:c>
      <x:c r="B355" s="17" t="str">
        <x:v>士林區</x:v>
      </x:c>
      <x:c r="C355" s="17" t="str">
        <x:v>中山中正路口</x:v>
      </x:c>
      <x:c r="D355" s="18" t="n">
        <x:v>26</x:v>
      </x:c>
      <x:c r="E355" s="18" t="n">
        <x:v>26</x:v>
      </x:c>
      <x:c r="F355" s="18" t="n">
        <x:v>180</x:v>
      </x:c>
      <x:c r="G355" s="18" t="n">
        <x:v>26</x:v>
      </x:c>
      <x:c r="H355" s="18" t="n">
        <x:v>39</x:v>
      </x:c>
      <x:c r="I355" s="18" t="n">
        <x:v>26</x:v>
      </x:c>
      <x:c r="J355" s="18" t="n">
        <x:v>291</x:v>
      </x:c>
      <x:c r="K355" s="18" t="n">
        <x:v>26</x:v>
      </x:c>
      <x:c r="L355" s="18" t="n">
        <x:v>39</x:v>
      </x:c>
      <x:c r="M355" s="18" t="n">
        <x:v>26</x:v>
      </x:c>
    </x:row>
    <x:row r="356">
      <x:c r="A356" s="22" t="str">
        <x:v>500104035</x:v>
      </x:c>
      <x:c r="B356" s="17" t="str">
        <x:v>士林區</x:v>
      </x:c>
      <x:c r="C356" s="17" t="str">
        <x:v>士林運動中心</x:v>
      </x:c>
      <x:c r="D356" s="18" t="n">
        <x:v>26</x:v>
      </x:c>
      <x:c r="E356" s="18" t="n">
        <x:v>26</x:v>
      </x:c>
      <x:c r="F356" s="18" t="n">
        <x:v>296</x:v>
      </x:c>
      <x:c r="G356" s="18" t="n">
        <x:v>26</x:v>
      </x:c>
      <x:c r="H356" s="18" t="n">
        <x:v>90</x:v>
      </x:c>
      <x:c r="I356" s="18" t="n">
        <x:v>26</x:v>
      </x:c>
      <x:c r="J356" s="18" t="n">
        <x:v>426</x:v>
      </x:c>
      <x:c r="K356" s="18" t="n">
        <x:v>26</x:v>
      </x:c>
      <x:c r="L356" s="18" t="n">
        <x:v>78</x:v>
      </x:c>
      <x:c r="M356" s="18" t="n">
        <x:v>26</x:v>
      </x:c>
    </x:row>
    <x:row r="357">
      <x:c r="A357" s="22" t="str">
        <x:v>500104036</x:v>
      </x:c>
      <x:c r="B357" s="17" t="str">
        <x:v>士林區</x:v>
      </x:c>
      <x:c r="C357" s="17" t="str">
        <x:v>陽明高中</x:v>
      </x:c>
      <x:c r="D357" s="18" t="n">
        <x:v>26</x:v>
      </x:c>
      <x:c r="E357" s="18" t="n">
        <x:v>26</x:v>
      </x:c>
      <x:c r="F357" s="18" t="n">
        <x:v>485</x:v>
      </x:c>
      <x:c r="G357" s="18" t="n">
        <x:v>26</x:v>
      </x:c>
      <x:c r="H357" s="18" t="n">
        <x:v>60</x:v>
      </x:c>
      <x:c r="I357" s="18" t="n">
        <x:v>26</x:v>
      </x:c>
      <x:c r="J357" s="18" t="n">
        <x:v>1035</x:v>
      </x:c>
      <x:c r="K357" s="18" t="n">
        <x:v>26</x:v>
      </x:c>
      <x:c r="L357" s="18" t="n">
        <x:v>95</x:v>
      </x:c>
      <x:c r="M357" s="18" t="n">
        <x:v>26</x:v>
      </x:c>
    </x:row>
    <x:row r="358">
      <x:c r="A358" s="22" t="str">
        <x:v>500104037</x:v>
      </x:c>
      <x:c r="B358" s="17" t="str">
        <x:v>士林區</x:v>
      </x:c>
      <x:c r="C358" s="17" t="str">
        <x:v>兒童新樂園</x:v>
      </x:c>
      <x:c r="D358" s="18" t="n">
        <x:v>26</x:v>
      </x:c>
      <x:c r="E358" s="18" t="n">
        <x:v>26</x:v>
      </x:c>
      <x:c r="F358" s="18" t="n">
        <x:v>110</x:v>
      </x:c>
      <x:c r="G358" s="18" t="n">
        <x:v>26</x:v>
      </x:c>
      <x:c r="H358" s="18" t="n">
        <x:v>24</x:v>
      </x:c>
      <x:c r="I358" s="18" t="n">
        <x:v>26</x:v>
      </x:c>
      <x:c r="J358" s="18" t="n">
        <x:v>467</x:v>
      </x:c>
      <x:c r="K358" s="18" t="n">
        <x:v>26</x:v>
      </x:c>
      <x:c r="L358" s="18" t="n">
        <x:v>56</x:v>
      </x:c>
      <x:c r="M358" s="18" t="n">
        <x:v>26</x:v>
      </x:c>
    </x:row>
    <x:row r="359">
      <x:c r="A359" s="22" t="str">
        <x:v>500104038</x:v>
      </x:c>
      <x:c r="B359" s="17" t="str">
        <x:v>士林區</x:v>
      </x:c>
      <x:c r="C359" s="17" t="str">
        <x:v>臺北市立天文館</x:v>
      </x:c>
      <x:c r="D359" s="18" t="n">
        <x:v>26</x:v>
      </x:c>
      <x:c r="E359" s="18" t="n">
        <x:v>26</x:v>
      </x:c>
      <x:c r="F359" s="18" t="n">
        <x:v>280</x:v>
      </x:c>
      <x:c r="G359" s="18" t="n">
        <x:v>26</x:v>
      </x:c>
      <x:c r="H359" s="18" t="n">
        <x:v>39</x:v>
      </x:c>
      <x:c r="I359" s="18" t="n">
        <x:v>26</x:v>
      </x:c>
      <x:c r="J359" s="18" t="n">
        <x:v>1313</x:v>
      </x:c>
      <x:c r="K359" s="18" t="n">
        <x:v>26</x:v>
      </x:c>
      <x:c r="L359" s="18" t="n">
        <x:v>102</x:v>
      </x:c>
      <x:c r="M359" s="18" t="n">
        <x:v>26</x:v>
      </x:c>
    </x:row>
    <x:row r="360">
      <x:c r="A360" s="22" t="str">
        <x:v>500104039</x:v>
      </x:c>
      <x:c r="B360" s="17" t="str">
        <x:v>士林區</x:v>
      </x:c>
      <x:c r="C360" s="17" t="str">
        <x:v>華聲公園</x:v>
      </x:c>
      <x:c r="D360" s="18" t="n">
        <x:v>26</x:v>
      </x:c>
      <x:c r="E360" s="18" t="n">
        <x:v>26</x:v>
      </x:c>
      <x:c r="F360" s="18" t="n">
        <x:v>432</x:v>
      </x:c>
      <x:c r="G360" s="18" t="n">
        <x:v>26</x:v>
      </x:c>
      <x:c r="H360" s="18" t="n">
        <x:v>64</x:v>
      </x:c>
      <x:c r="I360" s="18" t="n">
        <x:v>26</x:v>
      </x:c>
      <x:c r="J360" s="18" t="n">
        <x:v>354</x:v>
      </x:c>
      <x:c r="K360" s="18" t="n">
        <x:v>26</x:v>
      </x:c>
      <x:c r="L360" s="18" t="n">
        <x:v>39</x:v>
      </x:c>
      <x:c r="M360" s="18" t="n">
        <x:v>26</x:v>
      </x:c>
    </x:row>
    <x:row r="361">
      <x:c r="A361" s="22" t="str">
        <x:v>500104040</x:v>
      </x:c>
      <x:c r="B361" s="17" t="str">
        <x:v>士林區</x:v>
      </x:c>
      <x:c r="C361" s="17" t="str">
        <x:v>福林公園</x:v>
      </x:c>
      <x:c r="D361" s="18" t="n">
        <x:v>26</x:v>
      </x:c>
      <x:c r="E361" s="18" t="n">
        <x:v>26</x:v>
      </x:c>
      <x:c r="F361" s="18" t="n">
        <x:v>209</x:v>
      </x:c>
      <x:c r="G361" s="18" t="n">
        <x:v>26</x:v>
      </x:c>
      <x:c r="H361" s="18" t="n">
        <x:v>30</x:v>
      </x:c>
      <x:c r="I361" s="18" t="n">
        <x:v>26</x:v>
      </x:c>
      <x:c r="J361" s="18" t="n">
        <x:v>322</x:v>
      </x:c>
      <x:c r="K361" s="18" t="n">
        <x:v>26</x:v>
      </x:c>
      <x:c r="L361" s="18" t="n">
        <x:v>31</x:v>
      </x:c>
      <x:c r="M361" s="18" t="n">
        <x:v>26</x:v>
      </x:c>
    </x:row>
    <x:row r="362">
      <x:c r="A362" s="22" t="str">
        <x:v>500104041</x:v>
      </x:c>
      <x:c r="B362" s="17" t="str">
        <x:v>士林區</x:v>
      </x:c>
      <x:c r="C362" s="17" t="str">
        <x:v>捷運士林站(2號出口)</x:v>
      </x:c>
      <x:c r="D362" s="18" t="n">
        <x:v>26</x:v>
      </x:c>
      <x:c r="E362" s="18" t="n">
        <x:v>26</x:v>
      </x:c>
      <x:c r="F362" s="18" t="n">
        <x:v>214</x:v>
      </x:c>
      <x:c r="G362" s="18" t="n">
        <x:v>26</x:v>
      </x:c>
      <x:c r="H362" s="18" t="n">
        <x:v>67</x:v>
      </x:c>
      <x:c r="I362" s="18" t="n">
        <x:v>26</x:v>
      </x:c>
      <x:c r="J362" s="18" t="n">
        <x:v>459</x:v>
      </x:c>
      <x:c r="K362" s="18" t="n">
        <x:v>26</x:v>
      </x:c>
      <x:c r="L362" s="18" t="n">
        <x:v>90</x:v>
      </x:c>
      <x:c r="M362" s="18" t="n">
        <x:v>26</x:v>
      </x:c>
    </x:row>
    <x:row r="363">
      <x:c r="A363" s="22" t="str">
        <x:v>500104042</x:v>
      </x:c>
      <x:c r="B363" s="17" t="str">
        <x:v>士林區</x:v>
      </x:c>
      <x:c r="C363" s="17" t="str">
        <x:v>銘傳大學</x:v>
      </x:c>
      <x:c r="D363" s="18" t="n">
        <x:v>26</x:v>
      </x:c>
      <x:c r="E363" s="18" t="n">
        <x:v>26</x:v>
      </x:c>
      <x:c r="F363" s="18" t="n">
        <x:v>142</x:v>
      </x:c>
      <x:c r="G363" s="18" t="n">
        <x:v>26</x:v>
      </x:c>
      <x:c r="H363" s="18" t="n">
        <x:v>42</x:v>
      </x:c>
      <x:c r="I363" s="18" t="n">
        <x:v>26</x:v>
      </x:c>
      <x:c r="J363" s="18" t="n">
        <x:v>542</x:v>
      </x:c>
      <x:c r="K363" s="18" t="n">
        <x:v>26</x:v>
      </x:c>
      <x:c r="L363" s="18" t="n">
        <x:v>84</x:v>
      </x:c>
      <x:c r="M363" s="18" t="n">
        <x:v>26</x:v>
      </x:c>
    </x:row>
    <x:row r="364">
      <x:c r="A364" s="22" t="str">
        <x:v>500104043</x:v>
      </x:c>
      <x:c r="B364" s="17" t="str">
        <x:v>士林區</x:v>
      </x:c>
      <x:c r="C364" s="17" t="str">
        <x:v>士林高商</x:v>
      </x:c>
      <x:c r="D364" s="18" t="n">
        <x:v>26</x:v>
      </x:c>
      <x:c r="E364" s="18" t="n">
        <x:v>26</x:v>
      </x:c>
      <x:c r="F364" s="18" t="n">
        <x:v>181</x:v>
      </x:c>
      <x:c r="G364" s="18" t="n">
        <x:v>26</x:v>
      </x:c>
      <x:c r="H364" s="18" t="n">
        <x:v>33</x:v>
      </x:c>
      <x:c r="I364" s="18" t="n">
        <x:v>26</x:v>
      </x:c>
      <x:c r="J364" s="18" t="n">
        <x:v>1372</x:v>
      </x:c>
      <x:c r="K364" s="18" t="n">
        <x:v>26</x:v>
      </x:c>
      <x:c r="L364" s="18" t="n">
        <x:v>69</x:v>
      </x:c>
      <x:c r="M364" s="18" t="n">
        <x:v>26</x:v>
      </x:c>
    </x:row>
    <x:row r="365">
      <x:c r="A365" s="22" t="str">
        <x:v>500104044</x:v>
      </x:c>
      <x:c r="B365" s="17" t="str">
        <x:v>士林區</x:v>
      </x:c>
      <x:c r="C365" s="17" t="str">
        <x:v>蘭雅公園</x:v>
      </x:c>
      <x:c r="D365" s="18" t="n">
        <x:v>26</x:v>
      </x:c>
      <x:c r="E365" s="18" t="n">
        <x:v>26</x:v>
      </x:c>
      <x:c r="F365" s="18" t="n">
        <x:v>262</x:v>
      </x:c>
      <x:c r="G365" s="18" t="n">
        <x:v>26</x:v>
      </x:c>
      <x:c r="H365" s="18" t="n">
        <x:v>21</x:v>
      </x:c>
      <x:c r="I365" s="18" t="n">
        <x:v>26</x:v>
      </x:c>
      <x:c r="J365" s="18" t="n">
        <x:v>350</x:v>
      </x:c>
      <x:c r="K365" s="18" t="n">
        <x:v>26</x:v>
      </x:c>
      <x:c r="L365" s="18" t="n">
        <x:v>57</x:v>
      </x:c>
      <x:c r="M365" s="18" t="n">
        <x:v>26</x:v>
      </x:c>
    </x:row>
    <x:row r="366">
      <x:c r="A366" s="22" t="str">
        <x:v>500104045</x:v>
      </x:c>
      <x:c r="B366" s="17" t="str">
        <x:v>士林區</x:v>
      </x:c>
      <x:c r="C366" s="17" t="str">
        <x:v>聯合醫院陽明院區</x:v>
      </x:c>
      <x:c r="D366" s="18" t="n">
        <x:v>26</x:v>
      </x:c>
      <x:c r="E366" s="18" t="n">
        <x:v>26</x:v>
      </x:c>
      <x:c r="F366" s="18" t="n">
        <x:v>116</x:v>
      </x:c>
      <x:c r="G366" s="18" t="n">
        <x:v>26</x:v>
      </x:c>
      <x:c r="H366" s="18" t="n">
        <x:v>34</x:v>
      </x:c>
      <x:c r="I366" s="18" t="n">
        <x:v>26</x:v>
      </x:c>
      <x:c r="J366" s="18" t="n">
        <x:v>491</x:v>
      </x:c>
      <x:c r="K366" s="18" t="n">
        <x:v>26</x:v>
      </x:c>
      <x:c r="L366" s="18" t="n">
        <x:v>28</x:v>
      </x:c>
      <x:c r="M366" s="18" t="n">
        <x:v>26</x:v>
      </x:c>
    </x:row>
    <x:row r="367">
      <x:c r="A367" s="22" t="str">
        <x:v>500104046</x:v>
      </x:c>
      <x:c r="B367" s="17" t="str">
        <x:v>士林區</x:v>
      </x:c>
      <x:c r="C367" s="17" t="str">
        <x:v>捷運芝山站(1號出口)</x:v>
      </x:c>
      <x:c r="D367" s="18" t="n">
        <x:v>26</x:v>
      </x:c>
      <x:c r="E367" s="18" t="n">
        <x:v>26</x:v>
      </x:c>
      <x:c r="F367" s="18" t="n">
        <x:v>690</x:v>
      </x:c>
      <x:c r="G367" s="18" t="n">
        <x:v>26</x:v>
      </x:c>
      <x:c r="H367" s="18" t="n">
        <x:v>47</x:v>
      </x:c>
      <x:c r="I367" s="18" t="n">
        <x:v>26</x:v>
      </x:c>
      <x:c r="J367" s="18" t="n">
        <x:v>220</x:v>
      </x:c>
      <x:c r="K367" s="18" t="n">
        <x:v>26</x:v>
      </x:c>
      <x:c r="L367" s="18" t="n">
        <x:v>43</x:v>
      </x:c>
      <x:c r="M367" s="18" t="n">
        <x:v>26</x:v>
      </x:c>
    </x:row>
    <x:row r="368">
      <x:c r="A368" s="22" t="str">
        <x:v>500104047</x:v>
      </x:c>
      <x:c r="B368" s="17" t="str">
        <x:v>士林區</x:v>
      </x:c>
      <x:c r="C368" s="17" t="str">
        <x:v>至誠公園</x:v>
      </x:c>
      <x:c r="D368" s="18" t="n">
        <x:v>26</x:v>
      </x:c>
      <x:c r="E368" s="18" t="n">
        <x:v>26</x:v>
      </x:c>
      <x:c r="F368" s="18" t="n">
        <x:v>227</x:v>
      </x:c>
      <x:c r="G368" s="18" t="n">
        <x:v>26</x:v>
      </x:c>
      <x:c r="H368" s="18" t="n">
        <x:v>76</x:v>
      </x:c>
      <x:c r="I368" s="18" t="n">
        <x:v>26</x:v>
      </x:c>
      <x:c r="J368" s="18" t="n">
        <x:v>223</x:v>
      </x:c>
      <x:c r="K368" s="18" t="n">
        <x:v>26</x:v>
      </x:c>
      <x:c r="L368" s="18" t="n">
        <x:v>57</x:v>
      </x:c>
      <x:c r="M368" s="18" t="n">
        <x:v>26</x:v>
      </x:c>
    </x:row>
    <x:row r="369">
      <x:c r="A369" s="22" t="str">
        <x:v>500104048</x:v>
      </x:c>
      <x:c r="B369" s="17" t="str">
        <x:v>士林區</x:v>
      </x:c>
      <x:c r="C369" s="17" t="str">
        <x:v>原住民文化主題公園</x:v>
      </x:c>
      <x:c r="D369" s="18" t="n">
        <x:v>26</x:v>
      </x:c>
      <x:c r="E369" s="18" t="n">
        <x:v>26</x:v>
      </x:c>
      <x:c r="F369" s="18" t="n">
        <x:v>102</x:v>
      </x:c>
      <x:c r="G369" s="18" t="n">
        <x:v>26</x:v>
      </x:c>
      <x:c r="H369" s="18" t="n">
        <x:v>71</x:v>
      </x:c>
      <x:c r="I369" s="18" t="n">
        <x:v>26</x:v>
      </x:c>
      <x:c r="J369" s="18" t="n">
        <x:v>261</x:v>
      </x:c>
      <x:c r="K369" s="18" t="n">
        <x:v>26</x:v>
      </x:c>
      <x:c r="L369" s="18" t="n">
        <x:v>103</x:v>
      </x:c>
      <x:c r="M369" s="18" t="n">
        <x:v>26</x:v>
      </x:c>
    </x:row>
    <x:row r="370">
      <x:c r="A370" s="22" t="str">
        <x:v>500104049</x:v>
      </x:c>
      <x:c r="B370" s="17" t="str">
        <x:v>士林區</x:v>
      </x:c>
      <x:c r="C370" s="17" t="str">
        <x:v>通河東街2段10巷口</x:v>
      </x:c>
      <x:c r="D370" s="18" t="n">
        <x:v>26</x:v>
      </x:c>
      <x:c r="E370" s="18" t="n">
        <x:v>26</x:v>
      </x:c>
      <x:c r="F370" s="18" t="n">
        <x:v>320</x:v>
      </x:c>
      <x:c r="G370" s="18" t="n">
        <x:v>26</x:v>
      </x:c>
      <x:c r="H370" s="18" t="n">
        <x:v>100</x:v>
      </x:c>
      <x:c r="I370" s="18" t="n">
        <x:v>26</x:v>
      </x:c>
      <x:c r="J370" s="18" t="n">
        <x:v>189</x:v>
      </x:c>
      <x:c r="K370" s="18" t="n">
        <x:v>26</x:v>
      </x:c>
      <x:c r="L370" s="18" t="n">
        <x:v>45</x:v>
      </x:c>
      <x:c r="M370" s="18" t="n">
        <x:v>26</x:v>
      </x:c>
    </x:row>
    <x:row r="371">
      <x:c r="A371" s="22" t="str">
        <x:v>500104050</x:v>
      </x:c>
      <x:c r="B371" s="17" t="str">
        <x:v>士林區</x:v>
      </x:c>
      <x:c r="C371" s="17" t="str">
        <x:v>梅林新村</x:v>
      </x:c>
      <x:c r="D371" s="18" t="n">
        <x:v>26</x:v>
      </x:c>
      <x:c r="E371" s="18" t="n">
        <x:v>26</x:v>
      </x:c>
      <x:c r="F371" s="18" t="n">
        <x:v>241</x:v>
      </x:c>
      <x:c r="G371" s="18" t="n">
        <x:v>26</x:v>
      </x:c>
      <x:c r="H371" s="18" t="n">
        <x:v>21</x:v>
      </x:c>
      <x:c r="I371" s="18" t="n">
        <x:v>26</x:v>
      </x:c>
      <x:c r="J371" s="18" t="n">
        <x:v>335</x:v>
      </x:c>
      <x:c r="K371" s="18" t="n">
        <x:v>26</x:v>
      </x:c>
      <x:c r="L371" s="18" t="n">
        <x:v>38</x:v>
      </x:c>
      <x:c r="M371" s="18" t="n">
        <x:v>26</x:v>
      </x:c>
    </x:row>
    <x:row r="372">
      <x:c r="A372" s="22" t="str">
        <x:v>500104051</x:v>
      </x:c>
      <x:c r="B372" s="17" t="str">
        <x:v>士林區</x:v>
      </x:c>
      <x:c r="C372" s="17" t="str">
        <x:v>延平北中正路口</x:v>
      </x:c>
      <x:c r="D372" s="18" t="n">
        <x:v>26</x:v>
      </x:c>
      <x:c r="E372" s="18" t="n">
        <x:v>26</x:v>
      </x:c>
      <x:c r="F372" s="18" t="n">
        <x:v>547</x:v>
      </x:c>
      <x:c r="G372" s="18" t="n">
        <x:v>26</x:v>
      </x:c>
      <x:c r="H372" s="18" t="n">
        <x:v>143</x:v>
      </x:c>
      <x:c r="I372" s="18" t="n">
        <x:v>26</x:v>
      </x:c>
      <x:c r="J372" s="18" t="n">
        <x:v>360</x:v>
      </x:c>
      <x:c r="K372" s="18" t="n">
        <x:v>26</x:v>
      </x:c>
      <x:c r="L372" s="18" t="n">
        <x:v>75</x:v>
      </x:c>
      <x:c r="M372" s="18" t="n">
        <x:v>26</x:v>
      </x:c>
    </x:row>
    <x:row r="373">
      <x:c r="A373" s="22" t="str">
        <x:v>500104052</x:v>
      </x:c>
      <x:c r="B373" s="17" t="str">
        <x:v>士林區</x:v>
      </x:c>
      <x:c r="C373" s="17" t="str">
        <x:v>重慶北路四段190巷口</x:v>
      </x:c>
      <x:c r="D373" s="18" t="n">
        <x:v>26</x:v>
      </x:c>
      <x:c r="E373" s="18" t="n">
        <x:v>26</x:v>
      </x:c>
      <x:c r="F373" s="18" t="n">
        <x:v>173</x:v>
      </x:c>
      <x:c r="G373" s="18" t="n">
        <x:v>26</x:v>
      </x:c>
      <x:c r="H373" s="18" t="n">
        <x:v>48</x:v>
      </x:c>
      <x:c r="I373" s="18" t="n">
        <x:v>26</x:v>
      </x:c>
      <x:c r="J373" s="18" t="n">
        <x:v>67</x:v>
      </x:c>
      <x:c r="K373" s="18" t="n">
        <x:v>26</x:v>
      </x:c>
      <x:c r="L373" s="18" t="n">
        <x:v>18</x:v>
      </x:c>
      <x:c r="M373" s="18" t="n">
        <x:v>26</x:v>
      </x:c>
    </x:row>
    <x:row r="374">
      <x:c r="A374" s="22" t="str">
        <x:v>500104053</x:v>
      </x:c>
      <x:c r="B374" s="17" t="str">
        <x:v>士林區</x:v>
      </x:c>
      <x:c r="C374" s="17" t="str">
        <x:v>重慶北葫東街口</x:v>
      </x:c>
      <x:c r="D374" s="18" t="n">
        <x:v>26</x:v>
      </x:c>
      <x:c r="E374" s="18" t="n">
        <x:v>26</x:v>
      </x:c>
      <x:c r="F374" s="18" t="n">
        <x:v>48</x:v>
      </x:c>
      <x:c r="G374" s="18" t="n">
        <x:v>26</x:v>
      </x:c>
      <x:c r="H374" s="18" t="n">
        <x:v>14</x:v>
      </x:c>
      <x:c r="I374" s="18" t="n">
        <x:v>26</x:v>
      </x:c>
      <x:c r="J374" s="18" t="n">
        <x:v>31</x:v>
      </x:c>
      <x:c r="K374" s="18" t="n">
        <x:v>26</x:v>
      </x:c>
      <x:c r="L374" s="18" t="n">
        <x:v>11</x:v>
      </x:c>
      <x:c r="M374" s="18" t="n">
        <x:v>26</x:v>
      </x:c>
    </x:row>
    <x:row r="375">
      <x:c r="A375" s="22" t="str">
        <x:v>500104054</x:v>
      </x:c>
      <x:c r="B375" s="17" t="str">
        <x:v>士林區</x:v>
      </x:c>
      <x:c r="C375" s="17" t="str">
        <x:v>葫蘆國小</x:v>
      </x:c>
      <x:c r="D375" s="18" t="n">
        <x:v>26</x:v>
      </x:c>
      <x:c r="E375" s="18" t="n">
        <x:v>26</x:v>
      </x:c>
      <x:c r="F375" s="18" t="n">
        <x:v>501</x:v>
      </x:c>
      <x:c r="G375" s="18" t="n">
        <x:v>26</x:v>
      </x:c>
      <x:c r="H375" s="18" t="n">
        <x:v>84</x:v>
      </x:c>
      <x:c r="I375" s="18" t="n">
        <x:v>26</x:v>
      </x:c>
      <x:c r="J375" s="18" t="n">
        <x:v>274</x:v>
      </x:c>
      <x:c r="K375" s="18" t="n">
        <x:v>26</x:v>
      </x:c>
      <x:c r="L375" s="18" t="n">
        <x:v>46</x:v>
      </x:c>
      <x:c r="M375" s="18" t="n">
        <x:v>26</x:v>
      </x:c>
    </x:row>
    <x:row r="376">
      <x:c r="A376" s="22" t="str">
        <x:v>500104055</x:v>
      </x:c>
      <x:c r="B376" s="17" t="str">
        <x:v>士林區</x:v>
      </x:c>
      <x:c r="C376" s="17" t="str">
        <x:v>士林3號廣場</x:v>
      </x:c>
      <x:c r="D376" s="18" t="n">
        <x:v>26</x:v>
      </x:c>
      <x:c r="E376" s="18" t="n">
        <x:v>26</x:v>
      </x:c>
      <x:c r="F376" s="18" t="n">
        <x:v>138</x:v>
      </x:c>
      <x:c r="G376" s="18" t="n">
        <x:v>26</x:v>
      </x:c>
      <x:c r="H376" s="18" t="n">
        <x:v>28</x:v>
      </x:c>
      <x:c r="I376" s="18" t="n">
        <x:v>26</x:v>
      </x:c>
      <x:c r="J376" s="18" t="n">
        <x:v>1298</x:v>
      </x:c>
      <x:c r="K376" s="18" t="n">
        <x:v>26</x:v>
      </x:c>
      <x:c r="L376" s="18" t="n">
        <x:v>106</x:v>
      </x:c>
      <x:c r="M376" s="18" t="n">
        <x:v>26</x:v>
      </x:c>
    </x:row>
    <x:row r="377">
      <x:c r="A377" s="22" t="str">
        <x:v>500104056</x:v>
      </x:c>
      <x:c r="B377" s="17" t="str">
        <x:v>士林區</x:v>
      </x:c>
      <x:c r="C377" s="17" t="str">
        <x:v>社正公園</x:v>
      </x:c>
      <x:c r="D377" s="18" t="n">
        <x:v>26</x:v>
      </x:c>
      <x:c r="E377" s="18" t="n">
        <x:v>26</x:v>
      </x:c>
      <x:c r="F377" s="18" t="n">
        <x:v>144</x:v>
      </x:c>
      <x:c r="G377" s="18" t="n">
        <x:v>26</x:v>
      </x:c>
      <x:c r="H377" s="18" t="n">
        <x:v>58</x:v>
      </x:c>
      <x:c r="I377" s="18" t="n">
        <x:v>26</x:v>
      </x:c>
      <x:c r="J377" s="18" t="n">
        <x:v>76</x:v>
      </x:c>
      <x:c r="K377" s="18" t="n">
        <x:v>26</x:v>
      </x:c>
      <x:c r="L377" s="18" t="n">
        <x:v>44</x:v>
      </x:c>
      <x:c r="M377" s="18" t="n">
        <x:v>26</x:v>
      </x:c>
    </x:row>
    <x:row r="378">
      <x:c r="A378" s="22" t="str">
        <x:v>500104057</x:v>
      </x:c>
      <x:c r="B378" s="17" t="str">
        <x:v>士林區</x:v>
      </x:c>
      <x:c r="C378" s="17" t="str">
        <x:v>社子國小</x:v>
      </x:c>
      <x:c r="D378" s="18" t="n">
        <x:v>26</x:v>
      </x:c>
      <x:c r="E378" s="18" t="n">
        <x:v>26</x:v>
      </x:c>
      <x:c r="F378" s="18" t="n">
        <x:v>160</x:v>
      </x:c>
      <x:c r="G378" s="18" t="n">
        <x:v>26</x:v>
      </x:c>
      <x:c r="H378" s="18" t="n">
        <x:v>65</x:v>
      </x:c>
      <x:c r="I378" s="18" t="n">
        <x:v>26</x:v>
      </x:c>
      <x:c r="J378" s="18" t="n">
        <x:v>147</x:v>
      </x:c>
      <x:c r="K378" s="18" t="n">
        <x:v>26</x:v>
      </x:c>
      <x:c r="L378" s="18" t="n">
        <x:v>54</x:v>
      </x:c>
      <x:c r="M378" s="18" t="n">
        <x:v>26</x:v>
      </x:c>
    </x:row>
    <x:row r="379">
      <x:c r="A379" s="22" t="str">
        <x:v>500104058</x:v>
      </x:c>
      <x:c r="B379" s="17" t="str">
        <x:v>士林區</x:v>
      </x:c>
      <x:c r="C379" s="17" t="str">
        <x:v>社中街384巷口</x:v>
      </x:c>
      <x:c r="D379" s="18" t="n">
        <x:v>26</x:v>
      </x:c>
      <x:c r="E379" s="18" t="n">
        <x:v>26</x:v>
      </x:c>
      <x:c r="F379" s="18" t="n">
        <x:v>275</x:v>
      </x:c>
      <x:c r="G379" s="18" t="n">
        <x:v>26</x:v>
      </x:c>
      <x:c r="H379" s="18" t="n">
        <x:v>86</x:v>
      </x:c>
      <x:c r="I379" s="18" t="n">
        <x:v>26</x:v>
      </x:c>
      <x:c r="J379" s="18" t="n">
        <x:v>195</x:v>
      </x:c>
      <x:c r="K379" s="18" t="n">
        <x:v>26</x:v>
      </x:c>
      <x:c r="L379" s="18" t="n">
        <x:v>76</x:v>
      </x:c>
      <x:c r="M379" s="18" t="n">
        <x:v>26</x:v>
      </x:c>
    </x:row>
    <x:row r="380">
      <x:c r="A380" s="22" t="str">
        <x:v>500104059</x:v>
      </x:c>
      <x:c r="B380" s="17" t="str">
        <x:v>士林區</x:v>
      </x:c>
      <x:c r="C380" s="17" t="str">
        <x:v>忠誠路一段138號</x:v>
      </x:c>
      <x:c r="D380" s="18" t="n">
        <x:v>26</x:v>
      </x:c>
      <x:c r="E380" s="18" t="n">
        <x:v>26</x:v>
      </x:c>
      <x:c r="F380" s="18" t="n">
        <x:v>422</x:v>
      </x:c>
      <x:c r="G380" s="18" t="n">
        <x:v>26</x:v>
      </x:c>
      <x:c r="H380" s="18" t="n">
        <x:v>73</x:v>
      </x:c>
      <x:c r="I380" s="18" t="n">
        <x:v>26</x:v>
      </x:c>
      <x:c r="J380" s="18" t="n">
        <x:v>147</x:v>
      </x:c>
      <x:c r="K380" s="18" t="n">
        <x:v>26</x:v>
      </x:c>
      <x:c r="L380" s="18" t="n">
        <x:v>27</x:v>
      </x:c>
      <x:c r="M380" s="18" t="n">
        <x:v>26</x:v>
      </x:c>
    </x:row>
    <x:row r="381">
      <x:c r="A381" s="22" t="str">
        <x:v>500104060</x:v>
      </x:c>
      <x:c r="B381" s="17" t="str">
        <x:v>士林區</x:v>
      </x:c>
      <x:c r="C381" s="17" t="str">
        <x:v>社子公園</x:v>
      </x:c>
      <x:c r="D381" s="18" t="n">
        <x:v>26</x:v>
      </x:c>
      <x:c r="E381" s="18" t="n">
        <x:v>26</x:v>
      </x:c>
      <x:c r="F381" s="18" t="n">
        <x:v>349</x:v>
      </x:c>
      <x:c r="G381" s="18" t="n">
        <x:v>26</x:v>
      </x:c>
      <x:c r="H381" s="18" t="n">
        <x:v>98</x:v>
      </x:c>
      <x:c r="I381" s="18" t="n">
        <x:v>26</x:v>
      </x:c>
      <x:c r="J381" s="18" t="n">
        <x:v>227</x:v>
      </x:c>
      <x:c r="K381" s="18" t="n">
        <x:v>26</x:v>
      </x:c>
      <x:c r="L381" s="18" t="n">
        <x:v>68</x:v>
      </x:c>
      <x:c r="M381" s="18" t="n">
        <x:v>26</x:v>
      </x:c>
    </x:row>
    <x:row r="382">
      <x:c r="A382" s="22" t="str">
        <x:v>500104061</x:v>
      </x:c>
      <x:c r="B382" s="17" t="str">
        <x:v>士林區</x:v>
      </x:c>
      <x:c r="C382" s="17" t="str">
        <x:v>國立故宮博物院</x:v>
      </x:c>
      <x:c r="D382" s="18" t="n">
        <x:v>26</x:v>
      </x:c>
      <x:c r="E382" s="18" t="n">
        <x:v>26</x:v>
      </x:c>
      <x:c r="F382" s="18" t="n">
        <x:v>222</x:v>
      </x:c>
      <x:c r="G382" s="18" t="n">
        <x:v>26</x:v>
      </x:c>
      <x:c r="H382" s="18" t="n">
        <x:v>63</x:v>
      </x:c>
      <x:c r="I382" s="18" t="n">
        <x:v>26</x:v>
      </x:c>
      <x:c r="J382" s="18" t="n">
        <x:v>191</x:v>
      </x:c>
      <x:c r="K382" s="18" t="n">
        <x:v>26</x:v>
      </x:c>
      <x:c r="L382" s="18" t="n">
        <x:v>99</x:v>
      </x:c>
      <x:c r="M382" s="18" t="n">
        <x:v>26</x:v>
      </x:c>
    </x:row>
    <x:row r="383">
      <x:c r="A383" s="22" t="str">
        <x:v>500104062</x:v>
      </x:c>
      <x:c r="B383" s="17" t="str">
        <x:v>士林區</x:v>
      </x:c>
      <x:c r="C383" s="17" t="str">
        <x:v>泰北高中</x:v>
      </x:c>
      <x:c r="D383" s="18" t="n">
        <x:v>26</x:v>
      </x:c>
      <x:c r="E383" s="18" t="n">
        <x:v>26</x:v>
      </x:c>
      <x:c r="F383" s="18" t="n">
        <x:v>152</x:v>
      </x:c>
      <x:c r="G383" s="18" t="n">
        <x:v>26</x:v>
      </x:c>
      <x:c r="H383" s="18" t="n">
        <x:v>38</x:v>
      </x:c>
      <x:c r="I383" s="18" t="n">
        <x:v>26</x:v>
      </x:c>
      <x:c r="J383" s="18" t="n">
        <x:v>253</x:v>
      </x:c>
      <x:c r="K383" s="18" t="n">
        <x:v>26</x:v>
      </x:c>
      <x:c r="L383" s="18" t="n">
        <x:v>55</x:v>
      </x:c>
      <x:c r="M383" s="18" t="n">
        <x:v>26</x:v>
      </x:c>
    </x:row>
    <x:row r="384">
      <x:c r="A384" s="22" t="str">
        <x:v>500104063</x:v>
      </x:c>
      <x:c r="B384" s="17" t="str">
        <x:v>士林區</x:v>
      </x:c>
      <x:c r="C384" s="17" t="str">
        <x:v>後港公園</x:v>
      </x:c>
      <x:c r="D384" s="18" t="n">
        <x:v>26</x:v>
      </x:c>
      <x:c r="E384" s="18" t="n">
        <x:v>26</x:v>
      </x:c>
      <x:c r="F384" s="18" t="n">
        <x:v>243</x:v>
      </x:c>
      <x:c r="G384" s="18" t="n">
        <x:v>26</x:v>
      </x:c>
      <x:c r="H384" s="18" t="n">
        <x:v>61</x:v>
      </x:c>
      <x:c r="I384" s="18" t="n">
        <x:v>26</x:v>
      </x:c>
      <x:c r="J384" s="18" t="n">
        <x:v>223</x:v>
      </x:c>
      <x:c r="K384" s="18" t="n">
        <x:v>26</x:v>
      </x:c>
      <x:c r="L384" s="18" t="n">
        <x:v>45</x:v>
      </x:c>
      <x:c r="M384" s="18" t="n">
        <x:v>26</x:v>
      </x:c>
    </x:row>
    <x:row r="385">
      <x:c r="A385" s="22" t="str">
        <x:v>500104064</x:v>
      </x:c>
      <x:c r="B385" s="17" t="str">
        <x:v>士林區</x:v>
      </x:c>
      <x:c r="C385" s="17" t="str">
        <x:v>重慶北路四段117號</x:v>
      </x:c>
      <x:c r="D385" s="18" t="n">
        <x:v>26</x:v>
      </x:c>
      <x:c r="E385" s="18" t="n">
        <x:v>26</x:v>
      </x:c>
      <x:c r="F385" s="18" t="n">
        <x:v>333</x:v>
      </x:c>
      <x:c r="G385" s="18" t="n">
        <x:v>26</x:v>
      </x:c>
      <x:c r="H385" s="18" t="n">
        <x:v>91</x:v>
      </x:c>
      <x:c r="I385" s="18" t="n">
        <x:v>26</x:v>
      </x:c>
      <x:c r="J385" s="18" t="n">
        <x:v>211</x:v>
      </x:c>
      <x:c r="K385" s="18" t="n">
        <x:v>26</x:v>
      </x:c>
      <x:c r="L385" s="18" t="n">
        <x:v>52</x:v>
      </x:c>
      <x:c r="M385" s="18" t="n">
        <x:v>26</x:v>
      </x:c>
    </x:row>
    <x:row r="386">
      <x:c r="A386" s="22" t="str">
        <x:v>500104065</x:v>
      </x:c>
      <x:c r="B386" s="17" t="str">
        <x:v>士林區</x:v>
      </x:c>
      <x:c r="C386" s="17" t="str">
        <x:v>社子島島頭公園</x:v>
      </x:c>
      <x:c r="D386" s="18" t="n">
        <x:v>26</x:v>
      </x:c>
      <x:c r="E386" s="18" t="n">
        <x:v>26</x:v>
      </x:c>
      <x:c r="F386" s="18" t="n">
        <x:v>257</x:v>
      </x:c>
      <x:c r="G386" s="18" t="n">
        <x:v>26</x:v>
      </x:c>
      <x:c r="H386" s="18" t="n">
        <x:v>70</x:v>
      </x:c>
      <x:c r="I386" s="18" t="n">
        <x:v>26</x:v>
      </x:c>
      <x:c r="J386" s="18" t="n">
        <x:v>275</x:v>
      </x:c>
      <x:c r="K386" s="18" t="n">
        <x:v>26</x:v>
      </x:c>
      <x:c r="L386" s="18" t="n">
        <x:v>63</x:v>
      </x:c>
      <x:c r="M386" s="18" t="n">
        <x:v>26</x:v>
      </x:c>
    </x:row>
    <x:row r="387">
      <x:c r="A387" s="22" t="str">
        <x:v>500104066</x:v>
      </x:c>
      <x:c r="B387" s="17" t="str">
        <x:v>士林區</x:v>
      </x:c>
      <x:c r="C387" s="17" t="str">
        <x:v>延平北路八段133巷口</x:v>
      </x:c>
      <x:c r="D387" s="18" t="n">
        <x:v>26</x:v>
      </x:c>
      <x:c r="E387" s="18" t="n">
        <x:v>26</x:v>
      </x:c>
      <x:c r="F387" s="18" t="n">
        <x:v>183</x:v>
      </x:c>
      <x:c r="G387" s="18" t="n">
        <x:v>26</x:v>
      </x:c>
      <x:c r="H387" s="18" t="n">
        <x:v>51</x:v>
      </x:c>
      <x:c r="I387" s="18" t="n">
        <x:v>26</x:v>
      </x:c>
      <x:c r="J387" s="18" t="n">
        <x:v>227</x:v>
      </x:c>
      <x:c r="K387" s="18" t="n">
        <x:v>26</x:v>
      </x:c>
      <x:c r="L387" s="18" t="n">
        <x:v>67</x:v>
      </x:c>
      <x:c r="M387" s="18" t="n">
        <x:v>26</x:v>
      </x:c>
    </x:row>
    <x:row r="388">
      <x:c r="A388" s="22" t="str">
        <x:v>500104067</x:v>
      </x:c>
      <x:c r="B388" s="17" t="str">
        <x:v>士林區</x:v>
      </x:c>
      <x:c r="C388" s="17" t="str">
        <x:v>坤天亭</x:v>
      </x:c>
      <x:c r="D388" s="18" t="n">
        <x:v>26</x:v>
      </x:c>
      <x:c r="E388" s="18" t="n">
        <x:v>26</x:v>
      </x:c>
      <x:c r="F388" s="18" t="n">
        <x:v>126</x:v>
      </x:c>
      <x:c r="G388" s="18" t="n">
        <x:v>26</x:v>
      </x:c>
      <x:c r="H388" s="18" t="n">
        <x:v>86</x:v>
      </x:c>
      <x:c r="I388" s="18" t="n">
        <x:v>26</x:v>
      </x:c>
      <x:c r="J388" s="18" t="n">
        <x:v>115</x:v>
      </x:c>
      <x:c r="K388" s="18" t="n">
        <x:v>26</x:v>
      </x:c>
      <x:c r="L388" s="18" t="n">
        <x:v>69</x:v>
      </x:c>
      <x:c r="M388" s="18" t="n">
        <x:v>26</x:v>
      </x:c>
    </x:row>
    <x:row r="389">
      <x:c r="A389" s="22" t="str">
        <x:v>500104068</x:v>
      </x:c>
      <x:c r="B389" s="17" t="str">
        <x:v>士林區</x:v>
      </x:c>
      <x:c r="C389" s="17" t="str">
        <x:v>社子島濕地解說小築</x:v>
      </x:c>
      <x:c r="D389" s="18" t="n">
        <x:v>26</x:v>
      </x:c>
      <x:c r="E389" s="18" t="n">
        <x:v>26</x:v>
      </x:c>
      <x:c r="F389" s="18" t="n">
        <x:v>114</x:v>
      </x:c>
      <x:c r="G389" s="18" t="n">
        <x:v>26</x:v>
      </x:c>
      <x:c r="H389" s="18" t="n">
        <x:v>83</x:v>
      </x:c>
      <x:c r="I389" s="18" t="n">
        <x:v>26</x:v>
      </x:c>
      <x:c r="J389" s="18" t="n">
        <x:v>137</x:v>
      </x:c>
      <x:c r="K389" s="18" t="n">
        <x:v>26</x:v>
      </x:c>
      <x:c r="L389" s="18" t="n">
        <x:v>56</x:v>
      </x:c>
      <x:c r="M389" s="18" t="n">
        <x:v>26</x:v>
      </x:c>
    </x:row>
    <x:row r="390">
      <x:c r="A390" s="22" t="str">
        <x:v>500104069</x:v>
      </x:c>
      <x:c r="B390" s="17" t="str">
        <x:v>士林區</x:v>
      </x:c>
      <x:c r="C390" s="17" t="str">
        <x:v>福安國中</x:v>
      </x:c>
      <x:c r="D390" s="18" t="n">
        <x:v>26</x:v>
      </x:c>
      <x:c r="E390" s="18" t="n">
        <x:v>26</x:v>
      </x:c>
      <x:c r="F390" s="18" t="n">
        <x:v>0</x:v>
      </x:c>
      <x:c r="G390" s="18" t="n">
        <x:v>26</x:v>
      </x:c>
      <x:c r="H390" s="18" t="n">
        <x:v>0</x:v>
      </x:c>
      <x:c r="I390" s="18" t="n">
        <x:v>26</x:v>
      </x:c>
      <x:c r="J390" s="18" t="n">
        <x:v>0</x:v>
      </x:c>
      <x:c r="K390" s="18" t="n">
        <x:v>26</x:v>
      </x:c>
      <x:c r="L390" s="18" t="n">
        <x:v>0</x:v>
      </x:c>
      <x:c r="M390" s="18" t="n">
        <x:v>26</x:v>
      </x:c>
    </x:row>
    <x:row r="391">
      <x:c r="A391" s="22" t="str">
        <x:v>500104070</x:v>
      </x:c>
      <x:c r="B391" s="17" t="str">
        <x:v>士林區</x:v>
      </x:c>
      <x:c r="C391" s="17" t="str">
        <x:v>福安消防分隊</x:v>
      </x:c>
      <x:c r="D391" s="18" t="n">
        <x:v>26</x:v>
      </x:c>
      <x:c r="E391" s="18" t="n">
        <x:v>26</x:v>
      </x:c>
      <x:c r="F391" s="18" t="n">
        <x:v>129</x:v>
      </x:c>
      <x:c r="G391" s="18" t="n">
        <x:v>26</x:v>
      </x:c>
      <x:c r="H391" s="18" t="n">
        <x:v>32</x:v>
      </x:c>
      <x:c r="I391" s="18" t="n">
        <x:v>26</x:v>
      </x:c>
      <x:c r="J391" s="18" t="n">
        <x:v>202</x:v>
      </x:c>
      <x:c r="K391" s="18" t="n">
        <x:v>26</x:v>
      </x:c>
      <x:c r="L391" s="18" t="n">
        <x:v>44</x:v>
      </x:c>
      <x:c r="M391" s="18" t="n">
        <x:v>26</x:v>
      </x:c>
    </x:row>
    <x:row r="392">
      <x:c r="A392" s="22" t="str">
        <x:v>500104071</x:v>
      </x:c>
      <x:c r="B392" s="17" t="str">
        <x:v>士林區</x:v>
      </x:c>
      <x:c r="C392" s="17" t="str">
        <x:v>聖山綠地</x:v>
      </x:c>
      <x:c r="D392" s="18" t="n">
        <x:v>26</x:v>
      </x:c>
      <x:c r="E392" s="18" t="n">
        <x:v>26</x:v>
      </x:c>
      <x:c r="F392" s="18" t="n">
        <x:v>406</x:v>
      </x:c>
      <x:c r="G392" s="18" t="n">
        <x:v>26</x:v>
      </x:c>
      <x:c r="H392" s="18" t="n">
        <x:v>59</x:v>
      </x:c>
      <x:c r="I392" s="18" t="n">
        <x:v>26</x:v>
      </x:c>
      <x:c r="J392" s="18" t="n">
        <x:v>133</x:v>
      </x:c>
      <x:c r="K392" s="18" t="n">
        <x:v>26</x:v>
      </x:c>
      <x:c r="L392" s="18" t="n">
        <x:v>36</x:v>
      </x:c>
      <x:c r="M392" s="18" t="n">
        <x:v>26</x:v>
      </x:c>
    </x:row>
    <x:row r="393">
      <x:c r="A393" s="22" t="str">
        <x:v>500104072</x:v>
      </x:c>
      <x:c r="B393" s="17" t="str">
        <x:v>士林區</x:v>
      </x:c>
      <x:c r="C393" s="17" t="str">
        <x:v>芝山國小</x:v>
      </x:c>
      <x:c r="D393" s="18" t="n">
        <x:v>26</x:v>
      </x:c>
      <x:c r="E393" s="18" t="n">
        <x:v>26</x:v>
      </x:c>
      <x:c r="F393" s="18" t="n">
        <x:v>1347</x:v>
      </x:c>
      <x:c r="G393" s="18" t="n">
        <x:v>26</x:v>
      </x:c>
      <x:c r="H393" s="18" t="n">
        <x:v>112</x:v>
      </x:c>
      <x:c r="I393" s="18" t="n">
        <x:v>26</x:v>
      </x:c>
      <x:c r="J393" s="18" t="n">
        <x:v>318</x:v>
      </x:c>
      <x:c r="K393" s="18" t="n">
        <x:v>26</x:v>
      </x:c>
      <x:c r="L393" s="18" t="n">
        <x:v>49</x:v>
      </x:c>
      <x:c r="M393" s="18" t="n">
        <x:v>26</x:v>
      </x:c>
    </x:row>
    <x:row r="394">
      <x:c r="A394" s="22" t="str">
        <x:v>500104073</x:v>
      </x:c>
      <x:c r="B394" s="17" t="str">
        <x:v>士林區</x:v>
      </x:c>
      <x:c r="C394" s="17" t="str">
        <x:v>士林新天地</x:v>
      </x:c>
      <x:c r="D394" s="18" t="n">
        <x:v>26</x:v>
      </x:c>
      <x:c r="E394" s="18" t="n">
        <x:v>26</x:v>
      </x:c>
      <x:c r="F394" s="18" t="n">
        <x:v>482</x:v>
      </x:c>
      <x:c r="G394" s="18" t="n">
        <x:v>26</x:v>
      </x:c>
      <x:c r="H394" s="18" t="n">
        <x:v>120</x:v>
      </x:c>
      <x:c r="I394" s="18" t="n">
        <x:v>26</x:v>
      </x:c>
      <x:c r="J394" s="18" t="n">
        <x:v>183</x:v>
      </x:c>
      <x:c r="K394" s="18" t="n">
        <x:v>26</x:v>
      </x:c>
      <x:c r="L394" s="18" t="n">
        <x:v>53</x:v>
      </x:c>
      <x:c r="M394" s="18" t="n">
        <x:v>26</x:v>
      </x:c>
    </x:row>
    <x:row r="395">
      <x:c r="A395" s="22" t="str">
        <x:v>500104074</x:v>
      </x:c>
      <x:c r="B395" s="17" t="str">
        <x:v>士林區</x:v>
      </x:c>
      <x:c r="C395" s="17" t="str">
        <x:v>蘭雅國小</x:v>
      </x:c>
      <x:c r="D395" s="18" t="n">
        <x:v>26</x:v>
      </x:c>
      <x:c r="E395" s="18" t="n">
        <x:v>26</x:v>
      </x:c>
      <x:c r="F395" s="18" t="n">
        <x:v>661</x:v>
      </x:c>
      <x:c r="G395" s="18" t="n">
        <x:v>26</x:v>
      </x:c>
      <x:c r="H395" s="18" t="n">
        <x:v>50</x:v>
      </x:c>
      <x:c r="I395" s="18" t="n">
        <x:v>26</x:v>
      </x:c>
      <x:c r="J395" s="18" t="n">
        <x:v>197</x:v>
      </x:c>
      <x:c r="K395" s="18" t="n">
        <x:v>26</x:v>
      </x:c>
      <x:c r="L395" s="18" t="n">
        <x:v>35</x:v>
      </x:c>
      <x:c r="M395" s="18" t="n">
        <x:v>26</x:v>
      </x:c>
    </x:row>
    <x:row r="396">
      <x:c r="A396" s="22" t="str">
        <x:v>500104075</x:v>
      </x:c>
      <x:c r="B396" s="17" t="str">
        <x:v>士林區</x:v>
      </x:c>
      <x:c r="C396" s="17" t="str">
        <x:v>中正基河路口</x:v>
      </x:c>
      <x:c r="D396" s="18" t="n">
        <x:v>26</x:v>
      </x:c>
      <x:c r="E396" s="18" t="n">
        <x:v>26</x:v>
      </x:c>
      <x:c r="F396" s="18" t="n">
        <x:v>319</x:v>
      </x:c>
      <x:c r="G396" s="18" t="n">
        <x:v>26</x:v>
      </x:c>
      <x:c r="H396" s="18" t="n">
        <x:v>55</x:v>
      </x:c>
      <x:c r="I396" s="18" t="n">
        <x:v>26</x:v>
      </x:c>
      <x:c r="J396" s="18" t="n">
        <x:v>519</x:v>
      </x:c>
      <x:c r="K396" s="18" t="n">
        <x:v>26</x:v>
      </x:c>
      <x:c r="L396" s="18" t="n">
        <x:v>95</x:v>
      </x:c>
      <x:c r="M396" s="18" t="n">
        <x:v>26</x:v>
      </x:c>
    </x:row>
    <x:row r="397">
      <x:c r="A397" s="22" t="str">
        <x:v>500104076</x:v>
      </x:c>
      <x:c r="B397" s="17" t="str">
        <x:v>士林區</x:v>
      </x:c>
      <x:c r="C397" s="17" t="str">
        <x:v>福林公園(福林路)</x:v>
      </x:c>
      <x:c r="D397" s="18" t="n">
        <x:v>26</x:v>
      </x:c>
      <x:c r="E397" s="18" t="n">
        <x:v>26</x:v>
      </x:c>
      <x:c r="F397" s="18" t="n">
        <x:v>188</x:v>
      </x:c>
      <x:c r="G397" s="18" t="n">
        <x:v>26</x:v>
      </x:c>
      <x:c r="H397" s="18" t="n">
        <x:v>50</x:v>
      </x:c>
      <x:c r="I397" s="18" t="n">
        <x:v>26</x:v>
      </x:c>
      <x:c r="J397" s="18" t="n">
        <x:v>278</x:v>
      </x:c>
      <x:c r="K397" s="18" t="n">
        <x:v>26</x:v>
      </x:c>
      <x:c r="L397" s="18" t="n">
        <x:v>53</x:v>
      </x:c>
      <x:c r="M397" s="18" t="n">
        <x:v>26</x:v>
      </x:c>
    </x:row>
    <x:row r="398">
      <x:c r="A398" s="22" t="str">
        <x:v>500104077</x:v>
      </x:c>
      <x:c r="B398" s="17" t="str">
        <x:v>士林區</x:v>
      </x:c>
      <x:c r="C398" s="17" t="str">
        <x:v>至善臨溪路口</x:v>
      </x:c>
      <x:c r="D398" s="18" t="n">
        <x:v>26</x:v>
      </x:c>
      <x:c r="E398" s="18" t="n">
        <x:v>26</x:v>
      </x:c>
      <x:c r="F398" s="18" t="n">
        <x:v>188</x:v>
      </x:c>
      <x:c r="G398" s="18" t="n">
        <x:v>26</x:v>
      </x:c>
      <x:c r="H398" s="18" t="n">
        <x:v>46</x:v>
      </x:c>
      <x:c r="I398" s="18" t="n">
        <x:v>26</x:v>
      </x:c>
      <x:c r="J398" s="18" t="n">
        <x:v>428</x:v>
      </x:c>
      <x:c r="K398" s="18" t="n">
        <x:v>26</x:v>
      </x:c>
      <x:c r="L398" s="18" t="n">
        <x:v>111</x:v>
      </x:c>
      <x:c r="M398" s="18" t="n">
        <x:v>26</x:v>
      </x:c>
    </x:row>
    <x:row r="399">
      <x:c r="A399" s="22" t="str">
        <x:v>500104078</x:v>
      </x:c>
      <x:c r="B399" s="17" t="str">
        <x:v>士林區</x:v>
      </x:c>
      <x:c r="C399" s="17" t="str">
        <x:v>市立圖書館葫蘆堵分館</x:v>
      </x:c>
      <x:c r="D399" s="18" t="n">
        <x:v>26</x:v>
      </x:c>
      <x:c r="E399" s="18" t="n">
        <x:v>26</x:v>
      </x:c>
      <x:c r="F399" s="18" t="n">
        <x:v>357</x:v>
      </x:c>
      <x:c r="G399" s="18" t="n">
        <x:v>26</x:v>
      </x:c>
      <x:c r="H399" s="18" t="n">
        <x:v>76</x:v>
      </x:c>
      <x:c r="I399" s="18" t="n">
        <x:v>26</x:v>
      </x:c>
      <x:c r="J399" s="18" t="n">
        <x:v>233</x:v>
      </x:c>
      <x:c r="K399" s="18" t="n">
        <x:v>26</x:v>
      </x:c>
      <x:c r="L399" s="18" t="n">
        <x:v>39</x:v>
      </x:c>
      <x:c r="M399" s="18" t="n">
        <x:v>26</x:v>
      </x:c>
    </x:row>
    <x:row r="400">
      <x:c r="A400" s="22" t="str">
        <x:v>500104079</x:v>
      </x:c>
      <x:c r="B400" s="17" t="str">
        <x:v>士林區</x:v>
      </x:c>
      <x:c r="C400" s="17" t="str">
        <x:v>東山路110巷口</x:v>
      </x:c>
      <x:c r="D400" s="18" t="n">
        <x:v>26</x:v>
      </x:c>
      <x:c r="E400" s="18" t="n">
        <x:v>26</x:v>
      </x:c>
      <x:c r="F400" s="18" t="n">
        <x:v>456</x:v>
      </x:c>
      <x:c r="G400" s="18" t="n">
        <x:v>26</x:v>
      </x:c>
      <x:c r="H400" s="18" t="n">
        <x:v>50</x:v>
      </x:c>
      <x:c r="I400" s="18" t="n">
        <x:v>26</x:v>
      </x:c>
      <x:c r="J400" s="18" t="n">
        <x:v>152</x:v>
      </x:c>
      <x:c r="K400" s="18" t="n">
        <x:v>26</x:v>
      </x:c>
      <x:c r="L400" s="18" t="n">
        <x:v>48</x:v>
      </x:c>
      <x:c r="M400" s="18" t="n">
        <x:v>26</x:v>
      </x:c>
    </x:row>
    <x:row r="401">
      <x:c r="A401" s="22" t="str">
        <x:v>500104080</x:v>
      </x:c>
      <x:c r="B401" s="17" t="str">
        <x:v>士林區</x:v>
      </x:c>
      <x:c r="C401" s="17" t="str">
        <x:v>永平社會住宅</x:v>
      </x:c>
      <x:c r="D401" s="18" t="n">
        <x:v>26</x:v>
      </x:c>
      <x:c r="E401" s="18" t="n">
        <x:v>26</x:v>
      </x:c>
      <x:c r="F401" s="18" t="n">
        <x:v>155</x:v>
      </x:c>
      <x:c r="G401" s="18" t="n">
        <x:v>26</x:v>
      </x:c>
      <x:c r="H401" s="18" t="n">
        <x:v>61</x:v>
      </x:c>
      <x:c r="I401" s="18" t="n">
        <x:v>26</x:v>
      </x:c>
      <x:c r="J401" s="18" t="n">
        <x:v>110</x:v>
      </x:c>
      <x:c r="K401" s="18" t="n">
        <x:v>26</x:v>
      </x:c>
      <x:c r="L401" s="18" t="n">
        <x:v>52</x:v>
      </x:c>
      <x:c r="M401" s="18" t="n">
        <x:v>26</x:v>
      </x:c>
    </x:row>
    <x:row r="402">
      <x:c r="A402" s="22" t="str">
        <x:v>500104081</x:v>
      </x:c>
      <x:c r="B402" s="17" t="str">
        <x:v>士林區</x:v>
      </x:c>
      <x:c r="C402" s="17" t="str">
        <x:v>雨農橋</x:v>
      </x:c>
      <x:c r="D402" s="18" t="n">
        <x:v>26</x:v>
      </x:c>
      <x:c r="E402" s="18" t="n">
        <x:v>26</x:v>
      </x:c>
      <x:c r="F402" s="18" t="n">
        <x:v>624</x:v>
      </x:c>
      <x:c r="G402" s="18" t="n">
        <x:v>26</x:v>
      </x:c>
      <x:c r="H402" s="18" t="n">
        <x:v>69</x:v>
      </x:c>
      <x:c r="I402" s="18" t="n">
        <x:v>26</x:v>
      </x:c>
      <x:c r="J402" s="18" t="n">
        <x:v>108</x:v>
      </x:c>
      <x:c r="K402" s="18" t="n">
        <x:v>26</x:v>
      </x:c>
      <x:c r="L402" s="18" t="n">
        <x:v>30</x:v>
      </x:c>
      <x:c r="M402" s="18" t="n">
        <x:v>26</x:v>
      </x:c>
    </x:row>
    <x:row r="403">
      <x:c r="A403" s="22" t="str">
        <x:v>500104082</x:v>
      </x:c>
      <x:c r="B403" s="17" t="str">
        <x:v>士林區</x:v>
      </x:c>
      <x:c r="C403" s="17" t="str">
        <x:v>通河街76巷/承德路四段10巷口</x:v>
      </x:c>
      <x:c r="D403" s="18" t="n">
        <x:v>26</x:v>
      </x:c>
      <x:c r="E403" s="18" t="n">
        <x:v>26</x:v>
      </x:c>
      <x:c r="F403" s="18" t="n">
        <x:v>379</x:v>
      </x:c>
      <x:c r="G403" s="18" t="n">
        <x:v>26</x:v>
      </x:c>
      <x:c r="H403" s="18" t="n">
        <x:v>48</x:v>
      </x:c>
      <x:c r="I403" s="18" t="n">
        <x:v>26</x:v>
      </x:c>
      <x:c r="J403" s="18" t="n">
        <x:v>84</x:v>
      </x:c>
      <x:c r="K403" s="18" t="n">
        <x:v>26</x:v>
      </x:c>
      <x:c r="L403" s="18" t="n">
        <x:v>15</x:v>
      </x:c>
      <x:c r="M403" s="18" t="n">
        <x:v>26</x:v>
      </x:c>
    </x:row>
    <x:row r="404">
      <x:c r="A404" s="22" t="str">
        <x:v>500104083</x:v>
      </x:c>
      <x:c r="B404" s="17" t="str">
        <x:v>士林區</x:v>
      </x:c>
      <x:c r="C404" s="17" t="str">
        <x:v>芝山聖佑宮</x:v>
      </x:c>
      <x:c r="D404" s="18" t="n">
        <x:v>26</x:v>
      </x:c>
      <x:c r="E404" s="18" t="n">
        <x:v>26</x:v>
      </x:c>
      <x:c r="F404" s="18" t="n">
        <x:v>247</x:v>
      </x:c>
      <x:c r="G404" s="18" t="n">
        <x:v>26</x:v>
      </x:c>
      <x:c r="H404" s="18" t="n">
        <x:v>29</x:v>
      </x:c>
      <x:c r="I404" s="18" t="n">
        <x:v>26</x:v>
      </x:c>
      <x:c r="J404" s="18" t="n">
        <x:v>281</x:v>
      </x:c>
      <x:c r="K404" s="18" t="n">
        <x:v>26</x:v>
      </x:c>
      <x:c r="L404" s="18" t="n">
        <x:v>25</x:v>
      </x:c>
      <x:c r="M404" s="18" t="n">
        <x:v>26</x:v>
      </x:c>
    </x:row>
    <x:row r="405">
      <x:c r="A405" s="22" t="str">
        <x:v>500104084</x:v>
      </x:c>
      <x:c r="B405" s="17" t="str">
        <x:v>士林區</x:v>
      </x:c>
      <x:c r="C405" s="17" t="str">
        <x:v>至誠雨聲街口</x:v>
      </x:c>
      <x:c r="D405" s="18" t="n">
        <x:v>26</x:v>
      </x:c>
      <x:c r="E405" s="18" t="n">
        <x:v>26</x:v>
      </x:c>
      <x:c r="F405" s="18" t="n">
        <x:v>349</x:v>
      </x:c>
      <x:c r="G405" s="18" t="n">
        <x:v>26</x:v>
      </x:c>
      <x:c r="H405" s="18" t="n">
        <x:v>34</x:v>
      </x:c>
      <x:c r="I405" s="18" t="n">
        <x:v>26</x:v>
      </x:c>
      <x:c r="J405" s="18" t="n">
        <x:v>63</x:v>
      </x:c>
      <x:c r="K405" s="18" t="n">
        <x:v>26</x:v>
      </x:c>
      <x:c r="L405" s="18" t="n">
        <x:v>31</x:v>
      </x:c>
      <x:c r="M405" s="18" t="n">
        <x:v>26</x:v>
      </x:c>
    </x:row>
    <x:row r="406">
      <x:c r="A406" s="22" t="str">
        <x:v>500104085</x:v>
      </x:c>
      <x:c r="B406" s="17" t="str">
        <x:v>士林區</x:v>
      </x:c>
      <x:c r="C406" s="17" t="str">
        <x:v>捷運線型公園(後街)</x:v>
      </x:c>
      <x:c r="D406" s="18" t="n">
        <x:v>26</x:v>
      </x:c>
      <x:c r="E406" s="18" t="n">
        <x:v>26</x:v>
      </x:c>
      <x:c r="F406" s="18" t="n">
        <x:v>584</x:v>
      </x:c>
      <x:c r="G406" s="18" t="n">
        <x:v>26</x:v>
      </x:c>
      <x:c r="H406" s="18" t="n">
        <x:v>66</x:v>
      </x:c>
      <x:c r="I406" s="18" t="n">
        <x:v>26</x:v>
      </x:c>
      <x:c r="J406" s="18" t="n">
        <x:v>118</x:v>
      </x:c>
      <x:c r="K406" s="18" t="n">
        <x:v>26</x:v>
      </x:c>
      <x:c r="L406" s="18" t="n">
        <x:v>31</x:v>
      </x:c>
      <x:c r="M406" s="18" t="n">
        <x:v>26</x:v>
      </x:c>
    </x:row>
    <x:row r="407">
      <x:c r="A407" s="22" t="str">
        <x:v>500104086</x:v>
      </x:c>
      <x:c r="B407" s="17" t="str">
        <x:v>士林區</x:v>
      </x:c>
      <x:c r="C407" s="17" t="str">
        <x:v>天母公園</x:v>
      </x:c>
      <x:c r="D407" s="18" t="n">
        <x:v>26</x:v>
      </x:c>
      <x:c r="E407" s="18" t="n">
        <x:v>26</x:v>
      </x:c>
      <x:c r="F407" s="18" t="n">
        <x:v>75</x:v>
      </x:c>
      <x:c r="G407" s="18" t="n">
        <x:v>26</x:v>
      </x:c>
      <x:c r="H407" s="18" t="n">
        <x:v>96</x:v>
      </x:c>
      <x:c r="I407" s="18" t="n">
        <x:v>26</x:v>
      </x:c>
      <x:c r="J407" s="18" t="n">
        <x:v>87</x:v>
      </x:c>
      <x:c r="K407" s="18" t="n">
        <x:v>26</x:v>
      </x:c>
      <x:c r="L407" s="18" t="n">
        <x:v>47</x:v>
      </x:c>
      <x:c r="M407" s="18" t="n">
        <x:v>26</x:v>
      </x:c>
    </x:row>
    <x:row r="408">
      <x:c r="A408" s="22" t="str">
        <x:v>500104087</x:v>
      </x:c>
      <x:c r="B408" s="17" t="str">
        <x:v>士林區</x:v>
      </x:c>
      <x:c r="C408" s="17" t="str">
        <x:v>基河文林路口</x:v>
      </x:c>
      <x:c r="D408" s="18" t="n">
        <x:v>26</x:v>
      </x:c>
      <x:c r="E408" s="18" t="n">
        <x:v>26</x:v>
      </x:c>
      <x:c r="F408" s="18" t="n">
        <x:v>141</x:v>
      </x:c>
      <x:c r="G408" s="18" t="n">
        <x:v>26</x:v>
      </x:c>
      <x:c r="H408" s="18" t="n">
        <x:v>36</x:v>
      </x:c>
      <x:c r="I408" s="18" t="n">
        <x:v>26</x:v>
      </x:c>
      <x:c r="J408" s="18" t="n">
        <x:v>519</x:v>
      </x:c>
      <x:c r="K408" s="18" t="n">
        <x:v>26</x:v>
      </x:c>
      <x:c r="L408" s="18" t="n">
        <x:v>93</x:v>
      </x:c>
      <x:c r="M408" s="18" t="n">
        <x:v>26</x:v>
      </x:c>
    </x:row>
    <x:row r="409">
      <x:c r="A409" s="22" t="str">
        <x:v>500104088</x:v>
      </x:c>
      <x:c r="B409" s="17" t="str">
        <x:v>士林區</x:v>
      </x:c>
      <x:c r="C409" s="17" t="str">
        <x:v>文林福華路口</x:v>
      </x:c>
      <x:c r="D409" s="18" t="n">
        <x:v>26</x:v>
      </x:c>
      <x:c r="E409" s="18" t="n">
        <x:v>26</x:v>
      </x:c>
      <x:c r="F409" s="18" t="n">
        <x:v>376</x:v>
      </x:c>
      <x:c r="G409" s="18" t="n">
        <x:v>26</x:v>
      </x:c>
      <x:c r="H409" s="18" t="n">
        <x:v>46</x:v>
      </x:c>
      <x:c r="I409" s="18" t="n">
        <x:v>26</x:v>
      </x:c>
      <x:c r="J409" s="18" t="n">
        <x:v>207</x:v>
      </x:c>
      <x:c r="K409" s="18" t="n">
        <x:v>26</x:v>
      </x:c>
      <x:c r="L409" s="18" t="n">
        <x:v>32</x:v>
      </x:c>
      <x:c r="M409" s="18" t="n">
        <x:v>26</x:v>
      </x:c>
    </x:row>
    <x:row r="410">
      <x:c r="A410" s="22" t="str">
        <x:v>500104089</x:v>
      </x:c>
      <x:c r="B410" s="17" t="str">
        <x:v>士林區</x:v>
      </x:c>
      <x:c r="C410" s="17" t="str">
        <x:v>劍潭海外青年活動中心_1</x:v>
      </x:c>
      <x:c r="D410" s="18" t="n">
        <x:v>26</x:v>
      </x:c>
      <x:c r="E410" s="18" t="n">
        <x:v>26</x:v>
      </x:c>
      <x:c r="F410" s="18" t="n">
        <x:v>262</x:v>
      </x:c>
      <x:c r="G410" s="18" t="n">
        <x:v>26</x:v>
      </x:c>
      <x:c r="H410" s="18" t="n">
        <x:v>28</x:v>
      </x:c>
      <x:c r="I410" s="18" t="n">
        <x:v>26</x:v>
      </x:c>
      <x:c r="J410" s="18" t="n">
        <x:v>150</x:v>
      </x:c>
      <x:c r="K410" s="18" t="n">
        <x:v>26</x:v>
      </x:c>
      <x:c r="L410" s="18" t="n">
        <x:v>25</x:v>
      </x:c>
      <x:c r="M410" s="18" t="n">
        <x:v>26</x:v>
      </x:c>
    </x:row>
    <x:row r="411">
      <x:c r="A411" s="22" t="str">
        <x:v>500104090</x:v>
      </x:c>
      <x:c r="B411" s="17" t="str">
        <x:v>士林區</x:v>
      </x:c>
      <x:c r="C411" s="17" t="str">
        <x:v>社子國小_1</x:v>
      </x:c>
      <x:c r="D411" s="18" t="n">
        <x:v>26</x:v>
      </x:c>
      <x:c r="E411" s="18" t="n">
        <x:v>26</x:v>
      </x:c>
      <x:c r="F411" s="18" t="n">
        <x:v>401</x:v>
      </x:c>
      <x:c r="G411" s="18" t="n">
        <x:v>26</x:v>
      </x:c>
      <x:c r="H411" s="18" t="n">
        <x:v>144</x:v>
      </x:c>
      <x:c r="I411" s="18" t="n">
        <x:v>26</x:v>
      </x:c>
      <x:c r="J411" s="18" t="n">
        <x:v>502</x:v>
      </x:c>
      <x:c r="K411" s="18" t="n">
        <x:v>26</x:v>
      </x:c>
      <x:c r="L411" s="18" t="n">
        <x:v>117</x:v>
      </x:c>
      <x:c r="M411" s="18" t="n">
        <x:v>26</x:v>
      </x:c>
    </x:row>
    <x:row r="412">
      <x:c r="A412" s="22" t="str">
        <x:v>500104091</x:v>
      </x:c>
      <x:c r="B412" s="17" t="str">
        <x:v>士林區</x:v>
      </x:c>
      <x:c r="C412" s="17" t="str">
        <x:v>捷運劍潭站(1號出口)</x:v>
      </x:c>
      <x:c r="D412" s="18" t="n">
        <x:v>26</x:v>
      </x:c>
      <x:c r="E412" s="18" t="n">
        <x:v>26</x:v>
      </x:c>
      <x:c r="F412" s="18" t="n">
        <x:v>571</x:v>
      </x:c>
      <x:c r="G412" s="18" t="n">
        <x:v>26</x:v>
      </x:c>
      <x:c r="H412" s="18" t="n">
        <x:v>100</x:v>
      </x:c>
      <x:c r="I412" s="18" t="n">
        <x:v>26</x:v>
      </x:c>
      <x:c r="J412" s="18" t="n">
        <x:v>433</x:v>
      </x:c>
      <x:c r="K412" s="18" t="n">
        <x:v>26</x:v>
      </x:c>
      <x:c r="L412" s="18" t="n">
        <x:v>97</x:v>
      </x:c>
      <x:c r="M412" s="18" t="n">
        <x:v>26</x:v>
      </x:c>
    </x:row>
    <x:row r="413">
      <x:c r="A413" s="22" t="str">
        <x:v>500104092</x:v>
      </x:c>
      <x:c r="B413" s="17" t="str">
        <x:v>士林區</x:v>
      </x:c>
      <x:c r="C413" s="17" t="str">
        <x:v>德行東山路口</x:v>
      </x:c>
      <x:c r="D413" s="18" t="n">
        <x:v>26</x:v>
      </x:c>
      <x:c r="E413" s="18" t="n">
        <x:v>26</x:v>
      </x:c>
      <x:c r="F413" s="18" t="n">
        <x:v>264</x:v>
      </x:c>
      <x:c r="G413" s="18" t="n">
        <x:v>26</x:v>
      </x:c>
      <x:c r="H413" s="18" t="n">
        <x:v>52</x:v>
      </x:c>
      <x:c r="I413" s="18" t="n">
        <x:v>26</x:v>
      </x:c>
      <x:c r="J413" s="18" t="n">
        <x:v>110</x:v>
      </x:c>
      <x:c r="K413" s="18" t="n">
        <x:v>26</x:v>
      </x:c>
      <x:c r="L413" s="18" t="n">
        <x:v>38</x:v>
      </x:c>
      <x:c r="M413" s="18" t="n">
        <x:v>26</x:v>
      </x:c>
    </x:row>
    <x:row r="414">
      <x:c r="A414" s="22" t="str">
        <x:v>500104093</x:v>
      </x:c>
      <x:c r="B414" s="17" t="str">
        <x:v>士林區</x:v>
      </x:c>
      <x:c r="C414" s="17" t="str">
        <x:v>社中街193號</x:v>
      </x:c>
      <x:c r="D414" s="18" t="n">
        <x:v>26</x:v>
      </x:c>
      <x:c r="E414" s="18" t="n">
        <x:v>26</x:v>
      </x:c>
      <x:c r="F414" s="18" t="n">
        <x:v>0</x:v>
      </x:c>
      <x:c r="G414" s="18" t="n">
        <x:v>26</x:v>
      </x:c>
      <x:c r="H414" s="18" t="n">
        <x:v>0</x:v>
      </x:c>
      <x:c r="I414" s="18" t="n">
        <x:v>26</x:v>
      </x:c>
      <x:c r="J414" s="18" t="n">
        <x:v>0</x:v>
      </x:c>
      <x:c r="K414" s="18" t="n">
        <x:v>26</x:v>
      </x:c>
      <x:c r="L414" s="18" t="n">
        <x:v>0</x:v>
      </x:c>
      <x:c r="M414" s="18" t="n">
        <x:v>26</x:v>
      </x:c>
    </x:row>
    <x:row r="415">
      <x:c r="A415" s="22" t="str">
        <x:v>500104094</x:v>
      </x:c>
      <x:c r="B415" s="17" t="str">
        <x:v>士林區</x:v>
      </x:c>
      <x:c r="C415" s="17" t="str">
        <x:v>重慶北通河西街口</x:v>
      </x:c>
      <x:c r="D415" s="18" t="n">
        <x:v>26</x:v>
      </x:c>
      <x:c r="E415" s="18" t="n">
        <x:v>26</x:v>
      </x:c>
      <x:c r="F415" s="18" t="n">
        <x:v>162</x:v>
      </x:c>
      <x:c r="G415" s="18" t="n">
        <x:v>26</x:v>
      </x:c>
      <x:c r="H415" s="18" t="n">
        <x:v>70</x:v>
      </x:c>
      <x:c r="I415" s="18" t="n">
        <x:v>26</x:v>
      </x:c>
      <x:c r="J415" s="18" t="n">
        <x:v>104</x:v>
      </x:c>
      <x:c r="K415" s="18" t="n">
        <x:v>26</x:v>
      </x:c>
      <x:c r="L415" s="18" t="n">
        <x:v>33</x:v>
      </x:c>
      <x:c r="M415" s="18" t="n">
        <x:v>26</x:v>
      </x:c>
    </x:row>
    <x:row r="416">
      <x:c r="A416" s="22" t="str">
        <x:v>500104095</x:v>
      </x:c>
      <x:c r="B416" s="17" t="str">
        <x:v>士林區</x:v>
      </x:c>
      <x:c r="C416" s="17" t="str">
        <x:v>葫蘆國小(延平北路五段285巷)</x:v>
      </x:c>
      <x:c r="D416" s="18" t="n">
        <x:v>26</x:v>
      </x:c>
      <x:c r="E416" s="18" t="n">
        <x:v>26</x:v>
      </x:c>
      <x:c r="F416" s="18" t="n">
        <x:v>488</x:v>
      </x:c>
      <x:c r="G416" s="18" t="n">
        <x:v>26</x:v>
      </x:c>
      <x:c r="H416" s="18" t="n">
        <x:v>64</x:v>
      </x:c>
      <x:c r="I416" s="18" t="n">
        <x:v>26</x:v>
      </x:c>
      <x:c r="J416" s="18" t="n">
        <x:v>275</x:v>
      </x:c>
      <x:c r="K416" s="18" t="n">
        <x:v>26</x:v>
      </x:c>
      <x:c r="L416" s="18" t="n">
        <x:v>48</x:v>
      </x:c>
      <x:c r="M416" s="18" t="n">
        <x:v>26</x:v>
      </x:c>
    </x:row>
    <x:row r="417">
      <x:c r="A417" s="22" t="str">
        <x:v>500104096</x:v>
      </x:c>
      <x:c r="B417" s="17" t="str">
        <x:v>士林區</x:v>
      </x:c>
      <x:c r="C417" s="17" t="str">
        <x:v>社子市場</x:v>
      </x:c>
      <x:c r="D417" s="18" t="n">
        <x:v>26</x:v>
      </x:c>
      <x:c r="E417" s="18" t="n">
        <x:v>26</x:v>
      </x:c>
      <x:c r="F417" s="18" t="n">
        <x:v>205</x:v>
      </x:c>
      <x:c r="G417" s="18" t="n">
        <x:v>26</x:v>
      </x:c>
      <x:c r="H417" s="18" t="n">
        <x:v>34</x:v>
      </x:c>
      <x:c r="I417" s="18" t="n">
        <x:v>26</x:v>
      </x:c>
      <x:c r="J417" s="18" t="n">
        <x:v>134</x:v>
      </x:c>
      <x:c r="K417" s="18" t="n">
        <x:v>26</x:v>
      </x:c>
      <x:c r="L417" s="18" t="n">
        <x:v>43</x:v>
      </x:c>
      <x:c r="M417" s="18" t="n">
        <x:v>26</x:v>
      </x:c>
    </x:row>
    <x:row r="418">
      <x:c r="A418" s="22" t="str">
        <x:v>500104097</x:v>
      </x:c>
      <x:c r="B418" s="17" t="str">
        <x:v>士林區</x:v>
      </x:c>
      <x:c r="C418" s="17" t="str">
        <x:v>士林區農會社子分部</x:v>
      </x:c>
      <x:c r="D418" s="18" t="n">
        <x:v>26</x:v>
      </x:c>
      <x:c r="E418" s="18" t="n">
        <x:v>26</x:v>
      </x:c>
      <x:c r="F418" s="18" t="n">
        <x:v>147</x:v>
      </x:c>
      <x:c r="G418" s="18" t="n">
        <x:v>26</x:v>
      </x:c>
      <x:c r="H418" s="18" t="n">
        <x:v>19</x:v>
      </x:c>
      <x:c r="I418" s="18" t="n">
        <x:v>26</x:v>
      </x:c>
      <x:c r="J418" s="18" t="n">
        <x:v>77</x:v>
      </x:c>
      <x:c r="K418" s="18" t="n">
        <x:v>26</x:v>
      </x:c>
      <x:c r="L418" s="18" t="n">
        <x:v>23</x:v>
      </x:c>
      <x:c r="M418" s="18" t="n">
        <x:v>26</x:v>
      </x:c>
    </x:row>
    <x:row r="419">
      <x:c r="A419" s="22" t="str">
        <x:v>500104098</x:v>
      </x:c>
      <x:c r="B419" s="17" t="str">
        <x:v>士林區</x:v>
      </x:c>
      <x:c r="C419" s="17" t="str">
        <x:v>承德劍潭路口</x:v>
      </x:c>
      <x:c r="D419" s="18" t="n">
        <x:v>26</x:v>
      </x:c>
      <x:c r="E419" s="18" t="n">
        <x:v>26</x:v>
      </x:c>
      <x:c r="F419" s="18" t="n">
        <x:v>194</x:v>
      </x:c>
      <x:c r="G419" s="18" t="n">
        <x:v>26</x:v>
      </x:c>
      <x:c r="H419" s="18" t="n">
        <x:v>19</x:v>
      </x:c>
      <x:c r="I419" s="18" t="n">
        <x:v>26</x:v>
      </x:c>
      <x:c r="J419" s="18" t="n">
        <x:v>254</x:v>
      </x:c>
      <x:c r="K419" s="18" t="n">
        <x:v>26</x:v>
      </x:c>
      <x:c r="L419" s="18" t="n">
        <x:v>30</x:v>
      </x:c>
      <x:c r="M419" s="18" t="n">
        <x:v>26</x:v>
      </x:c>
    </x:row>
    <x:row r="420">
      <x:c r="A420" s="22" t="str">
        <x:v>500104099</x:v>
      </x:c>
      <x:c r="B420" s="17" t="str">
        <x:v>士林區</x:v>
      </x:c>
      <x:c r="C420" s="17" t="str">
        <x:v>文林路101巷口</x:v>
      </x:c>
      <x:c r="D420" s="18" t="n">
        <x:v>26</x:v>
      </x:c>
      <x:c r="E420" s="18" t="n">
        <x:v>26</x:v>
      </x:c>
      <x:c r="F420" s="18" t="n">
        <x:v>123</x:v>
      </x:c>
      <x:c r="G420" s="18" t="n">
        <x:v>26</x:v>
      </x:c>
      <x:c r="H420" s="18" t="n">
        <x:v>26</x:v>
      </x:c>
      <x:c r="I420" s="18" t="n">
        <x:v>26</x:v>
      </x:c>
      <x:c r="J420" s="18" t="n">
        <x:v>172</x:v>
      </x:c>
      <x:c r="K420" s="18" t="n">
        <x:v>26</x:v>
      </x:c>
      <x:c r="L420" s="18" t="n">
        <x:v>35</x:v>
      </x:c>
      <x:c r="M420" s="18" t="n">
        <x:v>26</x:v>
      </x:c>
    </x:row>
    <x:row r="421">
      <x:c r="A421" s="22" t="str">
        <x:v>500104100</x:v>
      </x:c>
      <x:c r="B421" s="17" t="str">
        <x:v>士林區</x:v>
      </x:c>
      <x:c r="C421" s="17" t="str">
        <x:v>延平北路五段257巷15弄口</x:v>
      </x:c>
      <x:c r="D421" s="18" t="n">
        <x:v>26</x:v>
      </x:c>
      <x:c r="E421" s="18" t="n">
        <x:v>26</x:v>
      </x:c>
      <x:c r="F421" s="18" t="n">
        <x:v>116</x:v>
      </x:c>
      <x:c r="G421" s="18" t="n">
        <x:v>26</x:v>
      </x:c>
      <x:c r="H421" s="18" t="n">
        <x:v>66</x:v>
      </x:c>
      <x:c r="I421" s="18" t="n">
        <x:v>26</x:v>
      </x:c>
      <x:c r="J421" s="18" t="n">
        <x:v>101</x:v>
      </x:c>
      <x:c r="K421" s="18" t="n">
        <x:v>26</x:v>
      </x:c>
      <x:c r="L421" s="18" t="n">
        <x:v>27</x:v>
      </x:c>
      <x:c r="M421" s="18" t="n">
        <x:v>26</x:v>
      </x:c>
    </x:row>
    <x:row r="422">
      <x:c r="A422" s="22" t="str">
        <x:v>500104101</x:v>
      </x:c>
      <x:c r="B422" s="17" t="str">
        <x:v>士林區</x:v>
      </x:c>
      <x:c r="C422" s="17" t="str">
        <x:v>延平北路五段257巷4弄口</x:v>
      </x:c>
      <x:c r="D422" s="18" t="n">
        <x:v>26</x:v>
      </x:c>
      <x:c r="E422" s="18" t="n">
        <x:v>26</x:v>
      </x:c>
      <x:c r="F422" s="18" t="n">
        <x:v>270</x:v>
      </x:c>
      <x:c r="G422" s="18" t="n">
        <x:v>26</x:v>
      </x:c>
      <x:c r="H422" s="18" t="n">
        <x:v>52</x:v>
      </x:c>
      <x:c r="I422" s="18" t="n">
        <x:v>26</x:v>
      </x:c>
      <x:c r="J422" s="18" t="n">
        <x:v>137</x:v>
      </x:c>
      <x:c r="K422" s="18" t="n">
        <x:v>26</x:v>
      </x:c>
      <x:c r="L422" s="18" t="n">
        <x:v>25</x:v>
      </x:c>
      <x:c r="M422" s="18" t="n">
        <x:v>26</x:v>
      </x:c>
    </x:row>
    <x:row r="423">
      <x:c r="A423" s="22" t="str">
        <x:v>500104102</x:v>
      </x:c>
      <x:c r="B423" s="17" t="str">
        <x:v>士林區</x:v>
      </x:c>
      <x:c r="C423" s="17" t="str">
        <x:v>啟明學校</x:v>
      </x:c>
      <x:c r="D423" s="18" t="n">
        <x:v>26</x:v>
      </x:c>
      <x:c r="E423" s="18" t="n">
        <x:v>26</x:v>
      </x:c>
      <x:c r="F423" s="18" t="n">
        <x:v>224</x:v>
      </x:c>
      <x:c r="G423" s="18" t="n">
        <x:v>26</x:v>
      </x:c>
      <x:c r="H423" s="18" t="n">
        <x:v>27</x:v>
      </x:c>
      <x:c r="I423" s="18" t="n">
        <x:v>26</x:v>
      </x:c>
      <x:c r="J423" s="18" t="n">
        <x:v>203</x:v>
      </x:c>
      <x:c r="K423" s="18" t="n">
        <x:v>26</x:v>
      </x:c>
      <x:c r="L423" s="18" t="n">
        <x:v>28</x:v>
      </x:c>
      <x:c r="M423" s="18" t="n">
        <x:v>26</x:v>
      </x:c>
    </x:row>
    <x:row r="424">
      <x:c r="A424" s="22" t="str">
        <x:v>500104103</x:v>
      </x:c>
      <x:c r="B424" s="17" t="str">
        <x:v>士林區</x:v>
      </x:c>
      <x:c r="C424" s="17" t="str">
        <x:v>中山福國路口</x:v>
      </x:c>
      <x:c r="D424" s="18" t="n">
        <x:v>26</x:v>
      </x:c>
      <x:c r="E424" s="18" t="n">
        <x:v>26</x:v>
      </x:c>
      <x:c r="F424" s="18" t="n">
        <x:v>350</x:v>
      </x:c>
      <x:c r="G424" s="18" t="n">
        <x:v>26</x:v>
      </x:c>
      <x:c r="H424" s="18" t="n">
        <x:v>22</x:v>
      </x:c>
      <x:c r="I424" s="18" t="n">
        <x:v>26</x:v>
      </x:c>
      <x:c r="J424" s="18" t="n">
        <x:v>146</x:v>
      </x:c>
      <x:c r="K424" s="18" t="n">
        <x:v>26</x:v>
      </x:c>
      <x:c r="L424" s="18" t="n">
        <x:v>46</x:v>
      </x:c>
      <x:c r="M424" s="18" t="n">
        <x:v>26</x:v>
      </x:c>
    </x:row>
    <x:row r="425">
      <x:c r="A425" s="22" t="str">
        <x:v>500104104</x:v>
      </x:c>
      <x:c r="B425" s="17" t="str">
        <x:v>士林區</x:v>
      </x:c>
      <x:c r="C425" s="17" t="str">
        <x:v>德行公園</x:v>
      </x:c>
      <x:c r="D425" s="18" t="n">
        <x:v>26</x:v>
      </x:c>
      <x:c r="E425" s="18" t="n">
        <x:v>26</x:v>
      </x:c>
      <x:c r="F425" s="18" t="n">
        <x:v>160</x:v>
      </x:c>
      <x:c r="G425" s="18" t="n">
        <x:v>26</x:v>
      </x:c>
      <x:c r="H425" s="18" t="n">
        <x:v>8</x:v>
      </x:c>
      <x:c r="I425" s="18" t="n">
        <x:v>26</x:v>
      </x:c>
      <x:c r="J425" s="18" t="n">
        <x:v>915</x:v>
      </x:c>
      <x:c r="K425" s="18" t="n">
        <x:v>26</x:v>
      </x:c>
      <x:c r="L425" s="18" t="n">
        <x:v>74</x:v>
      </x:c>
      <x:c r="M425" s="18" t="n">
        <x:v>26</x:v>
      </x:c>
    </x:row>
    <x:row r="426">
      <x:c r="A426" s="22" t="str">
        <x:v>500104105</x:v>
      </x:c>
      <x:c r="B426" s="17" t="str">
        <x:v>士林區</x:v>
      </x:c>
      <x:c r="C426" s="17" t="str">
        <x:v>承德後港街口</x:v>
      </x:c>
      <x:c r="D426" s="18" t="n">
        <x:v>26</x:v>
      </x:c>
      <x:c r="E426" s="18" t="n">
        <x:v>26</x:v>
      </x:c>
      <x:c r="F426" s="18" t="n">
        <x:v>255</x:v>
      </x:c>
      <x:c r="G426" s="18" t="n">
        <x:v>26</x:v>
      </x:c>
      <x:c r="H426" s="18" t="n">
        <x:v>5</x:v>
      </x:c>
      <x:c r="I426" s="18" t="n">
        <x:v>26</x:v>
      </x:c>
      <x:c r="J426" s="18" t="n">
        <x:v>202</x:v>
      </x:c>
      <x:c r="K426" s="18" t="n">
        <x:v>26</x:v>
      </x:c>
      <x:c r="L426" s="18" t="n">
        <x:v>23</x:v>
      </x:c>
      <x:c r="M426" s="18" t="n">
        <x:v>26</x:v>
      </x:c>
    </x:row>
    <x:row r="427">
      <x:c r="A427" s="22" t="str">
        <x:v>500104106</x:v>
      </x:c>
      <x:c r="B427" s="17" t="str">
        <x:v>士林區</x:v>
      </x:c>
      <x:c r="C427" s="17" t="str">
        <x:v>中山北路五段698巷口</x:v>
      </x:c>
      <x:c r="D427" s="18" t="n">
        <x:v>26</x:v>
      </x:c>
      <x:c r="E427" s="18" t="n">
        <x:v>26</x:v>
      </x:c>
      <x:c r="F427" s="18" t="n">
        <x:v>157</x:v>
      </x:c>
      <x:c r="G427" s="18" t="n">
        <x:v>26</x:v>
      </x:c>
      <x:c r="H427" s="18" t="n">
        <x:v>28</x:v>
      </x:c>
      <x:c r="I427" s="18" t="n">
        <x:v>26</x:v>
      </x:c>
      <x:c r="J427" s="18" t="n">
        <x:v>130</x:v>
      </x:c>
      <x:c r="K427" s="18" t="n">
        <x:v>26</x:v>
      </x:c>
      <x:c r="L427" s="18" t="n">
        <x:v>21</x:v>
      </x:c>
      <x:c r="M427" s="18" t="n">
        <x:v>26</x:v>
      </x:c>
    </x:row>
    <x:row r="428">
      <x:c r="A428" s="22" t="str">
        <x:v>500104107</x:v>
      </x:c>
      <x:c r="B428" s="17" t="str">
        <x:v>士林區</x:v>
      </x:c>
      <x:c r="C428" s="17" t="str">
        <x:v>捷運士林站(1號出口)</x:v>
      </x:c>
      <x:c r="D428" s="18" t="n">
        <x:v>26</x:v>
      </x:c>
      <x:c r="E428" s="18" t="n">
        <x:v>26</x:v>
      </x:c>
      <x:c r="F428" s="18" t="n">
        <x:v>220</x:v>
      </x:c>
      <x:c r="G428" s="18" t="n">
        <x:v>26</x:v>
      </x:c>
      <x:c r="H428" s="18" t="n">
        <x:v>78</x:v>
      </x:c>
      <x:c r="I428" s="18" t="n">
        <x:v>26</x:v>
      </x:c>
      <x:c r="J428" s="18" t="n">
        <x:v>430</x:v>
      </x:c>
      <x:c r="K428" s="18" t="n">
        <x:v>26</x:v>
      </x:c>
      <x:c r="L428" s="18" t="n">
        <x:v>45</x:v>
      </x:c>
      <x:c r="M428" s="18" t="n">
        <x:v>26</x:v>
      </x:c>
    </x:row>
    <x:row r="429">
      <x:c r="A429" s="22" t="str">
        <x:v>500104108</x:v>
      </x:c>
      <x:c r="B429" s="17" t="str">
        <x:v>士林區</x:v>
      </x:c>
      <x:c r="C429" s="17" t="str">
        <x:v>捷運芝山站(2號出口)_1</x:v>
      </x:c>
      <x:c r="D429" s="18" t="n">
        <x:v>26</x:v>
      </x:c>
      <x:c r="E429" s="18" t="n">
        <x:v>26</x:v>
      </x:c>
      <x:c r="F429" s="18" t="n">
        <x:v>682</x:v>
      </x:c>
      <x:c r="G429" s="18" t="n">
        <x:v>26</x:v>
      </x:c>
      <x:c r="H429" s="18" t="n">
        <x:v>113</x:v>
      </x:c>
      <x:c r="I429" s="18" t="n">
        <x:v>26</x:v>
      </x:c>
      <x:c r="J429" s="18" t="n">
        <x:v>1002</x:v>
      </x:c>
      <x:c r="K429" s="18" t="n">
        <x:v>26</x:v>
      </x:c>
      <x:c r="L429" s="18" t="n">
        <x:v>52</x:v>
      </x:c>
      <x:c r="M429" s="18" t="n">
        <x:v>26</x:v>
      </x:c>
    </x:row>
    <x:row r="430">
      <x:c r="A430" s="22" t="str">
        <x:v>500104109</x:v>
      </x:c>
      <x:c r="B430" s="17" t="str">
        <x:v>士林區</x:v>
      </x:c>
      <x:c r="C430" s="17" t="str">
        <x:v>銘傳大學(中山北路五段280巷口)</x:v>
      </x:c>
      <x:c r="D430" s="18" t="n">
        <x:v>26</x:v>
      </x:c>
      <x:c r="E430" s="18" t="n">
        <x:v>26</x:v>
      </x:c>
      <x:c r="F430" s="18" t="n">
        <x:v>153</x:v>
      </x:c>
      <x:c r="G430" s="18" t="n">
        <x:v>26</x:v>
      </x:c>
      <x:c r="H430" s="18" t="n">
        <x:v>38</x:v>
      </x:c>
      <x:c r="I430" s="18" t="n">
        <x:v>26</x:v>
      </x:c>
      <x:c r="J430" s="18" t="n">
        <x:v>414</x:v>
      </x:c>
      <x:c r="K430" s="18" t="n">
        <x:v>26</x:v>
      </x:c>
      <x:c r="L430" s="18" t="n">
        <x:v>41</x:v>
      </x:c>
      <x:c r="M430" s="18" t="n">
        <x:v>26</x:v>
      </x:c>
    </x:row>
    <x:row r="431">
      <x:c r="A431" s="22" t="str">
        <x:v>500104110</x:v>
      </x:c>
      <x:c r="B431" s="17" t="str">
        <x:v>士林區</x:v>
      </x:c>
      <x:c r="C431" s="17" t="str">
        <x:v>海光公園南側</x:v>
      </x:c>
      <x:c r="D431" s="18" t="n">
        <x:v>26</x:v>
      </x:c>
      <x:c r="E431" s="18" t="n">
        <x:v>26</x:v>
      </x:c>
      <x:c r="F431" s="18" t="n">
        <x:v>184</x:v>
      </x:c>
      <x:c r="G431" s="18" t="n">
        <x:v>26</x:v>
      </x:c>
      <x:c r="H431" s="18" t="n">
        <x:v>42</x:v>
      </x:c>
      <x:c r="I431" s="18" t="n">
        <x:v>26</x:v>
      </x:c>
      <x:c r="J431" s="18" t="n">
        <x:v>61</x:v>
      </x:c>
      <x:c r="K431" s="18" t="n">
        <x:v>26</x:v>
      </x:c>
      <x:c r="L431" s="18" t="n">
        <x:v>32</x:v>
      </x:c>
      <x:c r="M431" s="18" t="n">
        <x:v>26</x:v>
      </x:c>
    </x:row>
    <x:row r="432">
      <x:c r="A432" s="22" t="str">
        <x:v>500104111</x:v>
      </x:c>
      <x:c r="B432" s="17" t="str">
        <x:v>士林區</x:v>
      </x:c>
      <x:c r="C432" s="17" t="str">
        <x:v>士商路40巷口</x:v>
      </x:c>
      <x:c r="D432" s="18" t="n">
        <x:v>26</x:v>
      </x:c>
      <x:c r="E432" s="18" t="n">
        <x:v>26</x:v>
      </x:c>
      <x:c r="F432" s="18" t="n">
        <x:v>87</x:v>
      </x:c>
      <x:c r="G432" s="18" t="n">
        <x:v>26</x:v>
      </x:c>
      <x:c r="H432" s="18" t="n">
        <x:v>7</x:v>
      </x:c>
      <x:c r="I432" s="18" t="n">
        <x:v>26</x:v>
      </x:c>
      <x:c r="J432" s="18" t="n">
        <x:v>26</x:v>
      </x:c>
      <x:c r="K432" s="18" t="n">
        <x:v>26</x:v>
      </x:c>
      <x:c r="L432" s="18" t="n">
        <x:v>3</x:v>
      </x:c>
      <x:c r="M432" s="18" t="n">
        <x:v>26</x:v>
      </x:c>
    </x:row>
    <x:row r="433">
      <x:c r="A433" s="22" t="str">
        <x:v>500104112</x:v>
      </x:c>
      <x:c r="B433" s="17" t="str">
        <x:v>士林區</x:v>
      </x:c>
      <x:c r="C433" s="17" t="str">
        <x:v>劍潭郵局</x:v>
      </x:c>
      <x:c r="D433" s="18" t="n">
        <x:v>26</x:v>
      </x:c>
      <x:c r="E433" s="18" t="n">
        <x:v>26</x:v>
      </x:c>
      <x:c r="F433" s="18" t="n">
        <x:v>166</x:v>
      </x:c>
      <x:c r="G433" s="18" t="n">
        <x:v>26</x:v>
      </x:c>
      <x:c r="H433" s="18" t="n">
        <x:v>30</x:v>
      </x:c>
      <x:c r="I433" s="18" t="n">
        <x:v>26</x:v>
      </x:c>
      <x:c r="J433" s="18" t="n">
        <x:v>1265</x:v>
      </x:c>
      <x:c r="K433" s="18" t="n">
        <x:v>26</x:v>
      </x:c>
      <x:c r="L433" s="18" t="n">
        <x:v>102</x:v>
      </x:c>
      <x:c r="M433" s="18" t="n">
        <x:v>26</x:v>
      </x:c>
    </x:row>
    <x:row r="434">
      <x:c r="A434" s="22" t="str">
        <x:v>500104113</x:v>
      </x:c>
      <x:c r="B434" s="17" t="str">
        <x:v>士林區</x:v>
      </x:c>
      <x:c r="C434" s="17" t="str">
        <x:v>士東路91巷口</x:v>
      </x:c>
      <x:c r="D434" s="18" t="n">
        <x:v>26</x:v>
      </x:c>
      <x:c r="E434" s="18" t="n">
        <x:v>26</x:v>
      </x:c>
      <x:c r="F434" s="18" t="n">
        <x:v>430</x:v>
      </x:c>
      <x:c r="G434" s="18" t="n">
        <x:v>26</x:v>
      </x:c>
      <x:c r="H434" s="18" t="n">
        <x:v>59</x:v>
      </x:c>
      <x:c r="I434" s="18" t="n">
        <x:v>26</x:v>
      </x:c>
      <x:c r="J434" s="18" t="n">
        <x:v>193</x:v>
      </x:c>
      <x:c r="K434" s="18" t="n">
        <x:v>26</x:v>
      </x:c>
      <x:c r="L434" s="18" t="n">
        <x:v>37</x:v>
      </x:c>
      <x:c r="M434" s="18" t="n">
        <x:v>26</x:v>
      </x:c>
    </x:row>
    <x:row r="435">
      <x:c r="A435" s="22" t="str">
        <x:v>500104114</x:v>
      </x:c>
      <x:c r="B435" s="17" t="str">
        <x:v>士林區</x:v>
      </x:c>
      <x:c r="C435" s="17" t="str">
        <x:v>美崙公園</x:v>
      </x:c>
      <x:c r="D435" s="18" t="n">
        <x:v>26</x:v>
      </x:c>
      <x:c r="E435" s="18" t="n">
        <x:v>26</x:v>
      </x:c>
      <x:c r="F435" s="18" t="n">
        <x:v>137</x:v>
      </x:c>
      <x:c r="G435" s="18" t="n">
        <x:v>26</x:v>
      </x:c>
      <x:c r="H435" s="18" t="n">
        <x:v>59</x:v>
      </x:c>
      <x:c r="I435" s="18" t="n">
        <x:v>26</x:v>
      </x:c>
      <x:c r="J435" s="18" t="n">
        <x:v>465</x:v>
      </x:c>
      <x:c r="K435" s="18" t="n">
        <x:v>26</x:v>
      </x:c>
      <x:c r="L435" s="18" t="n">
        <x:v>100</x:v>
      </x:c>
      <x:c r="M435" s="18" t="n">
        <x:v>26</x:v>
      </x:c>
    </x:row>
    <x:row r="436">
      <x:c r="A436" s="22" t="str">
        <x:v>500104115</x:v>
      </x:c>
      <x:c r="B436" s="17" t="str">
        <x:v>士林區</x:v>
      </x:c>
      <x:c r="C436" s="17" t="str">
        <x:v>臺北市立大學(忠誠路二段207巷)</x:v>
      </x:c>
      <x:c r="D436" s="18" t="n">
        <x:v>26</x:v>
      </x:c>
      <x:c r="E436" s="18" t="n">
        <x:v>26</x:v>
      </x:c>
      <x:c r="F436" s="18" t="n">
        <x:v>179</x:v>
      </x:c>
      <x:c r="G436" s="18" t="n">
        <x:v>26</x:v>
      </x:c>
      <x:c r="H436" s="18" t="n">
        <x:v>69</x:v>
      </x:c>
      <x:c r="I436" s="18" t="n">
        <x:v>26</x:v>
      </x:c>
      <x:c r="J436" s="18" t="n">
        <x:v>829</x:v>
      </x:c>
      <x:c r="K436" s="18" t="n">
        <x:v>26</x:v>
      </x:c>
      <x:c r="L436" s="18" t="n">
        <x:v>57</x:v>
      </x:c>
      <x:c r="M436" s="18" t="n">
        <x:v>26</x:v>
      </x:c>
    </x:row>
    <x:row r="437">
      <x:c r="A437" s="22" t="str">
        <x:v>500104116</x:v>
      </x:c>
      <x:c r="B437" s="17" t="str">
        <x:v>士林區</x:v>
      </x:c>
      <x:c r="C437" s="17" t="str">
        <x:v>天母東路8巷/忠誠路二段154巷口</x:v>
      </x:c>
      <x:c r="D437" s="18" t="n">
        <x:v>26</x:v>
      </x:c>
      <x:c r="E437" s="18" t="n">
        <x:v>26</x:v>
      </x:c>
      <x:c r="F437" s="18" t="n">
        <x:v>418</x:v>
      </x:c>
      <x:c r="G437" s="18" t="n">
        <x:v>26</x:v>
      </x:c>
      <x:c r="H437" s="18" t="n">
        <x:v>135</x:v>
      </x:c>
      <x:c r="I437" s="18" t="n">
        <x:v>26</x:v>
      </x:c>
      <x:c r="J437" s="18" t="n">
        <x:v>332</x:v>
      </x:c>
      <x:c r="K437" s="18" t="n">
        <x:v>26</x:v>
      </x:c>
      <x:c r="L437" s="18" t="n">
        <x:v>97</x:v>
      </x:c>
      <x:c r="M437" s="18" t="n">
        <x:v>26</x:v>
      </x:c>
    </x:row>
    <x:row r="438">
      <x:c r="A438" s="22" t="str">
        <x:v>500104117</x:v>
      </x:c>
      <x:c r="B438" s="17" t="str">
        <x:v>士林區</x:v>
      </x:c>
      <x:c r="C438" s="17" t="str">
        <x:v>美崙公園(東北側)</x:v>
      </x:c>
      <x:c r="D438" s="18" t="n">
        <x:v>26</x:v>
      </x:c>
      <x:c r="E438" s="18" t="n">
        <x:v>26</x:v>
      </x:c>
      <x:c r="F438" s="18" t="n">
        <x:v>354</x:v>
      </x:c>
      <x:c r="G438" s="18" t="n">
        <x:v>26</x:v>
      </x:c>
      <x:c r="H438" s="18" t="n">
        <x:v>40</x:v>
      </x:c>
      <x:c r="I438" s="18" t="n">
        <x:v>26</x:v>
      </x:c>
      <x:c r="J438" s="18" t="n">
        <x:v>161</x:v>
      </x:c>
      <x:c r="K438" s="18" t="n">
        <x:v>26</x:v>
      </x:c>
      <x:c r="L438" s="18" t="n">
        <x:v>36</x:v>
      </x:c>
      <x:c r="M438" s="18" t="n">
        <x:v>26</x:v>
      </x:c>
    </x:row>
    <x:row r="439">
      <x:c r="A439" s="22" t="str">
        <x:v>500104118</x:v>
      </x:c>
      <x:c r="B439" s="17" t="str">
        <x:v>士林區</x:v>
      </x:c>
      <x:c r="C439" s="17" t="str">
        <x:v>福安河濱公園</x:v>
      </x:c>
      <x:c r="D439" s="18" t="n">
        <x:v>26</x:v>
      </x:c>
      <x:c r="E439" s="18" t="n">
        <x:v>26</x:v>
      </x:c>
      <x:c r="F439" s="18" t="n">
        <x:v>130</x:v>
      </x:c>
      <x:c r="G439" s="18" t="n">
        <x:v>26</x:v>
      </x:c>
      <x:c r="H439" s="18" t="n">
        <x:v>49</x:v>
      </x:c>
      <x:c r="I439" s="18" t="n">
        <x:v>26</x:v>
      </x:c>
      <x:c r="J439" s="18" t="n">
        <x:v>114</x:v>
      </x:c>
      <x:c r="K439" s="18" t="n">
        <x:v>26</x:v>
      </x:c>
      <x:c r="L439" s="18" t="n">
        <x:v>50</x:v>
      </x:c>
      <x:c r="M439" s="18" t="n">
        <x:v>26</x:v>
      </x:c>
    </x:row>
    <x:row r="440">
      <x:c r="A440" s="22" t="str">
        <x:v>500104119</x:v>
      </x:c>
      <x:c r="B440" s="17" t="str">
        <x:v>士林區</x:v>
      </x:c>
      <x:c r="C440" s="17" t="str">
        <x:v>忠誠忠義街口(北側)</x:v>
      </x:c>
      <x:c r="D440" s="18" t="n">
        <x:v>26</x:v>
      </x:c>
      <x:c r="E440" s="18" t="n">
        <x:v>26</x:v>
      </x:c>
      <x:c r="F440" s="18" t="n">
        <x:v>184</x:v>
      </x:c>
      <x:c r="G440" s="18" t="n">
        <x:v>26</x:v>
      </x:c>
      <x:c r="H440" s="18" t="n">
        <x:v>33</x:v>
      </x:c>
      <x:c r="I440" s="18" t="n">
        <x:v>26</x:v>
      </x:c>
      <x:c r="J440" s="18" t="n">
        <x:v>111</x:v>
      </x:c>
      <x:c r="K440" s="18" t="n">
        <x:v>26</x:v>
      </x:c>
      <x:c r="L440" s="18" t="n">
        <x:v>21</x:v>
      </x:c>
      <x:c r="M440" s="18" t="n">
        <x:v>26</x:v>
      </x:c>
    </x:row>
    <x:row r="441">
      <x:c r="A441" s="22" t="str">
        <x:v>500104120</x:v>
      </x:c>
      <x:c r="B441" s="17" t="str">
        <x:v>士林區</x:v>
      </x:c>
      <x:c r="C441" s="17" t="str">
        <x:v>忠誠忠義街口(南側)</x:v>
      </x:c>
      <x:c r="D441" s="18" t="n">
        <x:v>26</x:v>
      </x:c>
      <x:c r="E441" s="18" t="n">
        <x:v>26</x:v>
      </x:c>
      <x:c r="F441" s="18" t="n">
        <x:v>149</x:v>
      </x:c>
      <x:c r="G441" s="18" t="n">
        <x:v>26</x:v>
      </x:c>
      <x:c r="H441" s="18" t="n">
        <x:v>46</x:v>
      </x:c>
      <x:c r="I441" s="18" t="n">
        <x:v>26</x:v>
      </x:c>
      <x:c r="J441" s="18" t="n">
        <x:v>86</x:v>
      </x:c>
      <x:c r="K441" s="18" t="n">
        <x:v>26</x:v>
      </x:c>
      <x:c r="L441" s="18" t="n">
        <x:v>21</x:v>
      </x:c>
      <x:c r="M441" s="18" t="n">
        <x:v>26</x:v>
      </x:c>
    </x:row>
    <x:row r="442">
      <x:c r="A442" s="22" t="str">
        <x:v>500104121</x:v>
      </x:c>
      <x:c r="B442" s="17" t="str">
        <x:v>士林區</x:v>
      </x:c>
      <x:c r="C442" s="17" t="str">
        <x:v>士林國小</x:v>
      </x:c>
      <x:c r="D442" s="18" t="n">
        <x:v>26</x:v>
      </x:c>
      <x:c r="E442" s="18" t="n">
        <x:v>26</x:v>
      </x:c>
      <x:c r="F442" s="18" t="n">
        <x:v>259</x:v>
      </x:c>
      <x:c r="G442" s="18" t="n">
        <x:v>26</x:v>
      </x:c>
      <x:c r="H442" s="18" t="n">
        <x:v>17</x:v>
      </x:c>
      <x:c r="I442" s="18" t="n">
        <x:v>26</x:v>
      </x:c>
      <x:c r="J442" s="18" t="n">
        <x:v>166</x:v>
      </x:c>
      <x:c r="K442" s="18" t="n">
        <x:v>26</x:v>
      </x:c>
      <x:c r="L442" s="18" t="n">
        <x:v>35</x:v>
      </x:c>
      <x:c r="M442" s="18" t="n">
        <x:v>26</x:v>
      </x:c>
    </x:row>
    <x:row r="443">
      <x:c r="A443" s="22" t="str">
        <x:v>500104122</x:v>
      </x:c>
      <x:c r="B443" s="17" t="str">
        <x:v>士林區</x:v>
      </x:c>
      <x:c r="C443" s="17" t="str">
        <x:v>雙溪濕地公園</x:v>
      </x:c>
      <x:c r="D443" s="18" t="n">
        <x:v>26</x:v>
      </x:c>
      <x:c r="E443" s="18" t="n">
        <x:v>26</x:v>
      </x:c>
      <x:c r="F443" s="18" t="n">
        <x:v>96</x:v>
      </x:c>
      <x:c r="G443" s="18" t="n">
        <x:v>26</x:v>
      </x:c>
      <x:c r="H443" s="18" t="n">
        <x:v>33</x:v>
      </x:c>
      <x:c r="I443" s="18" t="n">
        <x:v>26</x:v>
      </x:c>
      <x:c r="J443" s="18" t="n">
        <x:v>175</x:v>
      </x:c>
      <x:c r="K443" s="18" t="n">
        <x:v>26</x:v>
      </x:c>
      <x:c r="L443" s="18" t="n">
        <x:v>42</x:v>
      </x:c>
      <x:c r="M443" s="18" t="n">
        <x:v>26</x:v>
      </x:c>
    </x:row>
    <x:row r="444">
      <x:c r="A444" s="22" t="str">
        <x:v>500104123</x:v>
      </x:c>
      <x:c r="B444" s="17" t="str">
        <x:v>士林區</x:v>
      </x:c>
      <x:c r="C444" s="17" t="str">
        <x:v>劍潭海外青年活動中心(志清大樓)</x:v>
      </x:c>
      <x:c r="D444" s="18" t="n">
        <x:v>26</x:v>
      </x:c>
      <x:c r="E444" s="18" t="n">
        <x:v>26</x:v>
      </x:c>
      <x:c r="F444" s="18" t="n">
        <x:v>386</x:v>
      </x:c>
      <x:c r="G444" s="18" t="n">
        <x:v>26</x:v>
      </x:c>
      <x:c r="H444" s="18" t="n">
        <x:v>62</x:v>
      </x:c>
      <x:c r="I444" s="18" t="n">
        <x:v>26</x:v>
      </x:c>
      <x:c r="J444" s="18" t="n">
        <x:v>129</x:v>
      </x:c>
      <x:c r="K444" s="18" t="n">
        <x:v>26</x:v>
      </x:c>
      <x:c r="L444" s="18" t="n">
        <x:v>38</x:v>
      </x:c>
      <x:c r="M444" s="18" t="n">
        <x:v>26</x:v>
      </x:c>
    </x:row>
    <x:row r="445">
      <x:c r="A445" s="22" t="str">
        <x:v>500104124</x:v>
      </x:c>
      <x:c r="B445" s="17" t="str">
        <x:v>士林區</x:v>
      </x:c>
      <x:c r="C445" s="17" t="str">
        <x:v>天和一號公園</x:v>
      </x:c>
      <x:c r="D445" s="18" t="n">
        <x:v>26</x:v>
      </x:c>
      <x:c r="E445" s="18" t="n">
        <x:v>26</x:v>
      </x:c>
      <x:c r="F445" s="18" t="n">
        <x:v>248</x:v>
      </x:c>
      <x:c r="G445" s="18" t="n">
        <x:v>26</x:v>
      </x:c>
      <x:c r="H445" s="18" t="n">
        <x:v>83</x:v>
      </x:c>
      <x:c r="I445" s="18" t="n">
        <x:v>26</x:v>
      </x:c>
      <x:c r="J445" s="18" t="n">
        <x:v>128</x:v>
      </x:c>
      <x:c r="K445" s="18" t="n">
        <x:v>26</x:v>
      </x:c>
      <x:c r="L445" s="18" t="n">
        <x:v>49</x:v>
      </x:c>
      <x:c r="M445" s="18" t="n">
        <x:v>26</x:v>
      </x:c>
    </x:row>
    <x:row r="446">
      <x:c r="A446" s="22" t="str">
        <x:v>500104125</x:v>
      </x:c>
      <x:c r="B446" s="17" t="str">
        <x:v>士林區</x:v>
      </x:c>
      <x:c r="C446" s="17" t="str">
        <x:v>忠誠路二段178巷口</x:v>
      </x:c>
      <x:c r="D446" s="18" t="n">
        <x:v>26</x:v>
      </x:c>
      <x:c r="E446" s="18" t="n">
        <x:v>26</x:v>
      </x:c>
      <x:c r="F446" s="18" t="n">
        <x:v>258</x:v>
      </x:c>
      <x:c r="G446" s="18" t="n">
        <x:v>26</x:v>
      </x:c>
      <x:c r="H446" s="18" t="n">
        <x:v>84</x:v>
      </x:c>
      <x:c r="I446" s="18" t="n">
        <x:v>26</x:v>
      </x:c>
      <x:c r="J446" s="18" t="n">
        <x:v>202</x:v>
      </x:c>
      <x:c r="K446" s="18" t="n">
        <x:v>26</x:v>
      </x:c>
      <x:c r="L446" s="18" t="n">
        <x:v>58</x:v>
      </x:c>
      <x:c r="M446" s="18" t="n">
        <x:v>26</x:v>
      </x:c>
    </x:row>
    <x:row r="447">
      <x:c r="A447" s="22" t="str">
        <x:v>500104126</x:v>
      </x:c>
      <x:c r="B447" s="17" t="str">
        <x:v>士林區</x:v>
      </x:c>
      <x:c r="C447" s="17" t="str">
        <x:v>克強磺溪街口</x:v>
      </x:c>
      <x:c r="D447" s="18" t="n">
        <x:v>26</x:v>
      </x:c>
      <x:c r="E447" s="18" t="n">
        <x:v>26</x:v>
      </x:c>
      <x:c r="F447" s="18" t="n">
        <x:v>514</x:v>
      </x:c>
      <x:c r="G447" s="18" t="n">
        <x:v>26</x:v>
      </x:c>
      <x:c r="H447" s="18" t="n">
        <x:v>45</x:v>
      </x:c>
      <x:c r="I447" s="18" t="n">
        <x:v>26</x:v>
      </x:c>
      <x:c r="J447" s="18" t="n">
        <x:v>117</x:v>
      </x:c>
      <x:c r="K447" s="18" t="n">
        <x:v>26</x:v>
      </x:c>
      <x:c r="L447" s="18" t="n">
        <x:v>21</x:v>
      </x:c>
      <x:c r="M447" s="18" t="n">
        <x:v>26</x:v>
      </x:c>
    </x:row>
    <x:row r="448">
      <x:c r="A448" s="22" t="str">
        <x:v>500104127</x:v>
      </x:c>
      <x:c r="B448" s="17" t="str">
        <x:v>士林區</x:v>
      </x:c>
      <x:c r="C448" s="17" t="str">
        <x:v>臺灣銀行劍潭分行</x:v>
      </x:c>
      <x:c r="D448" s="18" t="n">
        <x:v>26</x:v>
      </x:c>
      <x:c r="E448" s="18" t="n">
        <x:v>26</x:v>
      </x:c>
      <x:c r="F448" s="18" t="n">
        <x:v>0</x:v>
      </x:c>
      <x:c r="G448" s="18" t="n">
        <x:v>26</x:v>
      </x:c>
      <x:c r="H448" s="18" t="n">
        <x:v>0</x:v>
      </x:c>
      <x:c r="I448" s="18" t="n">
        <x:v>26</x:v>
      </x:c>
      <x:c r="J448" s="18" t="n">
        <x:v>0</x:v>
      </x:c>
      <x:c r="K448" s="18" t="n">
        <x:v>26</x:v>
      </x:c>
      <x:c r="L448" s="18" t="n">
        <x:v>0</x:v>
      </x:c>
      <x:c r="M448" s="18" t="n">
        <x:v>26</x:v>
      </x:c>
    </x:row>
    <x:row r="449">
      <x:c r="A449" s="22" t="str">
        <x:v>500104128</x:v>
      </x:c>
      <x:c r="B449" s="17" t="str">
        <x:v>士林區</x:v>
      </x:c>
      <x:c r="C449" s="17" t="str">
        <x:v>蘭雅公園(西側)</x:v>
      </x:c>
      <x:c r="D449" s="18" t="n">
        <x:v>26</x:v>
      </x:c>
      <x:c r="E449" s="18" t="n">
        <x:v>26</x:v>
      </x:c>
      <x:c r="F449" s="18" t="n">
        <x:v>435</x:v>
      </x:c>
      <x:c r="G449" s="18" t="n">
        <x:v>26</x:v>
      </x:c>
      <x:c r="H449" s="18" t="n">
        <x:v>50</x:v>
      </x:c>
      <x:c r="I449" s="18" t="n">
        <x:v>26</x:v>
      </x:c>
      <x:c r="J449" s="18" t="n">
        <x:v>227</x:v>
      </x:c>
      <x:c r="K449" s="18" t="n">
        <x:v>26</x:v>
      </x:c>
      <x:c r="L449" s="18" t="n">
        <x:v>65</x:v>
      </x:c>
      <x:c r="M449" s="18" t="n">
        <x:v>26</x:v>
      </x:c>
    </x:row>
    <x:row r="450">
      <x:c r="A450" s="22" t="str">
        <x:v>500104129</x:v>
      </x:c>
      <x:c r="B450" s="17" t="str">
        <x:v>士林區</x:v>
      </x:c>
      <x:c r="C450" s="17" t="str">
        <x:v>福林路100巷77弄口</x:v>
      </x:c>
      <x:c r="D450" s="18" t="n">
        <x:v>26</x:v>
      </x:c>
      <x:c r="E450" s="18" t="n">
        <x:v>26</x:v>
      </x:c>
      <x:c r="F450" s="18" t="n">
        <x:v>215</x:v>
      </x:c>
      <x:c r="G450" s="18" t="n">
        <x:v>26</x:v>
      </x:c>
      <x:c r="H450" s="18" t="n">
        <x:v>53</x:v>
      </x:c>
      <x:c r="I450" s="18" t="n">
        <x:v>26</x:v>
      </x:c>
      <x:c r="J450" s="18" t="n">
        <x:v>139</x:v>
      </x:c>
      <x:c r="K450" s="18" t="n">
        <x:v>26</x:v>
      </x:c>
      <x:c r="L450" s="18" t="n">
        <x:v>32</x:v>
      </x:c>
      <x:c r="M450" s="18" t="n">
        <x:v>26</x:v>
      </x:c>
    </x:row>
    <x:row r="451">
      <x:c r="A451" s="22" t="str">
        <x:v>500104130</x:v>
      </x:c>
      <x:c r="B451" s="17" t="str">
        <x:v>士林區</x:v>
      </x:c>
      <x:c r="C451" s="17" t="str">
        <x:v>福林路100巷11弄口</x:v>
      </x:c>
      <x:c r="D451" s="18" t="n">
        <x:v>26</x:v>
      </x:c>
      <x:c r="E451" s="18" t="n">
        <x:v>26</x:v>
      </x:c>
      <x:c r="F451" s="18" t="n">
        <x:v>208</x:v>
      </x:c>
      <x:c r="G451" s="18" t="n">
        <x:v>26</x:v>
      </x:c>
      <x:c r="H451" s="18" t="n">
        <x:v>25</x:v>
      </x:c>
      <x:c r="I451" s="18" t="n">
        <x:v>26</x:v>
      </x:c>
      <x:c r="J451" s="18" t="n">
        <x:v>190</x:v>
      </x:c>
      <x:c r="K451" s="18" t="n">
        <x:v>26</x:v>
      </x:c>
      <x:c r="L451" s="18" t="n">
        <x:v>14</x:v>
      </x:c>
      <x:c r="M451" s="18" t="n">
        <x:v>26</x:v>
      </x:c>
    </x:row>
    <x:row r="452">
      <x:c r="A452" s="22" t="str">
        <x:v>500104131</x:v>
      </x:c>
      <x:c r="B452" s="17" t="str">
        <x:v>士林區</x:v>
      </x:c>
      <x:c r="C452" s="17" t="str">
        <x:v>重慶北路四段190巷口(通河西街側)</x:v>
      </x:c>
      <x:c r="D452" s="18" t="n">
        <x:v>26</x:v>
      </x:c>
      <x:c r="E452" s="18" t="n">
        <x:v>26</x:v>
      </x:c>
      <x:c r="F452" s="18" t="n">
        <x:v>184</x:v>
      </x:c>
      <x:c r="G452" s="18" t="n">
        <x:v>26</x:v>
      </x:c>
      <x:c r="H452" s="18" t="n">
        <x:v>43</x:v>
      </x:c>
      <x:c r="I452" s="18" t="n">
        <x:v>26</x:v>
      </x:c>
      <x:c r="J452" s="18" t="n">
        <x:v>136</x:v>
      </x:c>
      <x:c r="K452" s="18" t="n">
        <x:v>26</x:v>
      </x:c>
      <x:c r="L452" s="18" t="n">
        <x:v>22</x:v>
      </x:c>
      <x:c r="M452" s="18" t="n">
        <x:v>26</x:v>
      </x:c>
    </x:row>
    <x:row r="453">
      <x:c r="A453" s="22" t="str">
        <x:v>500104132</x:v>
      </x:c>
      <x:c r="B453" s="17" t="str">
        <x:v>士林區</x:v>
      </x:c>
      <x:c r="C453" s="17" t="str">
        <x:v>承德區民活動中心</x:v>
      </x:c>
      <x:c r="D453" s="18" t="n">
        <x:v>26</x:v>
      </x:c>
      <x:c r="E453" s="18" t="n">
        <x:v>26</x:v>
      </x:c>
      <x:c r="F453" s="18" t="n">
        <x:v>590</x:v>
      </x:c>
      <x:c r="G453" s="18" t="n">
        <x:v>26</x:v>
      </x:c>
      <x:c r="H453" s="18" t="n">
        <x:v>51</x:v>
      </x:c>
      <x:c r="I453" s="18" t="n">
        <x:v>26</x:v>
      </x:c>
      <x:c r="J453" s="18" t="n">
        <x:v>124</x:v>
      </x:c>
      <x:c r="K453" s="18" t="n">
        <x:v>26</x:v>
      </x:c>
      <x:c r="L453" s="18" t="n">
        <x:v>17</x:v>
      </x:c>
      <x:c r="M453" s="18" t="n">
        <x:v>26</x:v>
      </x:c>
    </x:row>
    <x:row r="454">
      <x:c r="A454" s="22" t="str">
        <x:v>500104133</x:v>
      </x:c>
      <x:c r="B454" s="17" t="str">
        <x:v>士林區</x:v>
      </x:c>
      <x:c r="C454" s="17" t="str">
        <x:v>福林路255巷口</x:v>
      </x:c>
      <x:c r="D454" s="18" t="n">
        <x:v>26</x:v>
      </x:c>
      <x:c r="E454" s="18" t="n">
        <x:v>26</x:v>
      </x:c>
      <x:c r="F454" s="18" t="n">
        <x:v>240</x:v>
      </x:c>
      <x:c r="G454" s="18" t="n">
        <x:v>26</x:v>
      </x:c>
      <x:c r="H454" s="18" t="n">
        <x:v>45</x:v>
      </x:c>
      <x:c r="I454" s="18" t="n">
        <x:v>26</x:v>
      </x:c>
      <x:c r="J454" s="18" t="n">
        <x:v>139</x:v>
      </x:c>
      <x:c r="K454" s="18" t="n">
        <x:v>26</x:v>
      </x:c>
      <x:c r="L454" s="18" t="n">
        <x:v>28</x:v>
      </x:c>
      <x:c r="M454" s="18" t="n">
        <x:v>26</x:v>
      </x:c>
    </x:row>
    <x:row r="455">
      <x:c r="A455" s="22" t="str">
        <x:v>500104134</x:v>
      </x:c>
      <x:c r="B455" s="17" t="str">
        <x:v>士林區</x:v>
      </x:c>
      <x:c r="C455" s="17" t="str">
        <x:v>中山北路五段378巷口</x:v>
      </x:c>
      <x:c r="D455" s="18" t="n">
        <x:v>26</x:v>
      </x:c>
      <x:c r="E455" s="18" t="n">
        <x:v>26</x:v>
      </x:c>
      <x:c r="F455" s="18" t="n">
        <x:v>280</x:v>
      </x:c>
      <x:c r="G455" s="18" t="n">
        <x:v>26</x:v>
      </x:c>
      <x:c r="H455" s="18" t="n">
        <x:v>37</x:v>
      </x:c>
      <x:c r="I455" s="18" t="n">
        <x:v>26</x:v>
      </x:c>
      <x:c r="J455" s="18" t="n">
        <x:v>233</x:v>
      </x:c>
      <x:c r="K455" s="18" t="n">
        <x:v>26</x:v>
      </x:c>
      <x:c r="L455" s="18" t="n">
        <x:v>26</x:v>
      </x:c>
      <x:c r="M455" s="18" t="n">
        <x:v>26</x:v>
      </x:c>
    </x:row>
    <x:row r="456">
      <x:c r="A456" s="22" t="str">
        <x:v>500104135</x:v>
      </x:c>
      <x:c r="B456" s="17" t="str">
        <x:v>士林區</x:v>
      </x:c>
      <x:c r="C456" s="17" t="str">
        <x:v>中山北路六段405巷</x:v>
      </x:c>
      <x:c r="D456" s="18" t="n">
        <x:v>26</x:v>
      </x:c>
      <x:c r="E456" s="18" t="n">
        <x:v>26</x:v>
      </x:c>
      <x:c r="F456" s="18" t="n">
        <x:v>351</x:v>
      </x:c>
      <x:c r="G456" s="18" t="n">
        <x:v>26</x:v>
      </x:c>
      <x:c r="H456" s="18" t="n">
        <x:v>100</x:v>
      </x:c>
      <x:c r="I456" s="18" t="n">
        <x:v>26</x:v>
      </x:c>
      <x:c r="J456" s="18" t="n">
        <x:v>197</x:v>
      </x:c>
      <x:c r="K456" s="18" t="n">
        <x:v>26</x:v>
      </x:c>
      <x:c r="L456" s="18" t="n">
        <x:v>66</x:v>
      </x:c>
      <x:c r="M456" s="18" t="n">
        <x:v>26</x:v>
      </x:c>
    </x:row>
    <x:row r="457">
      <x:c r="A457" s="22" t="str">
        <x:v>500104136</x:v>
      </x:c>
      <x:c r="B457" s="17" t="str">
        <x:v>士林區</x:v>
      </x:c>
      <x:c r="C457" s="17" t="str">
        <x:v>圓山育樂中心</x:v>
      </x:c>
      <x:c r="D457" s="18" t="n">
        <x:v>26</x:v>
      </x:c>
      <x:c r="E457" s="18" t="n">
        <x:v>26</x:v>
      </x:c>
      <x:c r="F457" s="18" t="n">
        <x:v>251</x:v>
      </x:c>
      <x:c r="G457" s="18" t="n">
        <x:v>26</x:v>
      </x:c>
      <x:c r="H457" s="18" t="n">
        <x:v>18</x:v>
      </x:c>
      <x:c r="I457" s="18" t="n">
        <x:v>26</x:v>
      </x:c>
      <x:c r="J457" s="18" t="n">
        <x:v>143</x:v>
      </x:c>
      <x:c r="K457" s="18" t="n">
        <x:v>26</x:v>
      </x:c>
      <x:c r="L457" s="18" t="n">
        <x:v>32</x:v>
      </x:c>
      <x:c r="M457" s="18" t="n">
        <x:v>26</x:v>
      </x:c>
    </x:row>
    <x:row r="458">
      <x:c r="A458" s="22" t="str">
        <x:v>500104137</x:v>
      </x:c>
      <x:c r="B458" s="17" t="str">
        <x:v>士林區</x:v>
      </x:c>
      <x:c r="C458" s="17" t="str">
        <x:v>至善公園</x:v>
      </x:c>
      <x:c r="D458" s="18" t="n">
        <x:v>26</x:v>
      </x:c>
      <x:c r="E458" s="18" t="n">
        <x:v>26</x:v>
      </x:c>
      <x:c r="F458" s="18" t="n">
        <x:v>231</x:v>
      </x:c>
      <x:c r="G458" s="18" t="n">
        <x:v>26</x:v>
      </x:c>
      <x:c r="H458" s="18" t="n">
        <x:v>23</x:v>
      </x:c>
      <x:c r="I458" s="18" t="n">
        <x:v>26</x:v>
      </x:c>
      <x:c r="J458" s="18" t="n">
        <x:v>246</x:v>
      </x:c>
      <x:c r="K458" s="18" t="n">
        <x:v>26</x:v>
      </x:c>
      <x:c r="L458" s="18" t="n">
        <x:v>48</x:v>
      </x:c>
      <x:c r="M458" s="18" t="n">
        <x:v>26</x:v>
      </x:c>
    </x:row>
    <x:row r="459">
      <x:c r="A459" s="22" t="str">
        <x:v>500104138</x:v>
      </x:c>
      <x:c r="B459" s="17" t="str">
        <x:v>士林區</x:v>
      </x:c>
      <x:c r="C459" s="17" t="str">
        <x:v>社子島抽水站</x:v>
      </x:c>
      <x:c r="D459" s="18" t="n">
        <x:v>26</x:v>
      </x:c>
      <x:c r="E459" s="18" t="n">
        <x:v>26</x:v>
      </x:c>
      <x:c r="F459" s="18" t="n">
        <x:v>106</x:v>
      </x:c>
      <x:c r="G459" s="18" t="n">
        <x:v>26</x:v>
      </x:c>
      <x:c r="H459" s="18" t="n">
        <x:v>61</x:v>
      </x:c>
      <x:c r="I459" s="18" t="n">
        <x:v>26</x:v>
      </x:c>
      <x:c r="J459" s="18" t="n">
        <x:v>79</x:v>
      </x:c>
      <x:c r="K459" s="18" t="n">
        <x:v>26</x:v>
      </x:c>
      <x:c r="L459" s="18" t="n">
        <x:v>57</x:v>
      </x:c>
      <x:c r="M459" s="18" t="n">
        <x:v>26</x:v>
      </x:c>
    </x:row>
    <x:row r="460">
      <x:c r="A460" s="22" t="str">
        <x:v>500104139</x:v>
      </x:c>
      <x:c r="B460" s="17" t="str">
        <x:v>士林區</x:v>
      </x:c>
      <x:c r="C460" s="17" t="str">
        <x:v>中山北路六段427巷口</x:v>
      </x:c>
      <x:c r="D460" s="18" t="n">
        <x:v>26</x:v>
      </x:c>
      <x:c r="E460" s="18" t="n">
        <x:v>26</x:v>
      </x:c>
      <x:c r="F460" s="18" t="n">
        <x:v>227</x:v>
      </x:c>
      <x:c r="G460" s="18" t="n">
        <x:v>26</x:v>
      </x:c>
      <x:c r="H460" s="18" t="n">
        <x:v>34</x:v>
      </x:c>
      <x:c r="I460" s="18" t="n">
        <x:v>26</x:v>
      </x:c>
      <x:c r="J460" s="18" t="n">
        <x:v>152</x:v>
      </x:c>
      <x:c r="K460" s="18" t="n">
        <x:v>26</x:v>
      </x:c>
      <x:c r="L460" s="18" t="n">
        <x:v>49</x:v>
      </x:c>
      <x:c r="M460" s="18" t="n">
        <x:v>26</x:v>
      </x:c>
    </x:row>
    <x:row r="461">
      <x:c r="A461" s="22" t="str">
        <x:v>500104140</x:v>
      </x:c>
      <x:c r="B461" s="17" t="str">
        <x:v>士林區</x:v>
      </x:c>
      <x:c r="C461" s="17" t="str">
        <x:v>士林分局</x:v>
      </x:c>
      <x:c r="D461" s="18" t="n">
        <x:v>26</x:v>
      </x:c>
      <x:c r="E461" s="18" t="n">
        <x:v>26</x:v>
      </x:c>
      <x:c r="F461" s="18" t="n">
        <x:v>247</x:v>
      </x:c>
      <x:c r="G461" s="18" t="n">
        <x:v>26</x:v>
      </x:c>
      <x:c r="H461" s="18" t="n">
        <x:v>44</x:v>
      </x:c>
      <x:c r="I461" s="18" t="n">
        <x:v>26</x:v>
      </x:c>
      <x:c r="J461" s="18" t="n">
        <x:v>199</x:v>
      </x:c>
      <x:c r="K461" s="18" t="n">
        <x:v>26</x:v>
      </x:c>
      <x:c r="L461" s="18" t="n">
        <x:v>34</x:v>
      </x:c>
      <x:c r="M461" s="18" t="n">
        <x:v>26</x:v>
      </x:c>
    </x:row>
    <x:row r="462">
      <x:c r="A462" s="22" t="str">
        <x:v>500104141</x:v>
      </x:c>
      <x:c r="B462" s="17" t="str">
        <x:v>士林區</x:v>
      </x:c>
      <x:c r="C462" s="17" t="str">
        <x:v>忠誠路二段98巷口</x:v>
      </x:c>
      <x:c r="D462" s="18" t="n">
        <x:v>26</x:v>
      </x:c>
      <x:c r="E462" s="18" t="n">
        <x:v>26</x:v>
      </x:c>
      <x:c r="F462" s="18" t="n">
        <x:v>263</x:v>
      </x:c>
      <x:c r="G462" s="18" t="n">
        <x:v>26</x:v>
      </x:c>
      <x:c r="H462" s="18" t="n">
        <x:v>35</x:v>
      </x:c>
      <x:c r="I462" s="18" t="n">
        <x:v>26</x:v>
      </x:c>
      <x:c r="J462" s="18" t="n">
        <x:v>199</x:v>
      </x:c>
      <x:c r="K462" s="18" t="n">
        <x:v>26</x:v>
      </x:c>
      <x:c r="L462" s="18" t="n">
        <x:v>50</x:v>
      </x:c>
      <x:c r="M462" s="18" t="n">
        <x:v>26</x:v>
      </x:c>
    </x:row>
    <x:row r="463">
      <x:c r="A463" s="22" t="str">
        <x:v>500104142</x:v>
      </x:c>
      <x:c r="B463" s="17" t="str">
        <x:v>士林區</x:v>
      </x:c>
      <x:c r="C463" s="17" t="str">
        <x:v>東吳大學</x:v>
      </x:c>
      <x:c r="D463" s="18" t="n">
        <x:v>26</x:v>
      </x:c>
      <x:c r="E463" s="18" t="n">
        <x:v>26</x:v>
      </x:c>
      <x:c r="F463" s="18" t="n">
        <x:v>185</x:v>
      </x:c>
      <x:c r="G463" s="18" t="n">
        <x:v>26</x:v>
      </x:c>
      <x:c r="H463" s="18" t="n">
        <x:v>49</x:v>
      </x:c>
      <x:c r="I463" s="18" t="n">
        <x:v>26</x:v>
      </x:c>
      <x:c r="J463" s="18" t="n">
        <x:v>1028</x:v>
      </x:c>
      <x:c r="K463" s="18" t="n">
        <x:v>26</x:v>
      </x:c>
      <x:c r="L463" s="18" t="n">
        <x:v>63</x:v>
      </x:c>
      <x:c r="M463" s="18" t="n">
        <x:v>26</x:v>
      </x:c>
    </x:row>
    <x:row r="464">
      <x:c r="A464" s="22" t="str">
        <x:v>500104143</x:v>
      </x:c>
      <x:c r="B464" s="17" t="str">
        <x:v>士林區</x:v>
      </x:c>
      <x:c r="C464" s="17" t="str">
        <x:v>福志公園</x:v>
      </x:c>
      <x:c r="D464" s="18" t="n">
        <x:v>26</x:v>
      </x:c>
      <x:c r="E464" s="18" t="n">
        <x:v>26</x:v>
      </x:c>
      <x:c r="F464" s="18" t="n">
        <x:v>356</x:v>
      </x:c>
      <x:c r="G464" s="18" t="n">
        <x:v>26</x:v>
      </x:c>
      <x:c r="H464" s="18" t="n">
        <x:v>52</x:v>
      </x:c>
      <x:c r="I464" s="18" t="n">
        <x:v>26</x:v>
      </x:c>
      <x:c r="J464" s="18" t="n">
        <x:v>113</x:v>
      </x:c>
      <x:c r="K464" s="18" t="n">
        <x:v>26</x:v>
      </x:c>
      <x:c r="L464" s="18" t="n">
        <x:v>14</x:v>
      </x:c>
      <x:c r="M464" s="18" t="n">
        <x:v>26</x:v>
      </x:c>
    </x:row>
    <x:row r="465">
      <x:c r="A465" s="22" t="str">
        <x:v>500104144</x:v>
      </x:c>
      <x:c r="B465" s="17" t="str">
        <x:v>士林區</x:v>
      </x:c>
      <x:c r="C465" s="17" t="str">
        <x:v>德行東路331巷口</x:v>
      </x:c>
      <x:c r="D465" s="18" t="n">
        <x:v>26</x:v>
      </x:c>
      <x:c r="E465" s="18" t="n">
        <x:v>26</x:v>
      </x:c>
      <x:c r="F465" s="18" t="n">
        <x:v>651</x:v>
      </x:c>
      <x:c r="G465" s="18" t="n">
        <x:v>26</x:v>
      </x:c>
      <x:c r="H465" s="18" t="n">
        <x:v>59</x:v>
      </x:c>
      <x:c r="I465" s="18" t="n">
        <x:v>26</x:v>
      </x:c>
      <x:c r="J465" s="18" t="n">
        <x:v>205</x:v>
      </x:c>
      <x:c r="K465" s="18" t="n">
        <x:v>26</x:v>
      </x:c>
      <x:c r="L465" s="18" t="n">
        <x:v>22</x:v>
      </x:c>
      <x:c r="M465" s="18" t="n">
        <x:v>26</x:v>
      </x:c>
    </x:row>
    <x:row r="466">
      <x:c r="A466" s="22" t="str">
        <x:v>500104145</x:v>
      </x:c>
      <x:c r="B466" s="17" t="str">
        <x:v>士林區</x:v>
      </x:c>
      <x:c r="C466" s="17" t="str">
        <x:v>天母北路87巷9弄</x:v>
      </x:c>
      <x:c r="D466" s="18" t="n">
        <x:v>26</x:v>
      </x:c>
      <x:c r="E466" s="18" t="n">
        <x:v>26</x:v>
      </x:c>
      <x:c r="F466" s="18" t="n">
        <x:v>112</x:v>
      </x:c>
      <x:c r="G466" s="18" t="n">
        <x:v>26</x:v>
      </x:c>
      <x:c r="H466" s="18" t="n">
        <x:v>59</x:v>
      </x:c>
      <x:c r="I466" s="18" t="n">
        <x:v>26</x:v>
      </x:c>
      <x:c r="J466" s="18" t="n">
        <x:v>124</x:v>
      </x:c>
      <x:c r="K466" s="18" t="n">
        <x:v>26</x:v>
      </x:c>
      <x:c r="L466" s="18" t="n">
        <x:v>27</x:v>
      </x:c>
      <x:c r="M466" s="18" t="n">
        <x:v>26</x:v>
      </x:c>
    </x:row>
    <x:row r="467">
      <x:c r="A467" s="22" t="str">
        <x:v>500104146</x:v>
      </x:c>
      <x:c r="B467" s="17" t="str">
        <x:v>士林區</x:v>
      </x:c>
      <x:c r="C467" s="17" t="str">
        <x:v>重慶北路四段108號(通河西街側)</x:v>
      </x:c>
      <x:c r="D467" s="18" t="n">
        <x:v>26</x:v>
      </x:c>
      <x:c r="E467" s="18" t="n">
        <x:v>26</x:v>
      </x:c>
      <x:c r="F467" s="18" t="n">
        <x:v>183</x:v>
      </x:c>
      <x:c r="G467" s="18" t="n">
        <x:v>26</x:v>
      </x:c>
      <x:c r="H467" s="18" t="n">
        <x:v>26</x:v>
      </x:c>
      <x:c r="I467" s="18" t="n">
        <x:v>26</x:v>
      </x:c>
      <x:c r="J467" s="18" t="n">
        <x:v>162</x:v>
      </x:c>
      <x:c r="K467" s="18" t="n">
        <x:v>26</x:v>
      </x:c>
      <x:c r="L467" s="18" t="n">
        <x:v>22</x:v>
      </x:c>
      <x:c r="M467" s="18" t="n">
        <x:v>26</x:v>
      </x:c>
    </x:row>
    <x:row r="468">
      <x:c r="A468" s="22" t="str">
        <x:v>500104147</x:v>
      </x:c>
      <x:c r="B468" s="17" t="str">
        <x:v>士林區</x:v>
      </x:c>
      <x:c r="C468" s="17" t="str">
        <x:v>臺灣戲曲中心(文林德行西路口)</x:v>
      </x:c>
      <x:c r="D468" s="18" t="n">
        <x:v>26</x:v>
      </x:c>
      <x:c r="E468" s="18" t="n">
        <x:v>26</x:v>
      </x:c>
      <x:c r="F468" s="18" t="n">
        <x:v>255</x:v>
      </x:c>
      <x:c r="G468" s="18" t="n">
        <x:v>26</x:v>
      </x:c>
      <x:c r="H468" s="18" t="n">
        <x:v>33</x:v>
      </x:c>
      <x:c r="I468" s="18" t="n">
        <x:v>26</x:v>
      </x:c>
      <x:c r="J468" s="18" t="n">
        <x:v>217</x:v>
      </x:c>
      <x:c r="K468" s="18" t="n">
        <x:v>26</x:v>
      </x:c>
      <x:c r="L468" s="18" t="n">
        <x:v>41</x:v>
      </x:c>
      <x:c r="M468" s="18" t="n">
        <x:v>26</x:v>
      </x:c>
    </x:row>
    <x:row r="469">
      <x:c r="A469" s="22" t="str">
        <x:v>500104148</x:v>
      </x:c>
      <x:c r="B469" s="17" t="str">
        <x:v>士林區</x:v>
      </x:c>
      <x:c r="C469" s="17" t="str">
        <x:v>中山北路六段252巷口</x:v>
      </x:c>
      <x:c r="D469" s="18" t="n">
        <x:v>26</x:v>
      </x:c>
      <x:c r="E469" s="18" t="n">
        <x:v>26</x:v>
      </x:c>
      <x:c r="F469" s="18" t="n">
        <x:v>39</x:v>
      </x:c>
      <x:c r="G469" s="18" t="n">
        <x:v>26</x:v>
      </x:c>
      <x:c r="H469" s="18" t="n">
        <x:v>9</x:v>
      </x:c>
      <x:c r="I469" s="18" t="n">
        <x:v>26</x:v>
      </x:c>
      <x:c r="J469" s="18" t="n">
        <x:v>139</x:v>
      </x:c>
      <x:c r="K469" s="18" t="n">
        <x:v>26</x:v>
      </x:c>
      <x:c r="L469" s="18" t="n">
        <x:v>47</x:v>
      </x:c>
      <x:c r="M469" s="18" t="n">
        <x:v>26</x:v>
      </x:c>
    </x:row>
    <x:row r="470">
      <x:c r="A470" s="22" t="str">
        <x:v>500104149</x:v>
      </x:c>
      <x:c r="B470" s="17" t="str">
        <x:v>士林區</x:v>
      </x:c>
      <x:c r="C470" s="17" t="str">
        <x:v>志成中正路口</x:v>
      </x:c>
      <x:c r="D470" s="18" t="n">
        <x:v>26</x:v>
      </x:c>
      <x:c r="E470" s="18" t="n">
        <x:v>26</x:v>
      </x:c>
      <x:c r="F470" s="18" t="n">
        <x:v>193</x:v>
      </x:c>
      <x:c r="G470" s="18" t="n">
        <x:v>26</x:v>
      </x:c>
      <x:c r="H470" s="18" t="n">
        <x:v>26</x:v>
      </x:c>
      <x:c r="I470" s="18" t="n">
        <x:v>26</x:v>
      </x:c>
      <x:c r="J470" s="18" t="n">
        <x:v>114</x:v>
      </x:c>
      <x:c r="K470" s="18" t="n">
        <x:v>26</x:v>
      </x:c>
      <x:c r="L470" s="18" t="n">
        <x:v>18</x:v>
      </x:c>
      <x:c r="M470" s="18" t="n">
        <x:v>26</x:v>
      </x:c>
    </x:row>
    <x:row r="471">
      <x:c r="A471" s="22" t="str">
        <x:v>500104150</x:v>
      </x:c>
      <x:c r="B471" s="17" t="str">
        <x:v>士林區</x:v>
      </x:c>
      <x:c r="C471" s="17" t="str">
        <x:v>承德中正路口</x:v>
      </x:c>
      <x:c r="D471" s="18" t="n">
        <x:v>26</x:v>
      </x:c>
      <x:c r="E471" s="18" t="n">
        <x:v>26</x:v>
      </x:c>
      <x:c r="F471" s="18" t="n">
        <x:v>258</x:v>
      </x:c>
      <x:c r="G471" s="18" t="n">
        <x:v>26</x:v>
      </x:c>
      <x:c r="H471" s="18" t="n">
        <x:v>37</x:v>
      </x:c>
      <x:c r="I471" s="18" t="n">
        <x:v>26</x:v>
      </x:c>
      <x:c r="J471" s="18" t="n">
        <x:v>163</x:v>
      </x:c>
      <x:c r="K471" s="18" t="n">
        <x:v>26</x:v>
      </x:c>
      <x:c r="L471" s="18" t="n">
        <x:v>32</x:v>
      </x:c>
      <x:c r="M471" s="18" t="n">
        <x:v>26</x:v>
      </x:c>
    </x:row>
    <x:row r="472">
      <x:c r="A472" s="22" t="str">
        <x:v>500104151</x:v>
      </x:c>
      <x:c r="B472" s="17" t="str">
        <x:v>士林區</x:v>
      </x:c>
      <x:c r="C472" s="17" t="str">
        <x:v>士商中正路口(西南側)</x:v>
      </x:c>
      <x:c r="D472" s="18" t="n">
        <x:v>26</x:v>
      </x:c>
      <x:c r="E472" s="18" t="n">
        <x:v>26</x:v>
      </x:c>
      <x:c r="F472" s="18" t="n">
        <x:v>411</x:v>
      </x:c>
      <x:c r="G472" s="18" t="n">
        <x:v>26</x:v>
      </x:c>
      <x:c r="H472" s="18" t="n">
        <x:v>62</x:v>
      </x:c>
      <x:c r="I472" s="18" t="n">
        <x:v>26</x:v>
      </x:c>
      <x:c r="J472" s="18" t="n">
        <x:v>366</x:v>
      </x:c>
      <x:c r="K472" s="18" t="n">
        <x:v>26</x:v>
      </x:c>
      <x:c r="L472" s="18" t="n">
        <x:v>32</x:v>
      </x:c>
      <x:c r="M472" s="18" t="n">
        <x:v>26</x:v>
      </x:c>
    </x:row>
    <x:row r="473">
      <x:c r="A473" s="22" t="str">
        <x:v>500104152</x:v>
      </x:c>
      <x:c r="B473" s="17" t="str">
        <x:v>士林區</x:v>
      </x:c>
      <x:c r="C473" s="17" t="str">
        <x:v>天母公園平面停車場</x:v>
      </x:c>
      <x:c r="D473" s="18" t="n">
        <x:v>26</x:v>
      </x:c>
      <x:c r="E473" s="18" t="n">
        <x:v>26</x:v>
      </x:c>
      <x:c r="F473" s="18" t="n">
        <x:v>99</x:v>
      </x:c>
      <x:c r="G473" s="18" t="n">
        <x:v>26</x:v>
      </x:c>
      <x:c r="H473" s="18" t="n">
        <x:v>178</x:v>
      </x:c>
      <x:c r="I473" s="18" t="n">
        <x:v>26</x:v>
      </x:c>
      <x:c r="J473" s="18" t="n">
        <x:v>90</x:v>
      </x:c>
      <x:c r="K473" s="18" t="n">
        <x:v>26</x:v>
      </x:c>
      <x:c r="L473" s="18" t="n">
        <x:v>67</x:v>
      </x:c>
      <x:c r="M473" s="18" t="n">
        <x:v>26</x:v>
      </x:c>
    </x:row>
    <x:row r="474">
      <x:c r="A474" s="22" t="str">
        <x:v>500104153</x:v>
      </x:c>
      <x:c r="B474" s="17" t="str">
        <x:v>士林區</x:v>
      </x:c>
      <x:c r="C474" s="17" t="str">
        <x:v>通河東街福港街262巷口</x:v>
      </x:c>
      <x:c r="D474" s="18" t="n">
        <x:v>26</x:v>
      </x:c>
      <x:c r="E474" s="18" t="n">
        <x:v>26</x:v>
      </x:c>
      <x:c r="F474" s="18" t="n">
        <x:v>254</x:v>
      </x:c>
      <x:c r="G474" s="18" t="n">
        <x:v>26</x:v>
      </x:c>
      <x:c r="H474" s="18" t="n">
        <x:v>21</x:v>
      </x:c>
      <x:c r="I474" s="18" t="n">
        <x:v>26</x:v>
      </x:c>
      <x:c r="J474" s="18" t="n">
        <x:v>33</x:v>
      </x:c>
      <x:c r="K474" s="18" t="n">
        <x:v>26</x:v>
      </x:c>
      <x:c r="L474" s="18" t="n">
        <x:v>7</x:v>
      </x:c>
      <x:c r="M474" s="18" t="n">
        <x:v>26</x:v>
      </x:c>
    </x:row>
    <x:row r="475">
      <x:c r="A475" s="22" t="str">
        <x:v>500104154</x:v>
      </x:c>
      <x:c r="B475" s="17" t="str">
        <x:v>士林區</x:v>
      </x:c>
      <x:c r="C475" s="17" t="str">
        <x:v>明安宮</x:v>
      </x:c>
      <x:c r="D475" s="18" t="n">
        <x:v>26</x:v>
      </x:c>
      <x:c r="E475" s="18" t="n">
        <x:v>26</x:v>
      </x:c>
      <x:c r="F475" s="18" t="n">
        <x:v>110</x:v>
      </x:c>
      <x:c r="G475" s="18" t="n">
        <x:v>26</x:v>
      </x:c>
      <x:c r="H475" s="18" t="n">
        <x:v>48</x:v>
      </x:c>
      <x:c r="I475" s="18" t="n">
        <x:v>26</x:v>
      </x:c>
      <x:c r="J475" s="18" t="n">
        <x:v>112</x:v>
      </x:c>
      <x:c r="K475" s="18" t="n">
        <x:v>26</x:v>
      </x:c>
      <x:c r="L475" s="18" t="n">
        <x:v>52</x:v>
      </x:c>
      <x:c r="M475" s="18" t="n">
        <x:v>26</x:v>
      </x:c>
    </x:row>
    <x:row r="476">
      <x:c r="A476" s="22" t="str">
        <x:v>500104155</x:v>
      </x:c>
      <x:c r="B476" s="17" t="str">
        <x:v>士林區</x:v>
      </x:c>
      <x:c r="C476" s="17" t="str">
        <x:v>中山北路五段756巷口</x:v>
      </x:c>
      <x:c r="D476" s="18" t="n">
        <x:v>26</x:v>
      </x:c>
      <x:c r="E476" s="18" t="n">
        <x:v>26</x:v>
      </x:c>
      <x:c r="F476" s="18" t="n">
        <x:v>408</x:v>
      </x:c>
      <x:c r="G476" s="18" t="n">
        <x:v>26</x:v>
      </x:c>
      <x:c r="H476" s="18" t="n">
        <x:v>55</x:v>
      </x:c>
      <x:c r="I476" s="18" t="n">
        <x:v>26</x:v>
      </x:c>
      <x:c r="J476" s="18" t="n">
        <x:v>133</x:v>
      </x:c>
      <x:c r="K476" s="18" t="n">
        <x:v>26</x:v>
      </x:c>
      <x:c r="L476" s="18" t="n">
        <x:v>60</x:v>
      </x:c>
      <x:c r="M476" s="18" t="n">
        <x:v>26</x:v>
      </x:c>
    </x:row>
    <x:row r="477">
      <x:c r="A477" s="22" t="str">
        <x:v>500104156</x:v>
      </x:c>
      <x:c r="B477" s="17" t="str">
        <x:v>士林區</x:v>
      </x:c>
      <x:c r="C477" s="17" t="str">
        <x:v>社子派出所</x:v>
      </x:c>
      <x:c r="D477" s="18" t="n">
        <x:v>26</x:v>
      </x:c>
      <x:c r="E477" s="18" t="n">
        <x:v>26</x:v>
      </x:c>
      <x:c r="F477" s="18" t="n">
        <x:v>182</x:v>
      </x:c>
      <x:c r="G477" s="18" t="n">
        <x:v>26</x:v>
      </x:c>
      <x:c r="H477" s="18" t="n">
        <x:v>68</x:v>
      </x:c>
      <x:c r="I477" s="18" t="n">
        <x:v>26</x:v>
      </x:c>
      <x:c r="J477" s="18" t="n">
        <x:v>87</x:v>
      </x:c>
      <x:c r="K477" s="18" t="n">
        <x:v>26</x:v>
      </x:c>
      <x:c r="L477" s="18" t="n">
        <x:v>40</x:v>
      </x:c>
      <x:c r="M477" s="18" t="n">
        <x:v>26</x:v>
      </x:c>
    </x:row>
    <x:row r="478">
      <x:c r="A478" s="22" t="str">
        <x:v>500104157</x:v>
      </x:c>
      <x:c r="B478" s="17" t="str">
        <x:v>士林區</x:v>
      </x:c>
      <x:c r="C478" s="17" t="str">
        <x:v>通河西街二段102巷口</x:v>
      </x:c>
      <x:c r="D478" s="18" t="n">
        <x:v>26</x:v>
      </x:c>
      <x:c r="E478" s="18" t="n">
        <x:v>26</x:v>
      </x:c>
      <x:c r="F478" s="18" t="n">
        <x:v>221</x:v>
      </x:c>
      <x:c r="G478" s="18" t="n">
        <x:v>26</x:v>
      </x:c>
      <x:c r="H478" s="18" t="n">
        <x:v>68</x:v>
      </x:c>
      <x:c r="I478" s="18" t="n">
        <x:v>26</x:v>
      </x:c>
      <x:c r="J478" s="18" t="n">
        <x:v>177</x:v>
      </x:c>
      <x:c r="K478" s="18" t="n">
        <x:v>26</x:v>
      </x:c>
      <x:c r="L478" s="18" t="n">
        <x:v>63</x:v>
      </x:c>
      <x:c r="M478" s="18" t="n">
        <x:v>26</x:v>
      </x:c>
    </x:row>
    <x:row r="479">
      <x:c r="A479" s="22" t="str">
        <x:v>500104158</x:v>
      </x:c>
      <x:c r="B479" s="17" t="str">
        <x:v>士林區</x:v>
      </x:c>
      <x:c r="C479" s="17" t="str">
        <x:v>社子公園(永平街80巷)</x:v>
      </x:c>
      <x:c r="D479" s="18" t="n">
        <x:v>26</x:v>
      </x:c>
      <x:c r="E479" s="18" t="n">
        <x:v>26</x:v>
      </x:c>
      <x:c r="F479" s="18" t="n">
        <x:v>205</x:v>
      </x:c>
      <x:c r="G479" s="18" t="n">
        <x:v>26</x:v>
      </x:c>
      <x:c r="H479" s="18" t="n">
        <x:v>103</x:v>
      </x:c>
      <x:c r="I479" s="18" t="n">
        <x:v>26</x:v>
      </x:c>
      <x:c r="J479" s="18" t="n">
        <x:v>120</x:v>
      </x:c>
      <x:c r="K479" s="18" t="n">
        <x:v>26</x:v>
      </x:c>
      <x:c r="L479" s="18" t="n">
        <x:v>83</x:v>
      </x:c>
      <x:c r="M479" s="18" t="n">
        <x:v>26</x:v>
      </x:c>
    </x:row>
    <x:row r="480">
      <x:c r="A480" s="22" t="str">
        <x:v>500104159</x:v>
      </x:c>
      <x:c r="B480" s="17" t="str">
        <x:v>士林區</x:v>
      </x:c>
      <x:c r="C480" s="17" t="str">
        <x:v>忠義街71巷口</x:v>
      </x:c>
      <x:c r="D480" s="18" t="n">
        <x:v>26</x:v>
      </x:c>
      <x:c r="E480" s="18" t="n">
        <x:v>19</x:v>
      </x:c>
      <x:c r="F480" s="18" t="n">
        <x:v>165</x:v>
      </x:c>
      <x:c r="G480" s="18" t="n">
        <x:v>18</x:v>
      </x:c>
      <x:c r="H480" s="18" t="n">
        <x:v>41</x:v>
      </x:c>
      <x:c r="I480" s="18" t="n">
        <x:v>18</x:v>
      </x:c>
      <x:c r="J480" s="18" t="n">
        <x:v>71</x:v>
      </x:c>
      <x:c r="K480" s="18" t="n">
        <x:v>19</x:v>
      </x:c>
      <x:c r="L480" s="18" t="n">
        <x:v>15</x:v>
      </x:c>
      <x:c r="M480" s="18" t="n">
        <x:v>19</x:v>
      </x:c>
    </x:row>
    <x:row r="481">
      <x:c r="A481" s="22" t="str">
        <x:v>500104160</x:v>
      </x:c>
      <x:c r="B481" s="17" t="str">
        <x:v>士林區</x:v>
      </x:c>
      <x:c r="C481" s="17" t="str">
        <x:v>承德路四段292巷口</x:v>
      </x:c>
      <x:c r="D481" s="18" t="n">
        <x:v>26</x:v>
      </x:c>
      <x:c r="E481" s="18" t="n">
        <x:v>13</x:v>
      </x:c>
      <x:c r="F481" s="18" t="n">
        <x:v>114</x:v>
      </x:c>
      <x:c r="G481" s="18" t="n">
        <x:v>12</x:v>
      </x:c>
      <x:c r="H481" s="18" t="n">
        <x:v>9</x:v>
      </x:c>
      <x:c r="I481" s="18" t="n">
        <x:v>12</x:v>
      </x:c>
      <x:c r="J481" s="18" t="n">
        <x:v>46</x:v>
      </x:c>
      <x:c r="K481" s="18" t="n">
        <x:v>13</x:v>
      </x:c>
      <x:c r="L481" s="18" t="n">
        <x:v>3</x:v>
      </x:c>
      <x:c r="M481" s="18" t="n">
        <x:v>13</x:v>
      </x:c>
    </x:row>
    <x:row r="482">
      <x:c r="A482" s="22" t="str">
        <x:v>500104161</x:v>
      </x:c>
      <x:c r="B482" s="17" t="str">
        <x:v>士林區</x:v>
      </x:c>
      <x:c r="C482" s="17" t="str">
        <x:v>中山北路五段505巷口</x:v>
      </x:c>
      <x:c r="D482" s="18" t="n">
        <x:v>26</x:v>
      </x:c>
      <x:c r="E482" s="18" t="n">
        <x:v>4</x:v>
      </x:c>
      <x:c r="F482" s="18" t="n">
        <x:v>8</x:v>
      </x:c>
      <x:c r="G482" s="18" t="n">
        <x:v>3</x:v>
      </x:c>
      <x:c r="H482" s="18" t="n">
        <x:v>5</x:v>
      </x:c>
      <x:c r="I482" s="18" t="n">
        <x:v>3</x:v>
      </x:c>
      <x:c r="J482" s="18" t="n">
        <x:v>14</x:v>
      </x:c>
      <x:c r="K482" s="18" t="n">
        <x:v>4</x:v>
      </x:c>
      <x:c r="L482" s="18" t="n">
        <x:v>5</x:v>
      </x:c>
      <x:c r="M482" s="18" t="n">
        <x:v>4</x:v>
      </x:c>
    </x:row>
    <x:row r="483">
      <x:c r="A483" s="22" t="str">
        <x:v>500105001</x:v>
      </x:c>
      <x:c r="B483" s="17" t="str">
        <x:v>文山區</x:v>
      </x:c>
      <x:c r="C483" s="17" t="str">
        <x:v>台北花木批發市場</x:v>
      </x:c>
      <x:c r="D483" s="18" t="n">
        <x:v>26</x:v>
      </x:c>
      <x:c r="E483" s="18" t="n">
        <x:v>26</x:v>
      </x:c>
      <x:c r="F483" s="18" t="n">
        <x:v>1260</x:v>
      </x:c>
      <x:c r="G483" s="18" t="n">
        <x:v>26</x:v>
      </x:c>
      <x:c r="H483" s="18" t="n">
        <x:v>85</x:v>
      </x:c>
      <x:c r="I483" s="18" t="n">
        <x:v>26</x:v>
      </x:c>
      <x:c r="J483" s="18" t="n">
        <x:v>367</x:v>
      </x:c>
      <x:c r="K483" s="18" t="n">
        <x:v>26</x:v>
      </x:c>
      <x:c r="L483" s="18" t="n">
        <x:v>34</x:v>
      </x:c>
      <x:c r="M483" s="18" t="n">
        <x:v>26</x:v>
      </x:c>
    </x:row>
    <x:row r="484">
      <x:c r="A484" s="22" t="str">
        <x:v>500105002</x:v>
      </x:c>
      <x:c r="B484" s="17" t="str">
        <x:v>文山區</x:v>
      </x:c>
      <x:c r="C484" s="17" t="str">
        <x:v>捷運萬隆站(4號出口)</x:v>
      </x:c>
      <x:c r="D484" s="18" t="n">
        <x:v>26</x:v>
      </x:c>
      <x:c r="E484" s="18" t="n">
        <x:v>26</x:v>
      </x:c>
      <x:c r="F484" s="18" t="n">
        <x:v>240</x:v>
      </x:c>
      <x:c r="G484" s="18" t="n">
        <x:v>26</x:v>
      </x:c>
      <x:c r="H484" s="18" t="n">
        <x:v>49</x:v>
      </x:c>
      <x:c r="I484" s="18" t="n">
        <x:v>26</x:v>
      </x:c>
      <x:c r="J484" s="18" t="n">
        <x:v>240</x:v>
      </x:c>
      <x:c r="K484" s="18" t="n">
        <x:v>26</x:v>
      </x:c>
      <x:c r="L484" s="18" t="n">
        <x:v>29</x:v>
      </x:c>
      <x:c r="M484" s="18" t="n">
        <x:v>26</x:v>
      </x:c>
    </x:row>
    <x:row r="485">
      <x:c r="A485" s="22" t="str">
        <x:v>500105003</x:v>
      </x:c>
      <x:c r="B485" s="17" t="str">
        <x:v>文山區</x:v>
      </x:c>
      <x:c r="C485" s="17" t="str">
        <x:v>捷運萬隆站(1號出口)</x:v>
      </x:c>
      <x:c r="D485" s="18" t="n">
        <x:v>26</x:v>
      </x:c>
      <x:c r="E485" s="18" t="n">
        <x:v>26</x:v>
      </x:c>
      <x:c r="F485" s="18" t="n">
        <x:v>818</x:v>
      </x:c>
      <x:c r="G485" s="18" t="n">
        <x:v>26</x:v>
      </x:c>
      <x:c r="H485" s="18" t="n">
        <x:v>33</x:v>
      </x:c>
      <x:c r="I485" s="18" t="n">
        <x:v>26</x:v>
      </x:c>
      <x:c r="J485" s="18" t="n">
        <x:v>386</x:v>
      </x:c>
      <x:c r="K485" s="18" t="n">
        <x:v>26</x:v>
      </x:c>
      <x:c r="L485" s="18" t="n">
        <x:v>34</x:v>
      </x:c>
      <x:c r="M485" s="18" t="n">
        <x:v>26</x:v>
      </x:c>
    </x:row>
    <x:row r="486">
      <x:c r="A486" s="22" t="str">
        <x:v>500105004</x:v>
      </x:c>
      <x:c r="B486" s="17" t="str">
        <x:v>文山區</x:v>
      </x:c>
      <x:c r="C486" s="17" t="str">
        <x:v>萬和二號公園</x:v>
      </x:c>
      <x:c r="D486" s="18" t="n">
        <x:v>26</x:v>
      </x:c>
      <x:c r="E486" s="18" t="n">
        <x:v>26</x:v>
      </x:c>
      <x:c r="F486" s="18" t="n">
        <x:v>652</x:v>
      </x:c>
      <x:c r="G486" s="18" t="n">
        <x:v>26</x:v>
      </x:c>
      <x:c r="H486" s="18" t="n">
        <x:v>49</x:v>
      </x:c>
      <x:c r="I486" s="18" t="n">
        <x:v>26</x:v>
      </x:c>
      <x:c r="J486" s="18" t="n">
        <x:v>309</x:v>
      </x:c>
      <x:c r="K486" s="18" t="n">
        <x:v>26</x:v>
      </x:c>
      <x:c r="L486" s="18" t="n">
        <x:v>39</x:v>
      </x:c>
      <x:c r="M486" s="18" t="n">
        <x:v>26</x:v>
      </x:c>
    </x:row>
    <x:row r="487">
      <x:c r="A487" s="22" t="str">
        <x:v>500105005</x:v>
      </x:c>
      <x:c r="B487" s="17" t="str">
        <x:v>文山區</x:v>
      </x:c>
      <x:c r="C487" s="17" t="str">
        <x:v>捷運萬隆站(2號出口)</x:v>
      </x:c>
      <x:c r="D487" s="18" t="n">
        <x:v>26</x:v>
      </x:c>
      <x:c r="E487" s="18" t="n">
        <x:v>26</x:v>
      </x:c>
      <x:c r="F487" s="18" t="n">
        <x:v>254</x:v>
      </x:c>
      <x:c r="G487" s="18" t="n">
        <x:v>26</x:v>
      </x:c>
      <x:c r="H487" s="18" t="n">
        <x:v>17</x:v>
      </x:c>
      <x:c r="I487" s="18" t="n">
        <x:v>26</x:v>
      </x:c>
      <x:c r="J487" s="18" t="n">
        <x:v>595</x:v>
      </x:c>
      <x:c r="K487" s="18" t="n">
        <x:v>26</x:v>
      </x:c>
      <x:c r="L487" s="18" t="n">
        <x:v>58</x:v>
      </x:c>
      <x:c r="M487" s="18" t="n">
        <x:v>26</x:v>
      </x:c>
    </x:row>
    <x:row r="488">
      <x:c r="A488" s="22" t="str">
        <x:v>500105006</x:v>
      </x:c>
      <x:c r="B488" s="17" t="str">
        <x:v>文山區</x:v>
      </x:c>
      <x:c r="C488" s="17" t="str">
        <x:v>景仁公園</x:v>
      </x:c>
      <x:c r="D488" s="18" t="n">
        <x:v>26</x:v>
      </x:c>
      <x:c r="E488" s="18" t="n">
        <x:v>26</x:v>
      </x:c>
      <x:c r="F488" s="18" t="n">
        <x:v>248</x:v>
      </x:c>
      <x:c r="G488" s="18" t="n">
        <x:v>26</x:v>
      </x:c>
      <x:c r="H488" s="18" t="n">
        <x:v>67</x:v>
      </x:c>
      <x:c r="I488" s="18" t="n">
        <x:v>26</x:v>
      </x:c>
      <x:c r="J488" s="18" t="n">
        <x:v>181</x:v>
      </x:c>
      <x:c r="K488" s="18" t="n">
        <x:v>26</x:v>
      </x:c>
      <x:c r="L488" s="18" t="n">
        <x:v>23</x:v>
      </x:c>
      <x:c r="M488" s="18" t="n">
        <x:v>26</x:v>
      </x:c>
    </x:row>
    <x:row r="489">
      <x:c r="A489" s="22" t="str">
        <x:v>500105007</x:v>
      </x:c>
      <x:c r="B489" s="17" t="str">
        <x:v>文山區</x:v>
      </x:c>
      <x:c r="C489" s="17" t="str">
        <x:v>捷運景美站(2號出口)</x:v>
      </x:c>
      <x:c r="D489" s="18" t="n">
        <x:v>26</x:v>
      </x:c>
      <x:c r="E489" s="18" t="n">
        <x:v>26</x:v>
      </x:c>
      <x:c r="F489" s="18" t="n">
        <x:v>293</x:v>
      </x:c>
      <x:c r="G489" s="18" t="n">
        <x:v>26</x:v>
      </x:c>
      <x:c r="H489" s="18" t="n">
        <x:v>17</x:v>
      </x:c>
      <x:c r="I489" s="18" t="n">
        <x:v>26</x:v>
      </x:c>
      <x:c r="J489" s="18" t="n">
        <x:v>891</x:v>
      </x:c>
      <x:c r="K489" s="18" t="n">
        <x:v>26</x:v>
      </x:c>
      <x:c r="L489" s="18" t="n">
        <x:v>61</x:v>
      </x:c>
      <x:c r="M489" s="18" t="n">
        <x:v>26</x:v>
      </x:c>
    </x:row>
    <x:row r="490">
      <x:c r="A490" s="22" t="str">
        <x:v>500105008</x:v>
      </x:c>
      <x:c r="B490" s="17" t="str">
        <x:v>文山區</x:v>
      </x:c>
      <x:c r="C490" s="17" t="str">
        <x:v>羅斯福景隆街口</x:v>
      </x:c>
      <x:c r="D490" s="18" t="n">
        <x:v>26</x:v>
      </x:c>
      <x:c r="E490" s="18" t="n">
        <x:v>26</x:v>
      </x:c>
      <x:c r="F490" s="18" t="n">
        <x:v>367</x:v>
      </x:c>
      <x:c r="G490" s="18" t="n">
        <x:v>26</x:v>
      </x:c>
      <x:c r="H490" s="18" t="n">
        <x:v>41</x:v>
      </x:c>
      <x:c r="I490" s="18" t="n">
        <x:v>26</x:v>
      </x:c>
      <x:c r="J490" s="18" t="n">
        <x:v>275</x:v>
      </x:c>
      <x:c r="K490" s="18" t="n">
        <x:v>26</x:v>
      </x:c>
      <x:c r="L490" s="18" t="n">
        <x:v>39</x:v>
      </x:c>
      <x:c r="M490" s="18" t="n">
        <x:v>26</x:v>
      </x:c>
    </x:row>
    <x:row r="491">
      <x:c r="A491" s="22" t="str">
        <x:v>500105009</x:v>
      </x:c>
      <x:c r="B491" s="17" t="str">
        <x:v>文山區</x:v>
      </x:c>
      <x:c r="C491" s="17" t="str">
        <x:v>景福街/羅斯福路6段142巷口</x:v>
      </x:c>
      <x:c r="D491" s="18" t="n">
        <x:v>26</x:v>
      </x:c>
      <x:c r="E491" s="18" t="n">
        <x:v>26</x:v>
      </x:c>
      <x:c r="F491" s="18" t="n">
        <x:v>742</x:v>
      </x:c>
      <x:c r="G491" s="18" t="n">
        <x:v>26</x:v>
      </x:c>
      <x:c r="H491" s="18" t="n">
        <x:v>96</x:v>
      </x:c>
      <x:c r="I491" s="18" t="n">
        <x:v>26</x:v>
      </x:c>
      <x:c r="J491" s="18" t="n">
        <x:v>332</x:v>
      </x:c>
      <x:c r="K491" s="18" t="n">
        <x:v>26</x:v>
      </x:c>
      <x:c r="L491" s="18" t="n">
        <x:v>46</x:v>
      </x:c>
      <x:c r="M491" s="18" t="n">
        <x:v>26</x:v>
      </x:c>
    </x:row>
    <x:row r="492">
      <x:c r="A492" s="22" t="str">
        <x:v>500105010</x:v>
      </x:c>
      <x:c r="B492" s="17" t="str">
        <x:v>文山區</x:v>
      </x:c>
      <x:c r="C492" s="17" t="str">
        <x:v>興旺公園</x:v>
      </x:c>
      <x:c r="D492" s="18" t="n">
        <x:v>26</x:v>
      </x:c>
      <x:c r="E492" s="18" t="n">
        <x:v>26</x:v>
      </x:c>
      <x:c r="F492" s="18" t="n">
        <x:v>994</x:v>
      </x:c>
      <x:c r="G492" s="18" t="n">
        <x:v>26</x:v>
      </x:c>
      <x:c r="H492" s="18" t="n">
        <x:v>198</x:v>
      </x:c>
      <x:c r="I492" s="18" t="n">
        <x:v>26</x:v>
      </x:c>
      <x:c r="J492" s="18" t="n">
        <x:v>214</x:v>
      </x:c>
      <x:c r="K492" s="18" t="n">
        <x:v>26</x:v>
      </x:c>
      <x:c r="L492" s="18" t="n">
        <x:v>34</x:v>
      </x:c>
      <x:c r="M492" s="18" t="n">
        <x:v>26</x:v>
      </x:c>
    </x:row>
    <x:row r="493">
      <x:c r="A493" s="22" t="str">
        <x:v>500105011</x:v>
      </x:c>
      <x:c r="B493" s="17" t="str">
        <x:v>文山區</x:v>
      </x:c>
      <x:c r="C493" s="17" t="str">
        <x:v>興福國中</x:v>
      </x:c>
      <x:c r="D493" s="18" t="n">
        <x:v>26</x:v>
      </x:c>
      <x:c r="E493" s="18" t="n">
        <x:v>26</x:v>
      </x:c>
      <x:c r="F493" s="18" t="n">
        <x:v>905</x:v>
      </x:c>
      <x:c r="G493" s="18" t="n">
        <x:v>26</x:v>
      </x:c>
      <x:c r="H493" s="18" t="n">
        <x:v>107</x:v>
      </x:c>
      <x:c r="I493" s="18" t="n">
        <x:v>26</x:v>
      </x:c>
      <x:c r="J493" s="18" t="n">
        <x:v>283</x:v>
      </x:c>
      <x:c r="K493" s="18" t="n">
        <x:v>26</x:v>
      </x:c>
      <x:c r="L493" s="18" t="n">
        <x:v>27</x:v>
      </x:c>
      <x:c r="M493" s="18" t="n">
        <x:v>26</x:v>
      </x:c>
    </x:row>
    <x:row r="494">
      <x:c r="A494" s="22" t="str">
        <x:v>500105012</x:v>
      </x:c>
      <x:c r="B494" s="17" t="str">
        <x:v>文山區</x:v>
      </x:c>
      <x:c r="C494" s="17" t="str">
        <x:v>興隆路2段203巷</x:v>
      </x:c>
      <x:c r="D494" s="18" t="n">
        <x:v>26</x:v>
      </x:c>
      <x:c r="E494" s="18" t="n">
        <x:v>26</x:v>
      </x:c>
      <x:c r="F494" s="18" t="n">
        <x:v>998</x:v>
      </x:c>
      <x:c r="G494" s="18" t="n">
        <x:v>26</x:v>
      </x:c>
      <x:c r="H494" s="18" t="n">
        <x:v>103</x:v>
      </x:c>
      <x:c r="I494" s="18" t="n">
        <x:v>26</x:v>
      </x:c>
      <x:c r="J494" s="18" t="n">
        <x:v>337</x:v>
      </x:c>
      <x:c r="K494" s="18" t="n">
        <x:v>26</x:v>
      </x:c>
      <x:c r="L494" s="18" t="n">
        <x:v>42</x:v>
      </x:c>
      <x:c r="M494" s="18" t="n">
        <x:v>26</x:v>
      </x:c>
    </x:row>
    <x:row r="495">
      <x:c r="A495" s="22" t="str">
        <x:v>500105013</x:v>
      </x:c>
      <x:c r="B495" s="17" t="str">
        <x:v>文山區</x:v>
      </x:c>
      <x:c r="C495" s="17" t="str">
        <x:v>景美運動公園</x:v>
      </x:c>
      <x:c r="D495" s="18" t="n">
        <x:v>26</x:v>
      </x:c>
      <x:c r="E495" s="18" t="n">
        <x:v>26</x:v>
      </x:c>
      <x:c r="F495" s="18" t="n">
        <x:v>965</x:v>
      </x:c>
      <x:c r="G495" s="18" t="n">
        <x:v>26</x:v>
      </x:c>
      <x:c r="H495" s="18" t="n">
        <x:v>40</x:v>
      </x:c>
      <x:c r="I495" s="18" t="n">
        <x:v>26</x:v>
      </x:c>
      <x:c r="J495" s="18" t="n">
        <x:v>219</x:v>
      </x:c>
      <x:c r="K495" s="18" t="n">
        <x:v>26</x:v>
      </x:c>
      <x:c r="L495" s="18" t="n">
        <x:v>25</x:v>
      </x:c>
      <x:c r="M495" s="18" t="n">
        <x:v>26</x:v>
      </x:c>
    </x:row>
    <x:row r="496">
      <x:c r="A496" s="22" t="str">
        <x:v>500105014</x:v>
      </x:c>
      <x:c r="B496" s="17" t="str">
        <x:v>文山區</x:v>
      </x:c>
      <x:c r="C496" s="17" t="str">
        <x:v>景美醫院</x:v>
      </x:c>
      <x:c r="D496" s="18" t="n">
        <x:v>26</x:v>
      </x:c>
      <x:c r="E496" s="18" t="n">
        <x:v>26</x:v>
      </x:c>
      <x:c r="F496" s="18" t="n">
        <x:v>98</x:v>
      </x:c>
      <x:c r="G496" s="18" t="n">
        <x:v>26</x:v>
      </x:c>
      <x:c r="H496" s="18" t="n">
        <x:v>22</x:v>
      </x:c>
      <x:c r="I496" s="18" t="n">
        <x:v>26</x:v>
      </x:c>
      <x:c r="J496" s="18" t="n">
        <x:v>175</x:v>
      </x:c>
      <x:c r="K496" s="18" t="n">
        <x:v>26</x:v>
      </x:c>
      <x:c r="L496" s="18" t="n">
        <x:v>25</x:v>
      </x:c>
      <x:c r="M496" s="18" t="n">
        <x:v>26</x:v>
      </x:c>
    </x:row>
    <x:row r="497">
      <x:c r="A497" s="22" t="str">
        <x:v>500105015</x:v>
      </x:c>
      <x:c r="B497" s="17" t="str">
        <x:v>文山區</x:v>
      </x:c>
      <x:c r="C497" s="17" t="str">
        <x:v>師範大學公館校區</x:v>
      </x:c>
      <x:c r="D497" s="18" t="n">
        <x:v>26</x:v>
      </x:c>
      <x:c r="E497" s="18" t="n">
        <x:v>26</x:v>
      </x:c>
      <x:c r="F497" s="18" t="n">
        <x:v>179</x:v>
      </x:c>
      <x:c r="G497" s="18" t="n">
        <x:v>26</x:v>
      </x:c>
      <x:c r="H497" s="18" t="n">
        <x:v>34</x:v>
      </x:c>
      <x:c r="I497" s="18" t="n">
        <x:v>26</x:v>
      </x:c>
      <x:c r="J497" s="18" t="n">
        <x:v>217</x:v>
      </x:c>
      <x:c r="K497" s="18" t="n">
        <x:v>26</x:v>
      </x:c>
      <x:c r="L497" s="18" t="n">
        <x:v>51</x:v>
      </x:c>
      <x:c r="M497" s="18" t="n">
        <x:v>26</x:v>
      </x:c>
    </x:row>
    <x:row r="498">
      <x:c r="A498" s="22" t="str">
        <x:v>500105016</x:v>
      </x:c>
      <x:c r="B498" s="17" t="str">
        <x:v>文山區</x:v>
      </x:c>
      <x:c r="C498" s="17" t="str">
        <x:v>景華街128巷口</x:v>
      </x:c>
      <x:c r="D498" s="18" t="n">
        <x:v>26</x:v>
      </x:c>
      <x:c r="E498" s="18" t="n">
        <x:v>26</x:v>
      </x:c>
      <x:c r="F498" s="18" t="n">
        <x:v>952</x:v>
      </x:c>
      <x:c r="G498" s="18" t="n">
        <x:v>26</x:v>
      </x:c>
      <x:c r="H498" s="18" t="n">
        <x:v>91</x:v>
      </x:c>
      <x:c r="I498" s="18" t="n">
        <x:v>26</x:v>
      </x:c>
      <x:c r="J498" s="18" t="n">
        <x:v>172</x:v>
      </x:c>
      <x:c r="K498" s="18" t="n">
        <x:v>26</x:v>
      </x:c>
      <x:c r="L498" s="18" t="n">
        <x:v>31</x:v>
      </x:c>
      <x:c r="M498" s="18" t="n">
        <x:v>26</x:v>
      </x:c>
    </x:row>
    <x:row r="499">
      <x:c r="A499" s="22" t="str">
        <x:v>500105017</x:v>
      </x:c>
      <x:c r="B499" s="17" t="str">
        <x:v>文山區</x:v>
      </x:c>
      <x:c r="C499" s="17" t="str">
        <x:v>仙跡岩登山口(景興路)</x:v>
      </x:c>
      <x:c r="D499" s="18" t="n">
        <x:v>26</x:v>
      </x:c>
      <x:c r="E499" s="18" t="n">
        <x:v>26</x:v>
      </x:c>
      <x:c r="F499" s="18" t="n">
        <x:v>201</x:v>
      </x:c>
      <x:c r="G499" s="18" t="n">
        <x:v>26</x:v>
      </x:c>
      <x:c r="H499" s="18" t="n">
        <x:v>29</x:v>
      </x:c>
      <x:c r="I499" s="18" t="n">
        <x:v>26</x:v>
      </x:c>
      <x:c r="J499" s="18" t="n">
        <x:v>184</x:v>
      </x:c>
      <x:c r="K499" s="18" t="n">
        <x:v>26</x:v>
      </x:c>
      <x:c r="L499" s="18" t="n">
        <x:v>33</x:v>
      </x:c>
      <x:c r="M499" s="18" t="n">
        <x:v>26</x:v>
      </x:c>
    </x:row>
    <x:row r="500">
      <x:c r="A500" s="22" t="str">
        <x:v>500105018</x:v>
      </x:c>
      <x:c r="B500" s="17" t="str">
        <x:v>文山區</x:v>
      </x:c>
      <x:c r="C500" s="17" t="str">
        <x:v>國立政治大學</x:v>
      </x:c>
      <x:c r="D500" s="18" t="n">
        <x:v>26</x:v>
      </x:c>
      <x:c r="E500" s="18" t="n">
        <x:v>26</x:v>
      </x:c>
      <x:c r="F500" s="18" t="n">
        <x:v>372</x:v>
      </x:c>
      <x:c r="G500" s="18" t="n">
        <x:v>26</x:v>
      </x:c>
      <x:c r="H500" s="18" t="n">
        <x:v>96</x:v>
      </x:c>
      <x:c r="I500" s="18" t="n">
        <x:v>26</x:v>
      </x:c>
      <x:c r="J500" s="18" t="n">
        <x:v>968</x:v>
      </x:c>
      <x:c r="K500" s="18" t="n">
        <x:v>26</x:v>
      </x:c>
      <x:c r="L500" s="18" t="n">
        <x:v>173</x:v>
      </x:c>
      <x:c r="M500" s="18" t="n">
        <x:v>26</x:v>
      </x:c>
    </x:row>
    <x:row r="501">
      <x:c r="A501" s="22" t="str">
        <x:v>500105019</x:v>
      </x:c>
      <x:c r="B501" s="17" t="str">
        <x:v>文山區</x:v>
      </x:c>
      <x:c r="C501" s="17" t="str">
        <x:v>捷運動物園站</x:v>
      </x:c>
      <x:c r="D501" s="18" t="n">
        <x:v>26</x:v>
      </x:c>
      <x:c r="E501" s="18" t="n">
        <x:v>26</x:v>
      </x:c>
      <x:c r="F501" s="18" t="n">
        <x:v>287</x:v>
      </x:c>
      <x:c r="G501" s="18" t="n">
        <x:v>26</x:v>
      </x:c>
      <x:c r="H501" s="18" t="n">
        <x:v>35</x:v>
      </x:c>
      <x:c r="I501" s="18" t="n">
        <x:v>26</x:v>
      </x:c>
      <x:c r="J501" s="18" t="n">
        <x:v>200</x:v>
      </x:c>
      <x:c r="K501" s="18" t="n">
        <x:v>26</x:v>
      </x:c>
      <x:c r="L501" s="18" t="n">
        <x:v>72</x:v>
      </x:c>
      <x:c r="M501" s="18" t="n">
        <x:v>26</x:v>
      </x:c>
    </x:row>
    <x:row r="502">
      <x:c r="A502" s="22" t="str">
        <x:v>500105020</x:v>
      </x:c>
      <x:c r="B502" s="17" t="str">
        <x:v>文山區</x:v>
      </x:c>
      <x:c r="C502" s="17" t="str">
        <x:v>捷運木柵站</x:v>
      </x:c>
      <x:c r="D502" s="18" t="n">
        <x:v>26</x:v>
      </x:c>
      <x:c r="E502" s="18" t="n">
        <x:v>26</x:v>
      </x:c>
      <x:c r="F502" s="18" t="n">
        <x:v>156</x:v>
      </x:c>
      <x:c r="G502" s="18" t="n">
        <x:v>26</x:v>
      </x:c>
      <x:c r="H502" s="18" t="n">
        <x:v>55</x:v>
      </x:c>
      <x:c r="I502" s="18" t="n">
        <x:v>26</x:v>
      </x:c>
      <x:c r="J502" s="18" t="n">
        <x:v>277</x:v>
      </x:c>
      <x:c r="K502" s="18" t="n">
        <x:v>26</x:v>
      </x:c>
      <x:c r="L502" s="18" t="n">
        <x:v>123</x:v>
      </x:c>
      <x:c r="M502" s="18" t="n">
        <x:v>26</x:v>
      </x:c>
    </x:row>
    <x:row r="503">
      <x:c r="A503" s="22" t="str">
        <x:v>500105021</x:v>
      </x:c>
      <x:c r="B503" s="17" t="str">
        <x:v>文山區</x:v>
      </x:c>
      <x:c r="C503" s="17" t="str">
        <x:v>捷運萬芳社區站</x:v>
      </x:c>
      <x:c r="D503" s="18" t="n">
        <x:v>26</x:v>
      </x:c>
      <x:c r="E503" s="18" t="n">
        <x:v>26</x:v>
      </x:c>
      <x:c r="F503" s="18" t="n">
        <x:v>171</x:v>
      </x:c>
      <x:c r="G503" s="18" t="n">
        <x:v>26</x:v>
      </x:c>
      <x:c r="H503" s="18" t="n">
        <x:v>35</x:v>
      </x:c>
      <x:c r="I503" s="18" t="n">
        <x:v>26</x:v>
      </x:c>
      <x:c r="J503" s="18" t="n">
        <x:v>176</x:v>
      </x:c>
      <x:c r="K503" s="18" t="n">
        <x:v>26</x:v>
      </x:c>
      <x:c r="L503" s="18" t="n">
        <x:v>28</x:v>
      </x:c>
      <x:c r="M503" s="18" t="n">
        <x:v>26</x:v>
      </x:c>
    </x:row>
    <x:row r="504">
      <x:c r="A504" s="22" t="str">
        <x:v>500105022</x:v>
      </x:c>
      <x:c r="B504" s="17" t="str">
        <x:v>文山區</x:v>
      </x:c>
      <x:c r="C504" s="17" t="str">
        <x:v>文山運動中心</x:v>
      </x:c>
      <x:c r="D504" s="18" t="n">
        <x:v>26</x:v>
      </x:c>
      <x:c r="E504" s="18" t="n">
        <x:v>26</x:v>
      </x:c>
      <x:c r="F504" s="18" t="n">
        <x:v>279</x:v>
      </x:c>
      <x:c r="G504" s="18" t="n">
        <x:v>26</x:v>
      </x:c>
      <x:c r="H504" s="18" t="n">
        <x:v>61</x:v>
      </x:c>
      <x:c r="I504" s="18" t="n">
        <x:v>26</x:v>
      </x:c>
      <x:c r="J504" s="18" t="n">
        <x:v>449</x:v>
      </x:c>
      <x:c r="K504" s="18" t="n">
        <x:v>26</x:v>
      </x:c>
      <x:c r="L504" s="18" t="n">
        <x:v>91</x:v>
      </x:c>
      <x:c r="M504" s="18" t="n">
        <x:v>26</x:v>
      </x:c>
    </x:row>
    <x:row r="505">
      <x:c r="A505" s="22" t="str">
        <x:v>500105023</x:v>
      </x:c>
      <x:c r="B505" s="17" t="str">
        <x:v>文山區</x:v>
      </x:c>
      <x:c r="C505" s="17" t="str">
        <x:v>捷運辛亥站</x:v>
      </x:c>
      <x:c r="D505" s="18" t="n">
        <x:v>26</x:v>
      </x:c>
      <x:c r="E505" s="18" t="n">
        <x:v>26</x:v>
      </x:c>
      <x:c r="F505" s="18" t="n">
        <x:v>269</x:v>
      </x:c>
      <x:c r="G505" s="18" t="n">
        <x:v>26</x:v>
      </x:c>
      <x:c r="H505" s="18" t="n">
        <x:v>23</x:v>
      </x:c>
      <x:c r="I505" s="18" t="n">
        <x:v>26</x:v>
      </x:c>
      <x:c r="J505" s="18" t="n">
        <x:v>759</x:v>
      </x:c>
      <x:c r="K505" s="18" t="n">
        <x:v>26</x:v>
      </x:c>
      <x:c r="L505" s="18" t="n">
        <x:v>95</x:v>
      </x:c>
      <x:c r="M505" s="18" t="n">
        <x:v>26</x:v>
      </x:c>
    </x:row>
    <x:row r="506">
      <x:c r="A506" s="22" t="str">
        <x:v>500105024</x:v>
      </x:c>
      <x:c r="B506" s="17" t="str">
        <x:v>文山區</x:v>
      </x:c>
      <x:c r="C506" s="17" t="str">
        <x:v>興豐公園</x:v>
      </x:c>
      <x:c r="D506" s="18" t="n">
        <x:v>26</x:v>
      </x:c>
      <x:c r="E506" s="18" t="n">
        <x:v>26</x:v>
      </x:c>
      <x:c r="F506" s="18" t="n">
        <x:v>406</x:v>
      </x:c>
      <x:c r="G506" s="18" t="n">
        <x:v>26</x:v>
      </x:c>
      <x:c r="H506" s="18" t="n">
        <x:v>38</x:v>
      </x:c>
      <x:c r="I506" s="18" t="n">
        <x:v>26</x:v>
      </x:c>
      <x:c r="J506" s="18" t="n">
        <x:v>283</x:v>
      </x:c>
      <x:c r="K506" s="18" t="n">
        <x:v>26</x:v>
      </x:c>
      <x:c r="L506" s="18" t="n">
        <x:v>37</x:v>
      </x:c>
      <x:c r="M506" s="18" t="n">
        <x:v>26</x:v>
      </x:c>
    </x:row>
    <x:row r="507">
      <x:c r="A507" s="22" t="str">
        <x:v>500105025</x:v>
      </x:c>
      <x:c r="B507" s="17" t="str">
        <x:v>文山區</x:v>
      </x:c>
      <x:c r="C507" s="17" t="str">
        <x:v>木柵光輝路口</x:v>
      </x:c>
      <x:c r="D507" s="18" t="n">
        <x:v>26</x:v>
      </x:c>
      <x:c r="E507" s="18" t="n">
        <x:v>26</x:v>
      </x:c>
      <x:c r="F507" s="18" t="n">
        <x:v>443</x:v>
      </x:c>
      <x:c r="G507" s="18" t="n">
        <x:v>26</x:v>
      </x:c>
      <x:c r="H507" s="18" t="n">
        <x:v>62</x:v>
      </x:c>
      <x:c r="I507" s="18" t="n">
        <x:v>26</x:v>
      </x:c>
      <x:c r="J507" s="18" t="n">
        <x:v>406</x:v>
      </x:c>
      <x:c r="K507" s="18" t="n">
        <x:v>26</x:v>
      </x:c>
      <x:c r="L507" s="18" t="n">
        <x:v>46</x:v>
      </x:c>
      <x:c r="M507" s="18" t="n">
        <x:v>26</x:v>
      </x:c>
    </x:row>
    <x:row r="508">
      <x:c r="A508" s="22" t="str">
        <x:v>500105026</x:v>
      </x:c>
      <x:c r="B508" s="17" t="str">
        <x:v>文山區</x:v>
      </x:c>
      <x:c r="C508" s="17" t="str">
        <x:v>考試院</x:v>
      </x:c>
      <x:c r="D508" s="18" t="n">
        <x:v>26</x:v>
      </x:c>
      <x:c r="E508" s="18" t="n">
        <x:v>26</x:v>
      </x:c>
      <x:c r="F508" s="18" t="n">
        <x:v>287</x:v>
      </x:c>
      <x:c r="G508" s="18" t="n">
        <x:v>26</x:v>
      </x:c>
      <x:c r="H508" s="18" t="n">
        <x:v>47</x:v>
      </x:c>
      <x:c r="I508" s="18" t="n">
        <x:v>26</x:v>
      </x:c>
      <x:c r="J508" s="18" t="n">
        <x:v>321</x:v>
      </x:c>
      <x:c r="K508" s="18" t="n">
        <x:v>26</x:v>
      </x:c>
      <x:c r="L508" s="18" t="n">
        <x:v>68</x:v>
      </x:c>
      <x:c r="M508" s="18" t="n">
        <x:v>26</x:v>
      </x:c>
    </x:row>
    <x:row r="509">
      <x:c r="A509" s="22" t="str">
        <x:v>500105027</x:v>
      </x:c>
      <x:c r="B509" s="17" t="str">
        <x:v>文山區</x:v>
      </x:c>
      <x:c r="C509" s="17" t="str">
        <x:v>和興路26巷口</x:v>
      </x:c>
      <x:c r="D509" s="18" t="n">
        <x:v>26</x:v>
      </x:c>
      <x:c r="E509" s="18" t="n">
        <x:v>26</x:v>
      </x:c>
      <x:c r="F509" s="18" t="n">
        <x:v>514</x:v>
      </x:c>
      <x:c r="G509" s="18" t="n">
        <x:v>26</x:v>
      </x:c>
      <x:c r="H509" s="18" t="n">
        <x:v>110</x:v>
      </x:c>
      <x:c r="I509" s="18" t="n">
        <x:v>26</x:v>
      </x:c>
      <x:c r="J509" s="18" t="n">
        <x:v>113</x:v>
      </x:c>
      <x:c r="K509" s="18" t="n">
        <x:v>26</x:v>
      </x:c>
      <x:c r="L509" s="18" t="n">
        <x:v>18</x:v>
      </x:c>
      <x:c r="M509" s="18" t="n">
        <x:v>26</x:v>
      </x:c>
    </x:row>
    <x:row r="510">
      <x:c r="A510" s="22" t="str">
        <x:v>500105028</x:v>
      </x:c>
      <x:c r="B510" s="17" t="str">
        <x:v>文山區</x:v>
      </x:c>
      <x:c r="C510" s="17" t="str">
        <x:v>世新大學</x:v>
      </x:c>
      <x:c r="D510" s="18" t="n">
        <x:v>26</x:v>
      </x:c>
      <x:c r="E510" s="18" t="n">
        <x:v>26</x:v>
      </x:c>
      <x:c r="F510" s="18" t="n">
        <x:v>189</x:v>
      </x:c>
      <x:c r="G510" s="18" t="n">
        <x:v>26</x:v>
      </x:c>
      <x:c r="H510" s="18" t="n">
        <x:v>31</x:v>
      </x:c>
      <x:c r="I510" s="18" t="n">
        <x:v>26</x:v>
      </x:c>
      <x:c r="J510" s="18" t="n">
        <x:v>504</x:v>
      </x:c>
      <x:c r="K510" s="18" t="n">
        <x:v>26</x:v>
      </x:c>
      <x:c r="L510" s="18" t="n">
        <x:v>81</x:v>
      </x:c>
      <x:c r="M510" s="18" t="n">
        <x:v>26</x:v>
      </x:c>
    </x:row>
    <x:row r="511">
      <x:c r="A511" s="22" t="str">
        <x:v>500105029</x:v>
      </x:c>
      <x:c r="B511" s="17" t="str">
        <x:v>文山區</x:v>
      </x:c>
      <x:c r="C511" s="17" t="str">
        <x:v>一壽橋</x:v>
      </x:c>
      <x:c r="D511" s="18" t="n">
        <x:v>26</x:v>
      </x:c>
      <x:c r="E511" s="18" t="n">
        <x:v>26</x:v>
      </x:c>
      <x:c r="F511" s="18" t="n">
        <x:v>401</x:v>
      </x:c>
      <x:c r="G511" s="18" t="n">
        <x:v>26</x:v>
      </x:c>
      <x:c r="H511" s="18" t="n">
        <x:v>61</x:v>
      </x:c>
      <x:c r="I511" s="18" t="n">
        <x:v>26</x:v>
      </x:c>
      <x:c r="J511" s="18" t="n">
        <x:v>257</x:v>
      </x:c>
      <x:c r="K511" s="18" t="n">
        <x:v>26</x:v>
      </x:c>
      <x:c r="L511" s="18" t="n">
        <x:v>39</x:v>
      </x:c>
      <x:c r="M511" s="18" t="n">
        <x:v>26</x:v>
      </x:c>
    </x:row>
    <x:row r="512">
      <x:c r="A512" s="22" t="str">
        <x:v>500105030</x:v>
      </x:c>
      <x:c r="B512" s="17" t="str">
        <x:v>文山區</x:v>
      </x:c>
      <x:c r="C512" s="17" t="str">
        <x:v>臺北市立景美女中</x:v>
      </x:c>
      <x:c r="D512" s="18" t="n">
        <x:v>26</x:v>
      </x:c>
      <x:c r="E512" s="18" t="n">
        <x:v>26</x:v>
      </x:c>
      <x:c r="F512" s="18" t="n">
        <x:v>163</x:v>
      </x:c>
      <x:c r="G512" s="18" t="n">
        <x:v>26</x:v>
      </x:c>
      <x:c r="H512" s="18" t="n">
        <x:v>34</x:v>
      </x:c>
      <x:c r="I512" s="18" t="n">
        <x:v>26</x:v>
      </x:c>
      <x:c r="J512" s="18" t="n">
        <x:v>458</x:v>
      </x:c>
      <x:c r="K512" s="18" t="n">
        <x:v>26</x:v>
      </x:c>
      <x:c r="L512" s="18" t="n">
        <x:v>39</x:v>
      </x:c>
      <x:c r="M512" s="18" t="n">
        <x:v>26</x:v>
      </x:c>
    </x:row>
    <x:row r="513">
      <x:c r="A513" s="22" t="str">
        <x:v>500105031</x:v>
      </x:c>
      <x:c r="B513" s="17" t="str">
        <x:v>文山區</x:v>
      </x:c>
      <x:c r="C513" s="17" t="str">
        <x:v>永安藝文館_表演36房</x:v>
      </x:c>
      <x:c r="D513" s="18" t="n">
        <x:v>26</x:v>
      </x:c>
      <x:c r="E513" s="18" t="n">
        <x:v>26</x:v>
      </x:c>
      <x:c r="F513" s="18" t="n">
        <x:v>334</x:v>
      </x:c>
      <x:c r="G513" s="18" t="n">
        <x:v>26</x:v>
      </x:c>
      <x:c r="H513" s="18" t="n">
        <x:v>36</x:v>
      </x:c>
      <x:c r="I513" s="18" t="n">
        <x:v>26</x:v>
      </x:c>
      <x:c r="J513" s="18" t="n">
        <x:v>200</x:v>
      </x:c>
      <x:c r="K513" s="18" t="n">
        <x:v>26</x:v>
      </x:c>
      <x:c r="L513" s="18" t="n">
        <x:v>37</x:v>
      </x:c>
      <x:c r="M513" s="18" t="n">
        <x:v>26</x:v>
      </x:c>
    </x:row>
    <x:row r="514">
      <x:c r="A514" s="22" t="str">
        <x:v>500105032</x:v>
      </x:c>
      <x:c r="B514" s="17" t="str">
        <x:v>文山區</x:v>
      </x:c>
      <x:c r="C514" s="17" t="str">
        <x:v>忠順區民活動中心</x:v>
      </x:c>
      <x:c r="D514" s="18" t="n">
        <x:v>26</x:v>
      </x:c>
      <x:c r="E514" s="18" t="n">
        <x:v>26</x:v>
      </x:c>
      <x:c r="F514" s="18" t="n">
        <x:v>621</x:v>
      </x:c>
      <x:c r="G514" s="18" t="n">
        <x:v>26</x:v>
      </x:c>
      <x:c r="H514" s="18" t="n">
        <x:v>49</x:v>
      </x:c>
      <x:c r="I514" s="18" t="n">
        <x:v>26</x:v>
      </x:c>
      <x:c r="J514" s="18" t="n">
        <x:v>393</x:v>
      </x:c>
      <x:c r="K514" s="18" t="n">
        <x:v>26</x:v>
      </x:c>
      <x:c r="L514" s="18" t="n">
        <x:v>43</x:v>
      </x:c>
      <x:c r="M514" s="18" t="n">
        <x:v>26</x:v>
      </x:c>
    </x:row>
    <x:row r="515">
      <x:c r="A515" s="22" t="str">
        <x:v>500105033</x:v>
      </x:c>
      <x:c r="B515" s="17" t="str">
        <x:v>文山區</x:v>
      </x:c>
      <x:c r="C515" s="17" t="str">
        <x:v>景文中學</x:v>
      </x:c>
      <x:c r="D515" s="18" t="n">
        <x:v>26</x:v>
      </x:c>
      <x:c r="E515" s="18" t="n">
        <x:v>26</x:v>
      </x:c>
      <x:c r="F515" s="18" t="n">
        <x:v>117</x:v>
      </x:c>
      <x:c r="G515" s="18" t="n">
        <x:v>26</x:v>
      </x:c>
      <x:c r="H515" s="18" t="n">
        <x:v>57</x:v>
      </x:c>
      <x:c r="I515" s="18" t="n">
        <x:v>26</x:v>
      </x:c>
      <x:c r="J515" s="18" t="n">
        <x:v>587</x:v>
      </x:c>
      <x:c r="K515" s="18" t="n">
        <x:v>26</x:v>
      </x:c>
      <x:c r="L515" s="18" t="n">
        <x:v>88</x:v>
      </x:c>
      <x:c r="M515" s="18" t="n">
        <x:v>26</x:v>
      </x:c>
    </x:row>
    <x:row r="516">
      <x:c r="A516" s="22" t="str">
        <x:v>500105034</x:v>
      </x:c>
      <x:c r="B516" s="17" t="str">
        <x:v>文山區</x:v>
      </x:c>
      <x:c r="C516" s="17" t="str">
        <x:v>老泉街籃球場</x:v>
      </x:c>
      <x:c r="D516" s="18" t="n">
        <x:v>26</x:v>
      </x:c>
      <x:c r="E516" s="18" t="n">
        <x:v>26</x:v>
      </x:c>
      <x:c r="F516" s="18" t="n">
        <x:v>143</x:v>
      </x:c>
      <x:c r="G516" s="18" t="n">
        <x:v>26</x:v>
      </x:c>
      <x:c r="H516" s="18" t="n">
        <x:v>17</x:v>
      </x:c>
      <x:c r="I516" s="18" t="n">
        <x:v>26</x:v>
      </x:c>
      <x:c r="J516" s="18" t="n">
        <x:v>314</x:v>
      </x:c>
      <x:c r="K516" s="18" t="n">
        <x:v>26</x:v>
      </x:c>
      <x:c r="L516" s="18" t="n">
        <x:v>41</x:v>
      </x:c>
      <x:c r="M516" s="18" t="n">
        <x:v>26</x:v>
      </x:c>
    </x:row>
    <x:row r="517">
      <x:c r="A517" s="22" t="str">
        <x:v>500105035</x:v>
      </x:c>
      <x:c r="B517" s="17" t="str">
        <x:v>文山區</x:v>
      </x:c>
      <x:c r="C517" s="17" t="str">
        <x:v>文山行政中心</x:v>
      </x:c>
      <x:c r="D517" s="18" t="n">
        <x:v>26</x:v>
      </x:c>
      <x:c r="E517" s="18" t="n">
        <x:v>26</x:v>
      </x:c>
      <x:c r="F517" s="18" t="n">
        <x:v>219</x:v>
      </x:c>
      <x:c r="G517" s="18" t="n">
        <x:v>26</x:v>
      </x:c>
      <x:c r="H517" s="18" t="n">
        <x:v>51</x:v>
      </x:c>
      <x:c r="I517" s="18" t="n">
        <x:v>26</x:v>
      </x:c>
      <x:c r="J517" s="18" t="n">
        <x:v>366</x:v>
      </x:c>
      <x:c r="K517" s="18" t="n">
        <x:v>26</x:v>
      </x:c>
      <x:c r="L517" s="18" t="n">
        <x:v>96</x:v>
      </x:c>
      <x:c r="M517" s="18" t="n">
        <x:v>26</x:v>
      </x:c>
    </x:row>
    <x:row r="518">
      <x:c r="A518" s="22" t="str">
        <x:v>500105036</x:v>
      </x:c>
      <x:c r="B518" s="17" t="str">
        <x:v>文山區</x:v>
      </x:c>
      <x:c r="C518" s="17" t="str">
        <x:v>木柵公園</x:v>
      </x:c>
      <x:c r="D518" s="18" t="n">
        <x:v>26</x:v>
      </x:c>
      <x:c r="E518" s="18" t="n">
        <x:v>26</x:v>
      </x:c>
      <x:c r="F518" s="18" t="n">
        <x:v>562</x:v>
      </x:c>
      <x:c r="G518" s="18" t="n">
        <x:v>26</x:v>
      </x:c>
      <x:c r="H518" s="18" t="n">
        <x:v>33</x:v>
      </x:c>
      <x:c r="I518" s="18" t="n">
        <x:v>26</x:v>
      </x:c>
      <x:c r="J518" s="18" t="n">
        <x:v>156</x:v>
      </x:c>
      <x:c r="K518" s="18" t="n">
        <x:v>26</x:v>
      </x:c>
      <x:c r="L518" s="18" t="n">
        <x:v>9</x:v>
      </x:c>
      <x:c r="M518" s="18" t="n">
        <x:v>26</x:v>
      </x:c>
    </x:row>
    <x:row r="519">
      <x:c r="A519" s="22" t="str">
        <x:v>500105037</x:v>
      </x:c>
      <x:c r="B519" s="17" t="str">
        <x:v>文山區</x:v>
      </x:c>
      <x:c r="C519" s="17" t="str">
        <x:v>興隆公共住宅D2區</x:v>
      </x:c>
      <x:c r="D519" s="18" t="n">
        <x:v>26</x:v>
      </x:c>
      <x:c r="E519" s="18" t="n">
        <x:v>26</x:v>
      </x:c>
      <x:c r="F519" s="18" t="n">
        <x:v>205</x:v>
      </x:c>
      <x:c r="G519" s="18" t="n">
        <x:v>26</x:v>
      </x:c>
      <x:c r="H519" s="18" t="n">
        <x:v>64</x:v>
      </x:c>
      <x:c r="I519" s="18" t="n">
        <x:v>26</x:v>
      </x:c>
      <x:c r="J519" s="18" t="n">
        <x:v>112</x:v>
      </x:c>
      <x:c r="K519" s="18" t="n">
        <x:v>26</x:v>
      </x:c>
      <x:c r="L519" s="18" t="n">
        <x:v>38</x:v>
      </x:c>
      <x:c r="M519" s="18" t="n">
        <x:v>26</x:v>
      </x:c>
    </x:row>
    <x:row r="520">
      <x:c r="A520" s="22" t="str">
        <x:v>500105038</x:v>
      </x:c>
      <x:c r="B520" s="17" t="str">
        <x:v>文山區</x:v>
      </x:c>
      <x:c r="C520" s="17" t="str">
        <x:v>木新路3段95巷口</x:v>
      </x:c>
      <x:c r="D520" s="18" t="n">
        <x:v>26</x:v>
      </x:c>
      <x:c r="E520" s="18" t="n">
        <x:v>26</x:v>
      </x:c>
      <x:c r="F520" s="18" t="n">
        <x:v>473</x:v>
      </x:c>
      <x:c r="G520" s="18" t="n">
        <x:v>26</x:v>
      </x:c>
      <x:c r="H520" s="18" t="n">
        <x:v>77</x:v>
      </x:c>
      <x:c r="I520" s="18" t="n">
        <x:v>26</x:v>
      </x:c>
      <x:c r="J520" s="18" t="n">
        <x:v>352</x:v>
      </x:c>
      <x:c r="K520" s="18" t="n">
        <x:v>26</x:v>
      </x:c>
      <x:c r="L520" s="18" t="n">
        <x:v>51</x:v>
      </x:c>
      <x:c r="M520" s="18" t="n">
        <x:v>26</x:v>
      </x:c>
    </x:row>
    <x:row r="521">
      <x:c r="A521" s="22" t="str">
        <x:v>500105039</x:v>
      </x:c>
      <x:c r="B521" s="17" t="str">
        <x:v>文山區</x:v>
      </x:c>
      <x:c r="C521" s="17" t="str">
        <x:v>樟腳里公園</x:v>
      </x:c>
      <x:c r="D521" s="18" t="n">
        <x:v>26</x:v>
      </x:c>
      <x:c r="E521" s="18" t="n">
        <x:v>26</x:v>
      </x:c>
      <x:c r="F521" s="18" t="n">
        <x:v>237</x:v>
      </x:c>
      <x:c r="G521" s="18" t="n">
        <x:v>26</x:v>
      </x:c>
      <x:c r="H521" s="18" t="n">
        <x:v>59</x:v>
      </x:c>
      <x:c r="I521" s="18" t="n">
        <x:v>26</x:v>
      </x:c>
      <x:c r="J521" s="18" t="n">
        <x:v>151</x:v>
      </x:c>
      <x:c r="K521" s="18" t="n">
        <x:v>26</x:v>
      </x:c>
      <x:c r="L521" s="18" t="n">
        <x:v>49</x:v>
      </x:c>
      <x:c r="M521" s="18" t="n">
        <x:v>26</x:v>
      </x:c>
    </x:row>
    <x:row r="522">
      <x:c r="A522" s="22" t="str">
        <x:v>500105040</x:v>
      </x:c>
      <x:c r="B522" s="17" t="str">
        <x:v>文山區</x:v>
      </x:c>
      <x:c r="C522" s="17" t="str">
        <x:v>實踐國中</x:v>
      </x:c>
      <x:c r="D522" s="18" t="n">
        <x:v>26</x:v>
      </x:c>
      <x:c r="E522" s="18" t="n">
        <x:v>26</x:v>
      </x:c>
      <x:c r="F522" s="18" t="n">
        <x:v>267</x:v>
      </x:c>
      <x:c r="G522" s="18" t="n">
        <x:v>26</x:v>
      </x:c>
      <x:c r="H522" s="18" t="n">
        <x:v>50</x:v>
      </x:c>
      <x:c r="I522" s="18" t="n">
        <x:v>26</x:v>
      </x:c>
      <x:c r="J522" s="18" t="n">
        <x:v>223</x:v>
      </x:c>
      <x:c r="K522" s="18" t="n">
        <x:v>26</x:v>
      </x:c>
      <x:c r="L522" s="18" t="n">
        <x:v>41</x:v>
      </x:c>
      <x:c r="M522" s="18" t="n">
        <x:v>26</x:v>
      </x:c>
    </x:row>
    <x:row r="523">
      <x:c r="A523" s="22" t="str">
        <x:v>500105041</x:v>
      </x:c>
      <x:c r="B523" s="17" t="str">
        <x:v>文山區</x:v>
      </x:c>
      <x:c r="C523" s="17" t="str">
        <x:v>指南路3段2巷</x:v>
      </x:c>
      <x:c r="D523" s="18" t="n">
        <x:v>26</x:v>
      </x:c>
      <x:c r="E523" s="18" t="n">
        <x:v>26</x:v>
      </x:c>
      <x:c r="F523" s="18" t="n">
        <x:v>209</x:v>
      </x:c>
      <x:c r="G523" s="18" t="n">
        <x:v>26</x:v>
      </x:c>
      <x:c r="H523" s="18" t="n">
        <x:v>55</x:v>
      </x:c>
      <x:c r="I523" s="18" t="n">
        <x:v>26</x:v>
      </x:c>
      <x:c r="J523" s="18" t="n">
        <x:v>116</x:v>
      </x:c>
      <x:c r="K523" s="18" t="n">
        <x:v>26</x:v>
      </x:c>
      <x:c r="L523" s="18" t="n">
        <x:v>33</x:v>
      </x:c>
      <x:c r="M523" s="18" t="n">
        <x:v>26</x:v>
      </x:c>
    </x:row>
    <x:row r="524">
      <x:c r="A524" s="22" t="str">
        <x:v>500105042</x:v>
      </x:c>
      <x:c r="B524" s="17" t="str">
        <x:v>文山區</x:v>
      </x:c>
      <x:c r="C524" s="17" t="str">
        <x:v>萊茵公園</x:v>
      </x:c>
      <x:c r="D524" s="18" t="n">
        <x:v>26</x:v>
      </x:c>
      <x:c r="E524" s="18" t="n">
        <x:v>26</x:v>
      </x:c>
      <x:c r="F524" s="18" t="n">
        <x:v>240</x:v>
      </x:c>
      <x:c r="G524" s="18" t="n">
        <x:v>26</x:v>
      </x:c>
      <x:c r="H524" s="18" t="n">
        <x:v>59</x:v>
      </x:c>
      <x:c r="I524" s="18" t="n">
        <x:v>26</x:v>
      </x:c>
      <x:c r="J524" s="18" t="n">
        <x:v>190</x:v>
      </x:c>
      <x:c r="K524" s="18" t="n">
        <x:v>26</x:v>
      </x:c>
      <x:c r="L524" s="18" t="n">
        <x:v>52</x:v>
      </x:c>
      <x:c r="M524" s="18" t="n">
        <x:v>26</x:v>
      </x:c>
    </x:row>
    <x:row r="525">
      <x:c r="A525" s="22" t="str">
        <x:v>500105043</x:v>
      </x:c>
      <x:c r="B525" s="17" t="str">
        <x:v>文山區</x:v>
      </x:c>
      <x:c r="C525" s="17" t="str">
        <x:v>木柵社會住宅</x:v>
      </x:c>
      <x:c r="D525" s="18" t="n">
        <x:v>26</x:v>
      </x:c>
      <x:c r="E525" s="18" t="n">
        <x:v>26</x:v>
      </x:c>
      <x:c r="F525" s="18" t="n">
        <x:v>190</x:v>
      </x:c>
      <x:c r="G525" s="18" t="n">
        <x:v>26</x:v>
      </x:c>
      <x:c r="H525" s="18" t="n">
        <x:v>29</x:v>
      </x:c>
      <x:c r="I525" s="18" t="n">
        <x:v>26</x:v>
      </x:c>
      <x:c r="J525" s="18" t="n">
        <x:v>121</x:v>
      </x:c>
      <x:c r="K525" s="18" t="n">
        <x:v>26</x:v>
      </x:c>
      <x:c r="L525" s="18" t="n">
        <x:v>38</x:v>
      </x:c>
      <x:c r="M525" s="18" t="n">
        <x:v>26</x:v>
      </x:c>
    </x:row>
    <x:row r="526">
      <x:c r="A526" s="22" t="str">
        <x:v>500105044</x:v>
      </x:c>
      <x:c r="B526" s="17" t="str">
        <x:v>文山區</x:v>
      </x:c>
      <x:c r="C526" s="17" t="str">
        <x:v>秀明路一段185巷口</x:v>
      </x:c>
      <x:c r="D526" s="18" t="n">
        <x:v>26</x:v>
      </x:c>
      <x:c r="E526" s="18" t="n">
        <x:v>26</x:v>
      </x:c>
      <x:c r="F526" s="18" t="n">
        <x:v>123</x:v>
      </x:c>
      <x:c r="G526" s="18" t="n">
        <x:v>26</x:v>
      </x:c>
      <x:c r="H526" s="18" t="n">
        <x:v>32</x:v>
      </x:c>
      <x:c r="I526" s="18" t="n">
        <x:v>26</x:v>
      </x:c>
      <x:c r="J526" s="18" t="n">
        <x:v>95</x:v>
      </x:c>
      <x:c r="K526" s="18" t="n">
        <x:v>26</x:v>
      </x:c>
      <x:c r="L526" s="18" t="n">
        <x:v>29</x:v>
      </x:c>
      <x:c r="M526" s="18" t="n">
        <x:v>26</x:v>
      </x:c>
    </x:row>
    <x:row r="527">
      <x:c r="A527" s="22" t="str">
        <x:v>500105045</x:v>
      </x:c>
      <x:c r="B527" s="17" t="str">
        <x:v>文山區</x:v>
      </x:c>
      <x:c r="C527" s="17" t="str">
        <x:v>秀明路一段129巷口</x:v>
      </x:c>
      <x:c r="D527" s="18" t="n">
        <x:v>26</x:v>
      </x:c>
      <x:c r="E527" s="18" t="n">
        <x:v>26</x:v>
      </x:c>
      <x:c r="F527" s="18" t="n">
        <x:v>116</x:v>
      </x:c>
      <x:c r="G527" s="18" t="n">
        <x:v>26</x:v>
      </x:c>
      <x:c r="H527" s="18" t="n">
        <x:v>25</x:v>
      </x:c>
      <x:c r="I527" s="18" t="n">
        <x:v>26</x:v>
      </x:c>
      <x:c r="J527" s="18" t="n">
        <x:v>51</x:v>
      </x:c>
      <x:c r="K527" s="18" t="n">
        <x:v>26</x:v>
      </x:c>
      <x:c r="L527" s="18" t="n">
        <x:v>9</x:v>
      </x:c>
      <x:c r="M527" s="18" t="n">
        <x:v>26</x:v>
      </x:c>
    </x:row>
    <x:row r="528">
      <x:c r="A528" s="22" t="str">
        <x:v>500105046</x:v>
      </x:c>
      <x:c r="B528" s="17" t="str">
        <x:v>文山區</x:v>
      </x:c>
      <x:c r="C528" s="17" t="str">
        <x:v>恆光橋(老泉街)</x:v>
      </x:c>
      <x:c r="D528" s="18" t="n">
        <x:v>26</x:v>
      </x:c>
      <x:c r="E528" s="18" t="n">
        <x:v>26</x:v>
      </x:c>
      <x:c r="F528" s="18" t="n">
        <x:v>136</x:v>
      </x:c>
      <x:c r="G528" s="18" t="n">
        <x:v>26</x:v>
      </x:c>
      <x:c r="H528" s="18" t="n">
        <x:v>84</x:v>
      </x:c>
      <x:c r="I528" s="18" t="n">
        <x:v>26</x:v>
      </x:c>
      <x:c r="J528" s="18" t="n">
        <x:v>105</x:v>
      </x:c>
      <x:c r="K528" s="18" t="n">
        <x:v>26</x:v>
      </x:c>
      <x:c r="L528" s="18" t="n">
        <x:v>15</x:v>
      </x:c>
      <x:c r="M528" s="18" t="n">
        <x:v>26</x:v>
      </x:c>
    </x:row>
    <x:row r="529">
      <x:c r="A529" s="22" t="str">
        <x:v>500105047</x:v>
      </x:c>
      <x:c r="B529" s="17" t="str">
        <x:v>文山區</x:v>
      </x:c>
      <x:c r="C529" s="17" t="str">
        <x:v>萬有3號公園</x:v>
      </x:c>
      <x:c r="D529" s="18" t="n">
        <x:v>26</x:v>
      </x:c>
      <x:c r="E529" s="18" t="n">
        <x:v>26</x:v>
      </x:c>
      <x:c r="F529" s="18" t="n">
        <x:v>636</x:v>
      </x:c>
      <x:c r="G529" s="18" t="n">
        <x:v>26</x:v>
      </x:c>
      <x:c r="H529" s="18" t="n">
        <x:v>43</x:v>
      </x:c>
      <x:c r="I529" s="18" t="n">
        <x:v>26</x:v>
      </x:c>
      <x:c r="J529" s="18" t="n">
        <x:v>151</x:v>
      </x:c>
      <x:c r="K529" s="18" t="n">
        <x:v>26</x:v>
      </x:c>
      <x:c r="L529" s="18" t="n">
        <x:v>20</x:v>
      </x:c>
      <x:c r="M529" s="18" t="n">
        <x:v>26</x:v>
      </x:c>
    </x:row>
    <x:row r="530">
      <x:c r="A530" s="22" t="str">
        <x:v>500105048</x:v>
      </x:c>
      <x:c r="B530" s="17" t="str">
        <x:v>文山區</x:v>
      </x:c>
      <x:c r="C530" s="17" t="str">
        <x:v>捷運萬芳醫院站(興隆路三段115巷)</x:v>
      </x:c>
      <x:c r="D530" s="18" t="n">
        <x:v>26</x:v>
      </x:c>
      <x:c r="E530" s="18" t="n">
        <x:v>26</x:v>
      </x:c>
      <x:c r="F530" s="18" t="n">
        <x:v>195</x:v>
      </x:c>
      <x:c r="G530" s="18" t="n">
        <x:v>26</x:v>
      </x:c>
      <x:c r="H530" s="18" t="n">
        <x:v>68</x:v>
      </x:c>
      <x:c r="I530" s="18" t="n">
        <x:v>26</x:v>
      </x:c>
      <x:c r="J530" s="18" t="n">
        <x:v>557</x:v>
      </x:c>
      <x:c r="K530" s="18" t="n">
        <x:v>26</x:v>
      </x:c>
      <x:c r="L530" s="18" t="n">
        <x:v>63</x:v>
      </x:c>
      <x:c r="M530" s="18" t="n">
        <x:v>26</x:v>
      </x:c>
    </x:row>
    <x:row r="531">
      <x:c r="A531" s="22" t="str">
        <x:v>500105049</x:v>
      </x:c>
      <x:c r="B531" s="17" t="str">
        <x:v>文山區</x:v>
      </x:c>
      <x:c r="C531" s="17" t="str">
        <x:v>興得閱覽室</x:v>
      </x:c>
      <x:c r="D531" s="18" t="n">
        <x:v>26</x:v>
      </x:c>
      <x:c r="E531" s="18" t="n">
        <x:v>26</x:v>
      </x:c>
      <x:c r="F531" s="18" t="n">
        <x:v>434</x:v>
      </x:c>
      <x:c r="G531" s="18" t="n">
        <x:v>26</x:v>
      </x:c>
      <x:c r="H531" s="18" t="n">
        <x:v>61</x:v>
      </x:c>
      <x:c r="I531" s="18" t="n">
        <x:v>26</x:v>
      </x:c>
      <x:c r="J531" s="18" t="n">
        <x:v>156</x:v>
      </x:c>
      <x:c r="K531" s="18" t="n">
        <x:v>26</x:v>
      </x:c>
      <x:c r="L531" s="18" t="n">
        <x:v>35</x:v>
      </x:c>
      <x:c r="M531" s="18" t="n">
        <x:v>26</x:v>
      </x:c>
    </x:row>
    <x:row r="532">
      <x:c r="A532" s="22" t="str">
        <x:v>500105050</x:v>
      </x:c>
      <x:c r="B532" s="17" t="str">
        <x:v>文山區</x:v>
      </x:c>
      <x:c r="C532" s="17" t="str">
        <x:v>辛亥生態公園</x:v>
      </x:c>
      <x:c r="D532" s="18" t="n">
        <x:v>26</x:v>
      </x:c>
      <x:c r="E532" s="18" t="n">
        <x:v>26</x:v>
      </x:c>
      <x:c r="F532" s="18" t="n">
        <x:v>117</x:v>
      </x:c>
      <x:c r="G532" s="18" t="n">
        <x:v>26</x:v>
      </x:c>
      <x:c r="H532" s="18" t="n">
        <x:v>29</x:v>
      </x:c>
      <x:c r="I532" s="18" t="n">
        <x:v>26</x:v>
      </x:c>
      <x:c r="J532" s="18" t="n">
        <x:v>466</x:v>
      </x:c>
      <x:c r="K532" s="18" t="n">
        <x:v>26</x:v>
      </x:c>
      <x:c r="L532" s="18" t="n">
        <x:v>66</x:v>
      </x:c>
      <x:c r="M532" s="18" t="n">
        <x:v>26</x:v>
      </x:c>
    </x:row>
    <x:row r="533">
      <x:c r="A533" s="22" t="str">
        <x:v>500105051</x:v>
      </x:c>
      <x:c r="B533" s="17" t="str">
        <x:v>文山區</x:v>
      </x:c>
      <x:c r="C533" s="17" t="str">
        <x:v>博嘉運動公園</x:v>
      </x:c>
      <x:c r="D533" s="18" t="n">
        <x:v>26</x:v>
      </x:c>
      <x:c r="E533" s="18" t="n">
        <x:v>26</x:v>
      </x:c>
      <x:c r="F533" s="18" t="n">
        <x:v>93</x:v>
      </x:c>
      <x:c r="G533" s="18" t="n">
        <x:v>26</x:v>
      </x:c>
      <x:c r="H533" s="18" t="n">
        <x:v>30</x:v>
      </x:c>
      <x:c r="I533" s="18" t="n">
        <x:v>26</x:v>
      </x:c>
      <x:c r="J533" s="18" t="n">
        <x:v>76</x:v>
      </x:c>
      <x:c r="K533" s="18" t="n">
        <x:v>26</x:v>
      </x:c>
      <x:c r="L533" s="18" t="n">
        <x:v>39</x:v>
      </x:c>
      <x:c r="M533" s="18" t="n">
        <x:v>26</x:v>
      </x:c>
    </x:row>
    <x:row r="534">
      <x:c r="A534" s="22" t="str">
        <x:v>500105052</x:v>
      </x:c>
      <x:c r="B534" s="17" t="str">
        <x:v>文山區</x:v>
      </x:c>
      <x:c r="C534" s="17" t="str">
        <x:v>國立政治大學(萬壽路)</x:v>
      </x:c>
      <x:c r="D534" s="18" t="n">
        <x:v>26</x:v>
      </x:c>
      <x:c r="E534" s="18" t="n">
        <x:v>26</x:v>
      </x:c>
      <x:c r="F534" s="18" t="n">
        <x:v>0</x:v>
      </x:c>
      <x:c r="G534" s="18" t="n">
        <x:v>26</x:v>
      </x:c>
      <x:c r="H534" s="18" t="n">
        <x:v>0</x:v>
      </x:c>
      <x:c r="I534" s="18" t="n">
        <x:v>26</x:v>
      </x:c>
      <x:c r="J534" s="18" t="n">
        <x:v>0</x:v>
      </x:c>
      <x:c r="K534" s="18" t="n">
        <x:v>26</x:v>
      </x:c>
      <x:c r="L534" s="18" t="n">
        <x:v>0</x:v>
      </x:c>
      <x:c r="M534" s="18" t="n">
        <x:v>26</x:v>
      </x:c>
    </x:row>
    <x:row r="535">
      <x:c r="A535" s="22" t="str">
        <x:v>500105053</x:v>
      </x:c>
      <x:c r="B535" s="17" t="str">
        <x:v>文山區</x:v>
      </x:c>
      <x:c r="C535" s="17" t="str">
        <x:v>仙岩公園</x:v>
      </x:c>
      <x:c r="D535" s="18" t="n">
        <x:v>26</x:v>
      </x:c>
      <x:c r="E535" s="18" t="n">
        <x:v>26</x:v>
      </x:c>
      <x:c r="F535" s="18" t="n">
        <x:v>541</x:v>
      </x:c>
      <x:c r="G535" s="18" t="n">
        <x:v>26</x:v>
      </x:c>
      <x:c r="H535" s="18" t="n">
        <x:v>64</x:v>
      </x:c>
      <x:c r="I535" s="18" t="n">
        <x:v>26</x:v>
      </x:c>
      <x:c r="J535" s="18" t="n">
        <x:v>111</x:v>
      </x:c>
      <x:c r="K535" s="18" t="n">
        <x:v>26</x:v>
      </x:c>
      <x:c r="L535" s="18" t="n">
        <x:v>26</x:v>
      </x:c>
      <x:c r="M535" s="18" t="n">
        <x:v>26</x:v>
      </x:c>
    </x:row>
    <x:row r="536">
      <x:c r="A536" s="22" t="str">
        <x:v>500105054</x:v>
      </x:c>
      <x:c r="B536" s="17" t="str">
        <x:v>文山區</x:v>
      </x:c>
      <x:c r="C536" s="17" t="str">
        <x:v>政大一街口</x:v>
      </x:c>
      <x:c r="D536" s="18" t="n">
        <x:v>26</x:v>
      </x:c>
      <x:c r="E536" s="18" t="n">
        <x:v>26</x:v>
      </x:c>
      <x:c r="F536" s="18" t="n">
        <x:v>130</x:v>
      </x:c>
      <x:c r="G536" s="18" t="n">
        <x:v>26</x:v>
      </x:c>
      <x:c r="H536" s="18" t="n">
        <x:v>32</x:v>
      </x:c>
      <x:c r="I536" s="18" t="n">
        <x:v>26</x:v>
      </x:c>
      <x:c r="J536" s="18" t="n">
        <x:v>118</x:v>
      </x:c>
      <x:c r="K536" s="18" t="n">
        <x:v>26</x:v>
      </x:c>
      <x:c r="L536" s="18" t="n">
        <x:v>26</x:v>
      </x:c>
      <x:c r="M536" s="18" t="n">
        <x:v>26</x:v>
      </x:c>
    </x:row>
    <x:row r="537">
      <x:c r="A537" s="22" t="str">
        <x:v>500105055</x:v>
      </x:c>
      <x:c r="B537" s="17" t="str">
        <x:v>文山區</x:v>
      </x:c>
      <x:c r="C537" s="17" t="str">
        <x:v>文山第二行政中心</x:v>
      </x:c>
      <x:c r="D537" s="18" t="n">
        <x:v>26</x:v>
      </x:c>
      <x:c r="E537" s="18" t="n">
        <x:v>26</x:v>
      </x:c>
      <x:c r="F537" s="18" t="n">
        <x:v>490</x:v>
      </x:c>
      <x:c r="G537" s="18" t="n">
        <x:v>26</x:v>
      </x:c>
      <x:c r="H537" s="18" t="n">
        <x:v>79</x:v>
      </x:c>
      <x:c r="I537" s="18" t="n">
        <x:v>26</x:v>
      </x:c>
      <x:c r="J537" s="18" t="n">
        <x:v>301</x:v>
      </x:c>
      <x:c r="K537" s="18" t="n">
        <x:v>26</x:v>
      </x:c>
      <x:c r="L537" s="18" t="n">
        <x:v>74</x:v>
      </x:c>
      <x:c r="M537" s="18" t="n">
        <x:v>26</x:v>
      </x:c>
    </x:row>
    <x:row r="538">
      <x:c r="A538" s="22" t="str">
        <x:v>500105056</x:v>
      </x:c>
      <x:c r="B538" s="17" t="str">
        <x:v>文山區</x:v>
      </x:c>
      <x:c r="C538" s="17" t="str">
        <x:v>移民署訓練中心</x:v>
      </x:c>
      <x:c r="D538" s="18" t="n">
        <x:v>26</x:v>
      </x:c>
      <x:c r="E538" s="18" t="n">
        <x:v>26</x:v>
      </x:c>
      <x:c r="F538" s="18" t="n">
        <x:v>110</x:v>
      </x:c>
      <x:c r="G538" s="18" t="n">
        <x:v>26</x:v>
      </x:c>
      <x:c r="H538" s="18" t="n">
        <x:v>36</x:v>
      </x:c>
      <x:c r="I538" s="18" t="n">
        <x:v>26</x:v>
      </x:c>
      <x:c r="J538" s="18" t="n">
        <x:v>205</x:v>
      </x:c>
      <x:c r="K538" s="18" t="n">
        <x:v>26</x:v>
      </x:c>
      <x:c r="L538" s="18" t="n">
        <x:v>41</x:v>
      </x:c>
      <x:c r="M538" s="18" t="n">
        <x:v>26</x:v>
      </x:c>
    </x:row>
    <x:row r="539">
      <x:c r="A539" s="22" t="str">
        <x:v>500105057</x:v>
      </x:c>
      <x:c r="B539" s="17" t="str">
        <x:v>文山區</x:v>
      </x:c>
      <x:c r="C539" s="17" t="str">
        <x:v>海巡署(南側)</x:v>
      </x:c>
      <x:c r="D539" s="18" t="n">
        <x:v>26</x:v>
      </x:c>
      <x:c r="E539" s="18" t="n">
        <x:v>26</x:v>
      </x:c>
      <x:c r="F539" s="18" t="n">
        <x:v>108</x:v>
      </x:c>
      <x:c r="G539" s="18" t="n">
        <x:v>26</x:v>
      </x:c>
      <x:c r="H539" s="18" t="n">
        <x:v>29</x:v>
      </x:c>
      <x:c r="I539" s="18" t="n">
        <x:v>26</x:v>
      </x:c>
      <x:c r="J539" s="18" t="n">
        <x:v>142</x:v>
      </x:c>
      <x:c r="K539" s="18" t="n">
        <x:v>26</x:v>
      </x:c>
      <x:c r="L539" s="18" t="n">
        <x:v>28</x:v>
      </x:c>
      <x:c r="M539" s="18" t="n">
        <x:v>26</x:v>
      </x:c>
    </x:row>
    <x:row r="540">
      <x:c r="A540" s="22" t="str">
        <x:v>500105058</x:v>
      </x:c>
      <x:c r="B540" s="17" t="str">
        <x:v>文山區</x:v>
      </x:c>
      <x:c r="C540" s="17" t="str">
        <x:v>明道國小東南側</x:v>
      </x:c>
      <x:c r="D540" s="18" t="n">
        <x:v>26</x:v>
      </x:c>
      <x:c r="E540" s="18" t="n">
        <x:v>26</x:v>
      </x:c>
      <x:c r="F540" s="18" t="n">
        <x:v>91</x:v>
      </x:c>
      <x:c r="G540" s="18" t="n">
        <x:v>26</x:v>
      </x:c>
      <x:c r="H540" s="18" t="n">
        <x:v>18</x:v>
      </x:c>
      <x:c r="I540" s="18" t="n">
        <x:v>26</x:v>
      </x:c>
      <x:c r="J540" s="18" t="n">
        <x:v>84</x:v>
      </x:c>
      <x:c r="K540" s="18" t="n">
        <x:v>26</x:v>
      </x:c>
      <x:c r="L540" s="18" t="n">
        <x:v>16</x:v>
      </x:c>
      <x:c r="M540" s="18" t="n">
        <x:v>26</x:v>
      </x:c>
    </x:row>
    <x:row r="541">
      <x:c r="A541" s="22" t="str">
        <x:v>500105059</x:v>
      </x:c>
      <x:c r="B541" s="17" t="str">
        <x:v>文山區</x:v>
      </x:c>
      <x:c r="C541" s="17" t="str">
        <x:v>木南公園</x:v>
      </x:c>
      <x:c r="D541" s="18" t="n">
        <x:v>26</x:v>
      </x:c>
      <x:c r="E541" s="18" t="n">
        <x:v>26</x:v>
      </x:c>
      <x:c r="F541" s="18" t="n">
        <x:v>136</x:v>
      </x:c>
      <x:c r="G541" s="18" t="n">
        <x:v>26</x:v>
      </x:c>
      <x:c r="H541" s="18" t="n">
        <x:v>48</x:v>
      </x:c>
      <x:c r="I541" s="18" t="n">
        <x:v>26</x:v>
      </x:c>
      <x:c r="J541" s="18" t="n">
        <x:v>101</x:v>
      </x:c>
      <x:c r="K541" s="18" t="n">
        <x:v>26</x:v>
      </x:c>
      <x:c r="L541" s="18" t="n">
        <x:v>18</x:v>
      </x:c>
      <x:c r="M541" s="18" t="n">
        <x:v>26</x:v>
      </x:c>
    </x:row>
    <x:row r="542">
      <x:c r="A542" s="22" t="str">
        <x:v>500105060</x:v>
      </x:c>
      <x:c r="B542" s="17" t="str">
        <x:v>文山區</x:v>
      </x:c>
      <x:c r="C542" s="17" t="str">
        <x:v>實踐國中(木新路三段310巷口)</x:v>
      </x:c>
      <x:c r="D542" s="18" t="n">
        <x:v>26</x:v>
      </x:c>
      <x:c r="E542" s="18" t="n">
        <x:v>26</x:v>
      </x:c>
      <x:c r="F542" s="18" t="n">
        <x:v>239</x:v>
      </x:c>
      <x:c r="G542" s="18" t="n">
        <x:v>26</x:v>
      </x:c>
      <x:c r="H542" s="18" t="n">
        <x:v>77</x:v>
      </x:c>
      <x:c r="I542" s="18" t="n">
        <x:v>26</x:v>
      </x:c>
      <x:c r="J542" s="18" t="n">
        <x:v>203</x:v>
      </x:c>
      <x:c r="K542" s="18" t="n">
        <x:v>26</x:v>
      </x:c>
      <x:c r="L542" s="18" t="n">
        <x:v>46</x:v>
      </x:c>
      <x:c r="M542" s="18" t="n">
        <x:v>26</x:v>
      </x:c>
    </x:row>
    <x:row r="543">
      <x:c r="A543" s="22" t="str">
        <x:v>500105061</x:v>
      </x:c>
      <x:c r="B543" s="17" t="str">
        <x:v>文山區</x:v>
      </x:c>
      <x:c r="C543" s="17" t="str">
        <x:v>師範大學公館校區_1</x:v>
      </x:c>
      <x:c r="D543" s="18" t="n">
        <x:v>26</x:v>
      </x:c>
      <x:c r="E543" s="18" t="n">
        <x:v>26</x:v>
      </x:c>
      <x:c r="F543" s="18" t="n">
        <x:v>340</x:v>
      </x:c>
      <x:c r="G543" s="18" t="n">
        <x:v>26</x:v>
      </x:c>
      <x:c r="H543" s="18" t="n">
        <x:v>65</x:v>
      </x:c>
      <x:c r="I543" s="18" t="n">
        <x:v>26</x:v>
      </x:c>
      <x:c r="J543" s="18" t="n">
        <x:v>354</x:v>
      </x:c>
      <x:c r="K543" s="18" t="n">
        <x:v>26</x:v>
      </x:c>
      <x:c r="L543" s="18" t="n">
        <x:v>44</x:v>
      </x:c>
      <x:c r="M543" s="18" t="n">
        <x:v>26</x:v>
      </x:c>
    </x:row>
    <x:row r="544">
      <x:c r="A544" s="22" t="str">
        <x:v>500105062</x:v>
      </x:c>
      <x:c r="B544" s="17" t="str">
        <x:v>文山區</x:v>
      </x:c>
      <x:c r="C544" s="17" t="str">
        <x:v>捷運動物園站(2號出口)</x:v>
      </x:c>
      <x:c r="D544" s="18" t="n">
        <x:v>26</x:v>
      </x:c>
      <x:c r="E544" s="18" t="n">
        <x:v>26</x:v>
      </x:c>
      <x:c r="F544" s="18" t="n">
        <x:v>0</x:v>
      </x:c>
      <x:c r="G544" s="18" t="n">
        <x:v>26</x:v>
      </x:c>
      <x:c r="H544" s="18" t="n">
        <x:v>0</x:v>
      </x:c>
      <x:c r="I544" s="18" t="n">
        <x:v>26</x:v>
      </x:c>
      <x:c r="J544" s="18" t="n">
        <x:v>0</x:v>
      </x:c>
      <x:c r="K544" s="18" t="n">
        <x:v>26</x:v>
      </x:c>
      <x:c r="L544" s="18" t="n">
        <x:v>0</x:v>
      </x:c>
      <x:c r="M544" s="18" t="n">
        <x:v>26</x:v>
      </x:c>
    </x:row>
    <x:row r="545">
      <x:c r="A545" s="22" t="str">
        <x:v>500105063</x:v>
      </x:c>
      <x:c r="B545" s="17" t="str">
        <x:v>文山區</x:v>
      </x:c>
      <x:c r="C545" s="17" t="str">
        <x:v>政大水岸電梯</x:v>
      </x:c>
      <x:c r="D545" s="18" t="n">
        <x:v>26</x:v>
      </x:c>
      <x:c r="E545" s="18" t="n">
        <x:v>26</x:v>
      </x:c>
      <x:c r="F545" s="18" t="n">
        <x:v>92</x:v>
      </x:c>
      <x:c r="G545" s="18" t="n">
        <x:v>26</x:v>
      </x:c>
      <x:c r="H545" s="18" t="n">
        <x:v>27</x:v>
      </x:c>
      <x:c r="I545" s="18" t="n">
        <x:v>26</x:v>
      </x:c>
      <x:c r="J545" s="18" t="n">
        <x:v>109</x:v>
      </x:c>
      <x:c r="K545" s="18" t="n">
        <x:v>26</x:v>
      </x:c>
      <x:c r="L545" s="18" t="n">
        <x:v>41</x:v>
      </x:c>
      <x:c r="M545" s="18" t="n">
        <x:v>26</x:v>
      </x:c>
    </x:row>
    <x:row r="546">
      <x:c r="A546" s="22" t="str">
        <x:v>500105064</x:v>
      </x:c>
      <x:c r="B546" s="17" t="str">
        <x:v>文山區</x:v>
      </x:c>
      <x:c r="C546" s="17" t="str">
        <x:v>敦南山林</x:v>
      </x:c>
      <x:c r="D546" s="18" t="n">
        <x:v>26</x:v>
      </x:c>
      <x:c r="E546" s="18" t="n">
        <x:v>26</x:v>
      </x:c>
      <x:c r="F546" s="18" t="n">
        <x:v>152</x:v>
      </x:c>
      <x:c r="G546" s="18" t="n">
        <x:v>26</x:v>
      </x:c>
      <x:c r="H546" s="18" t="n">
        <x:v>51</x:v>
      </x:c>
      <x:c r="I546" s="18" t="n">
        <x:v>26</x:v>
      </x:c>
      <x:c r="J546" s="18" t="n">
        <x:v>58</x:v>
      </x:c>
      <x:c r="K546" s="18" t="n">
        <x:v>26</x:v>
      </x:c>
      <x:c r="L546" s="18" t="n">
        <x:v>38</x:v>
      </x:c>
      <x:c r="M546" s="18" t="n">
        <x:v>26</x:v>
      </x:c>
    </x:row>
    <x:row r="547">
      <x:c r="A547" s="22" t="str">
        <x:v>500105065</x:v>
      </x:c>
      <x:c r="B547" s="17" t="str">
        <x:v>文山區</x:v>
      </x:c>
      <x:c r="C547" s="17" t="str">
        <x:v>辛亥路五段73巷口</x:v>
      </x:c>
      <x:c r="D547" s="18" t="n">
        <x:v>26</x:v>
      </x:c>
      <x:c r="E547" s="18" t="n">
        <x:v>26</x:v>
      </x:c>
      <x:c r="F547" s="18" t="n">
        <x:v>0</x:v>
      </x:c>
      <x:c r="G547" s="18" t="n">
        <x:v>26</x:v>
      </x:c>
      <x:c r="H547" s="18" t="n">
        <x:v>0</x:v>
      </x:c>
      <x:c r="I547" s="18" t="n">
        <x:v>26</x:v>
      </x:c>
      <x:c r="J547" s="18" t="n">
        <x:v>0</x:v>
      </x:c>
      <x:c r="K547" s="18" t="n">
        <x:v>26</x:v>
      </x:c>
      <x:c r="L547" s="18" t="n">
        <x:v>0</x:v>
      </x:c>
      <x:c r="M547" s="18" t="n">
        <x:v>26</x:v>
      </x:c>
    </x:row>
    <x:row r="548">
      <x:c r="A548" s="22" t="str">
        <x:v>500105066</x:v>
      </x:c>
      <x:c r="B548" s="17" t="str">
        <x:v>文山區</x:v>
      </x:c>
      <x:c r="C548" s="17" t="str">
        <x:v>景美污水抽水站</x:v>
      </x:c>
      <x:c r="D548" s="18" t="n">
        <x:v>26</x:v>
      </x:c>
      <x:c r="E548" s="18" t="n">
        <x:v>26</x:v>
      </x:c>
      <x:c r="F548" s="18" t="n">
        <x:v>88</x:v>
      </x:c>
      <x:c r="G548" s="18" t="n">
        <x:v>26</x:v>
      </x:c>
      <x:c r="H548" s="18" t="n">
        <x:v>7</x:v>
      </x:c>
      <x:c r="I548" s="18" t="n">
        <x:v>26</x:v>
      </x:c>
      <x:c r="J548" s="18" t="n">
        <x:v>112</x:v>
      </x:c>
      <x:c r="K548" s="18" t="n">
        <x:v>26</x:v>
      </x:c>
      <x:c r="L548" s="18" t="n">
        <x:v>22</x:v>
      </x:c>
      <x:c r="M548" s="18" t="n">
        <x:v>26</x:v>
      </x:c>
    </x:row>
    <x:row r="549">
      <x:c r="A549" s="22" t="str">
        <x:v>500105067</x:v>
      </x:c>
      <x:c r="B549" s="17" t="str">
        <x:v>文山區</x:v>
      </x:c>
      <x:c r="C549" s="17" t="str">
        <x:v>萬和三號公園(北側)</x:v>
      </x:c>
      <x:c r="D549" s="18" t="n">
        <x:v>26</x:v>
      </x:c>
      <x:c r="E549" s="18" t="n">
        <x:v>26</x:v>
      </x:c>
      <x:c r="F549" s="18" t="n">
        <x:v>695</x:v>
      </x:c>
      <x:c r="G549" s="18" t="n">
        <x:v>26</x:v>
      </x:c>
      <x:c r="H549" s="18" t="n">
        <x:v>42</x:v>
      </x:c>
      <x:c r="I549" s="18" t="n">
        <x:v>26</x:v>
      </x:c>
      <x:c r="J549" s="18" t="n">
        <x:v>220</x:v>
      </x:c>
      <x:c r="K549" s="18" t="n">
        <x:v>26</x:v>
      </x:c>
      <x:c r="L549" s="18" t="n">
        <x:v>32</x:v>
      </x:c>
      <x:c r="M549" s="18" t="n">
        <x:v>26</x:v>
      </x:c>
    </x:row>
    <x:row r="550">
      <x:c r="A550" s="22" t="str">
        <x:v>500105068</x:v>
      </x:c>
      <x:c r="B550" s="17" t="str">
        <x:v>文山區</x:v>
      </x:c>
      <x:c r="C550" s="17" t="str">
        <x:v>景興國中</x:v>
      </x:c>
      <x:c r="D550" s="18" t="n">
        <x:v>26</x:v>
      </x:c>
      <x:c r="E550" s="18" t="n">
        <x:v>26</x:v>
      </x:c>
      <x:c r="F550" s="18" t="n">
        <x:v>152</x:v>
      </x:c>
      <x:c r="G550" s="18" t="n">
        <x:v>26</x:v>
      </x:c>
      <x:c r="H550" s="18" t="n">
        <x:v>22</x:v>
      </x:c>
      <x:c r="I550" s="18" t="n">
        <x:v>26</x:v>
      </x:c>
      <x:c r="J550" s="18" t="n">
        <x:v>291</x:v>
      </x:c>
      <x:c r="K550" s="18" t="n">
        <x:v>26</x:v>
      </x:c>
      <x:c r="L550" s="18" t="n">
        <x:v>26</x:v>
      </x:c>
      <x:c r="M550" s="18" t="n">
        <x:v>26</x:v>
      </x:c>
    </x:row>
    <x:row r="551">
      <x:c r="A551" s="22" t="str">
        <x:v>500105069</x:v>
      </x:c>
      <x:c r="B551" s="17" t="str">
        <x:v>文山區</x:v>
      </x:c>
      <x:c r="C551" s="17" t="str">
        <x:v>景仁公園_1</x:v>
      </x:c>
      <x:c r="D551" s="18" t="n">
        <x:v>26</x:v>
      </x:c>
      <x:c r="E551" s="18" t="n">
        <x:v>26</x:v>
      </x:c>
      <x:c r="F551" s="18" t="n">
        <x:v>430</x:v>
      </x:c>
      <x:c r="G551" s="18" t="n">
        <x:v>26</x:v>
      </x:c>
      <x:c r="H551" s="18" t="n">
        <x:v>58</x:v>
      </x:c>
      <x:c r="I551" s="18" t="n">
        <x:v>26</x:v>
      </x:c>
      <x:c r="J551" s="18" t="n">
        <x:v>194</x:v>
      </x:c>
      <x:c r="K551" s="18" t="n">
        <x:v>26</x:v>
      </x:c>
      <x:c r="L551" s="18" t="n">
        <x:v>32</x:v>
      </x:c>
      <x:c r="M551" s="18" t="n">
        <x:v>26</x:v>
      </x:c>
    </x:row>
    <x:row r="552">
      <x:c r="A552" s="22" t="str">
        <x:v>500105070</x:v>
      </x:c>
      <x:c r="B552" s="17" t="str">
        <x:v>文山區</x:v>
      </x:c>
      <x:c r="C552" s="17" t="str">
        <x:v>師大公館校區學二舍</x:v>
      </x:c>
      <x:c r="D552" s="18" t="n">
        <x:v>26</x:v>
      </x:c>
      <x:c r="E552" s="18" t="n">
        <x:v>26</x:v>
      </x:c>
      <x:c r="F552" s="18" t="n">
        <x:v>1383</x:v>
      </x:c>
      <x:c r="G552" s="18" t="n">
        <x:v>26</x:v>
      </x:c>
      <x:c r="H552" s="18" t="n">
        <x:v>126</x:v>
      </x:c>
      <x:c r="I552" s="18" t="n">
        <x:v>26</x:v>
      </x:c>
      <x:c r="J552" s="18" t="n">
        <x:v>545</x:v>
      </x:c>
      <x:c r="K552" s="18" t="n">
        <x:v>26</x:v>
      </x:c>
      <x:c r="L552" s="18" t="n">
        <x:v>72</x:v>
      </x:c>
      <x:c r="M552" s="18" t="n">
        <x:v>26</x:v>
      </x:c>
    </x:row>
    <x:row r="553">
      <x:c r="A553" s="22" t="str">
        <x:v>500105071</x:v>
      </x:c>
      <x:c r="B553" s="17" t="str">
        <x:v>文山區</x:v>
      </x:c>
      <x:c r="C553" s="17" t="str">
        <x:v>景行公園</x:v>
      </x:c>
      <x:c r="D553" s="18" t="n">
        <x:v>26</x:v>
      </x:c>
      <x:c r="E553" s="18" t="n">
        <x:v>26</x:v>
      </x:c>
      <x:c r="F553" s="18" t="n">
        <x:v>164</x:v>
      </x:c>
      <x:c r="G553" s="18" t="n">
        <x:v>26</x:v>
      </x:c>
      <x:c r="H553" s="18" t="n">
        <x:v>29</x:v>
      </x:c>
      <x:c r="I553" s="18" t="n">
        <x:v>26</x:v>
      </x:c>
      <x:c r="J553" s="18" t="n">
        <x:v>180</x:v>
      </x:c>
      <x:c r="K553" s="18" t="n">
        <x:v>26</x:v>
      </x:c>
      <x:c r="L553" s="18" t="n">
        <x:v>26</x:v>
      </x:c>
      <x:c r="M553" s="18" t="n">
        <x:v>26</x:v>
      </x:c>
    </x:row>
    <x:row r="554">
      <x:c r="A554" s="22" t="str">
        <x:v>500105072</x:v>
      </x:c>
      <x:c r="B554" s="17" t="str">
        <x:v>文山區</x:v>
      </x:c>
      <x:c r="C554" s="17" t="str">
        <x:v>萬興國小</x:v>
      </x:c>
      <x:c r="D554" s="18" t="n">
        <x:v>26</x:v>
      </x:c>
      <x:c r="E554" s="18" t="n">
        <x:v>26</x:v>
      </x:c>
      <x:c r="F554" s="18" t="n">
        <x:v>131</x:v>
      </x:c>
      <x:c r="G554" s="18" t="n">
        <x:v>26</x:v>
      </x:c>
      <x:c r="H554" s="18" t="n">
        <x:v>38</x:v>
      </x:c>
      <x:c r="I554" s="18" t="n">
        <x:v>26</x:v>
      </x:c>
      <x:c r="J554" s="18" t="n">
        <x:v>199</x:v>
      </x:c>
      <x:c r="K554" s="18" t="n">
        <x:v>26</x:v>
      </x:c>
      <x:c r="L554" s="18" t="n">
        <x:v>55</x:v>
      </x:c>
      <x:c r="M554" s="18" t="n">
        <x:v>26</x:v>
      </x:c>
    </x:row>
    <x:row r="555">
      <x:c r="A555" s="22" t="str">
        <x:v>500105073</x:v>
      </x:c>
      <x:c r="B555" s="17" t="str">
        <x:v>文山區</x:v>
      </x:c>
      <x:c r="C555" s="17" t="str">
        <x:v>辛亥路四段77巷口</x:v>
      </x:c>
      <x:c r="D555" s="18" t="n">
        <x:v>26</x:v>
      </x:c>
      <x:c r="E555" s="18" t="n">
        <x:v>26</x:v>
      </x:c>
      <x:c r="F555" s="18" t="n">
        <x:v>374</x:v>
      </x:c>
      <x:c r="G555" s="18" t="n">
        <x:v>26</x:v>
      </x:c>
      <x:c r="H555" s="18" t="n">
        <x:v>112</x:v>
      </x:c>
      <x:c r="I555" s="18" t="n">
        <x:v>26</x:v>
      </x:c>
      <x:c r="J555" s="18" t="n">
        <x:v>128</x:v>
      </x:c>
      <x:c r="K555" s="18" t="n">
        <x:v>26</x:v>
      </x:c>
      <x:c r="L555" s="18" t="n">
        <x:v>45</x:v>
      </x:c>
      <x:c r="M555" s="18" t="n">
        <x:v>26</x:v>
      </x:c>
    </x:row>
    <x:row r="556">
      <x:c r="A556" s="22" t="str">
        <x:v>500105074</x:v>
      </x:c>
      <x:c r="B556" s="17" t="str">
        <x:v>文山區</x:v>
      </x:c>
      <x:c r="C556" s="17" t="str">
        <x:v>景興路42巷口</x:v>
      </x:c>
      <x:c r="D556" s="18" t="n">
        <x:v>26</x:v>
      </x:c>
      <x:c r="E556" s="18" t="n">
        <x:v>26</x:v>
      </x:c>
      <x:c r="F556" s="18" t="n">
        <x:v>78</x:v>
      </x:c>
      <x:c r="G556" s="18" t="n">
        <x:v>26</x:v>
      </x:c>
      <x:c r="H556" s="18" t="n">
        <x:v>35</x:v>
      </x:c>
      <x:c r="I556" s="18" t="n">
        <x:v>26</x:v>
      </x:c>
      <x:c r="J556" s="18" t="n">
        <x:v>66</x:v>
      </x:c>
      <x:c r="K556" s="18" t="n">
        <x:v>26</x:v>
      </x:c>
      <x:c r="L556" s="18" t="n">
        <x:v>7</x:v>
      </x:c>
      <x:c r="M556" s="18" t="n">
        <x:v>26</x:v>
      </x:c>
    </x:row>
    <x:row r="557">
      <x:c r="A557" s="22" t="str">
        <x:v>500105075</x:v>
      </x:c>
      <x:c r="B557" s="17" t="str">
        <x:v>文山區</x:v>
      </x:c>
      <x:c r="C557" s="17" t="str">
        <x:v>木柵路三段48巷</x:v>
      </x:c>
      <x:c r="D557" s="18" t="n">
        <x:v>26</x:v>
      </x:c>
      <x:c r="E557" s="18" t="n">
        <x:v>26</x:v>
      </x:c>
      <x:c r="F557" s="18" t="n">
        <x:v>66</x:v>
      </x:c>
      <x:c r="G557" s="18" t="n">
        <x:v>26</x:v>
      </x:c>
      <x:c r="H557" s="18" t="n">
        <x:v>11</x:v>
      </x:c>
      <x:c r="I557" s="18" t="n">
        <x:v>26</x:v>
      </x:c>
      <x:c r="J557" s="18" t="n">
        <x:v>202</x:v>
      </x:c>
      <x:c r="K557" s="18" t="n">
        <x:v>26</x:v>
      </x:c>
      <x:c r="L557" s="18" t="n">
        <x:v>54</x:v>
      </x:c>
      <x:c r="M557" s="18" t="n">
        <x:v>26</x:v>
      </x:c>
    </x:row>
    <x:row r="558">
      <x:c r="A558" s="22" t="str">
        <x:v>500105076</x:v>
      </x:c>
      <x:c r="B558" s="17" t="str">
        <x:v>文山區</x:v>
      </x:c>
      <x:c r="C558" s="17" t="str">
        <x:v>木柵路二段109巷</x:v>
      </x:c>
      <x:c r="D558" s="18" t="n">
        <x:v>26</x:v>
      </x:c>
      <x:c r="E558" s="18" t="n">
        <x:v>26</x:v>
      </x:c>
      <x:c r="F558" s="18" t="n">
        <x:v>266</x:v>
      </x:c>
      <x:c r="G558" s="18" t="n">
        <x:v>26</x:v>
      </x:c>
      <x:c r="H558" s="18" t="n">
        <x:v>77</x:v>
      </x:c>
      <x:c r="I558" s="18" t="n">
        <x:v>26</x:v>
      </x:c>
      <x:c r="J558" s="18" t="n">
        <x:v>181</x:v>
      </x:c>
      <x:c r="K558" s="18" t="n">
        <x:v>26</x:v>
      </x:c>
      <x:c r="L558" s="18" t="n">
        <x:v>35</x:v>
      </x:c>
      <x:c r="M558" s="18" t="n">
        <x:v>26</x:v>
      </x:c>
    </x:row>
    <x:row r="559">
      <x:c r="A559" s="22" t="str">
        <x:v>500105077</x:v>
      </x:c>
      <x:c r="B559" s="17" t="str">
        <x:v>文山區</x:v>
      </x:c>
      <x:c r="C559" s="17" t="str">
        <x:v>試院公園</x:v>
      </x:c>
      <x:c r="D559" s="18" t="n">
        <x:v>26</x:v>
      </x:c>
      <x:c r="E559" s="18" t="n">
        <x:v>26</x:v>
      </x:c>
      <x:c r="F559" s="18" t="n">
        <x:v>206</x:v>
      </x:c>
      <x:c r="G559" s="18" t="n">
        <x:v>26</x:v>
      </x:c>
      <x:c r="H559" s="18" t="n">
        <x:v>48</x:v>
      </x:c>
      <x:c r="I559" s="18" t="n">
        <x:v>26</x:v>
      </x:c>
      <x:c r="J559" s="18" t="n">
        <x:v>102</x:v>
      </x:c>
      <x:c r="K559" s="18" t="n">
        <x:v>26</x:v>
      </x:c>
      <x:c r="L559" s="18" t="n">
        <x:v>24</x:v>
      </x:c>
      <x:c r="M559" s="18" t="n">
        <x:v>26</x:v>
      </x:c>
    </x:row>
    <x:row r="560">
      <x:c r="A560" s="22" t="str">
        <x:v>500105078</x:v>
      </x:c>
      <x:c r="B560" s="17" t="str">
        <x:v>文山區</x:v>
      </x:c>
      <x:c r="C560" s="17" t="str">
        <x:v>溪口街107巷口</x:v>
      </x:c>
      <x:c r="D560" s="18" t="n">
        <x:v>26</x:v>
      </x:c>
      <x:c r="E560" s="18" t="n">
        <x:v>26</x:v>
      </x:c>
      <x:c r="F560" s="18" t="n">
        <x:v>0</x:v>
      </x:c>
      <x:c r="G560" s="18" t="n">
        <x:v>26</x:v>
      </x:c>
      <x:c r="H560" s="18" t="n">
        <x:v>0</x:v>
      </x:c>
      <x:c r="I560" s="18" t="n">
        <x:v>26</x:v>
      </x:c>
      <x:c r="J560" s="18" t="n">
        <x:v>0</x:v>
      </x:c>
      <x:c r="K560" s="18" t="n">
        <x:v>26</x:v>
      </x:c>
      <x:c r="L560" s="18" t="n">
        <x:v>0</x:v>
      </x:c>
      <x:c r="M560" s="18" t="n">
        <x:v>26</x:v>
      </x:c>
    </x:row>
    <x:row r="561">
      <x:c r="A561" s="22" t="str">
        <x:v>500105079</x:v>
      </x:c>
      <x:c r="B561" s="17" t="str">
        <x:v>文山區</x:v>
      </x:c>
      <x:c r="C561" s="17" t="str">
        <x:v>樟樹公園</x:v>
      </x:c>
      <x:c r="D561" s="18" t="n">
        <x:v>26</x:v>
      </x:c>
      <x:c r="E561" s="18" t="n">
        <x:v>26</x:v>
      </x:c>
      <x:c r="F561" s="18" t="n">
        <x:v>540</x:v>
      </x:c>
      <x:c r="G561" s="18" t="n">
        <x:v>26</x:v>
      </x:c>
      <x:c r="H561" s="18" t="n">
        <x:v>85</x:v>
      </x:c>
      <x:c r="I561" s="18" t="n">
        <x:v>26</x:v>
      </x:c>
      <x:c r="J561" s="18" t="n">
        <x:v>266</x:v>
      </x:c>
      <x:c r="K561" s="18" t="n">
        <x:v>26</x:v>
      </x:c>
      <x:c r="L561" s="18" t="n">
        <x:v>39</x:v>
      </x:c>
      <x:c r="M561" s="18" t="n">
        <x:v>26</x:v>
      </x:c>
    </x:row>
    <x:row r="562">
      <x:c r="A562" s="22" t="str">
        <x:v>500105080</x:v>
      </x:c>
      <x:c r="B562" s="17" t="str">
        <x:v>文山區</x:v>
      </x:c>
      <x:c r="C562" s="17" t="str">
        <x:v>萬美萬安街口</x:v>
      </x:c>
      <x:c r="D562" s="18" t="n">
        <x:v>26</x:v>
      </x:c>
      <x:c r="E562" s="18" t="n">
        <x:v>26</x:v>
      </x:c>
      <x:c r="F562" s="18" t="n">
        <x:v>323</x:v>
      </x:c>
      <x:c r="G562" s="18" t="n">
        <x:v>26</x:v>
      </x:c>
      <x:c r="H562" s="18" t="n">
        <x:v>60</x:v>
      </x:c>
      <x:c r="I562" s="18" t="n">
        <x:v>26</x:v>
      </x:c>
      <x:c r="J562" s="18" t="n">
        <x:v>128</x:v>
      </x:c>
      <x:c r="K562" s="18" t="n">
        <x:v>26</x:v>
      </x:c>
      <x:c r="L562" s="18" t="n">
        <x:v>40</x:v>
      </x:c>
      <x:c r="M562" s="18" t="n">
        <x:v>26</x:v>
      </x:c>
    </x:row>
    <x:row r="563">
      <x:c r="A563" s="22" t="str">
        <x:v>500105081</x:v>
      </x:c>
      <x:c r="B563" s="17" t="str">
        <x:v>文山區</x:v>
      </x:c>
      <x:c r="C563" s="17" t="str">
        <x:v>興隆路二段203巷(敦南)</x:v>
      </x:c>
      <x:c r="D563" s="18" t="n">
        <x:v>26</x:v>
      </x:c>
      <x:c r="E563" s="18" t="n">
        <x:v>26</x:v>
      </x:c>
      <x:c r="F563" s="18" t="n">
        <x:v>949</x:v>
      </x:c>
      <x:c r="G563" s="18" t="n">
        <x:v>26</x:v>
      </x:c>
      <x:c r="H563" s="18" t="n">
        <x:v>43</x:v>
      </x:c>
      <x:c r="I563" s="18" t="n">
        <x:v>26</x:v>
      </x:c>
      <x:c r="J563" s="18" t="n">
        <x:v>431</x:v>
      </x:c>
      <x:c r="K563" s="18" t="n">
        <x:v>26</x:v>
      </x:c>
      <x:c r="L563" s="18" t="n">
        <x:v>31</x:v>
      </x:c>
      <x:c r="M563" s="18" t="n">
        <x:v>26</x:v>
      </x:c>
    </x:row>
    <x:row r="564">
      <x:c r="A564" s="22" t="str">
        <x:v>500105082</x:v>
      </x:c>
      <x:c r="B564" s="17" t="str">
        <x:v>文山區</x:v>
      </x:c>
      <x:c r="C564" s="17" t="str">
        <x:v>新光秀明路口</x:v>
      </x:c>
      <x:c r="D564" s="18" t="n">
        <x:v>26</x:v>
      </x:c>
      <x:c r="E564" s="18" t="n">
        <x:v>26</x:v>
      </x:c>
      <x:c r="F564" s="18" t="n">
        <x:v>248</x:v>
      </x:c>
      <x:c r="G564" s="18" t="n">
        <x:v>26</x:v>
      </x:c>
      <x:c r="H564" s="18" t="n">
        <x:v>54</x:v>
      </x:c>
      <x:c r="I564" s="18" t="n">
        <x:v>26</x:v>
      </x:c>
      <x:c r="J564" s="18" t="n">
        <x:v>127</x:v>
      </x:c>
      <x:c r="K564" s="18" t="n">
        <x:v>26</x:v>
      </x:c>
      <x:c r="L564" s="18" t="n">
        <x:v>26</x:v>
      </x:c>
      <x:c r="M564" s="18" t="n">
        <x:v>26</x:v>
      </x:c>
    </x:row>
    <x:row r="565">
      <x:c r="A565" s="22" t="str">
        <x:v>500105083</x:v>
      </x:c>
      <x:c r="B565" s="17" t="str">
        <x:v>文山區</x:v>
      </x:c>
      <x:c r="C565" s="17" t="str">
        <x:v>光輝路134巷口</x:v>
      </x:c>
      <x:c r="D565" s="18" t="n">
        <x:v>26</x:v>
      </x:c>
      <x:c r="E565" s="18" t="n">
        <x:v>26</x:v>
      </x:c>
      <x:c r="F565" s="18" t="n">
        <x:v>538</x:v>
      </x:c>
      <x:c r="G565" s="18" t="n">
        <x:v>26</x:v>
      </x:c>
      <x:c r="H565" s="18" t="n">
        <x:v>50</x:v>
      </x:c>
      <x:c r="I565" s="18" t="n">
        <x:v>26</x:v>
      </x:c>
      <x:c r="J565" s="18" t="n">
        <x:v>361</x:v>
      </x:c>
      <x:c r="K565" s="18" t="n">
        <x:v>26</x:v>
      </x:c>
      <x:c r="L565" s="18" t="n">
        <x:v>32</x:v>
      </x:c>
      <x:c r="M565" s="18" t="n">
        <x:v>26</x:v>
      </x:c>
    </x:row>
    <x:row r="566">
      <x:c r="A566" s="22" t="str">
        <x:v>500105084</x:v>
      </x:c>
      <x:c r="B566" s="17" t="str">
        <x:v>文山區</x:v>
      </x:c>
      <x:c r="C566" s="17" t="str">
        <x:v>光輝公園</x:v>
      </x:c>
      <x:c r="D566" s="18" t="n">
        <x:v>26</x:v>
      </x:c>
      <x:c r="E566" s="18" t="n">
        <x:v>26</x:v>
      </x:c>
      <x:c r="F566" s="18" t="n">
        <x:v>537</x:v>
      </x:c>
      <x:c r="G566" s="18" t="n">
        <x:v>26</x:v>
      </x:c>
      <x:c r="H566" s="18" t="n">
        <x:v>67</x:v>
      </x:c>
      <x:c r="I566" s="18" t="n">
        <x:v>26</x:v>
      </x:c>
      <x:c r="J566" s="18" t="n">
        <x:v>359</x:v>
      </x:c>
      <x:c r="K566" s="18" t="n">
        <x:v>26</x:v>
      </x:c>
      <x:c r="L566" s="18" t="n">
        <x:v>38</x:v>
      </x:c>
      <x:c r="M566" s="18" t="n">
        <x:v>26</x:v>
      </x:c>
    </x:row>
    <x:row r="567">
      <x:c r="A567" s="22" t="str">
        <x:v>500105085</x:v>
      </x:c>
      <x:c r="B567" s="17" t="str">
        <x:v>文山區</x:v>
      </x:c>
      <x:c r="C567" s="17" t="str">
        <x:v>木新公園</x:v>
      </x:c>
      <x:c r="D567" s="18" t="n">
        <x:v>26</x:v>
      </x:c>
      <x:c r="E567" s="18" t="n">
        <x:v>26</x:v>
      </x:c>
      <x:c r="F567" s="18" t="n">
        <x:v>315</x:v>
      </x:c>
      <x:c r="G567" s="18" t="n">
        <x:v>26</x:v>
      </x:c>
      <x:c r="H567" s="18" t="n">
        <x:v>65</x:v>
      </x:c>
      <x:c r="I567" s="18" t="n">
        <x:v>26</x:v>
      </x:c>
      <x:c r="J567" s="18" t="n">
        <x:v>196</x:v>
      </x:c>
      <x:c r="K567" s="18" t="n">
        <x:v>26</x:v>
      </x:c>
      <x:c r="L567" s="18" t="n">
        <x:v>42</x:v>
      </x:c>
      <x:c r="M567" s="18" t="n">
        <x:v>26</x:v>
      </x:c>
    </x:row>
    <x:row r="568">
      <x:c r="A568" s="22" t="str">
        <x:v>500105086</x:v>
      </x:c>
      <x:c r="B568" s="17" t="str">
        <x:v>文山區</x:v>
      </x:c>
      <x:c r="C568" s="17" t="str">
        <x:v>興隆路二段275巷1弄口</x:v>
      </x:c>
      <x:c r="D568" s="18" t="n">
        <x:v>26</x:v>
      </x:c>
      <x:c r="E568" s="18" t="n">
        <x:v>26</x:v>
      </x:c>
      <x:c r="F568" s="18" t="n">
        <x:v>374</x:v>
      </x:c>
      <x:c r="G568" s="18" t="n">
        <x:v>26</x:v>
      </x:c>
      <x:c r="H568" s="18" t="n">
        <x:v>29</x:v>
      </x:c>
      <x:c r="I568" s="18" t="n">
        <x:v>26</x:v>
      </x:c>
      <x:c r="J568" s="18" t="n">
        <x:v>121</x:v>
      </x:c>
      <x:c r="K568" s="18" t="n">
        <x:v>26</x:v>
      </x:c>
      <x:c r="L568" s="18" t="n">
        <x:v>26</x:v>
      </x:c>
      <x:c r="M568" s="18" t="n">
        <x:v>26</x:v>
      </x:c>
    </x:row>
    <x:row r="569">
      <x:c r="A569" s="22" t="str">
        <x:v>500105087</x:v>
      </x:c>
      <x:c r="B569" s="17" t="str">
        <x:v>文山區</x:v>
      </x:c>
      <x:c r="C569" s="17" t="str">
        <x:v>中國科技大學</x:v>
      </x:c>
      <x:c r="D569" s="18" t="n">
        <x:v>26</x:v>
      </x:c>
      <x:c r="E569" s="18" t="n">
        <x:v>26</x:v>
      </x:c>
      <x:c r="F569" s="18" t="n">
        <x:v>119</x:v>
      </x:c>
      <x:c r="G569" s="18" t="n">
        <x:v>26</x:v>
      </x:c>
      <x:c r="H569" s="18" t="n">
        <x:v>51</x:v>
      </x:c>
      <x:c r="I569" s="18" t="n">
        <x:v>26</x:v>
      </x:c>
      <x:c r="J569" s="18" t="n">
        <x:v>403</x:v>
      </x:c>
      <x:c r="K569" s="18" t="n">
        <x:v>26</x:v>
      </x:c>
      <x:c r="L569" s="18" t="n">
        <x:v>45</x:v>
      </x:c>
      <x:c r="M569" s="18" t="n">
        <x:v>26</x:v>
      </x:c>
    </x:row>
    <x:row r="570">
      <x:c r="A570" s="22" t="str">
        <x:v>500105088</x:v>
      </x:c>
      <x:c r="B570" s="17" t="str">
        <x:v>文山區</x:v>
      </x:c>
      <x:c r="C570" s="17" t="str">
        <x:v>樟新街8巷</x:v>
      </x:c>
      <x:c r="D570" s="18" t="n">
        <x:v>26</x:v>
      </x:c>
      <x:c r="E570" s="18" t="n">
        <x:v>26</x:v>
      </x:c>
      <x:c r="F570" s="18" t="n">
        <x:v>168</x:v>
      </x:c>
      <x:c r="G570" s="18" t="n">
        <x:v>26</x:v>
      </x:c>
      <x:c r="H570" s="18" t="n">
        <x:v>39</x:v>
      </x:c>
      <x:c r="I570" s="18" t="n">
        <x:v>26</x:v>
      </x:c>
      <x:c r="J570" s="18" t="n">
        <x:v>110</x:v>
      </x:c>
      <x:c r="K570" s="18" t="n">
        <x:v>26</x:v>
      </x:c>
      <x:c r="L570" s="18" t="n">
        <x:v>28</x:v>
      </x:c>
      <x:c r="M570" s="18" t="n">
        <x:v>26</x:v>
      </x:c>
    </x:row>
    <x:row r="571">
      <x:c r="A571" s="22" t="str">
        <x:v>500105089</x:v>
      </x:c>
      <x:c r="B571" s="17" t="str">
        <x:v>文山區</x:v>
      </x:c>
      <x:c r="C571" s="17" t="str">
        <x:v>仙岩路22巷口</x:v>
      </x:c>
      <x:c r="D571" s="18" t="n">
        <x:v>26</x:v>
      </x:c>
      <x:c r="E571" s="18" t="n">
        <x:v>26</x:v>
      </x:c>
      <x:c r="F571" s="18" t="n">
        <x:v>577</x:v>
      </x:c>
      <x:c r="G571" s="18" t="n">
        <x:v>26</x:v>
      </x:c>
      <x:c r="H571" s="18" t="n">
        <x:v>77</x:v>
      </x:c>
      <x:c r="I571" s="18" t="n">
        <x:v>26</x:v>
      </x:c>
      <x:c r="J571" s="18" t="n">
        <x:v>173</x:v>
      </x:c>
      <x:c r="K571" s="18" t="n">
        <x:v>26</x:v>
      </x:c>
      <x:c r="L571" s="18" t="n">
        <x:v>18</x:v>
      </x:c>
      <x:c r="M571" s="18" t="n">
        <x:v>26</x:v>
      </x:c>
    </x:row>
    <x:row r="572">
      <x:c r="A572" s="22" t="str">
        <x:v>500105090</x:v>
      </x:c>
      <x:c r="B572" s="17" t="str">
        <x:v>文山區</x:v>
      </x:c>
      <x:c r="C572" s="17" t="str">
        <x:v>木柵萬芳路口</x:v>
      </x:c>
      <x:c r="D572" s="18" t="n">
        <x:v>26</x:v>
      </x:c>
      <x:c r="E572" s="18" t="n">
        <x:v>26</x:v>
      </x:c>
      <x:c r="F572" s="18" t="n">
        <x:v>131</x:v>
      </x:c>
      <x:c r="G572" s="18" t="n">
        <x:v>26</x:v>
      </x:c>
      <x:c r="H572" s="18" t="n">
        <x:v>52</x:v>
      </x:c>
      <x:c r="I572" s="18" t="n">
        <x:v>26</x:v>
      </x:c>
      <x:c r="J572" s="18" t="n">
        <x:v>410</x:v>
      </x:c>
      <x:c r="K572" s="18" t="n">
        <x:v>26</x:v>
      </x:c>
      <x:c r="L572" s="18" t="n">
        <x:v>91</x:v>
      </x:c>
      <x:c r="M572" s="18" t="n">
        <x:v>26</x:v>
      </x:c>
    </x:row>
    <x:row r="573">
      <x:c r="A573" s="22" t="str">
        <x:v>500105091</x:v>
      </x:c>
      <x:c r="B573" s="17" t="str">
        <x:v>文山區</x:v>
      </x:c>
      <x:c r="C573" s="17" t="str">
        <x:v>福興路78巷</x:v>
      </x:c>
      <x:c r="D573" s="18" t="n">
        <x:v>26</x:v>
      </x:c>
      <x:c r="E573" s="18" t="n">
        <x:v>26</x:v>
      </x:c>
      <x:c r="F573" s="18" t="n">
        <x:v>535</x:v>
      </x:c>
      <x:c r="G573" s="18" t="n">
        <x:v>26</x:v>
      </x:c>
      <x:c r="H573" s="18" t="n">
        <x:v>80</x:v>
      </x:c>
      <x:c r="I573" s="18" t="n">
        <x:v>26</x:v>
      </x:c>
      <x:c r="J573" s="18" t="n">
        <x:v>212</x:v>
      </x:c>
      <x:c r="K573" s="18" t="n">
        <x:v>26</x:v>
      </x:c>
      <x:c r="L573" s="18" t="n">
        <x:v>31</x:v>
      </x:c>
      <x:c r="M573" s="18" t="n">
        <x:v>26</x:v>
      </x:c>
    </x:row>
    <x:row r="574">
      <x:c r="A574" s="22" t="str">
        <x:v>500105092</x:v>
      </x:c>
      <x:c r="B574" s="17" t="str">
        <x:v>文山區</x:v>
      </x:c>
      <x:c r="C574" s="17" t="str">
        <x:v>辛亥木柵路口</x:v>
      </x:c>
      <x:c r="D574" s="18" t="n">
        <x:v>26</x:v>
      </x:c>
      <x:c r="E574" s="18" t="n">
        <x:v>26</x:v>
      </x:c>
      <x:c r="F574" s="18" t="n">
        <x:v>238</x:v>
      </x:c>
      <x:c r="G574" s="18" t="n">
        <x:v>26</x:v>
      </x:c>
      <x:c r="H574" s="18" t="n">
        <x:v>83</x:v>
      </x:c>
      <x:c r="I574" s="18" t="n">
        <x:v>26</x:v>
      </x:c>
      <x:c r="J574" s="18" t="n">
        <x:v>208</x:v>
      </x:c>
      <x:c r="K574" s="18" t="n">
        <x:v>26</x:v>
      </x:c>
      <x:c r="L574" s="18" t="n">
        <x:v>51</x:v>
      </x:c>
      <x:c r="M574" s="18" t="n">
        <x:v>26</x:v>
      </x:c>
    </x:row>
    <x:row r="575">
      <x:c r="A575" s="22" t="str">
        <x:v>500105093</x:v>
      </x:c>
      <x:c r="B575" s="17" t="str">
        <x:v>文山區</x:v>
      </x:c>
      <x:c r="C575" s="17" t="str">
        <x:v>興泰公園</x:v>
      </x:c>
      <x:c r="D575" s="18" t="n">
        <x:v>26</x:v>
      </x:c>
      <x:c r="E575" s="18" t="n">
        <x:v>26</x:v>
      </x:c>
      <x:c r="F575" s="18" t="n">
        <x:v>63</x:v>
      </x:c>
      <x:c r="G575" s="18" t="n">
        <x:v>26</x:v>
      </x:c>
      <x:c r="H575" s="18" t="n">
        <x:v>20</x:v>
      </x:c>
      <x:c r="I575" s="18" t="n">
        <x:v>26</x:v>
      </x:c>
      <x:c r="J575" s="18" t="n">
        <x:v>127</x:v>
      </x:c>
      <x:c r="K575" s="18" t="n">
        <x:v>26</x:v>
      </x:c>
      <x:c r="L575" s="18" t="n">
        <x:v>51</x:v>
      </x:c>
      <x:c r="M575" s="18" t="n">
        <x:v>26</x:v>
      </x:c>
    </x:row>
    <x:row r="576">
      <x:c r="A576" s="22" t="str">
        <x:v>500105094</x:v>
      </x:c>
      <x:c r="B576" s="17" t="str">
        <x:v>文山區</x:v>
      </x:c>
      <x:c r="C576" s="17" t="str">
        <x:v>興岩社會福利綜合大樓</x:v>
      </x:c>
      <x:c r="D576" s="18" t="n">
        <x:v>26</x:v>
      </x:c>
      <x:c r="E576" s="18" t="n">
        <x:v>26</x:v>
      </x:c>
      <x:c r="F576" s="18" t="n">
        <x:v>307</x:v>
      </x:c>
      <x:c r="G576" s="18" t="n">
        <x:v>26</x:v>
      </x:c>
      <x:c r="H576" s="18" t="n">
        <x:v>31</x:v>
      </x:c>
      <x:c r="I576" s="18" t="n">
        <x:v>26</x:v>
      </x:c>
      <x:c r="J576" s="18" t="n">
        <x:v>189</x:v>
      </x:c>
      <x:c r="K576" s="18" t="n">
        <x:v>26</x:v>
      </x:c>
      <x:c r="L576" s="18" t="n">
        <x:v>24</x:v>
      </x:c>
      <x:c r="M576" s="18" t="n">
        <x:v>26</x:v>
      </x:c>
    </x:row>
    <x:row r="577">
      <x:c r="A577" s="22" t="str">
        <x:v>500105095</x:v>
      </x:c>
      <x:c r="B577" s="17" t="str">
        <x:v>文山區</x:v>
      </x:c>
      <x:c r="C577" s="17" t="str">
        <x:v>興隆路二段22巷9弄口</x:v>
      </x:c>
      <x:c r="D577" s="18" t="n">
        <x:v>26</x:v>
      </x:c>
      <x:c r="E577" s="18" t="n">
        <x:v>26</x:v>
      </x:c>
      <x:c r="F577" s="18" t="n">
        <x:v>404</x:v>
      </x:c>
      <x:c r="G577" s="18" t="n">
        <x:v>26</x:v>
      </x:c>
      <x:c r="H577" s="18" t="n">
        <x:v>31</x:v>
      </x:c>
      <x:c r="I577" s="18" t="n">
        <x:v>26</x:v>
      </x:c>
      <x:c r="J577" s="18" t="n">
        <x:v>65</x:v>
      </x:c>
      <x:c r="K577" s="18" t="n">
        <x:v>26</x:v>
      </x:c>
      <x:c r="L577" s="18" t="n">
        <x:v>10</x:v>
      </x:c>
      <x:c r="M577" s="18" t="n">
        <x:v>26</x:v>
      </x:c>
    </x:row>
    <x:row r="578">
      <x:c r="A578" s="22" t="str">
        <x:v>500105096</x:v>
      </x:c>
      <x:c r="B578" s="17" t="str">
        <x:v>文山區</x:v>
      </x:c>
      <x:c r="C578" s="17" t="str">
        <x:v>木新路三段155巷口</x:v>
      </x:c>
      <x:c r="D578" s="18" t="n">
        <x:v>26</x:v>
      </x:c>
      <x:c r="E578" s="18" t="n">
        <x:v>26</x:v>
      </x:c>
      <x:c r="F578" s="18" t="n">
        <x:v>222</x:v>
      </x:c>
      <x:c r="G578" s="18" t="n">
        <x:v>26</x:v>
      </x:c>
      <x:c r="H578" s="18" t="n">
        <x:v>77</x:v>
      </x:c>
      <x:c r="I578" s="18" t="n">
        <x:v>26</x:v>
      </x:c>
      <x:c r="J578" s="18" t="n">
        <x:v>178</x:v>
      </x:c>
      <x:c r="K578" s="18" t="n">
        <x:v>26</x:v>
      </x:c>
      <x:c r="L578" s="18" t="n">
        <x:v>44</x:v>
      </x:c>
      <x:c r="M578" s="18" t="n">
        <x:v>26</x:v>
      </x:c>
    </x:row>
    <x:row r="579">
      <x:c r="A579" s="22" t="str">
        <x:v>500105097</x:v>
      </x:c>
      <x:c r="B579" s="17" t="str">
        <x:v>文山區</x:v>
      </x:c>
      <x:c r="C579" s="17" t="str">
        <x:v>景興路102巷口</x:v>
      </x:c>
      <x:c r="D579" s="18" t="n">
        <x:v>26</x:v>
      </x:c>
      <x:c r="E579" s="18" t="n">
        <x:v>26</x:v>
      </x:c>
      <x:c r="F579" s="18" t="n">
        <x:v>163</x:v>
      </x:c>
      <x:c r="G579" s="18" t="n">
        <x:v>26</x:v>
      </x:c>
      <x:c r="H579" s="18" t="n">
        <x:v>27</x:v>
      </x:c>
      <x:c r="I579" s="18" t="n">
        <x:v>26</x:v>
      </x:c>
      <x:c r="J579" s="18" t="n">
        <x:v>143</x:v>
      </x:c>
      <x:c r="K579" s="18" t="n">
        <x:v>26</x:v>
      </x:c>
      <x:c r="L579" s="18" t="n">
        <x:v>26</x:v>
      </x:c>
      <x:c r="M579" s="18" t="n">
        <x:v>26</x:v>
      </x:c>
    </x:row>
    <x:row r="580">
      <x:c r="A580" s="22" t="str">
        <x:v>500105098</x:v>
      </x:c>
      <x:c r="B580" s="17" t="str">
        <x:v>文山區</x:v>
      </x:c>
      <x:c r="C580" s="17" t="str">
        <x:v>景福街223巷</x:v>
      </x:c>
      <x:c r="D580" s="18" t="n">
        <x:v>26</x:v>
      </x:c>
      <x:c r="E580" s="18" t="n">
        <x:v>26</x:v>
      </x:c>
      <x:c r="F580" s="18" t="n">
        <x:v>397</x:v>
      </x:c>
      <x:c r="G580" s="18" t="n">
        <x:v>26</x:v>
      </x:c>
      <x:c r="H580" s="18" t="n">
        <x:v>81</x:v>
      </x:c>
      <x:c r="I580" s="18" t="n">
        <x:v>26</x:v>
      </x:c>
      <x:c r="J580" s="18" t="n">
        <x:v>164</x:v>
      </x:c>
      <x:c r="K580" s="18" t="n">
        <x:v>26</x:v>
      </x:c>
      <x:c r="L580" s="18" t="n">
        <x:v>23</x:v>
      </x:c>
      <x:c r="M580" s="18" t="n">
        <x:v>26</x:v>
      </x:c>
    </x:row>
    <x:row r="581">
      <x:c r="A581" s="22" t="str">
        <x:v>500105099</x:v>
      </x:c>
      <x:c r="B581" s="17" t="str">
        <x:v>文山區</x:v>
      </x:c>
      <x:c r="C581" s="17" t="str">
        <x:v>原野運動公園</x:v>
      </x:c>
      <x:c r="D581" s="18" t="n">
        <x:v>26</x:v>
      </x:c>
      <x:c r="E581" s="18" t="n">
        <x:v>26</x:v>
      </x:c>
      <x:c r="F581" s="18" t="n">
        <x:v>0</x:v>
      </x:c>
      <x:c r="G581" s="18" t="n">
        <x:v>26</x:v>
      </x:c>
      <x:c r="H581" s="18" t="n">
        <x:v>0</x:v>
      </x:c>
      <x:c r="I581" s="18" t="n">
        <x:v>26</x:v>
      </x:c>
      <x:c r="J581" s="18" t="n">
        <x:v>0</x:v>
      </x:c>
      <x:c r="K581" s="18" t="n">
        <x:v>26</x:v>
      </x:c>
      <x:c r="L581" s="18" t="n">
        <x:v>0</x:v>
      </x:c>
      <x:c r="M581" s="18" t="n">
        <x:v>26</x:v>
      </x:c>
    </x:row>
    <x:row r="582">
      <x:c r="A582" s="22" t="str">
        <x:v>500105100</x:v>
      </x:c>
      <x:c r="B582" s="17" t="str">
        <x:v>文山區</x:v>
      </x:c>
      <x:c r="C582" s="17" t="str">
        <x:v>達賢圖書館</x:v>
      </x:c>
      <x:c r="D582" s="18" t="n">
        <x:v>26</x:v>
      </x:c>
      <x:c r="E582" s="18" t="n">
        <x:v>26</x:v>
      </x:c>
      <x:c r="F582" s="18" t="n">
        <x:v>70</x:v>
      </x:c>
      <x:c r="G582" s="18" t="n">
        <x:v>26</x:v>
      </x:c>
      <x:c r="H582" s="18" t="n">
        <x:v>27</x:v>
      </x:c>
      <x:c r="I582" s="18" t="n">
        <x:v>26</x:v>
      </x:c>
      <x:c r="J582" s="18" t="n">
        <x:v>254</x:v>
      </x:c>
      <x:c r="K582" s="18" t="n">
        <x:v>26</x:v>
      </x:c>
      <x:c r="L582" s="18" t="n">
        <x:v>65</x:v>
      </x:c>
      <x:c r="M582" s="18" t="n">
        <x:v>26</x:v>
      </x:c>
    </x:row>
    <x:row r="583">
      <x:c r="A583" s="22" t="str">
        <x:v>500105101</x:v>
      </x:c>
      <x:c r="B583" s="17" t="str">
        <x:v>文山區</x:v>
      </x:c>
      <x:c r="C583" s="17" t="str">
        <x:v>捷運木柵站(西側)</x:v>
      </x:c>
      <x:c r="D583" s="18" t="n">
        <x:v>26</x:v>
      </x:c>
      <x:c r="E583" s="18" t="n">
        <x:v>26</x:v>
      </x:c>
      <x:c r="F583" s="18" t="n">
        <x:v>118</x:v>
      </x:c>
      <x:c r="G583" s="18" t="n">
        <x:v>26</x:v>
      </x:c>
      <x:c r="H583" s="18" t="n">
        <x:v>9</x:v>
      </x:c>
      <x:c r="I583" s="18" t="n">
        <x:v>26</x:v>
      </x:c>
      <x:c r="J583" s="18" t="n">
        <x:v>297</x:v>
      </x:c>
      <x:c r="K583" s="18" t="n">
        <x:v>26</x:v>
      </x:c>
      <x:c r="L583" s="18" t="n">
        <x:v>71</x:v>
      </x:c>
      <x:c r="M583" s="18" t="n">
        <x:v>26</x:v>
      </x:c>
    </x:row>
    <x:row r="584">
      <x:c r="A584" s="22" t="str">
        <x:v>500105102</x:v>
      </x:c>
      <x:c r="B584" s="17" t="str">
        <x:v>文山區</x:v>
      </x:c>
      <x:c r="C584" s="17" t="str">
        <x:v>世新大學(試院路)</x:v>
      </x:c>
      <x:c r="D584" s="18" t="n">
        <x:v>26</x:v>
      </x:c>
      <x:c r="E584" s="18" t="n">
        <x:v>26</x:v>
      </x:c>
      <x:c r="F584" s="18" t="n">
        <x:v>154</x:v>
      </x:c>
      <x:c r="G584" s="18" t="n">
        <x:v>26</x:v>
      </x:c>
      <x:c r="H584" s="18" t="n">
        <x:v>61</x:v>
      </x:c>
      <x:c r="I584" s="18" t="n">
        <x:v>26</x:v>
      </x:c>
      <x:c r="J584" s="18" t="n">
        <x:v>143</x:v>
      </x:c>
      <x:c r="K584" s="18" t="n">
        <x:v>26</x:v>
      </x:c>
      <x:c r="L584" s="18" t="n">
        <x:v>29</x:v>
      </x:c>
      <x:c r="M584" s="18" t="n">
        <x:v>26</x:v>
      </x:c>
    </x:row>
    <x:row r="585">
      <x:c r="A585" s="22" t="str">
        <x:v>500105103</x:v>
      </x:c>
      <x:c r="B585" s="17" t="str">
        <x:v>文山區</x:v>
      </x:c>
      <x:c r="C585" s="17" t="str">
        <x:v>興隆社會住宅D1區</x:v>
      </x:c>
      <x:c r="D585" s="18" t="n">
        <x:v>26</x:v>
      </x:c>
      <x:c r="E585" s="18" t="n">
        <x:v>26</x:v>
      </x:c>
      <x:c r="F585" s="18" t="n">
        <x:v>285</x:v>
      </x:c>
      <x:c r="G585" s="18" t="n">
        <x:v>26</x:v>
      </x:c>
      <x:c r="H585" s="18" t="n">
        <x:v>53</x:v>
      </x:c>
      <x:c r="I585" s="18" t="n">
        <x:v>26</x:v>
      </x:c>
      <x:c r="J585" s="18" t="n">
        <x:v>118</x:v>
      </x:c>
      <x:c r="K585" s="18" t="n">
        <x:v>26</x:v>
      </x:c>
      <x:c r="L585" s="18" t="n">
        <x:v>34</x:v>
      </x:c>
      <x:c r="M585" s="18" t="n">
        <x:v>26</x:v>
      </x:c>
    </x:row>
    <x:row r="586">
      <x:c r="A586" s="22" t="str">
        <x:v>500105104</x:v>
      </x:c>
      <x:c r="B586" s="17" t="str">
        <x:v>文山區</x:v>
      </x:c>
      <x:c r="C586" s="17" t="str">
        <x:v>名門社區</x:v>
      </x:c>
      <x:c r="D586" s="18" t="n">
        <x:v>26</x:v>
      </x:c>
      <x:c r="E586" s="18" t="n">
        <x:v>26</x:v>
      </x:c>
      <x:c r="F586" s="18" t="n">
        <x:v>88</x:v>
      </x:c>
      <x:c r="G586" s="18" t="n">
        <x:v>26</x:v>
      </x:c>
      <x:c r="H586" s="18" t="n">
        <x:v>54</x:v>
      </x:c>
      <x:c r="I586" s="18" t="n">
        <x:v>26</x:v>
      </x:c>
      <x:c r="J586" s="18" t="n">
        <x:v>125</x:v>
      </x:c>
      <x:c r="K586" s="18" t="n">
        <x:v>26</x:v>
      </x:c>
      <x:c r="L586" s="18" t="n">
        <x:v>26</x:v>
      </x:c>
      <x:c r="M586" s="18" t="n">
        <x:v>26</x:v>
      </x:c>
    </x:row>
    <x:row r="587">
      <x:c r="A587" s="22" t="str">
        <x:v>500105105</x:v>
      </x:c>
      <x:c r="B587" s="17" t="str">
        <x:v>文山區</x:v>
      </x:c>
      <x:c r="C587" s="17" t="str">
        <x:v>萬芳社區(萬芳路)</x:v>
      </x:c>
      <x:c r="D587" s="18" t="n">
        <x:v>26</x:v>
      </x:c>
      <x:c r="E587" s="18" t="n">
        <x:v>26</x:v>
      </x:c>
      <x:c r="F587" s="18" t="n">
        <x:v>0</x:v>
      </x:c>
      <x:c r="G587" s="18" t="n">
        <x:v>26</x:v>
      </x:c>
      <x:c r="H587" s="18" t="n">
        <x:v>0</x:v>
      </x:c>
      <x:c r="I587" s="18" t="n">
        <x:v>26</x:v>
      </x:c>
      <x:c r="J587" s="18" t="n">
        <x:v>0</x:v>
      </x:c>
      <x:c r="K587" s="18" t="n">
        <x:v>26</x:v>
      </x:c>
      <x:c r="L587" s="18" t="n">
        <x:v>0</x:v>
      </x:c>
      <x:c r="M587" s="18" t="n">
        <x:v>26</x:v>
      </x:c>
    </x:row>
    <x:row r="588">
      <x:c r="A588" s="22" t="str">
        <x:v>500105106</x:v>
      </x:c>
      <x:c r="B588" s="17" t="str">
        <x:v>文山區</x:v>
      </x:c>
      <x:c r="C588" s="17" t="str">
        <x:v>政大國際會館</x:v>
      </x:c>
      <x:c r="D588" s="18" t="n">
        <x:v>26</x:v>
      </x:c>
      <x:c r="E588" s="18" t="n">
        <x:v>26</x:v>
      </x:c>
      <x:c r="F588" s="18" t="n">
        <x:v>278</x:v>
      </x:c>
      <x:c r="G588" s="18" t="n">
        <x:v>26</x:v>
      </x:c>
      <x:c r="H588" s="18" t="n">
        <x:v>102</x:v>
      </x:c>
      <x:c r="I588" s="18" t="n">
        <x:v>26</x:v>
      </x:c>
      <x:c r="J588" s="18" t="n">
        <x:v>162</x:v>
      </x:c>
      <x:c r="K588" s="18" t="n">
        <x:v>26</x:v>
      </x:c>
      <x:c r="L588" s="18" t="n">
        <x:v>63</x:v>
      </x:c>
      <x:c r="M588" s="18" t="n">
        <x:v>26</x:v>
      </x:c>
    </x:row>
    <x:row r="589">
      <x:c r="A589" s="22" t="str">
        <x:v>500105107</x:v>
      </x:c>
      <x:c r="B589" s="17" t="str">
        <x:v>文山區</x:v>
      </x:c>
      <x:c r="C589" s="17" t="str">
        <x:v>萬芳出租國宅</x:v>
      </x:c>
      <x:c r="D589" s="18" t="n">
        <x:v>26</x:v>
      </x:c>
      <x:c r="E589" s="18" t="n">
        <x:v>26</x:v>
      </x:c>
      <x:c r="F589" s="18" t="n">
        <x:v>514</x:v>
      </x:c>
      <x:c r="G589" s="18" t="n">
        <x:v>26</x:v>
      </x:c>
      <x:c r="H589" s="18" t="n">
        <x:v>56</x:v>
      </x:c>
      <x:c r="I589" s="18" t="n">
        <x:v>26</x:v>
      </x:c>
      <x:c r="J589" s="18" t="n">
        <x:v>201</x:v>
      </x:c>
      <x:c r="K589" s="18" t="n">
        <x:v>26</x:v>
      </x:c>
      <x:c r="L589" s="18" t="n">
        <x:v>30</x:v>
      </x:c>
      <x:c r="M589" s="18" t="n">
        <x:v>26</x:v>
      </x:c>
    </x:row>
    <x:row r="590">
      <x:c r="A590" s="22" t="str">
        <x:v>500105108</x:v>
      </x:c>
      <x:c r="B590" s="17" t="str">
        <x:v>文山區</x:v>
      </x:c>
      <x:c r="C590" s="17" t="str">
        <x:v>景美國小</x:v>
      </x:c>
      <x:c r="D590" s="18" t="n">
        <x:v>26</x:v>
      </x:c>
      <x:c r="E590" s="18" t="n">
        <x:v>26</x:v>
      </x:c>
      <x:c r="F590" s="18" t="n">
        <x:v>153</x:v>
      </x:c>
      <x:c r="G590" s="18" t="n">
        <x:v>26</x:v>
      </x:c>
      <x:c r="H590" s="18" t="n">
        <x:v>25</x:v>
      </x:c>
      <x:c r="I590" s="18" t="n">
        <x:v>26</x:v>
      </x:c>
      <x:c r="J590" s="18" t="n">
        <x:v>155</x:v>
      </x:c>
      <x:c r="K590" s="18" t="n">
        <x:v>26</x:v>
      </x:c>
      <x:c r="L590" s="18" t="n">
        <x:v>30</x:v>
      </x:c>
      <x:c r="M590" s="18" t="n">
        <x:v>26</x:v>
      </x:c>
    </x:row>
    <x:row r="591">
      <x:c r="A591" s="22" t="str">
        <x:v>500105109</x:v>
      </x:c>
      <x:c r="B591" s="17" t="str">
        <x:v>文山區</x:v>
      </x:c>
      <x:c r="C591" s="17" t="str">
        <x:v>景文街142巷口</x:v>
      </x:c>
      <x:c r="D591" s="18" t="n">
        <x:v>26</x:v>
      </x:c>
      <x:c r="E591" s="18" t="n">
        <x:v>26</x:v>
      </x:c>
      <x:c r="F591" s="18" t="n">
        <x:v>155</x:v>
      </x:c>
      <x:c r="G591" s="18" t="n">
        <x:v>26</x:v>
      </x:c>
      <x:c r="H591" s="18" t="n">
        <x:v>54</x:v>
      </x:c>
      <x:c r="I591" s="18" t="n">
        <x:v>26</x:v>
      </x:c>
      <x:c r="J591" s="18" t="n">
        <x:v>161</x:v>
      </x:c>
      <x:c r="K591" s="18" t="n">
        <x:v>26</x:v>
      </x:c>
      <x:c r="L591" s="18" t="n">
        <x:v>69</x:v>
      </x:c>
      <x:c r="M591" s="18" t="n">
        <x:v>26</x:v>
      </x:c>
    </x:row>
    <x:row r="592">
      <x:c r="A592" s="22" t="str">
        <x:v>500105110</x:v>
      </x:c>
      <x:c r="B592" s="17" t="str">
        <x:v>文山區</x:v>
      </x:c>
      <x:c r="C592" s="17" t="str">
        <x:v>保儀路142巷</x:v>
      </x:c>
      <x:c r="D592" s="18" t="n">
        <x:v>26</x:v>
      </x:c>
      <x:c r="E592" s="18" t="n">
        <x:v>26</x:v>
      </x:c>
      <x:c r="F592" s="18" t="n">
        <x:v>180</x:v>
      </x:c>
      <x:c r="G592" s="18" t="n">
        <x:v>26</x:v>
      </x:c>
      <x:c r="H592" s="18" t="n">
        <x:v>68</x:v>
      </x:c>
      <x:c r="I592" s="18" t="n">
        <x:v>26</x:v>
      </x:c>
      <x:c r="J592" s="18" t="n">
        <x:v>174</x:v>
      </x:c>
      <x:c r="K592" s="18" t="n">
        <x:v>26</x:v>
      </x:c>
      <x:c r="L592" s="18" t="n">
        <x:v>76</x:v>
      </x:c>
      <x:c r="M592" s="18" t="n">
        <x:v>26</x:v>
      </x:c>
    </x:row>
    <x:row r="593">
      <x:c r="A593" s="22" t="str">
        <x:v>500105111</x:v>
      </x:c>
      <x:c r="B593" s="17" t="str">
        <x:v>文山區</x:v>
      </x:c>
      <x:c r="C593" s="17" t="str">
        <x:v>和興水岸社會住宅</x:v>
      </x:c>
      <x:c r="D593" s="18" t="n">
        <x:v>26</x:v>
      </x:c>
      <x:c r="E593" s="18" t="n">
        <x:v>26</x:v>
      </x:c>
      <x:c r="F593" s="18" t="n">
        <x:v>410</x:v>
      </x:c>
      <x:c r="G593" s="18" t="n">
        <x:v>26</x:v>
      </x:c>
      <x:c r="H593" s="18" t="n">
        <x:v>67</x:v>
      </x:c>
      <x:c r="I593" s="18" t="n">
        <x:v>26</x:v>
      </x:c>
      <x:c r="J593" s="18" t="n">
        <x:v>143</x:v>
      </x:c>
      <x:c r="K593" s="18" t="n">
        <x:v>26</x:v>
      </x:c>
      <x:c r="L593" s="18" t="n">
        <x:v>35</x:v>
      </x:c>
      <x:c r="M593" s="18" t="n">
        <x:v>26</x:v>
      </x:c>
    </x:row>
    <x:row r="594">
      <x:c r="A594" s="22" t="str">
        <x:v>500105112</x:v>
      </x:c>
      <x:c r="B594" s="17" t="str">
        <x:v>文山區</x:v>
      </x:c>
      <x:c r="C594" s="17" t="str">
        <x:v>萬芳路107巷口</x:v>
      </x:c>
      <x:c r="D594" s="18" t="n">
        <x:v>26</x:v>
      </x:c>
      <x:c r="E594" s="18" t="n">
        <x:v>26</x:v>
      </x:c>
      <x:c r="F594" s="18" t="n">
        <x:v>178</x:v>
      </x:c>
      <x:c r="G594" s="18" t="n">
        <x:v>26</x:v>
      </x:c>
      <x:c r="H594" s="18" t="n">
        <x:v>28</x:v>
      </x:c>
      <x:c r="I594" s="18" t="n">
        <x:v>26</x:v>
      </x:c>
      <x:c r="J594" s="18" t="n">
        <x:v>94</x:v>
      </x:c>
      <x:c r="K594" s="18" t="n">
        <x:v>26</x:v>
      </x:c>
      <x:c r="L594" s="18" t="n">
        <x:v>24</x:v>
      </x:c>
      <x:c r="M594" s="18" t="n">
        <x:v>26</x:v>
      </x:c>
    </x:row>
    <x:row r="595">
      <x:c r="A595" s="22" t="str">
        <x:v>500105113</x:v>
      </x:c>
      <x:c r="B595" s="17" t="str">
        <x:v>文山區</x:v>
      </x:c>
      <x:c r="C595" s="17" t="str">
        <x:v>考選部國家考場</x:v>
      </x:c>
      <x:c r="D595" s="18" t="n">
        <x:v>26</x:v>
      </x:c>
      <x:c r="E595" s="18" t="n">
        <x:v>26</x:v>
      </x:c>
      <x:c r="F595" s="18" t="n">
        <x:v>270</x:v>
      </x:c>
      <x:c r="G595" s="18" t="n">
        <x:v>26</x:v>
      </x:c>
      <x:c r="H595" s="18" t="n">
        <x:v>42</x:v>
      </x:c>
      <x:c r="I595" s="18" t="n">
        <x:v>26</x:v>
      </x:c>
      <x:c r="J595" s="18" t="n">
        <x:v>285</x:v>
      </x:c>
      <x:c r="K595" s="18" t="n">
        <x:v>26</x:v>
      </x:c>
      <x:c r="L595" s="18" t="n">
        <x:v>52</x:v>
      </x:c>
      <x:c r="M595" s="18" t="n">
        <x:v>26</x:v>
      </x:c>
    </x:row>
    <x:row r="596">
      <x:c r="A596" s="22" t="str">
        <x:v>500105114</x:v>
      </x:c>
      <x:c r="B596" s="17" t="str">
        <x:v>文山區</x:v>
      </x:c>
      <x:c r="C596" s="17" t="str">
        <x:v>明道國小(明道國宅)</x:v>
      </x:c>
      <x:c r="D596" s="18" t="n">
        <x:v>26</x:v>
      </x:c>
      <x:c r="E596" s="18" t="n">
        <x:v>26</x:v>
      </x:c>
      <x:c r="F596" s="18" t="n">
        <x:v>88</x:v>
      </x:c>
      <x:c r="G596" s="18" t="n">
        <x:v>26</x:v>
      </x:c>
      <x:c r="H596" s="18" t="n">
        <x:v>18</x:v>
      </x:c>
      <x:c r="I596" s="18" t="n">
        <x:v>26</x:v>
      </x:c>
      <x:c r="J596" s="18" t="n">
        <x:v>85</x:v>
      </x:c>
      <x:c r="K596" s="18" t="n">
        <x:v>26</x:v>
      </x:c>
      <x:c r="L596" s="18" t="n">
        <x:v>22</x:v>
      </x:c>
      <x:c r="M596" s="18" t="n">
        <x:v>26</x:v>
      </x:c>
    </x:row>
    <x:row r="597">
      <x:c r="A597" s="22" t="str">
        <x:v>500105115</x:v>
      </x:c>
      <x:c r="B597" s="17" t="str">
        <x:v>文山區</x:v>
      </x:c>
      <x:c r="C597" s="17" t="str">
        <x:v>興隆社會住宅A區</x:v>
      </x:c>
      <x:c r="D597" s="18" t="n">
        <x:v>26</x:v>
      </x:c>
      <x:c r="E597" s="18" t="n">
        <x:v>26</x:v>
      </x:c>
      <x:c r="F597" s="18" t="n">
        <x:v>223</x:v>
      </x:c>
      <x:c r="G597" s="18" t="n">
        <x:v>26</x:v>
      </x:c>
      <x:c r="H597" s="18" t="n">
        <x:v>44</x:v>
      </x:c>
      <x:c r="I597" s="18" t="n">
        <x:v>26</x:v>
      </x:c>
      <x:c r="J597" s="18" t="n">
        <x:v>174</x:v>
      </x:c>
      <x:c r="K597" s="18" t="n">
        <x:v>26</x:v>
      </x:c>
      <x:c r="L597" s="18" t="n">
        <x:v>54</x:v>
      </x:c>
      <x:c r="M597" s="18" t="n">
        <x:v>26</x:v>
      </x:c>
    </x:row>
    <x:row r="598">
      <x:c r="A598" s="22" t="str">
        <x:v>500105116</x:v>
      </x:c>
      <x:c r="B598" s="17" t="str">
        <x:v>文山區</x:v>
      </x:c>
      <x:c r="C598" s="17" t="str">
        <x:v>景興路177巷</x:v>
      </x:c>
      <x:c r="D598" s="18" t="n">
        <x:v>26</x:v>
      </x:c>
      <x:c r="E598" s="18" t="n">
        <x:v>26</x:v>
      </x:c>
      <x:c r="F598" s="18" t="n">
        <x:v>119</x:v>
      </x:c>
      <x:c r="G598" s="18" t="n">
        <x:v>26</x:v>
      </x:c>
      <x:c r="H598" s="18" t="n">
        <x:v>18</x:v>
      </x:c>
      <x:c r="I598" s="18" t="n">
        <x:v>26</x:v>
      </x:c>
      <x:c r="J598" s="18" t="n">
        <x:v>90</x:v>
      </x:c>
      <x:c r="K598" s="18" t="n">
        <x:v>26</x:v>
      </x:c>
      <x:c r="L598" s="18" t="n">
        <x:v>12</x:v>
      </x:c>
      <x:c r="M598" s="18" t="n">
        <x:v>26</x:v>
      </x:c>
    </x:row>
    <x:row r="599">
      <x:c r="A599" s="22" t="str">
        <x:v>500105117</x:v>
      </x:c>
      <x:c r="B599" s="17" t="str">
        <x:v>文山區</x:v>
      </x:c>
      <x:c r="C599" s="17" t="str">
        <x:v>捷運景美站(1號出口)</x:v>
      </x:c>
      <x:c r="D599" s="18" t="n">
        <x:v>26</x:v>
      </x:c>
      <x:c r="E599" s="18" t="n">
        <x:v>26</x:v>
      </x:c>
      <x:c r="F599" s="18" t="n">
        <x:v>164</x:v>
      </x:c>
      <x:c r="G599" s="18" t="n">
        <x:v>26</x:v>
      </x:c>
      <x:c r="H599" s="18" t="n">
        <x:v>19</x:v>
      </x:c>
      <x:c r="I599" s="18" t="n">
        <x:v>26</x:v>
      </x:c>
      <x:c r="J599" s="18" t="n">
        <x:v>152</x:v>
      </x:c>
      <x:c r="K599" s="18" t="n">
        <x:v>26</x:v>
      </x:c>
      <x:c r="L599" s="18" t="n">
        <x:v>46</x:v>
      </x:c>
      <x:c r="M599" s="18" t="n">
        <x:v>26</x:v>
      </x:c>
    </x:row>
    <x:row r="600">
      <x:c r="A600" s="22" t="str">
        <x:v>500105118</x:v>
      </x:c>
      <x:c r="B600" s="17" t="str">
        <x:v>文山區</x:v>
      </x:c>
      <x:c r="C600" s="17" t="str">
        <x:v>秀明路二段92巷口</x:v>
      </x:c>
      <x:c r="D600" s="18" t="n">
        <x:v>26</x:v>
      </x:c>
      <x:c r="E600" s="18" t="n">
        <x:v>26</x:v>
      </x:c>
      <x:c r="F600" s="18" t="n">
        <x:v>234</x:v>
      </x:c>
      <x:c r="G600" s="18" t="n">
        <x:v>26</x:v>
      </x:c>
      <x:c r="H600" s="18" t="n">
        <x:v>80</x:v>
      </x:c>
      <x:c r="I600" s="18" t="n">
        <x:v>26</x:v>
      </x:c>
      <x:c r="J600" s="18" t="n">
        <x:v>123</x:v>
      </x:c>
      <x:c r="K600" s="18" t="n">
        <x:v>26</x:v>
      </x:c>
      <x:c r="L600" s="18" t="n">
        <x:v>62</x:v>
      </x:c>
      <x:c r="M600" s="18" t="n">
        <x:v>26</x:v>
      </x:c>
    </x:row>
    <x:row r="601">
      <x:c r="A601" s="22" t="str">
        <x:v>500105119</x:v>
      </x:c>
      <x:c r="B601" s="17" t="str">
        <x:v>文山區</x:v>
      </x:c>
      <x:c r="C601" s="17" t="str">
        <x:v>樟新社會住宅</x:v>
      </x:c>
      <x:c r="D601" s="18" t="n">
        <x:v>26</x:v>
      </x:c>
      <x:c r="E601" s="18" t="n">
        <x:v>26</x:v>
      </x:c>
      <x:c r="F601" s="18" t="n">
        <x:v>258</x:v>
      </x:c>
      <x:c r="G601" s="18" t="n">
        <x:v>26</x:v>
      </x:c>
      <x:c r="H601" s="18" t="n">
        <x:v>56</x:v>
      </x:c>
      <x:c r="I601" s="18" t="n">
        <x:v>26</x:v>
      </x:c>
      <x:c r="J601" s="18" t="n">
        <x:v>140</x:v>
      </x:c>
      <x:c r="K601" s="18" t="n">
        <x:v>26</x:v>
      </x:c>
      <x:c r="L601" s="18" t="n">
        <x:v>61</x:v>
      </x:c>
      <x:c r="M601" s="18" t="n">
        <x:v>26</x:v>
      </x:c>
    </x:row>
    <x:row r="602">
      <x:c r="A602" s="22" t="str">
        <x:v>500105120</x:v>
      </x:c>
      <x:c r="B602" s="17" t="str">
        <x:v>文山區</x:v>
      </x:c>
      <x:c r="C602" s="17" t="str">
        <x:v>忠順路二段57巷口</x:v>
      </x:c>
      <x:c r="D602" s="18" t="n">
        <x:v>26</x:v>
      </x:c>
      <x:c r="E602" s="18" t="n">
        <x:v>26</x:v>
      </x:c>
      <x:c r="F602" s="18" t="n">
        <x:v>160</x:v>
      </x:c>
      <x:c r="G602" s="18" t="n">
        <x:v>26</x:v>
      </x:c>
      <x:c r="H602" s="18" t="n">
        <x:v>34</x:v>
      </x:c>
      <x:c r="I602" s="18" t="n">
        <x:v>26</x:v>
      </x:c>
      <x:c r="J602" s="18" t="n">
        <x:v>66</x:v>
      </x:c>
      <x:c r="K602" s="18" t="n">
        <x:v>26</x:v>
      </x:c>
      <x:c r="L602" s="18" t="n">
        <x:v>12</x:v>
      </x:c>
      <x:c r="M602" s="18" t="n">
        <x:v>26</x:v>
      </x:c>
    </x:row>
    <x:row r="603">
      <x:c r="A603" s="22" t="str">
        <x:v>500105121</x:v>
      </x:c>
      <x:c r="B603" s="17" t="str">
        <x:v>文山區</x:v>
      </x:c>
      <x:c r="C603" s="17" t="str">
        <x:v>景豐公園</x:v>
      </x:c>
      <x:c r="D603" s="18" t="n">
        <x:v>26</x:v>
      </x:c>
      <x:c r="E603" s="18" t="n">
        <x:v>26</x:v>
      </x:c>
      <x:c r="F603" s="18" t="n">
        <x:v>524</x:v>
      </x:c>
      <x:c r="G603" s="18" t="n">
        <x:v>26</x:v>
      </x:c>
      <x:c r="H603" s="18" t="n">
        <x:v>25</x:v>
      </x:c>
      <x:c r="I603" s="18" t="n">
        <x:v>26</x:v>
      </x:c>
      <x:c r="J603" s="18" t="n">
        <x:v>234</x:v>
      </x:c>
      <x:c r="K603" s="18" t="n">
        <x:v>26</x:v>
      </x:c>
      <x:c r="L603" s="18" t="n">
        <x:v>24</x:v>
      </x:c>
      <x:c r="M603" s="18" t="n">
        <x:v>26</x:v>
      </x:c>
    </x:row>
    <x:row r="604">
      <x:c r="A604" s="22" t="str">
        <x:v>500105122</x:v>
      </x:c>
      <x:c r="B604" s="17" t="str">
        <x:v>文山區</x:v>
      </x:c>
      <x:c r="C604" s="17" t="str">
        <x:v>樟新區民活動中心</x:v>
      </x:c>
      <x:c r="D604" s="18" t="n">
        <x:v>26</x:v>
      </x:c>
      <x:c r="E604" s="18" t="n">
        <x:v>26</x:v>
      </x:c>
      <x:c r="F604" s="18" t="n">
        <x:v>229</x:v>
      </x:c>
      <x:c r="G604" s="18" t="n">
        <x:v>26</x:v>
      </x:c>
      <x:c r="H604" s="18" t="n">
        <x:v>18</x:v>
      </x:c>
      <x:c r="I604" s="18" t="n">
        <x:v>26</x:v>
      </x:c>
      <x:c r="J604" s="18" t="n">
        <x:v>173</x:v>
      </x:c>
      <x:c r="K604" s="18" t="n">
        <x:v>26</x:v>
      </x:c>
      <x:c r="L604" s="18" t="n">
        <x:v>23</x:v>
      </x:c>
      <x:c r="M604" s="18" t="n">
        <x:v>26</x:v>
      </x:c>
    </x:row>
    <x:row r="605">
      <x:c r="A605" s="22" t="str">
        <x:v>500105123</x:v>
      </x:c>
      <x:c r="B605" s="17" t="str">
        <x:v>文山區</x:v>
      </x:c>
      <x:c r="C605" s="17" t="str">
        <x:v>貓空纜車動物園站</x:v>
      </x:c>
      <x:c r="D605" s="18" t="n">
        <x:v>26</x:v>
      </x:c>
      <x:c r="E605" s="18" t="n">
        <x:v>26</x:v>
      </x:c>
      <x:c r="F605" s="18" t="n">
        <x:v>150</x:v>
      </x:c>
      <x:c r="G605" s="18" t="n">
        <x:v>26</x:v>
      </x:c>
      <x:c r="H605" s="18" t="n">
        <x:v>55</x:v>
      </x:c>
      <x:c r="I605" s="18" t="n">
        <x:v>26</x:v>
      </x:c>
      <x:c r="J605" s="18" t="n">
        <x:v>197</x:v>
      </x:c>
      <x:c r="K605" s="18" t="n">
        <x:v>26</x:v>
      </x:c>
      <x:c r="L605" s="18" t="n">
        <x:v>46</x:v>
      </x:c>
      <x:c r="M605" s="18" t="n">
        <x:v>26</x:v>
      </x:c>
    </x:row>
    <x:row r="606">
      <x:c r="A606" s="22" t="str">
        <x:v>500105124</x:v>
      </x:c>
      <x:c r="B606" s="17" t="str">
        <x:v>文山區</x:v>
      </x:c>
      <x:c r="C606" s="17" t="str">
        <x:v>保儀公園(興隆路四段195巷)</x:v>
      </x:c>
      <x:c r="D606" s="18" t="n">
        <x:v>26</x:v>
      </x:c>
      <x:c r="E606" s="18" t="n">
        <x:v>26</x:v>
      </x:c>
      <x:c r="F606" s="18" t="n">
        <x:v>274</x:v>
      </x:c>
      <x:c r="G606" s="18" t="n">
        <x:v>26</x:v>
      </x:c>
      <x:c r="H606" s="18" t="n">
        <x:v>72</x:v>
      </x:c>
      <x:c r="I606" s="18" t="n">
        <x:v>26</x:v>
      </x:c>
      <x:c r="J606" s="18" t="n">
        <x:v>200</x:v>
      </x:c>
      <x:c r="K606" s="18" t="n">
        <x:v>26</x:v>
      </x:c>
      <x:c r="L606" s="18" t="n">
        <x:v>56</x:v>
      </x:c>
      <x:c r="M606" s="18" t="n">
        <x:v>26</x:v>
      </x:c>
    </x:row>
    <x:row r="607">
      <x:c r="A607" s="22" t="str">
        <x:v>500105125</x:v>
      </x:c>
      <x:c r="B607" s="17" t="str">
        <x:v>文山區</x:v>
      </x:c>
      <x:c r="C607" s="17" t="str">
        <x:v>景新大樓</x:v>
      </x:c>
      <x:c r="D607" s="18" t="n">
        <x:v>26</x:v>
      </x:c>
      <x:c r="E607" s="18" t="n">
        <x:v>26</x:v>
      </x:c>
      <x:c r="F607" s="18" t="n">
        <x:v>113</x:v>
      </x:c>
      <x:c r="G607" s="18" t="n">
        <x:v>26</x:v>
      </x:c>
      <x:c r="H607" s="18" t="n">
        <x:v>21</x:v>
      </x:c>
      <x:c r="I607" s="18" t="n">
        <x:v>26</x:v>
      </x:c>
      <x:c r="J607" s="18" t="n">
        <x:v>112</x:v>
      </x:c>
      <x:c r="K607" s="18" t="n">
        <x:v>26</x:v>
      </x:c>
      <x:c r="L607" s="18" t="n">
        <x:v>27</x:v>
      </x:c>
      <x:c r="M607" s="18" t="n">
        <x:v>26</x:v>
      </x:c>
    </x:row>
    <x:row r="608">
      <x:c r="A608" s="22" t="str">
        <x:v>500105126</x:v>
      </x:c>
      <x:c r="B608" s="17" t="str">
        <x:v>文山區</x:v>
      </x:c>
      <x:c r="C608" s="17" t="str">
        <x:v>文山溪洲福德宮</x:v>
      </x:c>
      <x:c r="D608" s="18" t="n">
        <x:v>26</x:v>
      </x:c>
      <x:c r="E608" s="18" t="n">
        <x:v>26</x:v>
      </x:c>
      <x:c r="F608" s="18" t="n">
        <x:v>431</x:v>
      </x:c>
      <x:c r="G608" s="18" t="n">
        <x:v>26</x:v>
      </x:c>
      <x:c r="H608" s="18" t="n">
        <x:v>37</x:v>
      </x:c>
      <x:c r="I608" s="18" t="n">
        <x:v>26</x:v>
      </x:c>
      <x:c r="J608" s="18" t="n">
        <x:v>145</x:v>
      </x:c>
      <x:c r="K608" s="18" t="n">
        <x:v>26</x:v>
      </x:c>
      <x:c r="L608" s="18" t="n">
        <x:v>15</x:v>
      </x:c>
      <x:c r="M608" s="18" t="n">
        <x:v>26</x:v>
      </x:c>
    </x:row>
    <x:row r="609">
      <x:c r="A609" s="22" t="str">
        <x:v>500105128</x:v>
      </x:c>
      <x:c r="B609" s="17" t="str">
        <x:v>文山區</x:v>
      </x:c>
      <x:c r="C609" s="17" t="str">
        <x:v>萬有二號公園(景明街29巷)</x:v>
      </x:c>
      <x:c r="D609" s="18" t="n">
        <x:v>26</x:v>
      </x:c>
      <x:c r="E609" s="18" t="n">
        <x:v>26</x:v>
      </x:c>
      <x:c r="F609" s="18" t="n">
        <x:v>295</x:v>
      </x:c>
      <x:c r="G609" s="18" t="n">
        <x:v>26</x:v>
      </x:c>
      <x:c r="H609" s="18" t="n">
        <x:v>29</x:v>
      </x:c>
      <x:c r="I609" s="18" t="n">
        <x:v>26</x:v>
      </x:c>
      <x:c r="J609" s="18" t="n">
        <x:v>125</x:v>
      </x:c>
      <x:c r="K609" s="18" t="n">
        <x:v>26</x:v>
      </x:c>
      <x:c r="L609" s="18" t="n">
        <x:v>31</x:v>
      </x:c>
      <x:c r="M609" s="18" t="n">
        <x:v>26</x:v>
      </x:c>
    </x:row>
    <x:row r="610">
      <x:c r="A610" s="22" t="str">
        <x:v>500105129</x:v>
      </x:c>
      <x:c r="B610" s="17" t="str">
        <x:v>文山區</x:v>
      </x:c>
      <x:c r="C610" s="17" t="str">
        <x:v>指南綠地</x:v>
      </x:c>
      <x:c r="D610" s="18" t="n">
        <x:v>26</x:v>
      </x:c>
      <x:c r="E610" s="18" t="n">
        <x:v>26</x:v>
      </x:c>
      <x:c r="F610" s="18" t="n">
        <x:v>200</x:v>
      </x:c>
      <x:c r="G610" s="18" t="n">
        <x:v>26</x:v>
      </x:c>
      <x:c r="H610" s="18" t="n">
        <x:v>43</x:v>
      </x:c>
      <x:c r="I610" s="18" t="n">
        <x:v>26</x:v>
      </x:c>
      <x:c r="J610" s="18" t="n">
        <x:v>105</x:v>
      </x:c>
      <x:c r="K610" s="18" t="n">
        <x:v>26</x:v>
      </x:c>
      <x:c r="L610" s="18" t="n">
        <x:v>22</x:v>
      </x:c>
      <x:c r="M610" s="18" t="n">
        <x:v>26</x:v>
      </x:c>
    </x:row>
    <x:row r="611">
      <x:c r="A611" s="22" t="str">
        <x:v>500105130</x:v>
      </x:c>
      <x:c r="B611" s="17" t="str">
        <x:v>文山區</x:v>
      </x:c>
      <x:c r="C611" s="17" t="str">
        <x:v>木新派出所</x:v>
      </x:c>
      <x:c r="D611" s="18" t="n">
        <x:v>26</x:v>
      </x:c>
      <x:c r="E611" s="18" t="n">
        <x:v>18</x:v>
      </x:c>
      <x:c r="F611" s="18" t="n">
        <x:v>134</x:v>
      </x:c>
      <x:c r="G611" s="18" t="n">
        <x:v>17</x:v>
      </x:c>
      <x:c r="H611" s="18" t="n">
        <x:v>26</x:v>
      </x:c>
      <x:c r="I611" s="18" t="n">
        <x:v>17</x:v>
      </x:c>
      <x:c r="J611" s="18" t="n">
        <x:v>93</x:v>
      </x:c>
      <x:c r="K611" s="18" t="n">
        <x:v>18</x:v>
      </x:c>
      <x:c r="L611" s="18" t="n">
        <x:v>18</x:v>
      </x:c>
      <x:c r="M611" s="18" t="n">
        <x:v>18</x:v>
      </x:c>
    </x:row>
    <x:row r="612">
      <x:c r="A612" s="22" t="str">
        <x:v>500105131</x:v>
      </x:c>
      <x:c r="B612" s="17" t="str">
        <x:v>文山區</x:v>
      </x:c>
      <x:c r="C612" s="17" t="str">
        <x:v>新榮公園</x:v>
      </x:c>
      <x:c r="D612" s="18" t="n">
        <x:v>26</x:v>
      </x:c>
      <x:c r="E612" s="18" t="n">
        <x:v>3</x:v>
      </x:c>
      <x:c r="F612" s="18" t="n">
        <x:v>0</x:v>
      </x:c>
      <x:c r="G612" s="18" t="n">
        <x:v>2</x:v>
      </x:c>
      <x:c r="H612" s="18" t="n">
        <x:v>0</x:v>
      </x:c>
      <x:c r="I612" s="18" t="n">
        <x:v>2</x:v>
      </x:c>
      <x:c r="J612" s="18" t="n">
        <x:v>0</x:v>
      </x:c>
      <x:c r="K612" s="18" t="n">
        <x:v>3</x:v>
      </x:c>
      <x:c r="L612" s="18" t="n">
        <x:v>0</x:v>
      </x:c>
      <x:c r="M612" s="18" t="n">
        <x:v>3</x:v>
      </x:c>
    </x:row>
    <x:row r="613">
      <x:c r="A613" s="22" t="str">
        <x:v>500105132</x:v>
      </x:c>
      <x:c r="B613" s="17" t="str">
        <x:v>文山區</x:v>
      </x:c>
      <x:c r="C613" s="17" t="str">
        <x:v>福興路106巷底</x:v>
      </x:c>
      <x:c r="D613" s="18" t="n">
        <x:v>26</x:v>
      </x:c>
      <x:c r="E613" s="18" t="n">
        <x:v>3</x:v>
      </x:c>
      <x:c r="F613" s="18" t="n">
        <x:v>0</x:v>
      </x:c>
      <x:c r="G613" s="18" t="n">
        <x:v>2</x:v>
      </x:c>
      <x:c r="H613" s="18" t="n">
        <x:v>0</x:v>
      </x:c>
      <x:c r="I613" s="18" t="n">
        <x:v>2</x:v>
      </x:c>
      <x:c r="J613" s="18" t="n">
        <x:v>0</x:v>
      </x:c>
      <x:c r="K613" s="18" t="n">
        <x:v>3</x:v>
      </x:c>
      <x:c r="L613" s="18" t="n">
        <x:v>0</x:v>
      </x:c>
      <x:c r="M613" s="18" t="n">
        <x:v>3</x:v>
      </x:c>
    </x:row>
    <x:row r="614">
      <x:c r="A614" s="22" t="str">
        <x:v>500105133</x:v>
      </x:c>
      <x:c r="B614" s="17" t="str">
        <x:v>文山區</x:v>
      </x:c>
      <x:c r="C614" s="17" t="str">
        <x:v>景美公園(萬慶街)</x:v>
      </x:c>
      <x:c r="D614" s="18" t="n">
        <x:v>26</x:v>
      </x:c>
      <x:c r="E614" s="18" t="n">
        <x:v>3</x:v>
      </x:c>
      <x:c r="F614" s="18" t="n">
        <x:v>0</x:v>
      </x:c>
      <x:c r="G614" s="18" t="n">
        <x:v>2</x:v>
      </x:c>
      <x:c r="H614" s="18" t="n">
        <x:v>0</x:v>
      </x:c>
      <x:c r="I614" s="18" t="n">
        <x:v>2</x:v>
      </x:c>
      <x:c r="J614" s="18" t="n">
        <x:v>0</x:v>
      </x:c>
      <x:c r="K614" s="18" t="n">
        <x:v>3</x:v>
      </x:c>
      <x:c r="L614" s="18" t="n">
        <x:v>0</x:v>
      </x:c>
      <x:c r="M614" s="18" t="n">
        <x:v>3</x:v>
      </x:c>
    </x:row>
    <x:row r="615">
      <x:c r="A615" s="22" t="str">
        <x:v>500106001</x:v>
      </x:c>
      <x:c r="B615" s="17" t="str">
        <x:v>中正區</x:v>
      </x:c>
      <x:c r="C615" s="17" t="str">
        <x:v>臺北自來水事業處</x:v>
      </x:c>
      <x:c r="D615" s="18" t="n">
        <x:v>26</x:v>
      </x:c>
      <x:c r="E615" s="18" t="n">
        <x:v>26</x:v>
      </x:c>
      <x:c r="F615" s="18" t="n">
        <x:v>170</x:v>
      </x:c>
      <x:c r="G615" s="18" t="n">
        <x:v>26</x:v>
      </x:c>
      <x:c r="H615" s="18" t="n">
        <x:v>20</x:v>
      </x:c>
      <x:c r="I615" s="18" t="n">
        <x:v>26</x:v>
      </x:c>
      <x:c r="J615" s="18" t="n">
        <x:v>103</x:v>
      </x:c>
      <x:c r="K615" s="18" t="n">
        <x:v>26</x:v>
      </x:c>
      <x:c r="L615" s="18" t="n">
        <x:v>9</x:v>
      </x:c>
      <x:c r="M615" s="18" t="n">
        <x:v>26</x:v>
      </x:c>
    </x:row>
    <x:row r="616">
      <x:c r="A616" s="22" t="str">
        <x:v>500106002</x:v>
      </x:c>
      <x:c r="B616" s="17" t="str">
        <x:v>中正區</x:v>
      </x:c>
      <x:c r="C616" s="17" t="str">
        <x:v>汀州思源街口東南側</x:v>
      </x:c>
      <x:c r="D616" s="18" t="n">
        <x:v>26</x:v>
      </x:c>
      <x:c r="E616" s="18" t="n">
        <x:v>26</x:v>
      </x:c>
      <x:c r="F616" s="18" t="n">
        <x:v>173</x:v>
      </x:c>
      <x:c r="G616" s="18" t="n">
        <x:v>26</x:v>
      </x:c>
      <x:c r="H616" s="18" t="n">
        <x:v>18</x:v>
      </x:c>
      <x:c r="I616" s="18" t="n">
        <x:v>26</x:v>
      </x:c>
      <x:c r="J616" s="18" t="n">
        <x:v>127</x:v>
      </x:c>
      <x:c r="K616" s="18" t="n">
        <x:v>26</x:v>
      </x:c>
      <x:c r="L616" s="18" t="n">
        <x:v>26</x:v>
      </x:c>
      <x:c r="M616" s="18" t="n">
        <x:v>26</x:v>
      </x:c>
    </x:row>
    <x:row r="617">
      <x:c r="A617" s="22" t="str">
        <x:v>500106003</x:v>
      </x:c>
      <x:c r="B617" s="17" t="str">
        <x:v>中正區</x:v>
      </x:c>
      <x:c r="C617" s="17" t="str">
        <x:v>捷運公館站(1號出口)</x:v>
      </x:c>
      <x:c r="D617" s="18" t="n">
        <x:v>26</x:v>
      </x:c>
      <x:c r="E617" s="18" t="n">
        <x:v>26</x:v>
      </x:c>
      <x:c r="F617" s="18" t="n">
        <x:v>148</x:v>
      </x:c>
      <x:c r="G617" s="18" t="n">
        <x:v>26</x:v>
      </x:c>
      <x:c r="H617" s="18" t="n">
        <x:v>43</x:v>
      </x:c>
      <x:c r="I617" s="18" t="n">
        <x:v>26</x:v>
      </x:c>
      <x:c r="J617" s="18" t="n">
        <x:v>90</x:v>
      </x:c>
      <x:c r="K617" s="18" t="n">
        <x:v>26</x:v>
      </x:c>
      <x:c r="L617" s="18" t="n">
        <x:v>17</x:v>
      </x:c>
      <x:c r="M617" s="18" t="n">
        <x:v>26</x:v>
      </x:c>
    </x:row>
    <x:row r="618">
      <x:c r="A618" s="22" t="str">
        <x:v>500106004</x:v>
      </x:c>
      <x:c r="B618" s="17" t="str">
        <x:v>中正區</x:v>
      </x:c>
      <x:c r="C618" s="17" t="str">
        <x:v>捷運公館站(4號出口)</x:v>
      </x:c>
      <x:c r="D618" s="18" t="n">
        <x:v>26</x:v>
      </x:c>
      <x:c r="E618" s="18" t="n">
        <x:v>26</x:v>
      </x:c>
      <x:c r="F618" s="18" t="n">
        <x:v>107</x:v>
      </x:c>
      <x:c r="G618" s="18" t="n">
        <x:v>26</x:v>
      </x:c>
      <x:c r="H618" s="18" t="n">
        <x:v>24</x:v>
      </x:c>
      <x:c r="I618" s="18" t="n">
        <x:v>26</x:v>
      </x:c>
      <x:c r="J618" s="18" t="n">
        <x:v>99</x:v>
      </x:c>
      <x:c r="K618" s="18" t="n">
        <x:v>26</x:v>
      </x:c>
      <x:c r="L618" s="18" t="n">
        <x:v>22</x:v>
      </x:c>
      <x:c r="M618" s="18" t="n">
        <x:v>26</x:v>
      </x:c>
    </x:row>
    <x:row r="619">
      <x:c r="A619" s="22" t="str">
        <x:v>500106005</x:v>
      </x:c>
      <x:c r="B619" s="17" t="str">
        <x:v>中正區</x:v>
      </x:c>
      <x:c r="C619" s="17" t="str">
        <x:v>捷運古亭站(9號出口)</x:v>
      </x:c>
      <x:c r="D619" s="18" t="n">
        <x:v>26</x:v>
      </x:c>
      <x:c r="E619" s="18" t="n">
        <x:v>26</x:v>
      </x:c>
      <x:c r="F619" s="18" t="n">
        <x:v>215</x:v>
      </x:c>
      <x:c r="G619" s="18" t="n">
        <x:v>26</x:v>
      </x:c>
      <x:c r="H619" s="18" t="n">
        <x:v>28</x:v>
      </x:c>
      <x:c r="I619" s="18" t="n">
        <x:v>26</x:v>
      </x:c>
      <x:c r="J619" s="18" t="n">
        <x:v>151</x:v>
      </x:c>
      <x:c r="K619" s="18" t="n">
        <x:v>26</x:v>
      </x:c>
      <x:c r="L619" s="18" t="n">
        <x:v>51</x:v>
      </x:c>
      <x:c r="M619" s="18" t="n">
        <x:v>26</x:v>
      </x:c>
    </x:row>
    <x:row r="620">
      <x:c r="A620" s="22" t="str">
        <x:v>500106006</x:v>
      </x:c>
      <x:c r="B620" s="17" t="str">
        <x:v>中正區</x:v>
      </x:c>
      <x:c r="C620" s="17" t="str">
        <x:v>捷運古亭站(2號出口)</x:v>
      </x:c>
      <x:c r="D620" s="18" t="n">
        <x:v>26</x:v>
      </x:c>
      <x:c r="E620" s="18" t="n">
        <x:v>26</x:v>
      </x:c>
      <x:c r="F620" s="18" t="n">
        <x:v>256</x:v>
      </x:c>
      <x:c r="G620" s="18" t="n">
        <x:v>26</x:v>
      </x:c>
      <x:c r="H620" s="18" t="n">
        <x:v>11</x:v>
      </x:c>
      <x:c r="I620" s="18" t="n">
        <x:v>26</x:v>
      </x:c>
      <x:c r="J620" s="18" t="n">
        <x:v>232</x:v>
      </x:c>
      <x:c r="K620" s="18" t="n">
        <x:v>26</x:v>
      </x:c>
      <x:c r="L620" s="18" t="n">
        <x:v>27</x:v>
      </x:c>
      <x:c r="M620" s="18" t="n">
        <x:v>26</x:v>
      </x:c>
    </x:row>
    <x:row r="621">
      <x:c r="A621" s="22" t="str">
        <x:v>500106007</x:v>
      </x:c>
      <x:c r="B621" s="17" t="str">
        <x:v>中正區</x:v>
      </x:c>
      <x:c r="C621" s="17" t="str">
        <x:v>捷運臺電大樓站(1號出口)</x:v>
      </x:c>
      <x:c r="D621" s="18" t="n">
        <x:v>26</x:v>
      </x:c>
      <x:c r="E621" s="18" t="n">
        <x:v>26</x:v>
      </x:c>
      <x:c r="F621" s="18" t="n">
        <x:v>350</x:v>
      </x:c>
      <x:c r="G621" s="18" t="n">
        <x:v>26</x:v>
      </x:c>
      <x:c r="H621" s="18" t="n">
        <x:v>37</x:v>
      </x:c>
      <x:c r="I621" s="18" t="n">
        <x:v>26</x:v>
      </x:c>
      <x:c r="J621" s="18" t="n">
        <x:v>116</x:v>
      </x:c>
      <x:c r="K621" s="18" t="n">
        <x:v>26</x:v>
      </x:c>
      <x:c r="L621" s="18" t="n">
        <x:v>22</x:v>
      </x:c>
      <x:c r="M621" s="18" t="n">
        <x:v>26</x:v>
      </x:c>
    </x:row>
    <x:row r="622">
      <x:c r="A622" s="22" t="str">
        <x:v>500106008</x:v>
      </x:c>
      <x:c r="B622" s="17" t="str">
        <x:v>中正區</x:v>
      </x:c>
      <x:c r="C622" s="17" t="str">
        <x:v>客家文化主題公園</x:v>
      </x:c>
      <x:c r="D622" s="18" t="n">
        <x:v>26</x:v>
      </x:c>
      <x:c r="E622" s="18" t="n">
        <x:v>26</x:v>
      </x:c>
      <x:c r="F622" s="18" t="n">
        <x:v>290</x:v>
      </x:c>
      <x:c r="G622" s="18" t="n">
        <x:v>26</x:v>
      </x:c>
      <x:c r="H622" s="18" t="n">
        <x:v>36</x:v>
      </x:c>
      <x:c r="I622" s="18" t="n">
        <x:v>26</x:v>
      </x:c>
      <x:c r="J622" s="18" t="n">
        <x:v>87</x:v>
      </x:c>
      <x:c r="K622" s="18" t="n">
        <x:v>26</x:v>
      </x:c>
      <x:c r="L622" s="18" t="n">
        <x:v>23</x:v>
      </x:c>
      <x:c r="M622" s="18" t="n">
        <x:v>26</x:v>
      </x:c>
    </x:row>
    <x:row r="623">
      <x:c r="A623" s="22" t="str">
        <x:v>500106009</x:v>
      </x:c>
      <x:c r="B623" s="17" t="str">
        <x:v>中正區</x:v>
      </x:c>
      <x:c r="C623" s="17" t="str">
        <x:v>河堤國小</x:v>
      </x:c>
      <x:c r="D623" s="18" t="n">
        <x:v>26</x:v>
      </x:c>
      <x:c r="E623" s="18" t="n">
        <x:v>26</x:v>
      </x:c>
      <x:c r="F623" s="18" t="n">
        <x:v>1390</x:v>
      </x:c>
      <x:c r="G623" s="18" t="n">
        <x:v>26</x:v>
      </x:c>
      <x:c r="H623" s="18" t="n">
        <x:v>119</x:v>
      </x:c>
      <x:c r="I623" s="18" t="n">
        <x:v>26</x:v>
      </x:c>
      <x:c r="J623" s="18" t="n">
        <x:v>142</x:v>
      </x:c>
      <x:c r="K623" s="18" t="n">
        <x:v>26</x:v>
      </x:c>
      <x:c r="L623" s="18" t="n">
        <x:v>13</x:v>
      </x:c>
      <x:c r="M623" s="18" t="n">
        <x:v>26</x:v>
      </x:c>
    </x:row>
    <x:row r="624">
      <x:c r="A624" s="22" t="str">
        <x:v>500106010</x:v>
      </x:c>
      <x:c r="B624" s="17" t="str">
        <x:v>中正區</x:v>
      </x:c>
      <x:c r="C624" s="17" t="str">
        <x:v>紀州庵</x:v>
      </x:c>
      <x:c r="D624" s="18" t="n">
        <x:v>26</x:v>
      </x:c>
      <x:c r="E624" s="18" t="n">
        <x:v>26</x:v>
      </x:c>
      <x:c r="F624" s="18" t="n">
        <x:v>1338</x:v>
      </x:c>
      <x:c r="G624" s="18" t="n">
        <x:v>26</x:v>
      </x:c>
      <x:c r="H624" s="18" t="n">
        <x:v>131</x:v>
      </x:c>
      <x:c r="I624" s="18" t="n">
        <x:v>26</x:v>
      </x:c>
      <x:c r="J624" s="18" t="n">
        <x:v>150</x:v>
      </x:c>
      <x:c r="K624" s="18" t="n">
        <x:v>26</x:v>
      </x:c>
      <x:c r="L624" s="18" t="n">
        <x:v>29</x:v>
      </x:c>
      <x:c r="M624" s="18" t="n">
        <x:v>26</x:v>
      </x:c>
    </x:row>
    <x:row r="625">
      <x:c r="A625" s="22" t="str">
        <x:v>500106011</x:v>
      </x:c>
      <x:c r="B625" s="17" t="str">
        <x:v>中正區</x:v>
      </x:c>
      <x:c r="C625" s="17" t="str">
        <x:v>捷運臺電大樓站(5號出口)</x:v>
      </x:c>
      <x:c r="D625" s="18" t="n">
        <x:v>26</x:v>
      </x:c>
      <x:c r="E625" s="18" t="n">
        <x:v>26</x:v>
      </x:c>
      <x:c r="F625" s="18" t="n">
        <x:v>235</x:v>
      </x:c>
      <x:c r="G625" s="18" t="n">
        <x:v>26</x:v>
      </x:c>
      <x:c r="H625" s="18" t="n">
        <x:v>20</x:v>
      </x:c>
      <x:c r="I625" s="18" t="n">
        <x:v>26</x:v>
      </x:c>
      <x:c r="J625" s="18" t="n">
        <x:v>69</x:v>
      </x:c>
      <x:c r="K625" s="18" t="n">
        <x:v>26</x:v>
      </x:c>
      <x:c r="L625" s="18" t="n">
        <x:v>13</x:v>
      </x:c>
      <x:c r="M625" s="18" t="n">
        <x:v>26</x:v>
      </x:c>
    </x:row>
    <x:row r="626">
      <x:c r="A626" s="22" t="str">
        <x:v>500106012</x:v>
      </x:c>
      <x:c r="B626" s="17" t="str">
        <x:v>中正區</x:v>
      </x:c>
      <x:c r="C626" s="17" t="str">
        <x:v>捷運臺電大樓站(4號出口)</x:v>
      </x:c>
      <x:c r="D626" s="18" t="n">
        <x:v>26</x:v>
      </x:c>
      <x:c r="E626" s="18" t="n">
        <x:v>26</x:v>
      </x:c>
      <x:c r="F626" s="18" t="n">
        <x:v>171</x:v>
      </x:c>
      <x:c r="G626" s="18" t="n">
        <x:v>26</x:v>
      </x:c>
      <x:c r="H626" s="18" t="n">
        <x:v>43</x:v>
      </x:c>
      <x:c r="I626" s="18" t="n">
        <x:v>26</x:v>
      </x:c>
      <x:c r="J626" s="18" t="n">
        <x:v>75</x:v>
      </x:c>
      <x:c r="K626" s="18" t="n">
        <x:v>26</x:v>
      </x:c>
      <x:c r="L626" s="18" t="n">
        <x:v>21</x:v>
      </x:c>
      <x:c r="M626" s="18" t="n">
        <x:v>26</x:v>
      </x:c>
    </x:row>
    <x:row r="627">
      <x:c r="A627" s="22" t="str">
        <x:v>500106013</x:v>
      </x:c>
      <x:c r="B627" s="17" t="str">
        <x:v>中正區</x:v>
      </x:c>
      <x:c r="C627" s="17" t="str">
        <x:v>羅斯福三段金門街口</x:v>
      </x:c>
      <x:c r="D627" s="18" t="n">
        <x:v>26</x:v>
      </x:c>
      <x:c r="E627" s="18" t="n">
        <x:v>26</x:v>
      </x:c>
      <x:c r="F627" s="18" t="n">
        <x:v>223</x:v>
      </x:c>
      <x:c r="G627" s="18" t="n">
        <x:v>26</x:v>
      </x:c>
      <x:c r="H627" s="18" t="n">
        <x:v>37</x:v>
      </x:c>
      <x:c r="I627" s="18" t="n">
        <x:v>26</x:v>
      </x:c>
      <x:c r="J627" s="18" t="n">
        <x:v>78</x:v>
      </x:c>
      <x:c r="K627" s="18" t="n">
        <x:v>26</x:v>
      </x:c>
      <x:c r="L627" s="18" t="n">
        <x:v>25</x:v>
      </x:c>
      <x:c r="M627" s="18" t="n">
        <x:v>26</x:v>
      </x:c>
    </x:row>
    <x:row r="628">
      <x:c r="A628" s="22" t="str">
        <x:v>500106014</x:v>
      </x:c>
      <x:c r="B628" s="17" t="str">
        <x:v>中正區</x:v>
      </x:c>
      <x:c r="C628" s="17" t="str">
        <x:v>牯嶺公園</x:v>
      </x:c>
      <x:c r="D628" s="18" t="n">
        <x:v>26</x:v>
      </x:c>
      <x:c r="E628" s="18" t="n">
        <x:v>26</x:v>
      </x:c>
      <x:c r="F628" s="18" t="n">
        <x:v>2310</x:v>
      </x:c>
      <x:c r="G628" s="18" t="n">
        <x:v>26</x:v>
      </x:c>
      <x:c r="H628" s="18" t="n">
        <x:v>222</x:v>
      </x:c>
      <x:c r="I628" s="18" t="n">
        <x:v>26</x:v>
      </x:c>
      <x:c r="J628" s="18" t="n">
        <x:v>232</x:v>
      </x:c>
      <x:c r="K628" s="18" t="n">
        <x:v>26</x:v>
      </x:c>
      <x:c r="L628" s="18" t="n">
        <x:v>29</x:v>
      </x:c>
      <x:c r="M628" s="18" t="n">
        <x:v>26</x:v>
      </x:c>
    </x:row>
    <x:row r="629">
      <x:c r="A629" s="22" t="str">
        <x:v>500106015</x:v>
      </x:c>
      <x:c r="B629" s="17" t="str">
        <x:v>中正區</x:v>
      </x:c>
      <x:c r="C629" s="17" t="str">
        <x:v>捷運古亭站(8號出口)</x:v>
      </x:c>
      <x:c r="D629" s="18" t="n">
        <x:v>26</x:v>
      </x:c>
      <x:c r="E629" s="18" t="n">
        <x:v>26</x:v>
      </x:c>
      <x:c r="F629" s="18" t="n">
        <x:v>138</x:v>
      </x:c>
      <x:c r="G629" s="18" t="n">
        <x:v>26</x:v>
      </x:c>
      <x:c r="H629" s="18" t="n">
        <x:v>28</x:v>
      </x:c>
      <x:c r="I629" s="18" t="n">
        <x:v>26</x:v>
      </x:c>
      <x:c r="J629" s="18" t="n">
        <x:v>88</x:v>
      </x:c>
      <x:c r="K629" s="18" t="n">
        <x:v>26</x:v>
      </x:c>
      <x:c r="L629" s="18" t="n">
        <x:v>21</x:v>
      </x:c>
      <x:c r="M629" s="18" t="n">
        <x:v>26</x:v>
      </x:c>
    </x:row>
    <x:row r="630">
      <x:c r="A630" s="22" t="str">
        <x:v>500106016</x:v>
      </x:c>
      <x:c r="B630" s="17" t="str">
        <x:v>中正區</x:v>
      </x:c>
      <x:c r="C630" s="17" t="str">
        <x:v>捷運古亭站(7號出口)</x:v>
      </x:c>
      <x:c r="D630" s="18" t="n">
        <x:v>26</x:v>
      </x:c>
      <x:c r="E630" s="18" t="n">
        <x:v>26</x:v>
      </x:c>
      <x:c r="F630" s="18" t="n">
        <x:v>125</x:v>
      </x:c>
      <x:c r="G630" s="18" t="n">
        <x:v>26</x:v>
      </x:c>
      <x:c r="H630" s="18" t="n">
        <x:v>13</x:v>
      </x:c>
      <x:c r="I630" s="18" t="n">
        <x:v>26</x:v>
      </x:c>
      <x:c r="J630" s="18" t="n">
        <x:v>69</x:v>
      </x:c>
      <x:c r="K630" s="18" t="n">
        <x:v>26</x:v>
      </x:c>
      <x:c r="L630" s="18" t="n">
        <x:v>28</x:v>
      </x:c>
      <x:c r="M630" s="18" t="n">
        <x:v>26</x:v>
      </x:c>
    </x:row>
    <x:row r="631">
      <x:c r="A631" s="22" t="str">
        <x:v>500106017</x:v>
      </x:c>
      <x:c r="B631" s="17" t="str">
        <x:v>中正區</x:v>
      </x:c>
      <x:c r="C631" s="17" t="str">
        <x:v>南昌公園</x:v>
      </x:c>
      <x:c r="D631" s="18" t="n">
        <x:v>26</x:v>
      </x:c>
      <x:c r="E631" s="18" t="n">
        <x:v>26</x:v>
      </x:c>
      <x:c r="F631" s="18" t="n">
        <x:v>288</x:v>
      </x:c>
      <x:c r="G631" s="18" t="n">
        <x:v>26</x:v>
      </x:c>
      <x:c r="H631" s="18" t="n">
        <x:v>20</x:v>
      </x:c>
      <x:c r="I631" s="18" t="n">
        <x:v>26</x:v>
      </x:c>
      <x:c r="J631" s="18" t="n">
        <x:v>317</x:v>
      </x:c>
      <x:c r="K631" s="18" t="n">
        <x:v>26</x:v>
      </x:c>
      <x:c r="L631" s="18" t="n">
        <x:v>21</x:v>
      </x:c>
      <x:c r="M631" s="18" t="n">
        <x:v>26</x:v>
      </x:c>
    </x:row>
    <x:row r="632">
      <x:c r="A632" s="22" t="str">
        <x:v>500106018</x:v>
      </x:c>
      <x:c r="B632" s="17" t="str">
        <x:v>中正區</x:v>
      </x:c>
      <x:c r="C632" s="17" t="str">
        <x:v>和平重慶路口</x:v>
      </x:c>
      <x:c r="D632" s="18" t="n">
        <x:v>26</x:v>
      </x:c>
      <x:c r="E632" s="18" t="n">
        <x:v>26</x:v>
      </x:c>
      <x:c r="F632" s="18" t="n">
        <x:v>1137</x:v>
      </x:c>
      <x:c r="G632" s="18" t="n">
        <x:v>26</x:v>
      </x:c>
      <x:c r="H632" s="18" t="n">
        <x:v>85</x:v>
      </x:c>
      <x:c r="I632" s="18" t="n">
        <x:v>26</x:v>
      </x:c>
      <x:c r="J632" s="18" t="n">
        <x:v>223</x:v>
      </x:c>
      <x:c r="K632" s="18" t="n">
        <x:v>26</x:v>
      </x:c>
      <x:c r="L632" s="18" t="n">
        <x:v>34</x:v>
      </x:c>
      <x:c r="M632" s="18" t="n">
        <x:v>26</x:v>
      </x:c>
    </x:row>
    <x:row r="633">
      <x:c r="A633" s="22" t="str">
        <x:v>500106019</x:v>
      </x:c>
      <x:c r="B633" s="17" t="str">
        <x:v>中正區</x:v>
      </x:c>
      <x:c r="C633" s="17" t="str">
        <x:v>孫立人將軍官邸</x:v>
      </x:c>
      <x:c r="D633" s="18" t="n">
        <x:v>26</x:v>
      </x:c>
      <x:c r="E633" s="18" t="n">
        <x:v>26</x:v>
      </x:c>
      <x:c r="F633" s="18" t="n">
        <x:v>193</x:v>
      </x:c>
      <x:c r="G633" s="18" t="n">
        <x:v>26</x:v>
      </x:c>
      <x:c r="H633" s="18" t="n">
        <x:v>46</x:v>
      </x:c>
      <x:c r="I633" s="18" t="n">
        <x:v>26</x:v>
      </x:c>
      <x:c r="J633" s="18" t="n">
        <x:v>310</x:v>
      </x:c>
      <x:c r="K633" s="18" t="n">
        <x:v>26</x:v>
      </x:c>
      <x:c r="L633" s="18" t="n">
        <x:v>48</x:v>
      </x:c>
      <x:c r="M633" s="18" t="n">
        <x:v>26</x:v>
      </x:c>
    </x:row>
    <x:row r="634">
      <x:c r="A634" s="22" t="str">
        <x:v>500106020</x:v>
      </x:c>
      <x:c r="B634" s="17" t="str">
        <x:v>中正區</x:v>
      </x:c>
      <x:c r="C634" s="17" t="str">
        <x:v>羅斯福路二段6巷口</x:v>
      </x:c>
      <x:c r="D634" s="18" t="n">
        <x:v>26</x:v>
      </x:c>
      <x:c r="E634" s="18" t="n">
        <x:v>26</x:v>
      </x:c>
      <x:c r="F634" s="18" t="n">
        <x:v>168</x:v>
      </x:c>
      <x:c r="G634" s="18" t="n">
        <x:v>26</x:v>
      </x:c>
      <x:c r="H634" s="18" t="n">
        <x:v>18</x:v>
      </x:c>
      <x:c r="I634" s="18" t="n">
        <x:v>26</x:v>
      </x:c>
      <x:c r="J634" s="18" t="n">
        <x:v>133</x:v>
      </x:c>
      <x:c r="K634" s="18" t="n">
        <x:v>26</x:v>
      </x:c>
      <x:c r="L634" s="18" t="n">
        <x:v>26</x:v>
      </x:c>
      <x:c r="M634" s="18" t="n">
        <x:v>26</x:v>
      </x:c>
    </x:row>
    <x:row r="635">
      <x:c r="A635" s="22" t="str">
        <x:v>500106021</x:v>
      </x:c>
      <x:c r="B635" s="17" t="str">
        <x:v>中正區</x:v>
      </x:c>
      <x:c r="C635" s="17" t="str">
        <x:v>金華杭州南路口</x:v>
      </x:c>
      <x:c r="D635" s="18" t="n">
        <x:v>26</x:v>
      </x:c>
      <x:c r="E635" s="18" t="n">
        <x:v>26</x:v>
      </x:c>
      <x:c r="F635" s="18" t="n">
        <x:v>347</x:v>
      </x:c>
      <x:c r="G635" s="18" t="n">
        <x:v>26</x:v>
      </x:c>
      <x:c r="H635" s="18" t="n">
        <x:v>57</x:v>
      </x:c>
      <x:c r="I635" s="18" t="n">
        <x:v>26</x:v>
      </x:c>
      <x:c r="J635" s="18" t="n">
        <x:v>223</x:v>
      </x:c>
      <x:c r="K635" s="18" t="n">
        <x:v>26</x:v>
      </x:c>
      <x:c r="L635" s="18" t="n">
        <x:v>41</x:v>
      </x:c>
      <x:c r="M635" s="18" t="n">
        <x:v>26</x:v>
      </x:c>
    </x:row>
    <x:row r="636">
      <x:c r="A636" s="22" t="str">
        <x:v>500106022</x:v>
      </x:c>
      <x:c r="B636" s="17" t="str">
        <x:v>中正區</x:v>
      </x:c>
      <x:c r="C636" s="17" t="str">
        <x:v>捷運中正紀念堂站(3號出口)</x:v>
      </x:c>
      <x:c r="D636" s="18" t="n">
        <x:v>26</x:v>
      </x:c>
      <x:c r="E636" s="18" t="n">
        <x:v>26</x:v>
      </x:c>
      <x:c r="F636" s="18" t="n">
        <x:v>223</x:v>
      </x:c>
      <x:c r="G636" s="18" t="n">
        <x:v>26</x:v>
      </x:c>
      <x:c r="H636" s="18" t="n">
        <x:v>16</x:v>
      </x:c>
      <x:c r="I636" s="18" t="n">
        <x:v>26</x:v>
      </x:c>
      <x:c r="J636" s="18" t="n">
        <x:v>175</x:v>
      </x:c>
      <x:c r="K636" s="18" t="n">
        <x:v>26</x:v>
      </x:c>
      <x:c r="L636" s="18" t="n">
        <x:v>57</x:v>
      </x:c>
      <x:c r="M636" s="18" t="n">
        <x:v>26</x:v>
      </x:c>
    </x:row>
    <x:row r="637">
      <x:c r="A637" s="22" t="str">
        <x:v>500106023</x:v>
      </x:c>
      <x:c r="B637" s="17" t="str">
        <x:v>中正區</x:v>
      </x:c>
      <x:c r="C637" s="17" t="str">
        <x:v>捷運中正紀念堂站(4號出口)</x:v>
      </x:c>
      <x:c r="D637" s="18" t="n">
        <x:v>26</x:v>
      </x:c>
      <x:c r="E637" s="18" t="n">
        <x:v>26</x:v>
      </x:c>
      <x:c r="F637" s="18" t="n">
        <x:v>111</x:v>
      </x:c>
      <x:c r="G637" s="18" t="n">
        <x:v>26</x:v>
      </x:c>
      <x:c r="H637" s="18" t="n">
        <x:v>14</x:v>
      </x:c>
      <x:c r="I637" s="18" t="n">
        <x:v>26</x:v>
      </x:c>
      <x:c r="J637" s="18" t="n">
        <x:v>227</x:v>
      </x:c>
      <x:c r="K637" s="18" t="n">
        <x:v>26</x:v>
      </x:c>
      <x:c r="L637" s="18" t="n">
        <x:v>45</x:v>
      </x:c>
      <x:c r="M637" s="18" t="n">
        <x:v>26</x:v>
      </x:c>
    </x:row>
    <x:row r="638">
      <x:c r="A638" s="22" t="str">
        <x:v>500106024</x:v>
      </x:c>
      <x:c r="B638" s="17" t="str">
        <x:v>中正區</x:v>
      </x:c>
      <x:c r="C638" s="17" t="str">
        <x:v>重慶南海路口西南側</x:v>
      </x:c>
      <x:c r="D638" s="18" t="n">
        <x:v>26</x:v>
      </x:c>
      <x:c r="E638" s="18" t="n">
        <x:v>26</x:v>
      </x:c>
      <x:c r="F638" s="18" t="n">
        <x:v>0</x:v>
      </x:c>
      <x:c r="G638" s="18" t="n">
        <x:v>26</x:v>
      </x:c>
      <x:c r="H638" s="18" t="n">
        <x:v>0</x:v>
      </x:c>
      <x:c r="I638" s="18" t="n">
        <x:v>26</x:v>
      </x:c>
      <x:c r="J638" s="18" t="n">
        <x:v>0</x:v>
      </x:c>
      <x:c r="K638" s="18" t="n">
        <x:v>26</x:v>
      </x:c>
      <x:c r="L638" s="18" t="n">
        <x:v>0</x:v>
      </x:c>
      <x:c r="M638" s="18" t="n">
        <x:v>26</x:v>
      </x:c>
    </x:row>
    <x:row r="639">
      <x:c r="A639" s="22" t="str">
        <x:v>500106025</x:v>
      </x:c>
      <x:c r="B639" s="17" t="str">
        <x:v>中正區</x:v>
      </x:c>
      <x:c r="C639" s="17" t="str">
        <x:v>螢橋國小</x:v>
      </x:c>
      <x:c r="D639" s="18" t="n">
        <x:v>26</x:v>
      </x:c>
      <x:c r="E639" s="18" t="n">
        <x:v>26</x:v>
      </x:c>
      <x:c r="F639" s="18" t="n">
        <x:v>995</x:v>
      </x:c>
      <x:c r="G639" s="18" t="n">
        <x:v>26</x:v>
      </x:c>
      <x:c r="H639" s="18" t="n">
        <x:v>126</x:v>
      </x:c>
      <x:c r="I639" s="18" t="n">
        <x:v>26</x:v>
      </x:c>
      <x:c r="J639" s="18" t="n">
        <x:v>225</x:v>
      </x:c>
      <x:c r="K639" s="18" t="n">
        <x:v>26</x:v>
      </x:c>
      <x:c r="L639" s="18" t="n">
        <x:v>48</x:v>
      </x:c>
      <x:c r="M639" s="18" t="n">
        <x:v>26</x:v>
      </x:c>
    </x:row>
    <x:row r="640">
      <x:c r="A640" s="22" t="str">
        <x:v>500106026</x:v>
      </x:c>
      <x:c r="B640" s="17" t="str">
        <x:v>中正區</x:v>
      </x:c>
      <x:c r="C640" s="17" t="str">
        <x:v>古亭智慧圖書館</x:v>
      </x:c>
      <x:c r="D640" s="18" t="n">
        <x:v>26</x:v>
      </x:c>
      <x:c r="E640" s="18" t="n">
        <x:v>26</x:v>
      </x:c>
      <x:c r="F640" s="18" t="n">
        <x:v>372</x:v>
      </x:c>
      <x:c r="G640" s="18" t="n">
        <x:v>26</x:v>
      </x:c>
      <x:c r="H640" s="18" t="n">
        <x:v>71</x:v>
      </x:c>
      <x:c r="I640" s="18" t="n">
        <x:v>26</x:v>
      </x:c>
      <x:c r="J640" s="18" t="n">
        <x:v>68</x:v>
      </x:c>
      <x:c r="K640" s="18" t="n">
        <x:v>26</x:v>
      </x:c>
      <x:c r="L640" s="18" t="n">
        <x:v>28</x:v>
      </x:c>
      <x:c r="M640" s="18" t="n">
        <x:v>26</x:v>
      </x:c>
    </x:row>
    <x:row r="641">
      <x:c r="A641" s="22" t="str">
        <x:v>500106027</x:v>
      </x:c>
      <x:c r="B641" s="17" t="str">
        <x:v>中正區</x:v>
      </x:c>
      <x:c r="C641" s="17" t="str">
        <x:v>永昌公園</x:v>
      </x:c>
      <x:c r="D641" s="18" t="n">
        <x:v>26</x:v>
      </x:c>
      <x:c r="E641" s="18" t="n">
        <x:v>26</x:v>
      </x:c>
      <x:c r="F641" s="18" t="n">
        <x:v>470</x:v>
      </x:c>
      <x:c r="G641" s="18" t="n">
        <x:v>26</x:v>
      </x:c>
      <x:c r="H641" s="18" t="n">
        <x:v>37</x:v>
      </x:c>
      <x:c r="I641" s="18" t="n">
        <x:v>26</x:v>
      </x:c>
      <x:c r="J641" s="18" t="n">
        <x:v>79</x:v>
      </x:c>
      <x:c r="K641" s="18" t="n">
        <x:v>26</x:v>
      </x:c>
      <x:c r="L641" s="18" t="n">
        <x:v>16</x:v>
      </x:c>
      <x:c r="M641" s="18" t="n">
        <x:v>26</x:v>
      </x:c>
    </x:row>
    <x:row r="642">
      <x:c r="A642" s="22" t="str">
        <x:v>500106028</x:v>
      </x:c>
      <x:c r="B642" s="17" t="str">
        <x:v>中正區</x:v>
      </x:c>
      <x:c r="C642" s="17" t="str">
        <x:v>中華路二段409巷口</x:v>
      </x:c>
      <x:c r="D642" s="18" t="n">
        <x:v>26</x:v>
      </x:c>
      <x:c r="E642" s="18" t="n">
        <x:v>26</x:v>
      </x:c>
      <x:c r="F642" s="18" t="n">
        <x:v>315</x:v>
      </x:c>
      <x:c r="G642" s="18" t="n">
        <x:v>26</x:v>
      </x:c>
      <x:c r="H642" s="18" t="n">
        <x:v>53</x:v>
      </x:c>
      <x:c r="I642" s="18" t="n">
        <x:v>26</x:v>
      </x:c>
      <x:c r="J642" s="18" t="n">
        <x:v>97</x:v>
      </x:c>
      <x:c r="K642" s="18" t="n">
        <x:v>26</x:v>
      </x:c>
      <x:c r="L642" s="18" t="n">
        <x:v>15</x:v>
      </x:c>
      <x:c r="M642" s="18" t="n">
        <x:v>26</x:v>
      </x:c>
    </x:row>
    <x:row r="643">
      <x:c r="A643" s="22" t="str">
        <x:v>500106029</x:v>
      </x:c>
      <x:c r="B643" s="17" t="str">
        <x:v>中正區</x:v>
      </x:c>
      <x:c r="C643" s="17" t="str">
        <x:v>南機場夜市(中華路二段)</x:v>
      </x:c>
      <x:c r="D643" s="18" t="n">
        <x:v>26</x:v>
      </x:c>
      <x:c r="E643" s="18" t="n">
        <x:v>26</x:v>
      </x:c>
      <x:c r="F643" s="18" t="n">
        <x:v>285</x:v>
      </x:c>
      <x:c r="G643" s="18" t="n">
        <x:v>26</x:v>
      </x:c>
      <x:c r="H643" s="18" t="n">
        <x:v>44</x:v>
      </x:c>
      <x:c r="I643" s="18" t="n">
        <x:v>26</x:v>
      </x:c>
      <x:c r="J643" s="18" t="n">
        <x:v>113</x:v>
      </x:c>
      <x:c r="K643" s="18" t="n">
        <x:v>26</x:v>
      </x:c>
      <x:c r="L643" s="18" t="n">
        <x:v>16</x:v>
      </x:c>
      <x:c r="M643" s="18" t="n">
        <x:v>26</x:v>
      </x:c>
    </x:row>
    <x:row r="644">
      <x:c r="A644" s="22" t="str">
        <x:v>500106030</x:v>
      </x:c>
      <x:c r="B644" s="17" t="str">
        <x:v>中正區</x:v>
      </x:c>
      <x:c r="C644" s="17" t="str">
        <x:v>南海和平路口西南側</x:v>
      </x:c>
      <x:c r="D644" s="18" t="n">
        <x:v>26</x:v>
      </x:c>
      <x:c r="E644" s="18" t="n">
        <x:v>26</x:v>
      </x:c>
      <x:c r="F644" s="18" t="n">
        <x:v>146</x:v>
      </x:c>
      <x:c r="G644" s="18" t="n">
        <x:v>26</x:v>
      </x:c>
      <x:c r="H644" s="18" t="n">
        <x:v>24</x:v>
      </x:c>
      <x:c r="I644" s="18" t="n">
        <x:v>26</x:v>
      </x:c>
      <x:c r="J644" s="18" t="n">
        <x:v>212</x:v>
      </x:c>
      <x:c r="K644" s="18" t="n">
        <x:v>26</x:v>
      </x:c>
      <x:c r="L644" s="18" t="n">
        <x:v>28</x:v>
      </x:c>
      <x:c r="M644" s="18" t="n">
        <x:v>26</x:v>
      </x:c>
    </x:row>
    <x:row r="645">
      <x:c r="A645" s="22" t="str">
        <x:v>500106031</x:v>
      </x:c>
      <x:c r="B645" s="17" t="str">
        <x:v>中正區</x:v>
      </x:c>
      <x:c r="C645" s="17" t="str">
        <x:v>莒光和平路口</x:v>
      </x:c>
      <x:c r="D645" s="18" t="n">
        <x:v>26</x:v>
      </x:c>
      <x:c r="E645" s="18" t="n">
        <x:v>26</x:v>
      </x:c>
      <x:c r="F645" s="18" t="n">
        <x:v>222</x:v>
      </x:c>
      <x:c r="G645" s="18" t="n">
        <x:v>26</x:v>
      </x:c>
      <x:c r="H645" s="18" t="n">
        <x:v>29</x:v>
      </x:c>
      <x:c r="I645" s="18" t="n">
        <x:v>26</x:v>
      </x:c>
      <x:c r="J645" s="18" t="n">
        <x:v>127</x:v>
      </x:c>
      <x:c r="K645" s="18" t="n">
        <x:v>26</x:v>
      </x:c>
      <x:c r="L645" s="18" t="n">
        <x:v>25</x:v>
      </x:c>
      <x:c r="M645" s="18" t="n">
        <x:v>26</x:v>
      </x:c>
    </x:row>
    <x:row r="646">
      <x:c r="A646" s="22" t="str">
        <x:v>500106037</x:v>
      </x:c>
      <x:c r="B646" s="17" t="str">
        <x:v>中正區</x:v>
      </x:c>
      <x:c r="C646" s="17" t="str">
        <x:v>水源路11_1號旁</x:v>
      </x:c>
      <x:c r="D646" s="18" t="n">
        <x:v>26</x:v>
      </x:c>
      <x:c r="E646" s="18" t="n">
        <x:v>26</x:v>
      </x:c>
      <x:c r="F646" s="18" t="n">
        <x:v>529</x:v>
      </x:c>
      <x:c r="G646" s="18" t="n">
        <x:v>26</x:v>
      </x:c>
      <x:c r="H646" s="18" t="n">
        <x:v>63</x:v>
      </x:c>
      <x:c r="I646" s="18" t="n">
        <x:v>26</x:v>
      </x:c>
      <x:c r="J646" s="18" t="n">
        <x:v>102</x:v>
      </x:c>
      <x:c r="K646" s="18" t="n">
        <x:v>26</x:v>
      </x:c>
      <x:c r="L646" s="18" t="n">
        <x:v>14</x:v>
      </x:c>
      <x:c r="M646" s="18" t="n">
        <x:v>26</x:v>
      </x:c>
    </x:row>
    <x:row r="647">
      <x:c r="A647" s="22" t="str">
        <x:v>500106038</x:v>
      </x:c>
      <x:c r="B647" s="17" t="str">
        <x:v>中正區</x:v>
      </x:c>
      <x:c r="C647" s="17" t="str">
        <x:v>南門國中</x:v>
      </x:c>
      <x:c r="D647" s="18" t="n">
        <x:v>26</x:v>
      </x:c>
      <x:c r="E647" s="18" t="n">
        <x:v>26</x:v>
      </x:c>
      <x:c r="F647" s="18" t="n">
        <x:v>198</x:v>
      </x:c>
      <x:c r="G647" s="18" t="n">
        <x:v>26</x:v>
      </x:c>
      <x:c r="H647" s="18" t="n">
        <x:v>21</x:v>
      </x:c>
      <x:c r="I647" s="18" t="n">
        <x:v>26</x:v>
      </x:c>
      <x:c r="J647" s="18" t="n">
        <x:v>1077</x:v>
      </x:c>
      <x:c r="K647" s="18" t="n">
        <x:v>26</x:v>
      </x:c>
      <x:c r="L647" s="18" t="n">
        <x:v>64</x:v>
      </x:c>
      <x:c r="M647" s="18" t="n">
        <x:v>26</x:v>
      </x:c>
    </x:row>
    <x:row r="648">
      <x:c r="A648" s="22" t="str">
        <x:v>500106039</x:v>
      </x:c>
      <x:c r="B648" s="17" t="str">
        <x:v>中正區</x:v>
      </x:c>
      <x:c r="C648" s="17" t="str">
        <x:v>捷運小南門站(2號出口)</x:v>
      </x:c>
      <x:c r="D648" s="18" t="n">
        <x:v>26</x:v>
      </x:c>
      <x:c r="E648" s="18" t="n">
        <x:v>26</x:v>
      </x:c>
      <x:c r="F648" s="18" t="n">
        <x:v>173</x:v>
      </x:c>
      <x:c r="G648" s="18" t="n">
        <x:v>26</x:v>
      </x:c>
      <x:c r="H648" s="18" t="n">
        <x:v>29</x:v>
      </x:c>
      <x:c r="I648" s="18" t="n">
        <x:v>26</x:v>
      </x:c>
      <x:c r="J648" s="18" t="n">
        <x:v>463</x:v>
      </x:c>
      <x:c r="K648" s="18" t="n">
        <x:v>26</x:v>
      </x:c>
      <x:c r="L648" s="18" t="n">
        <x:v>68</x:v>
      </x:c>
      <x:c r="M648" s="18" t="n">
        <x:v>26</x:v>
      </x:c>
    </x:row>
    <x:row r="649">
      <x:c r="A649" s="22" t="str">
        <x:v>500106040</x:v>
      </x:c>
      <x:c r="B649" s="17" t="str">
        <x:v>中正區</x:v>
      </x:c>
      <x:c r="C649" s="17" t="str">
        <x:v>介壽公園</x:v>
      </x:c>
      <x:c r="D649" s="18" t="n">
        <x:v>26</x:v>
      </x:c>
      <x:c r="E649" s="18" t="n">
        <x:v>26</x:v>
      </x:c>
      <x:c r="F649" s="18" t="n">
        <x:v>156</x:v>
      </x:c>
      <x:c r="G649" s="18" t="n">
        <x:v>26</x:v>
      </x:c>
      <x:c r="H649" s="18" t="n">
        <x:v>10</x:v>
      </x:c>
      <x:c r="I649" s="18" t="n">
        <x:v>26</x:v>
      </x:c>
      <x:c r="J649" s="18" t="n">
        <x:v>846</x:v>
      </x:c>
      <x:c r="K649" s="18" t="n">
        <x:v>26</x:v>
      </x:c>
      <x:c r="L649" s="18" t="n">
        <x:v>44</x:v>
      </x:c>
      <x:c r="M649" s="18" t="n">
        <x:v>26</x:v>
      </x:c>
    </x:row>
    <x:row r="650">
      <x:c r="A650" s="22" t="str">
        <x:v>500106041</x:v>
      </x:c>
      <x:c r="B650" s="17" t="str">
        <x:v>中正區</x:v>
      </x:c>
      <x:c r="C650" s="17" t="str">
        <x:v>中華貴陽街口</x:v>
      </x:c>
      <x:c r="D650" s="18" t="n">
        <x:v>26</x:v>
      </x:c>
      <x:c r="E650" s="18" t="n">
        <x:v>26</x:v>
      </x:c>
      <x:c r="F650" s="18" t="n">
        <x:v>179</x:v>
      </x:c>
      <x:c r="G650" s="18" t="n">
        <x:v>26</x:v>
      </x:c>
      <x:c r="H650" s="18" t="n">
        <x:v>10</x:v>
      </x:c>
      <x:c r="I650" s="18" t="n">
        <x:v>26</x:v>
      </x:c>
      <x:c r="J650" s="18" t="n">
        <x:v>230</x:v>
      </x:c>
      <x:c r="K650" s="18" t="n">
        <x:v>26</x:v>
      </x:c>
      <x:c r="L650" s="18" t="n">
        <x:v>35</x:v>
      </x:c>
      <x:c r="M650" s="18" t="n">
        <x:v>26</x:v>
      </x:c>
    </x:row>
    <x:row r="651">
      <x:c r="A651" s="22" t="str">
        <x:v>500106042</x:v>
      </x:c>
      <x:c r="B651" s="17" t="str">
        <x:v>中正區</x:v>
      </x:c>
      <x:c r="C651" s="17" t="str">
        <x:v>華山文創園區</x:v>
      </x:c>
      <x:c r="D651" s="18" t="n">
        <x:v>26</x:v>
      </x:c>
      <x:c r="E651" s="18" t="n">
        <x:v>26</x:v>
      </x:c>
      <x:c r="F651" s="18" t="n">
        <x:v>158</x:v>
      </x:c>
      <x:c r="G651" s="18" t="n">
        <x:v>26</x:v>
      </x:c>
      <x:c r="H651" s="18" t="n">
        <x:v>14</x:v>
      </x:c>
      <x:c r="I651" s="18" t="n">
        <x:v>26</x:v>
      </x:c>
      <x:c r="J651" s="18" t="n">
        <x:v>639</x:v>
      </x:c>
      <x:c r="K651" s="18" t="n">
        <x:v>26</x:v>
      </x:c>
      <x:c r="L651" s="18" t="n">
        <x:v>100</x:v>
      </x:c>
      <x:c r="M651" s="18" t="n">
        <x:v>26</x:v>
      </x:c>
    </x:row>
    <x:row r="652">
      <x:c r="A652" s="22" t="str">
        <x:v>500106043</x:v>
      </x:c>
      <x:c r="B652" s="17" t="str">
        <x:v>中正區</x:v>
      </x:c>
      <x:c r="C652" s="17" t="str">
        <x:v>捷運善導寺站(1號出口)</x:v>
      </x:c>
      <x:c r="D652" s="18" t="n">
        <x:v>26</x:v>
      </x:c>
      <x:c r="E652" s="18" t="n">
        <x:v>26</x:v>
      </x:c>
      <x:c r="F652" s="18" t="n">
        <x:v>127</x:v>
      </x:c>
      <x:c r="G652" s="18" t="n">
        <x:v>26</x:v>
      </x:c>
      <x:c r="H652" s="18" t="n">
        <x:v>24</x:v>
      </x:c>
      <x:c r="I652" s="18" t="n">
        <x:v>26</x:v>
      </x:c>
      <x:c r="J652" s="18" t="n">
        <x:v>374</x:v>
      </x:c>
      <x:c r="K652" s="18" t="n">
        <x:v>26</x:v>
      </x:c>
      <x:c r="L652" s="18" t="n">
        <x:v>55</x:v>
      </x:c>
      <x:c r="M652" s="18" t="n">
        <x:v>26</x:v>
      </x:c>
    </x:row>
    <x:row r="653">
      <x:c r="A653" s="22" t="str">
        <x:v>500106044</x:v>
      </x:c>
      <x:c r="B653" s="17" t="str">
        <x:v>中正區</x:v>
      </x:c>
      <x:c r="C653" s="17" t="str">
        <x:v>濟南紹興路口</x:v>
      </x:c>
      <x:c r="D653" s="18" t="n">
        <x:v>26</x:v>
      </x:c>
      <x:c r="E653" s="18" t="n">
        <x:v>26</x:v>
      </x:c>
      <x:c r="F653" s="18" t="n">
        <x:v>95</x:v>
      </x:c>
      <x:c r="G653" s="18" t="n">
        <x:v>26</x:v>
      </x:c>
      <x:c r="H653" s="18" t="n">
        <x:v>44</x:v>
      </x:c>
      <x:c r="I653" s="18" t="n">
        <x:v>26</x:v>
      </x:c>
      <x:c r="J653" s="18" t="n">
        <x:v>272</x:v>
      </x:c>
      <x:c r="K653" s="18" t="n">
        <x:v>26</x:v>
      </x:c>
      <x:c r="L653" s="18" t="n">
        <x:v>101</x:v>
      </x:c>
      <x:c r="M653" s="18" t="n">
        <x:v>26</x:v>
      </x:c>
    </x:row>
    <x:row r="654">
      <x:c r="A654" s="22" t="str">
        <x:v>500106045</x:v>
      </x:c>
      <x:c r="B654" s="17" t="str">
        <x:v>中正區</x:v>
      </x:c>
      <x:c r="C654" s="17" t="str">
        <x:v>東門市場</x:v>
      </x:c>
      <x:c r="D654" s="18" t="n">
        <x:v>26</x:v>
      </x:c>
      <x:c r="E654" s="18" t="n">
        <x:v>26</x:v>
      </x:c>
      <x:c r="F654" s="18" t="n">
        <x:v>0</x:v>
      </x:c>
      <x:c r="G654" s="18" t="n">
        <x:v>26</x:v>
      </x:c>
      <x:c r="H654" s="18" t="n">
        <x:v>0</x:v>
      </x:c>
      <x:c r="I654" s="18" t="n">
        <x:v>26</x:v>
      </x:c>
      <x:c r="J654" s="18" t="n">
        <x:v>0</x:v>
      </x:c>
      <x:c r="K654" s="18" t="n">
        <x:v>26</x:v>
      </x:c>
      <x:c r="L654" s="18" t="n">
        <x:v>0</x:v>
      </x:c>
      <x:c r="M654" s="18" t="n">
        <x:v>26</x:v>
      </x:c>
    </x:row>
    <x:row r="655">
      <x:c r="A655" s="22" t="str">
        <x:v>500106046</x:v>
      </x:c>
      <x:c r="B655" s="17" t="str">
        <x:v>中正區</x:v>
      </x:c>
      <x:c r="C655" s="17" t="str">
        <x:v>林森仁愛路口</x:v>
      </x:c>
      <x:c r="D655" s="18" t="n">
        <x:v>26</x:v>
      </x:c>
      <x:c r="E655" s="18" t="n">
        <x:v>26</x:v>
      </x:c>
      <x:c r="F655" s="18" t="n">
        <x:v>80</x:v>
      </x:c>
      <x:c r="G655" s="18" t="n">
        <x:v>26</x:v>
      </x:c>
      <x:c r="H655" s="18" t="n">
        <x:v>7</x:v>
      </x:c>
      <x:c r="I655" s="18" t="n">
        <x:v>26</x:v>
      </x:c>
      <x:c r="J655" s="18" t="n">
        <x:v>517</x:v>
      </x:c>
      <x:c r="K655" s="18" t="n">
        <x:v>26</x:v>
      </x:c>
      <x:c r="L655" s="18" t="n">
        <x:v>60</x:v>
      </x:c>
      <x:c r="M655" s="18" t="n">
        <x:v>26</x:v>
      </x:c>
    </x:row>
    <x:row r="656">
      <x:c r="A656" s="22" t="str">
        <x:v>500106047</x:v>
      </x:c>
      <x:c r="B656" s="17" t="str">
        <x:v>中正區</x:v>
      </x:c>
      <x:c r="C656" s="17" t="str">
        <x:v>中正運動中心</x:v>
      </x:c>
      <x:c r="D656" s="18" t="n">
        <x:v>26</x:v>
      </x:c>
      <x:c r="E656" s="18" t="n">
        <x:v>26</x:v>
      </x:c>
      <x:c r="F656" s="18" t="n">
        <x:v>545</x:v>
      </x:c>
      <x:c r="G656" s="18" t="n">
        <x:v>26</x:v>
      </x:c>
      <x:c r="H656" s="18" t="n">
        <x:v>71</x:v>
      </x:c>
      <x:c r="I656" s="18" t="n">
        <x:v>26</x:v>
      </x:c>
      <x:c r="J656" s="18" t="n">
        <x:v>659</x:v>
      </x:c>
      <x:c r="K656" s="18" t="n">
        <x:v>26</x:v>
      </x:c>
      <x:c r="L656" s="18" t="n">
        <x:v>211</x:v>
      </x:c>
      <x:c r="M656" s="18" t="n">
        <x:v>26</x:v>
      </x:c>
    </x:row>
    <x:row r="657">
      <x:c r="A657" s="22" t="str">
        <x:v>500106048</x:v>
      </x:c>
      <x:c r="B657" s="17" t="str">
        <x:v>中正區</x:v>
      </x:c>
      <x:c r="C657" s="17" t="str">
        <x:v>信義杭州路口</x:v>
      </x:c>
      <x:c r="D657" s="18" t="n">
        <x:v>26</x:v>
      </x:c>
      <x:c r="E657" s="18" t="n">
        <x:v>26</x:v>
      </x:c>
      <x:c r="F657" s="18" t="n">
        <x:v>276</x:v>
      </x:c>
      <x:c r="G657" s="18" t="n">
        <x:v>26</x:v>
      </x:c>
      <x:c r="H657" s="18" t="n">
        <x:v>53</x:v>
      </x:c>
      <x:c r="I657" s="18" t="n">
        <x:v>26</x:v>
      </x:c>
      <x:c r="J657" s="18" t="n">
        <x:v>627</x:v>
      </x:c>
      <x:c r="K657" s="18" t="n">
        <x:v>26</x:v>
      </x:c>
      <x:c r="L657" s="18" t="n">
        <x:v>75</x:v>
      </x:c>
      <x:c r="M657" s="18" t="n">
        <x:v>26</x:v>
      </x:c>
    </x:row>
    <x:row r="658">
      <x:c r="A658" s="22" t="str">
        <x:v>500106049</x:v>
      </x:c>
      <x:c r="B658" s="17" t="str">
        <x:v>中正區</x:v>
      </x:c>
      <x:c r="C658" s="17" t="str">
        <x:v>捷運善導寺站(3號出口)</x:v>
      </x:c>
      <x:c r="D658" s="18" t="n">
        <x:v>26</x:v>
      </x:c>
      <x:c r="E658" s="18" t="n">
        <x:v>26</x:v>
      </x:c>
      <x:c r="F658" s="18" t="n">
        <x:v>84</x:v>
      </x:c>
      <x:c r="G658" s="18" t="n">
        <x:v>26</x:v>
      </x:c>
      <x:c r="H658" s="18" t="n">
        <x:v>16</x:v>
      </x:c>
      <x:c r="I658" s="18" t="n">
        <x:v>26</x:v>
      </x:c>
      <x:c r="J658" s="18" t="n">
        <x:v>259</x:v>
      </x:c>
      <x:c r="K658" s="18" t="n">
        <x:v>26</x:v>
      </x:c>
      <x:c r="L658" s="18" t="n">
        <x:v>32</x:v>
      </x:c>
      <x:c r="M658" s="18" t="n">
        <x:v>26</x:v>
      </x:c>
    </x:row>
    <x:row r="659">
      <x:c r="A659" s="22" t="str">
        <x:v>500106050</x:v>
      </x:c>
      <x:c r="B659" s="17" t="str">
        <x:v>中正區</x:v>
      </x:c>
      <x:c r="C659" s="17" t="str">
        <x:v>捷運小南門站(1號出口)</x:v>
      </x:c>
      <x:c r="D659" s="18" t="n">
        <x:v>26</x:v>
      </x:c>
      <x:c r="E659" s="18" t="n">
        <x:v>26</x:v>
      </x:c>
      <x:c r="F659" s="18" t="n">
        <x:v>241</x:v>
      </x:c>
      <x:c r="G659" s="18" t="n">
        <x:v>26</x:v>
      </x:c>
      <x:c r="H659" s="18" t="n">
        <x:v>17</x:v>
      </x:c>
      <x:c r="I659" s="18" t="n">
        <x:v>26</x:v>
      </x:c>
      <x:c r="J659" s="18" t="n">
        <x:v>618</x:v>
      </x:c>
      <x:c r="K659" s="18" t="n">
        <x:v>26</x:v>
      </x:c>
      <x:c r="L659" s="18" t="n">
        <x:v>69</x:v>
      </x:c>
      <x:c r="M659" s="18" t="n">
        <x:v>26</x:v>
      </x:c>
    </x:row>
    <x:row r="660">
      <x:c r="A660" s="22" t="str">
        <x:v>500106051</x:v>
      </x:c>
      <x:c r="B660" s="17" t="str">
        <x:v>中正區</x:v>
      </x:c>
      <x:c r="C660" s="17" t="str">
        <x:v>延平南路133巷口</x:v>
      </x:c>
      <x:c r="D660" s="18" t="n">
        <x:v>26</x:v>
      </x:c>
      <x:c r="E660" s="18" t="n">
        <x:v>26</x:v>
      </x:c>
      <x:c r="F660" s="18" t="n">
        <x:v>103</x:v>
      </x:c>
      <x:c r="G660" s="18" t="n">
        <x:v>26</x:v>
      </x:c>
      <x:c r="H660" s="18" t="n">
        <x:v>25</x:v>
      </x:c>
      <x:c r="I660" s="18" t="n">
        <x:v>26</x:v>
      </x:c>
      <x:c r="J660" s="18" t="n">
        <x:v>564</x:v>
      </x:c>
      <x:c r="K660" s="18" t="n">
        <x:v>26</x:v>
      </x:c>
      <x:c r="L660" s="18" t="n">
        <x:v>121</x:v>
      </x:c>
      <x:c r="M660" s="18" t="n">
        <x:v>26</x:v>
      </x:c>
    </x:row>
    <x:row r="661">
      <x:c r="A661" s="22" t="str">
        <x:v>500106052</x:v>
      </x:c>
      <x:c r="B661" s="17" t="str">
        <x:v>中正區</x:v>
      </x:c>
      <x:c r="C661" s="17" t="str">
        <x:v>捷運西門站(2號出口)</x:v>
      </x:c>
      <x:c r="D661" s="18" t="n">
        <x:v>26</x:v>
      </x:c>
      <x:c r="E661" s="18" t="n">
        <x:v>26</x:v>
      </x:c>
      <x:c r="F661" s="18" t="n">
        <x:v>316</x:v>
      </x:c>
      <x:c r="G661" s="18" t="n">
        <x:v>26</x:v>
      </x:c>
      <x:c r="H661" s="18" t="n">
        <x:v>36</x:v>
      </x:c>
      <x:c r="I661" s="18" t="n">
        <x:v>26</x:v>
      </x:c>
      <x:c r="J661" s="18" t="n">
        <x:v>281</x:v>
      </x:c>
      <x:c r="K661" s="18" t="n">
        <x:v>26</x:v>
      </x:c>
      <x:c r="L661" s="18" t="n">
        <x:v>35</x:v>
      </x:c>
      <x:c r="M661" s="18" t="n">
        <x:v>26</x:v>
      </x:c>
    </x:row>
    <x:row r="662">
      <x:c r="A662" s="22" t="str">
        <x:v>500106053</x:v>
      </x:c>
      <x:c r="B662" s="17" t="str">
        <x:v>中正區</x:v>
      </x:c>
      <x:c r="C662" s="17" t="str">
        <x:v>寶慶博愛路口</x:v>
      </x:c>
      <x:c r="D662" s="18" t="n">
        <x:v>26</x:v>
      </x:c>
      <x:c r="E662" s="18" t="n">
        <x:v>26</x:v>
      </x:c>
      <x:c r="F662" s="18" t="n">
        <x:v>101</x:v>
      </x:c>
      <x:c r="G662" s="18" t="n">
        <x:v>26</x:v>
      </x:c>
      <x:c r="H662" s="18" t="n">
        <x:v>29</x:v>
      </x:c>
      <x:c r="I662" s="18" t="n">
        <x:v>26</x:v>
      </x:c>
      <x:c r="J662" s="18" t="n">
        <x:v>984</x:v>
      </x:c>
      <x:c r="K662" s="18" t="n">
        <x:v>26</x:v>
      </x:c>
      <x:c r="L662" s="18" t="n">
        <x:v>62</x:v>
      </x:c>
      <x:c r="M662" s="18" t="n">
        <x:v>26</x:v>
      </x:c>
    </x:row>
    <x:row r="663">
      <x:c r="A663" s="22" t="str">
        <x:v>500106054</x:v>
      </x:c>
      <x:c r="B663" s="17" t="str">
        <x:v>中正區</x:v>
      </x:c>
      <x:c r="C663" s="17" t="str">
        <x:v>法務部</x:v>
      </x:c>
      <x:c r="D663" s="18" t="n">
        <x:v>26</x:v>
      </x:c>
      <x:c r="E663" s="18" t="n">
        <x:v>26</x:v>
      </x:c>
      <x:c r="F663" s="18" t="n">
        <x:v>113</x:v>
      </x:c>
      <x:c r="G663" s="18" t="n">
        <x:v>26</x:v>
      </x:c>
      <x:c r="H663" s="18" t="n">
        <x:v>16</x:v>
      </x:c>
      <x:c r="I663" s="18" t="n">
        <x:v>26</x:v>
      </x:c>
      <x:c r="J663" s="18" t="n">
        <x:v>1219</x:v>
      </x:c>
      <x:c r="K663" s="18" t="n">
        <x:v>26</x:v>
      </x:c>
      <x:c r="L663" s="18" t="n">
        <x:v>71</x:v>
      </x:c>
      <x:c r="M663" s="18" t="n">
        <x:v>26</x:v>
      </x:c>
    </x:row>
    <x:row r="664">
      <x:c r="A664" s="22" t="str">
        <x:v>500106055</x:v>
      </x:c>
      <x:c r="B664" s="17" t="str">
        <x:v>中正區</x:v>
      </x:c>
      <x:c r="C664" s="17" t="str">
        <x:v>臺北市立大學(博愛校區)</x:v>
      </x:c>
      <x:c r="D664" s="18" t="n">
        <x:v>26</x:v>
      </x:c>
      <x:c r="E664" s="18" t="n">
        <x:v>26</x:v>
      </x:c>
      <x:c r="F664" s="18" t="n">
        <x:v>262</x:v>
      </x:c>
      <x:c r="G664" s="18" t="n">
        <x:v>26</x:v>
      </x:c>
      <x:c r="H664" s="18" t="n">
        <x:v>20</x:v>
      </x:c>
      <x:c r="I664" s="18" t="n">
        <x:v>26</x:v>
      </x:c>
      <x:c r="J664" s="18" t="n">
        <x:v>1120</x:v>
      </x:c>
      <x:c r="K664" s="18" t="n">
        <x:v>26</x:v>
      </x:c>
      <x:c r="L664" s="18" t="n">
        <x:v>106</x:v>
      </x:c>
      <x:c r="M664" s="18" t="n">
        <x:v>26</x:v>
      </x:c>
    </x:row>
    <x:row r="665">
      <x:c r="A665" s="22" t="str">
        <x:v>500106056</x:v>
      </x:c>
      <x:c r="B665" s="17" t="str">
        <x:v>中正區</x:v>
      </x:c>
      <x:c r="C665" s="17" t="str">
        <x:v>國家圖書館</x:v>
      </x:c>
      <x:c r="D665" s="18" t="n">
        <x:v>26</x:v>
      </x:c>
      <x:c r="E665" s="18" t="n">
        <x:v>26</x:v>
      </x:c>
      <x:c r="F665" s="18" t="n">
        <x:v>110</x:v>
      </x:c>
      <x:c r="G665" s="18" t="n">
        <x:v>26</x:v>
      </x:c>
      <x:c r="H665" s="18" t="n">
        <x:v>13</x:v>
      </x:c>
      <x:c r="I665" s="18" t="n">
        <x:v>26</x:v>
      </x:c>
      <x:c r="J665" s="18" t="n">
        <x:v>1210</x:v>
      </x:c>
      <x:c r="K665" s="18" t="n">
        <x:v>26</x:v>
      </x:c>
      <x:c r="L665" s="18" t="n">
        <x:v>84</x:v>
      </x:c>
      <x:c r="M665" s="18" t="n">
        <x:v>26</x:v>
      </x:c>
    </x:row>
    <x:row r="666">
      <x:c r="A666" s="22" t="str">
        <x:v>500106057</x:v>
      </x:c>
      <x:c r="B666" s="17" t="str">
        <x:v>中正區</x:v>
      </x:c>
      <x:c r="C666" s="17" t="str">
        <x:v>市民金山路口</x:v>
      </x:c>
      <x:c r="D666" s="18" t="n">
        <x:v>26</x:v>
      </x:c>
      <x:c r="E666" s="18" t="n">
        <x:v>26</x:v>
      </x:c>
      <x:c r="F666" s="18" t="n">
        <x:v>171</x:v>
      </x:c>
      <x:c r="G666" s="18" t="n">
        <x:v>26</x:v>
      </x:c>
      <x:c r="H666" s="18" t="n">
        <x:v>46</x:v>
      </x:c>
      <x:c r="I666" s="18" t="n">
        <x:v>26</x:v>
      </x:c>
      <x:c r="J666" s="18" t="n">
        <x:v>472</x:v>
      </x:c>
      <x:c r="K666" s="18" t="n">
        <x:v>26</x:v>
      </x:c>
      <x:c r="L666" s="18" t="n">
        <x:v>105</x:v>
      </x:c>
      <x:c r="M666" s="18" t="n">
        <x:v>26</x:v>
      </x:c>
    </x:row>
    <x:row r="667">
      <x:c r="A667" s="22" t="str">
        <x:v>500106058</x:v>
      </x:c>
      <x:c r="B667" s="17" t="str">
        <x:v>中正區</x:v>
      </x:c>
      <x:c r="C667" s="17" t="str">
        <x:v>聯合醫院和平院區</x:v>
      </x:c>
      <x:c r="D667" s="18" t="n">
        <x:v>26</x:v>
      </x:c>
      <x:c r="E667" s="18" t="n">
        <x:v>26</x:v>
      </x:c>
      <x:c r="F667" s="18" t="n">
        <x:v>133</x:v>
      </x:c>
      <x:c r="G667" s="18" t="n">
        <x:v>26</x:v>
      </x:c>
      <x:c r="H667" s="18" t="n">
        <x:v>31</x:v>
      </x:c>
      <x:c r="I667" s="18" t="n">
        <x:v>26</x:v>
      </x:c>
      <x:c r="J667" s="18" t="n">
        <x:v>335</x:v>
      </x:c>
      <x:c r="K667" s="18" t="n">
        <x:v>26</x:v>
      </x:c>
      <x:c r="L667" s="18" t="n">
        <x:v>50</x:v>
      </x:c>
      <x:c r="M667" s="18" t="n">
        <x:v>26</x:v>
      </x:c>
    </x:row>
    <x:row r="668">
      <x:c r="A668" s="22" t="str">
        <x:v>500106059</x:v>
      </x:c>
      <x:c r="B668" s="17" t="str">
        <x:v>中正區</x:v>
      </x:c>
      <x:c r="C668" s="17" t="str">
        <x:v>中山堂</x:v>
      </x:c>
      <x:c r="D668" s="18" t="n">
        <x:v>26</x:v>
      </x:c>
      <x:c r="E668" s="18" t="n">
        <x:v>26</x:v>
      </x:c>
      <x:c r="F668" s="18" t="n">
        <x:v>101</x:v>
      </x:c>
      <x:c r="G668" s="18" t="n">
        <x:v>26</x:v>
      </x:c>
      <x:c r="H668" s="18" t="n">
        <x:v>37</x:v>
      </x:c>
      <x:c r="I668" s="18" t="n">
        <x:v>26</x:v>
      </x:c>
      <x:c r="J668" s="18" t="n">
        <x:v>1240</x:v>
      </x:c>
      <x:c r="K668" s="18" t="n">
        <x:v>26</x:v>
      </x:c>
      <x:c r="L668" s="18" t="n">
        <x:v>92</x:v>
      </x:c>
      <x:c r="M668" s="18" t="n">
        <x:v>26</x:v>
      </x:c>
    </x:row>
    <x:row r="669">
      <x:c r="A669" s="22" t="str">
        <x:v>500106060</x:v>
      </x:c>
      <x:c r="B669" s="17" t="str">
        <x:v>中正區</x:v>
      </x:c>
      <x:c r="C669" s="17" t="str">
        <x:v>中華漢口街口</x:v>
      </x:c>
      <x:c r="D669" s="18" t="n">
        <x:v>26</x:v>
      </x:c>
      <x:c r="E669" s="18" t="n">
        <x:v>26</x:v>
      </x:c>
      <x:c r="F669" s="18" t="n">
        <x:v>94</x:v>
      </x:c>
      <x:c r="G669" s="18" t="n">
        <x:v>26</x:v>
      </x:c>
      <x:c r="H669" s="18" t="n">
        <x:v>18</x:v>
      </x:c>
      <x:c r="I669" s="18" t="n">
        <x:v>26</x:v>
      </x:c>
      <x:c r="J669" s="18" t="n">
        <x:v>301</x:v>
      </x:c>
      <x:c r="K669" s="18" t="n">
        <x:v>26</x:v>
      </x:c>
      <x:c r="L669" s="18" t="n">
        <x:v>63</x:v>
      </x:c>
      <x:c r="M669" s="18" t="n">
        <x:v>26</x:v>
      </x:c>
    </x:row>
    <x:row r="670">
      <x:c r="A670" s="22" t="str">
        <x:v>500106061</x:v>
      </x:c>
      <x:c r="B670" s="17" t="str">
        <x:v>中正區</x:v>
      </x:c>
      <x:c r="C670" s="17" t="str">
        <x:v>中華路一段21巷口</x:v>
      </x:c>
      <x:c r="D670" s="18" t="n">
        <x:v>26</x:v>
      </x:c>
      <x:c r="E670" s="18" t="n">
        <x:v>26</x:v>
      </x:c>
      <x:c r="F670" s="18" t="n">
        <x:v>90</x:v>
      </x:c>
      <x:c r="G670" s="18" t="n">
        <x:v>26</x:v>
      </x:c>
      <x:c r="H670" s="18" t="n">
        <x:v>27</x:v>
      </x:c>
      <x:c r="I670" s="18" t="n">
        <x:v>26</x:v>
      </x:c>
      <x:c r="J670" s="18" t="n">
        <x:v>211</x:v>
      </x:c>
      <x:c r="K670" s="18" t="n">
        <x:v>26</x:v>
      </x:c>
      <x:c r="L670" s="18" t="n">
        <x:v>54</x:v>
      </x:c>
      <x:c r="M670" s="18" t="n">
        <x:v>26</x:v>
      </x:c>
    </x:row>
    <x:row r="671">
      <x:c r="A671" s="22" t="str">
        <x:v>500106062</x:v>
      </x:c>
      <x:c r="B671" s="17" t="str">
        <x:v>中正區</x:v>
      </x:c>
      <x:c r="C671" s="17" t="str">
        <x:v>捷運臺大醫院站(4號出口)</x:v>
      </x:c>
      <x:c r="D671" s="18" t="n">
        <x:v>26</x:v>
      </x:c>
      <x:c r="E671" s="18" t="n">
        <x:v>26</x:v>
      </x:c>
      <x:c r="F671" s="18" t="n">
        <x:v>107</x:v>
      </x:c>
      <x:c r="G671" s="18" t="n">
        <x:v>26</x:v>
      </x:c>
      <x:c r="H671" s="18" t="n">
        <x:v>62</x:v>
      </x:c>
      <x:c r="I671" s="18" t="n">
        <x:v>26</x:v>
      </x:c>
      <x:c r="J671" s="18" t="n">
        <x:v>760</x:v>
      </x:c>
      <x:c r="K671" s="18" t="n">
        <x:v>26</x:v>
      </x:c>
      <x:c r="L671" s="18" t="n">
        <x:v>116</x:v>
      </x:c>
      <x:c r="M671" s="18" t="n">
        <x:v>26</x:v>
      </x:c>
    </x:row>
    <x:row r="672">
      <x:c r="A672" s="22" t="str">
        <x:v>500106063</x:v>
      </x:c>
      <x:c r="B672" s="17" t="str">
        <x:v>中正區</x:v>
      </x:c>
      <x:c r="C672" s="17" t="str">
        <x:v>寶藏巖觀音亭</x:v>
      </x:c>
      <x:c r="D672" s="18" t="n">
        <x:v>26</x:v>
      </x:c>
      <x:c r="E672" s="18" t="n">
        <x:v>26</x:v>
      </x:c>
      <x:c r="F672" s="18" t="n">
        <x:v>162</x:v>
      </x:c>
      <x:c r="G672" s="18" t="n">
        <x:v>26</x:v>
      </x:c>
      <x:c r="H672" s="18" t="n">
        <x:v>41</x:v>
      </x:c>
      <x:c r="I672" s="18" t="n">
        <x:v>26</x:v>
      </x:c>
      <x:c r="J672" s="18" t="n">
        <x:v>147</x:v>
      </x:c>
      <x:c r="K672" s="18" t="n">
        <x:v>26</x:v>
      </x:c>
      <x:c r="L672" s="18" t="n">
        <x:v>39</x:v>
      </x:c>
      <x:c r="M672" s="18" t="n">
        <x:v>26</x:v>
      </x:c>
    </x:row>
    <x:row r="673">
      <x:c r="A673" s="22" t="str">
        <x:v>500106064</x:v>
      </x:c>
      <x:c r="B673" s="17" t="str">
        <x:v>中正區</x:v>
      </x:c>
      <x:c r="C673" s="17" t="str">
        <x:v>師大水源路口</x:v>
      </x:c>
      <x:c r="D673" s="18" t="n">
        <x:v>26</x:v>
      </x:c>
      <x:c r="E673" s="18" t="n">
        <x:v>26</x:v>
      </x:c>
      <x:c r="F673" s="18" t="n">
        <x:v>570</x:v>
      </x:c>
      <x:c r="G673" s="18" t="n">
        <x:v>26</x:v>
      </x:c>
      <x:c r="H673" s="18" t="n">
        <x:v>63</x:v>
      </x:c>
      <x:c r="I673" s="18" t="n">
        <x:v>26</x:v>
      </x:c>
      <x:c r="J673" s="18" t="n">
        <x:v>104</x:v>
      </x:c>
      <x:c r="K673" s="18" t="n">
        <x:v>26</x:v>
      </x:c>
      <x:c r="L673" s="18" t="n">
        <x:v>22</x:v>
      </x:c>
      <x:c r="M673" s="18" t="n">
        <x:v>26</x:v>
      </x:c>
    </x:row>
    <x:row r="674">
      <x:c r="A674" s="22" t="str">
        <x:v>500106065</x:v>
      </x:c>
      <x:c r="B674" s="17" t="str">
        <x:v>中正區</x:v>
      </x:c>
      <x:c r="C674" s="17" t="str">
        <x:v>中山徐州路口</x:v>
      </x:c>
      <x:c r="D674" s="18" t="n">
        <x:v>26</x:v>
      </x:c>
      <x:c r="E674" s="18" t="n">
        <x:v>26</x:v>
      </x:c>
      <x:c r="F674" s="18" t="n">
        <x:v>187</x:v>
      </x:c>
      <x:c r="G674" s="18" t="n">
        <x:v>26</x:v>
      </x:c>
      <x:c r="H674" s="18" t="n">
        <x:v>20</x:v>
      </x:c>
      <x:c r="I674" s="18" t="n">
        <x:v>26</x:v>
      </x:c>
      <x:c r="J674" s="18" t="n">
        <x:v>2763</x:v>
      </x:c>
      <x:c r="K674" s="18" t="n">
        <x:v>26</x:v>
      </x:c>
      <x:c r="L674" s="18" t="n">
        <x:v>86</x:v>
      </x:c>
      <x:c r="M674" s="18" t="n">
        <x:v>26</x:v>
      </x:c>
    </x:row>
    <x:row r="675">
      <x:c r="A675" s="22" t="str">
        <x:v>500106066</x:v>
      </x:c>
      <x:c r="B675" s="17" t="str">
        <x:v>中正區</x:v>
      </x:c>
      <x:c r="C675" s="17" t="str">
        <x:v>信義連雲街口</x:v>
      </x:c>
      <x:c r="D675" s="18" t="n">
        <x:v>26</x:v>
      </x:c>
      <x:c r="E675" s="18" t="n">
        <x:v>26</x:v>
      </x:c>
      <x:c r="F675" s="18" t="n">
        <x:v>495</x:v>
      </x:c>
      <x:c r="G675" s="18" t="n">
        <x:v>26</x:v>
      </x:c>
      <x:c r="H675" s="18" t="n">
        <x:v>62</x:v>
      </x:c>
      <x:c r="I675" s="18" t="n">
        <x:v>26</x:v>
      </x:c>
      <x:c r="J675" s="18" t="n">
        <x:v>234</x:v>
      </x:c>
      <x:c r="K675" s="18" t="n">
        <x:v>26</x:v>
      </x:c>
      <x:c r="L675" s="18" t="n">
        <x:v>36</x:v>
      </x:c>
      <x:c r="M675" s="18" t="n">
        <x:v>26</x:v>
      </x:c>
    </x:row>
    <x:row r="676">
      <x:c r="A676" s="22" t="str">
        <x:v>500106067</x:v>
      </x:c>
      <x:c r="B676" s="17" t="str">
        <x:v>中正區</x:v>
      </x:c>
      <x:c r="C676" s="17" t="str">
        <x:v>臺北轉運站</x:v>
      </x:c>
      <x:c r="D676" s="18" t="n">
        <x:v>26</x:v>
      </x:c>
      <x:c r="E676" s="18" t="n">
        <x:v>26</x:v>
      </x:c>
      <x:c r="F676" s="18" t="n">
        <x:v>739</x:v>
      </x:c>
      <x:c r="G676" s="18" t="n">
        <x:v>26</x:v>
      </x:c>
      <x:c r="H676" s="18" t="n">
        <x:v>86</x:v>
      </x:c>
      <x:c r="I676" s="18" t="n">
        <x:v>26</x:v>
      </x:c>
      <x:c r="J676" s="18" t="n">
        <x:v>645</x:v>
      </x:c>
      <x:c r="K676" s="18" t="n">
        <x:v>26</x:v>
      </x:c>
      <x:c r="L676" s="18" t="n">
        <x:v>85</x:v>
      </x:c>
      <x:c r="M676" s="18" t="n">
        <x:v>26</x:v>
      </x:c>
    </x:row>
    <x:row r="677">
      <x:c r="A677" s="22" t="str">
        <x:v>500106068</x:v>
      </x:c>
      <x:c r="B677" s="17" t="str">
        <x:v>中正區</x:v>
      </x:c>
      <x:c r="C677" s="17" t="str">
        <x:v>莒光大埔街口</x:v>
      </x:c>
      <x:c r="D677" s="18" t="n">
        <x:v>26</x:v>
      </x:c>
      <x:c r="E677" s="18" t="n">
        <x:v>26</x:v>
      </x:c>
      <x:c r="F677" s="18" t="n">
        <x:v>400</x:v>
      </x:c>
      <x:c r="G677" s="18" t="n">
        <x:v>26</x:v>
      </x:c>
      <x:c r="H677" s="18" t="n">
        <x:v>54</x:v>
      </x:c>
      <x:c r="I677" s="18" t="n">
        <x:v>26</x:v>
      </x:c>
      <x:c r="J677" s="18" t="n">
        <x:v>78</x:v>
      </x:c>
      <x:c r="K677" s="18" t="n">
        <x:v>26</x:v>
      </x:c>
      <x:c r="L677" s="18" t="n">
        <x:v>24</x:v>
      </x:c>
      <x:c r="M677" s="18" t="n">
        <x:v>26</x:v>
      </x:c>
    </x:row>
    <x:row r="678">
      <x:c r="A678" s="22" t="str">
        <x:v>500106069</x:v>
      </x:c>
      <x:c r="B678" s="17" t="str">
        <x:v>中正區</x:v>
      </x:c>
      <x:c r="C678" s="17" t="str">
        <x:v>捷運忠孝新生站(2號出口)</x:v>
      </x:c>
      <x:c r="D678" s="18" t="n">
        <x:v>26</x:v>
      </x:c>
      <x:c r="E678" s="18" t="n">
        <x:v>26</x:v>
      </x:c>
      <x:c r="F678" s="18" t="n">
        <x:v>370</x:v>
      </x:c>
      <x:c r="G678" s="18" t="n">
        <x:v>26</x:v>
      </x:c>
      <x:c r="H678" s="18" t="n">
        <x:v>57</x:v>
      </x:c>
      <x:c r="I678" s="18" t="n">
        <x:v>26</x:v>
      </x:c>
      <x:c r="J678" s="18" t="n">
        <x:v>214</x:v>
      </x:c>
      <x:c r="K678" s="18" t="n">
        <x:v>26</x:v>
      </x:c>
      <x:c r="L678" s="18" t="n">
        <x:v>39</x:v>
      </x:c>
      <x:c r="M678" s="18" t="n">
        <x:v>26</x:v>
      </x:c>
    </x:row>
    <x:row r="679">
      <x:c r="A679" s="22" t="str">
        <x:v>500106070</x:v>
      </x:c>
      <x:c r="B679" s="17" t="str">
        <x:v>中正區</x:v>
      </x:c>
      <x:c r="C679" s="17" t="str">
        <x:v>光華商場</x:v>
      </x:c>
      <x:c r="D679" s="18" t="n">
        <x:v>26</x:v>
      </x:c>
      <x:c r="E679" s="18" t="n">
        <x:v>26</x:v>
      </x:c>
      <x:c r="F679" s="18" t="n">
        <x:v>75</x:v>
      </x:c>
      <x:c r="G679" s="18" t="n">
        <x:v>26</x:v>
      </x:c>
      <x:c r="H679" s="18" t="n">
        <x:v>15</x:v>
      </x:c>
      <x:c r="I679" s="18" t="n">
        <x:v>26</x:v>
      </x:c>
      <x:c r="J679" s="18" t="n">
        <x:v>950</x:v>
      </x:c>
      <x:c r="K679" s="18" t="n">
        <x:v>26</x:v>
      </x:c>
      <x:c r="L679" s="18" t="n">
        <x:v>125</x:v>
      </x:c>
      <x:c r="M679" s="18" t="n">
        <x:v>26</x:v>
      </x:c>
    </x:row>
    <x:row r="680">
      <x:c r="A680" s="22" t="str">
        <x:v>500106071</x:v>
      </x:c>
      <x:c r="B680" s="17" t="str">
        <x:v>中正區</x:v>
      </x:c>
      <x:c r="C680" s="17" t="str">
        <x:v>中山青島路口</x:v>
      </x:c>
      <x:c r="D680" s="18" t="n">
        <x:v>26</x:v>
      </x:c>
      <x:c r="E680" s="18" t="n">
        <x:v>26</x:v>
      </x:c>
      <x:c r="F680" s="18" t="n">
        <x:v>99</x:v>
      </x:c>
      <x:c r="G680" s="18" t="n">
        <x:v>26</x:v>
      </x:c>
      <x:c r="H680" s="18" t="n">
        <x:v>31</x:v>
      </x:c>
      <x:c r="I680" s="18" t="n">
        <x:v>26</x:v>
      </x:c>
      <x:c r="J680" s="18" t="n">
        <x:v>759</x:v>
      </x:c>
      <x:c r="K680" s="18" t="n">
        <x:v>26</x:v>
      </x:c>
      <x:c r="L680" s="18" t="n">
        <x:v>77</x:v>
      </x:c>
      <x:c r="M680" s="18" t="n">
        <x:v>26</x:v>
      </x:c>
    </x:row>
    <x:row r="681">
      <x:c r="A681" s="22" t="str">
        <x:v>500106072</x:v>
      </x:c>
      <x:c r="B681" s="17" t="str">
        <x:v>中正區</x:v>
      </x:c>
      <x:c r="C681" s="17" t="str">
        <x:v>捷運中正紀念堂站(5號出口)</x:v>
      </x:c>
      <x:c r="D681" s="18" t="n">
        <x:v>26</x:v>
      </x:c>
      <x:c r="E681" s="18" t="n">
        <x:v>26</x:v>
      </x:c>
      <x:c r="F681" s="18" t="n">
        <x:v>113</x:v>
      </x:c>
      <x:c r="G681" s="18" t="n">
        <x:v>26</x:v>
      </x:c>
      <x:c r="H681" s="18" t="n">
        <x:v>14</x:v>
      </x:c>
      <x:c r="I681" s="18" t="n">
        <x:v>26</x:v>
      </x:c>
      <x:c r="J681" s="18" t="n">
        <x:v>136</x:v>
      </x:c>
      <x:c r="K681" s="18" t="n">
        <x:v>26</x:v>
      </x:c>
      <x:c r="L681" s="18" t="n">
        <x:v>39</x:v>
      </x:c>
      <x:c r="M681" s="18" t="n">
        <x:v>26</x:v>
      </x:c>
    </x:row>
    <x:row r="682">
      <x:c r="A682" s="22" t="str">
        <x:v>500106073</x:v>
      </x:c>
      <x:c r="B682" s="17" t="str">
        <x:v>中正區</x:v>
      </x:c>
      <x:c r="C682" s="17" t="str">
        <x:v>北平東杭州北路口</x:v>
      </x:c>
      <x:c r="D682" s="18" t="n">
        <x:v>26</x:v>
      </x:c>
      <x:c r="E682" s="18" t="n">
        <x:v>26</x:v>
      </x:c>
      <x:c r="F682" s="18" t="n">
        <x:v>149</x:v>
      </x:c>
      <x:c r="G682" s="18" t="n">
        <x:v>26</x:v>
      </x:c>
      <x:c r="H682" s="18" t="n">
        <x:v>53</x:v>
      </x:c>
      <x:c r="I682" s="18" t="n">
        <x:v>26</x:v>
      </x:c>
      <x:c r="J682" s="18" t="n">
        <x:v>459</x:v>
      </x:c>
      <x:c r="K682" s="18" t="n">
        <x:v>26</x:v>
      </x:c>
      <x:c r="L682" s="18" t="n">
        <x:v>56</x:v>
      </x:c>
      <x:c r="M682" s="18" t="n">
        <x:v>26</x:v>
      </x:c>
    </x:row>
    <x:row r="683">
      <x:c r="A683" s="22" t="str">
        <x:v>500106074</x:v>
      </x:c>
      <x:c r="B683" s="17" t="str">
        <x:v>中正區</x:v>
      </x:c>
      <x:c r="C683" s="17" t="str">
        <x:v>王貫英先生紀念圖書館</x:v>
      </x:c>
      <x:c r="D683" s="18" t="n">
        <x:v>26</x:v>
      </x:c>
      <x:c r="E683" s="18" t="n">
        <x:v>26</x:v>
      </x:c>
      <x:c r="F683" s="18" t="n">
        <x:v>287</x:v>
      </x:c>
      <x:c r="G683" s="18" t="n">
        <x:v>26</x:v>
      </x:c>
      <x:c r="H683" s="18" t="n">
        <x:v>24</x:v>
      </x:c>
      <x:c r="I683" s="18" t="n">
        <x:v>26</x:v>
      </x:c>
      <x:c r="J683" s="18" t="n">
        <x:v>81</x:v>
      </x:c>
      <x:c r="K683" s="18" t="n">
        <x:v>26</x:v>
      </x:c>
      <x:c r="L683" s="18" t="n">
        <x:v>19</x:v>
      </x:c>
      <x:c r="M683" s="18" t="n">
        <x:v>26</x:v>
      </x:c>
    </x:row>
    <x:row r="684">
      <x:c r="A684" s="22" t="str">
        <x:v>500106075</x:v>
      </x:c>
      <x:c r="B684" s="17" t="str">
        <x:v>中正區</x:v>
      </x:c>
      <x:c r="C684" s="17" t="str">
        <x:v>金山信義路口</x:v>
      </x:c>
      <x:c r="D684" s="18" t="n">
        <x:v>26</x:v>
      </x:c>
      <x:c r="E684" s="18" t="n">
        <x:v>26</x:v>
      </x:c>
      <x:c r="F684" s="18" t="n">
        <x:v>145</x:v>
      </x:c>
      <x:c r="G684" s="18" t="n">
        <x:v>26</x:v>
      </x:c>
      <x:c r="H684" s="18" t="n">
        <x:v>38</x:v>
      </x:c>
      <x:c r="I684" s="18" t="n">
        <x:v>26</x:v>
      </x:c>
      <x:c r="J684" s="18" t="n">
        <x:v>113</x:v>
      </x:c>
      <x:c r="K684" s="18" t="n">
        <x:v>26</x:v>
      </x:c>
      <x:c r="L684" s="18" t="n">
        <x:v>32</x:v>
      </x:c>
      <x:c r="M684" s="18" t="n">
        <x:v>26</x:v>
      </x:c>
    </x:row>
    <x:row r="685">
      <x:c r="A685" s="22" t="str">
        <x:v>500106076</x:v>
      </x:c>
      <x:c r="B685" s="17" t="str">
        <x:v>中正區</x:v>
      </x:c>
      <x:c r="C685" s="17" t="str">
        <x:v>捷運東門站(2號出口)</x:v>
      </x:c>
      <x:c r="D685" s="18" t="n">
        <x:v>26</x:v>
      </x:c>
      <x:c r="E685" s="18" t="n">
        <x:v>26</x:v>
      </x:c>
      <x:c r="F685" s="18" t="n">
        <x:v>0</x:v>
      </x:c>
      <x:c r="G685" s="18" t="n">
        <x:v>26</x:v>
      </x:c>
      <x:c r="H685" s="18" t="n">
        <x:v>0</x:v>
      </x:c>
      <x:c r="I685" s="18" t="n">
        <x:v>26</x:v>
      </x:c>
      <x:c r="J685" s="18" t="n">
        <x:v>0</x:v>
      </x:c>
      <x:c r="K685" s="18" t="n">
        <x:v>26</x:v>
      </x:c>
      <x:c r="L685" s="18" t="n">
        <x:v>0</x:v>
      </x:c>
      <x:c r="M685" s="18" t="n">
        <x:v>26</x:v>
      </x:c>
    </x:row>
    <x:row r="686">
      <x:c r="A686" s="22" t="str">
        <x:v>500106077</x:v>
      </x:c>
      <x:c r="B686" s="17" t="str">
        <x:v>中正區</x:v>
      </x:c>
      <x:c r="C686" s="17" t="str">
        <x:v>林森徐州路口</x:v>
      </x:c>
      <x:c r="D686" s="18" t="n">
        <x:v>26</x:v>
      </x:c>
      <x:c r="E686" s="18" t="n">
        <x:v>26</x:v>
      </x:c>
      <x:c r="F686" s="18" t="n">
        <x:v>98</x:v>
      </x:c>
      <x:c r="G686" s="18" t="n">
        <x:v>26</x:v>
      </x:c>
      <x:c r="H686" s="18" t="n">
        <x:v>8</x:v>
      </x:c>
      <x:c r="I686" s="18" t="n">
        <x:v>26</x:v>
      </x:c>
      <x:c r="J686" s="18" t="n">
        <x:v>1094</x:v>
      </x:c>
      <x:c r="K686" s="18" t="n">
        <x:v>26</x:v>
      </x:c>
      <x:c r="L686" s="18" t="n">
        <x:v>87</x:v>
      </x:c>
      <x:c r="M686" s="18" t="n">
        <x:v>26</x:v>
      </x:c>
    </x:row>
    <x:row r="687">
      <x:c r="A687" s="22" t="str">
        <x:v>500106078</x:v>
      </x:c>
      <x:c r="B687" s="17" t="str">
        <x:v>中正區</x:v>
      </x:c>
      <x:c r="C687" s="17" t="str">
        <x:v>徐州杭州路口</x:v>
      </x:c>
      <x:c r="D687" s="18" t="n">
        <x:v>26</x:v>
      </x:c>
      <x:c r="E687" s="18" t="n">
        <x:v>26</x:v>
      </x:c>
      <x:c r="F687" s="18" t="n">
        <x:v>205</x:v>
      </x:c>
      <x:c r="G687" s="18" t="n">
        <x:v>26</x:v>
      </x:c>
      <x:c r="H687" s="18" t="n">
        <x:v>21</x:v>
      </x:c>
      <x:c r="I687" s="18" t="n">
        <x:v>26</x:v>
      </x:c>
      <x:c r="J687" s="18" t="n">
        <x:v>286</x:v>
      </x:c>
      <x:c r="K687" s="18" t="n">
        <x:v>26</x:v>
      </x:c>
      <x:c r="L687" s="18" t="n">
        <x:v>62</x:v>
      </x:c>
      <x:c r="M687" s="18" t="n">
        <x:v>26</x:v>
      </x:c>
    </x:row>
    <x:row r="688">
      <x:c r="A688" s="22" t="str">
        <x:v>500106079</x:v>
      </x:c>
      <x:c r="B688" s="17" t="str">
        <x:v>中正區</x:v>
      </x:c>
      <x:c r="C688" s="17" t="str">
        <x:v>捷運中正紀念堂站(6號出口)</x:v>
      </x:c>
      <x:c r="D688" s="18" t="n">
        <x:v>26</x:v>
      </x:c>
      <x:c r="E688" s="18" t="n">
        <x:v>26</x:v>
      </x:c>
      <x:c r="F688" s="18" t="n">
        <x:v>85</x:v>
      </x:c>
      <x:c r="G688" s="18" t="n">
        <x:v>26</x:v>
      </x:c>
      <x:c r="H688" s="18" t="n">
        <x:v>9</x:v>
      </x:c>
      <x:c r="I688" s="18" t="n">
        <x:v>26</x:v>
      </x:c>
      <x:c r="J688" s="18" t="n">
        <x:v>206</x:v>
      </x:c>
      <x:c r="K688" s="18" t="n">
        <x:v>26</x:v>
      </x:c>
      <x:c r="L688" s="18" t="n">
        <x:v>26</x:v>
      </x:c>
      <x:c r="M688" s="18" t="n">
        <x:v>26</x:v>
      </x:c>
    </x:row>
    <x:row r="689">
      <x:c r="A689" s="22" t="str">
        <x:v>500106080</x:v>
      </x:c>
      <x:c r="B689" s="17" t="str">
        <x:v>中正區</x:v>
      </x:c>
      <x:c r="C689" s="17" t="str">
        <x:v>捷運臺北車站(M2出口)</x:v>
      </x:c>
      <x:c r="D689" s="18" t="n">
        <x:v>26</x:v>
      </x:c>
      <x:c r="E689" s="18" t="n">
        <x:v>26</x:v>
      </x:c>
      <x:c r="F689" s="18" t="n">
        <x:v>328</x:v>
      </x:c>
      <x:c r="G689" s="18" t="n">
        <x:v>26</x:v>
      </x:c>
      <x:c r="H689" s="18" t="n">
        <x:v>62</x:v>
      </x:c>
      <x:c r="I689" s="18" t="n">
        <x:v>26</x:v>
      </x:c>
      <x:c r="J689" s="18" t="n">
        <x:v>149</x:v>
      </x:c>
      <x:c r="K689" s="18" t="n">
        <x:v>26</x:v>
      </x:c>
      <x:c r="L689" s="18" t="n">
        <x:v>30</x:v>
      </x:c>
      <x:c r="M689" s="18" t="n">
        <x:v>26</x:v>
      </x:c>
    </x:row>
    <x:row r="690">
      <x:c r="A690" s="22" t="str">
        <x:v>500106081</x:v>
      </x:c>
      <x:c r="B690" s="17" t="str">
        <x:v>中正區</x:v>
      </x:c>
      <x:c r="C690" s="17" t="str">
        <x:v>機場捷運台北車站(6號出口)</x:v>
      </x:c>
      <x:c r="D690" s="18" t="n">
        <x:v>26</x:v>
      </x:c>
      <x:c r="E690" s="18" t="n">
        <x:v>26</x:v>
      </x:c>
      <x:c r="F690" s="18" t="n">
        <x:v>0</x:v>
      </x:c>
      <x:c r="G690" s="18" t="n">
        <x:v>26</x:v>
      </x:c>
      <x:c r="H690" s="18" t="n">
        <x:v>0</x:v>
      </x:c>
      <x:c r="I690" s="18" t="n">
        <x:v>26</x:v>
      </x:c>
      <x:c r="J690" s="18" t="n">
        <x:v>0</x:v>
      </x:c>
      <x:c r="K690" s="18" t="n">
        <x:v>26</x:v>
      </x:c>
      <x:c r="L690" s="18" t="n">
        <x:v>0</x:v>
      </x:c>
      <x:c r="M690" s="18" t="n">
        <x:v>26</x:v>
      </x:c>
    </x:row>
    <x:row r="691">
      <x:c r="A691" s="22" t="str">
        <x:v>500106082</x:v>
      </x:c>
      <x:c r="B691" s="17" t="str">
        <x:v>中正區</x:v>
      </x:c>
      <x:c r="C691" s="17" t="str">
        <x:v>延平北平路口</x:v>
      </x:c>
      <x:c r="D691" s="18" t="n">
        <x:v>26</x:v>
      </x:c>
      <x:c r="E691" s="18" t="n">
        <x:v>26</x:v>
      </x:c>
      <x:c r="F691" s="18" t="n">
        <x:v>0</x:v>
      </x:c>
      <x:c r="G691" s="18" t="n">
        <x:v>26</x:v>
      </x:c>
      <x:c r="H691" s="18" t="n">
        <x:v>0</x:v>
      </x:c>
      <x:c r="I691" s="18" t="n">
        <x:v>26</x:v>
      </x:c>
      <x:c r="J691" s="18" t="n">
        <x:v>0</x:v>
      </x:c>
      <x:c r="K691" s="18" t="n">
        <x:v>26</x:v>
      </x:c>
      <x:c r="L691" s="18" t="n">
        <x:v>0</x:v>
      </x:c>
      <x:c r="M691" s="18" t="n">
        <x:v>26</x:v>
      </x:c>
    </x:row>
    <x:row r="692">
      <x:c r="A692" s="22" t="str">
        <x:v>500106083</x:v>
      </x:c>
      <x:c r="B692" s="17" t="str">
        <x:v>中正區</x:v>
      </x:c>
      <x:c r="C692" s="17" t="str">
        <x:v>臺北市國父史蹟館(逸仙公園)</x:v>
      </x:c>
      <x:c r="D692" s="18" t="n">
        <x:v>26</x:v>
      </x:c>
      <x:c r="E692" s="18" t="n">
        <x:v>26</x:v>
      </x:c>
      <x:c r="F692" s="18" t="n">
        <x:v>316</x:v>
      </x:c>
      <x:c r="G692" s="18" t="n">
        <x:v>26</x:v>
      </x:c>
      <x:c r="H692" s="18" t="n">
        <x:v>70</x:v>
      </x:c>
      <x:c r="I692" s="18" t="n">
        <x:v>26</x:v>
      </x:c>
      <x:c r="J692" s="18" t="n">
        <x:v>167</x:v>
      </x:c>
      <x:c r="K692" s="18" t="n">
        <x:v>26</x:v>
      </x:c>
      <x:c r="L692" s="18" t="n">
        <x:v>39</x:v>
      </x:c>
      <x:c r="M692" s="18" t="n">
        <x:v>26</x:v>
      </x:c>
    </x:row>
    <x:row r="693">
      <x:c r="A693" s="22" t="str">
        <x:v>500106084</x:v>
      </x:c>
      <x:c r="B693" s="17" t="str">
        <x:v>中正區</x:v>
      </x:c>
      <x:c r="C693" s="17" t="str">
        <x:v>捷運西門站(5號出口)</x:v>
      </x:c>
      <x:c r="D693" s="18" t="n">
        <x:v>26</x:v>
      </x:c>
      <x:c r="E693" s="18" t="n">
        <x:v>26</x:v>
      </x:c>
      <x:c r="F693" s="18" t="n">
        <x:v>118</x:v>
      </x:c>
      <x:c r="G693" s="18" t="n">
        <x:v>26</x:v>
      </x:c>
      <x:c r="H693" s="18" t="n">
        <x:v>19</x:v>
      </x:c>
      <x:c r="I693" s="18" t="n">
        <x:v>26</x:v>
      </x:c>
      <x:c r="J693" s="18" t="n">
        <x:v>285</x:v>
      </x:c>
      <x:c r="K693" s="18" t="n">
        <x:v>26</x:v>
      </x:c>
      <x:c r="L693" s="18" t="n">
        <x:v>37</x:v>
      </x:c>
      <x:c r="M693" s="18" t="n">
        <x:v>26</x:v>
      </x:c>
    </x:row>
    <x:row r="694">
      <x:c r="A694" s="22" t="str">
        <x:v>500106085</x:v>
      </x:c>
      <x:c r="B694" s="17" t="str">
        <x:v>中正區</x:v>
      </x:c>
      <x:c r="C694" s="17" t="str">
        <x:v>弘道國中</x:v>
      </x:c>
      <x:c r="D694" s="18" t="n">
        <x:v>26</x:v>
      </x:c>
      <x:c r="E694" s="18" t="n">
        <x:v>26</x:v>
      </x:c>
      <x:c r="F694" s="18" t="n">
        <x:v>129</x:v>
      </x:c>
      <x:c r="G694" s="18" t="n">
        <x:v>26</x:v>
      </x:c>
      <x:c r="H694" s="18" t="n">
        <x:v>11</x:v>
      </x:c>
      <x:c r="I694" s="18" t="n">
        <x:v>26</x:v>
      </x:c>
      <x:c r="J694" s="18" t="n">
        <x:v>606</x:v>
      </x:c>
      <x:c r="K694" s="18" t="n">
        <x:v>26</x:v>
      </x:c>
      <x:c r="L694" s="18" t="n">
        <x:v>74</x:v>
      </x:c>
      <x:c r="M694" s="18" t="n">
        <x:v>26</x:v>
      </x:c>
    </x:row>
    <x:row r="695">
      <x:c r="A695" s="22" t="str">
        <x:v>500106086</x:v>
      </x:c>
      <x:c r="B695" s="17" t="str">
        <x:v>中正區</x:v>
      </x:c>
      <x:c r="C695" s="17" t="str">
        <x:v>臺北市第一女子高級中學</x:v>
      </x:c>
      <x:c r="D695" s="18" t="n">
        <x:v>26</x:v>
      </x:c>
      <x:c r="E695" s="18" t="n">
        <x:v>26</x:v>
      </x:c>
      <x:c r="F695" s="18" t="n">
        <x:v>79</x:v>
      </x:c>
      <x:c r="G695" s="18" t="n">
        <x:v>26</x:v>
      </x:c>
      <x:c r="H695" s="18" t="n">
        <x:v>12</x:v>
      </x:c>
      <x:c r="I695" s="18" t="n">
        <x:v>26</x:v>
      </x:c>
      <x:c r="J695" s="18" t="n">
        <x:v>819</x:v>
      </x:c>
      <x:c r="K695" s="18" t="n">
        <x:v>26</x:v>
      </x:c>
      <x:c r="L695" s="18" t="n">
        <x:v>64</x:v>
      </x:c>
      <x:c r="M695" s="18" t="n">
        <x:v>26</x:v>
      </x:c>
    </x:row>
    <x:row r="696">
      <x:c r="A696" s="22" t="str">
        <x:v>500106087</x:v>
      </x:c>
      <x:c r="B696" s="17" t="str">
        <x:v>中正區</x:v>
      </x:c>
      <x:c r="C696" s="17" t="str">
        <x:v>台北市替代役中心</x:v>
      </x:c>
      <x:c r="D696" s="18" t="n">
        <x:v>26</x:v>
      </x:c>
      <x:c r="E696" s="18" t="n">
        <x:v>26</x:v>
      </x:c>
      <x:c r="F696" s="18" t="n">
        <x:v>213</x:v>
      </x:c>
      <x:c r="G696" s="18" t="n">
        <x:v>26</x:v>
      </x:c>
      <x:c r="H696" s="18" t="n">
        <x:v>29</x:v>
      </x:c>
      <x:c r="I696" s="18" t="n">
        <x:v>26</x:v>
      </x:c>
      <x:c r="J696" s="18" t="n">
        <x:v>80</x:v>
      </x:c>
      <x:c r="K696" s="18" t="n">
        <x:v>26</x:v>
      </x:c>
      <x:c r="L696" s="18" t="n">
        <x:v>22</x:v>
      </x:c>
      <x:c r="M696" s="18" t="n">
        <x:v>26</x:v>
      </x:c>
    </x:row>
    <x:row r="697">
      <x:c r="A697" s="22" t="str">
        <x:v>500106088</x:v>
      </x:c>
      <x:c r="B697" s="17" t="str">
        <x:v>中正區</x:v>
      </x:c>
      <x:c r="C697" s="17" t="str">
        <x:v>紹興徐州路口</x:v>
      </x:c>
      <x:c r="D697" s="18" t="n">
        <x:v>26</x:v>
      </x:c>
      <x:c r="E697" s="18" t="n">
        <x:v>26</x:v>
      </x:c>
      <x:c r="F697" s="18" t="n">
        <x:v>157</x:v>
      </x:c>
      <x:c r="G697" s="18" t="n">
        <x:v>26</x:v>
      </x:c>
      <x:c r="H697" s="18" t="n">
        <x:v>52</x:v>
      </x:c>
      <x:c r="I697" s="18" t="n">
        <x:v>26</x:v>
      </x:c>
      <x:c r="J697" s="18" t="n">
        <x:v>194</x:v>
      </x:c>
      <x:c r="K697" s="18" t="n">
        <x:v>26</x:v>
      </x:c>
      <x:c r="L697" s="18" t="n">
        <x:v>48</x:v>
      </x:c>
      <x:c r="M697" s="18" t="n">
        <x:v>26</x:v>
      </x:c>
    </x:row>
    <x:row r="698">
      <x:c r="A698" s="22" t="str">
        <x:v>500106089</x:v>
      </x:c>
      <x:c r="B698" s="17" t="str">
        <x:v>中正區</x:v>
      </x:c>
      <x:c r="C698" s="17" t="str">
        <x:v>羅斯福寧波東街口</x:v>
      </x:c>
      <x:c r="D698" s="18" t="n">
        <x:v>26</x:v>
      </x:c>
      <x:c r="E698" s="18" t="n">
        <x:v>26</x:v>
      </x:c>
      <x:c r="F698" s="18" t="n">
        <x:v>278</x:v>
      </x:c>
      <x:c r="G698" s="18" t="n">
        <x:v>26</x:v>
      </x:c>
      <x:c r="H698" s="18" t="n">
        <x:v>24</x:v>
      </x:c>
      <x:c r="I698" s="18" t="n">
        <x:v>26</x:v>
      </x:c>
      <x:c r="J698" s="18" t="n">
        <x:v>86</x:v>
      </x:c>
      <x:c r="K698" s="18" t="n">
        <x:v>26</x:v>
      </x:c>
      <x:c r="L698" s="18" t="n">
        <x:v>29</x:v>
      </x:c>
      <x:c r="M698" s="18" t="n">
        <x:v>26</x:v>
      </x:c>
    </x:row>
    <x:row r="699">
      <x:c r="A699" s="22" t="str">
        <x:v>500106090</x:v>
      </x:c>
      <x:c r="B699" s="17" t="str">
        <x:v>中正區</x:v>
      </x:c>
      <x:c r="C699" s="17" t="str">
        <x:v>自來水園區</x:v>
      </x:c>
      <x:c r="D699" s="18" t="n">
        <x:v>26</x:v>
      </x:c>
      <x:c r="E699" s="18" t="n">
        <x:v>26</x:v>
      </x:c>
      <x:c r="F699" s="18" t="n">
        <x:v>264</x:v>
      </x:c>
      <x:c r="G699" s="18" t="n">
        <x:v>26</x:v>
      </x:c>
      <x:c r="H699" s="18" t="n">
        <x:v>37</x:v>
      </x:c>
      <x:c r="I699" s="18" t="n">
        <x:v>26</x:v>
      </x:c>
      <x:c r="J699" s="18" t="n">
        <x:v>118</x:v>
      </x:c>
      <x:c r="K699" s="18" t="n">
        <x:v>26</x:v>
      </x:c>
      <x:c r="L699" s="18" t="n">
        <x:v>28</x:v>
      </x:c>
      <x:c r="M699" s="18" t="n">
        <x:v>26</x:v>
      </x:c>
    </x:row>
    <x:row r="700">
      <x:c r="A700" s="22" t="str">
        <x:v>500106091</x:v>
      </x:c>
      <x:c r="B700" s="17" t="str">
        <x:v>中正區</x:v>
      </x:c>
      <x:c r="C700" s="17" t="str">
        <x:v>仁愛林森路口</x:v>
      </x:c>
      <x:c r="D700" s="18" t="n">
        <x:v>26</x:v>
      </x:c>
      <x:c r="E700" s="18" t="n">
        <x:v>26</x:v>
      </x:c>
      <x:c r="F700" s="18" t="n">
        <x:v>53</x:v>
      </x:c>
      <x:c r="G700" s="18" t="n">
        <x:v>26</x:v>
      </x:c>
      <x:c r="H700" s="18" t="n">
        <x:v>27</x:v>
      </x:c>
      <x:c r="I700" s="18" t="n">
        <x:v>26</x:v>
      </x:c>
      <x:c r="J700" s="18" t="n">
        <x:v>816</x:v>
      </x:c>
      <x:c r="K700" s="18" t="n">
        <x:v>26</x:v>
      </x:c>
      <x:c r="L700" s="18" t="n">
        <x:v>139</x:v>
      </x:c>
      <x:c r="M700" s="18" t="n">
        <x:v>26</x:v>
      </x:c>
    </x:row>
    <x:row r="701">
      <x:c r="A701" s="22" t="str">
        <x:v>500106092</x:v>
      </x:c>
      <x:c r="B701" s="17" t="str">
        <x:v>中正區</x:v>
      </x:c>
      <x:c r="C701" s="17" t="str">
        <x:v>捷運西門站(3號出口)</x:v>
      </x:c>
      <x:c r="D701" s="18" t="n">
        <x:v>26</x:v>
      </x:c>
      <x:c r="E701" s="18" t="n">
        <x:v>26</x:v>
      </x:c>
      <x:c r="F701" s="18" t="n">
        <x:v>297</x:v>
      </x:c>
      <x:c r="G701" s="18" t="n">
        <x:v>26</x:v>
      </x:c>
      <x:c r="H701" s="18" t="n">
        <x:v>58</x:v>
      </x:c>
      <x:c r="I701" s="18" t="n">
        <x:v>26</x:v>
      </x:c>
      <x:c r="J701" s="18" t="n">
        <x:v>287</x:v>
      </x:c>
      <x:c r="K701" s="18" t="n">
        <x:v>26</x:v>
      </x:c>
      <x:c r="L701" s="18" t="n">
        <x:v>57</x:v>
      </x:c>
      <x:c r="M701" s="18" t="n">
        <x:v>26</x:v>
      </x:c>
    </x:row>
    <x:row r="702">
      <x:c r="A702" s="22" t="str">
        <x:v>500106093</x:v>
      </x:c>
      <x:c r="B702" s="17" t="str">
        <x:v>中正區</x:v>
      </x:c>
      <x:c r="C702" s="17" t="str">
        <x:v>仁愛金山路口</x:v>
      </x:c>
      <x:c r="D702" s="18" t="n">
        <x:v>26</x:v>
      </x:c>
      <x:c r="E702" s="18" t="n">
        <x:v>26</x:v>
      </x:c>
      <x:c r="F702" s="18" t="n">
        <x:v>136</x:v>
      </x:c>
      <x:c r="G702" s="18" t="n">
        <x:v>26</x:v>
      </x:c>
      <x:c r="H702" s="18" t="n">
        <x:v>44</x:v>
      </x:c>
      <x:c r="I702" s="18" t="n">
        <x:v>26</x:v>
      </x:c>
      <x:c r="J702" s="18" t="n">
        <x:v>91</x:v>
      </x:c>
      <x:c r="K702" s="18" t="n">
        <x:v>26</x:v>
      </x:c>
      <x:c r="L702" s="18" t="n">
        <x:v>19</x:v>
      </x:c>
      <x:c r="M702" s="18" t="n">
        <x:v>26</x:v>
      </x:c>
    </x:row>
    <x:row r="703">
      <x:c r="A703" s="22" t="str">
        <x:v>500106094</x:v>
      </x:c>
      <x:c r="B703" s="17" t="str">
        <x:v>中正區</x:v>
      </x:c>
      <x:c r="C703" s="17" t="str">
        <x:v>杭州南路一段101巷口</x:v>
      </x:c>
      <x:c r="D703" s="18" t="n">
        <x:v>26</x:v>
      </x:c>
      <x:c r="E703" s="18" t="n">
        <x:v>26</x:v>
      </x:c>
      <x:c r="F703" s="18" t="n">
        <x:v>151</x:v>
      </x:c>
      <x:c r="G703" s="18" t="n">
        <x:v>26</x:v>
      </x:c>
      <x:c r="H703" s="18" t="n">
        <x:v>49</x:v>
      </x:c>
      <x:c r="I703" s="18" t="n">
        <x:v>26</x:v>
      </x:c>
      <x:c r="J703" s="18" t="n">
        <x:v>87</x:v>
      </x:c>
      <x:c r="K703" s="18" t="n">
        <x:v>26</x:v>
      </x:c>
      <x:c r="L703" s="18" t="n">
        <x:v>21</x:v>
      </x:c>
      <x:c r="M703" s="18" t="n">
        <x:v>26</x:v>
      </x:c>
    </x:row>
    <x:row r="704">
      <x:c r="A704" s="22" t="str">
        <x:v>500106095</x:v>
      </x:c>
      <x:c r="B704" s="17" t="str">
        <x:v>中正區</x:v>
      </x:c>
      <x:c r="C704" s="17" t="str">
        <x:v>仁愛杭州路口</x:v>
      </x:c>
      <x:c r="D704" s="18" t="n">
        <x:v>26</x:v>
      </x:c>
      <x:c r="E704" s="18" t="n">
        <x:v>26</x:v>
      </x:c>
      <x:c r="F704" s="18" t="n">
        <x:v>124</x:v>
      </x:c>
      <x:c r="G704" s="18" t="n">
        <x:v>26</x:v>
      </x:c>
      <x:c r="H704" s="18" t="n">
        <x:v>38</x:v>
      </x:c>
      <x:c r="I704" s="18" t="n">
        <x:v>26</x:v>
      </x:c>
      <x:c r="J704" s="18" t="n">
        <x:v>241</x:v>
      </x:c>
      <x:c r="K704" s="18" t="n">
        <x:v>26</x:v>
      </x:c>
      <x:c r="L704" s="18" t="n">
        <x:v>55</x:v>
      </x:c>
      <x:c r="M704" s="18" t="n">
        <x:v>26</x:v>
      </x:c>
    </x:row>
    <x:row r="705">
      <x:c r="A705" s="22" t="str">
        <x:v>500106096</x:v>
      </x:c>
      <x:c r="B705" s="17" t="str">
        <x:v>中正區</x:v>
      </x:c>
      <x:c r="C705" s="17" t="str">
        <x:v>龍興里活動中心</x:v>
      </x:c>
      <x:c r="D705" s="18" t="n">
        <x:v>26</x:v>
      </x:c>
      <x:c r="E705" s="18" t="n">
        <x:v>26</x:v>
      </x:c>
      <x:c r="F705" s="18" t="n">
        <x:v>420</x:v>
      </x:c>
      <x:c r="G705" s="18" t="n">
        <x:v>26</x:v>
      </x:c>
      <x:c r="H705" s="18" t="n">
        <x:v>87</x:v>
      </x:c>
      <x:c r="I705" s="18" t="n">
        <x:v>26</x:v>
      </x:c>
      <x:c r="J705" s="18" t="n">
        <x:v>122</x:v>
      </x:c>
      <x:c r="K705" s="18" t="n">
        <x:v>26</x:v>
      </x:c>
      <x:c r="L705" s="18" t="n">
        <x:v>27</x:v>
      </x:c>
      <x:c r="M705" s="18" t="n">
        <x:v>26</x:v>
      </x:c>
    </x:row>
    <x:row r="706">
      <x:c r="A706" s="22" t="str">
        <x:v>500106097</x:v>
      </x:c>
      <x:c r="B706" s="17" t="str">
        <x:v>中正區</x:v>
      </x:c>
      <x:c r="C706" s="17" t="str">
        <x:v>植物園</x:v>
      </x:c>
      <x:c r="D706" s="18" t="n">
        <x:v>26</x:v>
      </x:c>
      <x:c r="E706" s="18" t="n">
        <x:v>26</x:v>
      </x:c>
      <x:c r="F706" s="18" t="n">
        <x:v>210</x:v>
      </x:c>
      <x:c r="G706" s="18" t="n">
        <x:v>26</x:v>
      </x:c>
      <x:c r="H706" s="18" t="n">
        <x:v>35</x:v>
      </x:c>
      <x:c r="I706" s="18" t="n">
        <x:v>26</x:v>
      </x:c>
      <x:c r="J706" s="18" t="n">
        <x:v>297</x:v>
      </x:c>
      <x:c r="K706" s="18" t="n">
        <x:v>26</x:v>
      </x:c>
      <x:c r="L706" s="18" t="n">
        <x:v>48</x:v>
      </x:c>
      <x:c r="M706" s="18" t="n">
        <x:v>26</x:v>
      </x:c>
    </x:row>
    <x:row r="707">
      <x:c r="A707" s="22" t="str">
        <x:v>500106098</x:v>
      </x:c>
      <x:c r="B707" s="17" t="str">
        <x:v>中正區</x:v>
      </x:c>
      <x:c r="C707" s="17" t="str">
        <x:v>郵政博物館</x:v>
      </x:c>
      <x:c r="D707" s="18" t="n">
        <x:v>26</x:v>
      </x:c>
      <x:c r="E707" s="18" t="n">
        <x:v>26</x:v>
      </x:c>
      <x:c r="F707" s="18" t="n">
        <x:v>127</x:v>
      </x:c>
      <x:c r="G707" s="18" t="n">
        <x:v>26</x:v>
      </x:c>
      <x:c r="H707" s="18" t="n">
        <x:v>19</x:v>
      </x:c>
      <x:c r="I707" s="18" t="n">
        <x:v>26</x:v>
      </x:c>
      <x:c r="J707" s="18" t="n">
        <x:v>431</x:v>
      </x:c>
      <x:c r="K707" s="18" t="n">
        <x:v>26</x:v>
      </x:c>
      <x:c r="L707" s="18" t="n">
        <x:v>51</x:v>
      </x:c>
      <x:c r="M707" s="18" t="n">
        <x:v>26</x:v>
      </x:c>
    </x:row>
    <x:row r="708">
      <x:c r="A708" s="22" t="str">
        <x:v>500106099</x:v>
      </x:c>
      <x:c r="B708" s="17" t="str">
        <x:v>中正區</x:v>
      </x:c>
      <x:c r="C708" s="17" t="str">
        <x:v>林森北平路口</x:v>
      </x:c>
      <x:c r="D708" s="18" t="n">
        <x:v>26</x:v>
      </x:c>
      <x:c r="E708" s="18" t="n">
        <x:v>26</x:v>
      </x:c>
      <x:c r="F708" s="18" t="n">
        <x:v>92</x:v>
      </x:c>
      <x:c r="G708" s="18" t="n">
        <x:v>26</x:v>
      </x:c>
      <x:c r="H708" s="18" t="n">
        <x:v>11</x:v>
      </x:c>
      <x:c r="I708" s="18" t="n">
        <x:v>26</x:v>
      </x:c>
      <x:c r="J708" s="18" t="n">
        <x:v>186</x:v>
      </x:c>
      <x:c r="K708" s="18" t="n">
        <x:v>26</x:v>
      </x:c>
      <x:c r="L708" s="18" t="n">
        <x:v>16</x:v>
      </x:c>
      <x:c r="M708" s="18" t="n">
        <x:v>26</x:v>
      </x:c>
    </x:row>
    <x:row r="709">
      <x:c r="A709" s="22" t="str">
        <x:v>500106100</x:v>
      </x:c>
      <x:c r="B709" s="17" t="str">
        <x:v>中正區</x:v>
      </x:c>
      <x:c r="C709" s="17" t="str">
        <x:v>北平紹興路口</x:v>
      </x:c>
      <x:c r="D709" s="18" t="n">
        <x:v>26</x:v>
      </x:c>
      <x:c r="E709" s="18" t="n">
        <x:v>26</x:v>
      </x:c>
      <x:c r="F709" s="18" t="n">
        <x:v>101</x:v>
      </x:c>
      <x:c r="G709" s="18" t="n">
        <x:v>26</x:v>
      </x:c>
      <x:c r="H709" s="18" t="n">
        <x:v>19</x:v>
      </x:c>
      <x:c r="I709" s="18" t="n">
        <x:v>26</x:v>
      </x:c>
      <x:c r="J709" s="18" t="n">
        <x:v>427</x:v>
      </x:c>
      <x:c r="K709" s="18" t="n">
        <x:v>26</x:v>
      </x:c>
      <x:c r="L709" s="18" t="n">
        <x:v>49</x:v>
      </x:c>
      <x:c r="M709" s="18" t="n">
        <x:v>26</x:v>
      </x:c>
    </x:row>
    <x:row r="710">
      <x:c r="A710" s="22" t="str">
        <x:v>500106101</x:v>
      </x:c>
      <x:c r="B710" s="17" t="str">
        <x:v>中正區</x:v>
      </x:c>
      <x:c r="C710" s="17" t="str">
        <x:v>天津北平路口</x:v>
      </x:c>
      <x:c r="D710" s="18" t="n">
        <x:v>26</x:v>
      </x:c>
      <x:c r="E710" s="18" t="n">
        <x:v>26</x:v>
      </x:c>
      <x:c r="F710" s="18" t="n">
        <x:v>147</x:v>
      </x:c>
      <x:c r="G710" s="18" t="n">
        <x:v>26</x:v>
      </x:c>
      <x:c r="H710" s="18" t="n">
        <x:v>17</x:v>
      </x:c>
      <x:c r="I710" s="18" t="n">
        <x:v>26</x:v>
      </x:c>
      <x:c r="J710" s="18" t="n">
        <x:v>211</x:v>
      </x:c>
      <x:c r="K710" s="18" t="n">
        <x:v>26</x:v>
      </x:c>
      <x:c r="L710" s="18" t="n">
        <x:v>29</x:v>
      </x:c>
      <x:c r="M710" s="18" t="n">
        <x:v>26</x:v>
      </x:c>
    </x:row>
    <x:row r="711">
      <x:c r="A711" s="22" t="str">
        <x:v>500106102</x:v>
      </x:c>
      <x:c r="B711" s="17" t="str">
        <x:v>中正區</x:v>
      </x:c>
      <x:c r="C711" s="17" t="str">
        <x:v>捷運忠孝新生站(1號出口)</x:v>
      </x:c>
      <x:c r="D711" s="18" t="n">
        <x:v>26</x:v>
      </x:c>
      <x:c r="E711" s="18" t="n">
        <x:v>26</x:v>
      </x:c>
      <x:c r="F711" s="18" t="n">
        <x:v>84</x:v>
      </x:c>
      <x:c r="G711" s="18" t="n">
        <x:v>26</x:v>
      </x:c>
      <x:c r="H711" s="18" t="n">
        <x:v>22</x:v>
      </x:c>
      <x:c r="I711" s="18" t="n">
        <x:v>26</x:v>
      </x:c>
      <x:c r="J711" s="18" t="n">
        <x:v>204</x:v>
      </x:c>
      <x:c r="K711" s="18" t="n">
        <x:v>26</x:v>
      </x:c>
      <x:c r="L711" s="18" t="n">
        <x:v>43</x:v>
      </x:c>
      <x:c r="M711" s="18" t="n">
        <x:v>26</x:v>
      </x:c>
    </x:row>
    <x:row r="712">
      <x:c r="A712" s="22" t="str">
        <x:v>500106103</x:v>
      </x:c>
      <x:c r="B712" s="17" t="str">
        <x:v>中正區</x:v>
      </x:c>
      <x:c r="C712" s="17" t="str">
        <x:v>捷運忠孝新生站(5號出口)</x:v>
      </x:c>
      <x:c r="D712" s="18" t="n">
        <x:v>26</x:v>
      </x:c>
      <x:c r="E712" s="18" t="n">
        <x:v>26</x:v>
      </x:c>
      <x:c r="F712" s="18" t="n">
        <x:v>84</x:v>
      </x:c>
      <x:c r="G712" s="18" t="n">
        <x:v>26</x:v>
      </x:c>
      <x:c r="H712" s="18" t="n">
        <x:v>29</x:v>
      </x:c>
      <x:c r="I712" s="18" t="n">
        <x:v>26</x:v>
      </x:c>
      <x:c r="J712" s="18" t="n">
        <x:v>109</x:v>
      </x:c>
      <x:c r="K712" s="18" t="n">
        <x:v>26</x:v>
      </x:c>
      <x:c r="L712" s="18" t="n">
        <x:v>31</x:v>
      </x:c>
      <x:c r="M712" s="18" t="n">
        <x:v>26</x:v>
      </x:c>
    </x:row>
    <x:row r="713">
      <x:c r="A713" s="22" t="str">
        <x:v>500106104</x:v>
      </x:c>
      <x:c r="B713" s="17" t="str">
        <x:v>中正區</x:v>
      </x:c>
      <x:c r="C713" s="17" t="str">
        <x:v>捷運臺大醫院站(1號出口)</x:v>
      </x:c>
      <x:c r="D713" s="18" t="n">
        <x:v>26</x:v>
      </x:c>
      <x:c r="E713" s="18" t="n">
        <x:v>26</x:v>
      </x:c>
      <x:c r="F713" s="18" t="n">
        <x:v>134</x:v>
      </x:c>
      <x:c r="G713" s="18" t="n">
        <x:v>26</x:v>
      </x:c>
      <x:c r="H713" s="18" t="n">
        <x:v>41</x:v>
      </x:c>
      <x:c r="I713" s="18" t="n">
        <x:v>26</x:v>
      </x:c>
      <x:c r="J713" s="18" t="n">
        <x:v>236</x:v>
      </x:c>
      <x:c r="K713" s="18" t="n">
        <x:v>26</x:v>
      </x:c>
      <x:c r="L713" s="18" t="n">
        <x:v>50</x:v>
      </x:c>
      <x:c r="M713" s="18" t="n">
        <x:v>26</x:v>
      </x:c>
    </x:row>
    <x:row r="714">
      <x:c r="A714" s="22" t="str">
        <x:v>500106105</x:v>
      </x:c>
      <x:c r="B714" s="17" t="str">
        <x:v>中正區</x:v>
      </x:c>
      <x:c r="C714" s="17" t="str">
        <x:v>臺大醫院兒童醫院</x:v>
      </x:c>
      <x:c r="D714" s="18" t="n">
        <x:v>26</x:v>
      </x:c>
      <x:c r="E714" s="18" t="n">
        <x:v>26</x:v>
      </x:c>
      <x:c r="F714" s="18" t="n">
        <x:v>235</x:v>
      </x:c>
      <x:c r="G714" s="18" t="n">
        <x:v>26</x:v>
      </x:c>
      <x:c r="H714" s="18" t="n">
        <x:v>39</x:v>
      </x:c>
      <x:c r="I714" s="18" t="n">
        <x:v>26</x:v>
      </x:c>
      <x:c r="J714" s="18" t="n">
        <x:v>398</x:v>
      </x:c>
      <x:c r="K714" s="18" t="n">
        <x:v>26</x:v>
      </x:c>
      <x:c r="L714" s="18" t="n">
        <x:v>66</x:v>
      </x:c>
      <x:c r="M714" s="18" t="n">
        <x:v>26</x:v>
      </x:c>
    </x:row>
    <x:row r="715">
      <x:c r="A715" s="22" t="str">
        <x:v>500106106</x:v>
      </x:c>
      <x:c r="B715" s="17" t="str">
        <x:v>中正區</x:v>
      </x:c>
      <x:c r="C715" s="17" t="str">
        <x:v>林森濟南路口(東北側)</x:v>
      </x:c>
      <x:c r="D715" s="18" t="n">
        <x:v>26</x:v>
      </x:c>
      <x:c r="E715" s="18" t="n">
        <x:v>26</x:v>
      </x:c>
      <x:c r="F715" s="18" t="n">
        <x:v>167</x:v>
      </x:c>
      <x:c r="G715" s="18" t="n">
        <x:v>26</x:v>
      </x:c>
      <x:c r="H715" s="18" t="n">
        <x:v>19</x:v>
      </x:c>
      <x:c r="I715" s="18" t="n">
        <x:v>26</x:v>
      </x:c>
      <x:c r="J715" s="18" t="n">
        <x:v>353</x:v>
      </x:c>
      <x:c r="K715" s="18" t="n">
        <x:v>26</x:v>
      </x:c>
      <x:c r="L715" s="18" t="n">
        <x:v>70</x:v>
      </x:c>
      <x:c r="M715" s="18" t="n">
        <x:v>26</x:v>
      </x:c>
    </x:row>
    <x:row r="716">
      <x:c r="A716" s="22" t="str">
        <x:v>500106107</x:v>
      </x:c>
      <x:c r="B716" s="17" t="str">
        <x:v>中正區</x:v>
      </x:c>
      <x:c r="C716" s="17" t="str">
        <x:v>仁愛紹興街口(南側)</x:v>
      </x:c>
      <x:c r="D716" s="18" t="n">
        <x:v>26</x:v>
      </x:c>
      <x:c r="E716" s="18" t="n">
        <x:v>26</x:v>
      </x:c>
      <x:c r="F716" s="18" t="n">
        <x:v>118</x:v>
      </x:c>
      <x:c r="G716" s="18" t="n">
        <x:v>26</x:v>
      </x:c>
      <x:c r="H716" s="18" t="n">
        <x:v>22</x:v>
      </x:c>
      <x:c r="I716" s="18" t="n">
        <x:v>26</x:v>
      </x:c>
      <x:c r="J716" s="18" t="n">
        <x:v>297</x:v>
      </x:c>
      <x:c r="K716" s="18" t="n">
        <x:v>26</x:v>
      </x:c>
      <x:c r="L716" s="18" t="n">
        <x:v>46</x:v>
      </x:c>
      <x:c r="M716" s="18" t="n">
        <x:v>26</x:v>
      </x:c>
    </x:row>
    <x:row r="717">
      <x:c r="A717" s="22" t="str">
        <x:v>500106108</x:v>
      </x:c>
      <x:c r="B717" s="17" t="str">
        <x:v>中正區</x:v>
      </x:c>
      <x:c r="C717" s="17" t="str">
        <x:v>中華南海路口</x:v>
      </x:c>
      <x:c r="D717" s="18" t="n">
        <x:v>26</x:v>
      </x:c>
      <x:c r="E717" s="18" t="n">
        <x:v>26</x:v>
      </x:c>
      <x:c r="F717" s="18" t="n">
        <x:v>378</x:v>
      </x:c>
      <x:c r="G717" s="18" t="n">
        <x:v>26</x:v>
      </x:c>
      <x:c r="H717" s="18" t="n">
        <x:v>30</x:v>
      </x:c>
      <x:c r="I717" s="18" t="n">
        <x:v>26</x:v>
      </x:c>
      <x:c r="J717" s="18" t="n">
        <x:v>124</x:v>
      </x:c>
      <x:c r="K717" s="18" t="n">
        <x:v>26</x:v>
      </x:c>
      <x:c r="L717" s="18" t="n">
        <x:v>13</x:v>
      </x:c>
      <x:c r="M717" s="18" t="n">
        <x:v>26</x:v>
      </x:c>
    </x:row>
    <x:row r="718">
      <x:c r="A718" s="22" t="str">
        <x:v>500106109</x:v>
      </x:c>
      <x:c r="B718" s="17" t="str">
        <x:v>中正區</x:v>
      </x:c>
      <x:c r="C718" s="17" t="str">
        <x:v>立法院台北會館</x:v>
      </x:c>
      <x:c r="D718" s="18" t="n">
        <x:v>26</x:v>
      </x:c>
      <x:c r="E718" s="18" t="n">
        <x:v>26</x:v>
      </x:c>
      <x:c r="F718" s="18" t="n">
        <x:v>129</x:v>
      </x:c>
      <x:c r="G718" s="18" t="n">
        <x:v>26</x:v>
      </x:c>
      <x:c r="H718" s="18" t="n">
        <x:v>44</x:v>
      </x:c>
      <x:c r="I718" s="18" t="n">
        <x:v>26</x:v>
      </x:c>
      <x:c r="J718" s="18" t="n">
        <x:v>173</x:v>
      </x:c>
      <x:c r="K718" s="18" t="n">
        <x:v>26</x:v>
      </x:c>
      <x:c r="L718" s="18" t="n">
        <x:v>46</x:v>
      </x:c>
      <x:c r="M718" s="18" t="n">
        <x:v>26</x:v>
      </x:c>
    </x:row>
    <x:row r="719">
      <x:c r="A719" s="22" t="str">
        <x:v>500106110</x:v>
      </x:c>
      <x:c r="B719" s="17" t="str">
        <x:v>中正區</x:v>
      </x:c>
      <x:c r="C719" s="17" t="str">
        <x:v>捷運善導寺站(3號出口)(忠孝東路側)</x:v>
      </x:c>
      <x:c r="D719" s="18" t="n">
        <x:v>26</x:v>
      </x:c>
      <x:c r="E719" s="18" t="n">
        <x:v>26</x:v>
      </x:c>
      <x:c r="F719" s="18" t="n">
        <x:v>121</x:v>
      </x:c>
      <x:c r="G719" s="18" t="n">
        <x:v>26</x:v>
      </x:c>
      <x:c r="H719" s="18" t="n">
        <x:v>42</x:v>
      </x:c>
      <x:c r="I719" s="18" t="n">
        <x:v>26</x:v>
      </x:c>
      <x:c r="J719" s="18" t="n">
        <x:v>283</x:v>
      </x:c>
      <x:c r="K719" s="18" t="n">
        <x:v>26</x:v>
      </x:c>
      <x:c r="L719" s="18" t="n">
        <x:v>30</x:v>
      </x:c>
      <x:c r="M719" s="18" t="n">
        <x:v>26</x:v>
      </x:c>
    </x:row>
    <x:row r="720">
      <x:c r="A720" s="22" t="str">
        <x:v>500106111</x:v>
      </x:c>
      <x:c r="B720" s="17" t="str">
        <x:v>中正區</x:v>
      </x:c>
      <x:c r="C720" s="17" t="str">
        <x:v>國家音樂廳</x:v>
      </x:c>
      <x:c r="D720" s="18" t="n">
        <x:v>26</x:v>
      </x:c>
      <x:c r="E720" s="18" t="n">
        <x:v>26</x:v>
      </x:c>
      <x:c r="F720" s="18" t="n">
        <x:v>127</x:v>
      </x:c>
      <x:c r="G720" s="18" t="n">
        <x:v>26</x:v>
      </x:c>
      <x:c r="H720" s="18" t="n">
        <x:v>17</x:v>
      </x:c>
      <x:c r="I720" s="18" t="n">
        <x:v>26</x:v>
      </x:c>
      <x:c r="J720" s="18" t="n">
        <x:v>202</x:v>
      </x:c>
      <x:c r="K720" s="18" t="n">
        <x:v>26</x:v>
      </x:c>
      <x:c r="L720" s="18" t="n">
        <x:v>49</x:v>
      </x:c>
      <x:c r="M720" s="18" t="n">
        <x:v>26</x:v>
      </x:c>
    </x:row>
    <x:row r="721">
      <x:c r="A721" s="22" t="str">
        <x:v>500106112</x:v>
      </x:c>
      <x:c r="B721" s="17" t="str">
        <x:v>中正區</x:v>
      </x:c>
      <x:c r="C721" s="17" t="str">
        <x:v>忠孝西重慶南路口</x:v>
      </x:c>
      <x:c r="D721" s="18" t="n">
        <x:v>26</x:v>
      </x:c>
      <x:c r="E721" s="18" t="n">
        <x:v>26</x:v>
      </x:c>
      <x:c r="F721" s="18" t="n">
        <x:v>332</x:v>
      </x:c>
      <x:c r="G721" s="18" t="n">
        <x:v>26</x:v>
      </x:c>
      <x:c r="H721" s="18" t="n">
        <x:v>62</x:v>
      </x:c>
      <x:c r="I721" s="18" t="n">
        <x:v>26</x:v>
      </x:c>
      <x:c r="J721" s="18" t="n">
        <x:v>820</x:v>
      </x:c>
      <x:c r="K721" s="18" t="n">
        <x:v>26</x:v>
      </x:c>
      <x:c r="L721" s="18" t="n">
        <x:v>74</x:v>
      </x:c>
      <x:c r="M721" s="18" t="n">
        <x:v>26</x:v>
      </x:c>
    </x:row>
    <x:row r="722">
      <x:c r="A722" s="22" t="str">
        <x:v>500106113</x:v>
      </x:c>
      <x:c r="B722" s="17" t="str">
        <x:v>中正區</x:v>
      </x:c>
      <x:c r="C722" s="17" t="str">
        <x:v>濟南路二段8巷口</x:v>
      </x:c>
      <x:c r="D722" s="18" t="n">
        <x:v>26</x:v>
      </x:c>
      <x:c r="E722" s="18" t="n">
        <x:v>26</x:v>
      </x:c>
      <x:c r="F722" s="18" t="n">
        <x:v>152</x:v>
      </x:c>
      <x:c r="G722" s="18" t="n">
        <x:v>26</x:v>
      </x:c>
      <x:c r="H722" s="18" t="n">
        <x:v>54</x:v>
      </x:c>
      <x:c r="I722" s="18" t="n">
        <x:v>26</x:v>
      </x:c>
      <x:c r="J722" s="18" t="n">
        <x:v>133</x:v>
      </x:c>
      <x:c r="K722" s="18" t="n">
        <x:v>26</x:v>
      </x:c>
      <x:c r="L722" s="18" t="n">
        <x:v>46</x:v>
      </x:c>
      <x:c r="M722" s="18" t="n">
        <x:v>26</x:v>
      </x:c>
    </x:row>
    <x:row r="723">
      <x:c r="A723" s="22" t="str">
        <x:v>500106114</x:v>
      </x:c>
      <x:c r="B723" s="17" t="str">
        <x:v>中正區</x:v>
      </x:c>
      <x:c r="C723" s="17" t="str">
        <x:v>仁愛金山路口(東南側)</x:v>
      </x:c>
      <x:c r="D723" s="18" t="n">
        <x:v>26</x:v>
      </x:c>
      <x:c r="E723" s="18" t="n">
        <x:v>26</x:v>
      </x:c>
      <x:c r="F723" s="18" t="n">
        <x:v>180</x:v>
      </x:c>
      <x:c r="G723" s="18" t="n">
        <x:v>26</x:v>
      </x:c>
      <x:c r="H723" s="18" t="n">
        <x:v>29</x:v>
      </x:c>
      <x:c r="I723" s="18" t="n">
        <x:v>26</x:v>
      </x:c>
      <x:c r="J723" s="18" t="n">
        <x:v>93</x:v>
      </x:c>
      <x:c r="K723" s="18" t="n">
        <x:v>26</x:v>
      </x:c>
      <x:c r="L723" s="18" t="n">
        <x:v>25</x:v>
      </x:c>
      <x:c r="M723" s="18" t="n">
        <x:v>26</x:v>
      </x:c>
    </x:row>
    <x:row r="724">
      <x:c r="A724" s="22" t="str">
        <x:v>500106115</x:v>
      </x:c>
      <x:c r="B724" s="17" t="str">
        <x:v>中正區</x:v>
      </x:c>
      <x:c r="C724" s="17" t="str">
        <x:v>臺灣文學基地</x:v>
      </x:c>
      <x:c r="D724" s="18" t="n">
        <x:v>26</x:v>
      </x:c>
      <x:c r="E724" s="18" t="n">
        <x:v>26</x:v>
      </x:c>
      <x:c r="F724" s="18" t="n">
        <x:v>276</x:v>
      </x:c>
      <x:c r="G724" s="18" t="n">
        <x:v>26</x:v>
      </x:c>
      <x:c r="H724" s="18" t="n">
        <x:v>52</x:v>
      </x:c>
      <x:c r="I724" s="18" t="n">
        <x:v>26</x:v>
      </x:c>
      <x:c r="J724" s="18" t="n">
        <x:v>143</x:v>
      </x:c>
      <x:c r="K724" s="18" t="n">
        <x:v>26</x:v>
      </x:c>
      <x:c r="L724" s="18" t="n">
        <x:v>31</x:v>
      </x:c>
      <x:c r="M724" s="18" t="n">
        <x:v>26</x:v>
      </x:c>
    </x:row>
    <x:row r="725">
      <x:c r="A725" s="22" t="str">
        <x:v>500106116</x:v>
      </x:c>
      <x:c r="B725" s="17" t="str">
        <x:v>中正區</x:v>
      </x:c>
      <x:c r="C725" s="17" t="str">
        <x:v>重慶南詔安街口</x:v>
      </x:c>
      <x:c r="D725" s="18" t="n">
        <x:v>26</x:v>
      </x:c>
      <x:c r="E725" s="18" t="n">
        <x:v>26</x:v>
      </x:c>
      <x:c r="F725" s="18" t="n">
        <x:v>416</x:v>
      </x:c>
      <x:c r="G725" s="18" t="n">
        <x:v>26</x:v>
      </x:c>
      <x:c r="H725" s="18" t="n">
        <x:v>42</x:v>
      </x:c>
      <x:c r="I725" s="18" t="n">
        <x:v>26</x:v>
      </x:c>
      <x:c r="J725" s="18" t="n">
        <x:v>150</x:v>
      </x:c>
      <x:c r="K725" s="18" t="n">
        <x:v>26</x:v>
      </x:c>
      <x:c r="L725" s="18" t="n">
        <x:v>22</x:v>
      </x:c>
      <x:c r="M725" s="18" t="n">
        <x:v>26</x:v>
      </x:c>
    </x:row>
    <x:row r="726">
      <x:c r="A726" s="22" t="str">
        <x:v>500106117</x:v>
      </x:c>
      <x:c r="B726" s="17" t="str">
        <x:v>中正區</x:v>
      </x:c>
      <x:c r="C726" s="17" t="str">
        <x:v>文光公園</x:v>
      </x:c>
      <x:c r="D726" s="18" t="n">
        <x:v>26</x:v>
      </x:c>
      <x:c r="E726" s="18" t="n">
        <x:v>26</x:v>
      </x:c>
      <x:c r="F726" s="18" t="n">
        <x:v>408</x:v>
      </x:c>
      <x:c r="G726" s="18" t="n">
        <x:v>26</x:v>
      </x:c>
      <x:c r="H726" s="18" t="n">
        <x:v>63</x:v>
      </x:c>
      <x:c r="I726" s="18" t="n">
        <x:v>26</x:v>
      </x:c>
      <x:c r="J726" s="18" t="n">
        <x:v>117</x:v>
      </x:c>
      <x:c r="K726" s="18" t="n">
        <x:v>26</x:v>
      </x:c>
      <x:c r="L726" s="18" t="n">
        <x:v>34</x:v>
      </x:c>
      <x:c r="M726" s="18" t="n">
        <x:v>26</x:v>
      </x:c>
    </x:row>
    <x:row r="727">
      <x:c r="A727" s="22" t="str">
        <x:v>500106118</x:v>
      </x:c>
      <x:c r="B727" s="17" t="str">
        <x:v>中正區</x:v>
      </x:c>
      <x:c r="C727" s="17" t="str">
        <x:v>捷運中正紀念堂站(2號出口)</x:v>
      </x:c>
      <x:c r="D727" s="18" t="n">
        <x:v>26</x:v>
      </x:c>
      <x:c r="E727" s="18" t="n">
        <x:v>26</x:v>
      </x:c>
      <x:c r="F727" s="18" t="n">
        <x:v>166</x:v>
      </x:c>
      <x:c r="G727" s="18" t="n">
        <x:v>26</x:v>
      </x:c>
      <x:c r="H727" s="18" t="n">
        <x:v>23</x:v>
      </x:c>
      <x:c r="I727" s="18" t="n">
        <x:v>26</x:v>
      </x:c>
      <x:c r="J727" s="18" t="n">
        <x:v>120</x:v>
      </x:c>
      <x:c r="K727" s="18" t="n">
        <x:v>26</x:v>
      </x:c>
      <x:c r="L727" s="18" t="n">
        <x:v>32</x:v>
      </x:c>
      <x:c r="M727" s="18" t="n">
        <x:v>26</x:v>
      </x:c>
    </x:row>
    <x:row r="728">
      <x:c r="A728" s="22" t="str">
        <x:v>500106119</x:v>
      </x:c>
      <x:c r="B728" s="17" t="str">
        <x:v>中正區</x:v>
      </x:c>
      <x:c r="C728" s="17" t="str">
        <x:v>螢圃里小公園</x:v>
      </x:c>
      <x:c r="D728" s="18" t="n">
        <x:v>26</x:v>
      </x:c>
      <x:c r="E728" s="18" t="n">
        <x:v>26</x:v>
      </x:c>
      <x:c r="F728" s="18" t="n">
        <x:v>549</x:v>
      </x:c>
      <x:c r="G728" s="18" t="n">
        <x:v>26</x:v>
      </x:c>
      <x:c r="H728" s="18" t="n">
        <x:v>50</x:v>
      </x:c>
      <x:c r="I728" s="18" t="n">
        <x:v>26</x:v>
      </x:c>
      <x:c r="J728" s="18" t="n">
        <x:v>93</x:v>
      </x:c>
      <x:c r="K728" s="18" t="n">
        <x:v>26</x:v>
      </x:c>
      <x:c r="L728" s="18" t="n">
        <x:v>14</x:v>
      </x:c>
      <x:c r="M728" s="18" t="n">
        <x:v>26</x:v>
      </x:c>
    </x:row>
    <x:row r="729">
      <x:c r="A729" s="22" t="str">
        <x:v>500106120</x:v>
      </x:c>
      <x:c r="B729" s="17" t="str">
        <x:v>中正區</x:v>
      </x:c>
      <x:c r="C729" s="17" t="str">
        <x:v>螢橋公園</x:v>
      </x:c>
      <x:c r="D729" s="18" t="n">
        <x:v>26</x:v>
      </x:c>
      <x:c r="E729" s="18" t="n">
        <x:v>26</x:v>
      </x:c>
      <x:c r="F729" s="18" t="n">
        <x:v>220</x:v>
      </x:c>
      <x:c r="G729" s="18" t="n">
        <x:v>26</x:v>
      </x:c>
      <x:c r="H729" s="18" t="n">
        <x:v>25</x:v>
      </x:c>
      <x:c r="I729" s="18" t="n">
        <x:v>26</x:v>
      </x:c>
      <x:c r="J729" s="18" t="n">
        <x:v>42</x:v>
      </x:c>
      <x:c r="K729" s="18" t="n">
        <x:v>26</x:v>
      </x:c>
      <x:c r="L729" s="18" t="n">
        <x:v>14</x:v>
      </x:c>
      <x:c r="M729" s="18" t="n">
        <x:v>26</x:v>
      </x:c>
    </x:row>
    <x:row r="730">
      <x:c r="A730" s="22" t="str">
        <x:v>500106121</x:v>
      </x:c>
      <x:c r="B730" s="17" t="str">
        <x:v>中正區</x:v>
      </x:c>
      <x:c r="C730" s="17" t="str">
        <x:v>泉州寧波西街口</x:v>
      </x:c>
      <x:c r="D730" s="18" t="n">
        <x:v>26</x:v>
      </x:c>
      <x:c r="E730" s="18" t="n">
        <x:v>26</x:v>
      </x:c>
      <x:c r="F730" s="18" t="n">
        <x:v>246</x:v>
      </x:c>
      <x:c r="G730" s="18" t="n">
        <x:v>26</x:v>
      </x:c>
      <x:c r="H730" s="18" t="n">
        <x:v>44</x:v>
      </x:c>
      <x:c r="I730" s="18" t="n">
        <x:v>26</x:v>
      </x:c>
      <x:c r="J730" s="18" t="n">
        <x:v>1722</x:v>
      </x:c>
      <x:c r="K730" s="18" t="n">
        <x:v>26</x:v>
      </x:c>
      <x:c r="L730" s="18" t="n">
        <x:v>111</x:v>
      </x:c>
      <x:c r="M730" s="18" t="n">
        <x:v>26</x:v>
      </x:c>
    </x:row>
    <x:row r="731">
      <x:c r="A731" s="22" t="str">
        <x:v>500106122</x:v>
      </x:c>
      <x:c r="B731" s="17" t="str">
        <x:v>中正區</x:v>
      </x:c>
      <x:c r="C731" s="17" t="str">
        <x:v>和平西路二段98巷口</x:v>
      </x:c>
      <x:c r="D731" s="18" t="n">
        <x:v>26</x:v>
      </x:c>
      <x:c r="E731" s="18" t="n">
        <x:v>26</x:v>
      </x:c>
      <x:c r="F731" s="18" t="n">
        <x:v>262</x:v>
      </x:c>
      <x:c r="G731" s="18" t="n">
        <x:v>26</x:v>
      </x:c>
      <x:c r="H731" s="18" t="n">
        <x:v>33</x:v>
      </x:c>
      <x:c r="I731" s="18" t="n">
        <x:v>26</x:v>
      </x:c>
      <x:c r="J731" s="18" t="n">
        <x:v>129</x:v>
      </x:c>
      <x:c r="K731" s="18" t="n">
        <x:v>26</x:v>
      </x:c>
      <x:c r="L731" s="18" t="n">
        <x:v>18</x:v>
      </x:c>
      <x:c r="M731" s="18" t="n">
        <x:v>26</x:v>
      </x:c>
    </x:row>
    <x:row r="732">
      <x:c r="A732" s="22" t="str">
        <x:v>500106123</x:v>
      </x:c>
      <x:c r="B732" s="17" t="str">
        <x:v>中正區</x:v>
      </x:c>
      <x:c r="C732" s="17" t="str">
        <x:v>仁愛路二段92巷口</x:v>
      </x:c>
      <x:c r="D732" s="18" t="n">
        <x:v>26</x:v>
      </x:c>
      <x:c r="E732" s="18" t="n">
        <x:v>26</x:v>
      </x:c>
      <x:c r="F732" s="18" t="n">
        <x:v>160</x:v>
      </x:c>
      <x:c r="G732" s="18" t="n">
        <x:v>26</x:v>
      </x:c>
      <x:c r="H732" s="18" t="n">
        <x:v>48</x:v>
      </x:c>
      <x:c r="I732" s="18" t="n">
        <x:v>26</x:v>
      </x:c>
      <x:c r="J732" s="18" t="n">
        <x:v>119</x:v>
      </x:c>
      <x:c r="K732" s="18" t="n">
        <x:v>26</x:v>
      </x:c>
      <x:c r="L732" s="18" t="n">
        <x:v>35</x:v>
      </x:c>
      <x:c r="M732" s="18" t="n">
        <x:v>26</x:v>
      </x:c>
    </x:row>
    <x:row r="733">
      <x:c r="A733" s="22" t="str">
        <x:v>500106124</x:v>
      </x:c>
      <x:c r="B733" s="17" t="str">
        <x:v>中正區</x:v>
      </x:c>
      <x:c r="C733" s="17" t="str">
        <x:v>幸安市場</x:v>
      </x:c>
      <x:c r="D733" s="18" t="n">
        <x:v>26</x:v>
      </x:c>
      <x:c r="E733" s="18" t="n">
        <x:v>26</x:v>
      </x:c>
      <x:c r="F733" s="18" t="n">
        <x:v>96</x:v>
      </x:c>
      <x:c r="G733" s="18" t="n">
        <x:v>26</x:v>
      </x:c>
      <x:c r="H733" s="18" t="n">
        <x:v>22</x:v>
      </x:c>
      <x:c r="I733" s="18" t="n">
        <x:v>26</x:v>
      </x:c>
      <x:c r="J733" s="18" t="n">
        <x:v>60</x:v>
      </x:c>
      <x:c r="K733" s="18" t="n">
        <x:v>26</x:v>
      </x:c>
      <x:c r="L733" s="18" t="n">
        <x:v>17</x:v>
      </x:c>
      <x:c r="M733" s="18" t="n">
        <x:v>26</x:v>
      </x:c>
    </x:row>
    <x:row r="734">
      <x:c r="A734" s="22" t="str">
        <x:v>500106125</x:v>
      </x:c>
      <x:c r="B734" s="17" t="str">
        <x:v>中正區</x:v>
      </x:c>
      <x:c r="C734" s="17" t="str">
        <x:v>龍口市場</x:v>
      </x:c>
      <x:c r="D734" s="18" t="n">
        <x:v>26</x:v>
      </x:c>
      <x:c r="E734" s="18" t="n">
        <x:v>26</x:v>
      </x:c>
      <x:c r="F734" s="18" t="n">
        <x:v>375</x:v>
      </x:c>
      <x:c r="G734" s="18" t="n">
        <x:v>26</x:v>
      </x:c>
      <x:c r="H734" s="18" t="n">
        <x:v>29</x:v>
      </x:c>
      <x:c r="I734" s="18" t="n">
        <x:v>26</x:v>
      </x:c>
      <x:c r="J734" s="18" t="n">
        <x:v>103</x:v>
      </x:c>
      <x:c r="K734" s="18" t="n">
        <x:v>26</x:v>
      </x:c>
      <x:c r="L734" s="18" t="n">
        <x:v>16</x:v>
      </x:c>
      <x:c r="M734" s="18" t="n">
        <x:v>26</x:v>
      </x:c>
    </x:row>
    <x:row r="735">
      <x:c r="A735" s="22" t="str">
        <x:v>500106126</x:v>
      </x:c>
      <x:c r="B735" s="17" t="str">
        <x:v>中正區</x:v>
      </x:c>
      <x:c r="C735" s="17" t="str">
        <x:v>捷運善導寺站(5號出口)</x:v>
      </x:c>
      <x:c r="D735" s="18" t="n">
        <x:v>26</x:v>
      </x:c>
      <x:c r="E735" s="18" t="n">
        <x:v>26</x:v>
      </x:c>
      <x:c r="F735" s="18" t="n">
        <x:v>162</x:v>
      </x:c>
      <x:c r="G735" s="18" t="n">
        <x:v>26</x:v>
      </x:c>
      <x:c r="H735" s="18" t="n">
        <x:v>46</x:v>
      </x:c>
      <x:c r="I735" s="18" t="n">
        <x:v>26</x:v>
      </x:c>
      <x:c r="J735" s="18" t="n">
        <x:v>300</x:v>
      </x:c>
      <x:c r="K735" s="18" t="n">
        <x:v>26</x:v>
      </x:c>
      <x:c r="L735" s="18" t="n">
        <x:v>42</x:v>
      </x:c>
      <x:c r="M735" s="18" t="n">
        <x:v>26</x:v>
      </x:c>
    </x:row>
    <x:row r="736">
      <x:c r="A736" s="22" t="str">
        <x:v>500106127</x:v>
      </x:c>
      <x:c r="B736" s="17" t="str">
        <x:v>中正區</x:v>
      </x:c>
      <x:c r="C736" s="17" t="str">
        <x:v>青島杭州路口</x:v>
      </x:c>
      <x:c r="D736" s="18" t="n">
        <x:v>26</x:v>
      </x:c>
      <x:c r="E736" s="18" t="n">
        <x:v>26</x:v>
      </x:c>
      <x:c r="F736" s="18" t="n">
        <x:v>147</x:v>
      </x:c>
      <x:c r="G736" s="18" t="n">
        <x:v>26</x:v>
      </x:c>
      <x:c r="H736" s="18" t="n">
        <x:v>35</x:v>
      </x:c>
      <x:c r="I736" s="18" t="n">
        <x:v>26</x:v>
      </x:c>
      <x:c r="J736" s="18" t="n">
        <x:v>192</x:v>
      </x:c>
      <x:c r="K736" s="18" t="n">
        <x:v>26</x:v>
      </x:c>
      <x:c r="L736" s="18" t="n">
        <x:v>65</x:v>
      </x:c>
      <x:c r="M736" s="18" t="n">
        <x:v>26</x:v>
      </x:c>
    </x:row>
    <x:row r="737">
      <x:c r="A737" s="22" t="str">
        <x:v>500106128</x:v>
      </x:c>
      <x:c r="B737" s="17" t="str">
        <x:v>中正區</x:v>
      </x:c>
      <x:c r="C737" s="17" t="str">
        <x:v>詔安街37巷口</x:v>
      </x:c>
      <x:c r="D737" s="18" t="n">
        <x:v>26</x:v>
      </x:c>
      <x:c r="E737" s="18" t="n">
        <x:v>26</x:v>
      </x:c>
      <x:c r="F737" s="18" t="n">
        <x:v>563</x:v>
      </x:c>
      <x:c r="G737" s="18" t="n">
        <x:v>26</x:v>
      </x:c>
      <x:c r="H737" s="18" t="n">
        <x:v>79</x:v>
      </x:c>
      <x:c r="I737" s="18" t="n">
        <x:v>26</x:v>
      </x:c>
      <x:c r="J737" s="18" t="n">
        <x:v>125</x:v>
      </x:c>
      <x:c r="K737" s="18" t="n">
        <x:v>26</x:v>
      </x:c>
      <x:c r="L737" s="18" t="n">
        <x:v>20</x:v>
      </x:c>
      <x:c r="M737" s="18" t="n">
        <x:v>26</x:v>
      </x:c>
    </x:row>
    <x:row r="738">
      <x:c r="A738" s="22" t="str">
        <x:v>500106129</x:v>
      </x:c>
      <x:c r="B738" s="17" t="str">
        <x:v>中正區</x:v>
      </x:c>
      <x:c r="C738" s="17" t="str">
        <x:v>南海路112巷口</x:v>
      </x:c>
      <x:c r="D738" s="18" t="n">
        <x:v>26</x:v>
      </x:c>
      <x:c r="E738" s="18" t="n">
        <x:v>26</x:v>
      </x:c>
      <x:c r="F738" s="18" t="n">
        <x:v>383</x:v>
      </x:c>
      <x:c r="G738" s="18" t="n">
        <x:v>26</x:v>
      </x:c>
      <x:c r="H738" s="18" t="n">
        <x:v>47</x:v>
      </x:c>
      <x:c r="I738" s="18" t="n">
        <x:v>26</x:v>
      </x:c>
      <x:c r="J738" s="18" t="n">
        <x:v>200</x:v>
      </x:c>
      <x:c r="K738" s="18" t="n">
        <x:v>26</x:v>
      </x:c>
      <x:c r="L738" s="18" t="n">
        <x:v>16</x:v>
      </x:c>
      <x:c r="M738" s="18" t="n">
        <x:v>26</x:v>
      </x:c>
    </x:row>
    <x:row r="739">
      <x:c r="A739" s="22" t="str">
        <x:v>500106130</x:v>
      </x:c>
      <x:c r="B739" s="17" t="str">
        <x:v>中正區</x:v>
      </x:c>
      <x:c r="C739" s="17" t="str">
        <x:v>牯嶺街95巷</x:v>
      </x:c>
      <x:c r="D739" s="18" t="n">
        <x:v>26</x:v>
      </x:c>
      <x:c r="E739" s="18" t="n">
        <x:v>26</x:v>
      </x:c>
      <x:c r="F739" s="18" t="n">
        <x:v>341</x:v>
      </x:c>
      <x:c r="G739" s="18" t="n">
        <x:v>26</x:v>
      </x:c>
      <x:c r="H739" s="18" t="n">
        <x:v>46</x:v>
      </x:c>
      <x:c r="I739" s="18" t="n">
        <x:v>26</x:v>
      </x:c>
      <x:c r="J739" s="18" t="n">
        <x:v>81</x:v>
      </x:c>
      <x:c r="K739" s="18" t="n">
        <x:v>26</x:v>
      </x:c>
      <x:c r="L739" s="18" t="n">
        <x:v>17</x:v>
      </x:c>
      <x:c r="M739" s="18" t="n">
        <x:v>26</x:v>
      </x:c>
    </x:row>
    <x:row r="740">
      <x:c r="A740" s="22" t="str">
        <x:v>500106131</x:v>
      </x:c>
      <x:c r="B740" s="17" t="str">
        <x:v>中正區</x:v>
      </x:c>
      <x:c r="C740" s="17" t="str">
        <x:v>仁愛紹興路口(北側)</x:v>
      </x:c>
      <x:c r="D740" s="18" t="n">
        <x:v>26</x:v>
      </x:c>
      <x:c r="E740" s="18" t="n">
        <x:v>26</x:v>
      </x:c>
      <x:c r="F740" s="18" t="n">
        <x:v>85</x:v>
      </x:c>
      <x:c r="G740" s="18" t="n">
        <x:v>26</x:v>
      </x:c>
      <x:c r="H740" s="18" t="n">
        <x:v>19</x:v>
      </x:c>
      <x:c r="I740" s="18" t="n">
        <x:v>26</x:v>
      </x:c>
      <x:c r="J740" s="18" t="n">
        <x:v>200</x:v>
      </x:c>
      <x:c r="K740" s="18" t="n">
        <x:v>26</x:v>
      </x:c>
      <x:c r="L740" s="18" t="n">
        <x:v>38</x:v>
      </x:c>
      <x:c r="M740" s="18" t="n">
        <x:v>26</x:v>
      </x:c>
    </x:row>
    <x:row r="741">
      <x:c r="A741" s="22" t="str">
        <x:v>500106132</x:v>
      </x:c>
      <x:c r="B741" s="17" t="str">
        <x:v>中正區</x:v>
      </x:c>
      <x:c r="C741" s="17" t="str">
        <x:v>貴陽博愛路口</x:v>
      </x:c>
      <x:c r="D741" s="18" t="n">
        <x:v>26</x:v>
      </x:c>
      <x:c r="E741" s="18" t="n">
        <x:v>26</x:v>
      </x:c>
      <x:c r="F741" s="18" t="n">
        <x:v>150</x:v>
      </x:c>
      <x:c r="G741" s="18" t="n">
        <x:v>26</x:v>
      </x:c>
      <x:c r="H741" s="18" t="n">
        <x:v>32</x:v>
      </x:c>
      <x:c r="I741" s="18" t="n">
        <x:v>26</x:v>
      </x:c>
      <x:c r="J741" s="18" t="n">
        <x:v>1396</x:v>
      </x:c>
      <x:c r="K741" s="18" t="n">
        <x:v>26</x:v>
      </x:c>
      <x:c r="L741" s="18" t="n">
        <x:v>120</x:v>
      </x:c>
      <x:c r="M741" s="18" t="n">
        <x:v>26</x:v>
      </x:c>
    </x:row>
    <x:row r="742">
      <x:c r="A742" s="22" t="str">
        <x:v>500106133</x:v>
      </x:c>
      <x:c r="B742" s="17" t="str">
        <x:v>中正區</x:v>
      </x:c>
      <x:c r="C742" s="17" t="str">
        <x:v>國立臺灣博物館南門館</x:v>
      </x:c>
      <x:c r="D742" s="18" t="n">
        <x:v>26</x:v>
      </x:c>
      <x:c r="E742" s="18" t="n">
        <x:v>26</x:v>
      </x:c>
      <x:c r="F742" s="18" t="n">
        <x:v>122</x:v>
      </x:c>
      <x:c r="G742" s="18" t="n">
        <x:v>26</x:v>
      </x:c>
      <x:c r="H742" s="18" t="n">
        <x:v>21</x:v>
      </x:c>
      <x:c r="I742" s="18" t="n">
        <x:v>26</x:v>
      </x:c>
      <x:c r="J742" s="18" t="n">
        <x:v>275</x:v>
      </x:c>
      <x:c r="K742" s="18" t="n">
        <x:v>26</x:v>
      </x:c>
      <x:c r="L742" s="18" t="n">
        <x:v>33</x:v>
      </x:c>
      <x:c r="M742" s="18" t="n">
        <x:v>26</x:v>
      </x:c>
    </x:row>
    <x:row r="743">
      <x:c r="A743" s="22" t="str">
        <x:v>500106134</x:v>
      </x:c>
      <x:c r="B743" s="17" t="str">
        <x:v>中正區</x:v>
      </x:c>
      <x:c r="C743" s="17" t="str">
        <x:v>汀州路一段106巷口</x:v>
      </x:c>
      <x:c r="D743" s="18" t="n">
        <x:v>26</x:v>
      </x:c>
      <x:c r="E743" s="18" t="n">
        <x:v>26</x:v>
      </x:c>
      <x:c r="F743" s="18" t="n">
        <x:v>267</x:v>
      </x:c>
      <x:c r="G743" s="18" t="n">
        <x:v>26</x:v>
      </x:c>
      <x:c r="H743" s="18" t="n">
        <x:v>31</x:v>
      </x:c>
      <x:c r="I743" s="18" t="n">
        <x:v>26</x:v>
      </x:c>
      <x:c r="J743" s="18" t="n">
        <x:v>98</x:v>
      </x:c>
      <x:c r="K743" s="18" t="n">
        <x:v>26</x:v>
      </x:c>
      <x:c r="L743" s="18" t="n">
        <x:v>17</x:v>
      </x:c>
      <x:c r="M743" s="18" t="n">
        <x:v>26</x:v>
      </x:c>
    </x:row>
    <x:row r="744">
      <x:c r="A744" s="22" t="str">
        <x:v>500106135</x:v>
      </x:c>
      <x:c r="B744" s="17" t="str">
        <x:v>中正區</x:v>
      </x:c>
      <x:c r="C744" s="17" t="str">
        <x:v>羅斯福路四段108巷口</x:v>
      </x:c>
      <x:c r="D744" s="18" t="n">
        <x:v>26</x:v>
      </x:c>
      <x:c r="E744" s="18" t="n">
        <x:v>26</x:v>
      </x:c>
      <x:c r="F744" s="18" t="n">
        <x:v>123</x:v>
      </x:c>
      <x:c r="G744" s="18" t="n">
        <x:v>26</x:v>
      </x:c>
      <x:c r="H744" s="18" t="n">
        <x:v>25</x:v>
      </x:c>
      <x:c r="I744" s="18" t="n">
        <x:v>26</x:v>
      </x:c>
      <x:c r="J744" s="18" t="n">
        <x:v>225</x:v>
      </x:c>
      <x:c r="K744" s="18" t="n">
        <x:v>26</x:v>
      </x:c>
      <x:c r="L744" s="18" t="n">
        <x:v>42</x:v>
      </x:c>
      <x:c r="M744" s="18" t="n">
        <x:v>26</x:v>
      </x:c>
    </x:row>
    <x:row r="745">
      <x:c r="A745" s="22" t="str">
        <x:v>500106136</x:v>
      </x:c>
      <x:c r="B745" s="17" t="str">
        <x:v>中正區</x:v>
      </x:c>
      <x:c r="C745" s="17" t="str">
        <x:v>公館水岸廣場</x:v>
      </x:c>
      <x:c r="D745" s="18" t="n">
        <x:v>26</x:v>
      </x:c>
      <x:c r="E745" s="18" t="n">
        <x:v>26</x:v>
      </x:c>
      <x:c r="F745" s="18" t="n">
        <x:v>171</x:v>
      </x:c>
      <x:c r="G745" s="18" t="n">
        <x:v>26</x:v>
      </x:c>
      <x:c r="H745" s="18" t="n">
        <x:v>49</x:v>
      </x:c>
      <x:c r="I745" s="18" t="n">
        <x:v>26</x:v>
      </x:c>
      <x:c r="J745" s="18" t="n">
        <x:v>100</x:v>
      </x:c>
      <x:c r="K745" s="18" t="n">
        <x:v>26</x:v>
      </x:c>
      <x:c r="L745" s="18" t="n">
        <x:v>24</x:v>
      </x:c>
      <x:c r="M745" s="18" t="n">
        <x:v>26</x:v>
      </x:c>
    </x:row>
    <x:row r="746">
      <x:c r="A746" s="22" t="str">
        <x:v>500106137</x:v>
      </x:c>
      <x:c r="B746" s="17" t="str">
        <x:v>中正區</x:v>
      </x:c>
      <x:c r="C746" s="17" t="str">
        <x:v>捷運小南門站(3號出口)</x:v>
      </x:c>
      <x:c r="D746" s="18" t="n">
        <x:v>26</x:v>
      </x:c>
      <x:c r="E746" s="18" t="n">
        <x:v>26</x:v>
      </x:c>
      <x:c r="F746" s="18" t="n">
        <x:v>118</x:v>
      </x:c>
      <x:c r="G746" s="18" t="n">
        <x:v>26</x:v>
      </x:c>
      <x:c r="H746" s="18" t="n">
        <x:v>24</x:v>
      </x:c>
      <x:c r="I746" s="18" t="n">
        <x:v>26</x:v>
      </x:c>
      <x:c r="J746" s="18" t="n">
        <x:v>217</x:v>
      </x:c>
      <x:c r="K746" s="18" t="n">
        <x:v>26</x:v>
      </x:c>
      <x:c r="L746" s="18" t="n">
        <x:v>34</x:v>
      </x:c>
      <x:c r="M746" s="18" t="n">
        <x:v>26</x:v>
      </x:c>
    </x:row>
    <x:row r="747">
      <x:c r="A747" s="22" t="str">
        <x:v>500106138</x:v>
      </x:c>
      <x:c r="B747" s="17" t="str">
        <x:v>中正區</x:v>
      </x:c>
      <x:c r="C747" s="17" t="str">
        <x:v>臨沂街停車場</x:v>
      </x:c>
      <x:c r="D747" s="18" t="n">
        <x:v>26</x:v>
      </x:c>
      <x:c r="E747" s="18" t="n">
        <x:v>26</x:v>
      </x:c>
      <x:c r="F747" s="18" t="n">
        <x:v>194</x:v>
      </x:c>
      <x:c r="G747" s="18" t="n">
        <x:v>26</x:v>
      </x:c>
      <x:c r="H747" s="18" t="n">
        <x:v>52</x:v>
      </x:c>
      <x:c r="I747" s="18" t="n">
        <x:v>26</x:v>
      </x:c>
      <x:c r="J747" s="18" t="n">
        <x:v>129</x:v>
      </x:c>
      <x:c r="K747" s="18" t="n">
        <x:v>26</x:v>
      </x:c>
      <x:c r="L747" s="18" t="n">
        <x:v>52</x:v>
      </x:c>
      <x:c r="M747" s="18" t="n">
        <x:v>26</x:v>
      </x:c>
    </x:row>
    <x:row r="748">
      <x:c r="A748" s="22" t="str">
        <x:v>500106139</x:v>
      </x:c>
      <x:c r="B748" s="17" t="str">
        <x:v>中正區</x:v>
      </x:c>
      <x:c r="C748" s="17" t="str">
        <x:v>螢橋國小(詔安街)</x:v>
      </x:c>
      <x:c r="D748" s="18" t="n">
        <x:v>26</x:v>
      </x:c>
      <x:c r="E748" s="18" t="n">
        <x:v>26</x:v>
      </x:c>
      <x:c r="F748" s="18" t="n">
        <x:v>0</x:v>
      </x:c>
      <x:c r="G748" s="18" t="n">
        <x:v>26</x:v>
      </x:c>
      <x:c r="H748" s="18" t="n">
        <x:v>0</x:v>
      </x:c>
      <x:c r="I748" s="18" t="n">
        <x:v>26</x:v>
      </x:c>
      <x:c r="J748" s="18" t="n">
        <x:v>0</x:v>
      </x:c>
      <x:c r="K748" s="18" t="n">
        <x:v>26</x:v>
      </x:c>
      <x:c r="L748" s="18" t="n">
        <x:v>0</x:v>
      </x:c>
      <x:c r="M748" s="18" t="n">
        <x:v>26</x:v>
      </x:c>
    </x:row>
    <x:row r="749">
      <x:c r="A749" s="22" t="str">
        <x:v>500106140</x:v>
      </x:c>
      <x:c r="B749" s="17" t="str">
        <x:v>中正區</x:v>
      </x:c>
      <x:c r="C749" s="17" t="str">
        <x:v>經濟部(重慶南路三段27巷)</x:v>
      </x:c>
      <x:c r="D749" s="18" t="n">
        <x:v>26</x:v>
      </x:c>
      <x:c r="E749" s="18" t="n">
        <x:v>26</x:v>
      </x:c>
      <x:c r="F749" s="18" t="n">
        <x:v>0</x:v>
      </x:c>
      <x:c r="G749" s="18" t="n">
        <x:v>26</x:v>
      </x:c>
      <x:c r="H749" s="18" t="n">
        <x:v>0</x:v>
      </x:c>
      <x:c r="I749" s="18" t="n">
        <x:v>26</x:v>
      </x:c>
      <x:c r="J749" s="18" t="n">
        <x:v>0</x:v>
      </x:c>
      <x:c r="K749" s="18" t="n">
        <x:v>26</x:v>
      </x:c>
      <x:c r="L749" s="18" t="n">
        <x:v>0</x:v>
      </x:c>
      <x:c r="M749" s="18" t="n">
        <x:v>26</x:v>
      </x:c>
    </x:row>
    <x:row r="750">
      <x:c r="A750" s="22" t="str">
        <x:v>500106141</x:v>
      </x:c>
      <x:c r="B750" s="17" t="str">
        <x:v>中正區</x:v>
      </x:c>
      <x:c r="C750" s="17" t="str">
        <x:v>愛國東路116巷口</x:v>
      </x:c>
      <x:c r="D750" s="18" t="n">
        <x:v>26</x:v>
      </x:c>
      <x:c r="E750" s="18" t="n">
        <x:v>26</x:v>
      </x:c>
      <x:c r="F750" s="18" t="n">
        <x:v>0</x:v>
      </x:c>
      <x:c r="G750" s="18" t="n">
        <x:v>26</x:v>
      </x:c>
      <x:c r="H750" s="18" t="n">
        <x:v>0</x:v>
      </x:c>
      <x:c r="I750" s="18" t="n">
        <x:v>26</x:v>
      </x:c>
      <x:c r="J750" s="18" t="n">
        <x:v>0</x:v>
      </x:c>
      <x:c r="K750" s="18" t="n">
        <x:v>26</x:v>
      </x:c>
      <x:c r="L750" s="18" t="n">
        <x:v>0</x:v>
      </x:c>
      <x:c r="M750" s="18" t="n">
        <x:v>26</x:v>
      </x:c>
    </x:row>
    <x:row r="751">
      <x:c r="A751" s="22" t="str">
        <x:v>500106142</x:v>
      </x:c>
      <x:c r="B751" s="17" t="str">
        <x:v>中正區</x:v>
      </x:c>
      <x:c r="C751" s="17" t="str">
        <x:v>愛國東羅斯福路口</x:v>
      </x:c>
      <x:c r="D751" s="18" t="n">
        <x:v>26</x:v>
      </x:c>
      <x:c r="E751" s="18" t="n">
        <x:v>26</x:v>
      </x:c>
      <x:c r="F751" s="18" t="n">
        <x:v>141</x:v>
      </x:c>
      <x:c r="G751" s="18" t="n">
        <x:v>26</x:v>
      </x:c>
      <x:c r="H751" s="18" t="n">
        <x:v>9</x:v>
      </x:c>
      <x:c r="I751" s="18" t="n">
        <x:v>26</x:v>
      </x:c>
      <x:c r="J751" s="18" t="n">
        <x:v>260</x:v>
      </x:c>
      <x:c r="K751" s="18" t="n">
        <x:v>26</x:v>
      </x:c>
      <x:c r="L751" s="18" t="n">
        <x:v>30</x:v>
      </x:c>
      <x:c r="M751" s="18" t="n">
        <x:v>26</x:v>
      </x:c>
    </x:row>
    <x:row r="752">
      <x:c r="A752" s="22" t="str">
        <x:v>500106143</x:v>
      </x:c>
      <x:c r="B752" s="17" t="str">
        <x:v>中正區</x:v>
      </x:c>
      <x:c r="C752" s="17" t="str">
        <x:v>螢橋國中</x:v>
      </x:c>
      <x:c r="D752" s="18" t="n">
        <x:v>26</x:v>
      </x:c>
      <x:c r="E752" s="18" t="n">
        <x:v>26</x:v>
      </x:c>
      <x:c r="F752" s="18" t="n">
        <x:v>264</x:v>
      </x:c>
      <x:c r="G752" s="18" t="n">
        <x:v>26</x:v>
      </x:c>
      <x:c r="H752" s="18" t="n">
        <x:v>45</x:v>
      </x:c>
      <x:c r="I752" s="18" t="n">
        <x:v>26</x:v>
      </x:c>
      <x:c r="J752" s="18" t="n">
        <x:v>97</x:v>
      </x:c>
      <x:c r="K752" s="18" t="n">
        <x:v>26</x:v>
      </x:c>
      <x:c r="L752" s="18" t="n">
        <x:v>24</x:v>
      </x:c>
      <x:c r="M752" s="18" t="n">
        <x:v>26</x:v>
      </x:c>
    </x:row>
    <x:row r="753">
      <x:c r="A753" s="22" t="str">
        <x:v>500106144</x:v>
      </x:c>
      <x:c r="B753" s="17" t="str">
        <x:v>中正區</x:v>
      </x:c>
      <x:c r="C753" s="17" t="str">
        <x:v>立法院中興大樓</x:v>
      </x:c>
      <x:c r="D753" s="18" t="n">
        <x:v>26</x:v>
      </x:c>
      <x:c r="E753" s="18" t="n">
        <x:v>26</x:v>
      </x:c>
      <x:c r="F753" s="18" t="n">
        <x:v>88</x:v>
      </x:c>
      <x:c r="G753" s="18" t="n">
        <x:v>26</x:v>
      </x:c>
      <x:c r="H753" s="18" t="n">
        <x:v>23</x:v>
      </x:c>
      <x:c r="I753" s="18" t="n">
        <x:v>26</x:v>
      </x:c>
      <x:c r="J753" s="18" t="n">
        <x:v>145</x:v>
      </x:c>
      <x:c r="K753" s="18" t="n">
        <x:v>26</x:v>
      </x:c>
      <x:c r="L753" s="18" t="n">
        <x:v>41</x:v>
      </x:c>
      <x:c r="M753" s="18" t="n">
        <x:v>26</x:v>
      </x:c>
    </x:row>
    <x:row r="754">
      <x:c r="A754" s="22" t="str">
        <x:v>500106145</x:v>
      </x:c>
      <x:c r="B754" s="17" t="str">
        <x:v>中正區</x:v>
      </x:c>
      <x:c r="C754" s="17" t="str">
        <x:v>汀州南海路口</x:v>
      </x:c>
      <x:c r="D754" s="18" t="n">
        <x:v>26</x:v>
      </x:c>
      <x:c r="E754" s="18" t="n">
        <x:v>26</x:v>
      </x:c>
      <x:c r="F754" s="18" t="n">
        <x:v>334</x:v>
      </x:c>
      <x:c r="G754" s="18" t="n">
        <x:v>26</x:v>
      </x:c>
      <x:c r="H754" s="18" t="n">
        <x:v>39</x:v>
      </x:c>
      <x:c r="I754" s="18" t="n">
        <x:v>26</x:v>
      </x:c>
      <x:c r="J754" s="18" t="n">
        <x:v>97</x:v>
      </x:c>
      <x:c r="K754" s="18" t="n">
        <x:v>26</x:v>
      </x:c>
      <x:c r="L754" s="18" t="n">
        <x:v>17</x:v>
      </x:c>
      <x:c r="M754" s="18" t="n">
        <x:v>26</x:v>
      </x:c>
    </x:row>
    <x:row r="755">
      <x:c r="A755" s="22" t="str">
        <x:v>500106146</x:v>
      </x:c>
      <x:c r="B755" s="17" t="str">
        <x:v>中正區</x:v>
      </x:c>
      <x:c r="C755" s="17" t="str">
        <x:v>捷運中正紀念堂站(7號出口)</x:v>
      </x:c>
      <x:c r="D755" s="18" t="n">
        <x:v>26</x:v>
      </x:c>
      <x:c r="E755" s="18" t="n">
        <x:v>26</x:v>
      </x:c>
      <x:c r="F755" s="18" t="n">
        <x:v>93</x:v>
      </x:c>
      <x:c r="G755" s="18" t="n">
        <x:v>26</x:v>
      </x:c>
      <x:c r="H755" s="18" t="n">
        <x:v>17</x:v>
      </x:c>
      <x:c r="I755" s="18" t="n">
        <x:v>26</x:v>
      </x:c>
      <x:c r="J755" s="18" t="n">
        <x:v>232</x:v>
      </x:c>
      <x:c r="K755" s="18" t="n">
        <x:v>26</x:v>
      </x:c>
      <x:c r="L755" s="18" t="n">
        <x:v>21</x:v>
      </x:c>
      <x:c r="M755" s="18" t="n">
        <x:v>26</x:v>
      </x:c>
    </x:row>
    <x:row r="756">
      <x:c r="A756" s="22" t="str">
        <x:v>500106147</x:v>
      </x:c>
      <x:c r="B756" s="17" t="str">
        <x:v>中正區</x:v>
      </x:c>
      <x:c r="C756" s="17" t="str">
        <x:v>羅斯福路三段210巷口</x:v>
      </x:c>
      <x:c r="D756" s="18" t="n">
        <x:v>26</x:v>
      </x:c>
      <x:c r="E756" s="18" t="n">
        <x:v>26</x:v>
      </x:c>
      <x:c r="F756" s="18" t="n">
        <x:v>175</x:v>
      </x:c>
      <x:c r="G756" s="18" t="n">
        <x:v>26</x:v>
      </x:c>
      <x:c r="H756" s="18" t="n">
        <x:v>21</x:v>
      </x:c>
      <x:c r="I756" s="18" t="n">
        <x:v>26</x:v>
      </x:c>
      <x:c r="J756" s="18" t="n">
        <x:v>74</x:v>
      </x:c>
      <x:c r="K756" s="18" t="n">
        <x:v>26</x:v>
      </x:c>
      <x:c r="L756" s="18" t="n">
        <x:v>12</x:v>
      </x:c>
      <x:c r="M756" s="18" t="n">
        <x:v>26</x:v>
      </x:c>
    </x:row>
    <x:row r="757">
      <x:c r="A757" s="22" t="str">
        <x:v>500106148</x:v>
      </x:c>
      <x:c r="B757" s="17" t="str">
        <x:v>中正區</x:v>
      </x:c>
      <x:c r="C757" s="17" t="str">
        <x:v>羅斯福路三段284巷口</x:v>
      </x:c>
      <x:c r="D757" s="18" t="n">
        <x:v>26</x:v>
      </x:c>
      <x:c r="E757" s="18" t="n">
        <x:v>26</x:v>
      </x:c>
      <x:c r="F757" s="18" t="n">
        <x:v>0</x:v>
      </x:c>
      <x:c r="G757" s="18" t="n">
        <x:v>26</x:v>
      </x:c>
      <x:c r="H757" s="18" t="n">
        <x:v>0</x:v>
      </x:c>
      <x:c r="I757" s="18" t="n">
        <x:v>26</x:v>
      </x:c>
      <x:c r="J757" s="18" t="n">
        <x:v>0</x:v>
      </x:c>
      <x:c r="K757" s="18" t="n">
        <x:v>26</x:v>
      </x:c>
      <x:c r="L757" s="18" t="n">
        <x:v>0</x:v>
      </x:c>
      <x:c r="M757" s="18" t="n">
        <x:v>26</x:v>
      </x:c>
    </x:row>
    <x:row r="758">
      <x:c r="A758" s="22" t="str">
        <x:v>500106149</x:v>
      </x:c>
      <x:c r="B758" s="17" t="str">
        <x:v>中正區</x:v>
      </x:c>
      <x:c r="C758" s="17" t="str">
        <x:v>忠義實小</x:v>
      </x:c>
      <x:c r="D758" s="18" t="n">
        <x:v>26</x:v>
      </x:c>
      <x:c r="E758" s="18" t="n">
        <x:v>26</x:v>
      </x:c>
      <x:c r="F758" s="18" t="n">
        <x:v>358</x:v>
      </x:c>
      <x:c r="G758" s="18" t="n">
        <x:v>26</x:v>
      </x:c>
      <x:c r="H758" s="18" t="n">
        <x:v>20</x:v>
      </x:c>
      <x:c r="I758" s="18" t="n">
        <x:v>26</x:v>
      </x:c>
      <x:c r="J758" s="18" t="n">
        <x:v>168</x:v>
      </x:c>
      <x:c r="K758" s="18" t="n">
        <x:v>26</x:v>
      </x:c>
      <x:c r="L758" s="18" t="n">
        <x:v>38</x:v>
      </x:c>
      <x:c r="M758" s="18" t="n">
        <x:v>26</x:v>
      </x:c>
    </x:row>
    <x:row r="759">
      <x:c r="A759" s="22" t="str">
        <x:v>500106150</x:v>
      </x:c>
      <x:c r="B759" s="17" t="str">
        <x:v>中正區</x:v>
      </x:c>
      <x:c r="C759" s="17" t="str">
        <x:v>中華路二段313巷口</x:v>
      </x:c>
      <x:c r="D759" s="18" t="n">
        <x:v>26</x:v>
      </x:c>
      <x:c r="E759" s="18" t="n">
        <x:v>26</x:v>
      </x:c>
      <x:c r="F759" s="18" t="n">
        <x:v>308</x:v>
      </x:c>
      <x:c r="G759" s="18" t="n">
        <x:v>26</x:v>
      </x:c>
      <x:c r="H759" s="18" t="n">
        <x:v>53</x:v>
      </x:c>
      <x:c r="I759" s="18" t="n">
        <x:v>26</x:v>
      </x:c>
      <x:c r="J759" s="18" t="n">
        <x:v>217</x:v>
      </x:c>
      <x:c r="K759" s="18" t="n">
        <x:v>26</x:v>
      </x:c>
      <x:c r="L759" s="18" t="n">
        <x:v>18</x:v>
      </x:c>
      <x:c r="M759" s="18" t="n">
        <x:v>26</x:v>
      </x:c>
    </x:row>
    <x:row r="760">
      <x:c r="A760" s="22" t="str">
        <x:v>500106151</x:v>
      </x:c>
      <x:c r="B760" s="17" t="str">
        <x:v>中正區</x:v>
      </x:c>
      <x:c r="C760" s="17" t="str">
        <x:v>牯嶺街9巷口</x:v>
      </x:c>
      <x:c r="D760" s="18" t="n">
        <x:v>26</x:v>
      </x:c>
      <x:c r="E760" s="18" t="n">
        <x:v>26</x:v>
      </x:c>
      <x:c r="F760" s="18" t="n">
        <x:v>148</x:v>
      </x:c>
      <x:c r="G760" s="18" t="n">
        <x:v>26</x:v>
      </x:c>
      <x:c r="H760" s="18" t="n">
        <x:v>29</x:v>
      </x:c>
      <x:c r="I760" s="18" t="n">
        <x:v>26</x:v>
      </x:c>
      <x:c r="J760" s="18" t="n">
        <x:v>225</x:v>
      </x:c>
      <x:c r="K760" s="18" t="n">
        <x:v>26</x:v>
      </x:c>
      <x:c r="L760" s="18" t="n">
        <x:v>40</x:v>
      </x:c>
      <x:c r="M760" s="18" t="n">
        <x:v>26</x:v>
      </x:c>
    </x:row>
    <x:row r="761">
      <x:c r="A761" s="22" t="str">
        <x:v>500106152</x:v>
      </x:c>
      <x:c r="B761" s="17" t="str">
        <x:v>中正區</x:v>
      </x:c>
      <x:c r="C761" s="17" t="str">
        <x:v>量水室古蹟廣場</x:v>
      </x:c>
      <x:c r="D761" s="18" t="n">
        <x:v>26</x:v>
      </x:c>
      <x:c r="E761" s="18" t="n">
        <x:v>26</x:v>
      </x:c>
      <x:c r="F761" s="18" t="n">
        <x:v>198</x:v>
      </x:c>
      <x:c r="G761" s="18" t="n">
        <x:v>26</x:v>
      </x:c>
      <x:c r="H761" s="18" t="n">
        <x:v>27</x:v>
      </x:c>
      <x:c r="I761" s="18" t="n">
        <x:v>26</x:v>
      </x:c>
      <x:c r="J761" s="18" t="n">
        <x:v>158</x:v>
      </x:c>
      <x:c r="K761" s="18" t="n">
        <x:v>26</x:v>
      </x:c>
      <x:c r="L761" s="18" t="n">
        <x:v>35</x:v>
      </x:c>
      <x:c r="M761" s="18" t="n">
        <x:v>26</x:v>
      </x:c>
    </x:row>
    <x:row r="762">
      <x:c r="A762" s="22" t="str">
        <x:v>500107001</x:v>
      </x:c>
      <x:c r="B762" s="17" t="str">
        <x:v>中山區</x:v>
      </x:c>
      <x:c r="C762" s="17" t="str">
        <x:v>通北街65巷口</x:v>
      </x:c>
      <x:c r="D762" s="18" t="n">
        <x:v>26</x:v>
      </x:c>
      <x:c r="E762" s="18" t="n">
        <x:v>26</x:v>
      </x:c>
      <x:c r="F762" s="18" t="n">
        <x:v>420</x:v>
      </x:c>
      <x:c r="G762" s="18" t="n">
        <x:v>26</x:v>
      </x:c>
      <x:c r="H762" s="18" t="n">
        <x:v>109</x:v>
      </x:c>
      <x:c r="I762" s="18" t="n">
        <x:v>26</x:v>
      </x:c>
      <x:c r="J762" s="18" t="n">
        <x:v>260</x:v>
      </x:c>
      <x:c r="K762" s="18" t="n">
        <x:v>26</x:v>
      </x:c>
      <x:c r="L762" s="18" t="n">
        <x:v>90</x:v>
      </x:c>
      <x:c r="M762" s="18" t="n">
        <x:v>26</x:v>
      </x:c>
    </x:row>
    <x:row r="763">
      <x:c r="A763" s="22" t="str">
        <x:v>500107002</x:v>
      </x:c>
      <x:c r="B763" s="17" t="str">
        <x:v>中山區</x:v>
      </x:c>
      <x:c r="C763" s="17" t="str">
        <x:v>圓山風景區</x:v>
      </x:c>
      <x:c r="D763" s="18" t="n">
        <x:v>26</x:v>
      </x:c>
      <x:c r="E763" s="18" t="n">
        <x:v>26</x:v>
      </x:c>
      <x:c r="F763" s="18" t="n">
        <x:v>117</x:v>
      </x:c>
      <x:c r="G763" s="18" t="n">
        <x:v>26</x:v>
      </x:c>
      <x:c r="H763" s="18" t="n">
        <x:v>117</x:v>
      </x:c>
      <x:c r="I763" s="18" t="n">
        <x:v>26</x:v>
      </x:c>
      <x:c r="J763" s="18" t="n">
        <x:v>262</x:v>
      </x:c>
      <x:c r="K763" s="18" t="n">
        <x:v>26</x:v>
      </x:c>
      <x:c r="L763" s="18" t="n">
        <x:v>61</x:v>
      </x:c>
      <x:c r="M763" s="18" t="n">
        <x:v>26</x:v>
      </x:c>
    </x:row>
    <x:row r="764">
      <x:c r="A764" s="22" t="str">
        <x:v>500107003</x:v>
      </x:c>
      <x:c r="B764" s="17" t="str">
        <x:v>中山區</x:v>
      </x:c>
      <x:c r="C764" s="17" t="str">
        <x:v>樂群二堤頂大道口</x:v>
      </x:c>
      <x:c r="D764" s="18" t="n">
        <x:v>26</x:v>
      </x:c>
      <x:c r="E764" s="18" t="n">
        <x:v>26</x:v>
      </x:c>
      <x:c r="F764" s="18" t="n">
        <x:v>79</x:v>
      </x:c>
      <x:c r="G764" s="18" t="n">
        <x:v>26</x:v>
      </x:c>
      <x:c r="H764" s="18" t="n">
        <x:v>22</x:v>
      </x:c>
      <x:c r="I764" s="18" t="n">
        <x:v>26</x:v>
      </x:c>
      <x:c r="J764" s="18" t="n">
        <x:v>220</x:v>
      </x:c>
      <x:c r="K764" s="18" t="n">
        <x:v>26</x:v>
      </x:c>
      <x:c r="L764" s="18" t="n">
        <x:v>39</x:v>
      </x:c>
      <x:c r="M764" s="18" t="n">
        <x:v>26</x:v>
      </x:c>
    </x:row>
    <x:row r="765">
      <x:c r="A765" s="22" t="str">
        <x:v>500107004</x:v>
      </x:c>
      <x:c r="B765" s="17" t="str">
        <x:v>中山區</x:v>
      </x:c>
      <x:c r="C765" s="17" t="str">
        <x:v>劍潭社區</x:v>
      </x:c>
      <x:c r="D765" s="18" t="n">
        <x:v>26</x:v>
      </x:c>
      <x:c r="E765" s="18" t="n">
        <x:v>26</x:v>
      </x:c>
      <x:c r="F765" s="18" t="n">
        <x:v>169</x:v>
      </x:c>
      <x:c r="G765" s="18" t="n">
        <x:v>26</x:v>
      </x:c>
      <x:c r="H765" s="18" t="n">
        <x:v>33</x:v>
      </x:c>
      <x:c r="I765" s="18" t="n">
        <x:v>26</x:v>
      </x:c>
      <x:c r="J765" s="18" t="n">
        <x:v>124</x:v>
      </x:c>
      <x:c r="K765" s="18" t="n">
        <x:v>26</x:v>
      </x:c>
      <x:c r="L765" s="18" t="n">
        <x:v>31</x:v>
      </x:c>
      <x:c r="M765" s="18" t="n">
        <x:v>26</x:v>
      </x:c>
    </x:row>
    <x:row r="766">
      <x:c r="A766" s="22" t="str">
        <x:v>500107005</x:v>
      </x:c>
      <x:c r="B766" s="17" t="str">
        <x:v>中山區</x:v>
      </x:c>
      <x:c r="C766" s="17" t="str">
        <x:v>培英公園</x:v>
      </x:c>
      <x:c r="D766" s="18" t="n">
        <x:v>26</x:v>
      </x:c>
      <x:c r="E766" s="18" t="n">
        <x:v>26</x:v>
      </x:c>
      <x:c r="F766" s="18" t="n">
        <x:v>229</x:v>
      </x:c>
      <x:c r="G766" s="18" t="n">
        <x:v>26</x:v>
      </x:c>
      <x:c r="H766" s="18" t="n">
        <x:v>84</x:v>
      </x:c>
      <x:c r="I766" s="18" t="n">
        <x:v>26</x:v>
      </x:c>
      <x:c r="J766" s="18" t="n">
        <x:v>1128</x:v>
      </x:c>
      <x:c r="K766" s="18" t="n">
        <x:v>26</x:v>
      </x:c>
      <x:c r="L766" s="18" t="n">
        <x:v>162</x:v>
      </x:c>
      <x:c r="M766" s="18" t="n">
        <x:v>26</x:v>
      </x:c>
    </x:row>
    <x:row r="767">
      <x:c r="A767" s="22" t="str">
        <x:v>500107006</x:v>
      </x:c>
      <x:c r="B767" s="17" t="str">
        <x:v>中山區</x:v>
      </x:c>
      <x:c r="C767" s="17" t="str">
        <x:v>樂群二明水路口</x:v>
      </x:c>
      <x:c r="D767" s="18" t="n">
        <x:v>26</x:v>
      </x:c>
      <x:c r="E767" s="18" t="n">
        <x:v>26</x:v>
      </x:c>
      <x:c r="F767" s="18" t="n">
        <x:v>139</x:v>
      </x:c>
      <x:c r="G767" s="18" t="n">
        <x:v>26</x:v>
      </x:c>
      <x:c r="H767" s="18" t="n">
        <x:v>33</x:v>
      </x:c>
      <x:c r="I767" s="18" t="n">
        <x:v>26</x:v>
      </x:c>
      <x:c r="J767" s="18" t="n">
        <x:v>278</x:v>
      </x:c>
      <x:c r="K767" s="18" t="n">
        <x:v>26</x:v>
      </x:c>
      <x:c r="L767" s="18" t="n">
        <x:v>69</x:v>
      </x:c>
      <x:c r="M767" s="18" t="n">
        <x:v>26</x:v>
      </x:c>
    </x:row>
    <x:row r="768">
      <x:c r="A768" s="22" t="str">
        <x:v>500107007</x:v>
      </x:c>
      <x:c r="B768" s="17" t="str">
        <x:v>中山區</x:v>
      </x:c>
      <x:c r="C768" s="17" t="str">
        <x:v>北安大直街口</x:v>
      </x:c>
      <x:c r="D768" s="18" t="n">
        <x:v>26</x:v>
      </x:c>
      <x:c r="E768" s="18" t="n">
        <x:v>26</x:v>
      </x:c>
      <x:c r="F768" s="18" t="n">
        <x:v>437</x:v>
      </x:c>
      <x:c r="G768" s="18" t="n">
        <x:v>26</x:v>
      </x:c>
      <x:c r="H768" s="18" t="n">
        <x:v>56</x:v>
      </x:c>
      <x:c r="I768" s="18" t="n">
        <x:v>26</x:v>
      </x:c>
      <x:c r="J768" s="18" t="n">
        <x:v>337</x:v>
      </x:c>
      <x:c r="K768" s="18" t="n">
        <x:v>26</x:v>
      </x:c>
      <x:c r="L768" s="18" t="n">
        <x:v>63</x:v>
      </x:c>
      <x:c r="M768" s="18" t="n">
        <x:v>26</x:v>
      </x:c>
    </x:row>
    <x:row r="769">
      <x:c r="A769" s="22" t="str">
        <x:v>500107008</x:v>
      </x:c>
      <x:c r="B769" s="17" t="str">
        <x:v>中山區</x:v>
      </x:c>
      <x:c r="C769" s="17" t="str">
        <x:v>捷運劍南路站(2號出口)</x:v>
      </x:c>
      <x:c r="D769" s="18" t="n">
        <x:v>26</x:v>
      </x:c>
      <x:c r="E769" s="18" t="n">
        <x:v>26</x:v>
      </x:c>
      <x:c r="F769" s="18" t="n">
        <x:v>251</x:v>
      </x:c>
      <x:c r="G769" s="18" t="n">
        <x:v>26</x:v>
      </x:c>
      <x:c r="H769" s="18" t="n">
        <x:v>35</x:v>
      </x:c>
      <x:c r="I769" s="18" t="n">
        <x:v>26</x:v>
      </x:c>
      <x:c r="J769" s="18" t="n">
        <x:v>409</x:v>
      </x:c>
      <x:c r="K769" s="18" t="n">
        <x:v>26</x:v>
      </x:c>
      <x:c r="L769" s="18" t="n">
        <x:v>97</x:v>
      </x:c>
      <x:c r="M769" s="18" t="n">
        <x:v>26</x:v>
      </x:c>
    </x:row>
    <x:row r="770">
      <x:c r="A770" s="22" t="str">
        <x:v>500107009</x:v>
      </x:c>
      <x:c r="B770" s="17" t="str">
        <x:v>中山區</x:v>
      </x:c>
      <x:c r="C770" s="17" t="str">
        <x:v>樂群二敬業三路口</x:v>
      </x:c>
      <x:c r="D770" s="18" t="n">
        <x:v>26</x:v>
      </x:c>
      <x:c r="E770" s="18" t="n">
        <x:v>26</x:v>
      </x:c>
      <x:c r="F770" s="18" t="n">
        <x:v>556</x:v>
      </x:c>
      <x:c r="G770" s="18" t="n">
        <x:v>26</x:v>
      </x:c>
      <x:c r="H770" s="18" t="n">
        <x:v>66</x:v>
      </x:c>
      <x:c r="I770" s="18" t="n">
        <x:v>26</x:v>
      </x:c>
      <x:c r="J770" s="18" t="n">
        <x:v>164</x:v>
      </x:c>
      <x:c r="K770" s="18" t="n">
        <x:v>26</x:v>
      </x:c>
      <x:c r="L770" s="18" t="n">
        <x:v>45</x:v>
      </x:c>
      <x:c r="M770" s="18" t="n">
        <x:v>26</x:v>
      </x:c>
    </x:row>
    <x:row r="771">
      <x:c r="A771" s="22" t="str">
        <x:v>500107010</x:v>
      </x:c>
      <x:c r="B771" s="17" t="str">
        <x:v>中山區</x:v>
      </x:c>
      <x:c r="C771" s="17" t="str">
        <x:v>樂群二敬業四路口</x:v>
      </x:c>
      <x:c r="D771" s="18" t="n">
        <x:v>26</x:v>
      </x:c>
      <x:c r="E771" s="18" t="n">
        <x:v>26</x:v>
      </x:c>
      <x:c r="F771" s="18" t="n">
        <x:v>1529</x:v>
      </x:c>
      <x:c r="G771" s="18" t="n">
        <x:v>26</x:v>
      </x:c>
      <x:c r="H771" s="18" t="n">
        <x:v>133</x:v>
      </x:c>
      <x:c r="I771" s="18" t="n">
        <x:v>26</x:v>
      </x:c>
      <x:c r="J771" s="18" t="n">
        <x:v>358</x:v>
      </x:c>
      <x:c r="K771" s="18" t="n">
        <x:v>26</x:v>
      </x:c>
      <x:c r="L771" s="18" t="n">
        <x:v>67</x:v>
      </x:c>
      <x:c r="M771" s="18" t="n">
        <x:v>26</x:v>
      </x:c>
    </x:row>
    <x:row r="772">
      <x:c r="A772" s="22" t="str">
        <x:v>500107011</x:v>
      </x:c>
      <x:c r="B772" s="17" t="str">
        <x:v>中山區</x:v>
      </x:c>
      <x:c r="C772" s="17" t="str">
        <x:v>捷運大直站(3號出口)</x:v>
      </x:c>
      <x:c r="D772" s="18" t="n">
        <x:v>26</x:v>
      </x:c>
      <x:c r="E772" s="18" t="n">
        <x:v>26</x:v>
      </x:c>
      <x:c r="F772" s="18" t="n">
        <x:v>288</x:v>
      </x:c>
      <x:c r="G772" s="18" t="n">
        <x:v>26</x:v>
      </x:c>
      <x:c r="H772" s="18" t="n">
        <x:v>32</x:v>
      </x:c>
      <x:c r="I772" s="18" t="n">
        <x:v>26</x:v>
      </x:c>
      <x:c r="J772" s="18" t="n">
        <x:v>196</x:v>
      </x:c>
      <x:c r="K772" s="18" t="n">
        <x:v>26</x:v>
      </x:c>
      <x:c r="L772" s="18" t="n">
        <x:v>55</x:v>
      </x:c>
      <x:c r="M772" s="18" t="n">
        <x:v>26</x:v>
      </x:c>
    </x:row>
    <x:row r="773">
      <x:c r="A773" s="22" t="str">
        <x:v>500107012</x:v>
      </x:c>
      <x:c r="B773" s="17" t="str">
        <x:v>中山區</x:v>
      </x:c>
      <x:c r="C773" s="17" t="str">
        <x:v>復興市民路口</x:v>
      </x:c>
      <x:c r="D773" s="18" t="n">
        <x:v>26</x:v>
      </x:c>
      <x:c r="E773" s="18" t="n">
        <x:v>26</x:v>
      </x:c>
      <x:c r="F773" s="18" t="n">
        <x:v>228</x:v>
      </x:c>
      <x:c r="G773" s="18" t="n">
        <x:v>26</x:v>
      </x:c>
      <x:c r="H773" s="18" t="n">
        <x:v>23</x:v>
      </x:c>
      <x:c r="I773" s="18" t="n">
        <x:v>26</x:v>
      </x:c>
      <x:c r="J773" s="18" t="n">
        <x:v>736</x:v>
      </x:c>
      <x:c r="K773" s="18" t="n">
        <x:v>26</x:v>
      </x:c>
      <x:c r="L773" s="18" t="n">
        <x:v>126</x:v>
      </x:c>
      <x:c r="M773" s="18" t="n">
        <x:v>26</x:v>
      </x:c>
    </x:row>
    <x:row r="774">
      <x:c r="A774" s="22" t="str">
        <x:v>500107013</x:v>
      </x:c>
      <x:c r="B774" s="17" t="str">
        <x:v>中山區</x:v>
      </x:c>
      <x:c r="C774" s="17" t="str">
        <x:v>南京遼寧街口</x:v>
      </x:c>
      <x:c r="D774" s="18" t="n">
        <x:v>26</x:v>
      </x:c>
      <x:c r="E774" s="18" t="n">
        <x:v>26</x:v>
      </x:c>
      <x:c r="F774" s="18" t="n">
        <x:v>461</x:v>
      </x:c>
      <x:c r="G774" s="18" t="n">
        <x:v>26</x:v>
      </x:c>
      <x:c r="H774" s="18" t="n">
        <x:v>37</x:v>
      </x:c>
      <x:c r="I774" s="18" t="n">
        <x:v>26</x:v>
      </x:c>
      <x:c r="J774" s="18" t="n">
        <x:v>217</x:v>
      </x:c>
      <x:c r="K774" s="18" t="n">
        <x:v>26</x:v>
      </x:c>
      <x:c r="L774" s="18" t="n">
        <x:v>51</x:v>
      </x:c>
      <x:c r="M774" s="18" t="n">
        <x:v>26</x:v>
      </x:c>
    </x:row>
    <x:row r="775">
      <x:c r="A775" s="22" t="str">
        <x:v>500107014</x:v>
      </x:c>
      <x:c r="B775" s="17" t="str">
        <x:v>中山區</x:v>
      </x:c>
      <x:c r="C775" s="17" t="str">
        <x:v>伊通長安路口</x:v>
      </x:c>
      <x:c r="D775" s="18" t="n">
        <x:v>26</x:v>
      </x:c>
      <x:c r="E775" s="18" t="n">
        <x:v>26</x:v>
      </x:c>
      <x:c r="F775" s="18" t="n">
        <x:v>125</x:v>
      </x:c>
      <x:c r="G775" s="18" t="n">
        <x:v>26</x:v>
      </x:c>
      <x:c r="H775" s="18" t="n">
        <x:v>33</x:v>
      </x:c>
      <x:c r="I775" s="18" t="n">
        <x:v>26</x:v>
      </x:c>
      <x:c r="J775" s="18" t="n">
        <x:v>991</x:v>
      </x:c>
      <x:c r="K775" s="18" t="n">
        <x:v>26</x:v>
      </x:c>
      <x:c r="L775" s="18" t="n">
        <x:v>72</x:v>
      </x:c>
      <x:c r="M775" s="18" t="n">
        <x:v>26</x:v>
      </x:c>
    </x:row>
    <x:row r="776">
      <x:c r="A776" s="22" t="str">
        <x:v>500107015</x:v>
      </x:c>
      <x:c r="B776" s="17" t="str">
        <x:v>中山區</x:v>
      </x:c>
      <x:c r="C776" s="17" t="str">
        <x:v>新生長安路口</x:v>
      </x:c>
      <x:c r="D776" s="18" t="n">
        <x:v>26</x:v>
      </x:c>
      <x:c r="E776" s="18" t="n">
        <x:v>26</x:v>
      </x:c>
      <x:c r="F776" s="18" t="n">
        <x:v>402</x:v>
      </x:c>
      <x:c r="G776" s="18" t="n">
        <x:v>26</x:v>
      </x:c>
      <x:c r="H776" s="18" t="n">
        <x:v>41</x:v>
      </x:c>
      <x:c r="I776" s="18" t="n">
        <x:v>26</x:v>
      </x:c>
      <x:c r="J776" s="18" t="n">
        <x:v>158</x:v>
      </x:c>
      <x:c r="K776" s="18" t="n">
        <x:v>26</x:v>
      </x:c>
      <x:c r="L776" s="18" t="n">
        <x:v>25</x:v>
      </x:c>
      <x:c r="M776" s="18" t="n">
        <x:v>26</x:v>
      </x:c>
    </x:row>
    <x:row r="777">
      <x:c r="A777" s="22" t="str">
        <x:v>500107016</x:v>
      </x:c>
      <x:c r="B777" s="17" t="str">
        <x:v>中山區</x:v>
      </x:c>
      <x:c r="C777" s="17" t="str">
        <x:v>市民林森路口</x:v>
      </x:c>
      <x:c r="D777" s="18" t="n">
        <x:v>26</x:v>
      </x:c>
      <x:c r="E777" s="18" t="n">
        <x:v>26</x:v>
      </x:c>
      <x:c r="F777" s="18" t="n">
        <x:v>579</x:v>
      </x:c>
      <x:c r="G777" s="18" t="n">
        <x:v>26</x:v>
      </x:c>
      <x:c r="H777" s="18" t="n">
        <x:v>95</x:v>
      </x:c>
      <x:c r="I777" s="18" t="n">
        <x:v>26</x:v>
      </x:c>
      <x:c r="J777" s="18" t="n">
        <x:v>195</x:v>
      </x:c>
      <x:c r="K777" s="18" t="n">
        <x:v>26</x:v>
      </x:c>
      <x:c r="L777" s="18" t="n">
        <x:v>53</x:v>
      </x:c>
      <x:c r="M777" s="18" t="n">
        <x:v>26</x:v>
      </x:c>
    </x:row>
    <x:row r="778">
      <x:c r="A778" s="22" t="str">
        <x:v>500107017</x:v>
      </x:c>
      <x:c r="B778" s="17" t="str">
        <x:v>中山區</x:v>
      </x:c>
      <x:c r="C778" s="17" t="str">
        <x:v>南京新生路口</x:v>
      </x:c>
      <x:c r="D778" s="18" t="n">
        <x:v>26</x:v>
      </x:c>
      <x:c r="E778" s="18" t="n">
        <x:v>26</x:v>
      </x:c>
      <x:c r="F778" s="18" t="n">
        <x:v>284</x:v>
      </x:c>
      <x:c r="G778" s="18" t="n">
        <x:v>26</x:v>
      </x:c>
      <x:c r="H778" s="18" t="n">
        <x:v>42</x:v>
      </x:c>
      <x:c r="I778" s="18" t="n">
        <x:v>26</x:v>
      </x:c>
      <x:c r="J778" s="18" t="n">
        <x:v>195</x:v>
      </x:c>
      <x:c r="K778" s="18" t="n">
        <x:v>26</x:v>
      </x:c>
      <x:c r="L778" s="18" t="n">
        <x:v>49</x:v>
      </x:c>
      <x:c r="M778" s="18" t="n">
        <x:v>26</x:v>
      </x:c>
    </x:row>
    <x:row r="779">
      <x:c r="A779" s="22" t="str">
        <x:v>500107018</x:v>
      </x:c>
      <x:c r="B779" s="17" t="str">
        <x:v>中山區</x:v>
      </x:c>
      <x:c r="C779" s="17" t="str">
        <x:v>一江公園</x:v>
      </x:c>
      <x:c r="D779" s="18" t="n">
        <x:v>26</x:v>
      </x:c>
      <x:c r="E779" s="18" t="n">
        <x:v>26</x:v>
      </x:c>
      <x:c r="F779" s="18" t="n">
        <x:v>189</x:v>
      </x:c>
      <x:c r="G779" s="18" t="n">
        <x:v>26</x:v>
      </x:c>
      <x:c r="H779" s="18" t="n">
        <x:v>13</x:v>
      </x:c>
      <x:c r="I779" s="18" t="n">
        <x:v>26</x:v>
      </x:c>
      <x:c r="J779" s="18" t="n">
        <x:v>350</x:v>
      </x:c>
      <x:c r="K779" s="18" t="n">
        <x:v>26</x:v>
      </x:c>
      <x:c r="L779" s="18" t="n">
        <x:v>70</x:v>
      </x:c>
      <x:c r="M779" s="18" t="n">
        <x:v>26</x:v>
      </x:c>
    </x:row>
    <x:row r="780">
      <x:c r="A780" s="22" t="str">
        <x:v>500107019</x:v>
      </x:c>
      <x:c r="B780" s="17" t="str">
        <x:v>中山區</x:v>
      </x:c>
      <x:c r="C780" s="17" t="str">
        <x:v>松江公園</x:v>
      </x:c>
      <x:c r="D780" s="18" t="n">
        <x:v>26</x:v>
      </x:c>
      <x:c r="E780" s="18" t="n">
        <x:v>26</x:v>
      </x:c>
      <x:c r="F780" s="18" t="n">
        <x:v>215</x:v>
      </x:c>
      <x:c r="G780" s="18" t="n">
        <x:v>26</x:v>
      </x:c>
      <x:c r="H780" s="18" t="n">
        <x:v>24</x:v>
      </x:c>
      <x:c r="I780" s="18" t="n">
        <x:v>26</x:v>
      </x:c>
      <x:c r="J780" s="18" t="n">
        <x:v>364</x:v>
      </x:c>
      <x:c r="K780" s="18" t="n">
        <x:v>26</x:v>
      </x:c>
      <x:c r="L780" s="18" t="n">
        <x:v>45</x:v>
      </x:c>
      <x:c r="M780" s="18" t="n">
        <x:v>26</x:v>
      </x:c>
    </x:row>
    <x:row r="781">
      <x:c r="A781" s="22" t="str">
        <x:v>500107020</x:v>
      </x:c>
      <x:c r="B781" s="17" t="str">
        <x:v>中山區</x:v>
      </x:c>
      <x:c r="C781" s="17" t="str">
        <x:v>新生長春路口</x:v>
      </x:c>
      <x:c r="D781" s="18" t="n">
        <x:v>26</x:v>
      </x:c>
      <x:c r="E781" s="18" t="n">
        <x:v>26</x:v>
      </x:c>
      <x:c r="F781" s="18" t="n">
        <x:v>585</x:v>
      </x:c>
      <x:c r="G781" s="18" t="n">
        <x:v>26</x:v>
      </x:c>
      <x:c r="H781" s="18" t="n">
        <x:v>119</x:v>
      </x:c>
      <x:c r="I781" s="18" t="n">
        <x:v>26</x:v>
      </x:c>
      <x:c r="J781" s="18" t="n">
        <x:v>224</x:v>
      </x:c>
      <x:c r="K781" s="18" t="n">
        <x:v>26</x:v>
      </x:c>
      <x:c r="L781" s="18" t="n">
        <x:v>38</x:v>
      </x:c>
      <x:c r="M781" s="18" t="n">
        <x:v>26</x:v>
      </x:c>
    </x:row>
    <x:row r="782">
      <x:c r="A782" s="22" t="str">
        <x:v>500107021</x:v>
      </x:c>
      <x:c r="B782" s="17" t="str">
        <x:v>中山區</x:v>
      </x:c>
      <x:c r="C782" s="17" t="str">
        <x:v>第二果菜批發市場</x:v>
      </x:c>
      <x:c r="D782" s="18" t="n">
        <x:v>26</x:v>
      </x:c>
      <x:c r="E782" s="18" t="n">
        <x:v>26</x:v>
      </x:c>
      <x:c r="F782" s="18" t="n">
        <x:v>475</x:v>
      </x:c>
      <x:c r="G782" s="18" t="n">
        <x:v>26</x:v>
      </x:c>
      <x:c r="H782" s="18" t="n">
        <x:v>175</x:v>
      </x:c>
      <x:c r="I782" s="18" t="n">
        <x:v>26</x:v>
      </x:c>
      <x:c r="J782" s="18" t="n">
        <x:v>119</x:v>
      </x:c>
      <x:c r="K782" s="18" t="n">
        <x:v>26</x:v>
      </x:c>
      <x:c r="L782" s="18" t="n">
        <x:v>32</x:v>
      </x:c>
      <x:c r="M782" s="18" t="n">
        <x:v>26</x:v>
      </x:c>
    </x:row>
    <x:row r="783">
      <x:c r="A783" s="22" t="str">
        <x:v>500107022</x:v>
      </x:c>
      <x:c r="B783" s="17" t="str">
        <x:v>中山區</x:v>
      </x:c>
      <x:c r="C783" s="17" t="str">
        <x:v>民生建國路口</x:v>
      </x:c>
      <x:c r="D783" s="18" t="n">
        <x:v>26</x:v>
      </x:c>
      <x:c r="E783" s="18" t="n">
        <x:v>26</x:v>
      </x:c>
      <x:c r="F783" s="18" t="n">
        <x:v>257</x:v>
      </x:c>
      <x:c r="G783" s="18" t="n">
        <x:v>26</x:v>
      </x:c>
      <x:c r="H783" s="18" t="n">
        <x:v>72</x:v>
      </x:c>
      <x:c r="I783" s="18" t="n">
        <x:v>26</x:v>
      </x:c>
      <x:c r="J783" s="18" t="n">
        <x:v>1077</x:v>
      </x:c>
      <x:c r="K783" s="18" t="n">
        <x:v>26</x:v>
      </x:c>
      <x:c r="L783" s="18" t="n">
        <x:v>110</x:v>
      </x:c>
      <x:c r="M783" s="18" t="n">
        <x:v>26</x:v>
      </x:c>
    </x:row>
    <x:row r="784">
      <x:c r="A784" s="22" t="str">
        <x:v>500107023</x:v>
      </x:c>
      <x:c r="B784" s="17" t="str">
        <x:v>中山區</x:v>
      </x:c>
      <x:c r="C784" s="17" t="str">
        <x:v>興安華城</x:v>
      </x:c>
      <x:c r="D784" s="18" t="n">
        <x:v>26</x:v>
      </x:c>
      <x:c r="E784" s="18" t="n">
        <x:v>26</x:v>
      </x:c>
      <x:c r="F784" s="18" t="n">
        <x:v>1303</x:v>
      </x:c>
      <x:c r="G784" s="18" t="n">
        <x:v>26</x:v>
      </x:c>
      <x:c r="H784" s="18" t="n">
        <x:v>121</x:v>
      </x:c>
      <x:c r="I784" s="18" t="n">
        <x:v>26</x:v>
      </x:c>
      <x:c r="J784" s="18" t="n">
        <x:v>289</x:v>
      </x:c>
      <x:c r="K784" s="18" t="n">
        <x:v>26</x:v>
      </x:c>
      <x:c r="L784" s="18" t="n">
        <x:v>101</x:v>
      </x:c>
      <x:c r="M784" s="18" t="n">
        <x:v>26</x:v>
      </x:c>
    </x:row>
    <x:row r="785">
      <x:c r="A785" s="22" t="str">
        <x:v>500107024</x:v>
      </x:c>
      <x:c r="B785" s="17" t="str">
        <x:v>中山區</x:v>
      </x:c>
      <x:c r="C785" s="17" t="str">
        <x:v>捷運中山國中站</x:v>
      </x:c>
      <x:c r="D785" s="18" t="n">
        <x:v>26</x:v>
      </x:c>
      <x:c r="E785" s="18" t="n">
        <x:v>26</x:v>
      </x:c>
      <x:c r="F785" s="18" t="n">
        <x:v>485</x:v>
      </x:c>
      <x:c r="G785" s="18" t="n">
        <x:v>26</x:v>
      </x:c>
      <x:c r="H785" s="18" t="n">
        <x:v>104</x:v>
      </x:c>
      <x:c r="I785" s="18" t="n">
        <x:v>26</x:v>
      </x:c>
      <x:c r="J785" s="18" t="n">
        <x:v>2014</x:v>
      </x:c>
      <x:c r="K785" s="18" t="n">
        <x:v>26</x:v>
      </x:c>
      <x:c r="L785" s="18" t="n">
        <x:v>93</x:v>
      </x:c>
      <x:c r="M785" s="18" t="n">
        <x:v>26</x:v>
      </x:c>
    </x:row>
    <x:row r="786">
      <x:c r="A786" s="22" t="str">
        <x:v>500107025</x:v>
      </x:c>
      <x:c r="B786" s="17" t="str">
        <x:v>中山區</x:v>
      </x:c>
      <x:c r="C786" s="17" t="str">
        <x:v>龍江錦州街口</x:v>
      </x:c>
      <x:c r="D786" s="18" t="n">
        <x:v>26</x:v>
      </x:c>
      <x:c r="E786" s="18" t="n">
        <x:v>26</x:v>
      </x:c>
      <x:c r="F786" s="18" t="n">
        <x:v>197</x:v>
      </x:c>
      <x:c r="G786" s="18" t="n">
        <x:v>26</x:v>
      </x:c>
      <x:c r="H786" s="18" t="n">
        <x:v>84</x:v>
      </x:c>
      <x:c r="I786" s="18" t="n">
        <x:v>26</x:v>
      </x:c>
      <x:c r="J786" s="18" t="n">
        <x:v>200</x:v>
      </x:c>
      <x:c r="K786" s="18" t="n">
        <x:v>26</x:v>
      </x:c>
      <x:c r="L786" s="18" t="n">
        <x:v>35</x:v>
      </x:c>
      <x:c r="M786" s="18" t="n">
        <x:v>26</x:v>
      </x:c>
    </x:row>
    <x:row r="787">
      <x:c r="A787" s="22" t="str">
        <x:v>500107026</x:v>
      </x:c>
      <x:c r="B787" s="17" t="str">
        <x:v>中山區</x:v>
      </x:c>
      <x:c r="C787" s="17" t="str">
        <x:v>建國長春路口</x:v>
      </x:c>
      <x:c r="D787" s="18" t="n">
        <x:v>26</x:v>
      </x:c>
      <x:c r="E787" s="18" t="n">
        <x:v>26</x:v>
      </x:c>
      <x:c r="F787" s="18" t="n">
        <x:v>65</x:v>
      </x:c>
      <x:c r="G787" s="18" t="n">
        <x:v>26</x:v>
      </x:c>
      <x:c r="H787" s="18" t="n">
        <x:v>20</x:v>
      </x:c>
      <x:c r="I787" s="18" t="n">
        <x:v>26</x:v>
      </x:c>
      <x:c r="J787" s="18" t="n">
        <x:v>170</x:v>
      </x:c>
      <x:c r="K787" s="18" t="n">
        <x:v>26</x:v>
      </x:c>
      <x:c r="L787" s="18" t="n">
        <x:v>40</x:v>
      </x:c>
      <x:c r="M787" s="18" t="n">
        <x:v>26</x:v>
      </x:c>
    </x:row>
    <x:row r="788">
      <x:c r="A788" s="22" t="str">
        <x:v>500107027</x:v>
      </x:c>
      <x:c r="B788" s="17" t="str">
        <x:v>中山區</x:v>
      </x:c>
      <x:c r="C788" s="17" t="str">
        <x:v>南京建國路口</x:v>
      </x:c>
      <x:c r="D788" s="18" t="n">
        <x:v>26</x:v>
      </x:c>
      <x:c r="E788" s="18" t="n">
        <x:v>26</x:v>
      </x:c>
      <x:c r="F788" s="18" t="n">
        <x:v>136</x:v>
      </x:c>
      <x:c r="G788" s="18" t="n">
        <x:v>26</x:v>
      </x:c>
      <x:c r="H788" s="18" t="n">
        <x:v>13</x:v>
      </x:c>
      <x:c r="I788" s="18" t="n">
        <x:v>26</x:v>
      </x:c>
      <x:c r="J788" s="18" t="n">
        <x:v>1158</x:v>
      </x:c>
      <x:c r="K788" s="18" t="n">
        <x:v>26</x:v>
      </x:c>
      <x:c r="L788" s="18" t="n">
        <x:v>84</x:v>
      </x:c>
      <x:c r="M788" s="18" t="n">
        <x:v>26</x:v>
      </x:c>
    </x:row>
    <x:row r="789">
      <x:c r="A789" s="22" t="str">
        <x:v>500107028</x:v>
      </x:c>
      <x:c r="B789" s="17" t="str">
        <x:v>中山區</x:v>
      </x:c>
      <x:c r="C789" s="17" t="str">
        <x:v>捷運松江南京站(7號出口)</x:v>
      </x:c>
      <x:c r="D789" s="18" t="n">
        <x:v>26</x:v>
      </x:c>
      <x:c r="E789" s="18" t="n">
        <x:v>26</x:v>
      </x:c>
      <x:c r="F789" s="18" t="n">
        <x:v>1039</x:v>
      </x:c>
      <x:c r="G789" s="18" t="n">
        <x:v>26</x:v>
      </x:c>
      <x:c r="H789" s="18" t="n">
        <x:v>155</x:v>
      </x:c>
      <x:c r="I789" s="18" t="n">
        <x:v>26</x:v>
      </x:c>
      <x:c r="J789" s="18" t="n">
        <x:v>484</x:v>
      </x:c>
      <x:c r="K789" s="18" t="n">
        <x:v>26</x:v>
      </x:c>
      <x:c r="L789" s="18" t="n">
        <x:v>91</x:v>
      </x:c>
      <x:c r="M789" s="18" t="n">
        <x:v>26</x:v>
      </x:c>
    </x:row>
    <x:row r="790">
      <x:c r="A790" s="22" t="str">
        <x:v>500107029</x:v>
      </x:c>
      <x:c r="B790" s="17" t="str">
        <x:v>中山區</x:v>
      </x:c>
      <x:c r="C790" s="17" t="str">
        <x:v>朱崙商場</x:v>
      </x:c>
      <x:c r="D790" s="18" t="n">
        <x:v>26</x:v>
      </x:c>
      <x:c r="E790" s="18" t="n">
        <x:v>26</x:v>
      </x:c>
      <x:c r="F790" s="18" t="n">
        <x:v>286</x:v>
      </x:c>
      <x:c r="G790" s="18" t="n">
        <x:v>26</x:v>
      </x:c>
      <x:c r="H790" s="18" t="n">
        <x:v>66</x:v>
      </x:c>
      <x:c r="I790" s="18" t="n">
        <x:v>26</x:v>
      </x:c>
      <x:c r="J790" s="18" t="n">
        <x:v>449</x:v>
      </x:c>
      <x:c r="K790" s="18" t="n">
        <x:v>26</x:v>
      </x:c>
      <x:c r="L790" s="18" t="n">
        <x:v>82</x:v>
      </x:c>
      <x:c r="M790" s="18" t="n">
        <x:v>26</x:v>
      </x:c>
    </x:row>
    <x:row r="791">
      <x:c r="A791" s="22" t="str">
        <x:v>500107030</x:v>
      </x:c>
      <x:c r="B791" s="17" t="str">
        <x:v>中山區</x:v>
      </x:c>
      <x:c r="C791" s="17" t="str">
        <x:v>中吉公園</x:v>
      </x:c>
      <x:c r="D791" s="18" t="n">
        <x:v>26</x:v>
      </x:c>
      <x:c r="E791" s="18" t="n">
        <x:v>26</x:v>
      </x:c>
      <x:c r="F791" s="18" t="n">
        <x:v>334</x:v>
      </x:c>
      <x:c r="G791" s="18" t="n">
        <x:v>26</x:v>
      </x:c>
      <x:c r="H791" s="18" t="n">
        <x:v>37</x:v>
      </x:c>
      <x:c r="I791" s="18" t="n">
        <x:v>26</x:v>
      </x:c>
      <x:c r="J791" s="18" t="n">
        <x:v>126</x:v>
      </x:c>
      <x:c r="K791" s="18" t="n">
        <x:v>26</x:v>
      </x:c>
      <x:c r="L791" s="18" t="n">
        <x:v>22</x:v>
      </x:c>
      <x:c r="M791" s="18" t="n">
        <x:v>26</x:v>
      </x:c>
    </x:row>
    <x:row r="792">
      <x:c r="A792" s="22" t="str">
        <x:v>500107031</x:v>
      </x:c>
      <x:c r="B792" s="17" t="str">
        <x:v>中山區</x:v>
      </x:c>
      <x:c r="C792" s="17" t="str">
        <x:v>華山公園</x:v>
      </x:c>
      <x:c r="D792" s="18" t="n">
        <x:v>26</x:v>
      </x:c>
      <x:c r="E792" s="18" t="n">
        <x:v>26</x:v>
      </x:c>
      <x:c r="F792" s="18" t="n">
        <x:v>499</x:v>
      </x:c>
      <x:c r="G792" s="18" t="n">
        <x:v>26</x:v>
      </x:c>
      <x:c r="H792" s="18" t="n">
        <x:v>51</x:v>
      </x:c>
      <x:c r="I792" s="18" t="n">
        <x:v>26</x:v>
      </x:c>
      <x:c r="J792" s="18" t="n">
        <x:v>116</x:v>
      </x:c>
      <x:c r="K792" s="18" t="n">
        <x:v>26</x:v>
      </x:c>
      <x:c r="L792" s="18" t="n">
        <x:v>24</x:v>
      </x:c>
      <x:c r="M792" s="18" t="n">
        <x:v>26</x:v>
      </x:c>
    </x:row>
    <x:row r="793">
      <x:c r="A793" s="22" t="str">
        <x:v>500107032</x:v>
      </x:c>
      <x:c r="B793" s="17" t="str">
        <x:v>中山區</x:v>
      </x:c>
      <x:c r="C793" s="17" t="str">
        <x:v>建國北路一段17巷</x:v>
      </x:c>
      <x:c r="D793" s="18" t="n">
        <x:v>26</x:v>
      </x:c>
      <x:c r="E793" s="18" t="n">
        <x:v>26</x:v>
      </x:c>
      <x:c r="F793" s="18" t="n">
        <x:v>315</x:v>
      </x:c>
      <x:c r="G793" s="18" t="n">
        <x:v>26</x:v>
      </x:c>
      <x:c r="H793" s="18" t="n">
        <x:v>105</x:v>
      </x:c>
      <x:c r="I793" s="18" t="n">
        <x:v>26</x:v>
      </x:c>
      <x:c r="J793" s="18" t="n">
        <x:v>301</x:v>
      </x:c>
      <x:c r="K793" s="18" t="n">
        <x:v>26</x:v>
      </x:c>
      <x:c r="L793" s="18" t="n">
        <x:v>109</x:v>
      </x:c>
      <x:c r="M793" s="18" t="n">
        <x:v>26</x:v>
      </x:c>
    </x:row>
    <x:row r="794">
      <x:c r="A794" s="22" t="str">
        <x:v>500107033</x:v>
      </x:c>
      <x:c r="B794" s="17" t="str">
        <x:v>中山區</x:v>
      </x:c>
      <x:c r="C794" s="17" t="str">
        <x:v>江寧公園</x:v>
      </x:c>
      <x:c r="D794" s="18" t="n">
        <x:v>26</x:v>
      </x:c>
      <x:c r="E794" s="18" t="n">
        <x:v>26</x:v>
      </x:c>
      <x:c r="F794" s="18" t="n">
        <x:v>119</x:v>
      </x:c>
      <x:c r="G794" s="18" t="n">
        <x:v>26</x:v>
      </x:c>
      <x:c r="H794" s="18" t="n">
        <x:v>38</x:v>
      </x:c>
      <x:c r="I794" s="18" t="n">
        <x:v>26</x:v>
      </x:c>
      <x:c r="J794" s="18" t="n">
        <x:v>158</x:v>
      </x:c>
      <x:c r="K794" s="18" t="n">
        <x:v>26</x:v>
      </x:c>
      <x:c r="L794" s="18" t="n">
        <x:v>37</x:v>
      </x:c>
      <x:c r="M794" s="18" t="n">
        <x:v>26</x:v>
      </x:c>
    </x:row>
    <x:row r="795">
      <x:c r="A795" s="22" t="str">
        <x:v>500107034</x:v>
      </x:c>
      <x:c r="B795" s="17" t="str">
        <x:v>中山區</x:v>
      </x:c>
      <x:c r="C795" s="17" t="str">
        <x:v>民權龍江路口</x:v>
      </x:c>
      <x:c r="D795" s="18" t="n">
        <x:v>26</x:v>
      </x:c>
      <x:c r="E795" s="18" t="n">
        <x:v>26</x:v>
      </x:c>
      <x:c r="F795" s="18" t="n">
        <x:v>346</x:v>
      </x:c>
      <x:c r="G795" s="18" t="n">
        <x:v>26</x:v>
      </x:c>
      <x:c r="H795" s="18" t="n">
        <x:v>95</x:v>
      </x:c>
      <x:c r="I795" s="18" t="n">
        <x:v>26</x:v>
      </x:c>
      <x:c r="J795" s="18" t="n">
        <x:v>177</x:v>
      </x:c>
      <x:c r="K795" s="18" t="n">
        <x:v>26</x:v>
      </x:c>
      <x:c r="L795" s="18" t="n">
        <x:v>42</x:v>
      </x:c>
      <x:c r="M795" s="18" t="n">
        <x:v>26</x:v>
      </x:c>
    </x:row>
    <x:row r="796">
      <x:c r="A796" s="22" t="str">
        <x:v>500107035</x:v>
      </x:c>
      <x:c r="B796" s="17" t="str">
        <x:v>中山區</x:v>
      </x:c>
      <x:c r="C796" s="17" t="str">
        <x:v>捷運中山國小站(2號出口)</x:v>
      </x:c>
      <x:c r="D796" s="18" t="n">
        <x:v>26</x:v>
      </x:c>
      <x:c r="E796" s="18" t="n">
        <x:v>26</x:v>
      </x:c>
      <x:c r="F796" s="18" t="n">
        <x:v>519</x:v>
      </x:c>
      <x:c r="G796" s="18" t="n">
        <x:v>26</x:v>
      </x:c>
      <x:c r="H796" s="18" t="n">
        <x:v>84</x:v>
      </x:c>
      <x:c r="I796" s="18" t="n">
        <x:v>26</x:v>
      </x:c>
      <x:c r="J796" s="18" t="n">
        <x:v>174</x:v>
      </x:c>
      <x:c r="K796" s="18" t="n">
        <x:v>26</x:v>
      </x:c>
      <x:c r="L796" s="18" t="n">
        <x:v>45</x:v>
      </x:c>
      <x:c r="M796" s="18" t="n">
        <x:v>26</x:v>
      </x:c>
    </x:row>
    <x:row r="797">
      <x:c r="A797" s="22" t="str">
        <x:v>500107036</x:v>
      </x:c>
      <x:c r="B797" s="17" t="str">
        <x:v>中山區</x:v>
      </x:c>
      <x:c r="C797" s="17" t="str">
        <x:v>捷運行天宮站(3號出口)</x:v>
      </x:c>
      <x:c r="D797" s="18" t="n">
        <x:v>26</x:v>
      </x:c>
      <x:c r="E797" s="18" t="n">
        <x:v>26</x:v>
      </x:c>
      <x:c r="F797" s="18" t="n">
        <x:v>669</x:v>
      </x:c>
      <x:c r="G797" s="18" t="n">
        <x:v>26</x:v>
      </x:c>
      <x:c r="H797" s="18" t="n">
        <x:v>121</x:v>
      </x:c>
      <x:c r="I797" s="18" t="n">
        <x:v>26</x:v>
      </x:c>
      <x:c r="J797" s="18" t="n">
        <x:v>190</x:v>
      </x:c>
      <x:c r="K797" s="18" t="n">
        <x:v>26</x:v>
      </x:c>
      <x:c r="L797" s="18" t="n">
        <x:v>46</x:v>
      </x:c>
      <x:c r="M797" s="18" t="n">
        <x:v>26</x:v>
      </x:c>
    </x:row>
    <x:row r="798">
      <x:c r="A798" s="22" t="str">
        <x:v>500107037</x:v>
      </x:c>
      <x:c r="B798" s="17" t="str">
        <x:v>中山區</x:v>
      </x:c>
      <x:c r="C798" s="17" t="str">
        <x:v>林森農安街口</x:v>
      </x:c>
      <x:c r="D798" s="18" t="n">
        <x:v>26</x:v>
      </x:c>
      <x:c r="E798" s="18" t="n">
        <x:v>26</x:v>
      </x:c>
      <x:c r="F798" s="18" t="n">
        <x:v>372</x:v>
      </x:c>
      <x:c r="G798" s="18" t="n">
        <x:v>26</x:v>
      </x:c>
      <x:c r="H798" s="18" t="n">
        <x:v>74</x:v>
      </x:c>
      <x:c r="I798" s="18" t="n">
        <x:v>26</x:v>
      </x:c>
      <x:c r="J798" s="18" t="n">
        <x:v>185</x:v>
      </x:c>
      <x:c r="K798" s="18" t="n">
        <x:v>26</x:v>
      </x:c>
      <x:c r="L798" s="18" t="n">
        <x:v>44</x:v>
      </x:c>
      <x:c r="M798" s="18" t="n">
        <x:v>26</x:v>
      </x:c>
    </x:row>
    <x:row r="799">
      <x:c r="A799" s="22" t="str">
        <x:v>500107038</x:v>
      </x:c>
      <x:c r="B799" s="17" t="str">
        <x:v>中山區</x:v>
      </x:c>
      <x:c r="C799" s="17" t="str">
        <x:v>捷運中山國小站(4號出口)</x:v>
      </x:c>
      <x:c r="D799" s="18" t="n">
        <x:v>26</x:v>
      </x:c>
      <x:c r="E799" s="18" t="n">
        <x:v>26</x:v>
      </x:c>
      <x:c r="F799" s="18" t="n">
        <x:v>122</x:v>
      </x:c>
      <x:c r="G799" s="18" t="n">
        <x:v>26</x:v>
      </x:c>
      <x:c r="H799" s="18" t="n">
        <x:v>27</x:v>
      </x:c>
      <x:c r="I799" s="18" t="n">
        <x:v>26</x:v>
      </x:c>
      <x:c r="J799" s="18" t="n">
        <x:v>117</x:v>
      </x:c>
      <x:c r="K799" s="18" t="n">
        <x:v>26</x:v>
      </x:c>
      <x:c r="L799" s="18" t="n">
        <x:v>41</x:v>
      </x:c>
      <x:c r="M799" s="18" t="n">
        <x:v>26</x:v>
      </x:c>
    </x:row>
    <x:row r="800">
      <x:c r="A800" s="22" t="str">
        <x:v>500107039</x:v>
      </x:c>
      <x:c r="B800" s="17" t="str">
        <x:v>中山區</x:v>
      </x:c>
      <x:c r="C800" s="17" t="str">
        <x:v>農安雙城街口</x:v>
      </x:c>
      <x:c r="D800" s="18" t="n">
        <x:v>26</x:v>
      </x:c>
      <x:c r="E800" s="18" t="n">
        <x:v>26</x:v>
      </x:c>
      <x:c r="F800" s="18" t="n">
        <x:v>33</x:v>
      </x:c>
      <x:c r="G800" s="18" t="n">
        <x:v>26</x:v>
      </x:c>
      <x:c r="H800" s="18" t="n">
        <x:v>7</x:v>
      </x:c>
      <x:c r="I800" s="18" t="n">
        <x:v>26</x:v>
      </x:c>
      <x:c r="J800" s="18" t="n">
        <x:v>18</x:v>
      </x:c>
      <x:c r="K800" s="18" t="n">
        <x:v>26</x:v>
      </x:c>
      <x:c r="L800" s="18" t="n">
        <x:v>7</x:v>
      </x:c>
      <x:c r="M800" s="18" t="n">
        <x:v>26</x:v>
      </x:c>
    </x:row>
    <x:row r="801">
      <x:c r="A801" s="22" t="str">
        <x:v>500107040</x:v>
      </x:c>
      <x:c r="B801" s="17" t="str">
        <x:v>中山區</x:v>
      </x:c>
      <x:c r="C801" s="17" t="str">
        <x:v>新生德惠街口</x:v>
      </x:c>
      <x:c r="D801" s="18" t="n">
        <x:v>26</x:v>
      </x:c>
      <x:c r="E801" s="18" t="n">
        <x:v>26</x:v>
      </x:c>
      <x:c r="F801" s="18" t="n">
        <x:v>756</x:v>
      </x:c>
      <x:c r="G801" s="18" t="n">
        <x:v>26</x:v>
      </x:c>
      <x:c r="H801" s="18" t="n">
        <x:v>85</x:v>
      </x:c>
      <x:c r="I801" s="18" t="n">
        <x:v>26</x:v>
      </x:c>
      <x:c r="J801" s="18" t="n">
        <x:v>100</x:v>
      </x:c>
      <x:c r="K801" s="18" t="n">
        <x:v>26</x:v>
      </x:c>
      <x:c r="L801" s="18" t="n">
        <x:v>24</x:v>
      </x:c>
      <x:c r="M801" s="18" t="n">
        <x:v>26</x:v>
      </x:c>
    </x:row>
    <x:row r="802">
      <x:c r="A802" s="22" t="str">
        <x:v>500107041</x:v>
      </x:c>
      <x:c r="B802" s="17" t="str">
        <x:v>中山區</x:v>
      </x:c>
      <x:c r="C802" s="17" t="str">
        <x:v>民族林森路口</x:v>
      </x:c>
      <x:c r="D802" s="18" t="n">
        <x:v>26</x:v>
      </x:c>
      <x:c r="E802" s="18" t="n">
        <x:v>26</x:v>
      </x:c>
      <x:c r="F802" s="18" t="n">
        <x:v>435</x:v>
      </x:c>
      <x:c r="G802" s="18" t="n">
        <x:v>26</x:v>
      </x:c>
      <x:c r="H802" s="18" t="n">
        <x:v>67</x:v>
      </x:c>
      <x:c r="I802" s="18" t="n">
        <x:v>26</x:v>
      </x:c>
      <x:c r="J802" s="18" t="n">
        <x:v>543</x:v>
      </x:c>
      <x:c r="K802" s="18" t="n">
        <x:v>26</x:v>
      </x:c>
      <x:c r="L802" s="18" t="n">
        <x:v>62</x:v>
      </x:c>
      <x:c r="M802" s="18" t="n">
        <x:v>26</x:v>
      </x:c>
    </x:row>
    <x:row r="803">
      <x:c r="A803" s="22" t="str">
        <x:v>500107042</x:v>
      </x:c>
      <x:c r="B803" s="17" t="str">
        <x:v>中山區</x:v>
      </x:c>
      <x:c r="C803" s="17" t="str">
        <x:v>臺北市立美術館</x:v>
      </x:c>
      <x:c r="D803" s="18" t="n">
        <x:v>26</x:v>
      </x:c>
      <x:c r="E803" s="18" t="n">
        <x:v>26</x:v>
      </x:c>
      <x:c r="F803" s="18" t="n">
        <x:v>147</x:v>
      </x:c>
      <x:c r="G803" s="18" t="n">
        <x:v>26</x:v>
      </x:c>
      <x:c r="H803" s="18" t="n">
        <x:v>29</x:v>
      </x:c>
      <x:c r="I803" s="18" t="n">
        <x:v>26</x:v>
      </x:c>
      <x:c r="J803" s="18" t="n">
        <x:v>217</x:v>
      </x:c>
      <x:c r="K803" s="18" t="n">
        <x:v>26</x:v>
      </x:c>
      <x:c r="L803" s="18" t="n">
        <x:v>37</x:v>
      </x:c>
      <x:c r="M803" s="18" t="n">
        <x:v>26</x:v>
      </x:c>
    </x:row>
    <x:row r="804">
      <x:c r="A804" s="22" t="str">
        <x:v>500107043</x:v>
      </x:c>
      <x:c r="B804" s="17" t="str">
        <x:v>中山區</x:v>
      </x:c>
      <x:c r="C804" s="17" t="str">
        <x:v>中山民族路口</x:v>
      </x:c>
      <x:c r="D804" s="18" t="n">
        <x:v>26</x:v>
      </x:c>
      <x:c r="E804" s="18" t="n">
        <x:v>26</x:v>
      </x:c>
      <x:c r="F804" s="18" t="n">
        <x:v>120</x:v>
      </x:c>
      <x:c r="G804" s="18" t="n">
        <x:v>26</x:v>
      </x:c>
      <x:c r="H804" s="18" t="n">
        <x:v>16</x:v>
      </x:c>
      <x:c r="I804" s="18" t="n">
        <x:v>26</x:v>
      </x:c>
      <x:c r="J804" s="18" t="n">
        <x:v>321</x:v>
      </x:c>
      <x:c r="K804" s="18" t="n">
        <x:v>26</x:v>
      </x:c>
      <x:c r="L804" s="18" t="n">
        <x:v>37</x:v>
      </x:c>
      <x:c r="M804" s="18" t="n">
        <x:v>26</x:v>
      </x:c>
    </x:row>
    <x:row r="805">
      <x:c r="A805" s="22" t="str">
        <x:v>500107044</x:v>
      </x:c>
      <x:c r="B805" s="17" t="str">
        <x:v>中山區</x:v>
      </x:c>
      <x:c r="C805" s="17" t="str">
        <x:v>新生高架停車場(林森北路107巷口)</x:v>
      </x:c>
      <x:c r="D805" s="18" t="n">
        <x:v>26</x:v>
      </x:c>
      <x:c r="E805" s="18" t="n">
        <x:v>26</x:v>
      </x:c>
      <x:c r="F805" s="18" t="n">
        <x:v>631</x:v>
      </x:c>
      <x:c r="G805" s="18" t="n">
        <x:v>26</x:v>
      </x:c>
      <x:c r="H805" s="18" t="n">
        <x:v>76</x:v>
      </x:c>
      <x:c r="I805" s="18" t="n">
        <x:v>26</x:v>
      </x:c>
      <x:c r="J805" s="18" t="n">
        <x:v>117</x:v>
      </x:c>
      <x:c r="K805" s="18" t="n">
        <x:v>26</x:v>
      </x:c>
      <x:c r="L805" s="18" t="n">
        <x:v>17</x:v>
      </x:c>
      <x:c r="M805" s="18" t="n">
        <x:v>26</x:v>
      </x:c>
    </x:row>
    <x:row r="806">
      <x:c r="A806" s="22" t="str">
        <x:v>500107045</x:v>
      </x:c>
      <x:c r="B806" s="17" t="str">
        <x:v>中山區</x:v>
      </x:c>
      <x:c r="C806" s="17" t="str">
        <x:v>南京林森路口</x:v>
      </x:c>
      <x:c r="D806" s="18" t="n">
        <x:v>26</x:v>
      </x:c>
      <x:c r="E806" s="18" t="n">
        <x:v>26</x:v>
      </x:c>
      <x:c r="F806" s="18" t="n">
        <x:v>142</x:v>
      </x:c>
      <x:c r="G806" s="18" t="n">
        <x:v>26</x:v>
      </x:c>
      <x:c r="H806" s="18" t="n">
        <x:v>41</x:v>
      </x:c>
      <x:c r="I806" s="18" t="n">
        <x:v>26</x:v>
      </x:c>
      <x:c r="J806" s="18" t="n">
        <x:v>283</x:v>
      </x:c>
      <x:c r="K806" s="18" t="n">
        <x:v>26</x:v>
      </x:c>
      <x:c r="L806" s="18" t="n">
        <x:v>66</x:v>
      </x:c>
      <x:c r="M806" s="18" t="n">
        <x:v>26</x:v>
      </x:c>
    </x:row>
    <x:row r="807">
      <x:c r="A807" s="22" t="str">
        <x:v>500107046</x:v>
      </x:c>
      <x:c r="B807" s="17" t="str">
        <x:v>中山區</x:v>
      </x:c>
      <x:c r="C807" s="17" t="str">
        <x:v>仁德公園</x:v>
      </x:c>
      <x:c r="D807" s="18" t="n">
        <x:v>26</x:v>
      </x:c>
      <x:c r="E807" s="18" t="n">
        <x:v>26</x:v>
      </x:c>
      <x:c r="F807" s="18" t="n">
        <x:v>296</x:v>
      </x:c>
      <x:c r="G807" s="18" t="n">
        <x:v>26</x:v>
      </x:c>
      <x:c r="H807" s="18" t="n">
        <x:v>64</x:v>
      </x:c>
      <x:c r="I807" s="18" t="n">
        <x:v>26</x:v>
      </x:c>
      <x:c r="J807" s="18" t="n">
        <x:v>163</x:v>
      </x:c>
      <x:c r="K807" s="18" t="n">
        <x:v>26</x:v>
      </x:c>
      <x:c r="L807" s="18" t="n">
        <x:v>40</x:v>
      </x:c>
      <x:c r="M807" s="18" t="n">
        <x:v>26</x:v>
      </x:c>
    </x:row>
    <x:row r="808">
      <x:c r="A808" s="22" t="str">
        <x:v>500107047</x:v>
      </x:c>
      <x:c r="B808" s="17" t="str">
        <x:v>中山區</x:v>
      </x:c>
      <x:c r="C808" s="17" t="str">
        <x:v>中原公園</x:v>
      </x:c>
      <x:c r="D808" s="18" t="n">
        <x:v>26</x:v>
      </x:c>
      <x:c r="E808" s="18" t="n">
        <x:v>26</x:v>
      </x:c>
      <x:c r="F808" s="18" t="n">
        <x:v>547</x:v>
      </x:c>
      <x:c r="G808" s="18" t="n">
        <x:v>26</x:v>
      </x:c>
      <x:c r="H808" s="18" t="n">
        <x:v>41</x:v>
      </x:c>
      <x:c r="I808" s="18" t="n">
        <x:v>26</x:v>
      </x:c>
      <x:c r="J808" s="18" t="n">
        <x:v>172</x:v>
      </x:c>
      <x:c r="K808" s="18" t="n">
        <x:v>26</x:v>
      </x:c>
      <x:c r="L808" s="18" t="n">
        <x:v>26</x:v>
      </x:c>
      <x:c r="M808" s="18" t="n">
        <x:v>26</x:v>
      </x:c>
    </x:row>
    <x:row r="809">
      <x:c r="A809" s="22" t="str">
        <x:v>500107048</x:v>
      </x:c>
      <x:c r="B809" s="17" t="str">
        <x:v>中山區</x:v>
      </x:c>
      <x:c r="C809" s="17" t="str">
        <x:v>下埤公園</x:v>
      </x:c>
      <x:c r="D809" s="18" t="n">
        <x:v>26</x:v>
      </x:c>
      <x:c r="E809" s="18" t="n">
        <x:v>26</x:v>
      </x:c>
      <x:c r="F809" s="18" t="n">
        <x:v>1022</x:v>
      </x:c>
      <x:c r="G809" s="18" t="n">
        <x:v>26</x:v>
      </x:c>
      <x:c r="H809" s="18" t="n">
        <x:v>100</x:v>
      </x:c>
      <x:c r="I809" s="18" t="n">
        <x:v>26</x:v>
      </x:c>
      <x:c r="J809" s="18" t="n">
        <x:v>113</x:v>
      </x:c>
      <x:c r="K809" s="18" t="n">
        <x:v>26</x:v>
      </x:c>
      <x:c r="L809" s="18" t="n">
        <x:v>31</x:v>
      </x:c>
      <x:c r="M809" s="18" t="n">
        <x:v>26</x:v>
      </x:c>
    </x:row>
    <x:row r="810">
      <x:c r="A810" s="22" t="str">
        <x:v>500107049</x:v>
      </x:c>
      <x:c r="B810" s="17" t="str">
        <x:v>中山區</x:v>
      </x:c>
      <x:c r="C810" s="17" t="str">
        <x:v>五常國中</x:v>
      </x:c>
      <x:c r="D810" s="18" t="n">
        <x:v>26</x:v>
      </x:c>
      <x:c r="E810" s="18" t="n">
        <x:v>26</x:v>
      </x:c>
      <x:c r="F810" s="18" t="n">
        <x:v>690</x:v>
      </x:c>
      <x:c r="G810" s="18" t="n">
        <x:v>26</x:v>
      </x:c>
      <x:c r="H810" s="18" t="n">
        <x:v>79</x:v>
      </x:c>
      <x:c r="I810" s="18" t="n">
        <x:v>26</x:v>
      </x:c>
      <x:c r="J810" s="18" t="n">
        <x:v>186</x:v>
      </x:c>
      <x:c r="K810" s="18" t="n">
        <x:v>26</x:v>
      </x:c>
      <x:c r="L810" s="18" t="n">
        <x:v>29</x:v>
      </x:c>
      <x:c r="M810" s="18" t="n">
        <x:v>26</x:v>
      </x:c>
    </x:row>
    <x:row r="811">
      <x:c r="A811" s="22" t="str">
        <x:v>500107050</x:v>
      </x:c>
      <x:c r="B811" s="17" t="str">
        <x:v>中山區</x:v>
      </x:c>
      <x:c r="C811" s="17" t="str">
        <x:v>榮星花園</x:v>
      </x:c>
      <x:c r="D811" s="18" t="n">
        <x:v>26</x:v>
      </x:c>
      <x:c r="E811" s="18" t="n">
        <x:v>26</x:v>
      </x:c>
      <x:c r="F811" s="18" t="n">
        <x:v>0</x:v>
      </x:c>
      <x:c r="G811" s="18" t="n">
        <x:v>26</x:v>
      </x:c>
      <x:c r="H811" s="18" t="n">
        <x:v>0</x:v>
      </x:c>
      <x:c r="I811" s="18" t="n">
        <x:v>26</x:v>
      </x:c>
      <x:c r="J811" s="18" t="n">
        <x:v>0</x:v>
      </x:c>
      <x:c r="K811" s="18" t="n">
        <x:v>26</x:v>
      </x:c>
      <x:c r="L811" s="18" t="n">
        <x:v>0</x:v>
      </x:c>
      <x:c r="M811" s="18" t="n">
        <x:v>26</x:v>
      </x:c>
    </x:row>
    <x:row r="812">
      <x:c r="A812" s="22" t="str">
        <x:v>500107051</x:v>
      </x:c>
      <x:c r="B812" s="17" t="str">
        <x:v>中山區</x:v>
      </x:c>
      <x:c r="C812" s="17" t="str">
        <x:v>民權建國路口</x:v>
      </x:c>
      <x:c r="D812" s="18" t="n">
        <x:v>26</x:v>
      </x:c>
      <x:c r="E812" s="18" t="n">
        <x:v>26</x:v>
      </x:c>
      <x:c r="F812" s="18" t="n">
        <x:v>337</x:v>
      </x:c>
      <x:c r="G812" s="18" t="n">
        <x:v>26</x:v>
      </x:c>
      <x:c r="H812" s="18" t="n">
        <x:v>67</x:v>
      </x:c>
      <x:c r="I812" s="18" t="n">
        <x:v>26</x:v>
      </x:c>
      <x:c r="J812" s="18" t="n">
        <x:v>207</x:v>
      </x:c>
      <x:c r="K812" s="18" t="n">
        <x:v>26</x:v>
      </x:c>
      <x:c r="L812" s="18" t="n">
        <x:v>24</x:v>
      </x:c>
      <x:c r="M812" s="18" t="n">
        <x:v>26</x:v>
      </x:c>
    </x:row>
    <x:row r="813">
      <x:c r="A813" s="22" t="str">
        <x:v>500107052</x:v>
      </x:c>
      <x:c r="B813" s="17" t="str">
        <x:v>中山區</x:v>
      </x:c>
      <x:c r="C813" s="17" t="str">
        <x:v>松江路431巷口</x:v>
      </x:c>
      <x:c r="D813" s="18" t="n">
        <x:v>26</x:v>
      </x:c>
      <x:c r="E813" s="18" t="n">
        <x:v>26</x:v>
      </x:c>
      <x:c r="F813" s="18" t="n">
        <x:v>262</x:v>
      </x:c>
      <x:c r="G813" s="18" t="n">
        <x:v>26</x:v>
      </x:c>
      <x:c r="H813" s="18" t="n">
        <x:v>74</x:v>
      </x:c>
      <x:c r="I813" s="18" t="n">
        <x:v>26</x:v>
      </x:c>
      <x:c r="J813" s="18" t="n">
        <x:v>149</x:v>
      </x:c>
      <x:c r="K813" s="18" t="n">
        <x:v>26</x:v>
      </x:c>
      <x:c r="L813" s="18" t="n">
        <x:v>19</x:v>
      </x:c>
      <x:c r="M813" s="18" t="n">
        <x:v>26</x:v>
      </x:c>
    </x:row>
    <x:row r="814">
      <x:c r="A814" s="22" t="str">
        <x:v>500107053</x:v>
      </x:c>
      <x:c r="B814" s="17" t="str">
        <x:v>中山區</x:v>
      </x:c>
      <x:c r="C814" s="17" t="str">
        <x:v>新喜公園</x:v>
      </x:c>
      <x:c r="D814" s="18" t="n">
        <x:v>26</x:v>
      </x:c>
      <x:c r="E814" s="18" t="n">
        <x:v>26</x:v>
      </x:c>
      <x:c r="F814" s="18" t="n">
        <x:v>462</x:v>
      </x:c>
      <x:c r="G814" s="18" t="n">
        <x:v>26</x:v>
      </x:c>
      <x:c r="H814" s="18" t="n">
        <x:v>48</x:v>
      </x:c>
      <x:c r="I814" s="18" t="n">
        <x:v>26</x:v>
      </x:c>
      <x:c r="J814" s="18" t="n">
        <x:v>116</x:v>
      </x:c>
      <x:c r="K814" s="18" t="n">
        <x:v>26</x:v>
      </x:c>
      <x:c r="L814" s="18" t="n">
        <x:v>41</x:v>
      </x:c>
      <x:c r="M814" s="18" t="n">
        <x:v>26</x:v>
      </x:c>
    </x:row>
    <x:row r="815">
      <x:c r="A815" s="22" t="str">
        <x:v>500107054</x:v>
      </x:c>
      <x:c r="B815" s="17" t="str">
        <x:v>中山區</x:v>
      </x:c>
      <x:c r="C815" s="17" t="str">
        <x:v>吉林路407巷口</x:v>
      </x:c>
      <x:c r="D815" s="18" t="n">
        <x:v>26</x:v>
      </x:c>
      <x:c r="E815" s="18" t="n">
        <x:v>26</x:v>
      </x:c>
      <x:c r="F815" s="18" t="n">
        <x:v>583</x:v>
      </x:c>
      <x:c r="G815" s="18" t="n">
        <x:v>26</x:v>
      </x:c>
      <x:c r="H815" s="18" t="n">
        <x:v>55</x:v>
      </x:c>
      <x:c r="I815" s="18" t="n">
        <x:v>26</x:v>
      </x:c>
      <x:c r="J815" s="18" t="n">
        <x:v>123</x:v>
      </x:c>
      <x:c r="K815" s="18" t="n">
        <x:v>26</x:v>
      </x:c>
      <x:c r="L815" s="18" t="n">
        <x:v>30</x:v>
      </x:c>
      <x:c r="M815" s="18" t="n">
        <x:v>26</x:v>
      </x:c>
    </x:row>
    <x:row r="816">
      <x:c r="A816" s="22" t="str">
        <x:v>500107055</x:v>
      </x:c>
      <x:c r="B816" s="17" t="str">
        <x:v>中山區</x:v>
      </x:c>
      <x:c r="C816" s="17" t="str">
        <x:v>民族松江路口</x:v>
      </x:c>
      <x:c r="D816" s="18" t="n">
        <x:v>26</x:v>
      </x:c>
      <x:c r="E816" s="18" t="n">
        <x:v>26</x:v>
      </x:c>
      <x:c r="F816" s="18" t="n">
        <x:v>142</x:v>
      </x:c>
      <x:c r="G816" s="18" t="n">
        <x:v>26</x:v>
      </x:c>
      <x:c r="H816" s="18" t="n">
        <x:v>36</x:v>
      </x:c>
      <x:c r="I816" s="18" t="n">
        <x:v>26</x:v>
      </x:c>
      <x:c r="J816" s="18" t="n">
        <x:v>138</x:v>
      </x:c>
      <x:c r="K816" s="18" t="n">
        <x:v>26</x:v>
      </x:c>
      <x:c r="L816" s="18" t="n">
        <x:v>33</x:v>
      </x:c>
      <x:c r="M816" s="18" t="n">
        <x:v>26</x:v>
      </x:c>
    </x:row>
    <x:row r="817">
      <x:c r="A817" s="22" t="str">
        <x:v>500107056</x:v>
      </x:c>
      <x:c r="B817" s="17" t="str">
        <x:v>中山區</x:v>
      </x:c>
      <x:c r="C817" s="17" t="str">
        <x:v>林安泰古厝</x:v>
      </x:c>
      <x:c r="D817" s="18" t="n">
        <x:v>26</x:v>
      </x:c>
      <x:c r="E817" s="18" t="n">
        <x:v>26</x:v>
      </x:c>
      <x:c r="F817" s="18" t="n">
        <x:v>0</x:v>
      </x:c>
      <x:c r="G817" s="18" t="n">
        <x:v>26</x:v>
      </x:c>
      <x:c r="H817" s="18" t="n">
        <x:v>0</x:v>
      </x:c>
      <x:c r="I817" s="18" t="n">
        <x:v>26</x:v>
      </x:c>
      <x:c r="J817" s="18" t="n">
        <x:v>0</x:v>
      </x:c>
      <x:c r="K817" s="18" t="n">
        <x:v>26</x:v>
      </x:c>
      <x:c r="L817" s="18" t="n">
        <x:v>0</x:v>
      </x:c>
      <x:c r="M817" s="18" t="n">
        <x:v>26</x:v>
      </x:c>
    </x:row>
    <x:row r="818">
      <x:c r="A818" s="22" t="str">
        <x:v>500107057</x:v>
      </x:c>
      <x:c r="B818" s="17" t="str">
        <x:v>中山區</x:v>
      </x:c>
      <x:c r="C818" s="17" t="str">
        <x:v>中山公民會館</x:v>
      </x:c>
      <x:c r="D818" s="18" t="n">
        <x:v>26</x:v>
      </x:c>
      <x:c r="E818" s="18" t="n">
        <x:v>26</x:v>
      </x:c>
      <x:c r="F818" s="18" t="n">
        <x:v>0</x:v>
      </x:c>
      <x:c r="G818" s="18" t="n">
        <x:v>26</x:v>
      </x:c>
      <x:c r="H818" s="18" t="n">
        <x:v>0</x:v>
      </x:c>
      <x:c r="I818" s="18" t="n">
        <x:v>26</x:v>
      </x:c>
      <x:c r="J818" s="18" t="n">
        <x:v>0</x:v>
      </x:c>
      <x:c r="K818" s="18" t="n">
        <x:v>26</x:v>
      </x:c>
      <x:c r="L818" s="18" t="n">
        <x:v>0</x:v>
      </x:c>
      <x:c r="M818" s="18" t="n">
        <x:v>26</x:v>
      </x:c>
    </x:row>
    <x:row r="819">
      <x:c r="A819" s="22" t="str">
        <x:v>500107058</x:v>
      </x:c>
      <x:c r="B819" s="17" t="str">
        <x:v>中山區</x:v>
      </x:c>
      <x:c r="C819" s="17" t="str">
        <x:v>渭水八德路口</x:v>
      </x:c>
      <x:c r="D819" s="18" t="n">
        <x:v>26</x:v>
      </x:c>
      <x:c r="E819" s="18" t="n">
        <x:v>26</x:v>
      </x:c>
      <x:c r="F819" s="18" t="n">
        <x:v>364</x:v>
      </x:c>
      <x:c r="G819" s="18" t="n">
        <x:v>26</x:v>
      </x:c>
      <x:c r="H819" s="18" t="n">
        <x:v>69</x:v>
      </x:c>
      <x:c r="I819" s="18" t="n">
        <x:v>26</x:v>
      </x:c>
      <x:c r="J819" s="18" t="n">
        <x:v>169</x:v>
      </x:c>
      <x:c r="K819" s="18" t="n">
        <x:v>26</x:v>
      </x:c>
      <x:c r="L819" s="18" t="n">
        <x:v>40</x:v>
      </x:c>
      <x:c r="M819" s="18" t="n">
        <x:v>26</x:v>
      </x:c>
    </x:row>
    <x:row r="820">
      <x:c r="A820" s="22" t="str">
        <x:v>500107059</x:v>
      </x:c>
      <x:c r="B820" s="17" t="str">
        <x:v>中山區</x:v>
      </x:c>
      <x:c r="C820" s="17" t="str">
        <x:v>捷運中山站(2號出口)</x:v>
      </x:c>
      <x:c r="D820" s="18" t="n">
        <x:v>26</x:v>
      </x:c>
      <x:c r="E820" s="18" t="n">
        <x:v>26</x:v>
      </x:c>
      <x:c r="F820" s="18" t="n">
        <x:v>141</x:v>
      </x:c>
      <x:c r="G820" s="18" t="n">
        <x:v>26</x:v>
      </x:c>
      <x:c r="H820" s="18" t="n">
        <x:v>34</x:v>
      </x:c>
      <x:c r="I820" s="18" t="n">
        <x:v>26</x:v>
      </x:c>
      <x:c r="J820" s="18" t="n">
        <x:v>702</x:v>
      </x:c>
      <x:c r="K820" s="18" t="n">
        <x:v>26</x:v>
      </x:c>
      <x:c r="L820" s="18" t="n">
        <x:v>85</x:v>
      </x:c>
      <x:c r="M820" s="18" t="n">
        <x:v>26</x:v>
      </x:c>
    </x:row>
    <x:row r="821">
      <x:c r="A821" s="22" t="str">
        <x:v>500107060</x:v>
      </x:c>
      <x:c r="B821" s="17" t="str">
        <x:v>中山區</x:v>
      </x:c>
      <x:c r="C821" s="17" t="str">
        <x:v>撫順公園</x:v>
      </x:c>
      <x:c r="D821" s="18" t="n">
        <x:v>26</x:v>
      </x:c>
      <x:c r="E821" s="18" t="n">
        <x:v>26</x:v>
      </x:c>
      <x:c r="F821" s="18" t="n">
        <x:v>176</x:v>
      </x:c>
      <x:c r="G821" s="18" t="n">
        <x:v>26</x:v>
      </x:c>
      <x:c r="H821" s="18" t="n">
        <x:v>37</x:v>
      </x:c>
      <x:c r="I821" s="18" t="n">
        <x:v>26</x:v>
      </x:c>
      <x:c r="J821" s="18" t="n">
        <x:v>431</x:v>
      </x:c>
      <x:c r="K821" s="18" t="n">
        <x:v>26</x:v>
      </x:c>
      <x:c r="L821" s="18" t="n">
        <x:v>47</x:v>
      </x:c>
      <x:c r="M821" s="18" t="n">
        <x:v>26</x:v>
      </x:c>
    </x:row>
    <x:row r="822">
      <x:c r="A822" s="22" t="str">
        <x:v>500107061</x:v>
      </x:c>
      <x:c r="B822" s="17" t="str">
        <x:v>中山區</x:v>
      </x:c>
      <x:c r="C822" s="17" t="str">
        <x:v>新生公園</x:v>
      </x:c>
      <x:c r="D822" s="18" t="n">
        <x:v>26</x:v>
      </x:c>
      <x:c r="E822" s="18" t="n">
        <x:v>26</x:v>
      </x:c>
      <x:c r="F822" s="18" t="n">
        <x:v>486</x:v>
      </x:c>
      <x:c r="G822" s="18" t="n">
        <x:v>26</x:v>
      </x:c>
      <x:c r="H822" s="18" t="n">
        <x:v>83</x:v>
      </x:c>
      <x:c r="I822" s="18" t="n">
        <x:v>26</x:v>
      </x:c>
      <x:c r="J822" s="18" t="n">
        <x:v>253</x:v>
      </x:c>
      <x:c r="K822" s="18" t="n">
        <x:v>26</x:v>
      </x:c>
      <x:c r="L822" s="18" t="n">
        <x:v>62</x:v>
      </x:c>
      <x:c r="M822" s="18" t="n">
        <x:v>26</x:v>
      </x:c>
    </x:row>
    <x:row r="823">
      <x:c r="A823" s="22" t="str">
        <x:v>500107062</x:v>
      </x:c>
      <x:c r="B823" s="17" t="str">
        <x:v>中山區</x:v>
      </x:c>
      <x:c r="C823" s="17" t="str">
        <x:v>捷運行天宮站(1號出口)</x:v>
      </x:c>
      <x:c r="D823" s="18" t="n">
        <x:v>26</x:v>
      </x:c>
      <x:c r="E823" s="18" t="n">
        <x:v>26</x:v>
      </x:c>
      <x:c r="F823" s="18" t="n">
        <x:v>575</x:v>
      </x:c>
      <x:c r="G823" s="18" t="n">
        <x:v>26</x:v>
      </x:c>
      <x:c r="H823" s="18" t="n">
        <x:v>101</x:v>
      </x:c>
      <x:c r="I823" s="18" t="n">
        <x:v>26</x:v>
      </x:c>
      <x:c r="J823" s="18" t="n">
        <x:v>241</x:v>
      </x:c>
      <x:c r="K823" s="18" t="n">
        <x:v>26</x:v>
      </x:c>
      <x:c r="L823" s="18" t="n">
        <x:v>62</x:v>
      </x:c>
      <x:c r="M823" s="18" t="n">
        <x:v>26</x:v>
      </x:c>
    </x:row>
    <x:row r="824">
      <x:c r="A824" s="22" t="str">
        <x:v>500107063</x:v>
      </x:c>
      <x:c r="B824" s="17" t="str">
        <x:v>中山區</x:v>
      </x:c>
      <x:c r="C824" s="17" t="str">
        <x:v>林森長春路口</x:v>
      </x:c>
      <x:c r="D824" s="18" t="n">
        <x:v>26</x:v>
      </x:c>
      <x:c r="E824" s="18" t="n">
        <x:v>26</x:v>
      </x:c>
      <x:c r="F824" s="18" t="n">
        <x:v>227</x:v>
      </x:c>
      <x:c r="G824" s="18" t="n">
        <x:v>26</x:v>
      </x:c>
      <x:c r="H824" s="18" t="n">
        <x:v>35</x:v>
      </x:c>
      <x:c r="I824" s="18" t="n">
        <x:v>26</x:v>
      </x:c>
      <x:c r="J824" s="18" t="n">
        <x:v>270</x:v>
      </x:c>
      <x:c r="K824" s="18" t="n">
        <x:v>26</x:v>
      </x:c>
      <x:c r="L824" s="18" t="n">
        <x:v>93</x:v>
      </x:c>
      <x:c r="M824" s="18" t="n">
        <x:v>26</x:v>
      </x:c>
    </x:row>
    <x:row r="825">
      <x:c r="A825" s="22" t="str">
        <x:v>500107064</x:v>
      </x:c>
      <x:c r="B825" s="17" t="str">
        <x:v>中山區</x:v>
      </x:c>
      <x:c r="C825" s="17" t="str">
        <x:v>建國農安街口</x:v>
      </x:c>
      <x:c r="D825" s="18" t="n">
        <x:v>26</x:v>
      </x:c>
      <x:c r="E825" s="18" t="n">
        <x:v>26</x:v>
      </x:c>
      <x:c r="F825" s="18" t="n">
        <x:v>1103</x:v>
      </x:c>
      <x:c r="G825" s="18" t="n">
        <x:v>26</x:v>
      </x:c>
      <x:c r="H825" s="18" t="n">
        <x:v>101</x:v>
      </x:c>
      <x:c r="I825" s="18" t="n">
        <x:v>26</x:v>
      </x:c>
      <x:c r="J825" s="18" t="n">
        <x:v>257</x:v>
      </x:c>
      <x:c r="K825" s="18" t="n">
        <x:v>26</x:v>
      </x:c>
      <x:c r="L825" s="18" t="n">
        <x:v>19</x:v>
      </x:c>
      <x:c r="M825" s="18" t="n">
        <x:v>26</x:v>
      </x:c>
    </x:row>
    <x:row r="826">
      <x:c r="A826" s="22" t="str">
        <x:v>500107065</x:v>
      </x:c>
      <x:c r="B826" s="17" t="str">
        <x:v>中山區</x:v>
      </x:c>
      <x:c r="C826" s="17" t="str">
        <x:v>松江路77巷口</x:v>
      </x:c>
      <x:c r="D826" s="18" t="n">
        <x:v>26</x:v>
      </x:c>
      <x:c r="E826" s="18" t="n">
        <x:v>26</x:v>
      </x:c>
      <x:c r="F826" s="18" t="n">
        <x:v>47</x:v>
      </x:c>
      <x:c r="G826" s="18" t="n">
        <x:v>26</x:v>
      </x:c>
      <x:c r="H826" s="18" t="n">
        <x:v>12</x:v>
      </x:c>
      <x:c r="I826" s="18" t="n">
        <x:v>26</x:v>
      </x:c>
      <x:c r="J826" s="18" t="n">
        <x:v>109</x:v>
      </x:c>
      <x:c r="K826" s="18" t="n">
        <x:v>26</x:v>
      </x:c>
      <x:c r="L826" s="18" t="n">
        <x:v>32</x:v>
      </x:c>
      <x:c r="M826" s="18" t="n">
        <x:v>26</x:v>
      </x:c>
    </x:row>
    <x:row r="827">
      <x:c r="A827" s="22" t="str">
        <x:v>500107066</x:v>
      </x:c>
      <x:c r="B827" s="17" t="str">
        <x:v>中山區</x:v>
      </x:c>
      <x:c r="C827" s="17" t="str">
        <x:v>建國長安路口</x:v>
      </x:c>
      <x:c r="D827" s="18" t="n">
        <x:v>26</x:v>
      </x:c>
      <x:c r="E827" s="18" t="n">
        <x:v>26</x:v>
      </x:c>
      <x:c r="F827" s="18" t="n">
        <x:v>90</x:v>
      </x:c>
      <x:c r="G827" s="18" t="n">
        <x:v>26</x:v>
      </x:c>
      <x:c r="H827" s="18" t="n">
        <x:v>32</x:v>
      </x:c>
      <x:c r="I827" s="18" t="n">
        <x:v>26</x:v>
      </x:c>
      <x:c r="J827" s="18" t="n">
        <x:v>637</x:v>
      </x:c>
      <x:c r="K827" s="18" t="n">
        <x:v>26</x:v>
      </x:c>
      <x:c r="L827" s="18" t="n">
        <x:v>63</x:v>
      </x:c>
      <x:c r="M827" s="18" t="n">
        <x:v>26</x:v>
      </x:c>
    </x:row>
    <x:row r="828">
      <x:c r="A828" s="22" t="str">
        <x:v>500107067</x:v>
      </x:c>
      <x:c r="B828" s="17" t="str">
        <x:v>中山區</x:v>
      </x:c>
      <x:c r="C828" s="17" t="str">
        <x:v>市民新生路口</x:v>
      </x:c>
      <x:c r="D828" s="18" t="n">
        <x:v>26</x:v>
      </x:c>
      <x:c r="E828" s="18" t="n">
        <x:v>26</x:v>
      </x:c>
      <x:c r="F828" s="18" t="n">
        <x:v>99</x:v>
      </x:c>
      <x:c r="G828" s="18" t="n">
        <x:v>26</x:v>
      </x:c>
      <x:c r="H828" s="18" t="n">
        <x:v>42</x:v>
      </x:c>
      <x:c r="I828" s="18" t="n">
        <x:v>26</x:v>
      </x:c>
      <x:c r="J828" s="18" t="n">
        <x:v>120</x:v>
      </x:c>
      <x:c r="K828" s="18" t="n">
        <x:v>26</x:v>
      </x:c>
      <x:c r="L828" s="18" t="n">
        <x:v>31</x:v>
      </x:c>
      <x:c r="M828" s="18" t="n">
        <x:v>26</x:v>
      </x:c>
    </x:row>
    <x:row r="829">
      <x:c r="A829" s="22" t="str">
        <x:v>500107068</x:v>
      </x:c>
      <x:c r="B829" s="17" t="str">
        <x:v>中山區</x:v>
      </x:c>
      <x:c r="C829" s="17" t="str">
        <x:v>民權吉林路口</x:v>
      </x:c>
      <x:c r="D829" s="18" t="n">
        <x:v>26</x:v>
      </x:c>
      <x:c r="E829" s="18" t="n">
        <x:v>26</x:v>
      </x:c>
      <x:c r="F829" s="18" t="n">
        <x:v>218</x:v>
      </x:c>
      <x:c r="G829" s="18" t="n">
        <x:v>26</x:v>
      </x:c>
      <x:c r="H829" s="18" t="n">
        <x:v>23</x:v>
      </x:c>
      <x:c r="I829" s="18" t="n">
        <x:v>26</x:v>
      </x:c>
      <x:c r="J829" s="18" t="n">
        <x:v>107</x:v>
      </x:c>
      <x:c r="K829" s="18" t="n">
        <x:v>26</x:v>
      </x:c>
      <x:c r="L829" s="18" t="n">
        <x:v>16</x:v>
      </x:c>
      <x:c r="M829" s="18" t="n">
        <x:v>26</x:v>
      </x:c>
    </x:row>
    <x:row r="830">
      <x:c r="A830" s="22" t="str">
        <x:v>500107069</x:v>
      </x:c>
      <x:c r="B830" s="17" t="str">
        <x:v>中山區</x:v>
      </x:c>
      <x:c r="C830" s="17" t="str">
        <x:v>中山農安街口</x:v>
      </x:c>
      <x:c r="D830" s="18" t="n">
        <x:v>26</x:v>
      </x:c>
      <x:c r="E830" s="18" t="n">
        <x:v>26</x:v>
      </x:c>
      <x:c r="F830" s="18" t="n">
        <x:v>169</x:v>
      </x:c>
      <x:c r="G830" s="18" t="n">
        <x:v>26</x:v>
      </x:c>
      <x:c r="H830" s="18" t="n">
        <x:v>29</x:v>
      </x:c>
      <x:c r="I830" s="18" t="n">
        <x:v>26</x:v>
      </x:c>
      <x:c r="J830" s="18" t="n">
        <x:v>861</x:v>
      </x:c>
      <x:c r="K830" s="18" t="n">
        <x:v>26</x:v>
      </x:c>
      <x:c r="L830" s="18" t="n">
        <x:v>56</x:v>
      </x:c>
      <x:c r="M830" s="18" t="n">
        <x:v>26</x:v>
      </x:c>
    </x:row>
    <x:row r="831">
      <x:c r="A831" s="22" t="str">
        <x:v>500107070</x:v>
      </x:c>
      <x:c r="B831" s="17" t="str">
        <x:v>中山區</x:v>
      </x:c>
      <x:c r="C831" s="17" t="str">
        <x:v>捷運行政大樓</x:v>
      </x:c>
      <x:c r="D831" s="18" t="n">
        <x:v>26</x:v>
      </x:c>
      <x:c r="E831" s="18" t="n">
        <x:v>26</x:v>
      </x:c>
      <x:c r="F831" s="18" t="n">
        <x:v>105</x:v>
      </x:c>
      <x:c r="G831" s="18" t="n">
        <x:v>26</x:v>
      </x:c>
      <x:c r="H831" s="18" t="n">
        <x:v>31</x:v>
      </x:c>
      <x:c r="I831" s="18" t="n">
        <x:v>26</x:v>
      </x:c>
      <x:c r="J831" s="18" t="n">
        <x:v>442</x:v>
      </x:c>
      <x:c r="K831" s="18" t="n">
        <x:v>26</x:v>
      </x:c>
      <x:c r="L831" s="18" t="n">
        <x:v>85</x:v>
      </x:c>
      <x:c r="M831" s="18" t="n">
        <x:v>26</x:v>
      </x:c>
    </x:row>
    <x:row r="832">
      <x:c r="A832" s="22" t="str">
        <x:v>500107071</x:v>
      </x:c>
      <x:c r="B832" s="17" t="str">
        <x:v>中山區</x:v>
      </x:c>
      <x:c r="C832" s="17" t="str">
        <x:v>中吉公園(松江路188巷)</x:v>
      </x:c>
      <x:c r="D832" s="18" t="n">
        <x:v>26</x:v>
      </x:c>
      <x:c r="E832" s="18" t="n">
        <x:v>26</x:v>
      </x:c>
      <x:c r="F832" s="18" t="n">
        <x:v>266</x:v>
      </x:c>
      <x:c r="G832" s="18" t="n">
        <x:v>26</x:v>
      </x:c>
      <x:c r="H832" s="18" t="n">
        <x:v>12</x:v>
      </x:c>
      <x:c r="I832" s="18" t="n">
        <x:v>26</x:v>
      </x:c>
      <x:c r="J832" s="18" t="n">
        <x:v>126</x:v>
      </x:c>
      <x:c r="K832" s="18" t="n">
        <x:v>26</x:v>
      </x:c>
      <x:c r="L832" s="18" t="n">
        <x:v>19</x:v>
      </x:c>
      <x:c r="M832" s="18" t="n">
        <x:v>26</x:v>
      </x:c>
    </x:row>
    <x:row r="833">
      <x:c r="A833" s="22" t="str">
        <x:v>500107072</x:v>
      </x:c>
      <x:c r="B833" s="17" t="str">
        <x:v>中山區</x:v>
      </x:c>
      <x:c r="C833" s="17" t="str">
        <x:v>吉林路123巷口</x:v>
      </x:c>
      <x:c r="D833" s="18" t="n">
        <x:v>26</x:v>
      </x:c>
      <x:c r="E833" s="18" t="n">
        <x:v>26</x:v>
      </x:c>
      <x:c r="F833" s="18" t="n">
        <x:v>491</x:v>
      </x:c>
      <x:c r="G833" s="18" t="n">
        <x:v>26</x:v>
      </x:c>
      <x:c r="H833" s="18" t="n">
        <x:v>38</x:v>
      </x:c>
      <x:c r="I833" s="18" t="n">
        <x:v>26</x:v>
      </x:c>
      <x:c r="J833" s="18" t="n">
        <x:v>230</x:v>
      </x:c>
      <x:c r="K833" s="18" t="n">
        <x:v>26</x:v>
      </x:c>
      <x:c r="L833" s="18" t="n">
        <x:v>45</x:v>
      </x:c>
      <x:c r="M833" s="18" t="n">
        <x:v>26</x:v>
      </x:c>
    </x:row>
    <x:row r="834">
      <x:c r="A834" s="22" t="str">
        <x:v>500107073</x:v>
      </x:c>
      <x:c r="B834" s="17" t="str">
        <x:v>中山區</x:v>
      </x:c>
      <x:c r="C834" s="17" t="str">
        <x:v>松江市場</x:v>
      </x:c>
      <x:c r="D834" s="18" t="n">
        <x:v>26</x:v>
      </x:c>
      <x:c r="E834" s="18" t="n">
        <x:v>26</x:v>
      </x:c>
      <x:c r="F834" s="18" t="n">
        <x:v>0</x:v>
      </x:c>
      <x:c r="G834" s="18" t="n">
        <x:v>26</x:v>
      </x:c>
      <x:c r="H834" s="18" t="n">
        <x:v>0</x:v>
      </x:c>
      <x:c r="I834" s="18" t="n">
        <x:v>26</x:v>
      </x:c>
      <x:c r="J834" s="18" t="n">
        <x:v>0</x:v>
      </x:c>
      <x:c r="K834" s="18" t="n">
        <x:v>26</x:v>
      </x:c>
      <x:c r="L834" s="18" t="n">
        <x:v>0</x:v>
      </x:c>
      <x:c r="M834" s="18" t="n">
        <x:v>26</x:v>
      </x:c>
    </x:row>
    <x:row r="835">
      <x:c r="A835" s="22" t="str">
        <x:v>500107074</x:v>
      </x:c>
      <x:c r="B835" s="17" t="str">
        <x:v>中山區</x:v>
      </x:c>
      <x:c r="C835" s="17" t="str">
        <x:v>中原民生路口</x:v>
      </x:c>
      <x:c r="D835" s="18" t="n">
        <x:v>26</x:v>
      </x:c>
      <x:c r="E835" s="18" t="n">
        <x:v>26</x:v>
      </x:c>
      <x:c r="F835" s="18" t="n">
        <x:v>0</x:v>
      </x:c>
      <x:c r="G835" s="18" t="n">
        <x:v>26</x:v>
      </x:c>
      <x:c r="H835" s="18" t="n">
        <x:v>0</x:v>
      </x:c>
      <x:c r="I835" s="18" t="n">
        <x:v>26</x:v>
      </x:c>
      <x:c r="J835" s="18" t="n">
        <x:v>0</x:v>
      </x:c>
      <x:c r="K835" s="18" t="n">
        <x:v>26</x:v>
      </x:c>
      <x:c r="L835" s="18" t="n">
        <x:v>0</x:v>
      </x:c>
      <x:c r="M835" s="18" t="n">
        <x:v>26</x:v>
      </x:c>
    </x:row>
    <x:row r="836">
      <x:c r="A836" s="22" t="str">
        <x:v>500107075</x:v>
      </x:c>
      <x:c r="B836" s="17" t="str">
        <x:v>中山區</x:v>
      </x:c>
      <x:c r="C836" s="17" t="str">
        <x:v>國立臺北大學(臺北校區)</x:v>
      </x:c>
      <x:c r="D836" s="18" t="n">
        <x:v>26</x:v>
      </x:c>
      <x:c r="E836" s="18" t="n">
        <x:v>26</x:v>
      </x:c>
      <x:c r="F836" s="18" t="n">
        <x:v>132</x:v>
      </x:c>
      <x:c r="G836" s="18" t="n">
        <x:v>26</x:v>
      </x:c>
      <x:c r="H836" s="18" t="n">
        <x:v>15</x:v>
      </x:c>
      <x:c r="I836" s="18" t="n">
        <x:v>26</x:v>
      </x:c>
      <x:c r="J836" s="18" t="n">
        <x:v>376</x:v>
      </x:c>
      <x:c r="K836" s="18" t="n">
        <x:v>26</x:v>
      </x:c>
      <x:c r="L836" s="18" t="n">
        <x:v>46</x:v>
      </x:c>
      <x:c r="M836" s="18" t="n">
        <x:v>26</x:v>
      </x:c>
    </x:row>
    <x:row r="837">
      <x:c r="A837" s="22" t="str">
        <x:v>500107076</x:v>
      </x:c>
      <x:c r="B837" s="17" t="str">
        <x:v>中山區</x:v>
      </x:c>
      <x:c r="C837" s="17" t="str">
        <x:v>錦州吉林路口</x:v>
      </x:c>
      <x:c r="D837" s="18" t="n">
        <x:v>26</x:v>
      </x:c>
      <x:c r="E837" s="18" t="n">
        <x:v>26</x:v>
      </x:c>
      <x:c r="F837" s="18" t="n">
        <x:v>962</x:v>
      </x:c>
      <x:c r="G837" s="18" t="n">
        <x:v>26</x:v>
      </x:c>
      <x:c r="H837" s="18" t="n">
        <x:v>71</x:v>
      </x:c>
      <x:c r="I837" s="18" t="n">
        <x:v>26</x:v>
      </x:c>
      <x:c r="J837" s="18" t="n">
        <x:v>254</x:v>
      </x:c>
      <x:c r="K837" s="18" t="n">
        <x:v>26</x:v>
      </x:c>
      <x:c r="L837" s="18" t="n">
        <x:v>50</x:v>
      </x:c>
      <x:c r="M837" s="18" t="n">
        <x:v>26</x:v>
      </x:c>
    </x:row>
    <x:row r="838">
      <x:c r="A838" s="22" t="str">
        <x:v>500107077</x:v>
      </x:c>
      <x:c r="B838" s="17" t="str">
        <x:v>中山區</x:v>
      </x:c>
      <x:c r="C838" s="17" t="str">
        <x:v>中山北路二段59巷口</x:v>
      </x:c>
      <x:c r="D838" s="18" t="n">
        <x:v>26</x:v>
      </x:c>
      <x:c r="E838" s="18" t="n">
        <x:v>26</x:v>
      </x:c>
      <x:c r="F838" s="18" t="n">
        <x:v>0</x:v>
      </x:c>
      <x:c r="G838" s="18" t="n">
        <x:v>26</x:v>
      </x:c>
      <x:c r="H838" s="18" t="n">
        <x:v>0</x:v>
      </x:c>
      <x:c r="I838" s="18" t="n">
        <x:v>26</x:v>
      </x:c>
      <x:c r="J838" s="18" t="n">
        <x:v>0</x:v>
      </x:c>
      <x:c r="K838" s="18" t="n">
        <x:v>26</x:v>
      </x:c>
      <x:c r="L838" s="18" t="n">
        <x:v>0</x:v>
      </x:c>
      <x:c r="M838" s="18" t="n">
        <x:v>26</x:v>
      </x:c>
    </x:row>
    <x:row r="839">
      <x:c r="A839" s="22" t="str">
        <x:v>500107078</x:v>
      </x:c>
      <x:c r="B839" s="17" t="str">
        <x:v>中山區</x:v>
      </x:c>
      <x:c r="C839" s="17" t="str">
        <x:v>永盛公園(民生東路一段23巷)</x:v>
      </x:c>
      <x:c r="D839" s="18" t="n">
        <x:v>26</x:v>
      </x:c>
      <x:c r="E839" s="18" t="n">
        <x:v>26</x:v>
      </x:c>
      <x:c r="F839" s="18" t="n">
        <x:v>212</x:v>
      </x:c>
      <x:c r="G839" s="18" t="n">
        <x:v>26</x:v>
      </x:c>
      <x:c r="H839" s="18" t="n">
        <x:v>31</x:v>
      </x:c>
      <x:c r="I839" s="18" t="n">
        <x:v>26</x:v>
      </x:c>
      <x:c r="J839" s="18" t="n">
        <x:v>222</x:v>
      </x:c>
      <x:c r="K839" s="18" t="n">
        <x:v>26</x:v>
      </x:c>
      <x:c r="L839" s="18" t="n">
        <x:v>62</x:v>
      </x:c>
      <x:c r="M839" s="18" t="n">
        <x:v>26</x:v>
      </x:c>
    </x:row>
    <x:row r="840">
      <x:c r="A840" s="22" t="str">
        <x:v>500107079</x:v>
      </x:c>
      <x:c r="B840" s="17" t="str">
        <x:v>中山區</x:v>
      </x:c>
      <x:c r="C840" s="17" t="str">
        <x:v>新生錦州街口</x:v>
      </x:c>
      <x:c r="D840" s="18" t="n">
        <x:v>26</x:v>
      </x:c>
      <x:c r="E840" s="18" t="n">
        <x:v>26</x:v>
      </x:c>
      <x:c r="F840" s="18" t="n">
        <x:v>327</x:v>
      </x:c>
      <x:c r="G840" s="18" t="n">
        <x:v>26</x:v>
      </x:c>
      <x:c r="H840" s="18" t="n">
        <x:v>62</x:v>
      </x:c>
      <x:c r="I840" s="18" t="n">
        <x:v>26</x:v>
      </x:c>
      <x:c r="J840" s="18" t="n">
        <x:v>103</x:v>
      </x:c>
      <x:c r="K840" s="18" t="n">
        <x:v>26</x:v>
      </x:c>
      <x:c r="L840" s="18" t="n">
        <x:v>44</x:v>
      </x:c>
      <x:c r="M840" s="18" t="n">
        <x:v>26</x:v>
      </x:c>
    </x:row>
    <x:row r="841">
      <x:c r="A841" s="22" t="str">
        <x:v>500107080</x:v>
      </x:c>
      <x:c r="B841" s="17" t="str">
        <x:v>中山區</x:v>
      </x:c>
      <x:c r="C841" s="17" t="str">
        <x:v>濱江街199巷口</x:v>
      </x:c>
      <x:c r="D841" s="18" t="n">
        <x:v>26</x:v>
      </x:c>
      <x:c r="E841" s="18" t="n">
        <x:v>26</x:v>
      </x:c>
      <x:c r="F841" s="18" t="n">
        <x:v>202</x:v>
      </x:c>
      <x:c r="G841" s="18" t="n">
        <x:v>26</x:v>
      </x:c>
      <x:c r="H841" s="18" t="n">
        <x:v>51</x:v>
      </x:c>
      <x:c r="I841" s="18" t="n">
        <x:v>26</x:v>
      </x:c>
      <x:c r="J841" s="18" t="n">
        <x:v>278</x:v>
      </x:c>
      <x:c r="K841" s="18" t="n">
        <x:v>26</x:v>
      </x:c>
      <x:c r="L841" s="18" t="n">
        <x:v>84</x:v>
      </x:c>
      <x:c r="M841" s="18" t="n">
        <x:v>26</x:v>
      </x:c>
    </x:row>
    <x:row r="842">
      <x:c r="A842" s="22" t="str">
        <x:v>500107081</x:v>
      </x:c>
      <x:c r="B842" s="17" t="str">
        <x:v>中山區</x:v>
      </x:c>
      <x:c r="C842" s="17" t="str">
        <x:v>大佳社區公園</x:v>
      </x:c>
      <x:c r="D842" s="18" t="n">
        <x:v>26</x:v>
      </x:c>
      <x:c r="E842" s="18" t="n">
        <x:v>26</x:v>
      </x:c>
      <x:c r="F842" s="18" t="n">
        <x:v>336</x:v>
      </x:c>
      <x:c r="G842" s="18" t="n">
        <x:v>26</x:v>
      </x:c>
      <x:c r="H842" s="18" t="n">
        <x:v>61</x:v>
      </x:c>
      <x:c r="I842" s="18" t="n">
        <x:v>26</x:v>
      </x:c>
      <x:c r="J842" s="18" t="n">
        <x:v>393</x:v>
      </x:c>
      <x:c r="K842" s="18" t="n">
        <x:v>26</x:v>
      </x:c>
      <x:c r="L842" s="18" t="n">
        <x:v>56</x:v>
      </x:c>
      <x:c r="M842" s="18" t="n">
        <x:v>26</x:v>
      </x:c>
    </x:row>
    <x:row r="843">
      <x:c r="A843" s="22" t="str">
        <x:v>500107082</x:v>
      </x:c>
      <x:c r="B843" s="17" t="str">
        <x:v>中山區</x:v>
      </x:c>
      <x:c r="C843" s="17" t="str">
        <x:v>濱江果菜市場</x:v>
      </x:c>
      <x:c r="D843" s="18" t="n">
        <x:v>26</x:v>
      </x:c>
      <x:c r="E843" s="18" t="n">
        <x:v>26</x:v>
      </x:c>
      <x:c r="F843" s="18" t="n">
        <x:v>253</x:v>
      </x:c>
      <x:c r="G843" s="18" t="n">
        <x:v>26</x:v>
      </x:c>
      <x:c r="H843" s="18" t="n">
        <x:v>69</x:v>
      </x:c>
      <x:c r="I843" s="18" t="n">
        <x:v>26</x:v>
      </x:c>
      <x:c r="J843" s="18" t="n">
        <x:v>143</x:v>
      </x:c>
      <x:c r="K843" s="18" t="n">
        <x:v>26</x:v>
      </x:c>
      <x:c r="L843" s="18" t="n">
        <x:v>26</x:v>
      </x:c>
      <x:c r="M843" s="18" t="n">
        <x:v>26</x:v>
      </x:c>
    </x:row>
    <x:row r="844">
      <x:c r="A844" s="22" t="str">
        <x:v>500107083</x:v>
      </x:c>
      <x:c r="B844" s="17" t="str">
        <x:v>中山區</x:v>
      </x:c>
      <x:c r="C844" s="17" t="str">
        <x:v>興安合江路口</x:v>
      </x:c>
      <x:c r="D844" s="18" t="n">
        <x:v>26</x:v>
      </x:c>
      <x:c r="E844" s="18" t="n">
        <x:v>26</x:v>
      </x:c>
      <x:c r="F844" s="18" t="n">
        <x:v>827</x:v>
      </x:c>
      <x:c r="G844" s="18" t="n">
        <x:v>26</x:v>
      </x:c>
      <x:c r="H844" s="18" t="n">
        <x:v>60</x:v>
      </x:c>
      <x:c r="I844" s="18" t="n">
        <x:v>26</x:v>
      </x:c>
      <x:c r="J844" s="18" t="n">
        <x:v>196</x:v>
      </x:c>
      <x:c r="K844" s="18" t="n">
        <x:v>26</x:v>
      </x:c>
      <x:c r="L844" s="18" t="n">
        <x:v>31</x:v>
      </x:c>
      <x:c r="M844" s="18" t="n">
        <x:v>26</x:v>
      </x:c>
    </x:row>
    <x:row r="845">
      <x:c r="A845" s="22" t="str">
        <x:v>500107084</x:v>
      </x:c>
      <x:c r="B845" s="17" t="str">
        <x:v>中山區</x:v>
      </x:c>
      <x:c r="C845" s="17" t="str">
        <x:v>復興北路514巷口東側</x:v>
      </x:c>
      <x:c r="D845" s="18" t="n">
        <x:v>26</x:v>
      </x:c>
      <x:c r="E845" s="18" t="n">
        <x:v>26</x:v>
      </x:c>
      <x:c r="F845" s="18" t="n">
        <x:v>381</x:v>
      </x:c>
      <x:c r="G845" s="18" t="n">
        <x:v>26</x:v>
      </x:c>
      <x:c r="H845" s="18" t="n">
        <x:v>30</x:v>
      </x:c>
      <x:c r="I845" s="18" t="n">
        <x:v>26</x:v>
      </x:c>
      <x:c r="J845" s="18" t="n">
        <x:v>160</x:v>
      </x:c>
      <x:c r="K845" s="18" t="n">
        <x:v>26</x:v>
      </x:c>
      <x:c r="L845" s="18" t="n">
        <x:v>40</x:v>
      </x:c>
      <x:c r="M845" s="18" t="n">
        <x:v>26</x:v>
      </x:c>
    </x:row>
    <x:row r="846">
      <x:c r="A846" s="22" t="str">
        <x:v>500107085</x:v>
      </x:c>
      <x:c r="B846" s="17" t="str">
        <x:v>中山區</x:v>
      </x:c>
      <x:c r="C846" s="17" t="str">
        <x:v>台泥大樓</x:v>
      </x:c>
      <x:c r="D846" s="18" t="n">
        <x:v>26</x:v>
      </x:c>
      <x:c r="E846" s="18" t="n">
        <x:v>26</x:v>
      </x:c>
      <x:c r="F846" s="18" t="n">
        <x:v>145</x:v>
      </x:c>
      <x:c r="G846" s="18" t="n">
        <x:v>26</x:v>
      </x:c>
      <x:c r="H846" s="18" t="n">
        <x:v>24</x:v>
      </x:c>
      <x:c r="I846" s="18" t="n">
        <x:v>26</x:v>
      </x:c>
      <x:c r="J846" s="18" t="n">
        <x:v>369</x:v>
      </x:c>
      <x:c r="K846" s="18" t="n">
        <x:v>26</x:v>
      </x:c>
      <x:c r="L846" s="18" t="n">
        <x:v>65</x:v>
      </x:c>
      <x:c r="M846" s="18" t="n">
        <x:v>26</x:v>
      </x:c>
    </x:row>
    <x:row r="847">
      <x:c r="A847" s="22" t="str">
        <x:v>500107086</x:v>
      </x:c>
      <x:c r="B847" s="17" t="str">
        <x:v>中山區</x:v>
      </x:c>
      <x:c r="C847" s="17" t="str">
        <x:v>植福樂群路口</x:v>
      </x:c>
      <x:c r="D847" s="18" t="n">
        <x:v>26</x:v>
      </x:c>
      <x:c r="E847" s="18" t="n">
        <x:v>26</x:v>
      </x:c>
      <x:c r="F847" s="18" t="n">
        <x:v>68</x:v>
      </x:c>
      <x:c r="G847" s="18" t="n">
        <x:v>26</x:v>
      </x:c>
      <x:c r="H847" s="18" t="n">
        <x:v>19</x:v>
      </x:c>
      <x:c r="I847" s="18" t="n">
        <x:v>26</x:v>
      </x:c>
      <x:c r="J847" s="18" t="n">
        <x:v>68</x:v>
      </x:c>
      <x:c r="K847" s="18" t="n">
        <x:v>26</x:v>
      </x:c>
      <x:c r="L847" s="18" t="n">
        <x:v>34</x:v>
      </x:c>
      <x:c r="M847" s="18" t="n">
        <x:v>26</x:v>
      </x:c>
    </x:row>
    <x:row r="848">
      <x:c r="A848" s="22" t="str">
        <x:v>500107087</x:v>
      </x:c>
      <x:c r="B848" s="17" t="str">
        <x:v>中山區</x:v>
      </x:c>
      <x:c r="C848" s="17" t="str">
        <x:v>新興公園</x:v>
      </x:c>
      <x:c r="D848" s="18" t="n">
        <x:v>26</x:v>
      </x:c>
      <x:c r="E848" s="18" t="n">
        <x:v>26</x:v>
      </x:c>
      <x:c r="F848" s="18" t="n">
        <x:v>322</x:v>
      </x:c>
      <x:c r="G848" s="18" t="n">
        <x:v>26</x:v>
      </x:c>
      <x:c r="H848" s="18" t="n">
        <x:v>38</x:v>
      </x:c>
      <x:c r="I848" s="18" t="n">
        <x:v>26</x:v>
      </x:c>
      <x:c r="J848" s="18" t="n">
        <x:v>140</x:v>
      </x:c>
      <x:c r="K848" s="18" t="n">
        <x:v>26</x:v>
      </x:c>
      <x:c r="L848" s="18" t="n">
        <x:v>59</x:v>
      </x:c>
      <x:c r="M848" s="18" t="n">
        <x:v>26</x:v>
      </x:c>
    </x:row>
    <x:row r="849">
      <x:c r="A849" s="22" t="str">
        <x:v>500107088</x:v>
      </x:c>
      <x:c r="B849" s="17" t="str">
        <x:v>中山區</x:v>
      </x:c>
      <x:c r="C849" s="17" t="str">
        <x:v>南京伊通街口</x:v>
      </x:c>
      <x:c r="D849" s="18" t="n">
        <x:v>26</x:v>
      </x:c>
      <x:c r="E849" s="18" t="n">
        <x:v>26</x:v>
      </x:c>
      <x:c r="F849" s="18" t="n">
        <x:v>111</x:v>
      </x:c>
      <x:c r="G849" s="18" t="n">
        <x:v>26</x:v>
      </x:c>
      <x:c r="H849" s="18" t="n">
        <x:v>39</x:v>
      </x:c>
      <x:c r="I849" s="18" t="n">
        <x:v>26</x:v>
      </x:c>
      <x:c r="J849" s="18" t="n">
        <x:v>171</x:v>
      </x:c>
      <x:c r="K849" s="18" t="n">
        <x:v>26</x:v>
      </x:c>
      <x:c r="L849" s="18" t="n">
        <x:v>54</x:v>
      </x:c>
      <x:c r="M849" s="18" t="n">
        <x:v>26</x:v>
      </x:c>
    </x:row>
    <x:row r="850">
      <x:c r="A850" s="22" t="str">
        <x:v>500107089</x:v>
      </x:c>
      <x:c r="B850" s="17" t="str">
        <x:v>中山區</x:v>
      </x:c>
      <x:c r="C850" s="17" t="str">
        <x:v>南京龍江路口</x:v>
      </x:c>
      <x:c r="D850" s="18" t="n">
        <x:v>26</x:v>
      </x:c>
      <x:c r="E850" s="18" t="n">
        <x:v>26</x:v>
      </x:c>
      <x:c r="F850" s="18" t="n">
        <x:v>196</x:v>
      </x:c>
      <x:c r="G850" s="18" t="n">
        <x:v>26</x:v>
      </x:c>
      <x:c r="H850" s="18" t="n">
        <x:v>29</x:v>
      </x:c>
      <x:c r="I850" s="18" t="n">
        <x:v>26</x:v>
      </x:c>
      <x:c r="J850" s="18" t="n">
        <x:v>237</x:v>
      </x:c>
      <x:c r="K850" s="18" t="n">
        <x:v>26</x:v>
      </x:c>
      <x:c r="L850" s="18" t="n">
        <x:v>63</x:v>
      </x:c>
      <x:c r="M850" s="18" t="n">
        <x:v>26</x:v>
      </x:c>
    </x:row>
    <x:row r="851">
      <x:c r="A851" s="22" t="str">
        <x:v>500107090</x:v>
      </x:c>
      <x:c r="B851" s="17" t="str">
        <x:v>中山區</x:v>
      </x:c>
      <x:c r="C851" s="17" t="str">
        <x:v>撫順街41巷(崇德宮前)</x:v>
      </x:c>
      <x:c r="D851" s="18" t="n">
        <x:v>26</x:v>
      </x:c>
      <x:c r="E851" s="18" t="n">
        <x:v>26</x:v>
      </x:c>
      <x:c r="F851" s="18" t="n">
        <x:v>148</x:v>
      </x:c>
      <x:c r="G851" s="18" t="n">
        <x:v>26</x:v>
      </x:c>
      <x:c r="H851" s="18" t="n">
        <x:v>22</x:v>
      </x:c>
      <x:c r="I851" s="18" t="n">
        <x:v>26</x:v>
      </x:c>
      <x:c r="J851" s="18" t="n">
        <x:v>258</x:v>
      </x:c>
      <x:c r="K851" s="18" t="n">
        <x:v>26</x:v>
      </x:c>
      <x:c r="L851" s="18" t="n">
        <x:v>33</x:v>
      </x:c>
      <x:c r="M851" s="18" t="n">
        <x:v>26</x:v>
      </x:c>
    </x:row>
    <x:row r="852">
      <x:c r="A852" s="22" t="str">
        <x:v>500107091</x:v>
      </x:c>
      <x:c r="B852" s="17" t="str">
        <x:v>中山區</x:v>
      </x:c>
      <x:c r="C852" s="17" t="str">
        <x:v>臺北市立圖書館大直分館</x:v>
      </x:c>
      <x:c r="D852" s="18" t="n">
        <x:v>26</x:v>
      </x:c>
      <x:c r="E852" s="18" t="n">
        <x:v>26</x:v>
      </x:c>
      <x:c r="F852" s="18" t="n">
        <x:v>160</x:v>
      </x:c>
      <x:c r="G852" s="18" t="n">
        <x:v>26</x:v>
      </x:c>
      <x:c r="H852" s="18" t="n">
        <x:v>47</x:v>
      </x:c>
      <x:c r="I852" s="18" t="n">
        <x:v>26</x:v>
      </x:c>
      <x:c r="J852" s="18" t="n">
        <x:v>239</x:v>
      </x:c>
      <x:c r="K852" s="18" t="n">
        <x:v>26</x:v>
      </x:c>
      <x:c r="L852" s="18" t="n">
        <x:v>79</x:v>
      </x:c>
      <x:c r="M852" s="18" t="n">
        <x:v>26</x:v>
      </x:c>
    </x:row>
    <x:row r="853">
      <x:c r="A853" s="22" t="str">
        <x:v>500107092</x:v>
      </x:c>
      <x:c r="B853" s="17" t="str">
        <x:v>中山區</x:v>
      </x:c>
      <x:c r="C853" s="17" t="str">
        <x:v>捷運大直站(1號出口)</x:v>
      </x:c>
      <x:c r="D853" s="18" t="n">
        <x:v>26</x:v>
      </x:c>
      <x:c r="E853" s="18" t="n">
        <x:v>26</x:v>
      </x:c>
      <x:c r="F853" s="18" t="n">
        <x:v>196</x:v>
      </x:c>
      <x:c r="G853" s="18" t="n">
        <x:v>26</x:v>
      </x:c>
      <x:c r="H853" s="18" t="n">
        <x:v>22</x:v>
      </x:c>
      <x:c r="I853" s="18" t="n">
        <x:v>26</x:v>
      </x:c>
      <x:c r="J853" s="18" t="n">
        <x:v>389</x:v>
      </x:c>
      <x:c r="K853" s="18" t="n">
        <x:v>26</x:v>
      </x:c>
      <x:c r="L853" s="18" t="n">
        <x:v>77</x:v>
      </x:c>
      <x:c r="M853" s="18" t="n">
        <x:v>26</x:v>
      </x:c>
    </x:row>
    <x:row r="854">
      <x:c r="A854" s="22" t="str">
        <x:v>500107093</x:v>
      </x:c>
      <x:c r="B854" s="17" t="str">
        <x:v>中山區</x:v>
      </x:c>
      <x:c r="C854" s="17" t="str">
        <x:v>捷運松江南京站(4號出口)</x:v>
      </x:c>
      <x:c r="D854" s="18" t="n">
        <x:v>26</x:v>
      </x:c>
      <x:c r="E854" s="18" t="n">
        <x:v>26</x:v>
      </x:c>
      <x:c r="F854" s="18" t="n">
        <x:v>353</x:v>
      </x:c>
      <x:c r="G854" s="18" t="n">
        <x:v>26</x:v>
      </x:c>
      <x:c r="H854" s="18" t="n">
        <x:v>79</x:v>
      </x:c>
      <x:c r="I854" s="18" t="n">
        <x:v>26</x:v>
      </x:c>
      <x:c r="J854" s="18" t="n">
        <x:v>223</x:v>
      </x:c>
      <x:c r="K854" s="18" t="n">
        <x:v>26</x:v>
      </x:c>
      <x:c r="L854" s="18" t="n">
        <x:v>29</x:v>
      </x:c>
      <x:c r="M854" s="18" t="n">
        <x:v>26</x:v>
      </x:c>
    </x:row>
    <x:row r="855">
      <x:c r="A855" s="22" t="str">
        <x:v>500107094</x:v>
      </x:c>
      <x:c r="B855" s="17" t="str">
        <x:v>中山區</x:v>
      </x:c>
      <x:c r="C855" s="17" t="str">
        <x:v>上塔悠公園</x:v>
      </x:c>
      <x:c r="D855" s="18" t="n">
        <x:v>26</x:v>
      </x:c>
      <x:c r="E855" s="18" t="n">
        <x:v>26</x:v>
      </x:c>
      <x:c r="F855" s="18" t="n">
        <x:v>0</x:v>
      </x:c>
      <x:c r="G855" s="18" t="n">
        <x:v>26</x:v>
      </x:c>
      <x:c r="H855" s="18" t="n">
        <x:v>0</x:v>
      </x:c>
      <x:c r="I855" s="18" t="n">
        <x:v>26</x:v>
      </x:c>
      <x:c r="J855" s="18" t="n">
        <x:v>0</x:v>
      </x:c>
      <x:c r="K855" s="18" t="n">
        <x:v>26</x:v>
      </x:c>
      <x:c r="L855" s="18" t="n">
        <x:v>0</x:v>
      </x:c>
      <x:c r="M855" s="18" t="n">
        <x:v>26</x:v>
      </x:c>
    </x:row>
    <x:row r="856">
      <x:c r="A856" s="22" t="str">
        <x:v>500107095</x:v>
      </x:c>
      <x:c r="B856" s="17" t="str">
        <x:v>中山區</x:v>
      </x:c>
      <x:c r="C856" s="17" t="str">
        <x:v>中429公園</x:v>
      </x:c>
      <x:c r="D856" s="18" t="n">
        <x:v>26</x:v>
      </x:c>
      <x:c r="E856" s="18" t="n">
        <x:v>26</x:v>
      </x:c>
      <x:c r="F856" s="18" t="n">
        <x:v>295</x:v>
      </x:c>
      <x:c r="G856" s="18" t="n">
        <x:v>26</x:v>
      </x:c>
      <x:c r="H856" s="18" t="n">
        <x:v>87</x:v>
      </x:c>
      <x:c r="I856" s="18" t="n">
        <x:v>26</x:v>
      </x:c>
      <x:c r="J856" s="18" t="n">
        <x:v>128</x:v>
      </x:c>
      <x:c r="K856" s="18" t="n">
        <x:v>26</x:v>
      </x:c>
      <x:c r="L856" s="18" t="n">
        <x:v>60</x:v>
      </x:c>
      <x:c r="M856" s="18" t="n">
        <x:v>26</x:v>
      </x:c>
    </x:row>
    <x:row r="857">
      <x:c r="A857" s="22" t="str">
        <x:v>500107096</x:v>
      </x:c>
      <x:c r="B857" s="17" t="str">
        <x:v>中山區</x:v>
      </x:c>
      <x:c r="C857" s="17" t="str">
        <x:v>長春路137巷口</x:v>
      </x:c>
      <x:c r="D857" s="18" t="n">
        <x:v>26</x:v>
      </x:c>
      <x:c r="E857" s="18" t="n">
        <x:v>26</x:v>
      </x:c>
      <x:c r="F857" s="18" t="n">
        <x:v>176</x:v>
      </x:c>
      <x:c r="G857" s="18" t="n">
        <x:v>26</x:v>
      </x:c>
      <x:c r="H857" s="18" t="n">
        <x:v>72</x:v>
      </x:c>
      <x:c r="I857" s="18" t="n">
        <x:v>26</x:v>
      </x:c>
      <x:c r="J857" s="18" t="n">
        <x:v>222</x:v>
      </x:c>
      <x:c r="K857" s="18" t="n">
        <x:v>26</x:v>
      </x:c>
      <x:c r="L857" s="18" t="n">
        <x:v>62</x:v>
      </x:c>
      <x:c r="M857" s="18" t="n">
        <x:v>26</x:v>
      </x:c>
    </x:row>
    <x:row r="858">
      <x:c r="A858" s="22" t="str">
        <x:v>500107097</x:v>
      </x:c>
      <x:c r="B858" s="17" t="str">
        <x:v>中山區</x:v>
      </x:c>
      <x:c r="C858" s="17" t="str">
        <x:v>松江民生路口</x:v>
      </x:c>
      <x:c r="D858" s="18" t="n">
        <x:v>26</x:v>
      </x:c>
      <x:c r="E858" s="18" t="n">
        <x:v>26</x:v>
      </x:c>
      <x:c r="F858" s="18" t="n">
        <x:v>184</x:v>
      </x:c>
      <x:c r="G858" s="18" t="n">
        <x:v>26</x:v>
      </x:c>
      <x:c r="H858" s="18" t="n">
        <x:v>28</x:v>
      </x:c>
      <x:c r="I858" s="18" t="n">
        <x:v>26</x:v>
      </x:c>
      <x:c r="J858" s="18" t="n">
        <x:v>170</x:v>
      </x:c>
      <x:c r="K858" s="18" t="n">
        <x:v>26</x:v>
      </x:c>
      <x:c r="L858" s="18" t="n">
        <x:v>20</x:v>
      </x:c>
      <x:c r="M858" s="18" t="n">
        <x:v>26</x:v>
      </x:c>
    </x:row>
    <x:row r="859">
      <x:c r="A859" s="22" t="str">
        <x:v>500107098</x:v>
      </x:c>
      <x:c r="B859" s="17" t="str">
        <x:v>中山區</x:v>
      </x:c>
      <x:c r="C859" s="17" t="str">
        <x:v>松江路132巷口</x:v>
      </x:c>
      <x:c r="D859" s="18" t="n">
        <x:v>26</x:v>
      </x:c>
      <x:c r="E859" s="18" t="n">
        <x:v>26</x:v>
      </x:c>
      <x:c r="F859" s="18" t="n">
        <x:v>104</x:v>
      </x:c>
      <x:c r="G859" s="18" t="n">
        <x:v>26</x:v>
      </x:c>
      <x:c r="H859" s="18" t="n">
        <x:v>6</x:v>
      </x:c>
      <x:c r="I859" s="18" t="n">
        <x:v>26</x:v>
      </x:c>
      <x:c r="J859" s="18" t="n">
        <x:v>176</x:v>
      </x:c>
      <x:c r="K859" s="18" t="n">
        <x:v>26</x:v>
      </x:c>
      <x:c r="L859" s="18" t="n">
        <x:v>29</x:v>
      </x:c>
      <x:c r="M859" s="18" t="n">
        <x:v>26</x:v>
      </x:c>
    </x:row>
    <x:row r="860">
      <x:c r="A860" s="22" t="str">
        <x:v>500107099</x:v>
      </x:c>
      <x:c r="B860" s="17" t="str">
        <x:v>中山區</x:v>
      </x:c>
      <x:c r="C860" s="17" t="str">
        <x:v>長春吉林路口</x:v>
      </x:c>
      <x:c r="D860" s="18" t="n">
        <x:v>26</x:v>
      </x:c>
      <x:c r="E860" s="18" t="n">
        <x:v>26</x:v>
      </x:c>
      <x:c r="F860" s="18" t="n">
        <x:v>70</x:v>
      </x:c>
      <x:c r="G860" s="18" t="n">
        <x:v>26</x:v>
      </x:c>
      <x:c r="H860" s="18" t="n">
        <x:v>14</x:v>
      </x:c>
      <x:c r="I860" s="18" t="n">
        <x:v>26</x:v>
      </x:c>
      <x:c r="J860" s="18" t="n">
        <x:v>104</x:v>
      </x:c>
      <x:c r="K860" s="18" t="n">
        <x:v>26</x:v>
      </x:c>
      <x:c r="L860" s="18" t="n">
        <x:v>18</x:v>
      </x:c>
      <x:c r="M860" s="18" t="n">
        <x:v>26</x:v>
      </x:c>
    </x:row>
    <x:row r="861">
      <x:c r="A861" s="22" t="str">
        <x:v>500107100</x:v>
      </x:c>
      <x:c r="B861" s="17" t="str">
        <x:v>中山區</x:v>
      </x:c>
      <x:c r="C861" s="17" t="str">
        <x:v>長春一江街口</x:v>
      </x:c>
      <x:c r="D861" s="18" t="n">
        <x:v>26</x:v>
      </x:c>
      <x:c r="E861" s="18" t="n">
        <x:v>26</x:v>
      </x:c>
      <x:c r="F861" s="18" t="n">
        <x:v>125</x:v>
      </x:c>
      <x:c r="G861" s="18" t="n">
        <x:v>26</x:v>
      </x:c>
      <x:c r="H861" s="18" t="n">
        <x:v>27</x:v>
      </x:c>
      <x:c r="I861" s="18" t="n">
        <x:v>26</x:v>
      </x:c>
      <x:c r="J861" s="18" t="n">
        <x:v>139</x:v>
      </x:c>
      <x:c r="K861" s="18" t="n">
        <x:v>26</x:v>
      </x:c>
      <x:c r="L861" s="18" t="n">
        <x:v>20</x:v>
      </x:c>
      <x:c r="M861" s="18" t="n">
        <x:v>26</x:v>
      </x:c>
    </x:row>
    <x:row r="862">
      <x:c r="A862" s="22" t="str">
        <x:v>500107101</x:v>
      </x:c>
      <x:c r="B862" s="17" t="str">
        <x:v>中山區</x:v>
      </x:c>
      <x:c r="C862" s="17" t="str">
        <x:v>捷運松江南京站(8號出口)</x:v>
      </x:c>
      <x:c r="D862" s="18" t="n">
        <x:v>26</x:v>
      </x:c>
      <x:c r="E862" s="18" t="n">
        <x:v>26</x:v>
      </x:c>
      <x:c r="F862" s="18" t="n">
        <x:v>193</x:v>
      </x:c>
      <x:c r="G862" s="18" t="n">
        <x:v>26</x:v>
      </x:c>
      <x:c r="H862" s="18" t="n">
        <x:v>16</x:v>
      </x:c>
      <x:c r="I862" s="18" t="n">
        <x:v>26</x:v>
      </x:c>
      <x:c r="J862" s="18" t="n">
        <x:v>208</x:v>
      </x:c>
      <x:c r="K862" s="18" t="n">
        <x:v>26</x:v>
      </x:c>
      <x:c r="L862" s="18" t="n">
        <x:v>42</x:v>
      </x:c>
      <x:c r="M862" s="18" t="n">
        <x:v>26</x:v>
      </x:c>
    </x:row>
    <x:row r="863">
      <x:c r="A863" s="22" t="str">
        <x:v>500107102</x:v>
      </x:c>
      <x:c r="B863" s="17" t="str">
        <x:v>中山區</x:v>
      </x:c>
      <x:c r="C863" s="17" t="str">
        <x:v>南京一江街口</x:v>
      </x:c>
      <x:c r="D863" s="18" t="n">
        <x:v>26</x:v>
      </x:c>
      <x:c r="E863" s="18" t="n">
        <x:v>26</x:v>
      </x:c>
      <x:c r="F863" s="18" t="n">
        <x:v>36</x:v>
      </x:c>
      <x:c r="G863" s="18" t="n">
        <x:v>26</x:v>
      </x:c>
      <x:c r="H863" s="18" t="n">
        <x:v>3</x:v>
      </x:c>
      <x:c r="I863" s="18" t="n">
        <x:v>26</x:v>
      </x:c>
      <x:c r="J863" s="18" t="n">
        <x:v>72</x:v>
      </x:c>
      <x:c r="K863" s="18" t="n">
        <x:v>26</x:v>
      </x:c>
      <x:c r="L863" s="18" t="n">
        <x:v>15</x:v>
      </x:c>
      <x:c r="M863" s="18" t="n">
        <x:v>26</x:v>
      </x:c>
    </x:row>
    <x:row r="864">
      <x:c r="A864" s="22" t="str">
        <x:v>500107103</x:v>
      </x:c>
      <x:c r="B864" s="17" t="str">
        <x:v>中山區</x:v>
      </x:c>
      <x:c r="C864" s="17" t="str">
        <x:v>松江長春路口</x:v>
      </x:c>
      <x:c r="D864" s="18" t="n">
        <x:v>26</x:v>
      </x:c>
      <x:c r="E864" s="18" t="n">
        <x:v>26</x:v>
      </x:c>
      <x:c r="F864" s="18" t="n">
        <x:v>100</x:v>
      </x:c>
      <x:c r="G864" s="18" t="n">
        <x:v>26</x:v>
      </x:c>
      <x:c r="H864" s="18" t="n">
        <x:v>35</x:v>
      </x:c>
      <x:c r="I864" s="18" t="n">
        <x:v>26</x:v>
      </x:c>
      <x:c r="J864" s="18" t="n">
        <x:v>267</x:v>
      </x:c>
      <x:c r="K864" s="18" t="n">
        <x:v>26</x:v>
      </x:c>
      <x:c r="L864" s="18" t="n">
        <x:v>29</x:v>
      </x:c>
      <x:c r="M864" s="18" t="n">
        <x:v>26</x:v>
      </x:c>
    </x:row>
    <x:row r="865">
      <x:c r="A865" s="22" t="str">
        <x:v>500107104</x:v>
      </x:c>
      <x:c r="B865" s="17" t="str">
        <x:v>中山區</x:v>
      </x:c>
      <x:c r="C865" s="17" t="str">
        <x:v>經國七海文化園區</x:v>
      </x:c>
      <x:c r="D865" s="18" t="n">
        <x:v>26</x:v>
      </x:c>
      <x:c r="E865" s="18" t="n">
        <x:v>26</x:v>
      </x:c>
      <x:c r="F865" s="18" t="n">
        <x:v>114</x:v>
      </x:c>
      <x:c r="G865" s="18" t="n">
        <x:v>26</x:v>
      </x:c>
      <x:c r="H865" s="18" t="n">
        <x:v>38</x:v>
      </x:c>
      <x:c r="I865" s="18" t="n">
        <x:v>26</x:v>
      </x:c>
      <x:c r="J865" s="18" t="n">
        <x:v>223</x:v>
      </x:c>
      <x:c r="K865" s="18" t="n">
        <x:v>26</x:v>
      </x:c>
      <x:c r="L865" s="18" t="n">
        <x:v>51</x:v>
      </x:c>
      <x:c r="M865" s="18" t="n">
        <x:v>26</x:v>
      </x:c>
    </x:row>
    <x:row r="866">
      <x:c r="A866" s="22" t="str">
        <x:v>500107105</x:v>
      </x:c>
      <x:c r="B866" s="17" t="str">
        <x:v>中山區</x:v>
      </x:c>
      <x:c r="C866" s="17" t="str">
        <x:v>民族玉門街口</x:v>
      </x:c>
      <x:c r="D866" s="18" t="n">
        <x:v>26</x:v>
      </x:c>
      <x:c r="E866" s="18" t="n">
        <x:v>26</x:v>
      </x:c>
      <x:c r="F866" s="18" t="n">
        <x:v>84</x:v>
      </x:c>
      <x:c r="G866" s="18" t="n">
        <x:v>26</x:v>
      </x:c>
      <x:c r="H866" s="18" t="n">
        <x:v>12</x:v>
      </x:c>
      <x:c r="I866" s="18" t="n">
        <x:v>26</x:v>
      </x:c>
      <x:c r="J866" s="18" t="n">
        <x:v>337</x:v>
      </x:c>
      <x:c r="K866" s="18" t="n">
        <x:v>26</x:v>
      </x:c>
      <x:c r="L866" s="18" t="n">
        <x:v>25</x:v>
      </x:c>
      <x:c r="M866" s="18" t="n">
        <x:v>26</x:v>
      </x:c>
    </x:row>
    <x:row r="867">
      <x:c r="A867" s="22" t="str">
        <x:v>500107106</x:v>
      </x:c>
      <x:c r="B867" s="17" t="str">
        <x:v>中山區</x:v>
      </x:c>
      <x:c r="C867" s="17" t="str">
        <x:v>新生農安街口</x:v>
      </x:c>
      <x:c r="D867" s="18" t="n">
        <x:v>26</x:v>
      </x:c>
      <x:c r="E867" s="18" t="n">
        <x:v>26</x:v>
      </x:c>
      <x:c r="F867" s="18" t="n">
        <x:v>384</x:v>
      </x:c>
      <x:c r="G867" s="18" t="n">
        <x:v>26</x:v>
      </x:c>
      <x:c r="H867" s="18" t="n">
        <x:v>53</x:v>
      </x:c>
      <x:c r="I867" s="18" t="n">
        <x:v>26</x:v>
      </x:c>
      <x:c r="J867" s="18" t="n">
        <x:v>99</x:v>
      </x:c>
      <x:c r="K867" s="18" t="n">
        <x:v>26</x:v>
      </x:c>
      <x:c r="L867" s="18" t="n">
        <x:v>13</x:v>
      </x:c>
      <x:c r="M867" s="18" t="n">
        <x:v>26</x:v>
      </x:c>
    </x:row>
    <x:row r="868">
      <x:c r="A868" s="22" t="str">
        <x:v>500107107</x:v>
      </x:c>
      <x:c r="B868" s="17" t="str">
        <x:v>中山區</x:v>
      </x:c>
      <x:c r="C868" s="17" t="str">
        <x:v>稻江高級護理家事職業學校</x:v>
      </x:c>
      <x:c r="D868" s="18" t="n">
        <x:v>26</x:v>
      </x:c>
      <x:c r="E868" s="18" t="n">
        <x:v>26</x:v>
      </x:c>
      <x:c r="F868" s="18" t="n">
        <x:v>399</x:v>
      </x:c>
      <x:c r="G868" s="18" t="n">
        <x:v>26</x:v>
      </x:c>
      <x:c r="H868" s="18" t="n">
        <x:v>43</x:v>
      </x:c>
      <x:c r="I868" s="18" t="n">
        <x:v>26</x:v>
      </x:c>
      <x:c r="J868" s="18" t="n">
        <x:v>107</x:v>
      </x:c>
      <x:c r="K868" s="18" t="n">
        <x:v>26</x:v>
      </x:c>
      <x:c r="L868" s="18" t="n">
        <x:v>44</x:v>
      </x:c>
      <x:c r="M868" s="18" t="n">
        <x:v>26</x:v>
      </x:c>
    </x:row>
    <x:row r="869">
      <x:c r="A869" s="22" t="str">
        <x:v>500107108</x:v>
      </x:c>
      <x:c r="B869" s="17" t="str">
        <x:v>中山區</x:v>
      </x:c>
      <x:c r="C869" s="17" t="str">
        <x:v>捷運大直站(3號出口)_1</x:v>
      </x:c>
      <x:c r="D869" s="18" t="n">
        <x:v>26</x:v>
      </x:c>
      <x:c r="E869" s="18" t="n">
        <x:v>26</x:v>
      </x:c>
      <x:c r="F869" s="18" t="n">
        <x:v>198</x:v>
      </x:c>
      <x:c r="G869" s="18" t="n">
        <x:v>26</x:v>
      </x:c>
      <x:c r="H869" s="18" t="n">
        <x:v>32</x:v>
      </x:c>
      <x:c r="I869" s="18" t="n">
        <x:v>26</x:v>
      </x:c>
      <x:c r="J869" s="18" t="n">
        <x:v>96</x:v>
      </x:c>
      <x:c r="K869" s="18" t="n">
        <x:v>26</x:v>
      </x:c>
      <x:c r="L869" s="18" t="n">
        <x:v>25</x:v>
      </x:c>
      <x:c r="M869" s="18" t="n">
        <x:v>26</x:v>
      </x:c>
    </x:row>
    <x:row r="870">
      <x:c r="A870" s="22" t="str">
        <x:v>500107109</x:v>
      </x:c>
      <x:c r="B870" s="17" t="str">
        <x:v>中山區</x:v>
      </x:c>
      <x:c r="C870" s="17" t="str">
        <x:v>樂群二明水路口_1</x:v>
      </x:c>
      <x:c r="D870" s="18" t="n">
        <x:v>26</x:v>
      </x:c>
      <x:c r="E870" s="18" t="n">
        <x:v>26</x:v>
      </x:c>
      <x:c r="F870" s="18" t="n">
        <x:v>198</x:v>
      </x:c>
      <x:c r="G870" s="18" t="n">
        <x:v>26</x:v>
      </x:c>
      <x:c r="H870" s="18" t="n">
        <x:v>48</x:v>
      </x:c>
      <x:c r="I870" s="18" t="n">
        <x:v>26</x:v>
      </x:c>
      <x:c r="J870" s="18" t="n">
        <x:v>318</x:v>
      </x:c>
      <x:c r="K870" s="18" t="n">
        <x:v>26</x:v>
      </x:c>
      <x:c r="L870" s="18" t="n">
        <x:v>87</x:v>
      </x:c>
      <x:c r="M870" s="18" t="n">
        <x:v>26</x:v>
      </x:c>
    </x:row>
    <x:row r="871">
      <x:c r="A871" s="22" t="str">
        <x:v>500107110</x:v>
      </x:c>
      <x:c r="B871" s="17" t="str">
        <x:v>中山區</x:v>
      </x:c>
      <x:c r="C871" s="17" t="str">
        <x:v>民權吉林路口(南側)</x:v>
      </x:c>
      <x:c r="D871" s="18" t="n">
        <x:v>26</x:v>
      </x:c>
      <x:c r="E871" s="18" t="n">
        <x:v>26</x:v>
      </x:c>
      <x:c r="F871" s="18" t="n">
        <x:v>249</x:v>
      </x:c>
      <x:c r="G871" s="18" t="n">
        <x:v>26</x:v>
      </x:c>
      <x:c r="H871" s="18" t="n">
        <x:v>32</x:v>
      </x:c>
      <x:c r="I871" s="18" t="n">
        <x:v>26</x:v>
      </x:c>
      <x:c r="J871" s="18" t="n">
        <x:v>99</x:v>
      </x:c>
      <x:c r="K871" s="18" t="n">
        <x:v>26</x:v>
      </x:c>
      <x:c r="L871" s="18" t="n">
        <x:v>33</x:v>
      </x:c>
      <x:c r="M871" s="18" t="n">
        <x:v>26</x:v>
      </x:c>
    </x:row>
    <x:row r="872">
      <x:c r="A872" s="22" t="str">
        <x:v>500107111</x:v>
      </x:c>
      <x:c r="B872" s="17" t="str">
        <x:v>中山區</x:v>
      </x:c>
      <x:c r="C872" s="17" t="str">
        <x:v>長春龍江路口</x:v>
      </x:c>
      <x:c r="D872" s="18" t="n">
        <x:v>26</x:v>
      </x:c>
      <x:c r="E872" s="18" t="n">
        <x:v>26</x:v>
      </x:c>
      <x:c r="F872" s="18" t="n">
        <x:v>335</x:v>
      </x:c>
      <x:c r="G872" s="18" t="n">
        <x:v>26</x:v>
      </x:c>
      <x:c r="H872" s="18" t="n">
        <x:v>51</x:v>
      </x:c>
      <x:c r="I872" s="18" t="n">
        <x:v>26</x:v>
      </x:c>
      <x:c r="J872" s="18" t="n">
        <x:v>166</x:v>
      </x:c>
      <x:c r="K872" s="18" t="n">
        <x:v>26</x:v>
      </x:c>
      <x:c r="L872" s="18" t="n">
        <x:v>43</x:v>
      </x:c>
      <x:c r="M872" s="18" t="n">
        <x:v>26</x:v>
      </x:c>
    </x:row>
    <x:row r="873">
      <x:c r="A873" s="22" t="str">
        <x:v>500107112</x:v>
      </x:c>
      <x:c r="B873" s="17" t="str">
        <x:v>中山區</x:v>
      </x:c>
      <x:c r="C873" s="17" t="str">
        <x:v>民權新生路口</x:v>
      </x:c>
      <x:c r="D873" s="18" t="n">
        <x:v>26</x:v>
      </x:c>
      <x:c r="E873" s="18" t="n">
        <x:v>26</x:v>
      </x:c>
      <x:c r="F873" s="18" t="n">
        <x:v>331</x:v>
      </x:c>
      <x:c r="G873" s="18" t="n">
        <x:v>26</x:v>
      </x:c>
      <x:c r="H873" s="18" t="n">
        <x:v>47</x:v>
      </x:c>
      <x:c r="I873" s="18" t="n">
        <x:v>26</x:v>
      </x:c>
      <x:c r="J873" s="18" t="n">
        <x:v>134</x:v>
      </x:c>
      <x:c r="K873" s="18" t="n">
        <x:v>26</x:v>
      </x:c>
      <x:c r="L873" s="18" t="n">
        <x:v>53</x:v>
      </x:c>
      <x:c r="M873" s="18" t="n">
        <x:v>26</x:v>
      </x:c>
    </x:row>
    <x:row r="874">
      <x:c r="A874" s="22" t="str">
        <x:v>500107113</x:v>
      </x:c>
      <x:c r="B874" s="17" t="str">
        <x:v>中山區</x:v>
      </x:c>
      <x:c r="C874" s="17" t="str">
        <x:v>建國長春路口(北側)</x:v>
      </x:c>
      <x:c r="D874" s="18" t="n">
        <x:v>26</x:v>
      </x:c>
      <x:c r="E874" s="18" t="n">
        <x:v>26</x:v>
      </x:c>
      <x:c r="F874" s="18" t="n">
        <x:v>104</x:v>
      </x:c>
      <x:c r="G874" s="18" t="n">
        <x:v>26</x:v>
      </x:c>
      <x:c r="H874" s="18" t="n">
        <x:v>10</x:v>
      </x:c>
      <x:c r="I874" s="18" t="n">
        <x:v>26</x:v>
      </x:c>
      <x:c r="J874" s="18" t="n">
        <x:v>377</x:v>
      </x:c>
      <x:c r="K874" s="18" t="n">
        <x:v>26</x:v>
      </x:c>
      <x:c r="L874" s="18" t="n">
        <x:v>22</x:v>
      </x:c>
      <x:c r="M874" s="18" t="n">
        <x:v>26</x:v>
      </x:c>
    </x:row>
    <x:row r="875">
      <x:c r="A875" s="22" t="str">
        <x:v>500107114</x:v>
      </x:c>
      <x:c r="B875" s="17" t="str">
        <x:v>中山區</x:v>
      </x:c>
      <x:c r="C875" s="17" t="str">
        <x:v>中山行政中心</x:v>
      </x:c>
      <x:c r="D875" s="18" t="n">
        <x:v>26</x:v>
      </x:c>
      <x:c r="E875" s="18" t="n">
        <x:v>26</x:v>
      </x:c>
      <x:c r="F875" s="18" t="n">
        <x:v>372</x:v>
      </x:c>
      <x:c r="G875" s="18" t="n">
        <x:v>26</x:v>
      </x:c>
      <x:c r="H875" s="18" t="n">
        <x:v>44</x:v>
      </x:c>
      <x:c r="I875" s="18" t="n">
        <x:v>26</x:v>
      </x:c>
      <x:c r="J875" s="18" t="n">
        <x:v>345</x:v>
      </x:c>
      <x:c r="K875" s="18" t="n">
        <x:v>26</x:v>
      </x:c>
      <x:c r="L875" s="18" t="n">
        <x:v>45</x:v>
      </x:c>
      <x:c r="M875" s="18" t="n">
        <x:v>26</x:v>
      </x:c>
    </x:row>
    <x:row r="876">
      <x:c r="A876" s="22" t="str">
        <x:v>500107115</x:v>
      </x:c>
      <x:c r="B876" s="17" t="str">
        <x:v>中山區</x:v>
      </x:c>
      <x:c r="C876" s="17" t="str">
        <x:v>臺北市立美術館_1</x:v>
      </x:c>
      <x:c r="D876" s="18" t="n">
        <x:v>26</x:v>
      </x:c>
      <x:c r="E876" s="18" t="n">
        <x:v>26</x:v>
      </x:c>
      <x:c r="F876" s="18" t="n">
        <x:v>237</x:v>
      </x:c>
      <x:c r="G876" s="18" t="n">
        <x:v>26</x:v>
      </x:c>
      <x:c r="H876" s="18" t="n">
        <x:v>47</x:v>
      </x:c>
      <x:c r="I876" s="18" t="n">
        <x:v>26</x:v>
      </x:c>
      <x:c r="J876" s="18" t="n">
        <x:v>339</x:v>
      </x:c>
      <x:c r="K876" s="18" t="n">
        <x:v>26</x:v>
      </x:c>
      <x:c r="L876" s="18" t="n">
        <x:v>43</x:v>
      </x:c>
      <x:c r="M876" s="18" t="n">
        <x:v>26</x:v>
      </x:c>
    </x:row>
    <x:row r="877">
      <x:c r="A877" s="22" t="str">
        <x:v>500107116</x:v>
      </x:c>
      <x:c r="B877" s="17" t="str">
        <x:v>中山區</x:v>
      </x:c>
      <x:c r="C877" s="17" t="str">
        <x:v>劍潭社區_1</x:v>
      </x:c>
      <x:c r="D877" s="18" t="n">
        <x:v>26</x:v>
      </x:c>
      <x:c r="E877" s="18" t="n">
        <x:v>26</x:v>
      </x:c>
      <x:c r="F877" s="18" t="n">
        <x:v>595</x:v>
      </x:c>
      <x:c r="G877" s="18" t="n">
        <x:v>26</x:v>
      </x:c>
      <x:c r="H877" s="18" t="n">
        <x:v>142</x:v>
      </x:c>
      <x:c r="I877" s="18" t="n">
        <x:v>26</x:v>
      </x:c>
      <x:c r="J877" s="18" t="n">
        <x:v>258</x:v>
      </x:c>
      <x:c r="K877" s="18" t="n">
        <x:v>26</x:v>
      </x:c>
      <x:c r="L877" s="18" t="n">
        <x:v>71</x:v>
      </x:c>
      <x:c r="M877" s="18" t="n">
        <x:v>26</x:v>
      </x:c>
    </x:row>
    <x:row r="878">
      <x:c r="A878" s="22" t="str">
        <x:v>500107117</x:v>
      </x:c>
      <x:c r="B878" s="17" t="str">
        <x:v>中山區</x:v>
      </x:c>
      <x:c r="C878" s="17" t="str">
        <x:v>濱江國小游泳池</x:v>
      </x:c>
      <x:c r="D878" s="18" t="n">
        <x:v>26</x:v>
      </x:c>
      <x:c r="E878" s="18" t="n">
        <x:v>26</x:v>
      </x:c>
      <x:c r="F878" s="18" t="n">
        <x:v>179</x:v>
      </x:c>
      <x:c r="G878" s="18" t="n">
        <x:v>26</x:v>
      </x:c>
      <x:c r="H878" s="18" t="n">
        <x:v>51</x:v>
      </x:c>
      <x:c r="I878" s="18" t="n">
        <x:v>26</x:v>
      </x:c>
      <x:c r="J878" s="18" t="n">
        <x:v>148</x:v>
      </x:c>
      <x:c r="K878" s="18" t="n">
        <x:v>26</x:v>
      </x:c>
      <x:c r="L878" s="18" t="n">
        <x:v>63</x:v>
      </x:c>
      <x:c r="M878" s="18" t="n">
        <x:v>26</x:v>
      </x:c>
    </x:row>
    <x:row r="879">
      <x:c r="A879" s="22" t="str">
        <x:v>500107118</x:v>
      </x:c>
      <x:c r="B879" s="17" t="str">
        <x:v>中山區</x:v>
      </x:c>
      <x:c r="C879" s="17" t="str">
        <x:v>林森公園</x:v>
      </x:c>
      <x:c r="D879" s="18" t="n">
        <x:v>26</x:v>
      </x:c>
      <x:c r="E879" s="18" t="n">
        <x:v>26</x:v>
      </x:c>
      <x:c r="F879" s="18" t="n">
        <x:v>301</x:v>
      </x:c>
      <x:c r="G879" s="18" t="n">
        <x:v>26</x:v>
      </x:c>
      <x:c r="H879" s="18" t="n">
        <x:v>86</x:v>
      </x:c>
      <x:c r="I879" s="18" t="n">
        <x:v>26</x:v>
      </x:c>
      <x:c r="J879" s="18" t="n">
        <x:v>357</x:v>
      </x:c>
      <x:c r="K879" s="18" t="n">
        <x:v>26</x:v>
      </x:c>
      <x:c r="L879" s="18" t="n">
        <x:v>87</x:v>
      </x:c>
      <x:c r="M879" s="18" t="n">
        <x:v>26</x:v>
      </x:c>
    </x:row>
    <x:row r="880">
      <x:c r="A880" s="22" t="str">
        <x:v>500107119</x:v>
      </x:c>
      <x:c r="B880" s="17" t="str">
        <x:v>中山區</x:v>
      </x:c>
      <x:c r="C880" s="17" t="str">
        <x:v>中428公園</x:v>
      </x:c>
      <x:c r="D880" s="18" t="n">
        <x:v>26</x:v>
      </x:c>
      <x:c r="E880" s="18" t="n">
        <x:v>26</x:v>
      </x:c>
      <x:c r="F880" s="18" t="n">
        <x:v>209</x:v>
      </x:c>
      <x:c r="G880" s="18" t="n">
        <x:v>26</x:v>
      </x:c>
      <x:c r="H880" s="18" t="n">
        <x:v>84</x:v>
      </x:c>
      <x:c r="I880" s="18" t="n">
        <x:v>26</x:v>
      </x:c>
      <x:c r="J880" s="18" t="n">
        <x:v>142</x:v>
      </x:c>
      <x:c r="K880" s="18" t="n">
        <x:v>26</x:v>
      </x:c>
      <x:c r="L880" s="18" t="n">
        <x:v>59</x:v>
      </x:c>
      <x:c r="M880" s="18" t="n">
        <x:v>26</x:v>
      </x:c>
    </x:row>
    <x:row r="881">
      <x:c r="A881" s="22" t="str">
        <x:v>500107120</x:v>
      </x:c>
      <x:c r="B881" s="17" t="str">
        <x:v>中山區</x:v>
      </x:c>
      <x:c r="C881" s="17" t="str">
        <x:v>復華公園</x:v>
      </x:c>
      <x:c r="D881" s="18" t="n">
        <x:v>26</x:v>
      </x:c>
      <x:c r="E881" s="18" t="n">
        <x:v>26</x:v>
      </x:c>
      <x:c r="F881" s="18" t="n">
        <x:v>116</x:v>
      </x:c>
      <x:c r="G881" s="18" t="n">
        <x:v>26</x:v>
      </x:c>
      <x:c r="H881" s="18" t="n">
        <x:v>32</x:v>
      </x:c>
      <x:c r="I881" s="18" t="n">
        <x:v>26</x:v>
      </x:c>
      <x:c r="J881" s="18" t="n">
        <x:v>170</x:v>
      </x:c>
      <x:c r="K881" s="18" t="n">
        <x:v>26</x:v>
      </x:c>
      <x:c r="L881" s="18" t="n">
        <x:v>35</x:v>
      </x:c>
      <x:c r="M881" s="18" t="n">
        <x:v>26</x:v>
      </x:c>
    </x:row>
    <x:row r="882">
      <x:c r="A882" s="22" t="str">
        <x:v>500107121</x:v>
      </x:c>
      <x:c r="B882" s="17" t="str">
        <x:v>中山區</x:v>
      </x:c>
      <x:c r="C882" s="17" t="str">
        <x:v>新生民族路口(西南側)</x:v>
      </x:c>
      <x:c r="D882" s="18" t="n">
        <x:v>26</x:v>
      </x:c>
      <x:c r="E882" s="18" t="n">
        <x:v>26</x:v>
      </x:c>
      <x:c r="F882" s="18" t="n">
        <x:v>373</x:v>
      </x:c>
      <x:c r="G882" s="18" t="n">
        <x:v>26</x:v>
      </x:c>
      <x:c r="H882" s="18" t="n">
        <x:v>66</x:v>
      </x:c>
      <x:c r="I882" s="18" t="n">
        <x:v>26</x:v>
      </x:c>
      <x:c r="J882" s="18" t="n">
        <x:v>152</x:v>
      </x:c>
      <x:c r="K882" s="18" t="n">
        <x:v>26</x:v>
      </x:c>
      <x:c r="L882" s="18" t="n">
        <x:v>23</x:v>
      </x:c>
      <x:c r="M882" s="18" t="n">
        <x:v>26</x:v>
      </x:c>
    </x:row>
    <x:row r="883">
      <x:c r="A883" s="22" t="str">
        <x:v>500107122</x:v>
      </x:c>
      <x:c r="B883" s="17" t="str">
        <x:v>中山區</x:v>
      </x:c>
      <x:c r="C883" s="17" t="str">
        <x:v>捷運南京復興站(1號出口)</x:v>
      </x:c>
      <x:c r="D883" s="18" t="n">
        <x:v>26</x:v>
      </x:c>
      <x:c r="E883" s="18" t="n">
        <x:v>26</x:v>
      </x:c>
      <x:c r="F883" s="18" t="n">
        <x:v>273</x:v>
      </x:c>
      <x:c r="G883" s="18" t="n">
        <x:v>26</x:v>
      </x:c>
      <x:c r="H883" s="18" t="n">
        <x:v>49</x:v>
      </x:c>
      <x:c r="I883" s="18" t="n">
        <x:v>26</x:v>
      </x:c>
      <x:c r="J883" s="18" t="n">
        <x:v>208</x:v>
      </x:c>
      <x:c r="K883" s="18" t="n">
        <x:v>26</x:v>
      </x:c>
      <x:c r="L883" s="18" t="n">
        <x:v>31</x:v>
      </x:c>
      <x:c r="M883" s="18" t="n">
        <x:v>26</x:v>
      </x:c>
    </x:row>
    <x:row r="884">
      <x:c r="A884" s="22" t="str">
        <x:v>500107123</x:v>
      </x:c>
      <x:c r="B884" s="17" t="str">
        <x:v>中山區</x:v>
      </x:c>
      <x:c r="C884" s="17" t="str">
        <x:v>八德市場(北側)</x:v>
      </x:c>
      <x:c r="D884" s="18" t="n">
        <x:v>26</x:v>
      </x:c>
      <x:c r="E884" s="18" t="n">
        <x:v>26</x:v>
      </x:c>
      <x:c r="F884" s="18" t="n">
        <x:v>111</x:v>
      </x:c>
      <x:c r="G884" s="18" t="n">
        <x:v>26</x:v>
      </x:c>
      <x:c r="H884" s="18" t="n">
        <x:v>31</x:v>
      </x:c>
      <x:c r="I884" s="18" t="n">
        <x:v>26</x:v>
      </x:c>
      <x:c r="J884" s="18" t="n">
        <x:v>184</x:v>
      </x:c>
      <x:c r="K884" s="18" t="n">
        <x:v>26</x:v>
      </x:c>
      <x:c r="L884" s="18" t="n">
        <x:v>30</x:v>
      </x:c>
      <x:c r="M884" s="18" t="n">
        <x:v>26</x:v>
      </x:c>
    </x:row>
    <x:row r="885">
      <x:c r="A885" s="22" t="str">
        <x:v>500107124</x:v>
      </x:c>
      <x:c r="B885" s="17" t="str">
        <x:v>中山區</x:v>
      </x:c>
      <x:c r="C885" s="17" t="str">
        <x:v>龍江朱崙街口</x:v>
      </x:c>
      <x:c r="D885" s="18" t="n">
        <x:v>26</x:v>
      </x:c>
      <x:c r="E885" s="18" t="n">
        <x:v>26</x:v>
      </x:c>
      <x:c r="F885" s="18" t="n">
        <x:v>133</x:v>
      </x:c>
      <x:c r="G885" s="18" t="n">
        <x:v>26</x:v>
      </x:c>
      <x:c r="H885" s="18" t="n">
        <x:v>19</x:v>
      </x:c>
      <x:c r="I885" s="18" t="n">
        <x:v>26</x:v>
      </x:c>
      <x:c r="J885" s="18" t="n">
        <x:v>168</x:v>
      </x:c>
      <x:c r="K885" s="18" t="n">
        <x:v>26</x:v>
      </x:c>
      <x:c r="L885" s="18" t="n">
        <x:v>44</x:v>
      </x:c>
      <x:c r="M885" s="18" t="n">
        <x:v>26</x:v>
      </x:c>
    </x:row>
    <x:row r="886">
      <x:c r="A886" s="22" t="str">
        <x:v>500107125</x:v>
      </x:c>
      <x:c r="B886" s="17" t="str">
        <x:v>中山區</x:v>
      </x:c>
      <x:c r="C886" s="17" t="str">
        <x:v>大直街94巷</x:v>
      </x:c>
      <x:c r="D886" s="18" t="n">
        <x:v>26</x:v>
      </x:c>
      <x:c r="E886" s="18" t="n">
        <x:v>26</x:v>
      </x:c>
      <x:c r="F886" s="18" t="n">
        <x:v>358</x:v>
      </x:c>
      <x:c r="G886" s="18" t="n">
        <x:v>26</x:v>
      </x:c>
      <x:c r="H886" s="18" t="n">
        <x:v>61</x:v>
      </x:c>
      <x:c r="I886" s="18" t="n">
        <x:v>26</x:v>
      </x:c>
      <x:c r="J886" s="18" t="n">
        <x:v>136</x:v>
      </x:c>
      <x:c r="K886" s="18" t="n">
        <x:v>26</x:v>
      </x:c>
      <x:c r="L886" s="18" t="n">
        <x:v>49</x:v>
      </x:c>
      <x:c r="M886" s="18" t="n">
        <x:v>26</x:v>
      </x:c>
    </x:row>
    <x:row r="887">
      <x:c r="A887" s="22" t="str">
        <x:v>500107126</x:v>
      </x:c>
      <x:c r="B887" s="17" t="str">
        <x:v>中山區</x:v>
      </x:c>
      <x:c r="C887" s="17" t="str">
        <x:v>捷運南京復興站(8號出口)</x:v>
      </x:c>
      <x:c r="D887" s="18" t="n">
        <x:v>26</x:v>
      </x:c>
      <x:c r="E887" s="18" t="n">
        <x:v>26</x:v>
      </x:c>
      <x:c r="F887" s="18" t="n">
        <x:v>132</x:v>
      </x:c>
      <x:c r="G887" s="18" t="n">
        <x:v>26</x:v>
      </x:c>
      <x:c r="H887" s="18" t="n">
        <x:v>9</x:v>
      </x:c>
      <x:c r="I887" s="18" t="n">
        <x:v>26</x:v>
      </x:c>
      <x:c r="J887" s="18" t="n">
        <x:v>161</x:v>
      </x:c>
      <x:c r="K887" s="18" t="n">
        <x:v>26</x:v>
      </x:c>
      <x:c r="L887" s="18" t="n">
        <x:v>28</x:v>
      </x:c>
      <x:c r="M887" s="18" t="n">
        <x:v>26</x:v>
      </x:c>
    </x:row>
    <x:row r="888">
      <x:c r="A888" s="22" t="str">
        <x:v>500107127</x:v>
      </x:c>
      <x:c r="B888" s="17" t="str">
        <x:v>中山區</x:v>
      </x:c>
      <x:c r="C888" s="17" t="str">
        <x:v>民權建國路口(南側)</x:v>
      </x:c>
      <x:c r="D888" s="18" t="n">
        <x:v>26</x:v>
      </x:c>
      <x:c r="E888" s="18" t="n">
        <x:v>26</x:v>
      </x:c>
      <x:c r="F888" s="18" t="n">
        <x:v>152</x:v>
      </x:c>
      <x:c r="G888" s="18" t="n">
        <x:v>26</x:v>
      </x:c>
      <x:c r="H888" s="18" t="n">
        <x:v>24</x:v>
      </x:c>
      <x:c r="I888" s="18" t="n">
        <x:v>26</x:v>
      </x:c>
      <x:c r="J888" s="18" t="n">
        <x:v>131</x:v>
      </x:c>
      <x:c r="K888" s="18" t="n">
        <x:v>26</x:v>
      </x:c>
      <x:c r="L888" s="18" t="n">
        <x:v>34</x:v>
      </x:c>
      <x:c r="M888" s="18" t="n">
        <x:v>26</x:v>
      </x:c>
    </x:row>
    <x:row r="889">
      <x:c r="A889" s="22" t="str">
        <x:v>500107128</x:v>
      </x:c>
      <x:c r="B889" s="17" t="str">
        <x:v>中山區</x:v>
      </x:c>
      <x:c r="C889" s="17" t="str">
        <x:v>林森德惠街口</x:v>
      </x:c>
      <x:c r="D889" s="18" t="n">
        <x:v>26</x:v>
      </x:c>
      <x:c r="E889" s="18" t="n">
        <x:v>26</x:v>
      </x:c>
      <x:c r="F889" s="18" t="n">
        <x:v>268</x:v>
      </x:c>
      <x:c r="G889" s="18" t="n">
        <x:v>26</x:v>
      </x:c>
      <x:c r="H889" s="18" t="n">
        <x:v>38</x:v>
      </x:c>
      <x:c r="I889" s="18" t="n">
        <x:v>26</x:v>
      </x:c>
      <x:c r="J889" s="18" t="n">
        <x:v>126</x:v>
      </x:c>
      <x:c r="K889" s="18" t="n">
        <x:v>26</x:v>
      </x:c>
      <x:c r="L889" s="18" t="n">
        <x:v>32</x:v>
      </x:c>
      <x:c r="M889" s="18" t="n">
        <x:v>26</x:v>
      </x:c>
    </x:row>
    <x:row r="890">
      <x:c r="A890" s="22" t="str">
        <x:v>500107129</x:v>
      </x:c>
      <x:c r="B890" s="17" t="str">
        <x:v>中山區</x:v>
      </x:c>
      <x:c r="C890" s="17" t="str">
        <x:v>新生濱江街口(東南側)</x:v>
      </x:c>
      <x:c r="D890" s="18" t="n">
        <x:v>26</x:v>
      </x:c>
      <x:c r="E890" s="18" t="n">
        <x:v>26</x:v>
      </x:c>
      <x:c r="F890" s="18" t="n">
        <x:v>159</x:v>
      </x:c>
      <x:c r="G890" s="18" t="n">
        <x:v>26</x:v>
      </x:c>
      <x:c r="H890" s="18" t="n">
        <x:v>62</x:v>
      </x:c>
      <x:c r="I890" s="18" t="n">
        <x:v>26</x:v>
      </x:c>
      <x:c r="J890" s="18" t="n">
        <x:v>599</x:v>
      </x:c>
      <x:c r="K890" s="18" t="n">
        <x:v>26</x:v>
      </x:c>
      <x:c r="L890" s="18" t="n">
        <x:v>75</x:v>
      </x:c>
      <x:c r="M890" s="18" t="n">
        <x:v>26</x:v>
      </x:c>
    </x:row>
    <x:row r="891">
      <x:c r="A891" s="22" t="str">
        <x:v>500107130</x:v>
      </x:c>
      <x:c r="B891" s="17" t="str">
        <x:v>中山區</x:v>
      </x:c>
      <x:c r="C891" s="17" t="str">
        <x:v>新生北路一段62巷口</x:v>
      </x:c>
      <x:c r="D891" s="18" t="n">
        <x:v>26</x:v>
      </x:c>
      <x:c r="E891" s="18" t="n">
        <x:v>26</x:v>
      </x:c>
      <x:c r="F891" s="18" t="n">
        <x:v>227</x:v>
      </x:c>
      <x:c r="G891" s="18" t="n">
        <x:v>26</x:v>
      </x:c>
      <x:c r="H891" s="18" t="n">
        <x:v>42</x:v>
      </x:c>
      <x:c r="I891" s="18" t="n">
        <x:v>26</x:v>
      </x:c>
      <x:c r="J891" s="18" t="n">
        <x:v>157</x:v>
      </x:c>
      <x:c r="K891" s="18" t="n">
        <x:v>26</x:v>
      </x:c>
      <x:c r="L891" s="18" t="n">
        <x:v>22</x:v>
      </x:c>
      <x:c r="M891" s="18" t="n">
        <x:v>26</x:v>
      </x:c>
    </x:row>
    <x:row r="892">
      <x:c r="A892" s="22" t="str">
        <x:v>500107131</x:v>
      </x:c>
      <x:c r="B892" s="17" t="str">
        <x:v>中山區</x:v>
      </x:c>
      <x:c r="C892" s="17" t="str">
        <x:v>新生長春路口(東北側)</x:v>
      </x:c>
      <x:c r="D892" s="18" t="n">
        <x:v>26</x:v>
      </x:c>
      <x:c r="E892" s="18" t="n">
        <x:v>26</x:v>
      </x:c>
      <x:c r="F892" s="18" t="n">
        <x:v>138</x:v>
      </x:c>
      <x:c r="G892" s="18" t="n">
        <x:v>26</x:v>
      </x:c>
      <x:c r="H892" s="18" t="n">
        <x:v>22</x:v>
      </x:c>
      <x:c r="I892" s="18" t="n">
        <x:v>26</x:v>
      </x:c>
      <x:c r="J892" s="18" t="n">
        <x:v>138</x:v>
      </x:c>
      <x:c r="K892" s="18" t="n">
        <x:v>26</x:v>
      </x:c>
      <x:c r="L892" s="18" t="n">
        <x:v>25</x:v>
      </x:c>
      <x:c r="M892" s="18" t="n">
        <x:v>26</x:v>
      </x:c>
    </x:row>
    <x:row r="893">
      <x:c r="A893" s="22" t="str">
        <x:v>500107132</x:v>
      </x:c>
      <x:c r="B893" s="17" t="str">
        <x:v>中山區</x:v>
      </x:c>
      <x:c r="C893" s="17" t="str">
        <x:v>捷運劍南路站(1號出口)</x:v>
      </x:c>
      <x:c r="D893" s="18" t="n">
        <x:v>26</x:v>
      </x:c>
      <x:c r="E893" s="18" t="n">
        <x:v>26</x:v>
      </x:c>
      <x:c r="F893" s="18" t="n">
        <x:v>201</x:v>
      </x:c>
      <x:c r="G893" s="18" t="n">
        <x:v>26</x:v>
      </x:c>
      <x:c r="H893" s="18" t="n">
        <x:v>29</x:v>
      </x:c>
      <x:c r="I893" s="18" t="n">
        <x:v>26</x:v>
      </x:c>
      <x:c r="J893" s="18" t="n">
        <x:v>909</x:v>
      </x:c>
      <x:c r="K893" s="18" t="n">
        <x:v>26</x:v>
      </x:c>
      <x:c r="L893" s="18" t="n">
        <x:v>107</x:v>
      </x:c>
      <x:c r="M893" s="18" t="n">
        <x:v>26</x:v>
      </x:c>
    </x:row>
    <x:row r="894">
      <x:c r="A894" s="22" t="str">
        <x:v>500107133</x:v>
      </x:c>
      <x:c r="B894" s="17" t="str">
        <x:v>中山區</x:v>
      </x:c>
      <x:c r="C894" s="17" t="str">
        <x:v>樂群三路123號</x:v>
      </x:c>
      <x:c r="D894" s="18" t="n">
        <x:v>26</x:v>
      </x:c>
      <x:c r="E894" s="18" t="n">
        <x:v>26</x:v>
      </x:c>
      <x:c r="F894" s="18" t="n">
        <x:v>155</x:v>
      </x:c>
      <x:c r="G894" s="18" t="n">
        <x:v>26</x:v>
      </x:c>
      <x:c r="H894" s="18" t="n">
        <x:v>41</x:v>
      </x:c>
      <x:c r="I894" s="18" t="n">
        <x:v>26</x:v>
      </x:c>
      <x:c r="J894" s="18" t="n">
        <x:v>588</x:v>
      </x:c>
      <x:c r="K894" s="18" t="n">
        <x:v>26</x:v>
      </x:c>
      <x:c r="L894" s="18" t="n">
        <x:v>117</x:v>
      </x:c>
      <x:c r="M894" s="18" t="n">
        <x:v>26</x:v>
      </x:c>
    </x:row>
    <x:row r="895">
      <x:c r="A895" s="22" t="str">
        <x:v>500107134</x:v>
      </x:c>
      <x:c r="B895" s="17" t="str">
        <x:v>中山區</x:v>
      </x:c>
      <x:c r="C895" s="17" t="str">
        <x:v>長春路258巷2弄口</x:v>
      </x:c>
      <x:c r="D895" s="18" t="n">
        <x:v>26</x:v>
      </x:c>
      <x:c r="E895" s="18" t="n">
        <x:v>26</x:v>
      </x:c>
      <x:c r="F895" s="18" t="n">
        <x:v>199</x:v>
      </x:c>
      <x:c r="G895" s="18" t="n">
        <x:v>26</x:v>
      </x:c>
      <x:c r="H895" s="18" t="n">
        <x:v>43</x:v>
      </x:c>
      <x:c r="I895" s="18" t="n">
        <x:v>26</x:v>
      </x:c>
      <x:c r="J895" s="18" t="n">
        <x:v>162</x:v>
      </x:c>
      <x:c r="K895" s="18" t="n">
        <x:v>26</x:v>
      </x:c>
      <x:c r="L895" s="18" t="n">
        <x:v>13</x:v>
      </x:c>
      <x:c r="M895" s="18" t="n">
        <x:v>26</x:v>
      </x:c>
    </x:row>
    <x:row r="896">
      <x:c r="A896" s="22" t="str">
        <x:v>500107135</x:v>
      </x:c>
      <x:c r="B896" s="17" t="str">
        <x:v>中山區</x:v>
      </x:c>
      <x:c r="C896" s="17" t="str">
        <x:v>長寧大廈社區(南側)</x:v>
      </x:c>
      <x:c r="D896" s="18" t="n">
        <x:v>26</x:v>
      </x:c>
      <x:c r="E896" s="18" t="n">
        <x:v>26</x:v>
      </x:c>
      <x:c r="F896" s="18" t="n">
        <x:v>90</x:v>
      </x:c>
      <x:c r="G896" s="18" t="n">
        <x:v>26</x:v>
      </x:c>
      <x:c r="H896" s="18" t="n">
        <x:v>24</x:v>
      </x:c>
      <x:c r="I896" s="18" t="n">
        <x:v>26</x:v>
      </x:c>
      <x:c r="J896" s="18" t="n">
        <x:v>251</x:v>
      </x:c>
      <x:c r="K896" s="18" t="n">
        <x:v>26</x:v>
      </x:c>
      <x:c r="L896" s="18" t="n">
        <x:v>45</x:v>
      </x:c>
      <x:c r="M896" s="18" t="n">
        <x:v>26</x:v>
      </x:c>
    </x:row>
    <x:row r="897">
      <x:c r="A897" s="22" t="str">
        <x:v>500107136</x:v>
      </x:c>
      <x:c r="B897" s="17" t="str">
        <x:v>中山區</x:v>
      </x:c>
      <x:c r="C897" s="17" t="str">
        <x:v>建國五常街口</x:v>
      </x:c>
      <x:c r="D897" s="18" t="n">
        <x:v>26</x:v>
      </x:c>
      <x:c r="E897" s="18" t="n">
        <x:v>26</x:v>
      </x:c>
      <x:c r="F897" s="18" t="n">
        <x:v>703</x:v>
      </x:c>
      <x:c r="G897" s="18" t="n">
        <x:v>26</x:v>
      </x:c>
      <x:c r="H897" s="18" t="n">
        <x:v>86</x:v>
      </x:c>
      <x:c r="I897" s="18" t="n">
        <x:v>26</x:v>
      </x:c>
      <x:c r="J897" s="18" t="n">
        <x:v>85</x:v>
      </x:c>
      <x:c r="K897" s="18" t="n">
        <x:v>26</x:v>
      </x:c>
      <x:c r="L897" s="18" t="n">
        <x:v>28</x:v>
      </x:c>
      <x:c r="M897" s="18" t="n">
        <x:v>26</x:v>
      </x:c>
    </x:row>
    <x:row r="898">
      <x:c r="A898" s="22" t="str">
        <x:v>500107137</x:v>
      </x:c>
      <x:c r="B898" s="17" t="str">
        <x:v>中山區</x:v>
      </x:c>
      <x:c r="C898" s="17" t="str">
        <x:v>中山北路二段62巷口</x:v>
      </x:c>
      <x:c r="D898" s="18" t="n">
        <x:v>26</x:v>
      </x:c>
      <x:c r="E898" s="18" t="n">
        <x:v>26</x:v>
      </x:c>
      <x:c r="F898" s="18" t="n">
        <x:v>67</x:v>
      </x:c>
      <x:c r="G898" s="18" t="n">
        <x:v>26</x:v>
      </x:c>
      <x:c r="H898" s="18" t="n">
        <x:v>14</x:v>
      </x:c>
      <x:c r="I898" s="18" t="n">
        <x:v>26</x:v>
      </x:c>
      <x:c r="J898" s="18" t="n">
        <x:v>334</x:v>
      </x:c>
      <x:c r="K898" s="18" t="n">
        <x:v>26</x:v>
      </x:c>
      <x:c r="L898" s="18" t="n">
        <x:v>37</x:v>
      </x:c>
      <x:c r="M898" s="18" t="n">
        <x:v>26</x:v>
      </x:c>
    </x:row>
    <x:row r="899">
      <x:c r="A899" s="22" t="str">
        <x:v>500107138</x:v>
      </x:c>
      <x:c r="B899" s="17" t="str">
        <x:v>中山區</x:v>
      </x:c>
      <x:c r="C899" s="17" t="str">
        <x:v>市民安東街口</x:v>
      </x:c>
      <x:c r="D899" s="18" t="n">
        <x:v>26</x:v>
      </x:c>
      <x:c r="E899" s="18" t="n">
        <x:v>26</x:v>
      </x:c>
      <x:c r="F899" s="18" t="n">
        <x:v>328</x:v>
      </x:c>
      <x:c r="G899" s="18" t="n">
        <x:v>26</x:v>
      </x:c>
      <x:c r="H899" s="18" t="n">
        <x:v>36</x:v>
      </x:c>
      <x:c r="I899" s="18" t="n">
        <x:v>26</x:v>
      </x:c>
      <x:c r="J899" s="18" t="n">
        <x:v>157</x:v>
      </x:c>
      <x:c r="K899" s="18" t="n">
        <x:v>26</x:v>
      </x:c>
      <x:c r="L899" s="18" t="n">
        <x:v>34</x:v>
      </x:c>
      <x:c r="M899" s="18" t="n">
        <x:v>26</x:v>
      </x:c>
    </x:row>
    <x:row r="900">
      <x:c r="A900" s="22" t="str">
        <x:v>500107139</x:v>
      </x:c>
      <x:c r="B900" s="17" t="str">
        <x:v>中山區</x:v>
      </x:c>
      <x:c r="C900" s="17" t="str">
        <x:v>市民大道二段5巷口</x:v>
      </x:c>
      <x:c r="D900" s="18" t="n">
        <x:v>26</x:v>
      </x:c>
      <x:c r="E900" s="18" t="n">
        <x:v>26</x:v>
      </x:c>
      <x:c r="F900" s="18" t="n">
        <x:v>309</x:v>
      </x:c>
      <x:c r="G900" s="18" t="n">
        <x:v>26</x:v>
      </x:c>
      <x:c r="H900" s="18" t="n">
        <x:v>31</x:v>
      </x:c>
      <x:c r="I900" s="18" t="n">
        <x:v>26</x:v>
      </x:c>
      <x:c r="J900" s="18" t="n">
        <x:v>320</x:v>
      </x:c>
      <x:c r="K900" s="18" t="n">
        <x:v>26</x:v>
      </x:c>
      <x:c r="L900" s="18" t="n">
        <x:v>67</x:v>
      </x:c>
      <x:c r="M900" s="18" t="n">
        <x:v>26</x:v>
      </x:c>
    </x:row>
    <x:row r="901">
      <x:c r="A901" s="22" t="str">
        <x:v>500107140</x:v>
      </x:c>
      <x:c r="B901" s="17" t="str">
        <x:v>中山區</x:v>
      </x:c>
      <x:c r="C901" s="17" t="str">
        <x:v>捷運中山站(3號出口)</x:v>
      </x:c>
      <x:c r="D901" s="18" t="n">
        <x:v>26</x:v>
      </x:c>
      <x:c r="E901" s="18" t="n">
        <x:v>26</x:v>
      </x:c>
      <x:c r="F901" s="18" t="n">
        <x:v>100</x:v>
      </x:c>
      <x:c r="G901" s="18" t="n">
        <x:v>26</x:v>
      </x:c>
      <x:c r="H901" s="18" t="n">
        <x:v>18</x:v>
      </x:c>
      <x:c r="I901" s="18" t="n">
        <x:v>26</x:v>
      </x:c>
      <x:c r="J901" s="18" t="n">
        <x:v>346</x:v>
      </x:c>
      <x:c r="K901" s="18" t="n">
        <x:v>26</x:v>
      </x:c>
      <x:c r="L901" s="18" t="n">
        <x:v>52</x:v>
      </x:c>
      <x:c r="M901" s="18" t="n">
        <x:v>26</x:v>
      </x:c>
    </x:row>
    <x:row r="902">
      <x:c r="A902" s="22" t="str">
        <x:v>500107141</x:v>
      </x:c>
      <x:c r="B902" s="17" t="str">
        <x:v>中山區</x:v>
      </x:c>
      <x:c r="C902" s="17" t="str">
        <x:v>建國北路高架橋下停車場G區</x:v>
      </x:c>
      <x:c r="D902" s="18" t="n">
        <x:v>26</x:v>
      </x:c>
      <x:c r="E902" s="18" t="n">
        <x:v>26</x:v>
      </x:c>
      <x:c r="F902" s="18" t="n">
        <x:v>212</x:v>
      </x:c>
      <x:c r="G902" s="18" t="n">
        <x:v>26</x:v>
      </x:c>
      <x:c r="H902" s="18" t="n">
        <x:v>37</x:v>
      </x:c>
      <x:c r="I902" s="18" t="n">
        <x:v>26</x:v>
      </x:c>
      <x:c r="J902" s="18" t="n">
        <x:v>127</x:v>
      </x:c>
      <x:c r="K902" s="18" t="n">
        <x:v>26</x:v>
      </x:c>
      <x:c r="L902" s="18" t="n">
        <x:v>30</x:v>
      </x:c>
      <x:c r="M902" s="18" t="n">
        <x:v>26</x:v>
      </x:c>
    </x:row>
    <x:row r="903">
      <x:c r="A903" s="22" t="str">
        <x:v>500107142</x:v>
      </x:c>
      <x:c r="B903" s="17" t="str">
        <x:v>中山區</x:v>
      </x:c>
      <x:c r="C903" s="17" t="str">
        <x:v>朱崙公園</x:v>
      </x:c>
      <x:c r="D903" s="18" t="n">
        <x:v>26</x:v>
      </x:c>
      <x:c r="E903" s="18" t="n">
        <x:v>26</x:v>
      </x:c>
      <x:c r="F903" s="18" t="n">
        <x:v>157</x:v>
      </x:c>
      <x:c r="G903" s="18" t="n">
        <x:v>26</x:v>
      </x:c>
      <x:c r="H903" s="18" t="n">
        <x:v>31</x:v>
      </x:c>
      <x:c r="I903" s="18" t="n">
        <x:v>26</x:v>
      </x:c>
      <x:c r="J903" s="18" t="n">
        <x:v>166</x:v>
      </x:c>
      <x:c r="K903" s="18" t="n">
        <x:v>26</x:v>
      </x:c>
      <x:c r="L903" s="18" t="n">
        <x:v>25</x:v>
      </x:c>
      <x:c r="M903" s="18" t="n">
        <x:v>26</x:v>
      </x:c>
    </x:row>
    <x:row r="904">
      <x:c r="A904" s="22" t="str">
        <x:v>500107143</x:v>
      </x:c>
      <x:c r="B904" s="17" t="str">
        <x:v>中山區</x:v>
      </x:c>
      <x:c r="C904" s="17" t="str">
        <x:v>朱崙復興北路口</x:v>
      </x:c>
      <x:c r="D904" s="18" t="n">
        <x:v>26</x:v>
      </x:c>
      <x:c r="E904" s="18" t="n">
        <x:v>26</x:v>
      </x:c>
      <x:c r="F904" s="18" t="n">
        <x:v>90</x:v>
      </x:c>
      <x:c r="G904" s="18" t="n">
        <x:v>26</x:v>
      </x:c>
      <x:c r="H904" s="18" t="n">
        <x:v>22</x:v>
      </x:c>
      <x:c r="I904" s="18" t="n">
        <x:v>26</x:v>
      </x:c>
      <x:c r="J904" s="18" t="n">
        <x:v>182</x:v>
      </x:c>
      <x:c r="K904" s="18" t="n">
        <x:v>26</x:v>
      </x:c>
      <x:c r="L904" s="18" t="n">
        <x:v>48</x:v>
      </x:c>
      <x:c r="M904" s="18" t="n">
        <x:v>26</x:v>
      </x:c>
    </x:row>
    <x:row r="905">
      <x:c r="A905" s="22" t="str">
        <x:v>500107144</x:v>
      </x:c>
      <x:c r="B905" s="17" t="str">
        <x:v>中山區</x:v>
      </x:c>
      <x:c r="C905" s="17" t="str">
        <x:v>捷運行天宮站(4號出口)</x:v>
      </x:c>
      <x:c r="D905" s="18" t="n">
        <x:v>26</x:v>
      </x:c>
      <x:c r="E905" s="18" t="n">
        <x:v>26</x:v>
      </x:c>
      <x:c r="F905" s="18" t="n">
        <x:v>482</x:v>
      </x:c>
      <x:c r="G905" s="18" t="n">
        <x:v>26</x:v>
      </x:c>
      <x:c r="H905" s="18" t="n">
        <x:v>107</x:v>
      </x:c>
      <x:c r="I905" s="18" t="n">
        <x:v>26</x:v>
      </x:c>
      <x:c r="J905" s="18" t="n">
        <x:v>231</x:v>
      </x:c>
      <x:c r="K905" s="18" t="n">
        <x:v>26</x:v>
      </x:c>
      <x:c r="L905" s="18" t="n">
        <x:v>37</x:v>
      </x:c>
      <x:c r="M905" s="18" t="n">
        <x:v>26</x:v>
      </x:c>
    </x:row>
    <x:row r="906">
      <x:c r="A906" s="22" t="str">
        <x:v>500107145</x:v>
      </x:c>
      <x:c r="B906" s="17" t="str">
        <x:v>中山區</x:v>
      </x:c>
      <x:c r="C906" s="17" t="str">
        <x:v>建國北路三段86巷口</x:v>
      </x:c>
      <x:c r="D906" s="18" t="n">
        <x:v>26</x:v>
      </x:c>
      <x:c r="E906" s="18" t="n">
        <x:v>26</x:v>
      </x:c>
      <x:c r="F906" s="18" t="n">
        <x:v>277</x:v>
      </x:c>
      <x:c r="G906" s="18" t="n">
        <x:v>26</x:v>
      </x:c>
      <x:c r="H906" s="18" t="n">
        <x:v>84</x:v>
      </x:c>
      <x:c r="I906" s="18" t="n">
        <x:v>26</x:v>
      </x:c>
      <x:c r="J906" s="18" t="n">
        <x:v>176</x:v>
      </x:c>
      <x:c r="K906" s="18" t="n">
        <x:v>26</x:v>
      </x:c>
      <x:c r="L906" s="18" t="n">
        <x:v>49</x:v>
      </x:c>
      <x:c r="M906" s="18" t="n">
        <x:v>26</x:v>
      </x:c>
    </x:row>
    <x:row r="907">
      <x:c r="A907" s="22" t="str">
        <x:v>500107146</x:v>
      </x:c>
      <x:c r="B907" s="17" t="str">
        <x:v>中山區</x:v>
      </x:c>
      <x:c r="C907" s="17" t="str">
        <x:v>正守公園</x:v>
      </x:c>
      <x:c r="D907" s="18" t="n">
        <x:v>26</x:v>
      </x:c>
      <x:c r="E907" s="18" t="n">
        <x:v>26</x:v>
      </x:c>
      <x:c r="F907" s="18" t="n">
        <x:v>740</x:v>
      </x:c>
      <x:c r="G907" s="18" t="n">
        <x:v>26</x:v>
      </x:c>
      <x:c r="H907" s="18" t="n">
        <x:v>69</x:v>
      </x:c>
      <x:c r="I907" s="18" t="n">
        <x:v>26</x:v>
      </x:c>
      <x:c r="J907" s="18" t="n">
        <x:v>164</x:v>
      </x:c>
      <x:c r="K907" s="18" t="n">
        <x:v>26</x:v>
      </x:c>
      <x:c r="L907" s="18" t="n">
        <x:v>45</x:v>
      </x:c>
      <x:c r="M907" s="18" t="n">
        <x:v>26</x:v>
      </x:c>
    </x:row>
    <x:row r="908">
      <x:c r="A908" s="22" t="str">
        <x:v>500107147</x:v>
      </x:c>
      <x:c r="B908" s="17" t="str">
        <x:v>中山區</x:v>
      </x:c>
      <x:c r="C908" s="17" t="str">
        <x:v>四平松江路口</x:v>
      </x:c>
      <x:c r="D908" s="18" t="n">
        <x:v>26</x:v>
      </x:c>
      <x:c r="E908" s="18" t="n">
        <x:v>26</x:v>
      </x:c>
      <x:c r="F908" s="18" t="n">
        <x:v>99</x:v>
      </x:c>
      <x:c r="G908" s="18" t="n">
        <x:v>26</x:v>
      </x:c>
      <x:c r="H908" s="18" t="n">
        <x:v>15</x:v>
      </x:c>
      <x:c r="I908" s="18" t="n">
        <x:v>26</x:v>
      </x:c>
      <x:c r="J908" s="18" t="n">
        <x:v>258</x:v>
      </x:c>
      <x:c r="K908" s="18" t="n">
        <x:v>26</x:v>
      </x:c>
      <x:c r="L908" s="18" t="n">
        <x:v>39</x:v>
      </x:c>
      <x:c r="M908" s="18" t="n">
        <x:v>26</x:v>
      </x:c>
    </x:row>
    <x:row r="909">
      <x:c r="A909" s="22" t="str">
        <x:v>500107148</x:v>
      </x:c>
      <x:c r="B909" s="17" t="str">
        <x:v>中山區</x:v>
      </x:c>
      <x:c r="C909" s="17" t="str">
        <x:v>金泰公園</x:v>
      </x:c>
      <x:c r="D909" s="18" t="n">
        <x:v>26</x:v>
      </x:c>
      <x:c r="E909" s="18" t="n">
        <x:v>26</x:v>
      </x:c>
      <x:c r="F909" s="18" t="n">
        <x:v>0</x:v>
      </x:c>
      <x:c r="G909" s="18" t="n">
        <x:v>26</x:v>
      </x:c>
      <x:c r="H909" s="18" t="n">
        <x:v>0</x:v>
      </x:c>
      <x:c r="I909" s="18" t="n">
        <x:v>26</x:v>
      </x:c>
      <x:c r="J909" s="18" t="n">
        <x:v>0</x:v>
      </x:c>
      <x:c r="K909" s="18" t="n">
        <x:v>26</x:v>
      </x:c>
      <x:c r="L909" s="18" t="n">
        <x:v>0</x:v>
      </x:c>
      <x:c r="M909" s="18" t="n">
        <x:v>26</x:v>
      </x:c>
    </x:row>
    <x:row r="910">
      <x:c r="A910" s="22" t="str">
        <x:v>500107149</x:v>
      </x:c>
      <x:c r="B910" s="17" t="str">
        <x:v>中山區</x:v>
      </x:c>
      <x:c r="C910" s="17" t="str">
        <x:v>北安通北街口</x:v>
      </x:c>
      <x:c r="D910" s="18" t="n">
        <x:v>26</x:v>
      </x:c>
      <x:c r="E910" s="18" t="n">
        <x:v>26</x:v>
      </x:c>
      <x:c r="F910" s="18" t="n">
        <x:v>167</x:v>
      </x:c>
      <x:c r="G910" s="18" t="n">
        <x:v>26</x:v>
      </x:c>
      <x:c r="H910" s="18" t="n">
        <x:v>65</x:v>
      </x:c>
      <x:c r="I910" s="18" t="n">
        <x:v>26</x:v>
      </x:c>
      <x:c r="J910" s="18" t="n">
        <x:v>447</x:v>
      </x:c>
      <x:c r="K910" s="18" t="n">
        <x:v>26</x:v>
      </x:c>
      <x:c r="L910" s="18" t="n">
        <x:v>82</x:v>
      </x:c>
      <x:c r="M910" s="18" t="n">
        <x:v>26</x:v>
      </x:c>
    </x:row>
    <x:row r="911">
      <x:c r="A911" s="22" t="str">
        <x:v>500107150</x:v>
      </x:c>
      <x:c r="B911" s="17" t="str">
        <x:v>中山區</x:v>
      </x:c>
      <x:c r="C911" s="17" t="str">
        <x:v>民權東復興北路口(西北側)</x:v>
      </x:c>
      <x:c r="D911" s="18" t="n">
        <x:v>26</x:v>
      </x:c>
      <x:c r="E911" s="18" t="n">
        <x:v>26</x:v>
      </x:c>
      <x:c r="F911" s="18" t="n">
        <x:v>149</x:v>
      </x:c>
      <x:c r="G911" s="18" t="n">
        <x:v>26</x:v>
      </x:c>
      <x:c r="H911" s="18" t="n">
        <x:v>21</x:v>
      </x:c>
      <x:c r="I911" s="18" t="n">
        <x:v>26</x:v>
      </x:c>
      <x:c r="J911" s="18" t="n">
        <x:v>234</x:v>
      </x:c>
      <x:c r="K911" s="18" t="n">
        <x:v>26</x:v>
      </x:c>
      <x:c r="L911" s="18" t="n">
        <x:v>36</x:v>
      </x:c>
      <x:c r="M911" s="18" t="n">
        <x:v>26</x:v>
      </x:c>
    </x:row>
    <x:row r="912">
      <x:c r="A912" s="22" t="str">
        <x:v>500107151</x:v>
      </x:c>
      <x:c r="B912" s="17" t="str">
        <x:v>中山區</x:v>
      </x:c>
      <x:c r="C912" s="17" t="str">
        <x:v>臺北市立大同高中</x:v>
      </x:c>
      <x:c r="D912" s="18" t="n">
        <x:v>26</x:v>
      </x:c>
      <x:c r="E912" s="18" t="n">
        <x:v>26</x:v>
      </x:c>
      <x:c r="F912" s="18" t="n">
        <x:v>404</x:v>
      </x:c>
      <x:c r="G912" s="18" t="n">
        <x:v>26</x:v>
      </x:c>
      <x:c r="H912" s="18" t="n">
        <x:v>50</x:v>
      </x:c>
      <x:c r="I912" s="18" t="n">
        <x:v>26</x:v>
      </x:c>
      <x:c r="J912" s="18" t="n">
        <x:v>662</x:v>
      </x:c>
      <x:c r="K912" s="18" t="n">
        <x:v>26</x:v>
      </x:c>
      <x:c r="L912" s="18" t="n">
        <x:v>125</x:v>
      </x:c>
      <x:c r="M912" s="18" t="n">
        <x:v>26</x:v>
      </x:c>
    </x:row>
    <x:row r="913">
      <x:c r="A913" s="22" t="str">
        <x:v>500107152</x:v>
      </x:c>
      <x:c r="B913" s="17" t="str">
        <x:v>中山區</x:v>
      </x:c>
      <x:c r="C913" s="17" t="str">
        <x:v>中崙加油站</x:v>
      </x:c>
      <x:c r="D913" s="18" t="n">
        <x:v>26</x:v>
      </x:c>
      <x:c r="E913" s="18" t="n">
        <x:v>26</x:v>
      </x:c>
      <x:c r="F913" s="18" t="n">
        <x:v>172</x:v>
      </x:c>
      <x:c r="G913" s="18" t="n">
        <x:v>26</x:v>
      </x:c>
      <x:c r="H913" s="18" t="n">
        <x:v>39</x:v>
      </x:c>
      <x:c r="I913" s="18" t="n">
        <x:v>26</x:v>
      </x:c>
      <x:c r="J913" s="18" t="n">
        <x:v>328</x:v>
      </x:c>
      <x:c r="K913" s="18" t="n">
        <x:v>26</x:v>
      </x:c>
      <x:c r="L913" s="18" t="n">
        <x:v>75</x:v>
      </x:c>
      <x:c r="M913" s="18" t="n">
        <x:v>26</x:v>
      </x:c>
    </x:row>
    <x:row r="914">
      <x:c r="A914" s="22" t="str">
        <x:v>500107153</x:v>
      </x:c>
      <x:c r="B914" s="17" t="str">
        <x:v>中山區</x:v>
      </x:c>
      <x:c r="C914" s="17" t="str">
        <x:v>北安明水路口(自強隧道)</x:v>
      </x:c>
      <x:c r="D914" s="18" t="n">
        <x:v>26</x:v>
      </x:c>
      <x:c r="E914" s="18" t="n">
        <x:v>26</x:v>
      </x:c>
      <x:c r="F914" s="18" t="n">
        <x:v>115</x:v>
      </x:c>
      <x:c r="G914" s="18" t="n">
        <x:v>26</x:v>
      </x:c>
      <x:c r="H914" s="18" t="n">
        <x:v>22</x:v>
      </x:c>
      <x:c r="I914" s="18" t="n">
        <x:v>26</x:v>
      </x:c>
      <x:c r="J914" s="18" t="n">
        <x:v>133</x:v>
      </x:c>
      <x:c r="K914" s="18" t="n">
        <x:v>26</x:v>
      </x:c>
      <x:c r="L914" s="18" t="n">
        <x:v>59</x:v>
      </x:c>
      <x:c r="M914" s="18" t="n">
        <x:v>26</x:v>
      </x:c>
    </x:row>
    <x:row r="915">
      <x:c r="A915" s="22" t="str">
        <x:v>500107154</x:v>
      </x:c>
      <x:c r="B915" s="17" t="str">
        <x:v>中山區</x:v>
      </x:c>
      <x:c r="C915" s="17" t="str">
        <x:v>中正國小(南京東路三段48巷)</x:v>
      </x:c>
      <x:c r="D915" s="18" t="n">
        <x:v>26</x:v>
      </x:c>
      <x:c r="E915" s="18" t="n">
        <x:v>26</x:v>
      </x:c>
      <x:c r="F915" s="18" t="n">
        <x:v>62</x:v>
      </x:c>
      <x:c r="G915" s="18" t="n">
        <x:v>26</x:v>
      </x:c>
      <x:c r="H915" s="18" t="n">
        <x:v>6</x:v>
      </x:c>
      <x:c r="I915" s="18" t="n">
        <x:v>26</x:v>
      </x:c>
      <x:c r="J915" s="18" t="n">
        <x:v>63</x:v>
      </x:c>
      <x:c r="K915" s="18" t="n">
        <x:v>26</x:v>
      </x:c>
      <x:c r="L915" s="18" t="n">
        <x:v>14</x:v>
      </x:c>
      <x:c r="M915" s="18" t="n">
        <x:v>26</x:v>
      </x:c>
    </x:row>
    <x:row r="916">
      <x:c r="A916" s="22" t="str">
        <x:v>500107155</x:v>
      </x:c>
      <x:c r="B916" s="17" t="str">
        <x:v>中山區</x:v>
      </x:c>
      <x:c r="C916" s="17" t="str">
        <x:v>臺北時代廣場</x:v>
      </x:c>
      <x:c r="D916" s="18" t="n">
        <x:v>26</x:v>
      </x:c>
      <x:c r="E916" s="18" t="n">
        <x:v>26</x:v>
      </x:c>
      <x:c r="F916" s="18" t="n">
        <x:v>86</x:v>
      </x:c>
      <x:c r="G916" s="18" t="n">
        <x:v>26</x:v>
      </x:c>
      <x:c r="H916" s="18" t="n">
        <x:v>30</x:v>
      </x:c>
      <x:c r="I916" s="18" t="n">
        <x:v>26</x:v>
      </x:c>
      <x:c r="J916" s="18" t="n">
        <x:v>589</x:v>
      </x:c>
      <x:c r="K916" s="18" t="n">
        <x:v>26</x:v>
      </x:c>
      <x:c r="L916" s="18" t="n">
        <x:v>112</x:v>
      </x:c>
      <x:c r="M916" s="18" t="n">
        <x:v>26</x:v>
      </x:c>
    </x:row>
    <x:row r="917">
      <x:c r="A917" s="22" t="str">
        <x:v>500107156</x:v>
      </x:c>
      <x:c r="B917" s="17" t="str">
        <x:v>中山區</x:v>
      </x:c>
      <x:c r="C917" s="17" t="str">
        <x:v>吉林農安街口(西北側)</x:v>
      </x:c>
      <x:c r="D917" s="18" t="n">
        <x:v>26</x:v>
      </x:c>
      <x:c r="E917" s="18" t="n">
        <x:v>26</x:v>
      </x:c>
      <x:c r="F917" s="18" t="n">
        <x:v>508</x:v>
      </x:c>
      <x:c r="G917" s="18" t="n">
        <x:v>26</x:v>
      </x:c>
      <x:c r="H917" s="18" t="n">
        <x:v>64</x:v>
      </x:c>
      <x:c r="I917" s="18" t="n">
        <x:v>26</x:v>
      </x:c>
      <x:c r="J917" s="18" t="n">
        <x:v>150</x:v>
      </x:c>
      <x:c r="K917" s="18" t="n">
        <x:v>26</x:v>
      </x:c>
      <x:c r="L917" s="18" t="n">
        <x:v>15</x:v>
      </x:c>
      <x:c r="M917" s="18" t="n">
        <x:v>26</x:v>
      </x:c>
    </x:row>
    <x:row r="918">
      <x:c r="A918" s="22" t="str">
        <x:v>500107157</x:v>
      </x:c>
      <x:c r="B918" s="17" t="str">
        <x:v>中山區</x:v>
      </x:c>
      <x:c r="C918" s="17" t="str">
        <x:v>濱江國中</x:v>
      </x:c>
      <x:c r="D918" s="18" t="n">
        <x:v>26</x:v>
      </x:c>
      <x:c r="E918" s="18" t="n">
        <x:v>26</x:v>
      </x:c>
      <x:c r="F918" s="18" t="n">
        <x:v>132</x:v>
      </x:c>
      <x:c r="G918" s="18" t="n">
        <x:v>26</x:v>
      </x:c>
      <x:c r="H918" s="18" t="n">
        <x:v>36</x:v>
      </x:c>
      <x:c r="I918" s="18" t="n">
        <x:v>26</x:v>
      </x:c>
      <x:c r="J918" s="18" t="n">
        <x:v>250</x:v>
      </x:c>
      <x:c r="K918" s="18" t="n">
        <x:v>26</x:v>
      </x:c>
      <x:c r="L918" s="18" t="n">
        <x:v>104</x:v>
      </x:c>
      <x:c r="M918" s="18" t="n">
        <x:v>26</x:v>
      </x:c>
    </x:row>
    <x:row r="919">
      <x:c r="A919" s="22" t="str">
        <x:v>500107158</x:v>
      </x:c>
      <x:c r="B919" s="17" t="str">
        <x:v>中山區</x:v>
      </x:c>
      <x:c r="C919" s="17" t="str">
        <x:v>環山抽水站</x:v>
      </x:c>
      <x:c r="D919" s="18" t="n">
        <x:v>26</x:v>
      </x:c>
      <x:c r="E919" s="18" t="n">
        <x:v>26</x:v>
      </x:c>
      <x:c r="F919" s="18" t="n">
        <x:v>335</x:v>
      </x:c>
      <x:c r="G919" s="18" t="n">
        <x:v>26</x:v>
      </x:c>
      <x:c r="H919" s="18" t="n">
        <x:v>63</x:v>
      </x:c>
      <x:c r="I919" s="18" t="n">
        <x:v>26</x:v>
      </x:c>
      <x:c r="J919" s="18" t="n">
        <x:v>267</x:v>
      </x:c>
      <x:c r="K919" s="18" t="n">
        <x:v>26</x:v>
      </x:c>
      <x:c r="L919" s="18" t="n">
        <x:v>72</x:v>
      </x:c>
      <x:c r="M919" s="18" t="n">
        <x:v>26</x:v>
      </x:c>
    </x:row>
    <x:row r="920">
      <x:c r="A920" s="22" t="str">
        <x:v>500107159</x:v>
      </x:c>
      <x:c r="B920" s="17" t="str">
        <x:v>中山區</x:v>
      </x:c>
      <x:c r="C920" s="17" t="str">
        <x:v>民權中山路口(東北側)</x:v>
      </x:c>
      <x:c r="D920" s="18" t="n">
        <x:v>26</x:v>
      </x:c>
      <x:c r="E920" s="18" t="n">
        <x:v>26</x:v>
      </x:c>
      <x:c r="F920" s="18" t="n">
        <x:v>95</x:v>
      </x:c>
      <x:c r="G920" s="18" t="n">
        <x:v>26</x:v>
      </x:c>
      <x:c r="H920" s="18" t="n">
        <x:v>35</x:v>
      </x:c>
      <x:c r="I920" s="18" t="n">
        <x:v>26</x:v>
      </x:c>
      <x:c r="J920" s="18" t="n">
        <x:v>335</x:v>
      </x:c>
      <x:c r="K920" s="18" t="n">
        <x:v>26</x:v>
      </x:c>
      <x:c r="L920" s="18" t="n">
        <x:v>79</x:v>
      </x:c>
      <x:c r="M920" s="18" t="n">
        <x:v>26</x:v>
      </x:c>
    </x:row>
    <x:row r="921">
      <x:c r="A921" s="22" t="str">
        <x:v>500107160</x:v>
      </x:c>
      <x:c r="B921" s="17" t="str">
        <x:v>中山區</x:v>
      </x:c>
      <x:c r="C921" s="17" t="str">
        <x:v>復興五常街口(西南側)</x:v>
      </x:c>
      <x:c r="D921" s="18" t="n">
        <x:v>26</x:v>
      </x:c>
      <x:c r="E921" s="18" t="n">
        <x:v>26</x:v>
      </x:c>
      <x:c r="F921" s="18" t="n">
        <x:v>432</x:v>
      </x:c>
      <x:c r="G921" s="18" t="n">
        <x:v>26</x:v>
      </x:c>
      <x:c r="H921" s="18" t="n">
        <x:v>59</x:v>
      </x:c>
      <x:c r="I921" s="18" t="n">
        <x:v>26</x:v>
      </x:c>
      <x:c r="J921" s="18" t="n">
        <x:v>101</x:v>
      </x:c>
      <x:c r="K921" s="18" t="n">
        <x:v>26</x:v>
      </x:c>
      <x:c r="L921" s="18" t="n">
        <x:v>31</x:v>
      </x:c>
      <x:c r="M921" s="18" t="n">
        <x:v>26</x:v>
      </x:c>
    </x:row>
    <x:row r="922">
      <x:c r="A922" s="22" t="str">
        <x:v>500107161</x:v>
      </x:c>
      <x:c r="B922" s="17" t="str">
        <x:v>中山區</x:v>
      </x:c>
      <x:c r="C922" s="17" t="str">
        <x:v>松江長安路口</x:v>
      </x:c>
      <x:c r="D922" s="18" t="n">
        <x:v>26</x:v>
      </x:c>
      <x:c r="E922" s="18" t="n">
        <x:v>26</x:v>
      </x:c>
      <x:c r="F922" s="18" t="n">
        <x:v>127</x:v>
      </x:c>
      <x:c r="G922" s="18" t="n">
        <x:v>26</x:v>
      </x:c>
      <x:c r="H922" s="18" t="n">
        <x:v>48</x:v>
      </x:c>
      <x:c r="I922" s="18" t="n">
        <x:v>26</x:v>
      </x:c>
      <x:c r="J922" s="18" t="n">
        <x:v>293</x:v>
      </x:c>
      <x:c r="K922" s="18" t="n">
        <x:v>26</x:v>
      </x:c>
      <x:c r="L922" s="18" t="n">
        <x:v>65</x:v>
      </x:c>
      <x:c r="M922" s="18" t="n">
        <x:v>26</x:v>
      </x:c>
    </x:row>
    <x:row r="923">
      <x:c r="A923" s="22" t="str">
        <x:v>500107162</x:v>
      </x:c>
      <x:c r="B923" s="17" t="str">
        <x:v>中山區</x:v>
      </x:c>
      <x:c r="C923" s="17" t="str">
        <x:v>長安國小</x:v>
      </x:c>
      <x:c r="D923" s="18" t="n">
        <x:v>26</x:v>
      </x:c>
      <x:c r="E923" s="18" t="n">
        <x:v>26</x:v>
      </x:c>
      <x:c r="F923" s="18" t="n">
        <x:v>324</x:v>
      </x:c>
      <x:c r="G923" s="18" t="n">
        <x:v>26</x:v>
      </x:c>
      <x:c r="H923" s="18" t="n">
        <x:v>51</x:v>
      </x:c>
      <x:c r="I923" s="18" t="n">
        <x:v>26</x:v>
      </x:c>
      <x:c r="J923" s="18" t="n">
        <x:v>208</x:v>
      </x:c>
      <x:c r="K923" s="18" t="n">
        <x:v>26</x:v>
      </x:c>
      <x:c r="L923" s="18" t="n">
        <x:v>24</x:v>
      </x:c>
      <x:c r="M923" s="18" t="n">
        <x:v>26</x:v>
      </x:c>
    </x:row>
    <x:row r="924">
      <x:c r="A924" s="22" t="str">
        <x:v>500107163</x:v>
      </x:c>
      <x:c r="B924" s="17" t="str">
        <x:v>中山區</x:v>
      </x:c>
      <x:c r="C924" s="17" t="str">
        <x:v>中山市場</x:v>
      </x:c>
      <x:c r="D924" s="18" t="n">
        <x:v>26</x:v>
      </x:c>
      <x:c r="E924" s="18" t="n">
        <x:v>26</x:v>
      </x:c>
      <x:c r="F924" s="18" t="n">
        <x:v>102</x:v>
      </x:c>
      <x:c r="G924" s="18" t="n">
        <x:v>26</x:v>
      </x:c>
      <x:c r="H924" s="18" t="n">
        <x:v>30</x:v>
      </x:c>
      <x:c r="I924" s="18" t="n">
        <x:v>26</x:v>
      </x:c>
      <x:c r="J924" s="18" t="n">
        <x:v>291</x:v>
      </x:c>
      <x:c r="K924" s="18" t="n">
        <x:v>26</x:v>
      </x:c>
      <x:c r="L924" s="18" t="n">
        <x:v>21</x:v>
      </x:c>
      <x:c r="M924" s="18" t="n">
        <x:v>26</x:v>
      </x:c>
    </x:row>
    <x:row r="925">
      <x:c r="A925" s="22" t="str">
        <x:v>500107164</x:v>
      </x:c>
      <x:c r="B925" s="17" t="str">
        <x:v>中山區</x:v>
      </x:c>
      <x:c r="C925" s="17" t="str">
        <x:v>捷運雙連站(1號出口)</x:v>
      </x:c>
      <x:c r="D925" s="18" t="n">
        <x:v>26</x:v>
      </x:c>
      <x:c r="E925" s="18" t="n">
        <x:v>26</x:v>
      </x:c>
      <x:c r="F925" s="18" t="n">
        <x:v>136</x:v>
      </x:c>
      <x:c r="G925" s="18" t="n">
        <x:v>26</x:v>
      </x:c>
      <x:c r="H925" s="18" t="n">
        <x:v>51</x:v>
      </x:c>
      <x:c r="I925" s="18" t="n">
        <x:v>26</x:v>
      </x:c>
      <x:c r="J925" s="18" t="n">
        <x:v>220</x:v>
      </x:c>
      <x:c r="K925" s="18" t="n">
        <x:v>26</x:v>
      </x:c>
      <x:c r="L925" s="18" t="n">
        <x:v>54</x:v>
      </x:c>
      <x:c r="M925" s="18" t="n">
        <x:v>26</x:v>
      </x:c>
    </x:row>
    <x:row r="926">
      <x:c r="A926" s="22" t="str">
        <x:v>500107165</x:v>
      </x:c>
      <x:c r="B926" s="17" t="str">
        <x:v>中山區</x:v>
      </x:c>
      <x:c r="C926" s="17" t="str">
        <x:v>吉林南京路口(西北側)</x:v>
      </x:c>
      <x:c r="D926" s="18" t="n">
        <x:v>26</x:v>
      </x:c>
      <x:c r="E926" s="18" t="n">
        <x:v>26</x:v>
      </x:c>
      <x:c r="F926" s="18" t="n">
        <x:v>126</x:v>
      </x:c>
      <x:c r="G926" s="18" t="n">
        <x:v>26</x:v>
      </x:c>
      <x:c r="H926" s="18" t="n">
        <x:v>9</x:v>
      </x:c>
      <x:c r="I926" s="18" t="n">
        <x:v>26</x:v>
      </x:c>
      <x:c r="J926" s="18" t="n">
        <x:v>364</x:v>
      </x:c>
      <x:c r="K926" s="18" t="n">
        <x:v>26</x:v>
      </x:c>
      <x:c r="L926" s="18" t="n">
        <x:v>48</x:v>
      </x:c>
      <x:c r="M926" s="18" t="n">
        <x:v>26</x:v>
      </x:c>
    </x:row>
    <x:row r="927">
      <x:c r="A927" s="22" t="str">
        <x:v>500107166</x:v>
      </x:c>
      <x:c r="B927" s="17" t="str">
        <x:v>中山區</x:v>
      </x:c>
      <x:c r="C927" s="17" t="str">
        <x:v>龍江路345巷</x:v>
      </x:c>
      <x:c r="D927" s="18" t="n">
        <x:v>26</x:v>
      </x:c>
      <x:c r="E927" s="18" t="n">
        <x:v>26</x:v>
      </x:c>
      <x:c r="F927" s="18" t="n">
        <x:v>755</x:v>
      </x:c>
      <x:c r="G927" s="18" t="n">
        <x:v>26</x:v>
      </x:c>
      <x:c r="H927" s="18" t="n">
        <x:v>57</x:v>
      </x:c>
      <x:c r="I927" s="18" t="n">
        <x:v>26</x:v>
      </x:c>
      <x:c r="J927" s="18" t="n">
        <x:v>145</x:v>
      </x:c>
      <x:c r="K927" s="18" t="n">
        <x:v>26</x:v>
      </x:c>
      <x:c r="L927" s="18" t="n">
        <x:v>18</x:v>
      </x:c>
      <x:c r="M927" s="18" t="n">
        <x:v>26</x:v>
      </x:c>
    </x:row>
    <x:row r="928">
      <x:c r="A928" s="22" t="str">
        <x:v>500107167</x:v>
      </x:c>
      <x:c r="B928" s="17" t="str">
        <x:v>中山區</x:v>
      </x:c>
      <x:c r="C928" s="17" t="str">
        <x:v>捷運劍南路站(3號出口)</x:v>
      </x:c>
      <x:c r="D928" s="18" t="n">
        <x:v>26</x:v>
      </x:c>
      <x:c r="E928" s="18" t="n">
        <x:v>26</x:v>
      </x:c>
      <x:c r="F928" s="18" t="n">
        <x:v>197</x:v>
      </x:c>
      <x:c r="G928" s="18" t="n">
        <x:v>26</x:v>
      </x:c>
      <x:c r="H928" s="18" t="n">
        <x:v>24</x:v>
      </x:c>
      <x:c r="I928" s="18" t="n">
        <x:v>26</x:v>
      </x:c>
      <x:c r="J928" s="18" t="n">
        <x:v>320</x:v>
      </x:c>
      <x:c r="K928" s="18" t="n">
        <x:v>26</x:v>
      </x:c>
      <x:c r="L928" s="18" t="n">
        <x:v>114</x:v>
      </x:c>
      <x:c r="M928" s="18" t="n">
        <x:v>26</x:v>
      </x:c>
    </x:row>
    <x:row r="929">
      <x:c r="A929" s="22" t="str">
        <x:v>500107168</x:v>
      </x:c>
      <x:c r="B929" s="17" t="str">
        <x:v>中山區</x:v>
      </x:c>
      <x:c r="C929" s="17" t="str">
        <x:v>一江南京東路口(西南側)</x:v>
      </x:c>
      <x:c r="D929" s="18" t="n">
        <x:v>26</x:v>
      </x:c>
      <x:c r="E929" s="18" t="n">
        <x:v>26</x:v>
      </x:c>
      <x:c r="F929" s="18" t="n">
        <x:v>197</x:v>
      </x:c>
      <x:c r="G929" s="18" t="n">
        <x:v>26</x:v>
      </x:c>
      <x:c r="H929" s="18" t="n">
        <x:v>10</x:v>
      </x:c>
      <x:c r="I929" s="18" t="n">
        <x:v>26</x:v>
      </x:c>
      <x:c r="J929" s="18" t="n">
        <x:v>132</x:v>
      </x:c>
      <x:c r="K929" s="18" t="n">
        <x:v>26</x:v>
      </x:c>
      <x:c r="L929" s="18" t="n">
        <x:v>44</x:v>
      </x:c>
      <x:c r="M929" s="18" t="n">
        <x:v>26</x:v>
      </x:c>
    </x:row>
    <x:row r="930">
      <x:c r="A930" s="22" t="str">
        <x:v>500107169</x:v>
      </x:c>
      <x:c r="B930" s="17" t="str">
        <x:v>中山區</x:v>
      </x:c>
      <x:c r="C930" s="17" t="str">
        <x:v>大直抽水站公車站</x:v>
      </x:c>
      <x:c r="D930" s="18" t="n">
        <x:v>26</x:v>
      </x:c>
      <x:c r="E930" s="18" t="n">
        <x:v>26</x:v>
      </x:c>
      <x:c r="F930" s="18" t="n">
        <x:v>320</x:v>
      </x:c>
      <x:c r="G930" s="18" t="n">
        <x:v>26</x:v>
      </x:c>
      <x:c r="H930" s="18" t="n">
        <x:v>22</x:v>
      </x:c>
      <x:c r="I930" s="18" t="n">
        <x:v>26</x:v>
      </x:c>
      <x:c r="J930" s="18" t="n">
        <x:v>340</x:v>
      </x:c>
      <x:c r="K930" s="18" t="n">
        <x:v>26</x:v>
      </x:c>
      <x:c r="L930" s="18" t="n">
        <x:v>26</x:v>
      </x:c>
      <x:c r="M930" s="18" t="n">
        <x:v>26</x:v>
      </x:c>
    </x:row>
    <x:row r="931">
      <x:c r="A931" s="22" t="str">
        <x:v>500107170</x:v>
      </x:c>
      <x:c r="B931" s="17" t="str">
        <x:v>中山區</x:v>
      </x:c>
      <x:c r="C931" s="17" t="str">
        <x:v>民權東路三段39巷口</x:v>
      </x:c>
      <x:c r="D931" s="18" t="n">
        <x:v>26</x:v>
      </x:c>
      <x:c r="E931" s="18" t="n">
        <x:v>26</x:v>
      </x:c>
      <x:c r="F931" s="18" t="n">
        <x:v>903</x:v>
      </x:c>
      <x:c r="G931" s="18" t="n">
        <x:v>26</x:v>
      </x:c>
      <x:c r="H931" s="18" t="n">
        <x:v>63</x:v>
      </x:c>
      <x:c r="I931" s="18" t="n">
        <x:v>26</x:v>
      </x:c>
      <x:c r="J931" s="18" t="n">
        <x:v>88</x:v>
      </x:c>
      <x:c r="K931" s="18" t="n">
        <x:v>26</x:v>
      </x:c>
      <x:c r="L931" s="18" t="n">
        <x:v>19</x:v>
      </x:c>
      <x:c r="M931" s="18" t="n">
        <x:v>26</x:v>
      </x:c>
    </x:row>
    <x:row r="932">
      <x:c r="A932" s="22" t="str">
        <x:v>500107171</x:v>
      </x:c>
      <x:c r="B932" s="17" t="str">
        <x:v>中山區</x:v>
      </x:c>
      <x:c r="C932" s="17" t="str">
        <x:v>臺北市立中山女高</x:v>
      </x:c>
      <x:c r="D932" s="18" t="n">
        <x:v>26</x:v>
      </x:c>
      <x:c r="E932" s="18" t="n">
        <x:v>26</x:v>
      </x:c>
      <x:c r="F932" s="18" t="n">
        <x:v>234</x:v>
      </x:c>
      <x:c r="G932" s="18" t="n">
        <x:v>26</x:v>
      </x:c>
      <x:c r="H932" s="18" t="n">
        <x:v>24</x:v>
      </x:c>
      <x:c r="I932" s="18" t="n">
        <x:v>26</x:v>
      </x:c>
      <x:c r="J932" s="18" t="n">
        <x:v>413</x:v>
      </x:c>
      <x:c r="K932" s="18" t="n">
        <x:v>26</x:v>
      </x:c>
      <x:c r="L932" s="18" t="n">
        <x:v>60</x:v>
      </x:c>
      <x:c r="M932" s="18" t="n">
        <x:v>26</x:v>
      </x:c>
    </x:row>
    <x:row r="933">
      <x:c r="A933" s="22" t="str">
        <x:v>500107172</x:v>
      </x:c>
      <x:c r="B933" s="17" t="str">
        <x:v>中山區</x:v>
      </x:c>
      <x:c r="C933" s="17" t="str">
        <x:v>朱昌公園</x:v>
      </x:c>
      <x:c r="D933" s="18" t="n">
        <x:v>26</x:v>
      </x:c>
      <x:c r="E933" s="18" t="n">
        <x:v>26</x:v>
      </x:c>
      <x:c r="F933" s="18" t="n">
        <x:v>616</x:v>
      </x:c>
      <x:c r="G933" s="18" t="n">
        <x:v>26</x:v>
      </x:c>
      <x:c r="H933" s="18" t="n">
        <x:v>49</x:v>
      </x:c>
      <x:c r="I933" s="18" t="n">
        <x:v>26</x:v>
      </x:c>
      <x:c r="J933" s="18" t="n">
        <x:v>91</x:v>
      </x:c>
      <x:c r="K933" s="18" t="n">
        <x:v>26</x:v>
      </x:c>
      <x:c r="L933" s="18" t="n">
        <x:v>23</x:v>
      </x:c>
      <x:c r="M933" s="18" t="n">
        <x:v>26</x:v>
      </x:c>
    </x:row>
    <x:row r="934">
      <x:c r="A934" s="22" t="str">
        <x:v>500107173</x:v>
      </x:c>
      <x:c r="B934" s="17" t="str">
        <x:v>中山區</x:v>
      </x:c>
      <x:c r="C934" s="17" t="str">
        <x:v>林森公園東北側</x:v>
      </x:c>
      <x:c r="D934" s="18" t="n">
        <x:v>26</x:v>
      </x:c>
      <x:c r="E934" s="18" t="n">
        <x:v>26</x:v>
      </x:c>
      <x:c r="F934" s="18" t="n">
        <x:v>293</x:v>
      </x:c>
      <x:c r="G934" s="18" t="n">
        <x:v>26</x:v>
      </x:c>
      <x:c r="H934" s="18" t="n">
        <x:v>52</x:v>
      </x:c>
      <x:c r="I934" s="18" t="n">
        <x:v>26</x:v>
      </x:c>
      <x:c r="J934" s="18" t="n">
        <x:v>172</x:v>
      </x:c>
      <x:c r="K934" s="18" t="n">
        <x:v>26</x:v>
      </x:c>
      <x:c r="L934" s="18" t="n">
        <x:v>43</x:v>
      </x:c>
      <x:c r="M934" s="18" t="n">
        <x:v>26</x:v>
      </x:c>
    </x:row>
    <x:row r="935">
      <x:c r="A935" s="22" t="str">
        <x:v>500107174</x:v>
      </x:c>
      <x:c r="B935" s="17" t="str">
        <x:v>中山區</x:v>
      </x:c>
      <x:c r="C935" s="17" t="str">
        <x:v>康樂公園西北側</x:v>
      </x:c>
      <x:c r="D935" s="18" t="n">
        <x:v>26</x:v>
      </x:c>
      <x:c r="E935" s="18" t="n">
        <x:v>26</x:v>
      </x:c>
      <x:c r="F935" s="18" t="n">
        <x:v>180</x:v>
      </x:c>
      <x:c r="G935" s="18" t="n">
        <x:v>26</x:v>
      </x:c>
      <x:c r="H935" s="18" t="n">
        <x:v>27</x:v>
      </x:c>
      <x:c r="I935" s="18" t="n">
        <x:v>26</x:v>
      </x:c>
      <x:c r="J935" s="18" t="n">
        <x:v>356</x:v>
      </x:c>
      <x:c r="K935" s="18" t="n">
        <x:v>26</x:v>
      </x:c>
      <x:c r="L935" s="18" t="n">
        <x:v>48</x:v>
      </x:c>
      <x:c r="M935" s="18" t="n">
        <x:v>26</x:v>
      </x:c>
    </x:row>
    <x:row r="936">
      <x:c r="A936" s="22" t="str">
        <x:v>500107175</x:v>
      </x:c>
      <x:c r="B936" s="17" t="str">
        <x:v>中山區</x:v>
      </x:c>
      <x:c r="C936" s="17" t="str">
        <x:v>中山北德惠街口</x:v>
      </x:c>
      <x:c r="D936" s="18" t="n">
        <x:v>26</x:v>
      </x:c>
      <x:c r="E936" s="18" t="n">
        <x:v>26</x:v>
      </x:c>
      <x:c r="F936" s="18" t="n">
        <x:v>175</x:v>
      </x:c>
      <x:c r="G936" s="18" t="n">
        <x:v>26</x:v>
      </x:c>
      <x:c r="H936" s="18" t="n">
        <x:v>56</x:v>
      </x:c>
      <x:c r="I936" s="18" t="n">
        <x:v>26</x:v>
      </x:c>
      <x:c r="J936" s="18" t="n">
        <x:v>545</x:v>
      </x:c>
      <x:c r="K936" s="18" t="n">
        <x:v>26</x:v>
      </x:c>
      <x:c r="L936" s="18" t="n">
        <x:v>35</x:v>
      </x:c>
      <x:c r="M936" s="18" t="n">
        <x:v>26</x:v>
      </x:c>
    </x:row>
    <x:row r="937">
      <x:c r="A937" s="22" t="str">
        <x:v>500107176</x:v>
      </x:c>
      <x:c r="B937" s="17" t="str">
        <x:v>中山區</x:v>
      </x:c>
      <x:c r="C937" s="17" t="str">
        <x:v>晴光公園</x:v>
      </x:c>
      <x:c r="D937" s="18" t="n">
        <x:v>26</x:v>
      </x:c>
      <x:c r="E937" s="18" t="n">
        <x:v>26</x:v>
      </x:c>
      <x:c r="F937" s="18" t="n">
        <x:v>204</x:v>
      </x:c>
      <x:c r="G937" s="18" t="n">
        <x:v>26</x:v>
      </x:c>
      <x:c r="H937" s="18" t="n">
        <x:v>97</x:v>
      </x:c>
      <x:c r="I937" s="18" t="n">
        <x:v>26</x:v>
      </x:c>
      <x:c r="J937" s="18" t="n">
        <x:v>170</x:v>
      </x:c>
      <x:c r="K937" s="18" t="n">
        <x:v>26</x:v>
      </x:c>
      <x:c r="L937" s="18" t="n">
        <x:v>52</x:v>
      </x:c>
      <x:c r="M937" s="18" t="n">
        <x:v>26</x:v>
      </x:c>
    </x:row>
    <x:row r="938">
      <x:c r="A938" s="22" t="str">
        <x:v>500107177</x:v>
      </x:c>
      <x:c r="B938" s="17" t="str">
        <x:v>中山區</x:v>
      </x:c>
      <x:c r="C938" s="17" t="str">
        <x:v>松江路25巷口</x:v>
      </x:c>
      <x:c r="D938" s="18" t="n">
        <x:v>26</x:v>
      </x:c>
      <x:c r="E938" s="18" t="n">
        <x:v>26</x:v>
      </x:c>
      <x:c r="F938" s="18" t="n">
        <x:v>172</x:v>
      </x:c>
      <x:c r="G938" s="18" t="n">
        <x:v>26</x:v>
      </x:c>
      <x:c r="H938" s="18" t="n">
        <x:v>24</x:v>
      </x:c>
      <x:c r="I938" s="18" t="n">
        <x:v>26</x:v>
      </x:c>
      <x:c r="J938" s="18" t="n">
        <x:v>414</x:v>
      </x:c>
      <x:c r="K938" s="18" t="n">
        <x:v>26</x:v>
      </x:c>
      <x:c r="L938" s="18" t="n">
        <x:v>59</x:v>
      </x:c>
      <x:c r="M938" s="18" t="n">
        <x:v>26</x:v>
      </x:c>
    </x:row>
    <x:row r="939">
      <x:c r="A939" s="22" t="str">
        <x:v>500107178</x:v>
      </x:c>
      <x:c r="B939" s="17" t="str">
        <x:v>中山區</x:v>
      </x:c>
      <x:c r="C939" s="17" t="str">
        <x:v>民生東合江街口</x:v>
      </x:c>
      <x:c r="D939" s="18" t="n">
        <x:v>26</x:v>
      </x:c>
      <x:c r="E939" s="18" t="n">
        <x:v>26</x:v>
      </x:c>
      <x:c r="F939" s="18" t="n">
        <x:v>262</x:v>
      </x:c>
      <x:c r="G939" s="18" t="n">
        <x:v>26</x:v>
      </x:c>
      <x:c r="H939" s="18" t="n">
        <x:v>64</x:v>
      </x:c>
      <x:c r="I939" s="18" t="n">
        <x:v>26</x:v>
      </x:c>
      <x:c r="J939" s="18" t="n">
        <x:v>245</x:v>
      </x:c>
      <x:c r="K939" s="18" t="n">
        <x:v>26</x:v>
      </x:c>
      <x:c r="L939" s="18" t="n">
        <x:v>56</x:v>
      </x:c>
      <x:c r="M939" s="18" t="n">
        <x:v>26</x:v>
      </x:c>
    </x:row>
    <x:row r="940">
      <x:c r="A940" s="22" t="str">
        <x:v>500107179</x:v>
      </x:c>
      <x:c r="B940" s="17" t="str">
        <x:v>中山區</x:v>
      </x:c>
      <x:c r="C940" s="17" t="str">
        <x:v>飛航服務總臺</x:v>
      </x:c>
      <x:c r="D940" s="18" t="n">
        <x:v>26</x:v>
      </x:c>
      <x:c r="E940" s="18" t="n">
        <x:v>26</x:v>
      </x:c>
      <x:c r="F940" s="18" t="n">
        <x:v>177</x:v>
      </x:c>
      <x:c r="G940" s="18" t="n">
        <x:v>26</x:v>
      </x:c>
      <x:c r="H940" s="18" t="n">
        <x:v>29</x:v>
      </x:c>
      <x:c r="I940" s="18" t="n">
        <x:v>26</x:v>
      </x:c>
      <x:c r="J940" s="18" t="n">
        <x:v>187</x:v>
      </x:c>
      <x:c r="K940" s="18" t="n">
        <x:v>26</x:v>
      </x:c>
      <x:c r="L940" s="18" t="n">
        <x:v>93</x:v>
      </x:c>
      <x:c r="M940" s="18" t="n">
        <x:v>26</x:v>
      </x:c>
    </x:row>
    <x:row r="941">
      <x:c r="A941" s="22" t="str">
        <x:v>500107180</x:v>
      </x:c>
      <x:c r="B941" s="17" t="str">
        <x:v>中山區</x:v>
      </x:c>
      <x:c r="C941" s="17" t="str">
        <x:v>內湖堤頂大道(西南側)</x:v>
      </x:c>
      <x:c r="D941" s="18" t="n">
        <x:v>26</x:v>
      </x:c>
      <x:c r="E941" s="18" t="n">
        <x:v>26</x:v>
      </x:c>
      <x:c r="F941" s="18" t="n">
        <x:v>232</x:v>
      </x:c>
      <x:c r="G941" s="18" t="n">
        <x:v>26</x:v>
      </x:c>
      <x:c r="H941" s="18" t="n">
        <x:v>21</x:v>
      </x:c>
      <x:c r="I941" s="18" t="n">
        <x:v>26</x:v>
      </x:c>
      <x:c r="J941" s="18" t="n">
        <x:v>350</x:v>
      </x:c>
      <x:c r="K941" s="18" t="n">
        <x:v>26</x:v>
      </x:c>
      <x:c r="L941" s="18" t="n">
        <x:v>42</x:v>
      </x:c>
      <x:c r="M941" s="18" t="n">
        <x:v>26</x:v>
      </x:c>
    </x:row>
    <x:row r="942">
      <x:c r="A942" s="22" t="str">
        <x:v>500107181</x:v>
      </x:c>
      <x:c r="B942" s="17" t="str">
        <x:v>中山區</x:v>
      </x:c>
      <x:c r="C942" s="17" t="str">
        <x:v>大直派出所</x:v>
      </x:c>
      <x:c r="D942" s="18" t="n">
        <x:v>26</x:v>
      </x:c>
      <x:c r="E942" s="18" t="n">
        <x:v>26</x:v>
      </x:c>
      <x:c r="F942" s="18" t="n">
        <x:v>138</x:v>
      </x:c>
      <x:c r="G942" s="18" t="n">
        <x:v>26</x:v>
      </x:c>
      <x:c r="H942" s="18" t="n">
        <x:v>35</x:v>
      </x:c>
      <x:c r="I942" s="18" t="n">
        <x:v>26</x:v>
      </x:c>
      <x:c r="J942" s="18" t="n">
        <x:v>544</x:v>
      </x:c>
      <x:c r="K942" s="18" t="n">
        <x:v>26</x:v>
      </x:c>
      <x:c r="L942" s="18" t="n">
        <x:v>110</x:v>
      </x:c>
      <x:c r="M942" s="18" t="n">
        <x:v>26</x:v>
      </x:c>
    </x:row>
    <x:row r="943">
      <x:c r="A943" s="22" t="str">
        <x:v>500107182</x:v>
      </x:c>
      <x:c r="B943" s="17" t="str">
        <x:v>中山區</x:v>
      </x:c>
      <x:c r="C943" s="17" t="str">
        <x:v>遼寧民生路口</x:v>
      </x:c>
      <x:c r="D943" s="18" t="n">
        <x:v>26</x:v>
      </x:c>
      <x:c r="E943" s="18" t="n">
        <x:v>26</x:v>
      </x:c>
      <x:c r="F943" s="18" t="n">
        <x:v>210</x:v>
      </x:c>
      <x:c r="G943" s="18" t="n">
        <x:v>26</x:v>
      </x:c>
      <x:c r="H943" s="18" t="n">
        <x:v>28</x:v>
      </x:c>
      <x:c r="I943" s="18" t="n">
        <x:v>26</x:v>
      </x:c>
      <x:c r="J943" s="18" t="n">
        <x:v>118</x:v>
      </x:c>
      <x:c r="K943" s="18" t="n">
        <x:v>26</x:v>
      </x:c>
      <x:c r="L943" s="18" t="n">
        <x:v>16</x:v>
      </x:c>
      <x:c r="M943" s="18" t="n">
        <x:v>26</x:v>
      </x:c>
    </x:row>
    <x:row r="944">
      <x:c r="A944" s="22" t="str">
        <x:v>500107183</x:v>
      </x:c>
      <x:c r="B944" s="17" t="str">
        <x:v>中山區</x:v>
      </x:c>
      <x:c r="C944" s="17" t="str">
        <x:v>松江路184巷口</x:v>
      </x:c>
      <x:c r="D944" s="18" t="n">
        <x:v>26</x:v>
      </x:c>
      <x:c r="E944" s="18" t="n">
        <x:v>26</x:v>
      </x:c>
      <x:c r="F944" s="18" t="n">
        <x:v>103</x:v>
      </x:c>
      <x:c r="G944" s="18" t="n">
        <x:v>26</x:v>
      </x:c>
      <x:c r="H944" s="18" t="n">
        <x:v>20</x:v>
      </x:c>
      <x:c r="I944" s="18" t="n">
        <x:v>26</x:v>
      </x:c>
      <x:c r="J944" s="18" t="n">
        <x:v>225</x:v>
      </x:c>
      <x:c r="K944" s="18" t="n">
        <x:v>26</x:v>
      </x:c>
      <x:c r="L944" s="18" t="n">
        <x:v>28</x:v>
      </x:c>
      <x:c r="M944" s="18" t="n">
        <x:v>26</x:v>
      </x:c>
    </x:row>
    <x:row r="945">
      <x:c r="A945" s="22" t="str">
        <x:v>500107184</x:v>
      </x:c>
      <x:c r="B945" s="17" t="str">
        <x:v>中山區</x:v>
      </x:c>
      <x:c r="C945" s="17" t="str">
        <x:v>民權東路三段60巷</x:v>
      </x:c>
      <x:c r="D945" s="18" t="n">
        <x:v>26</x:v>
      </x:c>
      <x:c r="E945" s="18" t="n">
        <x:v>26</x:v>
      </x:c>
      <x:c r="F945" s="18" t="n">
        <x:v>185</x:v>
      </x:c>
      <x:c r="G945" s="18" t="n">
        <x:v>26</x:v>
      </x:c>
      <x:c r="H945" s="18" t="n">
        <x:v>48</x:v>
      </x:c>
      <x:c r="I945" s="18" t="n">
        <x:v>26</x:v>
      </x:c>
      <x:c r="J945" s="18" t="n">
        <x:v>142</x:v>
      </x:c>
      <x:c r="K945" s="18" t="n">
        <x:v>26</x:v>
      </x:c>
      <x:c r="L945" s="18" t="n">
        <x:v>42</x:v>
      </x:c>
      <x:c r="M945" s="18" t="n">
        <x:v>26</x:v>
      </x:c>
    </x:row>
    <x:row r="946">
      <x:c r="A946" s="22" t="str">
        <x:v>500107185</x:v>
      </x:c>
      <x:c r="B946" s="17" t="str">
        <x:v>中山區</x:v>
      </x:c>
      <x:c r="C946" s="17" t="str">
        <x:v>長春路258巷2弄(北側)</x:v>
      </x:c>
      <x:c r="D946" s="18" t="n">
        <x:v>26</x:v>
      </x:c>
      <x:c r="E946" s="18" t="n">
        <x:v>26</x:v>
      </x:c>
      <x:c r="F946" s="18" t="n">
        <x:v>205</x:v>
      </x:c>
      <x:c r="G946" s="18" t="n">
        <x:v>26</x:v>
      </x:c>
      <x:c r="H946" s="18" t="n">
        <x:v>33</x:v>
      </x:c>
      <x:c r="I946" s="18" t="n">
        <x:v>26</x:v>
      </x:c>
      <x:c r="J946" s="18" t="n">
        <x:v>142</x:v>
      </x:c>
      <x:c r="K946" s="18" t="n">
        <x:v>26</x:v>
      </x:c>
      <x:c r="L946" s="18" t="n">
        <x:v>21</x:v>
      </x:c>
      <x:c r="M946" s="18" t="n">
        <x:v>26</x:v>
      </x:c>
    </x:row>
    <x:row r="947">
      <x:c r="A947" s="22" t="str">
        <x:v>500107186</x:v>
      </x:c>
      <x:c r="B947" s="17" t="str">
        <x:v>中山區</x:v>
      </x:c>
      <x:c r="C947" s="17" t="str">
        <x:v>中山北路二段96巷口</x:v>
      </x:c>
      <x:c r="D947" s="18" t="n">
        <x:v>26</x:v>
      </x:c>
      <x:c r="E947" s="18" t="n">
        <x:v>26</x:v>
      </x:c>
      <x:c r="F947" s="18" t="n">
        <x:v>145</x:v>
      </x:c>
      <x:c r="G947" s="18" t="n">
        <x:v>26</x:v>
      </x:c>
      <x:c r="H947" s="18" t="n">
        <x:v>20</x:v>
      </x:c>
      <x:c r="I947" s="18" t="n">
        <x:v>26</x:v>
      </x:c>
      <x:c r="J947" s="18" t="n">
        <x:v>396</x:v>
      </x:c>
      <x:c r="K947" s="18" t="n">
        <x:v>26</x:v>
      </x:c>
      <x:c r="L947" s="18" t="n">
        <x:v>48</x:v>
      </x:c>
      <x:c r="M947" s="18" t="n">
        <x:v>26</x:v>
      </x:c>
    </x:row>
    <x:row r="948">
      <x:c r="A948" s="22" t="str">
        <x:v>500107187</x:v>
      </x:c>
      <x:c r="B948" s="17" t="str">
        <x:v>中山區</x:v>
      </x:c>
      <x:c r="C948" s="17" t="str">
        <x:v>吉林路236巷口</x:v>
      </x:c>
      <x:c r="D948" s="18" t="n">
        <x:v>26</x:v>
      </x:c>
      <x:c r="E948" s="18" t="n">
        <x:v>26</x:v>
      </x:c>
      <x:c r="F948" s="18" t="n">
        <x:v>617</x:v>
      </x:c>
      <x:c r="G948" s="18" t="n">
        <x:v>26</x:v>
      </x:c>
      <x:c r="H948" s="18" t="n">
        <x:v>53</x:v>
      </x:c>
      <x:c r="I948" s="18" t="n">
        <x:v>26</x:v>
      </x:c>
      <x:c r="J948" s="18" t="n">
        <x:v>161</x:v>
      </x:c>
      <x:c r="K948" s="18" t="n">
        <x:v>26</x:v>
      </x:c>
      <x:c r="L948" s="18" t="n">
        <x:v>33</x:v>
      </x:c>
      <x:c r="M948" s="18" t="n">
        <x:v>26</x:v>
      </x:c>
    </x:row>
    <x:row r="949">
      <x:c r="A949" s="22" t="str">
        <x:v>500107188</x:v>
      </x:c>
      <x:c r="B949" s="17" t="str">
        <x:v>中山區</x:v>
      </x:c>
      <x:c r="C949" s="17" t="str">
        <x:v>上塔悠公園(明水路)</x:v>
      </x:c>
      <x:c r="D949" s="18" t="n">
        <x:v>26</x:v>
      </x:c>
      <x:c r="E949" s="18" t="n">
        <x:v>26</x:v>
      </x:c>
      <x:c r="F949" s="18" t="n">
        <x:v>329</x:v>
      </x:c>
      <x:c r="G949" s="18" t="n">
        <x:v>26</x:v>
      </x:c>
      <x:c r="H949" s="18" t="n">
        <x:v>78</x:v>
      </x:c>
      <x:c r="I949" s="18" t="n">
        <x:v>26</x:v>
      </x:c>
      <x:c r="J949" s="18" t="n">
        <x:v>185</x:v>
      </x:c>
      <x:c r="K949" s="18" t="n">
        <x:v>26</x:v>
      </x:c>
      <x:c r="L949" s="18" t="n">
        <x:v>88</x:v>
      </x:c>
      <x:c r="M949" s="18" t="n">
        <x:v>26</x:v>
      </x:c>
    </x:row>
    <x:row r="950">
      <x:c r="A950" s="22" t="str">
        <x:v>500107189</x:v>
      </x:c>
      <x:c r="B950" s="17" t="str">
        <x:v>中山區</x:v>
      </x:c>
      <x:c r="C950" s="17" t="str">
        <x:v>中山民生東路口(東南側)</x:v>
      </x:c>
      <x:c r="D950" s="18" t="n">
        <x:v>26</x:v>
      </x:c>
      <x:c r="E950" s="18" t="n">
        <x:v>26</x:v>
      </x:c>
      <x:c r="F950" s="18" t="n">
        <x:v>157</x:v>
      </x:c>
      <x:c r="G950" s="18" t="n">
        <x:v>26</x:v>
      </x:c>
      <x:c r="H950" s="18" t="n">
        <x:v>42</x:v>
      </x:c>
      <x:c r="I950" s="18" t="n">
        <x:v>26</x:v>
      </x:c>
      <x:c r="J950" s="18" t="n">
        <x:v>309</x:v>
      </x:c>
      <x:c r="K950" s="18" t="n">
        <x:v>26</x:v>
      </x:c>
      <x:c r="L950" s="18" t="n">
        <x:v>78</x:v>
      </x:c>
      <x:c r="M950" s="18" t="n">
        <x:v>26</x:v>
      </x:c>
    </x:row>
    <x:row r="951">
      <x:c r="A951" s="22" t="str">
        <x:v>500107190</x:v>
      </x:c>
      <x:c r="B951" s="17" t="str">
        <x:v>中山區</x:v>
      </x:c>
      <x:c r="C951" s="17" t="str">
        <x:v>中山北路二段26巷</x:v>
      </x:c>
      <x:c r="D951" s="18" t="n">
        <x:v>26</x:v>
      </x:c>
      <x:c r="E951" s="18" t="n">
        <x:v>26</x:v>
      </x:c>
      <x:c r="F951" s="18" t="n">
        <x:v>127</x:v>
      </x:c>
      <x:c r="G951" s="18" t="n">
        <x:v>26</x:v>
      </x:c>
      <x:c r="H951" s="18" t="n">
        <x:v>33</x:v>
      </x:c>
      <x:c r="I951" s="18" t="n">
        <x:v>26</x:v>
      </x:c>
      <x:c r="J951" s="18" t="n">
        <x:v>675</x:v>
      </x:c>
      <x:c r="K951" s="18" t="n">
        <x:v>26</x:v>
      </x:c>
      <x:c r="L951" s="18" t="n">
        <x:v>130</x:v>
      </x:c>
      <x:c r="M951" s="18" t="n">
        <x:v>26</x:v>
      </x:c>
    </x:row>
    <x:row r="952">
      <x:c r="A952" s="22" t="str">
        <x:v>500107191</x:v>
      </x:c>
      <x:c r="B952" s="17" t="str">
        <x:v>中山區</x:v>
      </x:c>
      <x:c r="C952" s="17" t="str">
        <x:v>八德路二段210巷口</x:v>
      </x:c>
      <x:c r="D952" s="18" t="n">
        <x:v>26</x:v>
      </x:c>
      <x:c r="E952" s="18" t="n">
        <x:v>26</x:v>
      </x:c>
      <x:c r="F952" s="18" t="n">
        <x:v>226</x:v>
      </x:c>
      <x:c r="G952" s="18" t="n">
        <x:v>26</x:v>
      </x:c>
      <x:c r="H952" s="18" t="n">
        <x:v>24</x:v>
      </x:c>
      <x:c r="I952" s="18" t="n">
        <x:v>26</x:v>
      </x:c>
      <x:c r="J952" s="18" t="n">
        <x:v>157</x:v>
      </x:c>
      <x:c r="K952" s="18" t="n">
        <x:v>26</x:v>
      </x:c>
      <x:c r="L952" s="18" t="n">
        <x:v>23</x:v>
      </x:c>
      <x:c r="M952" s="18" t="n">
        <x:v>26</x:v>
      </x:c>
    </x:row>
    <x:row r="953">
      <x:c r="A953" s="22" t="str">
        <x:v>500107192</x:v>
      </x:c>
      <x:c r="B953" s="17" t="str">
        <x:v>中山區</x:v>
      </x:c>
      <x:c r="C953" s="17" t="str">
        <x:v>長安林森路口公車站</x:v>
      </x:c>
      <x:c r="D953" s="18" t="n">
        <x:v>26</x:v>
      </x:c>
      <x:c r="E953" s="18" t="n">
        <x:v>26</x:v>
      </x:c>
      <x:c r="F953" s="18" t="n">
        <x:v>467</x:v>
      </x:c>
      <x:c r="G953" s="18" t="n">
        <x:v>26</x:v>
      </x:c>
      <x:c r="H953" s="18" t="n">
        <x:v>52</x:v>
      </x:c>
      <x:c r="I953" s="18" t="n">
        <x:v>26</x:v>
      </x:c>
      <x:c r="J953" s="18" t="n">
        <x:v>167</x:v>
      </x:c>
      <x:c r="K953" s="18" t="n">
        <x:v>26</x:v>
      </x:c>
      <x:c r="L953" s="18" t="n">
        <x:v>40</x:v>
      </x:c>
      <x:c r="M953" s="18" t="n">
        <x:v>26</x:v>
      </x:c>
    </x:row>
    <x:row r="954">
      <x:c r="A954" s="22" t="str">
        <x:v>500107193</x:v>
      </x:c>
      <x:c r="B954" s="17" t="str">
        <x:v>中山區</x:v>
      </x:c>
      <x:c r="C954" s="17" t="str">
        <x:v>市民大道二段67巷口</x:v>
      </x:c>
      <x:c r="D954" s="18" t="n">
        <x:v>26</x:v>
      </x:c>
      <x:c r="E954" s="18" t="n">
        <x:v>26</x:v>
      </x:c>
      <x:c r="F954" s="18" t="n">
        <x:v>366</x:v>
      </x:c>
      <x:c r="G954" s="18" t="n">
        <x:v>26</x:v>
      </x:c>
      <x:c r="H954" s="18" t="n">
        <x:v>57</x:v>
      </x:c>
      <x:c r="I954" s="18" t="n">
        <x:v>26</x:v>
      </x:c>
      <x:c r="J954" s="18" t="n">
        <x:v>116</x:v>
      </x:c>
      <x:c r="K954" s="18" t="n">
        <x:v>26</x:v>
      </x:c>
      <x:c r="L954" s="18" t="n">
        <x:v>16</x:v>
      </x:c>
      <x:c r="M954" s="18" t="n">
        <x:v>26</x:v>
      </x:c>
    </x:row>
    <x:row r="955">
      <x:c r="A955" s="22" t="str">
        <x:v>500107194</x:v>
      </x:c>
      <x:c r="B955" s="17" t="str">
        <x:v>中山區</x:v>
      </x:c>
      <x:c r="C955" s="17" t="str">
        <x:v>德惠雙城街口(西側)</x:v>
      </x:c>
      <x:c r="D955" s="18" t="n">
        <x:v>26</x:v>
      </x:c>
      <x:c r="E955" s="18" t="n">
        <x:v>26</x:v>
      </x:c>
      <x:c r="F955" s="18" t="n">
        <x:v>275</x:v>
      </x:c>
      <x:c r="G955" s="18" t="n">
        <x:v>26</x:v>
      </x:c>
      <x:c r="H955" s="18" t="n">
        <x:v>49</x:v>
      </x:c>
      <x:c r="I955" s="18" t="n">
        <x:v>26</x:v>
      </x:c>
      <x:c r="J955" s="18" t="n">
        <x:v>367</x:v>
      </x:c>
      <x:c r="K955" s="18" t="n">
        <x:v>26</x:v>
      </x:c>
      <x:c r="L955" s="18" t="n">
        <x:v>26</x:v>
      </x:c>
      <x:c r="M955" s="18" t="n">
        <x:v>26</x:v>
      </x:c>
    </x:row>
    <x:row r="956">
      <x:c r="A956" s="22" t="str">
        <x:v>500107195</x:v>
      </x:c>
      <x:c r="B956" s="17" t="str">
        <x:v>中山區</x:v>
      </x:c>
      <x:c r="C956" s="17" t="str">
        <x:v>北安路608巷明水路口</x:v>
      </x:c>
      <x:c r="D956" s="18" t="n">
        <x:v>26</x:v>
      </x:c>
      <x:c r="E956" s="18" t="n">
        <x:v>26</x:v>
      </x:c>
      <x:c r="F956" s="18" t="n">
        <x:v>244</x:v>
      </x:c>
      <x:c r="G956" s="18" t="n">
        <x:v>26</x:v>
      </x:c>
      <x:c r="H956" s="18" t="n">
        <x:v>48</x:v>
      </x:c>
      <x:c r="I956" s="18" t="n">
        <x:v>26</x:v>
      </x:c>
      <x:c r="J956" s="18" t="n">
        <x:v>353</x:v>
      </x:c>
      <x:c r="K956" s="18" t="n">
        <x:v>26</x:v>
      </x:c>
      <x:c r="L956" s="18" t="n">
        <x:v>77</x:v>
      </x:c>
      <x:c r="M956" s="18" t="n">
        <x:v>26</x:v>
      </x:c>
    </x:row>
    <x:row r="957">
      <x:c r="A957" s="22" t="str">
        <x:v>500107196</x:v>
      </x:c>
      <x:c r="B957" s="17" t="str">
        <x:v>中山區</x:v>
      </x:c>
      <x:c r="C957" s="17" t="str">
        <x:v>新生林森北路485巷口</x:v>
      </x:c>
      <x:c r="D957" s="18" t="n">
        <x:v>26</x:v>
      </x:c>
      <x:c r="E957" s="18" t="n">
        <x:v>26</x:v>
      </x:c>
      <x:c r="F957" s="18" t="n">
        <x:v>328</x:v>
      </x:c>
      <x:c r="G957" s="18" t="n">
        <x:v>26</x:v>
      </x:c>
      <x:c r="H957" s="18" t="n">
        <x:v>51</x:v>
      </x:c>
      <x:c r="I957" s="18" t="n">
        <x:v>26</x:v>
      </x:c>
      <x:c r="J957" s="18" t="n">
        <x:v>157</x:v>
      </x:c>
      <x:c r="K957" s="18" t="n">
        <x:v>26</x:v>
      </x:c>
      <x:c r="L957" s="18" t="n">
        <x:v>31</x:v>
      </x:c>
      <x:c r="M957" s="18" t="n">
        <x:v>26</x:v>
      </x:c>
    </x:row>
    <x:row r="958">
      <x:c r="A958" s="22" t="str">
        <x:v>500107197</x:v>
      </x:c>
      <x:c r="B958" s="17" t="str">
        <x:v>中山區</x:v>
      </x:c>
      <x:c r="C958" s="17" t="str">
        <x:v>新壽公園</x:v>
      </x:c>
      <x:c r="D958" s="18" t="n">
        <x:v>26</x:v>
      </x:c>
      <x:c r="E958" s="18" t="n">
        <x:v>26</x:v>
      </x:c>
      <x:c r="F958" s="18" t="n">
        <x:v>328</x:v>
      </x:c>
      <x:c r="G958" s="18" t="n">
        <x:v>26</x:v>
      </x:c>
      <x:c r="H958" s="18" t="n">
        <x:v>41</x:v>
      </x:c>
      <x:c r="I958" s="18" t="n">
        <x:v>26</x:v>
      </x:c>
      <x:c r="J958" s="18" t="n">
        <x:v>77</x:v>
      </x:c>
      <x:c r="K958" s="18" t="n">
        <x:v>26</x:v>
      </x:c>
      <x:c r="L958" s="18" t="n">
        <x:v>17</x:v>
      </x:c>
      <x:c r="M958" s="18" t="n">
        <x:v>26</x:v>
      </x:c>
    </x:row>
    <x:row r="959">
      <x:c r="A959" s="22" t="str">
        <x:v>500107198</x:v>
      </x:c>
      <x:c r="B959" s="17" t="str">
        <x:v>中山區</x:v>
      </x:c>
      <x:c r="C959" s="17" t="str">
        <x:v>復興北路430巷</x:v>
      </x:c>
      <x:c r="D959" s="18" t="n">
        <x:v>26</x:v>
      </x:c>
      <x:c r="E959" s="18" t="n">
        <x:v>26</x:v>
      </x:c>
      <x:c r="F959" s="18" t="n">
        <x:v>592</x:v>
      </x:c>
      <x:c r="G959" s="18" t="n">
        <x:v>26</x:v>
      </x:c>
      <x:c r="H959" s="18" t="n">
        <x:v>105</x:v>
      </x:c>
      <x:c r="I959" s="18" t="n">
        <x:v>26</x:v>
      </x:c>
      <x:c r="J959" s="18" t="n">
        <x:v>359</x:v>
      </x:c>
      <x:c r="K959" s="18" t="n">
        <x:v>26</x:v>
      </x:c>
      <x:c r="L959" s="18" t="n">
        <x:v>55</x:v>
      </x:c>
      <x:c r="M959" s="18" t="n">
        <x:v>26</x:v>
      </x:c>
    </x:row>
    <x:row r="960">
      <x:c r="A960" s="22" t="str">
        <x:v>500107199</x:v>
      </x:c>
      <x:c r="B960" s="17" t="str">
        <x:v>中山區</x:v>
      </x:c>
      <x:c r="C960" s="17" t="str">
        <x:v>林森錦州街口</x:v>
      </x:c>
      <x:c r="D960" s="18" t="n">
        <x:v>26</x:v>
      </x:c>
      <x:c r="E960" s="18" t="n">
        <x:v>26</x:v>
      </x:c>
      <x:c r="F960" s="18" t="n">
        <x:v>297</x:v>
      </x:c>
      <x:c r="G960" s="18" t="n">
        <x:v>26</x:v>
      </x:c>
      <x:c r="H960" s="18" t="n">
        <x:v>49</x:v>
      </x:c>
      <x:c r="I960" s="18" t="n">
        <x:v>26</x:v>
      </x:c>
      <x:c r="J960" s="18" t="n">
        <x:v>189</x:v>
      </x:c>
      <x:c r="K960" s="18" t="n">
        <x:v>26</x:v>
      </x:c>
      <x:c r="L960" s="18" t="n">
        <x:v>43</x:v>
      </x:c>
      <x:c r="M960" s="18" t="n">
        <x:v>26</x:v>
      </x:c>
    </x:row>
    <x:row r="961">
      <x:c r="A961" s="22" t="str">
        <x:v>500107200</x:v>
      </x:c>
      <x:c r="B961" s="17" t="str">
        <x:v>中山區</x:v>
      </x:c>
      <x:c r="C961" s="17" t="str">
        <x:v>臺北市立美術館(中山北路三段)</x:v>
      </x:c>
      <x:c r="D961" s="18" t="n">
        <x:v>26</x:v>
      </x:c>
      <x:c r="E961" s="18" t="n">
        <x:v>26</x:v>
      </x:c>
      <x:c r="F961" s="18" t="n">
        <x:v>209</x:v>
      </x:c>
      <x:c r="G961" s="18" t="n">
        <x:v>26</x:v>
      </x:c>
      <x:c r="H961" s="18" t="n">
        <x:v>23</x:v>
      </x:c>
      <x:c r="I961" s="18" t="n">
        <x:v>26</x:v>
      </x:c>
      <x:c r="J961" s="18" t="n">
        <x:v>605</x:v>
      </x:c>
      <x:c r="K961" s="18" t="n">
        <x:v>26</x:v>
      </x:c>
      <x:c r="L961" s="18" t="n">
        <x:v>33</x:v>
      </x:c>
      <x:c r="M961" s="18" t="n">
        <x:v>26</x:v>
      </x:c>
    </x:row>
    <x:row r="962">
      <x:c r="A962" s="22" t="str">
        <x:v>500107201</x:v>
      </x:c>
      <x:c r="B962" s="17" t="str">
        <x:v>中山區</x:v>
      </x:c>
      <x:c r="C962" s="17" t="str">
        <x:v>臺北市立美術館(新生北路三段)</x:v>
      </x:c>
      <x:c r="D962" s="18" t="n">
        <x:v>26</x:v>
      </x:c>
      <x:c r="E962" s="18" t="n">
        <x:v>26</x:v>
      </x:c>
      <x:c r="F962" s="18" t="n">
        <x:v>144</x:v>
      </x:c>
      <x:c r="G962" s="18" t="n">
        <x:v>26</x:v>
      </x:c>
      <x:c r="H962" s="18" t="n">
        <x:v>41</x:v>
      </x:c>
      <x:c r="I962" s="18" t="n">
        <x:v>26</x:v>
      </x:c>
      <x:c r="J962" s="18" t="n">
        <x:v>348</x:v>
      </x:c>
      <x:c r="K962" s="18" t="n">
        <x:v>26</x:v>
      </x:c>
      <x:c r="L962" s="18" t="n">
        <x:v>60</x:v>
      </x:c>
      <x:c r="M962" s="18" t="n">
        <x:v>26</x:v>
      </x:c>
    </x:row>
    <x:row r="963">
      <x:c r="A963" s="22" t="str">
        <x:v>500107202</x:v>
      </x:c>
      <x:c r="B963" s="17" t="str">
        <x:v>中山區</x:v>
      </x:c>
      <x:c r="C963" s="17" t="str">
        <x:v>南京新生路口(北側)</x:v>
      </x:c>
      <x:c r="D963" s="18" t="n">
        <x:v>26</x:v>
      </x:c>
      <x:c r="E963" s="18" t="n">
        <x:v>26</x:v>
      </x:c>
      <x:c r="F963" s="18" t="n">
        <x:v>0</x:v>
      </x:c>
      <x:c r="G963" s="18" t="n">
        <x:v>26</x:v>
      </x:c>
      <x:c r="H963" s="18" t="n">
        <x:v>0</x:v>
      </x:c>
      <x:c r="I963" s="18" t="n">
        <x:v>26</x:v>
      </x:c>
      <x:c r="J963" s="18" t="n">
        <x:v>0</x:v>
      </x:c>
      <x:c r="K963" s="18" t="n">
        <x:v>26</x:v>
      </x:c>
      <x:c r="L963" s="18" t="n">
        <x:v>0</x:v>
      </x:c>
      <x:c r="M963" s="18" t="n">
        <x:v>26</x:v>
      </x:c>
    </x:row>
    <x:row r="964">
      <x:c r="A964" s="22" t="str">
        <x:v>500107203</x:v>
      </x:c>
      <x:c r="B964" s="17" t="str">
        <x:v>中山區</x:v>
      </x:c>
      <x:c r="C964" s="17" t="str">
        <x:v>永安國小(北安路554巷)</x:v>
      </x:c>
      <x:c r="D964" s="18" t="n">
        <x:v>26</x:v>
      </x:c>
      <x:c r="E964" s="18" t="n">
        <x:v>26</x:v>
      </x:c>
      <x:c r="F964" s="18" t="n">
        <x:v>188</x:v>
      </x:c>
      <x:c r="G964" s="18" t="n">
        <x:v>26</x:v>
      </x:c>
      <x:c r="H964" s="18" t="n">
        <x:v>43</x:v>
      </x:c>
      <x:c r="I964" s="18" t="n">
        <x:v>26</x:v>
      </x:c>
      <x:c r="J964" s="18" t="n">
        <x:v>151</x:v>
      </x:c>
      <x:c r="K964" s="18" t="n">
        <x:v>26</x:v>
      </x:c>
      <x:c r="L964" s="18" t="n">
        <x:v>53</x:v>
      </x:c>
      <x:c r="M964" s="18" t="n">
        <x:v>26</x:v>
      </x:c>
    </x:row>
    <x:row r="965">
      <x:c r="A965" s="22" t="str">
        <x:v>500107204</x:v>
      </x:c>
      <x:c r="B965" s="17" t="str">
        <x:v>中山區</x:v>
      </x:c>
      <x:c r="C965" s="17" t="str">
        <x:v>敬業一路36巷口</x:v>
      </x:c>
      <x:c r="D965" s="18" t="n">
        <x:v>26</x:v>
      </x:c>
      <x:c r="E965" s="18" t="n">
        <x:v>26</x:v>
      </x:c>
      <x:c r="F965" s="18" t="n">
        <x:v>136</x:v>
      </x:c>
      <x:c r="G965" s="18" t="n">
        <x:v>26</x:v>
      </x:c>
      <x:c r="H965" s="18" t="n">
        <x:v>32</x:v>
      </x:c>
      <x:c r="I965" s="18" t="n">
        <x:v>26</x:v>
      </x:c>
      <x:c r="J965" s="18" t="n">
        <x:v>619</x:v>
      </x:c>
      <x:c r="K965" s="18" t="n">
        <x:v>26</x:v>
      </x:c>
      <x:c r="L965" s="18" t="n">
        <x:v>75</x:v>
      </x:c>
      <x:c r="M965" s="18" t="n">
        <x:v>26</x:v>
      </x:c>
    </x:row>
    <x:row r="966">
      <x:c r="A966" s="22" t="str">
        <x:v>500107205</x:v>
      </x:c>
      <x:c r="B966" s="17" t="str">
        <x:v>中山區</x:v>
      </x:c>
      <x:c r="C966" s="17" t="str">
        <x:v>經濟部能源署</x:v>
      </x:c>
      <x:c r="D966" s="18" t="n">
        <x:v>26</x:v>
      </x:c>
      <x:c r="E966" s="18" t="n">
        <x:v>26</x:v>
      </x:c>
      <x:c r="F966" s="18" t="n">
        <x:v>109</x:v>
      </x:c>
      <x:c r="G966" s="18" t="n">
        <x:v>26</x:v>
      </x:c>
      <x:c r="H966" s="18" t="n">
        <x:v>19</x:v>
      </x:c>
      <x:c r="I966" s="18" t="n">
        <x:v>26</x:v>
      </x:c>
      <x:c r="J966" s="18" t="n">
        <x:v>186</x:v>
      </x:c>
      <x:c r="K966" s="18" t="n">
        <x:v>26</x:v>
      </x:c>
      <x:c r="L966" s="18" t="n">
        <x:v>42</x:v>
      </x:c>
      <x:c r="M966" s="18" t="n">
        <x:v>26</x:v>
      </x:c>
    </x:row>
    <x:row r="967">
      <x:c r="A967" s="22" t="str">
        <x:v>500107206</x:v>
      </x:c>
      <x:c r="B967" s="17" t="str">
        <x:v>中山區</x:v>
      </x:c>
      <x:c r="C967" s="17" t="str">
        <x:v>松江路372巷口</x:v>
      </x:c>
      <x:c r="D967" s="18" t="n">
        <x:v>26</x:v>
      </x:c>
      <x:c r="E967" s="18" t="n">
        <x:v>26</x:v>
      </x:c>
      <x:c r="F967" s="18" t="n">
        <x:v>171</x:v>
      </x:c>
      <x:c r="G967" s="18" t="n">
        <x:v>26</x:v>
      </x:c>
      <x:c r="H967" s="18" t="n">
        <x:v>29</x:v>
      </x:c>
      <x:c r="I967" s="18" t="n">
        <x:v>26</x:v>
      </x:c>
      <x:c r="J967" s="18" t="n">
        <x:v>107</x:v>
      </x:c>
      <x:c r="K967" s="18" t="n">
        <x:v>26</x:v>
      </x:c>
      <x:c r="L967" s="18" t="n">
        <x:v>23</x:v>
      </x:c>
      <x:c r="M967" s="18" t="n">
        <x:v>26</x:v>
      </x:c>
    </x:row>
    <x:row r="968">
      <x:c r="A968" s="22" t="str">
        <x:v>500107207</x:v>
      </x:c>
      <x:c r="B968" s="17" t="str">
        <x:v>中山區</x:v>
      </x:c>
      <x:c r="C968" s="17" t="str">
        <x:v>龍江平面停車場</x:v>
      </x:c>
      <x:c r="D968" s="18" t="n">
        <x:v>26</x:v>
      </x:c>
      <x:c r="E968" s="18" t="n">
        <x:v>26</x:v>
      </x:c>
      <x:c r="F968" s="18" t="n">
        <x:v>141</x:v>
      </x:c>
      <x:c r="G968" s="18" t="n">
        <x:v>26</x:v>
      </x:c>
      <x:c r="H968" s="18" t="n">
        <x:v>18</x:v>
      </x:c>
      <x:c r="I968" s="18" t="n">
        <x:v>26</x:v>
      </x:c>
      <x:c r="J968" s="18" t="n">
        <x:v>103</x:v>
      </x:c>
      <x:c r="K968" s="18" t="n">
        <x:v>26</x:v>
      </x:c>
      <x:c r="L968" s="18" t="n">
        <x:v>27</x:v>
      </x:c>
      <x:c r="M968" s="18" t="n">
        <x:v>26</x:v>
      </x:c>
    </x:row>
    <x:row r="969">
      <x:c r="A969" s="22" t="str">
        <x:v>500107208</x:v>
      </x:c>
      <x:c r="B969" s="17" t="str">
        <x:v>中山區</x:v>
      </x:c>
      <x:c r="C969" s="17" t="str">
        <x:v>松江民族路口(西南側)</x:v>
      </x:c>
      <x:c r="D969" s="18" t="n">
        <x:v>26</x:v>
      </x:c>
      <x:c r="E969" s="18" t="n">
        <x:v>26</x:v>
      </x:c>
      <x:c r="F969" s="18" t="n">
        <x:v>189</x:v>
      </x:c>
      <x:c r="G969" s="18" t="n">
        <x:v>26</x:v>
      </x:c>
      <x:c r="H969" s="18" t="n">
        <x:v>28</x:v>
      </x:c>
      <x:c r="I969" s="18" t="n">
        <x:v>26</x:v>
      </x:c>
      <x:c r="J969" s="18" t="n">
        <x:v>90</x:v>
      </x:c>
      <x:c r="K969" s="18" t="n">
        <x:v>26</x:v>
      </x:c>
      <x:c r="L969" s="18" t="n">
        <x:v>24</x:v>
      </x:c>
      <x:c r="M969" s="18" t="n">
        <x:v>26</x:v>
      </x:c>
    </x:row>
    <x:row r="970">
      <x:c r="A970" s="22" t="str">
        <x:v>500107209</x:v>
      </x:c>
      <x:c r="B970" s="17" t="str">
        <x:v>中山區</x:v>
      </x:c>
      <x:c r="C970" s="17" t="str">
        <x:v>忠烈祠</x:v>
      </x:c>
      <x:c r="D970" s="18" t="n">
        <x:v>26</x:v>
      </x:c>
      <x:c r="E970" s="18" t="n">
        <x:v>26</x:v>
      </x:c>
      <x:c r="F970" s="18" t="n">
        <x:v>232</x:v>
      </x:c>
      <x:c r="G970" s="18" t="n">
        <x:v>26</x:v>
      </x:c>
      <x:c r="H970" s="18" t="n">
        <x:v>35</x:v>
      </x:c>
      <x:c r="I970" s="18" t="n">
        <x:v>26</x:v>
      </x:c>
      <x:c r="J970" s="18" t="n">
        <x:v>271</x:v>
      </x:c>
      <x:c r="K970" s="18" t="n">
        <x:v>26</x:v>
      </x:c>
      <x:c r="L970" s="18" t="n">
        <x:v>35</x:v>
      </x:c>
      <x:c r="M970" s="18" t="n">
        <x:v>26</x:v>
      </x:c>
    </x:row>
    <x:row r="971">
      <x:c r="A971" s="22" t="str">
        <x:v>500107210</x:v>
      </x:c>
      <x:c r="B971" s="17" t="str">
        <x:v>中山區</x:v>
      </x:c>
      <x:c r="C971" s="17" t="str">
        <x:v>圓山派出所</x:v>
      </x:c>
      <x:c r="D971" s="18" t="n">
        <x:v>26</x:v>
      </x:c>
      <x:c r="E971" s="18" t="n">
        <x:v>26</x:v>
      </x:c>
      <x:c r="F971" s="18" t="n">
        <x:v>176</x:v>
      </x:c>
      <x:c r="G971" s="18" t="n">
        <x:v>26</x:v>
      </x:c>
      <x:c r="H971" s="18" t="n">
        <x:v>36</x:v>
      </x:c>
      <x:c r="I971" s="18" t="n">
        <x:v>26</x:v>
      </x:c>
      <x:c r="J971" s="18" t="n">
        <x:v>294</x:v>
      </x:c>
      <x:c r="K971" s="18" t="n">
        <x:v>26</x:v>
      </x:c>
      <x:c r="L971" s="18" t="n">
        <x:v>53</x:v>
      </x:c>
      <x:c r="M971" s="18" t="n">
        <x:v>26</x:v>
      </x:c>
    </x:row>
    <x:row r="972">
      <x:c r="A972" s="22" t="str">
        <x:v>500107211</x:v>
      </x:c>
      <x:c r="B972" s="17" t="str">
        <x:v>中山區</x:v>
      </x:c>
      <x:c r="C972" s="17" t="str">
        <x:v>八德路二段174巷口</x:v>
      </x:c>
      <x:c r="D972" s="18" t="n">
        <x:v>26</x:v>
      </x:c>
      <x:c r="E972" s="18" t="n">
        <x:v>15</x:v>
      </x:c>
      <x:c r="F972" s="18" t="n">
        <x:v>0</x:v>
      </x:c>
      <x:c r="G972" s="18" t="n">
        <x:v>14</x:v>
      </x:c>
      <x:c r="H972" s="18" t="n">
        <x:v>0</x:v>
      </x:c>
      <x:c r="I972" s="18" t="n">
        <x:v>14</x:v>
      </x:c>
      <x:c r="J972" s="18" t="n">
        <x:v>0</x:v>
      </x:c>
      <x:c r="K972" s="18" t="n">
        <x:v>15</x:v>
      </x:c>
      <x:c r="L972" s="18" t="n">
        <x:v>0</x:v>
      </x:c>
      <x:c r="M972" s="18" t="n">
        <x:v>15</x:v>
      </x:c>
    </x:row>
    <x:row r="973">
      <x:c r="A973" s="22" t="str">
        <x:v>500107212</x:v>
      </x:c>
      <x:c r="B973" s="17" t="str">
        <x:v>中山區</x:v>
      </x:c>
      <x:c r="C973" s="17" t="str">
        <x:v>世青復興大廈</x:v>
      </x:c>
      <x:c r="D973" s="18" t="n">
        <x:v>26</x:v>
      </x:c>
      <x:c r="E973" s="18" t="n">
        <x:v>6</x:v>
      </x:c>
      <x:c r="F973" s="18" t="n">
        <x:v>9</x:v>
      </x:c>
      <x:c r="G973" s="18" t="n">
        <x:v>5</x:v>
      </x:c>
      <x:c r="H973" s="18" t="n">
        <x:v>4</x:v>
      </x:c>
      <x:c r="I973" s="18" t="n">
        <x:v>5</x:v>
      </x:c>
      <x:c r="J973" s="18" t="n">
        <x:v>31</x:v>
      </x:c>
      <x:c r="K973" s="18" t="n">
        <x:v>6</x:v>
      </x:c>
      <x:c r="L973" s="18" t="n">
        <x:v>4</x:v>
      </x:c>
      <x:c r="M973" s="18" t="n">
        <x:v>6</x:v>
      </x:c>
    </x:row>
    <x:row r="974">
      <x:c r="A974" s="22" t="str">
        <x:v>500107213</x:v>
      </x:c>
      <x:c r="B974" s="17" t="str">
        <x:v>中山區</x:v>
      </x:c>
      <x:c r="C974" s="17" t="str">
        <x:v>岷華開發大樓</x:v>
      </x:c>
      <x:c r="D974" s="18" t="n">
        <x:v>26</x:v>
      </x:c>
      <x:c r="E974" s="18" t="n">
        <x:v>6</x:v>
      </x:c>
      <x:c r="F974" s="18" t="n">
        <x:v>13</x:v>
      </x:c>
      <x:c r="G974" s="18" t="n">
        <x:v>5</x:v>
      </x:c>
      <x:c r="H974" s="18" t="n">
        <x:v>3</x:v>
      </x:c>
      <x:c r="I974" s="18" t="n">
        <x:v>5</x:v>
      </x:c>
      <x:c r="J974" s="18" t="n">
        <x:v>26</x:v>
      </x:c>
      <x:c r="K974" s="18" t="n">
        <x:v>6</x:v>
      </x:c>
      <x:c r="L974" s="18" t="n">
        <x:v>2</x:v>
      </x:c>
      <x:c r="M974" s="18" t="n">
        <x:v>6</x:v>
      </x:c>
    </x:row>
    <x:row r="975">
      <x:c r="A975" s="22" t="str">
        <x:v>500108001</x:v>
      </x:c>
      <x:c r="B975" s="17" t="str">
        <x:v>內湖區</x:v>
      </x:c>
      <x:c r="C975" s="17" t="str">
        <x:v>文湖街21巷118弄口</x:v>
      </x:c>
      <x:c r="D975" s="18" t="n">
        <x:v>26</x:v>
      </x:c>
      <x:c r="E975" s="18" t="n">
        <x:v>26</x:v>
      </x:c>
      <x:c r="F975" s="18" t="n">
        <x:v>446</x:v>
      </x:c>
      <x:c r="G975" s="18" t="n">
        <x:v>26</x:v>
      </x:c>
      <x:c r="H975" s="18" t="n">
        <x:v>326</x:v>
      </x:c>
      <x:c r="I975" s="18" t="n">
        <x:v>26</x:v>
      </x:c>
      <x:c r="J975" s="18" t="n">
        <x:v>86</x:v>
      </x:c>
      <x:c r="K975" s="18" t="n">
        <x:v>26</x:v>
      </x:c>
      <x:c r="L975" s="18" t="n">
        <x:v>85</x:v>
      </x:c>
      <x:c r="M975" s="18" t="n">
        <x:v>26</x:v>
      </x:c>
    </x:row>
    <x:row r="976">
      <x:c r="A976" s="22" t="str">
        <x:v>500108002</x:v>
      </x:c>
      <x:c r="B976" s="17" t="str">
        <x:v>內湖區</x:v>
      </x:c>
      <x:c r="C976" s="17" t="str">
        <x:v>北勢湖環保公園</x:v>
      </x:c>
      <x:c r="D976" s="18" t="n">
        <x:v>26</x:v>
      </x:c>
      <x:c r="E976" s="18" t="n">
        <x:v>26</x:v>
      </x:c>
      <x:c r="F976" s="18" t="n">
        <x:v>172</x:v>
      </x:c>
      <x:c r="G976" s="18" t="n">
        <x:v>26</x:v>
      </x:c>
      <x:c r="H976" s="18" t="n">
        <x:v>17</x:v>
      </x:c>
      <x:c r="I976" s="18" t="n">
        <x:v>26</x:v>
      </x:c>
      <x:c r="J976" s="18" t="n">
        <x:v>399</x:v>
      </x:c>
      <x:c r="K976" s="18" t="n">
        <x:v>26</x:v>
      </x:c>
      <x:c r="L976" s="18" t="n">
        <x:v>26</x:v>
      </x:c>
      <x:c r="M976" s="18" t="n">
        <x:v>26</x:v>
      </x:c>
    </x:row>
    <x:row r="977">
      <x:c r="A977" s="22" t="str">
        <x:v>500108003</x:v>
      </x:c>
      <x:c r="B977" s="17" t="str">
        <x:v>內湖區</x:v>
      </x:c>
      <x:c r="C977" s="17" t="str">
        <x:v>洲子一號公園</x:v>
      </x:c>
      <x:c r="D977" s="18" t="n">
        <x:v>26</x:v>
      </x:c>
      <x:c r="E977" s="18" t="n">
        <x:v>26</x:v>
      </x:c>
      <x:c r="F977" s="18" t="n">
        <x:v>108</x:v>
      </x:c>
      <x:c r="G977" s="18" t="n">
        <x:v>26</x:v>
      </x:c>
      <x:c r="H977" s="18" t="n">
        <x:v>27</x:v>
      </x:c>
      <x:c r="I977" s="18" t="n">
        <x:v>26</x:v>
      </x:c>
      <x:c r="J977" s="18" t="n">
        <x:v>583</x:v>
      </x:c>
      <x:c r="K977" s="18" t="n">
        <x:v>26</x:v>
      </x:c>
      <x:c r="L977" s="18" t="n">
        <x:v>82</x:v>
      </x:c>
      <x:c r="M977" s="18" t="n">
        <x:v>26</x:v>
      </x:c>
    </x:row>
    <x:row r="978">
      <x:c r="A978" s="22" t="str">
        <x:v>500108004</x:v>
      </x:c>
      <x:c r="B978" s="17" t="str">
        <x:v>內湖區</x:v>
      </x:c>
      <x:c r="C978" s="17" t="str">
        <x:v>西康公園</x:v>
      </x:c>
      <x:c r="D978" s="18" t="n">
        <x:v>26</x:v>
      </x:c>
      <x:c r="E978" s="18" t="n">
        <x:v>26</x:v>
      </x:c>
      <x:c r="F978" s="18" t="n">
        <x:v>277</x:v>
      </x:c>
      <x:c r="G978" s="18" t="n">
        <x:v>26</x:v>
      </x:c>
      <x:c r="H978" s="18" t="n">
        <x:v>28</x:v>
      </x:c>
      <x:c r="I978" s="18" t="n">
        <x:v>26</x:v>
      </x:c>
      <x:c r="J978" s="18" t="n">
        <x:v>98</x:v>
      </x:c>
      <x:c r="K978" s="18" t="n">
        <x:v>26</x:v>
      </x:c>
      <x:c r="L978" s="18" t="n">
        <x:v>36</x:v>
      </x:c>
      <x:c r="M978" s="18" t="n">
        <x:v>26</x:v>
      </x:c>
    </x:row>
    <x:row r="979">
      <x:c r="A979" s="22" t="str">
        <x:v>500108005</x:v>
      </x:c>
      <x:c r="B979" s="17" t="str">
        <x:v>內湖區</x:v>
      </x:c>
      <x:c r="C979" s="17" t="str">
        <x:v>文湖國小</x:v>
      </x:c>
      <x:c r="D979" s="18" t="n">
        <x:v>26</x:v>
      </x:c>
      <x:c r="E979" s="18" t="n">
        <x:v>26</x:v>
      </x:c>
      <x:c r="F979" s="18" t="n">
        <x:v>718</x:v>
      </x:c>
      <x:c r="G979" s="18" t="n">
        <x:v>26</x:v>
      </x:c>
      <x:c r="H979" s="18" t="n">
        <x:v>39</x:v>
      </x:c>
      <x:c r="I979" s="18" t="n">
        <x:v>26</x:v>
      </x:c>
      <x:c r="J979" s="18" t="n">
        <x:v>177</x:v>
      </x:c>
      <x:c r="K979" s="18" t="n">
        <x:v>26</x:v>
      </x:c>
      <x:c r="L979" s="18" t="n">
        <x:v>35</x:v>
      </x:c>
      <x:c r="M979" s="18" t="n">
        <x:v>26</x:v>
      </x:c>
    </x:row>
    <x:row r="980">
      <x:c r="A980" s="22" t="str">
        <x:v>500108006</x:v>
      </x:c>
      <x:c r="B980" s="17" t="str">
        <x:v>內湖區</x:v>
      </x:c>
      <x:c r="C980" s="17" t="str">
        <x:v>文湖街81巷10號西側</x:v>
      </x:c>
      <x:c r="D980" s="18" t="n">
        <x:v>26</x:v>
      </x:c>
      <x:c r="E980" s="18" t="n">
        <x:v>26</x:v>
      </x:c>
      <x:c r="F980" s="18" t="n">
        <x:v>580</x:v>
      </x:c>
      <x:c r="G980" s="18" t="n">
        <x:v>26</x:v>
      </x:c>
      <x:c r="H980" s="18" t="n">
        <x:v>87</x:v>
      </x:c>
      <x:c r="I980" s="18" t="n">
        <x:v>26</x:v>
      </x:c>
      <x:c r="J980" s="18" t="n">
        <x:v>96</x:v>
      </x:c>
      <x:c r="K980" s="18" t="n">
        <x:v>26</x:v>
      </x:c>
      <x:c r="L980" s="18" t="n">
        <x:v>29</x:v>
      </x:c>
      <x:c r="M980" s="18" t="n">
        <x:v>26</x:v>
      </x:c>
    </x:row>
    <x:row r="981">
      <x:c r="A981" s="22" t="str">
        <x:v>500108007</x:v>
      </x:c>
      <x:c r="B981" s="17" t="str">
        <x:v>內湖區</x:v>
      </x:c>
      <x:c r="C981" s="17" t="str">
        <x:v>德明財經科技大學</x:v>
      </x:c>
      <x:c r="D981" s="18" t="n">
        <x:v>26</x:v>
      </x:c>
      <x:c r="E981" s="18" t="n">
        <x:v>26</x:v>
      </x:c>
      <x:c r="F981" s="18" t="n">
        <x:v>231</x:v>
      </x:c>
      <x:c r="G981" s="18" t="n">
        <x:v>26</x:v>
      </x:c>
      <x:c r="H981" s="18" t="n">
        <x:v>83</x:v>
      </x:c>
      <x:c r="I981" s="18" t="n">
        <x:v>26</x:v>
      </x:c>
      <x:c r="J981" s="18" t="n">
        <x:v>343</x:v>
      </x:c>
      <x:c r="K981" s="18" t="n">
        <x:v>26</x:v>
      </x:c>
      <x:c r="L981" s="18" t="n">
        <x:v>47</x:v>
      </x:c>
      <x:c r="M981" s="18" t="n">
        <x:v>26</x:v>
      </x:c>
    </x:row>
    <x:row r="982">
      <x:c r="A982" s="22" t="str">
        <x:v>500108008</x:v>
      </x:c>
      <x:c r="B982" s="17" t="str">
        <x:v>內湖區</x:v>
      </x:c>
      <x:c r="C982" s="17" t="str">
        <x:v>麗山國小</x:v>
      </x:c>
      <x:c r="D982" s="18" t="n">
        <x:v>26</x:v>
      </x:c>
      <x:c r="E982" s="18" t="n">
        <x:v>26</x:v>
      </x:c>
      <x:c r="F982" s="18" t="n">
        <x:v>1280</x:v>
      </x:c>
      <x:c r="G982" s="18" t="n">
        <x:v>26</x:v>
      </x:c>
      <x:c r="H982" s="18" t="n">
        <x:v>68</x:v>
      </x:c>
      <x:c r="I982" s="18" t="n">
        <x:v>26</x:v>
      </x:c>
      <x:c r="J982" s="18" t="n">
        <x:v>667</x:v>
      </x:c>
      <x:c r="K982" s="18" t="n">
        <x:v>26</x:v>
      </x:c>
      <x:c r="L982" s="18" t="n">
        <x:v>68</x:v>
      </x:c>
      <x:c r="M982" s="18" t="n">
        <x:v>26</x:v>
      </x:c>
    </x:row>
    <x:row r="983">
      <x:c r="A983" s="22" t="str">
        <x:v>500108009</x:v>
      </x:c>
      <x:c r="B983" s="17" t="str">
        <x:v>內湖區</x:v>
      </x:c>
      <x:c r="C983" s="17" t="str">
        <x:v>麗山高中</x:v>
      </x:c>
      <x:c r="D983" s="18" t="n">
        <x:v>26</x:v>
      </x:c>
      <x:c r="E983" s="18" t="n">
        <x:v>26</x:v>
      </x:c>
      <x:c r="F983" s="18" t="n">
        <x:v>208</x:v>
      </x:c>
      <x:c r="G983" s="18" t="n">
        <x:v>26</x:v>
      </x:c>
      <x:c r="H983" s="18" t="n">
        <x:v>63</x:v>
      </x:c>
      <x:c r="I983" s="18" t="n">
        <x:v>26</x:v>
      </x:c>
      <x:c r="J983" s="18" t="n">
        <x:v>627</x:v>
      </x:c>
      <x:c r="K983" s="18" t="n">
        <x:v>26</x:v>
      </x:c>
      <x:c r="L983" s="18" t="n">
        <x:v>68</x:v>
      </x:c>
      <x:c r="M983" s="18" t="n">
        <x:v>26</x:v>
      </x:c>
    </x:row>
    <x:row r="984">
      <x:c r="A984" s="22" t="str">
        <x:v>500108010</x:v>
      </x:c>
      <x:c r="B984" s="17" t="str">
        <x:v>內湖區</x:v>
      </x:c>
      <x:c r="C984" s="17" t="str">
        <x:v>港華五號公園</x:v>
      </x:c>
      <x:c r="D984" s="18" t="n">
        <x:v>26</x:v>
      </x:c>
      <x:c r="E984" s="18" t="n">
        <x:v>26</x:v>
      </x:c>
      <x:c r="F984" s="18" t="n">
        <x:v>274</x:v>
      </x:c>
      <x:c r="G984" s="18" t="n">
        <x:v>26</x:v>
      </x:c>
      <x:c r="H984" s="18" t="n">
        <x:v>52</x:v>
      </x:c>
      <x:c r="I984" s="18" t="n">
        <x:v>26</x:v>
      </x:c>
      <x:c r="J984" s="18" t="n">
        <x:v>77</x:v>
      </x:c>
      <x:c r="K984" s="18" t="n">
        <x:v>26</x:v>
      </x:c>
      <x:c r="L984" s="18" t="n">
        <x:v>18</x:v>
      </x:c>
      <x:c r="M984" s="18" t="n">
        <x:v>26</x:v>
      </x:c>
    </x:row>
    <x:row r="985">
      <x:c r="A985" s="22" t="str">
        <x:v>500108011</x:v>
      </x:c>
      <x:c r="B985" s="17" t="str">
        <x:v>內湖區</x:v>
      </x:c>
      <x:c r="C985" s="17" t="str">
        <x:v>大湖國小</x:v>
      </x:c>
      <x:c r="D985" s="18" t="n">
        <x:v>26</x:v>
      </x:c>
      <x:c r="E985" s="18" t="n">
        <x:v>26</x:v>
      </x:c>
      <x:c r="F985" s="18" t="n">
        <x:v>530</x:v>
      </x:c>
      <x:c r="G985" s="18" t="n">
        <x:v>26</x:v>
      </x:c>
      <x:c r="H985" s="18" t="n">
        <x:v>212</x:v>
      </x:c>
      <x:c r="I985" s="18" t="n">
        <x:v>26</x:v>
      </x:c>
      <x:c r="J985" s="18" t="n">
        <x:v>82</x:v>
      </x:c>
      <x:c r="K985" s="18" t="n">
        <x:v>26</x:v>
      </x:c>
      <x:c r="L985" s="18" t="n">
        <x:v>22</x:v>
      </x:c>
      <x:c r="M985" s="18" t="n">
        <x:v>26</x:v>
      </x:c>
    </x:row>
    <x:row r="986">
      <x:c r="A986" s="22" t="str">
        <x:v>500108012</x:v>
      </x:c>
      <x:c r="B986" s="17" t="str">
        <x:v>內湖區</x:v>
      </x:c>
      <x:c r="C986" s="17" t="str">
        <x:v>安湖三號公園</x:v>
      </x:c>
      <x:c r="D986" s="18" t="n">
        <x:v>26</x:v>
      </x:c>
      <x:c r="E986" s="18" t="n">
        <x:v>26</x:v>
      </x:c>
      <x:c r="F986" s="18" t="n">
        <x:v>153</x:v>
      </x:c>
      <x:c r="G986" s="18" t="n">
        <x:v>26</x:v>
      </x:c>
      <x:c r="H986" s="18" t="n">
        <x:v>40</x:v>
      </x:c>
      <x:c r="I986" s="18" t="n">
        <x:v>26</x:v>
      </x:c>
      <x:c r="J986" s="18" t="n">
        <x:v>79</x:v>
      </x:c>
      <x:c r="K986" s="18" t="n">
        <x:v>26</x:v>
      </x:c>
      <x:c r="L986" s="18" t="n">
        <x:v>37</x:v>
      </x:c>
      <x:c r="M986" s="18" t="n">
        <x:v>26</x:v>
      </x:c>
    </x:row>
    <x:row r="987">
      <x:c r="A987" s="22" t="str">
        <x:v>500108013</x:v>
      </x:c>
      <x:c r="B987" s="17" t="str">
        <x:v>內湖區</x:v>
      </x:c>
      <x:c r="C987" s="17" t="str">
        <x:v>東湖路113巷95弄</x:v>
      </x:c>
      <x:c r="D987" s="18" t="n">
        <x:v>26</x:v>
      </x:c>
      <x:c r="E987" s="18" t="n">
        <x:v>26</x:v>
      </x:c>
      <x:c r="F987" s="18" t="n">
        <x:v>215</x:v>
      </x:c>
      <x:c r="G987" s="18" t="n">
        <x:v>26</x:v>
      </x:c>
      <x:c r="H987" s="18" t="n">
        <x:v>71</x:v>
      </x:c>
      <x:c r="I987" s="18" t="n">
        <x:v>26</x:v>
      </x:c>
      <x:c r="J987" s="18" t="n">
        <x:v>70</x:v>
      </x:c>
      <x:c r="K987" s="18" t="n">
        <x:v>26</x:v>
      </x:c>
      <x:c r="L987" s="18" t="n">
        <x:v>35</x:v>
      </x:c>
      <x:c r="M987" s="18" t="n">
        <x:v>26</x:v>
      </x:c>
    </x:row>
    <x:row r="988">
      <x:c r="A988" s="22" t="str">
        <x:v>500108014</x:v>
      </x:c>
      <x:c r="B988" s="17" t="str">
        <x:v>內湖區</x:v>
      </x:c>
      <x:c r="C988" s="17" t="str">
        <x:v>瑞光計程車服務站</x:v>
      </x:c>
      <x:c r="D988" s="18" t="n">
        <x:v>26</x:v>
      </x:c>
      <x:c r="E988" s="18" t="n">
        <x:v>26</x:v>
      </x:c>
      <x:c r="F988" s="18" t="n">
        <x:v>116</x:v>
      </x:c>
      <x:c r="G988" s="18" t="n">
        <x:v>26</x:v>
      </x:c>
      <x:c r="H988" s="18" t="n">
        <x:v>28</x:v>
      </x:c>
      <x:c r="I988" s="18" t="n">
        <x:v>26</x:v>
      </x:c>
      <x:c r="J988" s="18" t="n">
        <x:v>931</x:v>
      </x:c>
      <x:c r="K988" s="18" t="n">
        <x:v>26</x:v>
      </x:c>
      <x:c r="L988" s="18" t="n">
        <x:v>111</x:v>
      </x:c>
      <x:c r="M988" s="18" t="n">
        <x:v>26</x:v>
      </x:c>
    </x:row>
    <x:row r="989">
      <x:c r="A989" s="22" t="str">
        <x:v>500108015</x:v>
      </x:c>
      <x:c r="B989" s="17" t="str">
        <x:v>內湖區</x:v>
      </x:c>
      <x:c r="C989" s="17" t="str">
        <x:v>文德三號公園(江南街71巷16弄)</x:v>
      </x:c>
      <x:c r="D989" s="18" t="n">
        <x:v>26</x:v>
      </x:c>
      <x:c r="E989" s="18" t="n">
        <x:v>26</x:v>
      </x:c>
      <x:c r="F989" s="18" t="n">
        <x:v>136</x:v>
      </x:c>
      <x:c r="G989" s="18" t="n">
        <x:v>26</x:v>
      </x:c>
      <x:c r="H989" s="18" t="n">
        <x:v>33</x:v>
      </x:c>
      <x:c r="I989" s="18" t="n">
        <x:v>26</x:v>
      </x:c>
      <x:c r="J989" s="18" t="n">
        <x:v>137</x:v>
      </x:c>
      <x:c r="K989" s="18" t="n">
        <x:v>26</x:v>
      </x:c>
      <x:c r="L989" s="18" t="n">
        <x:v>35</x:v>
      </x:c>
      <x:c r="M989" s="18" t="n">
        <x:v>26</x:v>
      </x:c>
    </x:row>
    <x:row r="990">
      <x:c r="A990" s="22" t="str">
        <x:v>500108016</x:v>
      </x:c>
      <x:c r="B990" s="17" t="str">
        <x:v>內湖區</x:v>
      </x:c>
      <x:c r="C990" s="17" t="str">
        <x:v>捷運大湖公園站(2號出口)</x:v>
      </x:c>
      <x:c r="D990" s="18" t="n">
        <x:v>26</x:v>
      </x:c>
      <x:c r="E990" s="18" t="n">
        <x:v>26</x:v>
      </x:c>
      <x:c r="F990" s="18" t="n">
        <x:v>214</x:v>
      </x:c>
      <x:c r="G990" s="18" t="n">
        <x:v>26</x:v>
      </x:c>
      <x:c r="H990" s="18" t="n">
        <x:v>119</x:v>
      </x:c>
      <x:c r="I990" s="18" t="n">
        <x:v>26</x:v>
      </x:c>
      <x:c r="J990" s="18" t="n">
        <x:v>253</x:v>
      </x:c>
      <x:c r="K990" s="18" t="n">
        <x:v>26</x:v>
      </x:c>
      <x:c r="L990" s="18" t="n">
        <x:v>207</x:v>
      </x:c>
      <x:c r="M990" s="18" t="n">
        <x:v>26</x:v>
      </x:c>
    </x:row>
    <x:row r="991">
      <x:c r="A991" s="22" t="str">
        <x:v>500108017</x:v>
      </x:c>
      <x:c r="B991" s="17" t="str">
        <x:v>內湖區</x:v>
      </x:c>
      <x:c r="C991" s="17" t="str">
        <x:v>成功路四段61巷口</x:v>
      </x:c>
      <x:c r="D991" s="18" t="n">
        <x:v>26</x:v>
      </x:c>
      <x:c r="E991" s="18" t="n">
        <x:v>26</x:v>
      </x:c>
      <x:c r="F991" s="18" t="n">
        <x:v>0</x:v>
      </x:c>
      <x:c r="G991" s="18" t="n">
        <x:v>26</x:v>
      </x:c>
      <x:c r="H991" s="18" t="n">
        <x:v>0</x:v>
      </x:c>
      <x:c r="I991" s="18" t="n">
        <x:v>26</x:v>
      </x:c>
      <x:c r="J991" s="18" t="n">
        <x:v>0</x:v>
      </x:c>
      <x:c r="K991" s="18" t="n">
        <x:v>26</x:v>
      </x:c>
      <x:c r="L991" s="18" t="n">
        <x:v>0</x:v>
      </x:c>
      <x:c r="M991" s="18" t="n">
        <x:v>26</x:v>
      </x:c>
    </x:row>
    <x:row r="992">
      <x:c r="A992" s="22" t="str">
        <x:v>500108018</x:v>
      </x:c>
      <x:c r="B992" s="17" t="str">
        <x:v>內湖區</x:v>
      </x:c>
      <x:c r="C992" s="17" t="str">
        <x:v>康寧星雲街口</x:v>
      </x:c>
      <x:c r="D992" s="18" t="n">
        <x:v>26</x:v>
      </x:c>
      <x:c r="E992" s="18" t="n">
        <x:v>26</x:v>
      </x:c>
      <x:c r="F992" s="18" t="n">
        <x:v>248</x:v>
      </x:c>
      <x:c r="G992" s="18" t="n">
        <x:v>26</x:v>
      </x:c>
      <x:c r="H992" s="18" t="n">
        <x:v>52</x:v>
      </x:c>
      <x:c r="I992" s="18" t="n">
        <x:v>26</x:v>
      </x:c>
      <x:c r="J992" s="18" t="n">
        <x:v>116</x:v>
      </x:c>
      <x:c r="K992" s="18" t="n">
        <x:v>26</x:v>
      </x:c>
      <x:c r="L992" s="18" t="n">
        <x:v>34</x:v>
      </x:c>
      <x:c r="M992" s="18" t="n">
        <x:v>26</x:v>
      </x:c>
    </x:row>
    <x:row r="993">
      <x:c r="A993" s="22" t="str">
        <x:v>500108019</x:v>
      </x:c>
      <x:c r="B993" s="17" t="str">
        <x:v>內湖區</x:v>
      </x:c>
      <x:c r="C993" s="17" t="str">
        <x:v>星雲街47號</x:v>
      </x:c>
      <x:c r="D993" s="18" t="n">
        <x:v>26</x:v>
      </x:c>
      <x:c r="E993" s="18" t="n">
        <x:v>26</x:v>
      </x:c>
      <x:c r="F993" s="18" t="n">
        <x:v>331</x:v>
      </x:c>
      <x:c r="G993" s="18" t="n">
        <x:v>26</x:v>
      </x:c>
      <x:c r="H993" s="18" t="n">
        <x:v>32</x:v>
      </x:c>
      <x:c r="I993" s="18" t="n">
        <x:v>26</x:v>
      </x:c>
      <x:c r="J993" s="18" t="n">
        <x:v>86</x:v>
      </x:c>
      <x:c r="K993" s="18" t="n">
        <x:v>26</x:v>
      </x:c>
      <x:c r="L993" s="18" t="n">
        <x:v>33</x:v>
      </x:c>
      <x:c r="M993" s="18" t="n">
        <x:v>26</x:v>
      </x:c>
    </x:row>
    <x:row r="994">
      <x:c r="A994" s="22" t="str">
        <x:v>500108020</x:v>
      </x:c>
      <x:c r="B994" s="17" t="str">
        <x:v>內湖區</x:v>
      </x:c>
      <x:c r="C994" s="17" t="str">
        <x:v>捷運西湖站(1號出口)</x:v>
      </x:c>
      <x:c r="D994" s="18" t="n">
        <x:v>26</x:v>
      </x:c>
      <x:c r="E994" s="18" t="n">
        <x:v>26</x:v>
      </x:c>
      <x:c r="F994" s="18" t="n">
        <x:v>230</x:v>
      </x:c>
      <x:c r="G994" s="18" t="n">
        <x:v>26</x:v>
      </x:c>
      <x:c r="H994" s="18" t="n">
        <x:v>44</x:v>
      </x:c>
      <x:c r="I994" s="18" t="n">
        <x:v>26</x:v>
      </x:c>
      <x:c r="J994" s="18" t="n">
        <x:v>220</x:v>
      </x:c>
      <x:c r="K994" s="18" t="n">
        <x:v>26</x:v>
      </x:c>
      <x:c r="L994" s="18" t="n">
        <x:v>35</x:v>
      </x:c>
      <x:c r="M994" s="18" t="n">
        <x:v>26</x:v>
      </x:c>
    </x:row>
    <x:row r="995">
      <x:c r="A995" s="22" t="str">
        <x:v>500108021</x:v>
      </x:c>
      <x:c r="B995" s="17" t="str">
        <x:v>內湖區</x:v>
      </x:c>
      <x:c r="C995" s="17" t="str">
        <x:v>捷運西湖站(2號出口)</x:v>
      </x:c>
      <x:c r="D995" s="18" t="n">
        <x:v>26</x:v>
      </x:c>
      <x:c r="E995" s="18" t="n">
        <x:v>26</x:v>
      </x:c>
      <x:c r="F995" s="18" t="n">
        <x:v>382</x:v>
      </x:c>
      <x:c r="G995" s="18" t="n">
        <x:v>26</x:v>
      </x:c>
      <x:c r="H995" s="18" t="n">
        <x:v>45</x:v>
      </x:c>
      <x:c r="I995" s="18" t="n">
        <x:v>26</x:v>
      </x:c>
      <x:c r="J995" s="18" t="n">
        <x:v>147</x:v>
      </x:c>
      <x:c r="K995" s="18" t="n">
        <x:v>26</x:v>
      </x:c>
      <x:c r="L995" s="18" t="n">
        <x:v>21</x:v>
      </x:c>
      <x:c r="M995" s="18" t="n">
        <x:v>26</x:v>
      </x:c>
    </x:row>
    <x:row r="996">
      <x:c r="A996" s="22" t="str">
        <x:v>500108022</x:v>
      </x:c>
      <x:c r="B996" s="17" t="str">
        <x:v>內湖區</x:v>
      </x:c>
      <x:c r="C996" s="17" t="str">
        <x:v>瑞光路583巷口</x:v>
      </x:c>
      <x:c r="D996" s="18" t="n">
        <x:v>26</x:v>
      </x:c>
      <x:c r="E996" s="18" t="n">
        <x:v>26</x:v>
      </x:c>
      <x:c r="F996" s="18" t="n">
        <x:v>96</x:v>
      </x:c>
      <x:c r="G996" s="18" t="n">
        <x:v>26</x:v>
      </x:c>
      <x:c r="H996" s="18" t="n">
        <x:v>29</x:v>
      </x:c>
      <x:c r="I996" s="18" t="n">
        <x:v>26</x:v>
      </x:c>
      <x:c r="J996" s="18" t="n">
        <x:v>973</x:v>
      </x:c>
      <x:c r="K996" s="18" t="n">
        <x:v>26</x:v>
      </x:c>
      <x:c r="L996" s="18" t="n">
        <x:v>72</x:v>
      </x:c>
      <x:c r="M996" s="18" t="n">
        <x:v>26</x:v>
      </x:c>
    </x:row>
    <x:row r="997">
      <x:c r="A997" s="22" t="str">
        <x:v>500108023</x:v>
      </x:c>
      <x:c r="B997" s="17" t="str">
        <x:v>內湖區</x:v>
      </x:c>
      <x:c r="C997" s="17" t="str">
        <x:v>港都公園</x:v>
      </x:c>
      <x:c r="D997" s="18" t="n">
        <x:v>26</x:v>
      </x:c>
      <x:c r="E997" s="18" t="n">
        <x:v>26</x:v>
      </x:c>
      <x:c r="F997" s="18" t="n">
        <x:v>343</x:v>
      </x:c>
      <x:c r="G997" s="18" t="n">
        <x:v>26</x:v>
      </x:c>
      <x:c r="H997" s="18" t="n">
        <x:v>44</x:v>
      </x:c>
      <x:c r="I997" s="18" t="n">
        <x:v>26</x:v>
      </x:c>
      <x:c r="J997" s="18" t="n">
        <x:v>78</x:v>
      </x:c>
      <x:c r="K997" s="18" t="n">
        <x:v>26</x:v>
      </x:c>
      <x:c r="L997" s="18" t="n">
        <x:v>30</x:v>
      </x:c>
      <x:c r="M997" s="18" t="n">
        <x:v>26</x:v>
      </x:c>
    </x:row>
    <x:row r="998">
      <x:c r="A998" s="22" t="str">
        <x:v>500108024</x:v>
      </x:c>
      <x:c r="B998" s="17" t="str">
        <x:v>內湖區</x:v>
      </x:c>
      <x:c r="C998" s="17" t="str">
        <x:v>環山路二段26巷口</x:v>
      </x:c>
      <x:c r="D998" s="18" t="n">
        <x:v>26</x:v>
      </x:c>
      <x:c r="E998" s="18" t="n">
        <x:v>26</x:v>
      </x:c>
      <x:c r="F998" s="18" t="n">
        <x:v>645</x:v>
      </x:c>
      <x:c r="G998" s="18" t="n">
        <x:v>26</x:v>
      </x:c>
      <x:c r="H998" s="18" t="n">
        <x:v>64</x:v>
      </x:c>
      <x:c r="I998" s="18" t="n">
        <x:v>26</x:v>
      </x:c>
      <x:c r="J998" s="18" t="n">
        <x:v>120</x:v>
      </x:c>
      <x:c r="K998" s="18" t="n">
        <x:v>26</x:v>
      </x:c>
      <x:c r="L998" s="18" t="n">
        <x:v>47</x:v>
      </x:c>
      <x:c r="M998" s="18" t="n">
        <x:v>26</x:v>
      </x:c>
    </x:row>
    <x:row r="999">
      <x:c r="A999" s="22" t="str">
        <x:v>500108025</x:v>
      </x:c>
      <x:c r="B999" s="17" t="str">
        <x:v>內湖區</x:v>
      </x:c>
      <x:c r="C999" s="17" t="str">
        <x:v>成功金龍路口</x:v>
      </x:c>
      <x:c r="D999" s="18" t="n">
        <x:v>26</x:v>
      </x:c>
      <x:c r="E999" s="18" t="n">
        <x:v>26</x:v>
      </x:c>
      <x:c r="F999" s="18" t="n">
        <x:v>169</x:v>
      </x:c>
      <x:c r="G999" s="18" t="n">
        <x:v>26</x:v>
      </x:c>
      <x:c r="H999" s="18" t="n">
        <x:v>41</x:v>
      </x:c>
      <x:c r="I999" s="18" t="n">
        <x:v>26</x:v>
      </x:c>
      <x:c r="J999" s="18" t="n">
        <x:v>475</x:v>
      </x:c>
      <x:c r="K999" s="18" t="n">
        <x:v>26</x:v>
      </x:c>
      <x:c r="L999" s="18" t="n">
        <x:v>68</x:v>
      </x:c>
      <x:c r="M999" s="18" t="n">
        <x:v>26</x:v>
      </x:c>
    </x:row>
    <x:row r="1000">
      <x:c r="A1000" s="22" t="str">
        <x:v>500108026</x:v>
      </x:c>
      <x:c r="B1000" s="17" t="str">
        <x:v>內湖區</x:v>
      </x:c>
      <x:c r="C1000" s="17" t="str">
        <x:v>碧山公園</x:v>
      </x:c>
      <x:c r="D1000" s="18" t="n">
        <x:v>26</x:v>
      </x:c>
      <x:c r="E1000" s="18" t="n">
        <x:v>26</x:v>
      </x:c>
      <x:c r="F1000" s="18" t="n">
        <x:v>746</x:v>
      </x:c>
      <x:c r="G1000" s="18" t="n">
        <x:v>26</x:v>
      </x:c>
      <x:c r="H1000" s="18" t="n">
        <x:v>203</x:v>
      </x:c>
      <x:c r="I1000" s="18" t="n">
        <x:v>26</x:v>
      </x:c>
      <x:c r="J1000" s="18" t="n">
        <x:v>78</x:v>
      </x:c>
      <x:c r="K1000" s="18" t="n">
        <x:v>26</x:v>
      </x:c>
      <x:c r="L1000" s="18" t="n">
        <x:v>49</x:v>
      </x:c>
      <x:c r="M1000" s="18" t="n">
        <x:v>26</x:v>
      </x:c>
    </x:row>
    <x:row r="1001">
      <x:c r="A1001" s="22" t="str">
        <x:v>500108027</x:v>
      </x:c>
      <x:c r="B1001" s="17" t="str">
        <x:v>內湖區</x:v>
      </x:c>
      <x:c r="C1001" s="17" t="str">
        <x:v>金瑞公園</x:v>
      </x:c>
      <x:c r="D1001" s="18" t="n">
        <x:v>26</x:v>
      </x:c>
      <x:c r="E1001" s="18" t="n">
        <x:v>26</x:v>
      </x:c>
      <x:c r="F1001" s="18" t="n">
        <x:v>1650</x:v>
      </x:c>
      <x:c r="G1001" s="18" t="n">
        <x:v>26</x:v>
      </x:c>
      <x:c r="H1001" s="18" t="n">
        <x:v>166</x:v>
      </x:c>
      <x:c r="I1001" s="18" t="n">
        <x:v>26</x:v>
      </x:c>
      <x:c r="J1001" s="18" t="n">
        <x:v>193</x:v>
      </x:c>
      <x:c r="K1001" s="18" t="n">
        <x:v>26</x:v>
      </x:c>
      <x:c r="L1001" s="18" t="n">
        <x:v>38</x:v>
      </x:c>
      <x:c r="M1001" s="18" t="n">
        <x:v>26</x:v>
      </x:c>
    </x:row>
    <x:row r="1002">
      <x:c r="A1002" s="22" t="str">
        <x:v>500108028</x:v>
      </x:c>
      <x:c r="B1002" s="17" t="str">
        <x:v>內湖區</x:v>
      </x:c>
      <x:c r="C1002" s="17" t="str">
        <x:v>捷運文德站(2號出口)</x:v>
      </x:c>
      <x:c r="D1002" s="18" t="n">
        <x:v>26</x:v>
      </x:c>
      <x:c r="E1002" s="18" t="n">
        <x:v>26</x:v>
      </x:c>
      <x:c r="F1002" s="18" t="n">
        <x:v>233</x:v>
      </x:c>
      <x:c r="G1002" s="18" t="n">
        <x:v>26</x:v>
      </x:c>
      <x:c r="H1002" s="18" t="n">
        <x:v>41</x:v>
      </x:c>
      <x:c r="I1002" s="18" t="n">
        <x:v>26</x:v>
      </x:c>
      <x:c r="J1002" s="18" t="n">
        <x:v>191</x:v>
      </x:c>
      <x:c r="K1002" s="18" t="n">
        <x:v>26</x:v>
      </x:c>
      <x:c r="L1002" s="18" t="n">
        <x:v>44</x:v>
      </x:c>
      <x:c r="M1002" s="18" t="n">
        <x:v>26</x:v>
      </x:c>
    </x:row>
    <x:row r="1003">
      <x:c r="A1003" s="22" t="str">
        <x:v>500108029</x:v>
      </x:c>
      <x:c r="B1003" s="17" t="str">
        <x:v>內湖區</x:v>
      </x:c>
      <x:c r="C1003" s="17" t="str">
        <x:v>陽光公園</x:v>
      </x:c>
      <x:c r="D1003" s="18" t="n">
        <x:v>26</x:v>
      </x:c>
      <x:c r="E1003" s="18" t="n">
        <x:v>26</x:v>
      </x:c>
      <x:c r="F1003" s="18" t="n">
        <x:v>143</x:v>
      </x:c>
      <x:c r="G1003" s="18" t="n">
        <x:v>26</x:v>
      </x:c>
      <x:c r="H1003" s="18" t="n">
        <x:v>68</x:v>
      </x:c>
      <x:c r="I1003" s="18" t="n">
        <x:v>26</x:v>
      </x:c>
      <x:c r="J1003" s="18" t="n">
        <x:v>88</x:v>
      </x:c>
      <x:c r="K1003" s="18" t="n">
        <x:v>26</x:v>
      </x:c>
      <x:c r="L1003" s="18" t="n">
        <x:v>26</x:v>
      </x:c>
      <x:c r="M1003" s="18" t="n">
        <x:v>26</x:v>
      </x:c>
    </x:row>
    <x:row r="1004">
      <x:c r="A1004" s="22" t="str">
        <x:v>500108030</x:v>
      </x:c>
      <x:c r="B1004" s="17" t="str">
        <x:v>內湖區</x:v>
      </x:c>
      <x:c r="C1004" s="17" t="str">
        <x:v>文德二號公園(南側)</x:v>
      </x:c>
      <x:c r="D1004" s="18" t="n">
        <x:v>26</x:v>
      </x:c>
      <x:c r="E1004" s="18" t="n">
        <x:v>26</x:v>
      </x:c>
      <x:c r="F1004" s="18" t="n">
        <x:v>253</x:v>
      </x:c>
      <x:c r="G1004" s="18" t="n">
        <x:v>26</x:v>
      </x:c>
      <x:c r="H1004" s="18" t="n">
        <x:v>73</x:v>
      </x:c>
      <x:c r="I1004" s="18" t="n">
        <x:v>26</x:v>
      </x:c>
      <x:c r="J1004" s="18" t="n">
        <x:v>51</x:v>
      </x:c>
      <x:c r="K1004" s="18" t="n">
        <x:v>26</x:v>
      </x:c>
      <x:c r="L1004" s="18" t="n">
        <x:v>19</x:v>
      </x:c>
      <x:c r="M1004" s="18" t="n">
        <x:v>26</x:v>
      </x:c>
    </x:row>
    <x:row r="1005">
      <x:c r="A1005" s="22" t="str">
        <x:v>500108031</x:v>
      </x:c>
      <x:c r="B1005" s="17" t="str">
        <x:v>內湖區</x:v>
      </x:c>
      <x:c r="C1005" s="17" t="str">
        <x:v>文德二號公園(北側)</x:v>
      </x:c>
      <x:c r="D1005" s="18" t="n">
        <x:v>26</x:v>
      </x:c>
      <x:c r="E1005" s="18" t="n">
        <x:v>26</x:v>
      </x:c>
      <x:c r="F1005" s="18" t="n">
        <x:v>178</x:v>
      </x:c>
      <x:c r="G1005" s="18" t="n">
        <x:v>26</x:v>
      </x:c>
      <x:c r="H1005" s="18" t="n">
        <x:v>25</x:v>
      </x:c>
      <x:c r="I1005" s="18" t="n">
        <x:v>26</x:v>
      </x:c>
      <x:c r="J1005" s="18" t="n">
        <x:v>100</x:v>
      </x:c>
      <x:c r="K1005" s="18" t="n">
        <x:v>26</x:v>
      </x:c>
      <x:c r="L1005" s="18" t="n">
        <x:v>54</x:v>
      </x:c>
      <x:c r="M1005" s="18" t="n">
        <x:v>26</x:v>
      </x:c>
    </x:row>
    <x:row r="1006">
      <x:c r="A1006" s="22" t="str">
        <x:v>500108032</x:v>
      </x:c>
      <x:c r="B1006" s="17" t="str">
        <x:v>內湖區</x:v>
      </x:c>
      <x:c r="C1006" s="17" t="str">
        <x:v>瑞陽公園</x:v>
      </x:c>
      <x:c r="D1006" s="18" t="n">
        <x:v>26</x:v>
      </x:c>
      <x:c r="E1006" s="18" t="n">
        <x:v>26</x:v>
      </x:c>
      <x:c r="F1006" s="18" t="n">
        <x:v>167</x:v>
      </x:c>
      <x:c r="G1006" s="18" t="n">
        <x:v>26</x:v>
      </x:c>
      <x:c r="H1006" s="18" t="n">
        <x:v>30</x:v>
      </x:c>
      <x:c r="I1006" s="18" t="n">
        <x:v>26</x:v>
      </x:c>
      <x:c r="J1006" s="18" t="n">
        <x:v>60</x:v>
      </x:c>
      <x:c r="K1006" s="18" t="n">
        <x:v>26</x:v>
      </x:c>
      <x:c r="L1006" s="18" t="n">
        <x:v>29</x:v>
      </x:c>
      <x:c r="M1006" s="18" t="n">
        <x:v>26</x:v>
      </x:c>
    </x:row>
    <x:row r="1007">
      <x:c r="A1007" s="22" t="str">
        <x:v>500108033</x:v>
      </x:c>
      <x:c r="B1007" s="17" t="str">
        <x:v>內湖區</x:v>
      </x:c>
      <x:c r="C1007" s="17" t="str">
        <x:v>湖光國宅</x:v>
      </x:c>
      <x:c r="D1007" s="18" t="n">
        <x:v>26</x:v>
      </x:c>
      <x:c r="E1007" s="18" t="n">
        <x:v>26</x:v>
      </x:c>
      <x:c r="F1007" s="18" t="n">
        <x:v>907</x:v>
      </x:c>
      <x:c r="G1007" s="18" t="n">
        <x:v>26</x:v>
      </x:c>
      <x:c r="H1007" s="18" t="n">
        <x:v>61</x:v>
      </x:c>
      <x:c r="I1007" s="18" t="n">
        <x:v>26</x:v>
      </x:c>
      <x:c r="J1007" s="18" t="n">
        <x:v>132</x:v>
      </x:c>
      <x:c r="K1007" s="18" t="n">
        <x:v>26</x:v>
      </x:c>
      <x:c r="L1007" s="18" t="n">
        <x:v>60</x:v>
      </x:c>
      <x:c r="M1007" s="18" t="n">
        <x:v>26</x:v>
      </x:c>
    </x:row>
    <x:row r="1008">
      <x:c r="A1008" s="22" t="str">
        <x:v>500108034</x:v>
      </x:c>
      <x:c r="B1008" s="17" t="str">
        <x:v>內湖區</x:v>
      </x:c>
      <x:c r="C1008" s="17" t="str">
        <x:v>潭美街213號</x:v>
      </x:c>
      <x:c r="D1008" s="18" t="n">
        <x:v>26</x:v>
      </x:c>
      <x:c r="E1008" s="18" t="n">
        <x:v>26</x:v>
      </x:c>
      <x:c r="F1008" s="18" t="n">
        <x:v>0</x:v>
      </x:c>
      <x:c r="G1008" s="18" t="n">
        <x:v>26</x:v>
      </x:c>
      <x:c r="H1008" s="18" t="n">
        <x:v>0</x:v>
      </x:c>
      <x:c r="I1008" s="18" t="n">
        <x:v>26</x:v>
      </x:c>
      <x:c r="J1008" s="18" t="n">
        <x:v>0</x:v>
      </x:c>
      <x:c r="K1008" s="18" t="n">
        <x:v>26</x:v>
      </x:c>
      <x:c r="L1008" s="18" t="n">
        <x:v>0</x:v>
      </x:c>
      <x:c r="M1008" s="18" t="n">
        <x:v>26</x:v>
      </x:c>
    </x:row>
    <x:row r="1009">
      <x:c r="A1009" s="22" t="str">
        <x:v>500108035</x:v>
      </x:c>
      <x:c r="B1009" s="17" t="str">
        <x:v>內湖區</x:v>
      </x:c>
      <x:c r="C1009" s="17" t="str">
        <x:v>南京東路六段180號</x:v>
      </x:c>
      <x:c r="D1009" s="18" t="n">
        <x:v>26</x:v>
      </x:c>
      <x:c r="E1009" s="18" t="n">
        <x:v>26</x:v>
      </x:c>
      <x:c r="F1009" s="18" t="n">
        <x:v>356</x:v>
      </x:c>
      <x:c r="G1009" s="18" t="n">
        <x:v>26</x:v>
      </x:c>
      <x:c r="H1009" s="18" t="n">
        <x:v>40</x:v>
      </x:c>
      <x:c r="I1009" s="18" t="n">
        <x:v>26</x:v>
      </x:c>
      <x:c r="J1009" s="18" t="n">
        <x:v>75</x:v>
      </x:c>
      <x:c r="K1009" s="18" t="n">
        <x:v>26</x:v>
      </x:c>
      <x:c r="L1009" s="18" t="n">
        <x:v>27</x:v>
      </x:c>
      <x:c r="M1009" s="18" t="n">
        <x:v>26</x:v>
      </x:c>
    </x:row>
    <x:row r="1010">
      <x:c r="A1010" s="22" t="str">
        <x:v>500108036</x:v>
      </x:c>
      <x:c r="B1010" s="17" t="str">
        <x:v>內湖區</x:v>
      </x:c>
      <x:c r="C1010" s="17" t="str">
        <x:v>潭美國小(南京舊宗路口)</x:v>
      </x:c>
      <x:c r="D1010" s="18" t="n">
        <x:v>26</x:v>
      </x:c>
      <x:c r="E1010" s="18" t="n">
        <x:v>26</x:v>
      </x:c>
      <x:c r="F1010" s="18" t="n">
        <x:v>476</x:v>
      </x:c>
      <x:c r="G1010" s="18" t="n">
        <x:v>26</x:v>
      </x:c>
      <x:c r="H1010" s="18" t="n">
        <x:v>60</x:v>
      </x:c>
      <x:c r="I1010" s="18" t="n">
        <x:v>26</x:v>
      </x:c>
      <x:c r="J1010" s="18" t="n">
        <x:v>385</x:v>
      </x:c>
      <x:c r="K1010" s="18" t="n">
        <x:v>26</x:v>
      </x:c>
      <x:c r="L1010" s="18" t="n">
        <x:v>114</x:v>
      </x:c>
      <x:c r="M1010" s="18" t="n">
        <x:v>26</x:v>
      </x:c>
    </x:row>
    <x:row r="1011">
      <x:c r="A1011" s="22" t="str">
        <x:v>500108037</x:v>
      </x:c>
      <x:c r="B1011" s="17" t="str">
        <x:v>內湖區</x:v>
      </x:c>
      <x:c r="C1011" s="17" t="str">
        <x:v>新明路343號</x:v>
      </x:c>
      <x:c r="D1011" s="18" t="n">
        <x:v>26</x:v>
      </x:c>
      <x:c r="E1011" s="18" t="n">
        <x:v>26</x:v>
      </x:c>
      <x:c r="F1011" s="18" t="n">
        <x:v>128</x:v>
      </x:c>
      <x:c r="G1011" s="18" t="n">
        <x:v>26</x:v>
      </x:c>
      <x:c r="H1011" s="18" t="n">
        <x:v>41</x:v>
      </x:c>
      <x:c r="I1011" s="18" t="n">
        <x:v>26</x:v>
      </x:c>
      <x:c r="J1011" s="18" t="n">
        <x:v>69</x:v>
      </x:c>
      <x:c r="K1011" s="18" t="n">
        <x:v>26</x:v>
      </x:c>
      <x:c r="L1011" s="18" t="n">
        <x:v>15</x:v>
      </x:c>
      <x:c r="M1011" s="18" t="n">
        <x:v>26</x:v>
      </x:c>
    </x:row>
    <x:row r="1012">
      <x:c r="A1012" s="22" t="str">
        <x:v>500108038</x:v>
      </x:c>
      <x:c r="B1012" s="17" t="str">
        <x:v>內湖區</x:v>
      </x:c>
      <x:c r="C1012" s="17" t="str">
        <x:v>成美長壽橋(潭美街)</x:v>
      </x:c>
      <x:c r="D1012" s="18" t="n">
        <x:v>26</x:v>
      </x:c>
      <x:c r="E1012" s="18" t="n">
        <x:v>26</x:v>
      </x:c>
      <x:c r="F1012" s="18" t="n">
        <x:v>463</x:v>
      </x:c>
      <x:c r="G1012" s="18" t="n">
        <x:v>26</x:v>
      </x:c>
      <x:c r="H1012" s="18" t="n">
        <x:v>71</x:v>
      </x:c>
      <x:c r="I1012" s="18" t="n">
        <x:v>26</x:v>
      </x:c>
      <x:c r="J1012" s="18" t="n">
        <x:v>88</x:v>
      </x:c>
      <x:c r="K1012" s="18" t="n">
        <x:v>26</x:v>
      </x:c>
      <x:c r="L1012" s="18" t="n">
        <x:v>56</x:v>
      </x:c>
      <x:c r="M1012" s="18" t="n">
        <x:v>26</x:v>
      </x:c>
    </x:row>
    <x:row r="1013">
      <x:c r="A1013" s="22" t="str">
        <x:v>500108039</x:v>
      </x:c>
      <x:c r="B1013" s="17" t="str">
        <x:v>內湖區</x:v>
      </x:c>
      <x:c r="C1013" s="17" t="str">
        <x:v>內湖行政中心</x:v>
      </x:c>
      <x:c r="D1013" s="18" t="n">
        <x:v>26</x:v>
      </x:c>
      <x:c r="E1013" s="18" t="n">
        <x:v>26</x:v>
      </x:c>
      <x:c r="F1013" s="18" t="n">
        <x:v>113</x:v>
      </x:c>
      <x:c r="G1013" s="18" t="n">
        <x:v>26</x:v>
      </x:c>
      <x:c r="H1013" s="18" t="n">
        <x:v>43</x:v>
      </x:c>
      <x:c r="I1013" s="18" t="n">
        <x:v>26</x:v>
      </x:c>
      <x:c r="J1013" s="18" t="n">
        <x:v>257</x:v>
      </x:c>
      <x:c r="K1013" s="18" t="n">
        <x:v>26</x:v>
      </x:c>
      <x:c r="L1013" s="18" t="n">
        <x:v>59</x:v>
      </x:c>
      <x:c r="M1013" s="18" t="n">
        <x:v>26</x:v>
      </x:c>
    </x:row>
    <x:row r="1014">
      <x:c r="A1014" s="22" t="str">
        <x:v>500108040</x:v>
      </x:c>
      <x:c r="B1014" s="17" t="str">
        <x:v>內湖區</x:v>
      </x:c>
      <x:c r="C1014" s="17" t="str">
        <x:v>樂康公園</x:v>
      </x:c>
      <x:c r="D1014" s="18" t="n">
        <x:v>26</x:v>
      </x:c>
      <x:c r="E1014" s="18" t="n">
        <x:v>26</x:v>
      </x:c>
      <x:c r="F1014" s="18" t="n">
        <x:v>220</x:v>
      </x:c>
      <x:c r="G1014" s="18" t="n">
        <x:v>26</x:v>
      </x:c>
      <x:c r="H1014" s="18" t="n">
        <x:v>60</x:v>
      </x:c>
      <x:c r="I1014" s="18" t="n">
        <x:v>26</x:v>
      </x:c>
      <x:c r="J1014" s="18" t="n">
        <x:v>116</x:v>
      </x:c>
      <x:c r="K1014" s="18" t="n">
        <x:v>26</x:v>
      </x:c>
      <x:c r="L1014" s="18" t="n">
        <x:v>49</x:v>
      </x:c>
      <x:c r="M1014" s="18" t="n">
        <x:v>26</x:v>
      </x:c>
    </x:row>
    <x:row r="1015">
      <x:c r="A1015" s="22" t="str">
        <x:v>500108041</x:v>
      </x:c>
      <x:c r="B1015" s="17" t="str">
        <x:v>內湖區</x:v>
      </x:c>
      <x:c r="C1015" s="17" t="str">
        <x:v>安康路32巷24弄</x:v>
      </x:c>
      <x:c r="D1015" s="18" t="n">
        <x:v>26</x:v>
      </x:c>
      <x:c r="E1015" s="18" t="n">
        <x:v>26</x:v>
      </x:c>
      <x:c r="F1015" s="18" t="n">
        <x:v>152</x:v>
      </x:c>
      <x:c r="G1015" s="18" t="n">
        <x:v>26</x:v>
      </x:c>
      <x:c r="H1015" s="18" t="n">
        <x:v>55</x:v>
      </x:c>
      <x:c r="I1015" s="18" t="n">
        <x:v>26</x:v>
      </x:c>
      <x:c r="J1015" s="18" t="n">
        <x:v>281</x:v>
      </x:c>
      <x:c r="K1015" s="18" t="n">
        <x:v>26</x:v>
      </x:c>
      <x:c r="L1015" s="18" t="n">
        <x:v>75</x:v>
      </x:c>
      <x:c r="M1015" s="18" t="n">
        <x:v>26</x:v>
      </x:c>
    </x:row>
    <x:row r="1016">
      <x:c r="A1016" s="22" t="str">
        <x:v>500108042</x:v>
      </x:c>
      <x:c r="B1016" s="17" t="str">
        <x:v>內湖區</x:v>
      </x:c>
      <x:c r="C1016" s="17" t="str">
        <x:v>下灣公園(民權東路六段206巷)</x:v>
      </x:c>
      <x:c r="D1016" s="18" t="n">
        <x:v>26</x:v>
      </x:c>
      <x:c r="E1016" s="18" t="n">
        <x:v>26</x:v>
      </x:c>
      <x:c r="F1016" s="18" t="n">
        <x:v>0</x:v>
      </x:c>
      <x:c r="G1016" s="18" t="n">
        <x:v>26</x:v>
      </x:c>
      <x:c r="H1016" s="18" t="n">
        <x:v>0</x:v>
      </x:c>
      <x:c r="I1016" s="18" t="n">
        <x:v>26</x:v>
      </x:c>
      <x:c r="J1016" s="18" t="n">
        <x:v>0</x:v>
      </x:c>
      <x:c r="K1016" s="18" t="n">
        <x:v>26</x:v>
      </x:c>
      <x:c r="L1016" s="18" t="n">
        <x:v>0</x:v>
      </x:c>
      <x:c r="M1016" s="18" t="n">
        <x:v>26</x:v>
      </x:c>
    </x:row>
    <x:row r="1017">
      <x:c r="A1017" s="22" t="str">
        <x:v>500108043</x:v>
      </x:c>
      <x:c r="B1017" s="17" t="str">
        <x:v>內湖區</x:v>
      </x:c>
      <x:c r="C1017" s="17" t="str">
        <x:v>明美公園</x:v>
      </x:c>
      <x:c r="D1017" s="18" t="n">
        <x:v>26</x:v>
      </x:c>
      <x:c r="E1017" s="18" t="n">
        <x:v>26</x:v>
      </x:c>
      <x:c r="F1017" s="18" t="n">
        <x:v>142</x:v>
      </x:c>
      <x:c r="G1017" s="18" t="n">
        <x:v>26</x:v>
      </x:c>
      <x:c r="H1017" s="18" t="n">
        <x:v>75</x:v>
      </x:c>
      <x:c r="I1017" s="18" t="n">
        <x:v>26</x:v>
      </x:c>
      <x:c r="J1017" s="18" t="n">
        <x:v>759</x:v>
      </x:c>
      <x:c r="K1017" s="18" t="n">
        <x:v>26</x:v>
      </x:c>
      <x:c r="L1017" s="18" t="n">
        <x:v>100</x:v>
      </x:c>
      <x:c r="M1017" s="18" t="n">
        <x:v>26</x:v>
      </x:c>
    </x:row>
    <x:row r="1018">
      <x:c r="A1018" s="22" t="str">
        <x:v>500108044</x:v>
      </x:c>
      <x:c r="B1018" s="17" t="str">
        <x:v>內湖區</x:v>
      </x:c>
      <x:c r="C1018" s="17" t="str">
        <x:v>南京東路六段368巷</x:v>
      </x:c>
      <x:c r="D1018" s="18" t="n">
        <x:v>26</x:v>
      </x:c>
      <x:c r="E1018" s="18" t="n">
        <x:v>26</x:v>
      </x:c>
      <x:c r="F1018" s="18" t="n">
        <x:v>327</x:v>
      </x:c>
      <x:c r="G1018" s="18" t="n">
        <x:v>26</x:v>
      </x:c>
      <x:c r="H1018" s="18" t="n">
        <x:v>84</x:v>
      </x:c>
      <x:c r="I1018" s="18" t="n">
        <x:v>26</x:v>
      </x:c>
      <x:c r="J1018" s="18" t="n">
        <x:v>1121</x:v>
      </x:c>
      <x:c r="K1018" s="18" t="n">
        <x:v>26</x:v>
      </x:c>
      <x:c r="L1018" s="18" t="n">
        <x:v>220</x:v>
      </x:c>
      <x:c r="M1018" s="18" t="n">
        <x:v>26</x:v>
      </x:c>
    </x:row>
    <x:row r="1019">
      <x:c r="A1019" s="22" t="str">
        <x:v>500108045</x:v>
      </x:c>
      <x:c r="B1019" s="17" t="str">
        <x:v>內湖區</x:v>
      </x:c>
      <x:c r="C1019" s="17" t="str">
        <x:v>新明成功路口</x:v>
      </x:c>
      <x:c r="D1019" s="18" t="n">
        <x:v>26</x:v>
      </x:c>
      <x:c r="E1019" s="18" t="n">
        <x:v>26</x:v>
      </x:c>
      <x:c r="F1019" s="18" t="n">
        <x:v>494</x:v>
      </x:c>
      <x:c r="G1019" s="18" t="n">
        <x:v>26</x:v>
      </x:c>
      <x:c r="H1019" s="18" t="n">
        <x:v>49</x:v>
      </x:c>
      <x:c r="I1019" s="18" t="n">
        <x:v>26</x:v>
      </x:c>
      <x:c r="J1019" s="18" t="n">
        <x:v>268</x:v>
      </x:c>
      <x:c r="K1019" s="18" t="n">
        <x:v>26</x:v>
      </x:c>
      <x:c r="L1019" s="18" t="n">
        <x:v>76</x:v>
      </x:c>
      <x:c r="M1019" s="18" t="n">
        <x:v>26</x:v>
      </x:c>
    </x:row>
    <x:row r="1020">
      <x:c r="A1020" s="22" t="str">
        <x:v>500108046</x:v>
      </x:c>
      <x:c r="B1020" s="17" t="str">
        <x:v>內湖區</x:v>
      </x:c>
      <x:c r="C1020" s="17" t="str">
        <x:v>民權瑞光路口</x:v>
      </x:c>
      <x:c r="D1020" s="18" t="n">
        <x:v>26</x:v>
      </x:c>
      <x:c r="E1020" s="18" t="n">
        <x:v>26</x:v>
      </x:c>
      <x:c r="F1020" s="18" t="n">
        <x:v>609</x:v>
      </x:c>
      <x:c r="G1020" s="18" t="n">
        <x:v>26</x:v>
      </x:c>
      <x:c r="H1020" s="18" t="n">
        <x:v>11</x:v>
      </x:c>
      <x:c r="I1020" s="18" t="n">
        <x:v>26</x:v>
      </x:c>
      <x:c r="J1020" s="18" t="n">
        <x:v>681</x:v>
      </x:c>
      <x:c r="K1020" s="18" t="n">
        <x:v>26</x:v>
      </x:c>
      <x:c r="L1020" s="18" t="n">
        <x:v>29</x:v>
      </x:c>
      <x:c r="M1020" s="18" t="n">
        <x:v>26</x:v>
      </x:c>
    </x:row>
    <x:row r="1021">
      <x:c r="A1021" s="22" t="str">
        <x:v>500108047</x:v>
      </x:c>
      <x:c r="B1021" s="17" t="str">
        <x:v>內湖區</x:v>
      </x:c>
      <x:c r="C1021" s="17" t="str">
        <x:v>瑞光公共住宅(瑞光路)</x:v>
      </x:c>
      <x:c r="D1021" s="18" t="n">
        <x:v>26</x:v>
      </x:c>
      <x:c r="E1021" s="18" t="n">
        <x:v>26</x:v>
      </x:c>
      <x:c r="F1021" s="18" t="n">
        <x:v>94</x:v>
      </x:c>
      <x:c r="G1021" s="18" t="n">
        <x:v>26</x:v>
      </x:c>
      <x:c r="H1021" s="18" t="n">
        <x:v>15</x:v>
      </x:c>
      <x:c r="I1021" s="18" t="n">
        <x:v>26</x:v>
      </x:c>
      <x:c r="J1021" s="18" t="n">
        <x:v>356</x:v>
      </x:c>
      <x:c r="K1021" s="18" t="n">
        <x:v>26</x:v>
      </x:c>
      <x:c r="L1021" s="18" t="n">
        <x:v>54</x:v>
      </x:c>
      <x:c r="M1021" s="18" t="n">
        <x:v>26</x:v>
      </x:c>
    </x:row>
    <x:row r="1022">
      <x:c r="A1022" s="22" t="str">
        <x:v>500108048</x:v>
      </x:c>
      <x:c r="B1022" s="17" t="str">
        <x:v>內湖區</x:v>
      </x:c>
      <x:c r="C1022" s="17" t="str">
        <x:v>民權東路六段15巷</x:v>
      </x:c>
      <x:c r="D1022" s="18" t="n">
        <x:v>26</x:v>
      </x:c>
      <x:c r="E1022" s="18" t="n">
        <x:v>26</x:v>
      </x:c>
      <x:c r="F1022" s="18" t="n">
        <x:v>132</x:v>
      </x:c>
      <x:c r="G1022" s="18" t="n">
        <x:v>26</x:v>
      </x:c>
      <x:c r="H1022" s="18" t="n">
        <x:v>40</x:v>
      </x:c>
      <x:c r="I1022" s="18" t="n">
        <x:v>26</x:v>
      </x:c>
      <x:c r="J1022" s="18" t="n">
        <x:v>387</x:v>
      </x:c>
      <x:c r="K1022" s="18" t="n">
        <x:v>26</x:v>
      </x:c>
      <x:c r="L1022" s="18" t="n">
        <x:v>82</x:v>
      </x:c>
      <x:c r="M1022" s="18" t="n">
        <x:v>26</x:v>
      </x:c>
    </x:row>
    <x:row r="1023">
      <x:c r="A1023" s="22" t="str">
        <x:v>500108049</x:v>
      </x:c>
      <x:c r="B1023" s="17" t="str">
        <x:v>內湖區</x:v>
      </x:c>
      <x:c r="C1023" s="17" t="str">
        <x:v>扶輪親恩公園</x:v>
      </x:c>
      <x:c r="D1023" s="18" t="n">
        <x:v>26</x:v>
      </x:c>
      <x:c r="E1023" s="18" t="n">
        <x:v>26</x:v>
      </x:c>
      <x:c r="F1023" s="18" t="n">
        <x:v>947</x:v>
      </x:c>
      <x:c r="G1023" s="18" t="n">
        <x:v>26</x:v>
      </x:c>
      <x:c r="H1023" s="18" t="n">
        <x:v>68</x:v>
      </x:c>
      <x:c r="I1023" s="18" t="n">
        <x:v>26</x:v>
      </x:c>
      <x:c r="J1023" s="18" t="n">
        <x:v>232</x:v>
      </x:c>
      <x:c r="K1023" s="18" t="n">
        <x:v>26</x:v>
      </x:c>
      <x:c r="L1023" s="18" t="n">
        <x:v>39</x:v>
      </x:c>
      <x:c r="M1023" s="18" t="n">
        <x:v>26</x:v>
      </x:c>
    </x:row>
    <x:row r="1024">
      <x:c r="A1024" s="22" t="str">
        <x:v>500108050</x:v>
      </x:c>
      <x:c r="B1024" s="17" t="str">
        <x:v>內湖區</x:v>
      </x:c>
      <x:c r="C1024" s="17" t="str">
        <x:v>新湖三民善街口</x:v>
      </x:c>
      <x:c r="D1024" s="18" t="n">
        <x:v>26</x:v>
      </x:c>
      <x:c r="E1024" s="18" t="n">
        <x:v>26</x:v>
      </x:c>
      <x:c r="F1024" s="18" t="n">
        <x:v>112</x:v>
      </x:c>
      <x:c r="G1024" s="18" t="n">
        <x:v>26</x:v>
      </x:c>
      <x:c r="H1024" s="18" t="n">
        <x:v>43</x:v>
      </x:c>
      <x:c r="I1024" s="18" t="n">
        <x:v>26</x:v>
      </x:c>
      <x:c r="J1024" s="18" t="n">
        <x:v>380</x:v>
      </x:c>
      <x:c r="K1024" s="18" t="n">
        <x:v>26</x:v>
      </x:c>
      <x:c r="L1024" s="18" t="n">
        <x:v>108</x:v>
      </x:c>
      <x:c r="M1024" s="18" t="n">
        <x:v>26</x:v>
      </x:c>
    </x:row>
    <x:row r="1025">
      <x:c r="A1025" s="22" t="str">
        <x:v>500108051</x:v>
      </x:c>
      <x:c r="B1025" s="17" t="str">
        <x:v>內湖區</x:v>
      </x:c>
      <x:c r="C1025" s="17" t="str">
        <x:v>內湖119號綠地</x:v>
      </x:c>
      <x:c r="D1025" s="18" t="n">
        <x:v>26</x:v>
      </x:c>
      <x:c r="E1025" s="18" t="n">
        <x:v>26</x:v>
      </x:c>
      <x:c r="F1025" s="18" t="n">
        <x:v>493</x:v>
      </x:c>
      <x:c r="G1025" s="18" t="n">
        <x:v>26</x:v>
      </x:c>
      <x:c r="H1025" s="18" t="n">
        <x:v>57</x:v>
      </x:c>
      <x:c r="I1025" s="18" t="n">
        <x:v>26</x:v>
      </x:c>
      <x:c r="J1025" s="18" t="n">
        <x:v>292</x:v>
      </x:c>
      <x:c r="K1025" s="18" t="n">
        <x:v>26</x:v>
      </x:c>
      <x:c r="L1025" s="18" t="n">
        <x:v>46</x:v>
      </x:c>
      <x:c r="M1025" s="18" t="n">
        <x:v>26</x:v>
      </x:c>
    </x:row>
    <x:row r="1026">
      <x:c r="A1026" s="22" t="str">
        <x:v>500108052</x:v>
      </x:c>
      <x:c r="B1026" s="17" t="str">
        <x:v>內湖區</x:v>
      </x:c>
      <x:c r="C1026" s="17" t="str">
        <x:v>行善公園</x:v>
      </x:c>
      <x:c r="D1026" s="18" t="n">
        <x:v>26</x:v>
      </x:c>
      <x:c r="E1026" s="18" t="n">
        <x:v>26</x:v>
      </x:c>
      <x:c r="F1026" s="18" t="n">
        <x:v>338</x:v>
      </x:c>
      <x:c r="G1026" s="18" t="n">
        <x:v>26</x:v>
      </x:c>
      <x:c r="H1026" s="18" t="n">
        <x:v>30</x:v>
      </x:c>
      <x:c r="I1026" s="18" t="n">
        <x:v>26</x:v>
      </x:c>
      <x:c r="J1026" s="18" t="n">
        <x:v>124</x:v>
      </x:c>
      <x:c r="K1026" s="18" t="n">
        <x:v>26</x:v>
      </x:c>
      <x:c r="L1026" s="18" t="n">
        <x:v>14</x:v>
      </x:c>
      <x:c r="M1026" s="18" t="n">
        <x:v>26</x:v>
      </x:c>
    </x:row>
    <x:row r="1027">
      <x:c r="A1027" s="22" t="str">
        <x:v>500108054</x:v>
      </x:c>
      <x:c r="B1027" s="17" t="str">
        <x:v>內湖區</x:v>
      </x:c>
      <x:c r="C1027" s="17" t="str">
        <x:v>三軍總醫院</x:v>
      </x:c>
      <x:c r="D1027" s="18" t="n">
        <x:v>26</x:v>
      </x:c>
      <x:c r="E1027" s="18" t="n">
        <x:v>26</x:v>
      </x:c>
      <x:c r="F1027" s="18" t="n">
        <x:v>277</x:v>
      </x:c>
      <x:c r="G1027" s="18" t="n">
        <x:v>26</x:v>
      </x:c>
      <x:c r="H1027" s="18" t="n">
        <x:v>128</x:v>
      </x:c>
      <x:c r="I1027" s="18" t="n">
        <x:v>26</x:v>
      </x:c>
      <x:c r="J1027" s="18" t="n">
        <x:v>678</x:v>
      </x:c>
      <x:c r="K1027" s="18" t="n">
        <x:v>26</x:v>
      </x:c>
      <x:c r="L1027" s="18" t="n">
        <x:v>153</x:v>
      </x:c>
      <x:c r="M1027" s="18" t="n">
        <x:v>26</x:v>
      </x:c>
    </x:row>
    <x:row r="1028">
      <x:c r="A1028" s="22" t="str">
        <x:v>500108055</x:v>
      </x:c>
      <x:c r="B1028" s="17" t="str">
        <x:v>內湖區</x:v>
      </x:c>
      <x:c r="C1028" s="17" t="str">
        <x:v>福華商場</x:v>
      </x:c>
      <x:c r="D1028" s="18" t="n">
        <x:v>26</x:v>
      </x:c>
      <x:c r="E1028" s="18" t="n">
        <x:v>26</x:v>
      </x:c>
      <x:c r="F1028" s="18" t="n">
        <x:v>348</x:v>
      </x:c>
      <x:c r="G1028" s="18" t="n">
        <x:v>26</x:v>
      </x:c>
      <x:c r="H1028" s="18" t="n">
        <x:v>64</x:v>
      </x:c>
      <x:c r="I1028" s="18" t="n">
        <x:v>26</x:v>
      </x:c>
      <x:c r="J1028" s="18" t="n">
        <x:v>233</x:v>
      </x:c>
      <x:c r="K1028" s="18" t="n">
        <x:v>26</x:v>
      </x:c>
      <x:c r="L1028" s="18" t="n">
        <x:v>96</x:v>
      </x:c>
      <x:c r="M1028" s="18" t="n">
        <x:v>26</x:v>
      </x:c>
    </x:row>
    <x:row r="1029">
      <x:c r="A1029" s="22" t="str">
        <x:v>500108056</x:v>
      </x:c>
      <x:c r="B1029" s="17" t="str">
        <x:v>內湖區</x:v>
      </x:c>
      <x:c r="C1029" s="17" t="str">
        <x:v>臺北市網球中心</x:v>
      </x:c>
      <x:c r="D1029" s="18" t="n">
        <x:v>26</x:v>
      </x:c>
      <x:c r="E1029" s="18" t="n">
        <x:v>26</x:v>
      </x:c>
      <x:c r="F1029" s="18" t="n">
        <x:v>321</x:v>
      </x:c>
      <x:c r="G1029" s="18" t="n">
        <x:v>26</x:v>
      </x:c>
      <x:c r="H1029" s="18" t="n">
        <x:v>64</x:v>
      </x:c>
      <x:c r="I1029" s="18" t="n">
        <x:v>26</x:v>
      </x:c>
      <x:c r="J1029" s="18" t="n">
        <x:v>550</x:v>
      </x:c>
      <x:c r="K1029" s="18" t="n">
        <x:v>26</x:v>
      </x:c>
      <x:c r="L1029" s="18" t="n">
        <x:v>87</x:v>
      </x:c>
      <x:c r="M1029" s="18" t="n">
        <x:v>26</x:v>
      </x:c>
    </x:row>
    <x:row r="1030">
      <x:c r="A1030" s="22" t="str">
        <x:v>500108057</x:v>
      </x:c>
      <x:c r="B1030" s="17" t="str">
        <x:v>內湖區</x:v>
      </x:c>
      <x:c r="C1030" s="17" t="str">
        <x:v>捷運葫洲站(1號出口)</x:v>
      </x:c>
      <x:c r="D1030" s="18" t="n">
        <x:v>26</x:v>
      </x:c>
      <x:c r="E1030" s="18" t="n">
        <x:v>26</x:v>
      </x:c>
      <x:c r="F1030" s="18" t="n">
        <x:v>201</x:v>
      </x:c>
      <x:c r="G1030" s="18" t="n">
        <x:v>26</x:v>
      </x:c>
      <x:c r="H1030" s="18" t="n">
        <x:v>31</x:v>
      </x:c>
      <x:c r="I1030" s="18" t="n">
        <x:v>26</x:v>
      </x:c>
      <x:c r="J1030" s="18" t="n">
        <x:v>564</x:v>
      </x:c>
      <x:c r="K1030" s="18" t="n">
        <x:v>26</x:v>
      </x:c>
      <x:c r="L1030" s="18" t="n">
        <x:v>158</x:v>
      </x:c>
      <x:c r="M1030" s="18" t="n">
        <x:v>26</x:v>
      </x:c>
    </x:row>
    <x:row r="1031">
      <x:c r="A1031" s="22" t="str">
        <x:v>500108058</x:v>
      </x:c>
      <x:c r="B1031" s="17" t="str">
        <x:v>內湖區</x:v>
      </x:c>
      <x:c r="C1031" s="17" t="str">
        <x:v>麗湖國小</x:v>
      </x:c>
      <x:c r="D1031" s="18" t="n">
        <x:v>26</x:v>
      </x:c>
      <x:c r="E1031" s="18" t="n">
        <x:v>26</x:v>
      </x:c>
      <x:c r="F1031" s="18" t="n">
        <x:v>291</x:v>
      </x:c>
      <x:c r="G1031" s="18" t="n">
        <x:v>26</x:v>
      </x:c>
      <x:c r="H1031" s="18" t="n">
        <x:v>39</x:v>
      </x:c>
      <x:c r="I1031" s="18" t="n">
        <x:v>26</x:v>
      </x:c>
      <x:c r="J1031" s="18" t="n">
        <x:v>167</x:v>
      </x:c>
      <x:c r="K1031" s="18" t="n">
        <x:v>26</x:v>
      </x:c>
      <x:c r="L1031" s="18" t="n">
        <x:v>30</x:v>
      </x:c>
      <x:c r="M1031" s="18" t="n">
        <x:v>26</x:v>
      </x:c>
    </x:row>
    <x:row r="1032">
      <x:c r="A1032" s="22" t="str">
        <x:v>500108059</x:v>
      </x:c>
      <x:c r="B1032" s="17" t="str">
        <x:v>內湖區</x:v>
      </x:c>
      <x:c r="C1032" s="17" t="str">
        <x:v>金湖路347巷125弄口</x:v>
      </x:c>
      <x:c r="D1032" s="18" t="n">
        <x:v>26</x:v>
      </x:c>
      <x:c r="E1032" s="18" t="n">
        <x:v>26</x:v>
      </x:c>
      <x:c r="F1032" s="18" t="n">
        <x:v>196</x:v>
      </x:c>
      <x:c r="G1032" s="18" t="n">
        <x:v>26</x:v>
      </x:c>
      <x:c r="H1032" s="18" t="n">
        <x:v>205</x:v>
      </x:c>
      <x:c r="I1032" s="18" t="n">
        <x:v>26</x:v>
      </x:c>
      <x:c r="J1032" s="18" t="n">
        <x:v>234</x:v>
      </x:c>
      <x:c r="K1032" s="18" t="n">
        <x:v>26</x:v>
      </x:c>
      <x:c r="L1032" s="18" t="n">
        <x:v>108</x:v>
      </x:c>
      <x:c r="M1032" s="18" t="n">
        <x:v>26</x:v>
      </x:c>
    </x:row>
    <x:row r="1033">
      <x:c r="A1033" s="22" t="str">
        <x:v>500108060</x:v>
      </x:c>
      <x:c r="B1033" s="17" t="str">
        <x:v>內湖區</x:v>
      </x:c>
      <x:c r="C1033" s="17" t="str">
        <x:v>碧湖公園</x:v>
      </x:c>
      <x:c r="D1033" s="18" t="n">
        <x:v>26</x:v>
      </x:c>
      <x:c r="E1033" s="18" t="n">
        <x:v>26</x:v>
      </x:c>
      <x:c r="F1033" s="18" t="n">
        <x:v>263</x:v>
      </x:c>
      <x:c r="G1033" s="18" t="n">
        <x:v>26</x:v>
      </x:c>
      <x:c r="H1033" s="18" t="n">
        <x:v>49</x:v>
      </x:c>
      <x:c r="I1033" s="18" t="n">
        <x:v>26</x:v>
      </x:c>
      <x:c r="J1033" s="18" t="n">
        <x:v>187</x:v>
      </x:c>
      <x:c r="K1033" s="18" t="n">
        <x:v>26</x:v>
      </x:c>
      <x:c r="L1033" s="18" t="n">
        <x:v>38</x:v>
      </x:c>
      <x:c r="M1033" s="18" t="n">
        <x:v>26</x:v>
      </x:c>
    </x:row>
    <x:row r="1034">
      <x:c r="A1034" s="22" t="str">
        <x:v>500108061</x:v>
      </x:c>
      <x:c r="B1034" s="17" t="str">
        <x:v>內湖區</x:v>
      </x:c>
      <x:c r="C1034" s="17" t="str">
        <x:v>碧湖公園(內湖路二段103巷)</x:v>
      </x:c>
      <x:c r="D1034" s="18" t="n">
        <x:v>26</x:v>
      </x:c>
      <x:c r="E1034" s="18" t="n">
        <x:v>26</x:v>
      </x:c>
      <x:c r="F1034" s="18" t="n">
        <x:v>356</x:v>
      </x:c>
      <x:c r="G1034" s="18" t="n">
        <x:v>26</x:v>
      </x:c>
      <x:c r="H1034" s="18" t="n">
        <x:v>91</x:v>
      </x:c>
      <x:c r="I1034" s="18" t="n">
        <x:v>26</x:v>
      </x:c>
      <x:c r="J1034" s="18" t="n">
        <x:v>79</x:v>
      </x:c>
      <x:c r="K1034" s="18" t="n">
        <x:v>26</x:v>
      </x:c>
      <x:c r="L1034" s="18" t="n">
        <x:v>32</x:v>
      </x:c>
      <x:c r="M1034" s="18" t="n">
        <x:v>26</x:v>
      </x:c>
    </x:row>
    <x:row r="1035">
      <x:c r="A1035" s="22" t="str">
        <x:v>500108062</x:v>
      </x:c>
      <x:c r="B1035" s="17" t="str">
        <x:v>內湖區</x:v>
      </x:c>
      <x:c r="C1035" s="17" t="str">
        <x:v>貿七社區</x:v>
      </x:c>
      <x:c r="D1035" s="18" t="n">
        <x:v>26</x:v>
      </x:c>
      <x:c r="E1035" s="18" t="n">
        <x:v>26</x:v>
      </x:c>
      <x:c r="F1035" s="18" t="n">
        <x:v>466</x:v>
      </x:c>
      <x:c r="G1035" s="18" t="n">
        <x:v>26</x:v>
      </x:c>
      <x:c r="H1035" s="18" t="n">
        <x:v>71</x:v>
      </x:c>
      <x:c r="I1035" s="18" t="n">
        <x:v>26</x:v>
      </x:c>
      <x:c r="J1035" s="18" t="n">
        <x:v>101</x:v>
      </x:c>
      <x:c r="K1035" s="18" t="n">
        <x:v>26</x:v>
      </x:c>
      <x:c r="L1035" s="18" t="n">
        <x:v>15</x:v>
      </x:c>
      <x:c r="M1035" s="18" t="n">
        <x:v>26</x:v>
      </x:c>
    </x:row>
    <x:row r="1036">
      <x:c r="A1036" s="22" t="str">
        <x:v>500108063</x:v>
      </x:c>
      <x:c r="B1036" s="17" t="str">
        <x:v>內湖區</x:v>
      </x:c>
      <x:c r="C1036" s="17" t="str">
        <x:v>內湖區農會</x:v>
      </x:c>
      <x:c r="D1036" s="18" t="n">
        <x:v>26</x:v>
      </x:c>
      <x:c r="E1036" s="18" t="n">
        <x:v>26</x:v>
      </x:c>
      <x:c r="F1036" s="18" t="n">
        <x:v>105</x:v>
      </x:c>
      <x:c r="G1036" s="18" t="n">
        <x:v>26</x:v>
      </x:c>
      <x:c r="H1036" s="18" t="n">
        <x:v>23</x:v>
      </x:c>
      <x:c r="I1036" s="18" t="n">
        <x:v>26</x:v>
      </x:c>
      <x:c r="J1036" s="18" t="n">
        <x:v>113</x:v>
      </x:c>
      <x:c r="K1036" s="18" t="n">
        <x:v>26</x:v>
      </x:c>
      <x:c r="L1036" s="18" t="n">
        <x:v>42</x:v>
      </x:c>
      <x:c r="M1036" s="18" t="n">
        <x:v>26</x:v>
      </x:c>
    </x:row>
    <x:row r="1037">
      <x:c r="A1037" s="22" t="str">
        <x:v>500108064</x:v>
      </x:c>
      <x:c r="B1037" s="17" t="str">
        <x:v>內湖區</x:v>
      </x:c>
      <x:c r="C1037" s="17" t="str">
        <x:v>捷運內湖站(2號出口)</x:v>
      </x:c>
      <x:c r="D1037" s="18" t="n">
        <x:v>26</x:v>
      </x:c>
      <x:c r="E1037" s="18" t="n">
        <x:v>26</x:v>
      </x:c>
      <x:c r="F1037" s="18" t="n">
        <x:v>124</x:v>
      </x:c>
      <x:c r="G1037" s="18" t="n">
        <x:v>26</x:v>
      </x:c>
      <x:c r="H1037" s="18" t="n">
        <x:v>15</x:v>
      </x:c>
      <x:c r="I1037" s="18" t="n">
        <x:v>26</x:v>
      </x:c>
      <x:c r="J1037" s="18" t="n">
        <x:v>142</x:v>
      </x:c>
      <x:c r="K1037" s="18" t="n">
        <x:v>26</x:v>
      </x:c>
      <x:c r="L1037" s="18" t="n">
        <x:v>36</x:v>
      </x:c>
      <x:c r="M1037" s="18" t="n">
        <x:v>26</x:v>
      </x:c>
    </x:row>
    <x:row r="1038">
      <x:c r="A1038" s="22" t="str">
        <x:v>500108065</x:v>
      </x:c>
      <x:c r="B1038" s="17" t="str">
        <x:v>內湖區</x:v>
      </x:c>
      <x:c r="C1038" s="17" t="str">
        <x:v>康寧金湖路口</x:v>
      </x:c>
      <x:c r="D1038" s="18" t="n">
        <x:v>26</x:v>
      </x:c>
      <x:c r="E1038" s="18" t="n">
        <x:v>26</x:v>
      </x:c>
      <x:c r="F1038" s="18" t="n">
        <x:v>274</x:v>
      </x:c>
      <x:c r="G1038" s="18" t="n">
        <x:v>26</x:v>
      </x:c>
      <x:c r="H1038" s="18" t="n">
        <x:v>27</x:v>
      </x:c>
      <x:c r="I1038" s="18" t="n">
        <x:v>26</x:v>
      </x:c>
      <x:c r="J1038" s="18" t="n">
        <x:v>166</x:v>
      </x:c>
      <x:c r="K1038" s="18" t="n">
        <x:v>26</x:v>
      </x:c>
      <x:c r="L1038" s="18" t="n">
        <x:v>16</x:v>
      </x:c>
      <x:c r="M1038" s="18" t="n">
        <x:v>26</x:v>
      </x:c>
    </x:row>
    <x:row r="1039">
      <x:c r="A1039" s="22" t="str">
        <x:v>500108066</x:v>
      </x:c>
      <x:c r="B1039" s="17" t="str">
        <x:v>內湖區</x:v>
      </x:c>
      <x:c r="C1039" s="17" t="str">
        <x:v>康寧路一段156巷20弄口</x:v>
      </x:c>
      <x:c r="D1039" s="18" t="n">
        <x:v>26</x:v>
      </x:c>
      <x:c r="E1039" s="18" t="n">
        <x:v>26</x:v>
      </x:c>
      <x:c r="F1039" s="18" t="n">
        <x:v>312</x:v>
      </x:c>
      <x:c r="G1039" s="18" t="n">
        <x:v>26</x:v>
      </x:c>
      <x:c r="H1039" s="18" t="n">
        <x:v>95</x:v>
      </x:c>
      <x:c r="I1039" s="18" t="n">
        <x:v>26</x:v>
      </x:c>
      <x:c r="J1039" s="18" t="n">
        <x:v>86</x:v>
      </x:c>
      <x:c r="K1039" s="18" t="n">
        <x:v>26</x:v>
      </x:c>
      <x:c r="L1039" s="18" t="n">
        <x:v>34</x:v>
      </x:c>
      <x:c r="M1039" s="18" t="n">
        <x:v>26</x:v>
      </x:c>
    </x:row>
    <x:row r="1040">
      <x:c r="A1040" s="22" t="str">
        <x:v>500108067</x:v>
      </x:c>
      <x:c r="B1040" s="17" t="str">
        <x:v>內湖區</x:v>
      </x:c>
      <x:c r="C1040" s="17" t="str">
        <x:v>安康公園</x:v>
      </x:c>
      <x:c r="D1040" s="18" t="n">
        <x:v>26</x:v>
      </x:c>
      <x:c r="E1040" s="18" t="n">
        <x:v>26</x:v>
      </x:c>
      <x:c r="F1040" s="18" t="n">
        <x:v>201</x:v>
      </x:c>
      <x:c r="G1040" s="18" t="n">
        <x:v>26</x:v>
      </x:c>
      <x:c r="H1040" s="18" t="n">
        <x:v>31</x:v>
      </x:c>
      <x:c r="I1040" s="18" t="n">
        <x:v>26</x:v>
      </x:c>
      <x:c r="J1040" s="18" t="n">
        <x:v>190</x:v>
      </x:c>
      <x:c r="K1040" s="18" t="n">
        <x:v>26</x:v>
      </x:c>
      <x:c r="L1040" s="18" t="n">
        <x:v>20</x:v>
      </x:c>
      <x:c r="M1040" s="18" t="n">
        <x:v>26</x:v>
      </x:c>
    </x:row>
    <x:row r="1041">
      <x:c r="A1041" s="22" t="str">
        <x:v>500108068</x:v>
      </x:c>
      <x:c r="B1041" s="17" t="str">
        <x:v>內湖區</x:v>
      </x:c>
      <x:c r="C1041" s="17" t="str">
        <x:v>安泰街83巷</x:v>
      </x:c>
      <x:c r="D1041" s="18" t="n">
        <x:v>26</x:v>
      </x:c>
      <x:c r="E1041" s="18" t="n">
        <x:v>26</x:v>
      </x:c>
      <x:c r="F1041" s="18" t="n">
        <x:v>865</x:v>
      </x:c>
      <x:c r="G1041" s="18" t="n">
        <x:v>26</x:v>
      </x:c>
      <x:c r="H1041" s="18" t="n">
        <x:v>120</x:v>
      </x:c>
      <x:c r="I1041" s="18" t="n">
        <x:v>26</x:v>
      </x:c>
      <x:c r="J1041" s="18" t="n">
        <x:v>168</x:v>
      </x:c>
      <x:c r="K1041" s="18" t="n">
        <x:v>26</x:v>
      </x:c>
      <x:c r="L1041" s="18" t="n">
        <x:v>55</x:v>
      </x:c>
      <x:c r="M1041" s="18" t="n">
        <x:v>26</x:v>
      </x:c>
    </x:row>
    <x:row r="1042">
      <x:c r="A1042" s="22" t="str">
        <x:v>500108069</x:v>
      </x:c>
      <x:c r="B1042" s="17" t="str">
        <x:v>內湖區</x:v>
      </x:c>
      <x:c r="C1042" s="17" t="str">
        <x:v>內溝溪生態展示館</x:v>
      </x:c>
      <x:c r="D1042" s="18" t="n">
        <x:v>26</x:v>
      </x:c>
      <x:c r="E1042" s="18" t="n">
        <x:v>26</x:v>
      </x:c>
      <x:c r="F1042" s="18" t="n">
        <x:v>194</x:v>
      </x:c>
      <x:c r="G1042" s="18" t="n">
        <x:v>26</x:v>
      </x:c>
      <x:c r="H1042" s="18" t="n">
        <x:v>49</x:v>
      </x:c>
      <x:c r="I1042" s="18" t="n">
        <x:v>26</x:v>
      </x:c>
      <x:c r="J1042" s="18" t="n">
        <x:v>172</x:v>
      </x:c>
      <x:c r="K1042" s="18" t="n">
        <x:v>26</x:v>
      </x:c>
      <x:c r="L1042" s="18" t="n">
        <x:v>54</x:v>
      </x:c>
      <x:c r="M1042" s="18" t="n">
        <x:v>26</x:v>
      </x:c>
    </x:row>
    <x:row r="1043">
      <x:c r="A1043" s="22" t="str">
        <x:v>500108070</x:v>
      </x:c>
      <x:c r="B1043" s="17" t="str">
        <x:v>內湖區</x:v>
      </x:c>
      <x:c r="C1043" s="17" t="str">
        <x:v>捷運港墘站(2號出口)</x:v>
      </x:c>
      <x:c r="D1043" s="18" t="n">
        <x:v>26</x:v>
      </x:c>
      <x:c r="E1043" s="18" t="n">
        <x:v>26</x:v>
      </x:c>
      <x:c r="F1043" s="18" t="n">
        <x:v>504</x:v>
      </x:c>
      <x:c r="G1043" s="18" t="n">
        <x:v>26</x:v>
      </x:c>
      <x:c r="H1043" s="18" t="n">
        <x:v>88</x:v>
      </x:c>
      <x:c r="I1043" s="18" t="n">
        <x:v>26</x:v>
      </x:c>
      <x:c r="J1043" s="18" t="n">
        <x:v>126</x:v>
      </x:c>
      <x:c r="K1043" s="18" t="n">
        <x:v>26</x:v>
      </x:c>
      <x:c r="L1043" s="18" t="n">
        <x:v>39</x:v>
      </x:c>
      <x:c r="M1043" s="18" t="n">
        <x:v>26</x:v>
      </x:c>
    </x:row>
    <x:row r="1044">
      <x:c r="A1044" s="22" t="str">
        <x:v>500108071</x:v>
      </x:c>
      <x:c r="B1044" s="17" t="str">
        <x:v>內湖區</x:v>
      </x:c>
      <x:c r="C1044" s="17" t="str">
        <x:v>東湖國中</x:v>
      </x:c>
      <x:c r="D1044" s="18" t="n">
        <x:v>26</x:v>
      </x:c>
      <x:c r="E1044" s="18" t="n">
        <x:v>26</x:v>
      </x:c>
      <x:c r="F1044" s="18" t="n">
        <x:v>369</x:v>
      </x:c>
      <x:c r="G1044" s="18" t="n">
        <x:v>26</x:v>
      </x:c>
      <x:c r="H1044" s="18" t="n">
        <x:v>59</x:v>
      </x:c>
      <x:c r="I1044" s="18" t="n">
        <x:v>26</x:v>
      </x:c>
      <x:c r="J1044" s="18" t="n">
        <x:v>273</x:v>
      </x:c>
      <x:c r="K1044" s="18" t="n">
        <x:v>26</x:v>
      </x:c>
      <x:c r="L1044" s="18" t="n">
        <x:v>24</x:v>
      </x:c>
      <x:c r="M1044" s="18" t="n">
        <x:v>26</x:v>
      </x:c>
    </x:row>
    <x:row r="1045">
      <x:c r="A1045" s="22" t="str">
        <x:v>500108072</x:v>
      </x:c>
      <x:c r="B1045" s="17" t="str">
        <x:v>內湖區</x:v>
      </x:c>
      <x:c r="C1045" s="17" t="str">
        <x:v>石潭公園(安康路)</x:v>
      </x:c>
      <x:c r="D1045" s="18" t="n">
        <x:v>26</x:v>
      </x:c>
      <x:c r="E1045" s="18" t="n">
        <x:v>26</x:v>
      </x:c>
      <x:c r="F1045" s="18" t="n">
        <x:v>151</x:v>
      </x:c>
      <x:c r="G1045" s="18" t="n">
        <x:v>26</x:v>
      </x:c>
      <x:c r="H1045" s="18" t="n">
        <x:v>37</x:v>
      </x:c>
      <x:c r="I1045" s="18" t="n">
        <x:v>26</x:v>
      </x:c>
      <x:c r="J1045" s="18" t="n">
        <x:v>542</x:v>
      </x:c>
      <x:c r="K1045" s="18" t="n">
        <x:v>26</x:v>
      </x:c>
      <x:c r="L1045" s="18" t="n">
        <x:v>78</x:v>
      </x:c>
      <x:c r="M1045" s="18" t="n">
        <x:v>26</x:v>
      </x:c>
    </x:row>
    <x:row r="1046">
      <x:c r="A1046" s="22" t="str">
        <x:v>500108073</x:v>
      </x:c>
      <x:c r="B1046" s="17" t="str">
        <x:v>內湖區</x:v>
      </x:c>
      <x:c r="C1046" s="17" t="str">
        <x:v>內湖垃圾焚化廠</x:v>
      </x:c>
      <x:c r="D1046" s="18" t="n">
        <x:v>26</x:v>
      </x:c>
      <x:c r="E1046" s="18" t="n">
        <x:v>26</x:v>
      </x:c>
      <x:c r="F1046" s="18" t="n">
        <x:v>94</x:v>
      </x:c>
      <x:c r="G1046" s="18" t="n">
        <x:v>26</x:v>
      </x:c>
      <x:c r="H1046" s="18" t="n">
        <x:v>15</x:v>
      </x:c>
      <x:c r="I1046" s="18" t="n">
        <x:v>26</x:v>
      </x:c>
      <x:c r="J1046" s="18" t="n">
        <x:v>277</x:v>
      </x:c>
      <x:c r="K1046" s="18" t="n">
        <x:v>26</x:v>
      </x:c>
      <x:c r="L1046" s="18" t="n">
        <x:v>62</x:v>
      </x:c>
      <x:c r="M1046" s="18" t="n">
        <x:v>26</x:v>
      </x:c>
    </x:row>
    <x:row r="1047">
      <x:c r="A1047" s="22" t="str">
        <x:v>500108074</x:v>
      </x:c>
      <x:c r="B1047" s="17" t="str">
        <x:v>內湖區</x:v>
      </x:c>
      <x:c r="C1047" s="17" t="str">
        <x:v>康寧公園(北側)</x:v>
      </x:c>
      <x:c r="D1047" s="18" t="n">
        <x:v>26</x:v>
      </x:c>
      <x:c r="E1047" s="18" t="n">
        <x:v>26</x:v>
      </x:c>
      <x:c r="F1047" s="18" t="n">
        <x:v>82</x:v>
      </x:c>
      <x:c r="G1047" s="18" t="n">
        <x:v>26</x:v>
      </x:c>
      <x:c r="H1047" s="18" t="n">
        <x:v>27</x:v>
      </x:c>
      <x:c r="I1047" s="18" t="n">
        <x:v>26</x:v>
      </x:c>
      <x:c r="J1047" s="18" t="n">
        <x:v>92</x:v>
      </x:c>
      <x:c r="K1047" s="18" t="n">
        <x:v>26</x:v>
      </x:c>
      <x:c r="L1047" s="18" t="n">
        <x:v>19</x:v>
      </x:c>
      <x:c r="M1047" s="18" t="n">
        <x:v>26</x:v>
      </x:c>
    </x:row>
    <x:row r="1048">
      <x:c r="A1048" s="22" t="str">
        <x:v>500108075</x:v>
      </x:c>
      <x:c r="B1048" s="17" t="str">
        <x:v>內湖區</x:v>
      </x:c>
      <x:c r="C1048" s="17" t="str">
        <x:v>康寧路三段54巷口</x:v>
      </x:c>
      <x:c r="D1048" s="18" t="n">
        <x:v>26</x:v>
      </x:c>
      <x:c r="E1048" s="18" t="n">
        <x:v>26</x:v>
      </x:c>
      <x:c r="F1048" s="18" t="n">
        <x:v>128</x:v>
      </x:c>
      <x:c r="G1048" s="18" t="n">
        <x:v>26</x:v>
      </x:c>
      <x:c r="H1048" s="18" t="n">
        <x:v>31</x:v>
      </x:c>
      <x:c r="I1048" s="18" t="n">
        <x:v>26</x:v>
      </x:c>
      <x:c r="J1048" s="18" t="n">
        <x:v>98</x:v>
      </x:c>
      <x:c r="K1048" s="18" t="n">
        <x:v>26</x:v>
      </x:c>
      <x:c r="L1048" s="18" t="n">
        <x:v>27</x:v>
      </x:c>
      <x:c r="M1048" s="18" t="n">
        <x:v>26</x:v>
      </x:c>
    </x:row>
    <x:row r="1049">
      <x:c r="A1049" s="22" t="str">
        <x:v>500108076</x:v>
      </x:c>
      <x:c r="B1049" s="17" t="str">
        <x:v>內湖區</x:v>
      </x:c>
      <x:c r="C1049" s="17" t="str">
        <x:v>行善路25巷口</x:v>
      </x:c>
      <x:c r="D1049" s="18" t="n">
        <x:v>26</x:v>
      </x:c>
      <x:c r="E1049" s="18" t="n">
        <x:v>26</x:v>
      </x:c>
      <x:c r="F1049" s="18" t="n">
        <x:v>138</x:v>
      </x:c>
      <x:c r="G1049" s="18" t="n">
        <x:v>26</x:v>
      </x:c>
      <x:c r="H1049" s="18" t="n">
        <x:v>39</x:v>
      </x:c>
      <x:c r="I1049" s="18" t="n">
        <x:v>26</x:v>
      </x:c>
      <x:c r="J1049" s="18" t="n">
        <x:v>262</x:v>
      </x:c>
      <x:c r="K1049" s="18" t="n">
        <x:v>26</x:v>
      </x:c>
      <x:c r="L1049" s="18" t="n">
        <x:v>49</x:v>
      </x:c>
      <x:c r="M1049" s="18" t="n">
        <x:v>26</x:v>
      </x:c>
    </x:row>
    <x:row r="1050">
      <x:c r="A1050" s="22" t="str">
        <x:v>500108077</x:v>
      </x:c>
      <x:c r="B1050" s="17" t="str">
        <x:v>內湖區</x:v>
      </x:c>
      <x:c r="C1050" s="17" t="str">
        <x:v>新明路460巷口</x:v>
      </x:c>
      <x:c r="D1050" s="18" t="n">
        <x:v>26</x:v>
      </x:c>
      <x:c r="E1050" s="18" t="n">
        <x:v>26</x:v>
      </x:c>
      <x:c r="F1050" s="18" t="n">
        <x:v>360</x:v>
      </x:c>
      <x:c r="G1050" s="18" t="n">
        <x:v>26</x:v>
      </x:c>
      <x:c r="H1050" s="18" t="n">
        <x:v>46</x:v>
      </x:c>
      <x:c r="I1050" s="18" t="n">
        <x:v>26</x:v>
      </x:c>
      <x:c r="J1050" s="18" t="n">
        <x:v>100</x:v>
      </x:c>
      <x:c r="K1050" s="18" t="n">
        <x:v>26</x:v>
      </x:c>
      <x:c r="L1050" s="18" t="n">
        <x:v>52</x:v>
      </x:c>
      <x:c r="M1050" s="18" t="n">
        <x:v>26</x:v>
      </x:c>
    </x:row>
    <x:row r="1051">
      <x:c r="A1051" s="22" t="str">
        <x:v>500108078</x:v>
      </x:c>
      <x:c r="B1051" s="17" t="str">
        <x:v>內湖區</x:v>
      </x:c>
      <x:c r="C1051" s="17" t="str">
        <x:v>下灣公園</x:v>
      </x:c>
      <x:c r="D1051" s="18" t="n">
        <x:v>26</x:v>
      </x:c>
      <x:c r="E1051" s="18" t="n">
        <x:v>26</x:v>
      </x:c>
      <x:c r="F1051" s="18" t="n">
        <x:v>288</x:v>
      </x:c>
      <x:c r="G1051" s="18" t="n">
        <x:v>26</x:v>
      </x:c>
      <x:c r="H1051" s="18" t="n">
        <x:v>87</x:v>
      </x:c>
      <x:c r="I1051" s="18" t="n">
        <x:v>26</x:v>
      </x:c>
      <x:c r="J1051" s="18" t="n">
        <x:v>193</x:v>
      </x:c>
      <x:c r="K1051" s="18" t="n">
        <x:v>26</x:v>
      </x:c>
      <x:c r="L1051" s="18" t="n">
        <x:v>69</x:v>
      </x:c>
      <x:c r="M1051" s="18" t="n">
        <x:v>26</x:v>
      </x:c>
    </x:row>
    <x:row r="1052">
      <x:c r="A1052" s="22" t="str">
        <x:v>500108079</x:v>
      </x:c>
      <x:c r="B1052" s="17" t="str">
        <x:v>內湖區</x:v>
      </x:c>
      <x:c r="C1052" s="17" t="str">
        <x:v>民權東路六段245巷口</x:v>
      </x:c>
      <x:c r="D1052" s="18" t="n">
        <x:v>26</x:v>
      </x:c>
      <x:c r="E1052" s="18" t="n">
        <x:v>26</x:v>
      </x:c>
      <x:c r="F1052" s="18" t="n">
        <x:v>144</x:v>
      </x:c>
      <x:c r="G1052" s="18" t="n">
        <x:v>26</x:v>
      </x:c>
      <x:c r="H1052" s="18" t="n">
        <x:v>67</x:v>
      </x:c>
      <x:c r="I1052" s="18" t="n">
        <x:v>26</x:v>
      </x:c>
      <x:c r="J1052" s="18" t="n">
        <x:v>88</x:v>
      </x:c>
      <x:c r="K1052" s="18" t="n">
        <x:v>26</x:v>
      </x:c>
      <x:c r="L1052" s="18" t="n">
        <x:v>74</x:v>
      </x:c>
      <x:c r="M1052" s="18" t="n">
        <x:v>26</x:v>
      </x:c>
    </x:row>
    <x:row r="1053">
      <x:c r="A1053" s="22" t="str">
        <x:v>500108080</x:v>
      </x:c>
      <x:c r="B1053" s="17" t="str">
        <x:v>內湖區</x:v>
      </x:c>
      <x:c r="C1053" s="17" t="str">
        <x:v>星雲金湖街口</x:v>
      </x:c>
      <x:c r="D1053" s="18" t="n">
        <x:v>26</x:v>
      </x:c>
      <x:c r="E1053" s="18" t="n">
        <x:v>26</x:v>
      </x:c>
      <x:c r="F1053" s="18" t="n">
        <x:v>0</x:v>
      </x:c>
      <x:c r="G1053" s="18" t="n">
        <x:v>26</x:v>
      </x:c>
      <x:c r="H1053" s="18" t="n">
        <x:v>0</x:v>
      </x:c>
      <x:c r="I1053" s="18" t="n">
        <x:v>26</x:v>
      </x:c>
      <x:c r="J1053" s="18" t="n">
        <x:v>0</x:v>
      </x:c>
      <x:c r="K1053" s="18" t="n">
        <x:v>26</x:v>
      </x:c>
      <x:c r="L1053" s="18" t="n">
        <x:v>0</x:v>
      </x:c>
      <x:c r="M1053" s="18" t="n">
        <x:v>26</x:v>
      </x:c>
    </x:row>
    <x:row r="1054">
      <x:c r="A1054" s="22" t="str">
        <x:v>500108081</x:v>
      </x:c>
      <x:c r="B1054" s="17" t="str">
        <x:v>內湖區</x:v>
      </x:c>
      <x:c r="C1054" s="17" t="str">
        <x:v>東湖國小</x:v>
      </x:c>
      <x:c r="D1054" s="18" t="n">
        <x:v>26</x:v>
      </x:c>
      <x:c r="E1054" s="18" t="n">
        <x:v>26</x:v>
      </x:c>
      <x:c r="F1054" s="18" t="n">
        <x:v>208</x:v>
      </x:c>
      <x:c r="G1054" s="18" t="n">
        <x:v>26</x:v>
      </x:c>
      <x:c r="H1054" s="18" t="n">
        <x:v>43</x:v>
      </x:c>
      <x:c r="I1054" s="18" t="n">
        <x:v>26</x:v>
      </x:c>
      <x:c r="J1054" s="18" t="n">
        <x:v>146</x:v>
      </x:c>
      <x:c r="K1054" s="18" t="n">
        <x:v>26</x:v>
      </x:c>
      <x:c r="L1054" s="18" t="n">
        <x:v>25</x:v>
      </x:c>
      <x:c r="M1054" s="18" t="n">
        <x:v>26</x:v>
      </x:c>
    </x:row>
    <x:row r="1055">
      <x:c r="A1055" s="22" t="str">
        <x:v>500108082</x:v>
      </x:c>
      <x:c r="B1055" s="17" t="str">
        <x:v>內湖區</x:v>
      </x:c>
      <x:c r="C1055" s="17" t="str">
        <x:v>捷運內湖站(1號出口)</x:v>
      </x:c>
      <x:c r="D1055" s="18" t="n">
        <x:v>26</x:v>
      </x:c>
      <x:c r="E1055" s="18" t="n">
        <x:v>26</x:v>
      </x:c>
      <x:c r="F1055" s="18" t="n">
        <x:v>339</x:v>
      </x:c>
      <x:c r="G1055" s="18" t="n">
        <x:v>26</x:v>
      </x:c>
      <x:c r="H1055" s="18" t="n">
        <x:v>33</x:v>
      </x:c>
      <x:c r="I1055" s="18" t="n">
        <x:v>26</x:v>
      </x:c>
      <x:c r="J1055" s="18" t="n">
        <x:v>1417</x:v>
      </x:c>
      <x:c r="K1055" s="18" t="n">
        <x:v>26</x:v>
      </x:c>
      <x:c r="L1055" s="18" t="n">
        <x:v>66</x:v>
      </x:c>
      <x:c r="M1055" s="18" t="n">
        <x:v>26</x:v>
      </x:c>
    </x:row>
    <x:row r="1056">
      <x:c r="A1056" s="22" t="str">
        <x:v>500108083</x:v>
      </x:c>
      <x:c r="B1056" s="17" t="str">
        <x:v>內湖區</x:v>
      </x:c>
      <x:c r="C1056" s="17" t="str">
        <x:v>瑞光港墘路口</x:v>
      </x:c>
      <x:c r="D1056" s="18" t="n">
        <x:v>26</x:v>
      </x:c>
      <x:c r="E1056" s="18" t="n">
        <x:v>26</x:v>
      </x:c>
      <x:c r="F1056" s="18" t="n">
        <x:v>166</x:v>
      </x:c>
      <x:c r="G1056" s="18" t="n">
        <x:v>26</x:v>
      </x:c>
      <x:c r="H1056" s="18" t="n">
        <x:v>22</x:v>
      </x:c>
      <x:c r="I1056" s="18" t="n">
        <x:v>26</x:v>
      </x:c>
      <x:c r="J1056" s="18" t="n">
        <x:v>819</x:v>
      </x:c>
      <x:c r="K1056" s="18" t="n">
        <x:v>26</x:v>
      </x:c>
      <x:c r="L1056" s="18" t="n">
        <x:v>131</x:v>
      </x:c>
      <x:c r="M1056" s="18" t="n">
        <x:v>26</x:v>
      </x:c>
    </x:row>
    <x:row r="1057">
      <x:c r="A1057" s="22" t="str">
        <x:v>500108084</x:v>
      </x:c>
      <x:c r="B1057" s="17" t="str">
        <x:v>內湖區</x:v>
      </x:c>
      <x:c r="C1057" s="17" t="str">
        <x:v>瑞湖陽光街口</x:v>
      </x:c>
      <x:c r="D1057" s="18" t="n">
        <x:v>26</x:v>
      </x:c>
      <x:c r="E1057" s="18" t="n">
        <x:v>26</x:v>
      </x:c>
      <x:c r="F1057" s="18" t="n">
        <x:v>192</x:v>
      </x:c>
      <x:c r="G1057" s="18" t="n">
        <x:v>26</x:v>
      </x:c>
      <x:c r="H1057" s="18" t="n">
        <x:v>14</x:v>
      </x:c>
      <x:c r="I1057" s="18" t="n">
        <x:v>26</x:v>
      </x:c>
      <x:c r="J1057" s="18" t="n">
        <x:v>2896</x:v>
      </x:c>
      <x:c r="K1057" s="18" t="n">
        <x:v>26</x:v>
      </x:c>
      <x:c r="L1057" s="18" t="n">
        <x:v>74</x:v>
      </x:c>
      <x:c r="M1057" s="18" t="n">
        <x:v>26</x:v>
      </x:c>
    </x:row>
    <x:row r="1058">
      <x:c r="A1058" s="22" t="str">
        <x:v>500108085</x:v>
      </x:c>
      <x:c r="B1058" s="17" t="str">
        <x:v>內湖區</x:v>
      </x:c>
      <x:c r="C1058" s="17" t="str">
        <x:v>金龍公園</x:v>
      </x:c>
      <x:c r="D1058" s="18" t="n">
        <x:v>26</x:v>
      </x:c>
      <x:c r="E1058" s="18" t="n">
        <x:v>26</x:v>
      </x:c>
      <x:c r="F1058" s="18" t="n">
        <x:v>167</x:v>
      </x:c>
      <x:c r="G1058" s="18" t="n">
        <x:v>26</x:v>
      </x:c>
      <x:c r="H1058" s="18" t="n">
        <x:v>31</x:v>
      </x:c>
      <x:c r="I1058" s="18" t="n">
        <x:v>26</x:v>
      </x:c>
      <x:c r="J1058" s="18" t="n">
        <x:v>82</x:v>
      </x:c>
      <x:c r="K1058" s="18" t="n">
        <x:v>26</x:v>
      </x:c>
      <x:c r="L1058" s="18" t="n">
        <x:v>26</x:v>
      </x:c>
      <x:c r="M1058" s="18" t="n">
        <x:v>26</x:v>
      </x:c>
    </x:row>
    <x:row r="1059">
      <x:c r="A1059" s="22" t="str">
        <x:v>500108086</x:v>
      </x:c>
      <x:c r="B1059" s="17" t="str">
        <x:v>內湖區</x:v>
      </x:c>
      <x:c r="C1059" s="17" t="str">
        <x:v>星雲街138巷1弄口</x:v>
      </x:c>
      <x:c r="D1059" s="18" t="n">
        <x:v>26</x:v>
      </x:c>
      <x:c r="E1059" s="18" t="n">
        <x:v>26</x:v>
      </x:c>
      <x:c r="F1059" s="18" t="n">
        <x:v>439</x:v>
      </x:c>
      <x:c r="G1059" s="18" t="n">
        <x:v>26</x:v>
      </x:c>
      <x:c r="H1059" s="18" t="n">
        <x:v>99</x:v>
      </x:c>
      <x:c r="I1059" s="18" t="n">
        <x:v>26</x:v>
      </x:c>
      <x:c r="J1059" s="18" t="n">
        <x:v>115</x:v>
      </x:c>
      <x:c r="K1059" s="18" t="n">
        <x:v>26</x:v>
      </x:c>
      <x:c r="L1059" s="18" t="n">
        <x:v>33</x:v>
      </x:c>
      <x:c r="M1059" s="18" t="n">
        <x:v>26</x:v>
      </x:c>
    </x:row>
    <x:row r="1060">
      <x:c r="A1060" s="22" t="str">
        <x:v>500108087</x:v>
      </x:c>
      <x:c r="B1060" s="17" t="str">
        <x:v>內湖區</x:v>
      </x:c>
      <x:c r="C1060" s="17" t="str">
        <x:v>東湖一號公園</x:v>
      </x:c>
      <x:c r="D1060" s="18" t="n">
        <x:v>26</x:v>
      </x:c>
      <x:c r="E1060" s="18" t="n">
        <x:v>26</x:v>
      </x:c>
      <x:c r="F1060" s="18" t="n">
        <x:v>71</x:v>
      </x:c>
      <x:c r="G1060" s="18" t="n">
        <x:v>26</x:v>
      </x:c>
      <x:c r="H1060" s="18" t="n">
        <x:v>131</x:v>
      </x:c>
      <x:c r="I1060" s="18" t="n">
        <x:v>26</x:v>
      </x:c>
      <x:c r="J1060" s="18" t="n">
        <x:v>59</x:v>
      </x:c>
      <x:c r="K1060" s="18" t="n">
        <x:v>26</x:v>
      </x:c>
      <x:c r="L1060" s="18" t="n">
        <x:v>76</x:v>
      </x:c>
      <x:c r="M1060" s="18" t="n">
        <x:v>26</x:v>
      </x:c>
    </x:row>
    <x:row r="1061">
      <x:c r="A1061" s="22" t="str">
        <x:v>500108088</x:v>
      </x:c>
      <x:c r="B1061" s="17" t="str">
        <x:v>內湖區</x:v>
      </x:c>
      <x:c r="C1061" s="17" t="str">
        <x:v>東湖二號公園</x:v>
      </x:c>
      <x:c r="D1061" s="18" t="n">
        <x:v>26</x:v>
      </x:c>
      <x:c r="E1061" s="18" t="n">
        <x:v>26</x:v>
      </x:c>
      <x:c r="F1061" s="18" t="n">
        <x:v>352</x:v>
      </x:c>
      <x:c r="G1061" s="18" t="n">
        <x:v>26</x:v>
      </x:c>
      <x:c r="H1061" s="18" t="n">
        <x:v>74</x:v>
      </x:c>
      <x:c r="I1061" s="18" t="n">
        <x:v>26</x:v>
      </x:c>
      <x:c r="J1061" s="18" t="n">
        <x:v>93</x:v>
      </x:c>
      <x:c r="K1061" s="18" t="n">
        <x:v>26</x:v>
      </x:c>
      <x:c r="L1061" s="18" t="n">
        <x:v>40</x:v>
      </x:c>
      <x:c r="M1061" s="18" t="n">
        <x:v>26</x:v>
      </x:c>
    </x:row>
    <x:row r="1062">
      <x:c r="A1062" s="22" t="str">
        <x:v>500108089</x:v>
      </x:c>
      <x:c r="B1062" s="17" t="str">
        <x:v>內湖區</x:v>
      </x:c>
      <x:c r="C1062" s="17" t="str">
        <x:v>康湖二號公園(康寧醫院)</x:v>
      </x:c>
      <x:c r="D1062" s="18" t="n">
        <x:v>26</x:v>
      </x:c>
      <x:c r="E1062" s="18" t="n">
        <x:v>26</x:v>
      </x:c>
      <x:c r="F1062" s="18" t="n">
        <x:v>261</x:v>
      </x:c>
      <x:c r="G1062" s="18" t="n">
        <x:v>26</x:v>
      </x:c>
      <x:c r="H1062" s="18" t="n">
        <x:v>52</x:v>
      </x:c>
      <x:c r="I1062" s="18" t="n">
        <x:v>26</x:v>
      </x:c>
      <x:c r="J1062" s="18" t="n">
        <x:v>302</x:v>
      </x:c>
      <x:c r="K1062" s="18" t="n">
        <x:v>26</x:v>
      </x:c>
      <x:c r="L1062" s="18" t="n">
        <x:v>74</x:v>
      </x:c>
      <x:c r="M1062" s="18" t="n">
        <x:v>26</x:v>
      </x:c>
    </x:row>
    <x:row r="1063">
      <x:c r="A1063" s="22" t="str">
        <x:v>500108090</x:v>
      </x:c>
      <x:c r="B1063" s="17" t="str">
        <x:v>內湖區</x:v>
      </x:c>
      <x:c r="C1063" s="17" t="str">
        <x:v>堤頂大道新湖一路口</x:v>
      </x:c>
      <x:c r="D1063" s="18" t="n">
        <x:v>26</x:v>
      </x:c>
      <x:c r="E1063" s="18" t="n">
        <x:v>26</x:v>
      </x:c>
      <x:c r="F1063" s="18" t="n">
        <x:v>128</x:v>
      </x:c>
      <x:c r="G1063" s="18" t="n">
        <x:v>26</x:v>
      </x:c>
      <x:c r="H1063" s="18" t="n">
        <x:v>15</x:v>
      </x:c>
      <x:c r="I1063" s="18" t="n">
        <x:v>26</x:v>
      </x:c>
      <x:c r="J1063" s="18" t="n">
        <x:v>463</x:v>
      </x:c>
      <x:c r="K1063" s="18" t="n">
        <x:v>26</x:v>
      </x:c>
      <x:c r="L1063" s="18" t="n">
        <x:v>97</x:v>
      </x:c>
      <x:c r="M1063" s="18" t="n">
        <x:v>26</x:v>
      </x:c>
    </x:row>
    <x:row r="1064">
      <x:c r="A1064" s="22" t="str">
        <x:v>500108091</x:v>
      </x:c>
      <x:c r="B1064" s="17" t="str">
        <x:v>內湖區</x:v>
      </x:c>
      <x:c r="C1064" s="17" t="str">
        <x:v>下灣公園(成功路)</x:v>
      </x:c>
      <x:c r="D1064" s="18" t="n">
        <x:v>26</x:v>
      </x:c>
      <x:c r="E1064" s="18" t="n">
        <x:v>26</x:v>
      </x:c>
      <x:c r="F1064" s="18" t="n">
        <x:v>236</x:v>
      </x:c>
      <x:c r="G1064" s="18" t="n">
        <x:v>26</x:v>
      </x:c>
      <x:c r="H1064" s="18" t="n">
        <x:v>42</x:v>
      </x:c>
      <x:c r="I1064" s="18" t="n">
        <x:v>26</x:v>
      </x:c>
      <x:c r="J1064" s="18" t="n">
        <x:v>130</x:v>
      </x:c>
      <x:c r="K1064" s="18" t="n">
        <x:v>26</x:v>
      </x:c>
      <x:c r="L1064" s="18" t="n">
        <x:v>25</x:v>
      </x:c>
      <x:c r="M1064" s="18" t="n">
        <x:v>26</x:v>
      </x:c>
    </x:row>
    <x:row r="1065">
      <x:c r="A1065" s="22" t="str">
        <x:v>500108092</x:v>
      </x:c>
      <x:c r="B1065" s="17" t="str">
        <x:v>內湖區</x:v>
      </x:c>
      <x:c r="C1065" s="17" t="str">
        <x:v>舊宗行善路口</x:v>
      </x:c>
      <x:c r="D1065" s="18" t="n">
        <x:v>26</x:v>
      </x:c>
      <x:c r="E1065" s="18" t="n">
        <x:v>26</x:v>
      </x:c>
      <x:c r="F1065" s="18" t="n">
        <x:v>160</x:v>
      </x:c>
      <x:c r="G1065" s="18" t="n">
        <x:v>26</x:v>
      </x:c>
      <x:c r="H1065" s="18" t="n">
        <x:v>20</x:v>
      </x:c>
      <x:c r="I1065" s="18" t="n">
        <x:v>26</x:v>
      </x:c>
      <x:c r="J1065" s="18" t="n">
        <x:v>162</x:v>
      </x:c>
      <x:c r="K1065" s="18" t="n">
        <x:v>26</x:v>
      </x:c>
      <x:c r="L1065" s="18" t="n">
        <x:v>34</x:v>
      </x:c>
      <x:c r="M1065" s="18" t="n">
        <x:v>26</x:v>
      </x:c>
    </x:row>
    <x:row r="1066">
      <x:c r="A1066" s="22" t="str">
        <x:v>500108093</x:v>
      </x:c>
      <x:c r="B1066" s="17" t="str">
        <x:v>內湖區</x:v>
      </x:c>
      <x:c r="C1066" s="17" t="str">
        <x:v>新湖二路250巷口</x:v>
      </x:c>
      <x:c r="D1066" s="18" t="n">
        <x:v>26</x:v>
      </x:c>
      <x:c r="E1066" s="18" t="n">
        <x:v>26</x:v>
      </x:c>
      <x:c r="F1066" s="18" t="n">
        <x:v>139</x:v>
      </x:c>
      <x:c r="G1066" s="18" t="n">
        <x:v>26</x:v>
      </x:c>
      <x:c r="H1066" s="18" t="n">
        <x:v>31</x:v>
      </x:c>
      <x:c r="I1066" s="18" t="n">
        <x:v>26</x:v>
      </x:c>
      <x:c r="J1066" s="18" t="n">
        <x:v>1314</x:v>
      </x:c>
      <x:c r="K1066" s="18" t="n">
        <x:v>26</x:v>
      </x:c>
      <x:c r="L1066" s="18" t="n">
        <x:v>40</x:v>
      </x:c>
      <x:c r="M1066" s="18" t="n">
        <x:v>26</x:v>
      </x:c>
    </x:row>
    <x:row r="1067">
      <x:c r="A1067" s="22" t="str">
        <x:v>500108094</x:v>
      </x:c>
      <x:c r="B1067" s="17" t="str">
        <x:v>內湖區</x:v>
      </x:c>
      <x:c r="C1067" s="17" t="str">
        <x:v>成功路四段41巷口</x:v>
      </x:c>
      <x:c r="D1067" s="18" t="n">
        <x:v>26</x:v>
      </x:c>
      <x:c r="E1067" s="18" t="n">
        <x:v>26</x:v>
      </x:c>
      <x:c r="F1067" s="18" t="n">
        <x:v>151</x:v>
      </x:c>
      <x:c r="G1067" s="18" t="n">
        <x:v>26</x:v>
      </x:c>
      <x:c r="H1067" s="18" t="n">
        <x:v>23</x:v>
      </x:c>
      <x:c r="I1067" s="18" t="n">
        <x:v>26</x:v>
      </x:c>
      <x:c r="J1067" s="18" t="n">
        <x:v>123</x:v>
      </x:c>
      <x:c r="K1067" s="18" t="n">
        <x:v>26</x:v>
      </x:c>
      <x:c r="L1067" s="18" t="n">
        <x:v>18</x:v>
      </x:c>
      <x:c r="M1067" s="18" t="n">
        <x:v>26</x:v>
      </x:c>
    </x:row>
    <x:row r="1068">
      <x:c r="A1068" s="22" t="str">
        <x:v>500108095</x:v>
      </x:c>
      <x:c r="B1068" s="17" t="str">
        <x:v>內湖區</x:v>
      </x:c>
      <x:c r="C1068" s="17" t="str">
        <x:v>金湖星雲街口</x:v>
      </x:c>
      <x:c r="D1068" s="18" t="n">
        <x:v>26</x:v>
      </x:c>
      <x:c r="E1068" s="18" t="n">
        <x:v>26</x:v>
      </x:c>
      <x:c r="F1068" s="18" t="n">
        <x:v>304</x:v>
      </x:c>
      <x:c r="G1068" s="18" t="n">
        <x:v>26</x:v>
      </x:c>
      <x:c r="H1068" s="18" t="n">
        <x:v>98</x:v>
      </x:c>
      <x:c r="I1068" s="18" t="n">
        <x:v>26</x:v>
      </x:c>
      <x:c r="J1068" s="18" t="n">
        <x:v>199</x:v>
      </x:c>
      <x:c r="K1068" s="18" t="n">
        <x:v>26</x:v>
      </x:c>
      <x:c r="L1068" s="18" t="n">
        <x:v>156</x:v>
      </x:c>
      <x:c r="M1068" s="18" t="n">
        <x:v>26</x:v>
      </x:c>
    </x:row>
    <x:row r="1069">
      <x:c r="A1069" s="22" t="str">
        <x:v>500108096</x:v>
      </x:c>
      <x:c r="B1069" s="17" t="str">
        <x:v>內湖區</x:v>
      </x:c>
      <x:c r="C1069" s="17" t="str">
        <x:v>國防醫學院</x:v>
      </x:c>
      <x:c r="D1069" s="18" t="n">
        <x:v>26</x:v>
      </x:c>
      <x:c r="E1069" s="18" t="n">
        <x:v>26</x:v>
      </x:c>
      <x:c r="F1069" s="18" t="n">
        <x:v>239</x:v>
      </x:c>
      <x:c r="G1069" s="18" t="n">
        <x:v>26</x:v>
      </x:c>
      <x:c r="H1069" s="18" t="n">
        <x:v>62</x:v>
      </x:c>
      <x:c r="I1069" s="18" t="n">
        <x:v>26</x:v>
      </x:c>
      <x:c r="J1069" s="18" t="n">
        <x:v>318</x:v>
      </x:c>
      <x:c r="K1069" s="18" t="n">
        <x:v>26</x:v>
      </x:c>
      <x:c r="L1069" s="18" t="n">
        <x:v>50</x:v>
      </x:c>
      <x:c r="M1069" s="18" t="n">
        <x:v>26</x:v>
      </x:c>
    </x:row>
    <x:row r="1070">
      <x:c r="A1070" s="22" t="str">
        <x:v>500108097</x:v>
      </x:c>
      <x:c r="B1070" s="17" t="str">
        <x:v>內湖區</x:v>
      </x:c>
      <x:c r="C1070" s="17" t="str">
        <x:v>民權東路六段190巷117弄口</x:v>
      </x:c>
      <x:c r="D1070" s="18" t="n">
        <x:v>26</x:v>
      </x:c>
      <x:c r="E1070" s="18" t="n">
        <x:v>26</x:v>
      </x:c>
      <x:c r="F1070" s="18" t="n">
        <x:v>199</x:v>
      </x:c>
      <x:c r="G1070" s="18" t="n">
        <x:v>26</x:v>
      </x:c>
      <x:c r="H1070" s="18" t="n">
        <x:v>22</x:v>
      </x:c>
      <x:c r="I1070" s="18" t="n">
        <x:v>26</x:v>
      </x:c>
      <x:c r="J1070" s="18" t="n">
        <x:v>169</x:v>
      </x:c>
      <x:c r="K1070" s="18" t="n">
        <x:v>26</x:v>
      </x:c>
      <x:c r="L1070" s="18" t="n">
        <x:v>18</x:v>
      </x:c>
      <x:c r="M1070" s="18" t="n">
        <x:v>26</x:v>
      </x:c>
    </x:row>
    <x:row r="1071">
      <x:c r="A1071" s="22" t="str">
        <x:v>500108098</x:v>
      </x:c>
      <x:c r="B1071" s="17" t="str">
        <x:v>內湖區</x:v>
      </x:c>
      <x:c r="C1071" s="17" t="str">
        <x:v>內湖運動中心</x:v>
      </x:c>
      <x:c r="D1071" s="18" t="n">
        <x:v>26</x:v>
      </x:c>
      <x:c r="E1071" s="18" t="n">
        <x:v>26</x:v>
      </x:c>
      <x:c r="F1071" s="18" t="n">
        <x:v>235</x:v>
      </x:c>
      <x:c r="G1071" s="18" t="n">
        <x:v>26</x:v>
      </x:c>
      <x:c r="H1071" s="18" t="n">
        <x:v>38</x:v>
      </x:c>
      <x:c r="I1071" s="18" t="n">
        <x:v>26</x:v>
      </x:c>
      <x:c r="J1071" s="18" t="n">
        <x:v>262</x:v>
      </x:c>
      <x:c r="K1071" s="18" t="n">
        <x:v>26</x:v>
      </x:c>
      <x:c r="L1071" s="18" t="n">
        <x:v>136</x:v>
      </x:c>
      <x:c r="M1071" s="18" t="n">
        <x:v>26</x:v>
      </x:c>
    </x:row>
    <x:row r="1072">
      <x:c r="A1072" s="22" t="str">
        <x:v>500108099</x:v>
      </x:c>
      <x:c r="B1072" s="17" t="str">
        <x:v>內湖區</x:v>
      </x:c>
      <x:c r="C1072" s="17" t="str">
        <x:v>九華公園</x:v>
      </x:c>
      <x:c r="D1072" s="18" t="n">
        <x:v>26</x:v>
      </x:c>
      <x:c r="E1072" s="18" t="n">
        <x:v>26</x:v>
      </x:c>
      <x:c r="F1072" s="18" t="n">
        <x:v>688</x:v>
      </x:c>
      <x:c r="G1072" s="18" t="n">
        <x:v>26</x:v>
      </x:c>
      <x:c r="H1072" s="18" t="n">
        <x:v>88</x:v>
      </x:c>
      <x:c r="I1072" s="18" t="n">
        <x:v>26</x:v>
      </x:c>
      <x:c r="J1072" s="18" t="n">
        <x:v>102</x:v>
      </x:c>
      <x:c r="K1072" s="18" t="n">
        <x:v>26</x:v>
      </x:c>
      <x:c r="L1072" s="18" t="n">
        <x:v>41</x:v>
      </x:c>
      <x:c r="M1072" s="18" t="n">
        <x:v>26</x:v>
      </x:c>
    </x:row>
    <x:row r="1073">
      <x:c r="A1073" s="22" t="str">
        <x:v>500108100</x:v>
      </x:c>
      <x:c r="B1073" s="17" t="str">
        <x:v>內湖區</x:v>
      </x:c>
      <x:c r="C1073" s="17" t="str">
        <x:v>內湖路二段179巷口</x:v>
      </x:c>
      <x:c r="D1073" s="18" t="n">
        <x:v>26</x:v>
      </x:c>
      <x:c r="E1073" s="18" t="n">
        <x:v>26</x:v>
      </x:c>
      <x:c r="F1073" s="18" t="n">
        <x:v>215</x:v>
      </x:c>
      <x:c r="G1073" s="18" t="n">
        <x:v>26</x:v>
      </x:c>
      <x:c r="H1073" s="18" t="n">
        <x:v>86</x:v>
      </x:c>
      <x:c r="I1073" s="18" t="n">
        <x:v>26</x:v>
      </x:c>
      <x:c r="J1073" s="18" t="n">
        <x:v>149</x:v>
      </x:c>
      <x:c r="K1073" s="18" t="n">
        <x:v>26</x:v>
      </x:c>
      <x:c r="L1073" s="18" t="n">
        <x:v>53</x:v>
      </x:c>
      <x:c r="M1073" s="18" t="n">
        <x:v>26</x:v>
      </x:c>
    </x:row>
    <x:row r="1074">
      <x:c r="A1074" s="22" t="str">
        <x:v>500108101</x:v>
      </x:c>
      <x:c r="B1074" s="17" t="str">
        <x:v>內湖區</x:v>
      </x:c>
      <x:c r="C1074" s="17" t="str">
        <x:v>民權東路六段423巷口</x:v>
      </x:c>
      <x:c r="D1074" s="18" t="n">
        <x:v>26</x:v>
      </x:c>
      <x:c r="E1074" s="18" t="n">
        <x:v>26</x:v>
      </x:c>
      <x:c r="F1074" s="18" t="n">
        <x:v>0</x:v>
      </x:c>
      <x:c r="G1074" s="18" t="n">
        <x:v>26</x:v>
      </x:c>
      <x:c r="H1074" s="18" t="n">
        <x:v>0</x:v>
      </x:c>
      <x:c r="I1074" s="18" t="n">
        <x:v>26</x:v>
      </x:c>
      <x:c r="J1074" s="18" t="n">
        <x:v>0</x:v>
      </x:c>
      <x:c r="K1074" s="18" t="n">
        <x:v>26</x:v>
      </x:c>
      <x:c r="L1074" s="18" t="n">
        <x:v>0</x:v>
      </x:c>
      <x:c r="M1074" s="18" t="n">
        <x:v>26</x:v>
      </x:c>
    </x:row>
    <x:row r="1075">
      <x:c r="A1075" s="22" t="str">
        <x:v>500108102</x:v>
      </x:c>
      <x:c r="B1075" s="17" t="str">
        <x:v>內湖區</x:v>
      </x:c>
      <x:c r="C1075" s="17" t="str">
        <x:v>行善行愛路口</x:v>
      </x:c>
      <x:c r="D1075" s="18" t="n">
        <x:v>26</x:v>
      </x:c>
      <x:c r="E1075" s="18" t="n">
        <x:v>26</x:v>
      </x:c>
      <x:c r="F1075" s="18" t="n">
        <x:v>166</x:v>
      </x:c>
      <x:c r="G1075" s="18" t="n">
        <x:v>26</x:v>
      </x:c>
      <x:c r="H1075" s="18" t="n">
        <x:v>27</x:v>
      </x:c>
      <x:c r="I1075" s="18" t="n">
        <x:v>26</x:v>
      </x:c>
      <x:c r="J1075" s="18" t="n">
        <x:v>103</x:v>
      </x:c>
      <x:c r="K1075" s="18" t="n">
        <x:v>26</x:v>
      </x:c>
      <x:c r="L1075" s="18" t="n">
        <x:v>26</x:v>
      </x:c>
      <x:c r="M1075" s="18" t="n">
        <x:v>26</x:v>
      </x:c>
    </x:row>
    <x:row r="1076">
      <x:c r="A1076" s="22" t="str">
        <x:v>500108103</x:v>
      </x:c>
      <x:c r="B1076" s="17" t="str">
        <x:v>內湖區</x:v>
      </x:c>
      <x:c r="C1076" s="17" t="str">
        <x:v>民善新湖二路口(家樂福內湖店)</x:v>
      </x:c>
      <x:c r="D1076" s="18" t="n">
        <x:v>26</x:v>
      </x:c>
      <x:c r="E1076" s="18" t="n">
        <x:v>26</x:v>
      </x:c>
      <x:c r="F1076" s="18" t="n">
        <x:v>120</x:v>
      </x:c>
      <x:c r="G1076" s="18" t="n">
        <x:v>26</x:v>
      </x:c>
      <x:c r="H1076" s="18" t="n">
        <x:v>42</x:v>
      </x:c>
      <x:c r="I1076" s="18" t="n">
        <x:v>26</x:v>
      </x:c>
      <x:c r="J1076" s="18" t="n">
        <x:v>780</x:v>
      </x:c>
      <x:c r="K1076" s="18" t="n">
        <x:v>26</x:v>
      </x:c>
      <x:c r="L1076" s="18" t="n">
        <x:v>67</x:v>
      </x:c>
      <x:c r="M1076" s="18" t="n">
        <x:v>26</x:v>
      </x:c>
    </x:row>
    <x:row r="1077">
      <x:c r="A1077" s="22" t="str">
        <x:v>500108104</x:v>
      </x:c>
      <x:c r="B1077" s="17" t="str">
        <x:v>內湖區</x:v>
      </x:c>
      <x:c r="C1077" s="17" t="str">
        <x:v>統振大樓</x:v>
      </x:c>
      <x:c r="D1077" s="18" t="n">
        <x:v>26</x:v>
      </x:c>
      <x:c r="E1077" s="18" t="n">
        <x:v>26</x:v>
      </x:c>
      <x:c r="F1077" s="18" t="n">
        <x:v>144</x:v>
      </x:c>
      <x:c r="G1077" s="18" t="n">
        <x:v>26</x:v>
      </x:c>
      <x:c r="H1077" s="18" t="n">
        <x:v>26</x:v>
      </x:c>
      <x:c r="I1077" s="18" t="n">
        <x:v>26</x:v>
      </x:c>
      <x:c r="J1077" s="18" t="n">
        <x:v>272</x:v>
      </x:c>
      <x:c r="K1077" s="18" t="n">
        <x:v>26</x:v>
      </x:c>
      <x:c r="L1077" s="18" t="n">
        <x:v>52</x:v>
      </x:c>
      <x:c r="M1077" s="18" t="n">
        <x:v>26</x:v>
      </x:c>
    </x:row>
    <x:row r="1078">
      <x:c r="A1078" s="22" t="str">
        <x:v>500108105</x:v>
      </x:c>
      <x:c r="B1078" s="17" t="str">
        <x:v>內湖區</x:v>
      </x:c>
      <x:c r="C1078" s="17" t="str">
        <x:v>陽光街161巷口</x:v>
      </x:c>
      <x:c r="D1078" s="18" t="n">
        <x:v>26</x:v>
      </x:c>
      <x:c r="E1078" s="18" t="n">
        <x:v>26</x:v>
      </x:c>
      <x:c r="F1078" s="18" t="n">
        <x:v>372</x:v>
      </x:c>
      <x:c r="G1078" s="18" t="n">
        <x:v>26</x:v>
      </x:c>
      <x:c r="H1078" s="18" t="n">
        <x:v>53</x:v>
      </x:c>
      <x:c r="I1078" s="18" t="n">
        <x:v>26</x:v>
      </x:c>
      <x:c r="J1078" s="18" t="n">
        <x:v>59</x:v>
      </x:c>
      <x:c r="K1078" s="18" t="n">
        <x:v>26</x:v>
      </x:c>
      <x:c r="L1078" s="18" t="n">
        <x:v>32</x:v>
      </x:c>
      <x:c r="M1078" s="18" t="n">
        <x:v>26</x:v>
      </x:c>
    </x:row>
    <x:row r="1079">
      <x:c r="A1079" s="22" t="str">
        <x:v>500108106</x:v>
      </x:c>
      <x:c r="B1079" s="17" t="str">
        <x:v>內湖區</x:v>
      </x:c>
      <x:c r="C1079" s="17" t="str">
        <x:v>潭美公園(南京東路六段368巷)</x:v>
      </x:c>
      <x:c r="D1079" s="18" t="n">
        <x:v>26</x:v>
      </x:c>
      <x:c r="E1079" s="18" t="n">
        <x:v>26</x:v>
      </x:c>
      <x:c r="F1079" s="18" t="n">
        <x:v>147</x:v>
      </x:c>
      <x:c r="G1079" s="18" t="n">
        <x:v>26</x:v>
      </x:c>
      <x:c r="H1079" s="18" t="n">
        <x:v>54</x:v>
      </x:c>
      <x:c r="I1079" s="18" t="n">
        <x:v>26</x:v>
      </x:c>
      <x:c r="J1079" s="18" t="n">
        <x:v>165</x:v>
      </x:c>
      <x:c r="K1079" s="18" t="n">
        <x:v>26</x:v>
      </x:c>
      <x:c r="L1079" s="18" t="n">
        <x:v>44</x:v>
      </x:c>
      <x:c r="M1079" s="18" t="n">
        <x:v>26</x:v>
      </x:c>
    </x:row>
    <x:row r="1080">
      <x:c r="A1080" s="22" t="str">
        <x:v>500108107</x:v>
      </x:c>
      <x:c r="B1080" s="17" t="str">
        <x:v>內湖區</x:v>
      </x:c>
      <x:c r="C1080" s="17" t="str">
        <x:v>西康二號公園</x:v>
      </x:c>
      <x:c r="D1080" s="18" t="n">
        <x:v>26</x:v>
      </x:c>
      <x:c r="E1080" s="18" t="n">
        <x:v>26</x:v>
      </x:c>
      <x:c r="F1080" s="18" t="n">
        <x:v>360</x:v>
      </x:c>
      <x:c r="G1080" s="18" t="n">
        <x:v>26</x:v>
      </x:c>
      <x:c r="H1080" s="18" t="n">
        <x:v>40</x:v>
      </x:c>
      <x:c r="I1080" s="18" t="n">
        <x:v>26</x:v>
      </x:c>
      <x:c r="J1080" s="18" t="n">
        <x:v>111</x:v>
      </x:c>
      <x:c r="K1080" s="18" t="n">
        <x:v>26</x:v>
      </x:c>
      <x:c r="L1080" s="18" t="n">
        <x:v>22</x:v>
      </x:c>
      <x:c r="M1080" s="18" t="n">
        <x:v>26</x:v>
      </x:c>
    </x:row>
    <x:row r="1081">
      <x:c r="A1081" s="22" t="str">
        <x:v>500108108</x:v>
      </x:c>
      <x:c r="B1081" s="17" t="str">
        <x:v>內湖區</x:v>
      </x:c>
      <x:c r="C1081" s="17" t="str">
        <x:v>三民國中(民權東路六段47巷)</x:v>
      </x:c>
      <x:c r="D1081" s="18" t="n">
        <x:v>26</x:v>
      </x:c>
      <x:c r="E1081" s="18" t="n">
        <x:v>26</x:v>
      </x:c>
      <x:c r="F1081" s="18" t="n">
        <x:v>162</x:v>
      </x:c>
      <x:c r="G1081" s="18" t="n">
        <x:v>26</x:v>
      </x:c>
      <x:c r="H1081" s="18" t="n">
        <x:v>20</x:v>
      </x:c>
      <x:c r="I1081" s="18" t="n">
        <x:v>26</x:v>
      </x:c>
      <x:c r="J1081" s="18" t="n">
        <x:v>107</x:v>
      </x:c>
      <x:c r="K1081" s="18" t="n">
        <x:v>26</x:v>
      </x:c>
      <x:c r="L1081" s="18" t="n">
        <x:v>19</x:v>
      </x:c>
      <x:c r="M1081" s="18" t="n">
        <x:v>26</x:v>
      </x:c>
    </x:row>
    <x:row r="1082">
      <x:c r="A1082" s="22" t="str">
        <x:v>500108109</x:v>
      </x:c>
      <x:c r="B1082" s="17" t="str">
        <x:v>內湖區</x:v>
      </x:c>
      <x:c r="C1082" s="17" t="str">
        <x:v>瑞光路76巷口</x:v>
      </x:c>
      <x:c r="D1082" s="18" t="n">
        <x:v>26</x:v>
      </x:c>
      <x:c r="E1082" s="18" t="n">
        <x:v>26</x:v>
      </x:c>
      <x:c r="F1082" s="18" t="n">
        <x:v>85</x:v>
      </x:c>
      <x:c r="G1082" s="18" t="n">
        <x:v>26</x:v>
      </x:c>
      <x:c r="H1082" s="18" t="n">
        <x:v>58</x:v>
      </x:c>
      <x:c r="I1082" s="18" t="n">
        <x:v>26</x:v>
      </x:c>
      <x:c r="J1082" s="18" t="n">
        <x:v>153</x:v>
      </x:c>
      <x:c r="K1082" s="18" t="n">
        <x:v>26</x:v>
      </x:c>
      <x:c r="L1082" s="18" t="n">
        <x:v>88</x:v>
      </x:c>
      <x:c r="M1082" s="18" t="n">
        <x:v>26</x:v>
      </x:c>
    </x:row>
    <x:row r="1083">
      <x:c r="A1083" s="22" t="str">
        <x:v>500108110</x:v>
      </x:c>
      <x:c r="B1083" s="17" t="str">
        <x:v>內湖區</x:v>
      </x:c>
      <x:c r="C1083" s="17" t="str">
        <x:v>捷運東湖站</x:v>
      </x:c>
      <x:c r="D1083" s="18" t="n">
        <x:v>26</x:v>
      </x:c>
      <x:c r="E1083" s="18" t="n">
        <x:v>26</x:v>
      </x:c>
      <x:c r="F1083" s="18" t="n">
        <x:v>269</x:v>
      </x:c>
      <x:c r="G1083" s="18" t="n">
        <x:v>26</x:v>
      </x:c>
      <x:c r="H1083" s="18" t="n">
        <x:v>23</x:v>
      </x:c>
      <x:c r="I1083" s="18" t="n">
        <x:v>26</x:v>
      </x:c>
      <x:c r="J1083" s="18" t="n">
        <x:v>746</x:v>
      </x:c>
      <x:c r="K1083" s="18" t="n">
        <x:v>26</x:v>
      </x:c>
      <x:c r="L1083" s="18" t="n">
        <x:v>58</x:v>
      </x:c>
      <x:c r="M1083" s="18" t="n">
        <x:v>26</x:v>
      </x:c>
    </x:row>
    <x:row r="1084">
      <x:c r="A1084" s="22" t="str">
        <x:v>500108111</x:v>
      </x:c>
      <x:c r="B1084" s="17" t="str">
        <x:v>內湖區</x:v>
      </x:c>
      <x:c r="C1084" s="17" t="str">
        <x:v>新湖國小</x:v>
      </x:c>
      <x:c r="D1084" s="18" t="n">
        <x:v>26</x:v>
      </x:c>
      <x:c r="E1084" s="18" t="n">
        <x:v>26</x:v>
      </x:c>
      <x:c r="F1084" s="18" t="n">
        <x:v>249</x:v>
      </x:c>
      <x:c r="G1084" s="18" t="n">
        <x:v>26</x:v>
      </x:c>
      <x:c r="H1084" s="18" t="n">
        <x:v>23</x:v>
      </x:c>
      <x:c r="I1084" s="18" t="n">
        <x:v>26</x:v>
      </x:c>
      <x:c r="J1084" s="18" t="n">
        <x:v>132</x:v>
      </x:c>
      <x:c r="K1084" s="18" t="n">
        <x:v>26</x:v>
      </x:c>
      <x:c r="L1084" s="18" t="n">
        <x:v>26</x:v>
      </x:c>
      <x:c r="M1084" s="18" t="n">
        <x:v>26</x:v>
      </x:c>
    </x:row>
    <x:row r="1085">
      <x:c r="A1085" s="22" t="str">
        <x:v>500108112</x:v>
      </x:c>
      <x:c r="B1085" s="17" t="str">
        <x:v>內湖區</x:v>
      </x:c>
      <x:c r="C1085" s="17" t="str">
        <x:v>碧山內湖路口</x:v>
      </x:c>
      <x:c r="D1085" s="18" t="n">
        <x:v>26</x:v>
      </x:c>
      <x:c r="E1085" s="18" t="n">
        <x:v>26</x:v>
      </x:c>
      <x:c r="F1085" s="18" t="n">
        <x:v>370</x:v>
      </x:c>
      <x:c r="G1085" s="18" t="n">
        <x:v>26</x:v>
      </x:c>
      <x:c r="H1085" s="18" t="n">
        <x:v>49</x:v>
      </x:c>
      <x:c r="I1085" s="18" t="n">
        <x:v>26</x:v>
      </x:c>
      <x:c r="J1085" s="18" t="n">
        <x:v>84</x:v>
      </x:c>
      <x:c r="K1085" s="18" t="n">
        <x:v>26</x:v>
      </x:c>
      <x:c r="L1085" s="18" t="n">
        <x:v>17</x:v>
      </x:c>
      <x:c r="M1085" s="18" t="n">
        <x:v>26</x:v>
      </x:c>
    </x:row>
    <x:row r="1086">
      <x:c r="A1086" s="22" t="str">
        <x:v>500108114</x:v>
      </x:c>
      <x:c r="B1086" s="17" t="str">
        <x:v>內湖區</x:v>
      </x:c>
      <x:c r="C1086" s="17" t="str">
        <x:v>安康公園(康寧路三段70巷)</x:v>
      </x:c>
      <x:c r="D1086" s="18" t="n">
        <x:v>26</x:v>
      </x:c>
      <x:c r="E1086" s="18" t="n">
        <x:v>26</x:v>
      </x:c>
      <x:c r="F1086" s="18" t="n">
        <x:v>0</x:v>
      </x:c>
      <x:c r="G1086" s="18" t="n">
        <x:v>26</x:v>
      </x:c>
      <x:c r="H1086" s="18" t="n">
        <x:v>0</x:v>
      </x:c>
      <x:c r="I1086" s="18" t="n">
        <x:v>26</x:v>
      </x:c>
      <x:c r="J1086" s="18" t="n">
        <x:v>0</x:v>
      </x:c>
      <x:c r="K1086" s="18" t="n">
        <x:v>26</x:v>
      </x:c>
      <x:c r="L1086" s="18" t="n">
        <x:v>0</x:v>
      </x:c>
      <x:c r="M1086" s="18" t="n">
        <x:v>26</x:v>
      </x:c>
    </x:row>
    <x:row r="1087">
      <x:c r="A1087" s="22" t="str">
        <x:v>500108115</x:v>
      </x:c>
      <x:c r="B1087" s="17" t="str">
        <x:v>內湖區</x:v>
      </x:c>
      <x:c r="C1087" s="17" t="str">
        <x:v>民權東路六段413巷</x:v>
      </x:c>
      <x:c r="D1087" s="18" t="n">
        <x:v>26</x:v>
      </x:c>
      <x:c r="E1087" s="18" t="n">
        <x:v>26</x:v>
      </x:c>
      <x:c r="F1087" s="18" t="n">
        <x:v>315</x:v>
      </x:c>
      <x:c r="G1087" s="18" t="n">
        <x:v>26</x:v>
      </x:c>
      <x:c r="H1087" s="18" t="n">
        <x:v>87</x:v>
      </x:c>
      <x:c r="I1087" s="18" t="n">
        <x:v>26</x:v>
      </x:c>
      <x:c r="J1087" s="18" t="n">
        <x:v>159</x:v>
      </x:c>
      <x:c r="K1087" s="18" t="n">
        <x:v>26</x:v>
      </x:c>
      <x:c r="L1087" s="18" t="n">
        <x:v>66</x:v>
      </x:c>
      <x:c r="M1087" s="18" t="n">
        <x:v>26</x:v>
      </x:c>
    </x:row>
    <x:row r="1088">
      <x:c r="A1088" s="22" t="str">
        <x:v>500108116</x:v>
      </x:c>
      <x:c r="B1088" s="17" t="str">
        <x:v>內湖區</x:v>
      </x:c>
      <x:c r="C1088" s="17" t="str">
        <x:v>宏匯瑞光廣場(瑞光路)</x:v>
      </x:c>
      <x:c r="D1088" s="18" t="n">
        <x:v>26</x:v>
      </x:c>
      <x:c r="E1088" s="18" t="n">
        <x:v>26</x:v>
      </x:c>
      <x:c r="F1088" s="18" t="n">
        <x:v>98</x:v>
      </x:c>
      <x:c r="G1088" s="18" t="n">
        <x:v>26</x:v>
      </x:c>
      <x:c r="H1088" s="18" t="n">
        <x:v>8</x:v>
      </x:c>
      <x:c r="I1088" s="18" t="n">
        <x:v>26</x:v>
      </x:c>
      <x:c r="J1088" s="18" t="n">
        <x:v>349</x:v>
      </x:c>
      <x:c r="K1088" s="18" t="n">
        <x:v>26</x:v>
      </x:c>
      <x:c r="L1088" s="18" t="n">
        <x:v>56</x:v>
      </x:c>
      <x:c r="M1088" s="18" t="n">
        <x:v>26</x:v>
      </x:c>
    </x:row>
    <x:row r="1089">
      <x:c r="A1089" s="22" t="str">
        <x:v>500108117</x:v>
      </x:c>
      <x:c r="B1089" s="17" t="str">
        <x:v>內湖區</x:v>
      </x:c>
      <x:c r="C1089" s="17" t="str">
        <x:v>宏匯瑞光廣場(港墘路)</x:v>
      </x:c>
      <x:c r="D1089" s="18" t="n">
        <x:v>26</x:v>
      </x:c>
      <x:c r="E1089" s="18" t="n">
        <x:v>26</x:v>
      </x:c>
      <x:c r="F1089" s="18" t="n">
        <x:v>275</x:v>
      </x:c>
      <x:c r="G1089" s="18" t="n">
        <x:v>26</x:v>
      </x:c>
      <x:c r="H1089" s="18" t="n">
        <x:v>21</x:v>
      </x:c>
      <x:c r="I1089" s="18" t="n">
        <x:v>26</x:v>
      </x:c>
      <x:c r="J1089" s="18" t="n">
        <x:v>159</x:v>
      </x:c>
      <x:c r="K1089" s="18" t="n">
        <x:v>26</x:v>
      </x:c>
      <x:c r="L1089" s="18" t="n">
        <x:v>71</x:v>
      </x:c>
      <x:c r="M1089" s="18" t="n">
        <x:v>26</x:v>
      </x:c>
    </x:row>
    <x:row r="1090">
      <x:c r="A1090" s="22" t="str">
        <x:v>500108118</x:v>
      </x:c>
      <x:c r="B1090" s="17" t="str">
        <x:v>內湖區</x:v>
      </x:c>
      <x:c r="C1090" s="17" t="str">
        <x:v>康樂街151巷</x:v>
      </x:c>
      <x:c r="D1090" s="18" t="n">
        <x:v>26</x:v>
      </x:c>
      <x:c r="E1090" s="18" t="n">
        <x:v>26</x:v>
      </x:c>
      <x:c r="F1090" s="18" t="n">
        <x:v>298</x:v>
      </x:c>
      <x:c r="G1090" s="18" t="n">
        <x:v>26</x:v>
      </x:c>
      <x:c r="H1090" s="18" t="n">
        <x:v>34</x:v>
      </x:c>
      <x:c r="I1090" s="18" t="n">
        <x:v>26</x:v>
      </x:c>
      <x:c r="J1090" s="18" t="n">
        <x:v>180</x:v>
      </x:c>
      <x:c r="K1090" s="18" t="n">
        <x:v>26</x:v>
      </x:c>
      <x:c r="L1090" s="18" t="n">
        <x:v>12</x:v>
      </x:c>
      <x:c r="M1090" s="18" t="n">
        <x:v>26</x:v>
      </x:c>
    </x:row>
    <x:row r="1091">
      <x:c r="A1091" s="22" t="str">
        <x:v>500108119</x:v>
      </x:c>
      <x:c r="B1091" s="17" t="str">
        <x:v>內湖區</x:v>
      </x:c>
      <x:c r="C1091" s="17" t="str">
        <x:v>內湖路一段360巷</x:v>
      </x:c>
      <x:c r="D1091" s="18" t="n">
        <x:v>26</x:v>
      </x:c>
      <x:c r="E1091" s="18" t="n">
        <x:v>26</x:v>
      </x:c>
      <x:c r="F1091" s="18" t="n">
        <x:v>62</x:v>
      </x:c>
      <x:c r="G1091" s="18" t="n">
        <x:v>26</x:v>
      </x:c>
      <x:c r="H1091" s="18" t="n">
        <x:v>22</x:v>
      </x:c>
      <x:c r="I1091" s="18" t="n">
        <x:v>26</x:v>
      </x:c>
      <x:c r="J1091" s="18" t="n">
        <x:v>172</x:v>
      </x:c>
      <x:c r="K1091" s="18" t="n">
        <x:v>26</x:v>
      </x:c>
      <x:c r="L1091" s="18" t="n">
        <x:v>57</x:v>
      </x:c>
      <x:c r="M1091" s="18" t="n">
        <x:v>26</x:v>
      </x:c>
    </x:row>
    <x:row r="1092">
      <x:c r="A1092" s="22" t="str">
        <x:v>500108120</x:v>
      </x:c>
      <x:c r="B1092" s="17" t="str">
        <x:v>內湖區</x:v>
      </x:c>
      <x:c r="C1092" s="17" t="str">
        <x:v>成功路三段83號前</x:v>
      </x:c>
      <x:c r="D1092" s="18" t="n">
        <x:v>26</x:v>
      </x:c>
      <x:c r="E1092" s="18" t="n">
        <x:v>26</x:v>
      </x:c>
      <x:c r="F1092" s="18" t="n">
        <x:v>189</x:v>
      </x:c>
      <x:c r="G1092" s="18" t="n">
        <x:v>26</x:v>
      </x:c>
      <x:c r="H1092" s="18" t="n">
        <x:v>59</x:v>
      </x:c>
      <x:c r="I1092" s="18" t="n">
        <x:v>26</x:v>
      </x:c>
      <x:c r="J1092" s="18" t="n">
        <x:v>107</x:v>
      </x:c>
      <x:c r="K1092" s="18" t="n">
        <x:v>26</x:v>
      </x:c>
      <x:c r="L1092" s="18" t="n">
        <x:v>41</x:v>
      </x:c>
      <x:c r="M1092" s="18" t="n">
        <x:v>26</x:v>
      </x:c>
    </x:row>
    <x:row r="1093">
      <x:c r="A1093" s="22" t="str">
        <x:v>500108121</x:v>
      </x:c>
      <x:c r="B1093" s="17" t="str">
        <x:v>內湖區</x:v>
      </x:c>
      <x:c r="C1093" s="17" t="str">
        <x:v>內湖路一段47巷</x:v>
      </x:c>
      <x:c r="D1093" s="18" t="n">
        <x:v>26</x:v>
      </x:c>
      <x:c r="E1093" s="18" t="n">
        <x:v>26</x:v>
      </x:c>
      <x:c r="F1093" s="18" t="n">
        <x:v>269</x:v>
      </x:c>
      <x:c r="G1093" s="18" t="n">
        <x:v>26</x:v>
      </x:c>
      <x:c r="H1093" s="18" t="n">
        <x:v>174</x:v>
      </x:c>
      <x:c r="I1093" s="18" t="n">
        <x:v>26</x:v>
      </x:c>
      <x:c r="J1093" s="18" t="n">
        <x:v>73</x:v>
      </x:c>
      <x:c r="K1093" s="18" t="n">
        <x:v>26</x:v>
      </x:c>
      <x:c r="L1093" s="18" t="n">
        <x:v>40</x:v>
      </x:c>
      <x:c r="M1093" s="18" t="n">
        <x:v>26</x:v>
      </x:c>
    </x:row>
    <x:row r="1094">
      <x:c r="A1094" s="22" t="str">
        <x:v>500108122</x:v>
      </x:c>
      <x:c r="B1094" s="17" t="str">
        <x:v>內湖區</x:v>
      </x:c>
      <x:c r="C1094" s="17" t="str">
        <x:v>陽光舊宗路口</x:v>
      </x:c>
      <x:c r="D1094" s="18" t="n">
        <x:v>26</x:v>
      </x:c>
      <x:c r="E1094" s="18" t="n">
        <x:v>26</x:v>
      </x:c>
      <x:c r="F1094" s="18" t="n">
        <x:v>76</x:v>
      </x:c>
      <x:c r="G1094" s="18" t="n">
        <x:v>26</x:v>
      </x:c>
      <x:c r="H1094" s="18" t="n">
        <x:v>12</x:v>
      </x:c>
      <x:c r="I1094" s="18" t="n">
        <x:v>26</x:v>
      </x:c>
      <x:c r="J1094" s="18" t="n">
        <x:v>741</x:v>
      </x:c>
      <x:c r="K1094" s="18" t="n">
        <x:v>26</x:v>
      </x:c>
      <x:c r="L1094" s="18" t="n">
        <x:v>51</x:v>
      </x:c>
      <x:c r="M1094" s="18" t="n">
        <x:v>26</x:v>
      </x:c>
    </x:row>
    <x:row r="1095">
      <x:c r="A1095" s="22" t="str">
        <x:v>500108123</x:v>
      </x:c>
      <x:c r="B1095" s="17" t="str">
        <x:v>內湖區</x:v>
      </x:c>
      <x:c r="C1095" s="17" t="str">
        <x:v>安湖公園</x:v>
      </x:c>
      <x:c r="D1095" s="18" t="n">
        <x:v>26</x:v>
      </x:c>
      <x:c r="E1095" s="18" t="n">
        <x:v>26</x:v>
      </x:c>
      <x:c r="F1095" s="18" t="n">
        <x:v>125</x:v>
      </x:c>
      <x:c r="G1095" s="18" t="n">
        <x:v>26</x:v>
      </x:c>
      <x:c r="H1095" s="18" t="n">
        <x:v>99</x:v>
      </x:c>
      <x:c r="I1095" s="18" t="n">
        <x:v>26</x:v>
      </x:c>
      <x:c r="J1095" s="18" t="n">
        <x:v>84</x:v>
      </x:c>
      <x:c r="K1095" s="18" t="n">
        <x:v>26</x:v>
      </x:c>
      <x:c r="L1095" s="18" t="n">
        <x:v>43</x:v>
      </x:c>
      <x:c r="M1095" s="18" t="n">
        <x:v>26</x:v>
      </x:c>
    </x:row>
    <x:row r="1096">
      <x:c r="A1096" s="22" t="str">
        <x:v>500108124</x:v>
      </x:c>
      <x:c r="B1096" s="17" t="str">
        <x:v>內湖區</x:v>
      </x:c>
      <x:c r="C1096" s="17" t="str">
        <x:v>湖興公園</x:v>
      </x:c>
      <x:c r="D1096" s="18" t="n">
        <x:v>26</x:v>
      </x:c>
      <x:c r="E1096" s="18" t="n">
        <x:v>26</x:v>
      </x:c>
      <x:c r="F1096" s="18" t="n">
        <x:v>258</x:v>
      </x:c>
      <x:c r="G1096" s="18" t="n">
        <x:v>26</x:v>
      </x:c>
      <x:c r="H1096" s="18" t="n">
        <x:v>78</x:v>
      </x:c>
      <x:c r="I1096" s="18" t="n">
        <x:v>26</x:v>
      </x:c>
      <x:c r="J1096" s="18" t="n">
        <x:v>79</x:v>
      </x:c>
      <x:c r="K1096" s="18" t="n">
        <x:v>26</x:v>
      </x:c>
      <x:c r="L1096" s="18" t="n">
        <x:v>26</x:v>
      </x:c>
      <x:c r="M1096" s="18" t="n">
        <x:v>26</x:v>
      </x:c>
    </x:row>
    <x:row r="1097">
      <x:c r="A1097" s="22" t="str">
        <x:v>500108125</x:v>
      </x:c>
      <x:c r="B1097" s="17" t="str">
        <x:v>內湖區</x:v>
      </x:c>
      <x:c r="C1097" s="17" t="str">
        <x:v>安泰公園</x:v>
      </x:c>
      <x:c r="D1097" s="18" t="n">
        <x:v>26</x:v>
      </x:c>
      <x:c r="E1097" s="18" t="n">
        <x:v>26</x:v>
      </x:c>
      <x:c r="F1097" s="18" t="n">
        <x:v>158</x:v>
      </x:c>
      <x:c r="G1097" s="18" t="n">
        <x:v>26</x:v>
      </x:c>
      <x:c r="H1097" s="18" t="n">
        <x:v>49</x:v>
      </x:c>
      <x:c r="I1097" s="18" t="n">
        <x:v>26</x:v>
      </x:c>
      <x:c r="J1097" s="18" t="n">
        <x:v>97</x:v>
      </x:c>
      <x:c r="K1097" s="18" t="n">
        <x:v>26</x:v>
      </x:c>
      <x:c r="L1097" s="18" t="n">
        <x:v>29</x:v>
      </x:c>
      <x:c r="M1097" s="18" t="n">
        <x:v>26</x:v>
      </x:c>
    </x:row>
    <x:row r="1098">
      <x:c r="A1098" s="22" t="str">
        <x:v>500108126</x:v>
      </x:c>
      <x:c r="B1098" s="17" t="str">
        <x:v>內湖區</x:v>
      </x:c>
      <x:c r="C1098" s="17" t="str">
        <x:v>安泰街(康樂橋下)</x:v>
      </x:c>
      <x:c r="D1098" s="18" t="n">
        <x:v>26</x:v>
      </x:c>
      <x:c r="E1098" s="18" t="n">
        <x:v>26</x:v>
      </x:c>
      <x:c r="F1098" s="18" t="n">
        <x:v>240</x:v>
      </x:c>
      <x:c r="G1098" s="18" t="n">
        <x:v>26</x:v>
      </x:c>
      <x:c r="H1098" s="18" t="n">
        <x:v>76</x:v>
      </x:c>
      <x:c r="I1098" s="18" t="n">
        <x:v>26</x:v>
      </x:c>
      <x:c r="J1098" s="18" t="n">
        <x:v>194</x:v>
      </x:c>
      <x:c r="K1098" s="18" t="n">
        <x:v>26</x:v>
      </x:c>
      <x:c r="L1098" s="18" t="n">
        <x:v>45</x:v>
      </x:c>
      <x:c r="M1098" s="18" t="n">
        <x:v>26</x:v>
      </x:c>
    </x:row>
    <x:row r="1099">
      <x:c r="A1099" s="22" t="str">
        <x:v>500108127</x:v>
      </x:c>
      <x:c r="B1099" s="17" t="str">
        <x:v>內湖區</x:v>
      </x:c>
      <x:c r="C1099" s="17" t="str">
        <x:v>康樂綠地</x:v>
      </x:c>
      <x:c r="D1099" s="18" t="n">
        <x:v>26</x:v>
      </x:c>
      <x:c r="E1099" s="18" t="n">
        <x:v>26</x:v>
      </x:c>
      <x:c r="F1099" s="18" t="n">
        <x:v>254</x:v>
      </x:c>
      <x:c r="G1099" s="18" t="n">
        <x:v>26</x:v>
      </x:c>
      <x:c r="H1099" s="18" t="n">
        <x:v>35</x:v>
      </x:c>
      <x:c r="I1099" s="18" t="n">
        <x:v>26</x:v>
      </x:c>
      <x:c r="J1099" s="18" t="n">
        <x:v>179</x:v>
      </x:c>
      <x:c r="K1099" s="18" t="n">
        <x:v>26</x:v>
      </x:c>
      <x:c r="L1099" s="18" t="n">
        <x:v>24</x:v>
      </x:c>
      <x:c r="M1099" s="18" t="n">
        <x:v>26</x:v>
      </x:c>
    </x:row>
    <x:row r="1100">
      <x:c r="A1100" s="22" t="str">
        <x:v>500108128</x:v>
      </x:c>
      <x:c r="B1100" s="17" t="str">
        <x:v>內湖區</x:v>
      </x:c>
      <x:c r="C1100" s="17" t="str">
        <x:v>捷運港墘站(1號出口)</x:v>
      </x:c>
      <x:c r="D1100" s="18" t="n">
        <x:v>26</x:v>
      </x:c>
      <x:c r="E1100" s="18" t="n">
        <x:v>26</x:v>
      </x:c>
      <x:c r="F1100" s="18" t="n">
        <x:v>197</x:v>
      </x:c>
      <x:c r="G1100" s="18" t="n">
        <x:v>26</x:v>
      </x:c>
      <x:c r="H1100" s="18" t="n">
        <x:v>26</x:v>
      </x:c>
      <x:c r="I1100" s="18" t="n">
        <x:v>26</x:v>
      </x:c>
      <x:c r="J1100" s="18" t="n">
        <x:v>255</x:v>
      </x:c>
      <x:c r="K1100" s="18" t="n">
        <x:v>26</x:v>
      </x:c>
      <x:c r="L1100" s="18" t="n">
        <x:v>51</x:v>
      </x:c>
      <x:c r="M1100" s="18" t="n">
        <x:v>26</x:v>
      </x:c>
    </x:row>
    <x:row r="1101">
      <x:c r="A1101" s="22" t="str">
        <x:v>500108129</x:v>
      </x:c>
      <x:c r="B1101" s="17" t="str">
        <x:v>內湖區</x:v>
      </x:c>
      <x:c r="C1101" s="17" t="str">
        <x:v>明美公園(行善路333巷)</x:v>
      </x:c>
      <x:c r="D1101" s="18" t="n">
        <x:v>26</x:v>
      </x:c>
      <x:c r="E1101" s="18" t="n">
        <x:v>26</x:v>
      </x:c>
      <x:c r="F1101" s="18" t="n">
        <x:v>489</x:v>
      </x:c>
      <x:c r="G1101" s="18" t="n">
        <x:v>26</x:v>
      </x:c>
      <x:c r="H1101" s="18" t="n">
        <x:v>57</x:v>
      </x:c>
      <x:c r="I1101" s="18" t="n">
        <x:v>26</x:v>
      </x:c>
      <x:c r="J1101" s="18" t="n">
        <x:v>98</x:v>
      </x:c>
      <x:c r="K1101" s="18" t="n">
        <x:v>26</x:v>
      </x:c>
      <x:c r="L1101" s="18" t="n">
        <x:v>39</x:v>
      </x:c>
      <x:c r="M1101" s="18" t="n">
        <x:v>26</x:v>
      </x:c>
    </x:row>
    <x:row r="1102">
      <x:c r="A1102" s="22" t="str">
        <x:v>500108130</x:v>
      </x:c>
      <x:c r="B1102" s="17" t="str">
        <x:v>內湖區</x:v>
      </x:c>
      <x:c r="C1102" s="17" t="str">
        <x:v>行善路383巷</x:v>
      </x:c>
      <x:c r="D1102" s="18" t="n">
        <x:v>26</x:v>
      </x:c>
      <x:c r="E1102" s="18" t="n">
        <x:v>26</x:v>
      </x:c>
      <x:c r="F1102" s="18" t="n">
        <x:v>0</x:v>
      </x:c>
      <x:c r="G1102" s="18" t="n">
        <x:v>26</x:v>
      </x:c>
      <x:c r="H1102" s="18" t="n">
        <x:v>0</x:v>
      </x:c>
      <x:c r="I1102" s="18" t="n">
        <x:v>26</x:v>
      </x:c>
      <x:c r="J1102" s="18" t="n">
        <x:v>0</x:v>
      </x:c>
      <x:c r="K1102" s="18" t="n">
        <x:v>26</x:v>
      </x:c>
      <x:c r="L1102" s="18" t="n">
        <x:v>0</x:v>
      </x:c>
      <x:c r="M1102" s="18" t="n">
        <x:v>26</x:v>
      </x:c>
    </x:row>
    <x:row r="1103">
      <x:c r="A1103" s="22" t="str">
        <x:v>500108131</x:v>
      </x:c>
      <x:c r="B1103" s="17" t="str">
        <x:v>內湖區</x:v>
      </x:c>
      <x:c r="C1103" s="17" t="str">
        <x:v>舊宗新湖三路口</x:v>
      </x:c>
      <x:c r="D1103" s="18" t="n">
        <x:v>26</x:v>
      </x:c>
      <x:c r="E1103" s="18" t="n">
        <x:v>26</x:v>
      </x:c>
      <x:c r="F1103" s="18" t="n">
        <x:v>219</x:v>
      </x:c>
      <x:c r="G1103" s="18" t="n">
        <x:v>26</x:v>
      </x:c>
      <x:c r="H1103" s="18" t="n">
        <x:v>12</x:v>
      </x:c>
      <x:c r="I1103" s="18" t="n">
        <x:v>26</x:v>
      </x:c>
      <x:c r="J1103" s="18" t="n">
        <x:v>467</x:v>
      </x:c>
      <x:c r="K1103" s="18" t="n">
        <x:v>26</x:v>
      </x:c>
      <x:c r="L1103" s="18" t="n">
        <x:v>86</x:v>
      </x:c>
      <x:c r="M1103" s="18" t="n">
        <x:v>26</x:v>
      </x:c>
    </x:row>
    <x:row r="1104">
      <x:c r="A1104" s="22" t="str">
        <x:v>500108132</x:v>
      </x:c>
      <x:c r="B1104" s="17" t="str">
        <x:v>內湖區</x:v>
      </x:c>
      <x:c r="C1104" s="17" t="str">
        <x:v>內湖運動公園</x:v>
      </x:c>
      <x:c r="D1104" s="18" t="n">
        <x:v>26</x:v>
      </x:c>
      <x:c r="E1104" s="18" t="n">
        <x:v>26</x:v>
      </x:c>
      <x:c r="F1104" s="18" t="n">
        <x:v>146</x:v>
      </x:c>
      <x:c r="G1104" s="18" t="n">
        <x:v>26</x:v>
      </x:c>
      <x:c r="H1104" s="18" t="n">
        <x:v>35</x:v>
      </x:c>
      <x:c r="I1104" s="18" t="n">
        <x:v>26</x:v>
      </x:c>
      <x:c r="J1104" s="18" t="n">
        <x:v>419</x:v>
      </x:c>
      <x:c r="K1104" s="18" t="n">
        <x:v>26</x:v>
      </x:c>
      <x:c r="L1104" s="18" t="n">
        <x:v>69</x:v>
      </x:c>
      <x:c r="M1104" s="18" t="n">
        <x:v>26</x:v>
      </x:c>
    </x:row>
    <x:row r="1105">
      <x:c r="A1105" s="22" t="str">
        <x:v>500108133</x:v>
      </x:c>
      <x:c r="B1105" s="17" t="str">
        <x:v>內湖區</x:v>
      </x:c>
      <x:c r="C1105" s="17" t="str">
        <x:v>內湖路三段326巷口</x:v>
      </x:c>
      <x:c r="D1105" s="18" t="n">
        <x:v>26</x:v>
      </x:c>
      <x:c r="E1105" s="18" t="n">
        <x:v>26</x:v>
      </x:c>
      <x:c r="F1105" s="18" t="n">
        <x:v>284</x:v>
      </x:c>
      <x:c r="G1105" s="18" t="n">
        <x:v>26</x:v>
      </x:c>
      <x:c r="H1105" s="18" t="n">
        <x:v>101</x:v>
      </x:c>
      <x:c r="I1105" s="18" t="n">
        <x:v>26</x:v>
      </x:c>
      <x:c r="J1105" s="18" t="n">
        <x:v>79</x:v>
      </x:c>
      <x:c r="K1105" s="18" t="n">
        <x:v>26</x:v>
      </x:c>
      <x:c r="L1105" s="18" t="n">
        <x:v>31</x:v>
      </x:c>
      <x:c r="M1105" s="18" t="n">
        <x:v>26</x:v>
      </x:c>
    </x:row>
    <x:row r="1106">
      <x:c r="A1106" s="22" t="str">
        <x:v>500108134</x:v>
      </x:c>
      <x:c r="B1106" s="17" t="str">
        <x:v>內湖區</x:v>
      </x:c>
      <x:c r="C1106" s="17" t="str">
        <x:v>成功公園</x:v>
      </x:c>
      <x:c r="D1106" s="18" t="n">
        <x:v>26</x:v>
      </x:c>
      <x:c r="E1106" s="18" t="n">
        <x:v>26</x:v>
      </x:c>
      <x:c r="F1106" s="18" t="n">
        <x:v>151</x:v>
      </x:c>
      <x:c r="G1106" s="18" t="n">
        <x:v>26</x:v>
      </x:c>
      <x:c r="H1106" s="18" t="n">
        <x:v>27</x:v>
      </x:c>
      <x:c r="I1106" s="18" t="n">
        <x:v>26</x:v>
      </x:c>
      <x:c r="J1106" s="18" t="n">
        <x:v>85</x:v>
      </x:c>
      <x:c r="K1106" s="18" t="n">
        <x:v>26</x:v>
      </x:c>
      <x:c r="L1106" s="18" t="n">
        <x:v>35</x:v>
      </x:c>
      <x:c r="M1106" s="18" t="n">
        <x:v>26</x:v>
      </x:c>
    </x:row>
    <x:row r="1107">
      <x:c r="A1107" s="22" t="str">
        <x:v>500108135</x:v>
      </x:c>
      <x:c r="B1107" s="17" t="str">
        <x:v>內湖區</x:v>
      </x:c>
      <x:c r="C1107" s="17" t="str">
        <x:v>康寧路三段189巷93弄口</x:v>
      </x:c>
      <x:c r="D1107" s="18" t="n">
        <x:v>26</x:v>
      </x:c>
      <x:c r="E1107" s="18" t="n">
        <x:v>26</x:v>
      </x:c>
      <x:c r="F1107" s="18" t="n">
        <x:v>328</x:v>
      </x:c>
      <x:c r="G1107" s="18" t="n">
        <x:v>26</x:v>
      </x:c>
      <x:c r="H1107" s="18" t="n">
        <x:v>75</x:v>
      </x:c>
      <x:c r="I1107" s="18" t="n">
        <x:v>26</x:v>
      </x:c>
      <x:c r="J1107" s="18" t="n">
        <x:v>117</x:v>
      </x:c>
      <x:c r="K1107" s="18" t="n">
        <x:v>26</x:v>
      </x:c>
      <x:c r="L1107" s="18" t="n">
        <x:v>48</x:v>
      </x:c>
      <x:c r="M1107" s="18" t="n">
        <x:v>26</x:v>
      </x:c>
    </x:row>
    <x:row r="1108">
      <x:c r="A1108" s="22" t="str">
        <x:v>500108136</x:v>
      </x:c>
      <x:c r="B1108" s="17" t="str">
        <x:v>內湖區</x:v>
      </x:c>
      <x:c r="C1108" s="17" t="str">
        <x:v>中國醫藥大學附設醫院臺北分院</x:v>
      </x:c>
      <x:c r="D1108" s="18" t="n">
        <x:v>26</x:v>
      </x:c>
      <x:c r="E1108" s="18" t="n">
        <x:v>26</x:v>
      </x:c>
      <x:c r="F1108" s="18" t="n">
        <x:v>166</x:v>
      </x:c>
      <x:c r="G1108" s="18" t="n">
        <x:v>26</x:v>
      </x:c>
      <x:c r="H1108" s="18" t="n">
        <x:v>28</x:v>
      </x:c>
      <x:c r="I1108" s="18" t="n">
        <x:v>26</x:v>
      </x:c>
      <x:c r="J1108" s="18" t="n">
        <x:v>180</x:v>
      </x:c>
      <x:c r="K1108" s="18" t="n">
        <x:v>26</x:v>
      </x:c>
      <x:c r="L1108" s="18" t="n">
        <x:v>31</x:v>
      </x:c>
      <x:c r="M1108" s="18" t="n">
        <x:v>26</x:v>
      </x:c>
    </x:row>
    <x:row r="1109">
      <x:c r="A1109" s="22" t="str">
        <x:v>500108137</x:v>
      </x:c>
      <x:c r="B1109" s="17" t="str">
        <x:v>內湖區</x:v>
      </x:c>
      <x:c r="C1109" s="17" t="str">
        <x:v>康樂抽水站</x:v>
      </x:c>
      <x:c r="D1109" s="18" t="n">
        <x:v>26</x:v>
      </x:c>
      <x:c r="E1109" s="18" t="n">
        <x:v>26</x:v>
      </x:c>
      <x:c r="F1109" s="18" t="n">
        <x:v>254</x:v>
      </x:c>
      <x:c r="G1109" s="18" t="n">
        <x:v>26</x:v>
      </x:c>
      <x:c r="H1109" s="18" t="n">
        <x:v>81</x:v>
      </x:c>
      <x:c r="I1109" s="18" t="n">
        <x:v>26</x:v>
      </x:c>
      <x:c r="J1109" s="18" t="n">
        <x:v>103</x:v>
      </x:c>
      <x:c r="K1109" s="18" t="n">
        <x:v>26</x:v>
      </x:c>
      <x:c r="L1109" s="18" t="n">
        <x:v>25</x:v>
      </x:c>
      <x:c r="M1109" s="18" t="n">
        <x:v>26</x:v>
      </x:c>
    </x:row>
    <x:row r="1110">
      <x:c r="A1110" s="22" t="str">
        <x:v>500108138</x:v>
      </x:c>
      <x:c r="B1110" s="17" t="str">
        <x:v>內湖區</x:v>
      </x:c>
      <x:c r="C1110" s="17" t="str">
        <x:v>環山路三段16巷口</x:v>
      </x:c>
      <x:c r="D1110" s="18" t="n">
        <x:v>26</x:v>
      </x:c>
      <x:c r="E1110" s="18" t="n">
        <x:v>26</x:v>
      </x:c>
      <x:c r="F1110" s="18" t="n">
        <x:v>295</x:v>
      </x:c>
      <x:c r="G1110" s="18" t="n">
        <x:v>26</x:v>
      </x:c>
      <x:c r="H1110" s="18" t="n">
        <x:v>77</x:v>
      </x:c>
      <x:c r="I1110" s="18" t="n">
        <x:v>26</x:v>
      </x:c>
      <x:c r="J1110" s="18" t="n">
        <x:v>211</x:v>
      </x:c>
      <x:c r="K1110" s="18" t="n">
        <x:v>26</x:v>
      </x:c>
      <x:c r="L1110" s="18" t="n">
        <x:v>35</x:v>
      </x:c>
      <x:c r="M1110" s="18" t="n">
        <x:v>26</x:v>
      </x:c>
    </x:row>
    <x:row r="1111">
      <x:c r="A1111" s="22" t="str">
        <x:v>500108139</x:v>
      </x:c>
      <x:c r="B1111" s="17" t="str">
        <x:v>內湖區</x:v>
      </x:c>
      <x:c r="C1111" s="17" t="str">
        <x:v>文德一號綠地</x:v>
      </x:c>
      <x:c r="D1111" s="18" t="n">
        <x:v>26</x:v>
      </x:c>
      <x:c r="E1111" s="18" t="n">
        <x:v>26</x:v>
      </x:c>
      <x:c r="F1111" s="18" t="n">
        <x:v>216</x:v>
      </x:c>
      <x:c r="G1111" s="18" t="n">
        <x:v>26</x:v>
      </x:c>
      <x:c r="H1111" s="18" t="n">
        <x:v>25</x:v>
      </x:c>
      <x:c r="I1111" s="18" t="n">
        <x:v>26</x:v>
      </x:c>
      <x:c r="J1111" s="18" t="n">
        <x:v>99</x:v>
      </x:c>
      <x:c r="K1111" s="18" t="n">
        <x:v>26</x:v>
      </x:c>
      <x:c r="L1111" s="18" t="n">
        <x:v>14</x:v>
      </x:c>
      <x:c r="M1111" s="18" t="n">
        <x:v>26</x:v>
      </x:c>
    </x:row>
    <x:row r="1112">
      <x:c r="A1112" s="22" t="str">
        <x:v>500108140</x:v>
      </x:c>
      <x:c r="B1112" s="17" t="str">
        <x:v>內湖區</x:v>
      </x:c>
      <x:c r="C1112" s="17" t="str">
        <x:v>臺北花市</x:v>
      </x:c>
      <x:c r="D1112" s="18" t="n">
        <x:v>26</x:v>
      </x:c>
      <x:c r="E1112" s="18" t="n">
        <x:v>26</x:v>
      </x:c>
      <x:c r="F1112" s="18" t="n">
        <x:v>131</x:v>
      </x:c>
      <x:c r="G1112" s="18" t="n">
        <x:v>26</x:v>
      </x:c>
      <x:c r="H1112" s="18" t="n">
        <x:v>57</x:v>
      </x:c>
      <x:c r="I1112" s="18" t="n">
        <x:v>26</x:v>
      </x:c>
      <x:c r="J1112" s="18" t="n">
        <x:v>788</x:v>
      </x:c>
      <x:c r="K1112" s="18" t="n">
        <x:v>26</x:v>
      </x:c>
      <x:c r="L1112" s="18" t="n">
        <x:v>93</x:v>
      </x:c>
      <x:c r="M1112" s="18" t="n">
        <x:v>26</x:v>
      </x:c>
    </x:row>
    <x:row r="1113">
      <x:c r="A1113" s="22" t="str">
        <x:v>500108141</x:v>
      </x:c>
      <x:c r="B1113" s="17" t="str">
        <x:v>內湖區</x:v>
      </x:c>
      <x:c r="C1113" s="17" t="str">
        <x:v>行善社會住宅</x:v>
      </x:c>
      <x:c r="D1113" s="18" t="n">
        <x:v>26</x:v>
      </x:c>
      <x:c r="E1113" s="18" t="n">
        <x:v>26</x:v>
      </x:c>
      <x:c r="F1113" s="18" t="n">
        <x:v>238</x:v>
      </x:c>
      <x:c r="G1113" s="18" t="n">
        <x:v>26</x:v>
      </x:c>
      <x:c r="H1113" s="18" t="n">
        <x:v>24</x:v>
      </x:c>
      <x:c r="I1113" s="18" t="n">
        <x:v>26</x:v>
      </x:c>
      <x:c r="J1113" s="18" t="n">
        <x:v>132</x:v>
      </x:c>
      <x:c r="K1113" s="18" t="n">
        <x:v>26</x:v>
      </x:c>
      <x:c r="L1113" s="18" t="n">
        <x:v>20</x:v>
      </x:c>
      <x:c r="M1113" s="18" t="n">
        <x:v>26</x:v>
      </x:c>
    </x:row>
    <x:row r="1114">
      <x:c r="A1114" s="22" t="str">
        <x:v>500108142</x:v>
      </x:c>
      <x:c r="B1114" s="17" t="str">
        <x:v>內湖區</x:v>
      </x:c>
      <x:c r="C1114" s="17" t="str">
        <x:v>康寧路三段99巷17弄口</x:v>
      </x:c>
      <x:c r="D1114" s="18" t="n">
        <x:v>26</x:v>
      </x:c>
      <x:c r="E1114" s="18" t="n">
        <x:v>26</x:v>
      </x:c>
      <x:c r="F1114" s="18" t="n">
        <x:v>119</x:v>
      </x:c>
      <x:c r="G1114" s="18" t="n">
        <x:v>26</x:v>
      </x:c>
      <x:c r="H1114" s="18" t="n">
        <x:v>25</x:v>
      </x:c>
      <x:c r="I1114" s="18" t="n">
        <x:v>26</x:v>
      </x:c>
      <x:c r="J1114" s="18" t="n">
        <x:v>138</x:v>
      </x:c>
      <x:c r="K1114" s="18" t="n">
        <x:v>26</x:v>
      </x:c>
      <x:c r="L1114" s="18" t="n">
        <x:v>36</x:v>
      </x:c>
      <x:c r="M1114" s="18" t="n">
        <x:v>26</x:v>
      </x:c>
    </x:row>
    <x:row r="1115">
      <x:c r="A1115" s="22" t="str">
        <x:v>500108143</x:v>
      </x:c>
      <x:c r="B1115" s="17" t="str">
        <x:v>內湖區</x:v>
      </x:c>
      <x:c r="C1115" s="17" t="str">
        <x:v>堤頂大道二段407巷口</x:v>
      </x:c>
      <x:c r="D1115" s="18" t="n">
        <x:v>26</x:v>
      </x:c>
      <x:c r="E1115" s="18" t="n">
        <x:v>26</x:v>
      </x:c>
      <x:c r="F1115" s="18" t="n">
        <x:v>44</x:v>
      </x:c>
      <x:c r="G1115" s="18" t="n">
        <x:v>26</x:v>
      </x:c>
      <x:c r="H1115" s="18" t="n">
        <x:v>11</x:v>
      </x:c>
      <x:c r="I1115" s="18" t="n">
        <x:v>26</x:v>
      </x:c>
      <x:c r="J1115" s="18" t="n">
        <x:v>205</x:v>
      </x:c>
      <x:c r="K1115" s="18" t="n">
        <x:v>26</x:v>
      </x:c>
      <x:c r="L1115" s="18" t="n">
        <x:v>37</x:v>
      </x:c>
      <x:c r="M1115" s="18" t="n">
        <x:v>26</x:v>
      </x:c>
    </x:row>
    <x:row r="1116">
      <x:c r="A1116" s="22" t="str">
        <x:v>500108144</x:v>
      </x:c>
      <x:c r="B1116" s="17" t="str">
        <x:v>內湖區</x:v>
      </x:c>
      <x:c r="C1116" s="17" t="str">
        <x:v>海德堡科技大樓</x:v>
      </x:c>
      <x:c r="D1116" s="18" t="n">
        <x:v>26</x:v>
      </x:c>
      <x:c r="E1116" s="18" t="n">
        <x:v>26</x:v>
      </x:c>
      <x:c r="F1116" s="18" t="n">
        <x:v>78</x:v>
      </x:c>
      <x:c r="G1116" s="18" t="n">
        <x:v>26</x:v>
      </x:c>
      <x:c r="H1116" s="18" t="n">
        <x:v>7</x:v>
      </x:c>
      <x:c r="I1116" s="18" t="n">
        <x:v>26</x:v>
      </x:c>
      <x:c r="J1116" s="18" t="n">
        <x:v>312</x:v>
      </x:c>
      <x:c r="K1116" s="18" t="n">
        <x:v>26</x:v>
      </x:c>
      <x:c r="L1116" s="18" t="n">
        <x:v>29</x:v>
      </x:c>
      <x:c r="M1116" s="18" t="n">
        <x:v>26</x:v>
      </x:c>
    </x:row>
    <x:row r="1117">
      <x:c r="A1117" s="22" t="str">
        <x:v>500108145</x:v>
      </x:c>
      <x:c r="B1117" s="17" t="str">
        <x:v>內湖區</x:v>
      </x:c>
      <x:c r="C1117" s="17" t="str">
        <x:v>致伸科技大樓</x:v>
      </x:c>
      <x:c r="D1117" s="18" t="n">
        <x:v>26</x:v>
      </x:c>
      <x:c r="E1117" s="18" t="n">
        <x:v>26</x:v>
      </x:c>
      <x:c r="F1117" s="18" t="n">
        <x:v>82</x:v>
      </x:c>
      <x:c r="G1117" s="18" t="n">
        <x:v>26</x:v>
      </x:c>
      <x:c r="H1117" s="18" t="n">
        <x:v>16</x:v>
      </x:c>
      <x:c r="I1117" s="18" t="n">
        <x:v>26</x:v>
      </x:c>
      <x:c r="J1117" s="18" t="n">
        <x:v>487</x:v>
      </x:c>
      <x:c r="K1117" s="18" t="n">
        <x:v>26</x:v>
      </x:c>
      <x:c r="L1117" s="18" t="n">
        <x:v>55</x:v>
      </x:c>
      <x:c r="M1117" s="18" t="n">
        <x:v>26</x:v>
      </x:c>
    </x:row>
    <x:row r="1118">
      <x:c r="A1118" s="22" t="str">
        <x:v>500108146</x:v>
      </x:c>
      <x:c r="B1118" s="17" t="str">
        <x:v>內湖區</x:v>
      </x:c>
      <x:c r="C1118" s="17" t="str">
        <x:v>內湖路一段288巷口</x:v>
      </x:c>
      <x:c r="D1118" s="18" t="n">
        <x:v>26</x:v>
      </x:c>
      <x:c r="E1118" s="18" t="n">
        <x:v>26</x:v>
      </x:c>
      <x:c r="F1118" s="18" t="n">
        <x:v>312</x:v>
      </x:c>
      <x:c r="G1118" s="18" t="n">
        <x:v>26</x:v>
      </x:c>
      <x:c r="H1118" s="18" t="n">
        <x:v>46</x:v>
      </x:c>
      <x:c r="I1118" s="18" t="n">
        <x:v>26</x:v>
      </x:c>
      <x:c r="J1118" s="18" t="n">
        <x:v>128</x:v>
      </x:c>
      <x:c r="K1118" s="18" t="n">
        <x:v>26</x:v>
      </x:c>
      <x:c r="L1118" s="18" t="n">
        <x:v>42</x:v>
      </x:c>
      <x:c r="M1118" s="18" t="n">
        <x:v>26</x:v>
      </x:c>
    </x:row>
    <x:row r="1119">
      <x:c r="A1119" s="22" t="str">
        <x:v>500108147</x:v>
      </x:c>
      <x:c r="B1119" s="17" t="str">
        <x:v>內湖區</x:v>
      </x:c>
      <x:c r="C1119" s="17" t="str">
        <x:v>大都會客運內湖站</x:v>
      </x:c>
      <x:c r="D1119" s="18" t="n">
        <x:v>26</x:v>
      </x:c>
      <x:c r="E1119" s="18" t="n">
        <x:v>26</x:v>
      </x:c>
      <x:c r="F1119" s="18" t="n">
        <x:v>312</x:v>
      </x:c>
      <x:c r="G1119" s="18" t="n">
        <x:v>26</x:v>
      </x:c>
      <x:c r="H1119" s="18" t="n">
        <x:v>27</x:v>
      </x:c>
      <x:c r="I1119" s="18" t="n">
        <x:v>26</x:v>
      </x:c>
      <x:c r="J1119" s="18" t="n">
        <x:v>222</x:v>
      </x:c>
      <x:c r="K1119" s="18" t="n">
        <x:v>26</x:v>
      </x:c>
      <x:c r="L1119" s="18" t="n">
        <x:v>37</x:v>
      </x:c>
      <x:c r="M1119" s="18" t="n">
        <x:v>26</x:v>
      </x:c>
    </x:row>
    <x:row r="1120">
      <x:c r="A1120" s="22" t="str">
        <x:v>500108148</x:v>
      </x:c>
      <x:c r="B1120" s="17" t="str">
        <x:v>內湖區</x:v>
      </x:c>
      <x:c r="C1120" s="17" t="str">
        <x:v>瑞湖公園</x:v>
      </x:c>
      <x:c r="D1120" s="18" t="n">
        <x:v>26</x:v>
      </x:c>
      <x:c r="E1120" s="18" t="n">
        <x:v>26</x:v>
      </x:c>
      <x:c r="F1120" s="18" t="n">
        <x:v>87</x:v>
      </x:c>
      <x:c r="G1120" s="18" t="n">
        <x:v>26</x:v>
      </x:c>
      <x:c r="H1120" s="18" t="n">
        <x:v>52</x:v>
      </x:c>
      <x:c r="I1120" s="18" t="n">
        <x:v>26</x:v>
      </x:c>
      <x:c r="J1120" s="18" t="n">
        <x:v>282</x:v>
      </x:c>
      <x:c r="K1120" s="18" t="n">
        <x:v>26</x:v>
      </x:c>
      <x:c r="L1120" s="18" t="n">
        <x:v>73</x:v>
      </x:c>
      <x:c r="M1120" s="18" t="n">
        <x:v>26</x:v>
      </x:c>
    </x:row>
    <x:row r="1121">
      <x:c r="A1121" s="22" t="str">
        <x:v>500108149</x:v>
      </x:c>
      <x:c r="B1121" s="17" t="str">
        <x:v>內湖區</x:v>
      </x:c>
      <x:c r="C1121" s="17" t="str">
        <x:v>瑞光公園(陽光街321巷)</x:v>
      </x:c>
      <x:c r="D1121" s="18" t="n">
        <x:v>26</x:v>
      </x:c>
      <x:c r="E1121" s="18" t="n">
        <x:v>26</x:v>
      </x:c>
      <x:c r="F1121" s="18" t="n">
        <x:v>0</x:v>
      </x:c>
      <x:c r="G1121" s="18" t="n">
        <x:v>26</x:v>
      </x:c>
      <x:c r="H1121" s="18" t="n">
        <x:v>0</x:v>
      </x:c>
      <x:c r="I1121" s="18" t="n">
        <x:v>26</x:v>
      </x:c>
      <x:c r="J1121" s="18" t="n">
        <x:v>0</x:v>
      </x:c>
      <x:c r="K1121" s="18" t="n">
        <x:v>26</x:v>
      </x:c>
      <x:c r="L1121" s="18" t="n">
        <x:v>0</x:v>
      </x:c>
      <x:c r="M1121" s="18" t="n">
        <x:v>26</x:v>
      </x:c>
    </x:row>
    <x:row r="1122">
      <x:c r="A1122" s="22" t="str">
        <x:v>500108150</x:v>
      </x:c>
      <x:c r="B1122" s="17" t="str">
        <x:v>內湖區</x:v>
      </x:c>
      <x:c r="C1122" s="17" t="str">
        <x:v>台灣世曦大樓</x:v>
      </x:c>
      <x:c r="D1122" s="18" t="n">
        <x:v>26</x:v>
      </x:c>
      <x:c r="E1122" s="18" t="n">
        <x:v>26</x:v>
      </x:c>
      <x:c r="F1122" s="18" t="n">
        <x:v>98</x:v>
      </x:c>
      <x:c r="G1122" s="18" t="n">
        <x:v>26</x:v>
      </x:c>
      <x:c r="H1122" s="18" t="n">
        <x:v>12</x:v>
      </x:c>
      <x:c r="I1122" s="18" t="n">
        <x:v>26</x:v>
      </x:c>
      <x:c r="J1122" s="18" t="n">
        <x:v>142</x:v>
      </x:c>
      <x:c r="K1122" s="18" t="n">
        <x:v>26</x:v>
      </x:c>
      <x:c r="L1122" s="18" t="n">
        <x:v>42</x:v>
      </x:c>
      <x:c r="M1122" s="18" t="n">
        <x:v>26</x:v>
      </x:c>
    </x:row>
    <x:row r="1123">
      <x:c r="A1123" s="22" t="str">
        <x:v>500108151</x:v>
      </x:c>
      <x:c r="B1123" s="17" t="str">
        <x:v>內湖區</x:v>
      </x:c>
      <x:c r="C1123" s="17" t="str">
        <x:v>遠雄時代總部</x:v>
      </x:c>
      <x:c r="D1123" s="18" t="n">
        <x:v>26</x:v>
      </x:c>
      <x:c r="E1123" s="18" t="n">
        <x:v>26</x:v>
      </x:c>
      <x:c r="F1123" s="18" t="n">
        <x:v>83</x:v>
      </x:c>
      <x:c r="G1123" s="18" t="n">
        <x:v>26</x:v>
      </x:c>
      <x:c r="H1123" s="18" t="n">
        <x:v>13</x:v>
      </x:c>
      <x:c r="I1123" s="18" t="n">
        <x:v>26</x:v>
      </x:c>
      <x:c r="J1123" s="18" t="n">
        <x:v>851</x:v>
      </x:c>
      <x:c r="K1123" s="18" t="n">
        <x:v>26</x:v>
      </x:c>
      <x:c r="L1123" s="18" t="n">
        <x:v>40</x:v>
      </x:c>
      <x:c r="M1123" s="18" t="n">
        <x:v>26</x:v>
      </x:c>
    </x:row>
    <x:row r="1124">
      <x:c r="A1124" s="22" t="str">
        <x:v>500108152</x:v>
      </x:c>
      <x:c r="B1124" s="17" t="str">
        <x:v>內湖區</x:v>
      </x:c>
      <x:c r="C1124" s="17" t="str">
        <x:v>瑞光路358巷口</x:v>
      </x:c>
      <x:c r="D1124" s="18" t="n">
        <x:v>26</x:v>
      </x:c>
      <x:c r="E1124" s="18" t="n">
        <x:v>26</x:v>
      </x:c>
      <x:c r="F1124" s="18" t="n">
        <x:v>113</x:v>
      </x:c>
      <x:c r="G1124" s="18" t="n">
        <x:v>26</x:v>
      </x:c>
      <x:c r="H1124" s="18" t="n">
        <x:v>13</x:v>
      </x:c>
      <x:c r="I1124" s="18" t="n">
        <x:v>26</x:v>
      </x:c>
      <x:c r="J1124" s="18" t="n">
        <x:v>655</x:v>
      </x:c>
      <x:c r="K1124" s="18" t="n">
        <x:v>26</x:v>
      </x:c>
      <x:c r="L1124" s="18" t="n">
        <x:v>67</x:v>
      </x:c>
      <x:c r="M1124" s="18" t="n">
        <x:v>26</x:v>
      </x:c>
    </x:row>
    <x:row r="1125">
      <x:c r="A1125" s="22" t="str">
        <x:v>500108153</x:v>
      </x:c>
      <x:c r="B1125" s="17" t="str">
        <x:v>內湖區</x:v>
      </x:c>
      <x:c r="C1125" s="17" t="str">
        <x:v>大港墘公園(洲子街)</x:v>
      </x:c>
      <x:c r="D1125" s="18" t="n">
        <x:v>26</x:v>
      </x:c>
      <x:c r="E1125" s="18" t="n">
        <x:v>26</x:v>
      </x:c>
      <x:c r="F1125" s="18" t="n">
        <x:v>114</x:v>
      </x:c>
      <x:c r="G1125" s="18" t="n">
        <x:v>26</x:v>
      </x:c>
      <x:c r="H1125" s="18" t="n">
        <x:v>43</x:v>
      </x:c>
      <x:c r="I1125" s="18" t="n">
        <x:v>26</x:v>
      </x:c>
      <x:c r="J1125" s="18" t="n">
        <x:v>193</x:v>
      </x:c>
      <x:c r="K1125" s="18" t="n">
        <x:v>26</x:v>
      </x:c>
      <x:c r="L1125" s="18" t="n">
        <x:v>55</x:v>
      </x:c>
      <x:c r="M1125" s="18" t="n">
        <x:v>26</x:v>
      </x:c>
    </x:row>
    <x:row r="1126">
      <x:c r="A1126" s="22" t="str">
        <x:v>500108154</x:v>
      </x:c>
      <x:c r="B1126" s="17" t="str">
        <x:v>內湖區</x:v>
      </x:c>
      <x:c r="C1126" s="17" t="str">
        <x:v>世紀經貿</x:v>
      </x:c>
      <x:c r="D1126" s="18" t="n">
        <x:v>26</x:v>
      </x:c>
      <x:c r="E1126" s="18" t="n">
        <x:v>26</x:v>
      </x:c>
      <x:c r="F1126" s="18" t="n">
        <x:v>216</x:v>
      </x:c>
      <x:c r="G1126" s="18" t="n">
        <x:v>26</x:v>
      </x:c>
      <x:c r="H1126" s="18" t="n">
        <x:v>21</x:v>
      </x:c>
      <x:c r="I1126" s="18" t="n">
        <x:v>26</x:v>
      </x:c>
      <x:c r="J1126" s="18" t="n">
        <x:v>104</x:v>
      </x:c>
      <x:c r="K1126" s="18" t="n">
        <x:v>26</x:v>
      </x:c>
      <x:c r="L1126" s="18" t="n">
        <x:v>50</x:v>
      </x:c>
      <x:c r="M1126" s="18" t="n">
        <x:v>26</x:v>
      </x:c>
    </x:row>
    <x:row r="1127">
      <x:c r="A1127" s="22" t="str">
        <x:v>500108155</x:v>
      </x:c>
      <x:c r="B1127" s="17" t="str">
        <x:v>內湖區</x:v>
      </x:c>
      <x:c r="C1127" s="17" t="str">
        <x:v>臺北市立圖書館西湖分館</x:v>
      </x:c>
      <x:c r="D1127" s="18" t="n">
        <x:v>26</x:v>
      </x:c>
      <x:c r="E1127" s="18" t="n">
        <x:v>26</x:v>
      </x:c>
      <x:c r="F1127" s="18" t="n">
        <x:v>0</x:v>
      </x:c>
      <x:c r="G1127" s="18" t="n">
        <x:v>26</x:v>
      </x:c>
      <x:c r="H1127" s="18" t="n">
        <x:v>0</x:v>
      </x:c>
      <x:c r="I1127" s="18" t="n">
        <x:v>26</x:v>
      </x:c>
      <x:c r="J1127" s="18" t="n">
        <x:v>0</x:v>
      </x:c>
      <x:c r="K1127" s="18" t="n">
        <x:v>26</x:v>
      </x:c>
      <x:c r="L1127" s="18" t="n">
        <x:v>0</x:v>
      </x:c>
      <x:c r="M1127" s="18" t="n">
        <x:v>26</x:v>
      </x:c>
    </x:row>
    <x:row r="1128">
      <x:c r="A1128" s="22" t="str">
        <x:v>500108156</x:v>
      </x:c>
      <x:c r="B1128" s="17" t="str">
        <x:v>內湖區</x:v>
      </x:c>
      <x:c r="C1128" s="17" t="str">
        <x:v>民權東路六段56巷口</x:v>
      </x:c>
      <x:c r="D1128" s="18" t="n">
        <x:v>26</x:v>
      </x:c>
      <x:c r="E1128" s="18" t="n">
        <x:v>26</x:v>
      </x:c>
      <x:c r="F1128" s="18" t="n">
        <x:v>196</x:v>
      </x:c>
      <x:c r="G1128" s="18" t="n">
        <x:v>26</x:v>
      </x:c>
      <x:c r="H1128" s="18" t="n">
        <x:v>37</x:v>
      </x:c>
      <x:c r="I1128" s="18" t="n">
        <x:v>26</x:v>
      </x:c>
      <x:c r="J1128" s="18" t="n">
        <x:v>311</x:v>
      </x:c>
      <x:c r="K1128" s="18" t="n">
        <x:v>26</x:v>
      </x:c>
      <x:c r="L1128" s="18" t="n">
        <x:v>38</x:v>
      </x:c>
      <x:c r="M1128" s="18" t="n">
        <x:v>26</x:v>
      </x:c>
    </x:row>
    <x:row r="1129">
      <x:c r="A1129" s="22" t="str">
        <x:v>500108157</x:v>
      </x:c>
      <x:c r="B1129" s="17" t="str">
        <x:v>內湖區</x:v>
      </x:c>
      <x:c r="C1129" s="17" t="str">
        <x:v>新湖三行忠路72巷口</x:v>
      </x:c>
      <x:c r="D1129" s="18" t="n">
        <x:v>26</x:v>
      </x:c>
      <x:c r="E1129" s="18" t="n">
        <x:v>26</x:v>
      </x:c>
      <x:c r="F1129" s="18" t="n">
        <x:v>147</x:v>
      </x:c>
      <x:c r="G1129" s="18" t="n">
        <x:v>26</x:v>
      </x:c>
      <x:c r="H1129" s="18" t="n">
        <x:v>21</x:v>
      </x:c>
      <x:c r="I1129" s="18" t="n">
        <x:v>26</x:v>
      </x:c>
      <x:c r="J1129" s="18" t="n">
        <x:v>603</x:v>
      </x:c>
      <x:c r="K1129" s="18" t="n">
        <x:v>26</x:v>
      </x:c>
      <x:c r="L1129" s="18" t="n">
        <x:v>59</x:v>
      </x:c>
      <x:c r="M1129" s="18" t="n">
        <x:v>26</x:v>
      </x:c>
    </x:row>
    <x:row r="1130">
      <x:c r="A1130" s="22" t="str">
        <x:v>500108158</x:v>
      </x:c>
      <x:c r="B1130" s="17" t="str">
        <x:v>內湖區</x:v>
      </x:c>
      <x:c r="C1130" s="17" t="str">
        <x:v>新湖三新湖二146巷口</x:v>
      </x:c>
      <x:c r="D1130" s="18" t="n">
        <x:v>26</x:v>
      </x:c>
      <x:c r="E1130" s="18" t="n">
        <x:v>26</x:v>
      </x:c>
      <x:c r="F1130" s="18" t="n">
        <x:v>163</x:v>
      </x:c>
      <x:c r="G1130" s="18" t="n">
        <x:v>26</x:v>
      </x:c>
      <x:c r="H1130" s="18" t="n">
        <x:v>15</x:v>
      </x:c>
      <x:c r="I1130" s="18" t="n">
        <x:v>26</x:v>
      </x:c>
      <x:c r="J1130" s="18" t="n">
        <x:v>468</x:v>
      </x:c>
      <x:c r="K1130" s="18" t="n">
        <x:v>26</x:v>
      </x:c>
      <x:c r="L1130" s="18" t="n">
        <x:v>84</x:v>
      </x:c>
      <x:c r="M1130" s="18" t="n">
        <x:v>26</x:v>
      </x:c>
    </x:row>
    <x:row r="1131">
      <x:c r="A1131" s="22" t="str">
        <x:v>500108159</x:v>
      </x:c>
      <x:c r="B1131" s="17" t="str">
        <x:v>內湖區</x:v>
      </x:c>
      <x:c r="C1131" s="17" t="str">
        <x:v>舊宗新湖二路口</x:v>
      </x:c>
      <x:c r="D1131" s="18" t="n">
        <x:v>26</x:v>
      </x:c>
      <x:c r="E1131" s="18" t="n">
        <x:v>26</x:v>
      </x:c>
      <x:c r="F1131" s="18" t="n">
        <x:v>173</x:v>
      </x:c>
      <x:c r="G1131" s="18" t="n">
        <x:v>26</x:v>
      </x:c>
      <x:c r="H1131" s="18" t="n">
        <x:v>20</x:v>
      </x:c>
      <x:c r="I1131" s="18" t="n">
        <x:v>26</x:v>
      </x:c>
      <x:c r="J1131" s="18" t="n">
        <x:v>631</x:v>
      </x:c>
      <x:c r="K1131" s="18" t="n">
        <x:v>26</x:v>
      </x:c>
      <x:c r="L1131" s="18" t="n">
        <x:v>102</x:v>
      </x:c>
      <x:c r="M1131" s="18" t="n">
        <x:v>26</x:v>
      </x:c>
    </x:row>
    <x:row r="1132">
      <x:c r="A1132" s="22" t="str">
        <x:v>500108160</x:v>
      </x:c>
      <x:c r="B1132" s="17" t="str">
        <x:v>內湖區</x:v>
      </x:c>
      <x:c r="C1132" s="17" t="str">
        <x:v>新光基湖大樓</x:v>
      </x:c>
      <x:c r="D1132" s="18" t="n">
        <x:v>26</x:v>
      </x:c>
      <x:c r="E1132" s="18" t="n">
        <x:v>26</x:v>
      </x:c>
      <x:c r="F1132" s="18" t="n">
        <x:v>75</x:v>
      </x:c>
      <x:c r="G1132" s="18" t="n">
        <x:v>26</x:v>
      </x:c>
      <x:c r="H1132" s="18" t="n">
        <x:v>38</x:v>
      </x:c>
      <x:c r="I1132" s="18" t="n">
        <x:v>26</x:v>
      </x:c>
      <x:c r="J1132" s="18" t="n">
        <x:v>268</x:v>
      </x:c>
      <x:c r="K1132" s="18" t="n">
        <x:v>26</x:v>
      </x:c>
      <x:c r="L1132" s="18" t="n">
        <x:v>66</x:v>
      </x:c>
      <x:c r="M1132" s="18" t="n">
        <x:v>26</x:v>
      </x:c>
    </x:row>
    <x:row r="1133">
      <x:c r="A1133" s="22" t="str">
        <x:v>500108161</x:v>
      </x:c>
      <x:c r="B1133" s="17" t="str">
        <x:v>內湖區</x:v>
      </x:c>
      <x:c r="C1133" s="17" t="str">
        <x:v>內湖路一段120巷15弄</x:v>
      </x:c>
      <x:c r="D1133" s="18" t="n">
        <x:v>26</x:v>
      </x:c>
      <x:c r="E1133" s="18" t="n">
        <x:v>26</x:v>
      </x:c>
      <x:c r="F1133" s="18" t="n">
        <x:v>92</x:v>
      </x:c>
      <x:c r="G1133" s="18" t="n">
        <x:v>26</x:v>
      </x:c>
      <x:c r="H1133" s="18" t="n">
        <x:v>31</x:v>
      </x:c>
      <x:c r="I1133" s="18" t="n">
        <x:v>26</x:v>
      </x:c>
      <x:c r="J1133" s="18" t="n">
        <x:v>575</x:v>
      </x:c>
      <x:c r="K1133" s="18" t="n">
        <x:v>26</x:v>
      </x:c>
      <x:c r="L1133" s="18" t="n">
        <x:v>73</x:v>
      </x:c>
      <x:c r="M1133" s="18" t="n">
        <x:v>26</x:v>
      </x:c>
    </x:row>
    <x:row r="1134">
      <x:c r="A1134" s="22" t="str">
        <x:v>500108162</x:v>
      </x:c>
      <x:c r="B1134" s="17" t="str">
        <x:v>內湖區</x:v>
      </x:c>
      <x:c r="C1134" s="17" t="str">
        <x:v>北勢湖環保公園(堤頂大道側)</x:v>
      </x:c>
      <x:c r="D1134" s="18" t="n">
        <x:v>26</x:v>
      </x:c>
      <x:c r="E1134" s="18" t="n">
        <x:v>26</x:v>
      </x:c>
      <x:c r="F1134" s="18" t="n">
        <x:v>145</x:v>
      </x:c>
      <x:c r="G1134" s="18" t="n">
        <x:v>26</x:v>
      </x:c>
      <x:c r="H1134" s="18" t="n">
        <x:v>37</x:v>
      </x:c>
      <x:c r="I1134" s="18" t="n">
        <x:v>26</x:v>
      </x:c>
      <x:c r="J1134" s="18" t="n">
        <x:v>268</x:v>
      </x:c>
      <x:c r="K1134" s="18" t="n">
        <x:v>26</x:v>
      </x:c>
      <x:c r="L1134" s="18" t="n">
        <x:v>44</x:v>
      </x:c>
      <x:c r="M1134" s="18" t="n">
        <x:v>26</x:v>
      </x:c>
    </x:row>
    <x:row r="1135">
      <x:c r="A1135" s="22" t="str">
        <x:v>500108163</x:v>
      </x:c>
      <x:c r="B1135" s="17" t="str">
        <x:v>內湖區</x:v>
      </x:c>
      <x:c r="C1135" s="17" t="str">
        <x:v>光寶科技大樓</x:v>
      </x:c>
      <x:c r="D1135" s="18" t="n">
        <x:v>26</x:v>
      </x:c>
      <x:c r="E1135" s="18" t="n">
        <x:v>26</x:v>
      </x:c>
      <x:c r="F1135" s="18" t="n">
        <x:v>0</x:v>
      </x:c>
      <x:c r="G1135" s="18" t="n">
        <x:v>26</x:v>
      </x:c>
      <x:c r="H1135" s="18" t="n">
        <x:v>0</x:v>
      </x:c>
      <x:c r="I1135" s="18" t="n">
        <x:v>26</x:v>
      </x:c>
      <x:c r="J1135" s="18" t="n">
        <x:v>0</x:v>
      </x:c>
      <x:c r="K1135" s="18" t="n">
        <x:v>26</x:v>
      </x:c>
      <x:c r="L1135" s="18" t="n">
        <x:v>0</x:v>
      </x:c>
      <x:c r="M1135" s="18" t="n">
        <x:v>26</x:v>
      </x:c>
    </x:row>
    <x:row r="1136">
      <x:c r="A1136" s="22" t="str">
        <x:v>500108164</x:v>
      </x:c>
      <x:c r="B1136" s="17" t="str">
        <x:v>內湖區</x:v>
      </x:c>
      <x:c r="C1136" s="17" t="str">
        <x:v>達爾文大樓</x:v>
      </x:c>
      <x:c r="D1136" s="18" t="n">
        <x:v>26</x:v>
      </x:c>
      <x:c r="E1136" s="18" t="n">
        <x:v>26</x:v>
      </x:c>
      <x:c r="F1136" s="18" t="n">
        <x:v>65</x:v>
      </x:c>
      <x:c r="G1136" s="18" t="n">
        <x:v>26</x:v>
      </x:c>
      <x:c r="H1136" s="18" t="n">
        <x:v>19</x:v>
      </x:c>
      <x:c r="I1136" s="18" t="n">
        <x:v>26</x:v>
      </x:c>
      <x:c r="J1136" s="18" t="n">
        <x:v>139</x:v>
      </x:c>
      <x:c r="K1136" s="18" t="n">
        <x:v>26</x:v>
      </x:c>
      <x:c r="L1136" s="18" t="n">
        <x:v>58</x:v>
      </x:c>
      <x:c r="M1136" s="18" t="n">
        <x:v>26</x:v>
      </x:c>
    </x:row>
    <x:row r="1137">
      <x:c r="A1137" s="22" t="str">
        <x:v>500108165</x:v>
      </x:c>
      <x:c r="B1137" s="17" t="str">
        <x:v>內湖區</x:v>
      </x:c>
      <x:c r="C1137" s="17" t="str">
        <x:v>東湖四號公園</x:v>
      </x:c>
      <x:c r="D1137" s="18" t="n">
        <x:v>26</x:v>
      </x:c>
      <x:c r="E1137" s="18" t="n">
        <x:v>26</x:v>
      </x:c>
      <x:c r="F1137" s="18" t="n">
        <x:v>418</x:v>
      </x:c>
      <x:c r="G1137" s="18" t="n">
        <x:v>26</x:v>
      </x:c>
      <x:c r="H1137" s="18" t="n">
        <x:v>64</x:v>
      </x:c>
      <x:c r="I1137" s="18" t="n">
        <x:v>26</x:v>
      </x:c>
      <x:c r="J1137" s="18" t="n">
        <x:v>134</x:v>
      </x:c>
      <x:c r="K1137" s="18" t="n">
        <x:v>26</x:v>
      </x:c>
      <x:c r="L1137" s="18" t="n">
        <x:v>35</x:v>
      </x:c>
      <x:c r="M1137" s="18" t="n">
        <x:v>26</x:v>
      </x:c>
    </x:row>
    <x:row r="1138">
      <x:c r="A1138" s="22" t="str">
        <x:v>500108166</x:v>
      </x:c>
      <x:c r="B1138" s="17" t="str">
        <x:v>內湖區</x:v>
      </x:c>
      <x:c r="C1138" s="17" t="str">
        <x:v>加瑪科技中心</x:v>
      </x:c>
      <x:c r="D1138" s="18" t="n">
        <x:v>26</x:v>
      </x:c>
      <x:c r="E1138" s="18" t="n">
        <x:v>26</x:v>
      </x:c>
      <x:c r="F1138" s="18" t="n">
        <x:v>67</x:v>
      </x:c>
      <x:c r="G1138" s="18" t="n">
        <x:v>26</x:v>
      </x:c>
      <x:c r="H1138" s="18" t="n">
        <x:v>6</x:v>
      </x:c>
      <x:c r="I1138" s="18" t="n">
        <x:v>26</x:v>
      </x:c>
      <x:c r="J1138" s="18" t="n">
        <x:v>772</x:v>
      </x:c>
      <x:c r="K1138" s="18" t="n">
        <x:v>26</x:v>
      </x:c>
      <x:c r="L1138" s="18" t="n">
        <x:v>54</x:v>
      </x:c>
      <x:c r="M1138" s="18" t="n">
        <x:v>26</x:v>
      </x:c>
    </x:row>
    <x:row r="1139">
      <x:c r="A1139" s="22" t="str">
        <x:v>500108167</x:v>
      </x:c>
      <x:c r="B1139" s="17" t="str">
        <x:v>內湖區</x:v>
      </x:c>
      <x:c r="C1139" s="17" t="str">
        <x:v>福壽公園</x:v>
      </x:c>
      <x:c r="D1139" s="18" t="n">
        <x:v>26</x:v>
      </x:c>
      <x:c r="E1139" s="18" t="n">
        <x:v>26</x:v>
      </x:c>
      <x:c r="F1139" s="18" t="n">
        <x:v>214</x:v>
      </x:c>
      <x:c r="G1139" s="18" t="n">
        <x:v>26</x:v>
      </x:c>
      <x:c r="H1139" s="18" t="n">
        <x:v>71</x:v>
      </x:c>
      <x:c r="I1139" s="18" t="n">
        <x:v>26</x:v>
      </x:c>
      <x:c r="J1139" s="18" t="n">
        <x:v>66</x:v>
      </x:c>
      <x:c r="K1139" s="18" t="n">
        <x:v>26</x:v>
      </x:c>
      <x:c r="L1139" s="18" t="n">
        <x:v>34</x:v>
      </x:c>
      <x:c r="M1139" s="18" t="n">
        <x:v>26</x:v>
      </x:c>
    </x:row>
    <x:row r="1140">
      <x:c r="A1140" s="22" t="str">
        <x:v>500108168</x:v>
      </x:c>
      <x:c r="B1140" s="17" t="str">
        <x:v>內湖區</x:v>
      </x:c>
      <x:c r="C1140" s="17" t="str">
        <x:v>捷運西湖站(1號出口)內湖路側</x:v>
      </x:c>
      <x:c r="D1140" s="18" t="n">
        <x:v>26</x:v>
      </x:c>
      <x:c r="E1140" s="18" t="n">
        <x:v>26</x:v>
      </x:c>
      <x:c r="F1140" s="18" t="n">
        <x:v>142</x:v>
      </x:c>
      <x:c r="G1140" s="18" t="n">
        <x:v>26</x:v>
      </x:c>
      <x:c r="H1140" s="18" t="n">
        <x:v>20</x:v>
      </x:c>
      <x:c r="I1140" s="18" t="n">
        <x:v>26</x:v>
      </x:c>
      <x:c r="J1140" s="18" t="n">
        <x:v>163</x:v>
      </x:c>
      <x:c r="K1140" s="18" t="n">
        <x:v>26</x:v>
      </x:c>
      <x:c r="L1140" s="18" t="n">
        <x:v>37</x:v>
      </x:c>
      <x:c r="M1140" s="18" t="n">
        <x:v>26</x:v>
      </x:c>
    </x:row>
    <x:row r="1141">
      <x:c r="A1141" s="22" t="str">
        <x:v>500108169</x:v>
      </x:c>
      <x:c r="B1141" s="17" t="str">
        <x:v>內湖區</x:v>
      </x:c>
      <x:c r="C1141" s="17" t="str">
        <x:v>威剛科技總部</x:v>
      </x:c>
      <x:c r="D1141" s="18" t="n">
        <x:v>26</x:v>
      </x:c>
      <x:c r="E1141" s="18" t="n">
        <x:v>26</x:v>
      </x:c>
      <x:c r="F1141" s="18" t="n">
        <x:v>207</x:v>
      </x:c>
      <x:c r="G1141" s="18" t="n">
        <x:v>26</x:v>
      </x:c>
      <x:c r="H1141" s="18" t="n">
        <x:v>74</x:v>
      </x:c>
      <x:c r="I1141" s="18" t="n">
        <x:v>26</x:v>
      </x:c>
      <x:c r="J1141" s="18" t="n">
        <x:v>717</x:v>
      </x:c>
      <x:c r="K1141" s="18" t="n">
        <x:v>26</x:v>
      </x:c>
      <x:c r="L1141" s="18" t="n">
        <x:v>145</x:v>
      </x:c>
      <x:c r="M1141" s="18" t="n">
        <x:v>26</x:v>
      </x:c>
    </x:row>
    <x:row r="1142">
      <x:c r="A1142" s="22" t="str">
        <x:v>500108170</x:v>
      </x:c>
      <x:c r="B1142" s="17" t="str">
        <x:v>內湖區</x:v>
      </x:c>
      <x:c r="C1142" s="17" t="str">
        <x:v>太陽科技廣場</x:v>
      </x:c>
      <x:c r="D1142" s="18" t="n">
        <x:v>26</x:v>
      </x:c>
      <x:c r="E1142" s="18" t="n">
        <x:v>26</x:v>
      </x:c>
      <x:c r="F1142" s="18" t="n">
        <x:v>176</x:v>
      </x:c>
      <x:c r="G1142" s="18" t="n">
        <x:v>26</x:v>
      </x:c>
      <x:c r="H1142" s="18" t="n">
        <x:v>24</x:v>
      </x:c>
      <x:c r="I1142" s="18" t="n">
        <x:v>26</x:v>
      </x:c>
      <x:c r="J1142" s="18" t="n">
        <x:v>120</x:v>
      </x:c>
      <x:c r="K1142" s="18" t="n">
        <x:v>26</x:v>
      </x:c>
      <x:c r="L1142" s="18" t="n">
        <x:v>28</x:v>
      </x:c>
      <x:c r="M1142" s="18" t="n">
        <x:v>26</x:v>
      </x:c>
    </x:row>
    <x:row r="1143">
      <x:c r="A1143" s="22" t="str">
        <x:v>500108171</x:v>
      </x:c>
      <x:c r="B1143" s="17" t="str">
        <x:v>內湖區</x:v>
      </x:c>
      <x:c r="C1143" s="17" t="str">
        <x:v>瑞光路316巷</x:v>
      </x:c>
      <x:c r="D1143" s="18" t="n">
        <x:v>26</x:v>
      </x:c>
      <x:c r="E1143" s="18" t="n">
        <x:v>26</x:v>
      </x:c>
      <x:c r="F1143" s="18" t="n">
        <x:v>86</x:v>
      </x:c>
      <x:c r="G1143" s="18" t="n">
        <x:v>26</x:v>
      </x:c>
      <x:c r="H1143" s="18" t="n">
        <x:v>19</x:v>
      </x:c>
      <x:c r="I1143" s="18" t="n">
        <x:v>26</x:v>
      </x:c>
      <x:c r="J1143" s="18" t="n">
        <x:v>536</x:v>
      </x:c>
      <x:c r="K1143" s="18" t="n">
        <x:v>26</x:v>
      </x:c>
      <x:c r="L1143" s="18" t="n">
        <x:v>77</x:v>
      </x:c>
      <x:c r="M1143" s="18" t="n">
        <x:v>26</x:v>
      </x:c>
    </x:row>
    <x:row r="1144">
      <x:c r="A1144" s="22" t="str">
        <x:v>500108172</x:v>
      </x:c>
      <x:c r="B1144" s="17" t="str">
        <x:v>內湖區</x:v>
      </x:c>
      <x:c r="C1144" s="17" t="str">
        <x:v>文德路220巷口</x:v>
      </x:c>
      <x:c r="D1144" s="18" t="n">
        <x:v>26</x:v>
      </x:c>
      <x:c r="E1144" s="18" t="n">
        <x:v>26</x:v>
      </x:c>
      <x:c r="F1144" s="18" t="n">
        <x:v>275</x:v>
      </x:c>
      <x:c r="G1144" s="18" t="n">
        <x:v>26</x:v>
      </x:c>
      <x:c r="H1144" s="18" t="n">
        <x:v>35</x:v>
      </x:c>
      <x:c r="I1144" s="18" t="n">
        <x:v>26</x:v>
      </x:c>
      <x:c r="J1144" s="18" t="n">
        <x:v>80</x:v>
      </x:c>
      <x:c r="K1144" s="18" t="n">
        <x:v>26</x:v>
      </x:c>
      <x:c r="L1144" s="18" t="n">
        <x:v>28</x:v>
      </x:c>
      <x:c r="M1144" s="18" t="n">
        <x:v>26</x:v>
      </x:c>
    </x:row>
    <x:row r="1145">
      <x:c r="A1145" s="22" t="str">
        <x:v>500108173</x:v>
      </x:c>
      <x:c r="B1145" s="17" t="str">
        <x:v>內湖區</x:v>
      </x:c>
      <x:c r="C1145" s="17" t="str">
        <x:v>長壽抽水站</x:v>
      </x:c>
      <x:c r="D1145" s="18" t="n">
        <x:v>26</x:v>
      </x:c>
      <x:c r="E1145" s="18" t="n">
        <x:v>26</x:v>
      </x:c>
      <x:c r="F1145" s="18" t="n">
        <x:v>188</x:v>
      </x:c>
      <x:c r="G1145" s="18" t="n">
        <x:v>26</x:v>
      </x:c>
      <x:c r="H1145" s="18" t="n">
        <x:v>60</x:v>
      </x:c>
      <x:c r="I1145" s="18" t="n">
        <x:v>26</x:v>
      </x:c>
      <x:c r="J1145" s="18" t="n">
        <x:v>223</x:v>
      </x:c>
      <x:c r="K1145" s="18" t="n">
        <x:v>26</x:v>
      </x:c>
      <x:c r="L1145" s="18" t="n">
        <x:v>74</x:v>
      </x:c>
      <x:c r="M1145" s="18" t="n">
        <x:v>26</x:v>
      </x:c>
    </x:row>
    <x:row r="1146">
      <x:c r="A1146" s="22" t="str">
        <x:v>500108174</x:v>
      </x:c>
      <x:c r="B1146" s="17" t="str">
        <x:v>內湖區</x:v>
      </x:c>
      <x:c r="C1146" s="17" t="str">
        <x:v>捷運葫洲站(2號出口)</x:v>
      </x:c>
      <x:c r="D1146" s="18" t="n">
        <x:v>26</x:v>
      </x:c>
      <x:c r="E1146" s="18" t="n">
        <x:v>26</x:v>
      </x:c>
      <x:c r="F1146" s="18" t="n">
        <x:v>107</x:v>
      </x:c>
      <x:c r="G1146" s="18" t="n">
        <x:v>26</x:v>
      </x:c>
      <x:c r="H1146" s="18" t="n">
        <x:v>38</x:v>
      </x:c>
      <x:c r="I1146" s="18" t="n">
        <x:v>26</x:v>
      </x:c>
      <x:c r="J1146" s="18" t="n">
        <x:v>268</x:v>
      </x:c>
      <x:c r="K1146" s="18" t="n">
        <x:v>26</x:v>
      </x:c>
      <x:c r="L1146" s="18" t="n">
        <x:v>69</x:v>
      </x:c>
      <x:c r="M1146" s="18" t="n">
        <x:v>26</x:v>
      </x:c>
    </x:row>
    <x:row r="1147">
      <x:c r="A1147" s="22" t="str">
        <x:v>500108175</x:v>
      </x:c>
      <x:c r="B1147" s="17" t="str">
        <x:v>內湖區</x:v>
      </x:c>
      <x:c r="C1147" s="17" t="str">
        <x:v>五分埤</x:v>
      </x:c>
      <x:c r="D1147" s="18" t="n">
        <x:v>26</x:v>
      </x:c>
      <x:c r="E1147" s="18" t="n">
        <x:v>26</x:v>
      </x:c>
      <x:c r="F1147" s="18" t="n">
        <x:v>182</x:v>
      </x:c>
      <x:c r="G1147" s="18" t="n">
        <x:v>26</x:v>
      </x:c>
      <x:c r="H1147" s="18" t="n">
        <x:v>72</x:v>
      </x:c>
      <x:c r="I1147" s="18" t="n">
        <x:v>26</x:v>
      </x:c>
      <x:c r="J1147" s="18" t="n">
        <x:v>113</x:v>
      </x:c>
      <x:c r="K1147" s="18" t="n">
        <x:v>26</x:v>
      </x:c>
      <x:c r="L1147" s="18" t="n">
        <x:v>57</x:v>
      </x:c>
      <x:c r="M1147" s="18" t="n">
        <x:v>26</x:v>
      </x:c>
    </x:row>
    <x:row r="1148">
      <x:c r="A1148" s="22" t="str">
        <x:v>500108176</x:v>
      </x:c>
      <x:c r="B1148" s="17" t="str">
        <x:v>內湖區</x:v>
      </x:c>
      <x:c r="C1148" s="17" t="str">
        <x:v>環山路三段1巷(麗山高中)</x:v>
      </x:c>
      <x:c r="D1148" s="18" t="n">
        <x:v>26</x:v>
      </x:c>
      <x:c r="E1148" s="18" t="n">
        <x:v>26</x:v>
      </x:c>
      <x:c r="F1148" s="18" t="n">
        <x:v>102</x:v>
      </x:c>
      <x:c r="G1148" s="18" t="n">
        <x:v>26</x:v>
      </x:c>
      <x:c r="H1148" s="18" t="n">
        <x:v>23</x:v>
      </x:c>
      <x:c r="I1148" s="18" t="n">
        <x:v>26</x:v>
      </x:c>
      <x:c r="J1148" s="18" t="n">
        <x:v>260</x:v>
      </x:c>
      <x:c r="K1148" s="18" t="n">
        <x:v>26</x:v>
      </x:c>
      <x:c r="L1148" s="18" t="n">
        <x:v>22</x:v>
      </x:c>
      <x:c r="M1148" s="18" t="n">
        <x:v>26</x:v>
      </x:c>
    </x:row>
    <x:row r="1149">
      <x:c r="A1149" s="22" t="str">
        <x:v>500108177</x:v>
      </x:c>
      <x:c r="B1149" s="17" t="str">
        <x:v>內湖區</x:v>
      </x:c>
      <x:c r="C1149" s="17" t="str">
        <x:v>潭美公園(南京東路六段482號)</x:v>
      </x:c>
      <x:c r="D1149" s="18" t="n">
        <x:v>26</x:v>
      </x:c>
      <x:c r="E1149" s="18" t="n">
        <x:v>26</x:v>
      </x:c>
      <x:c r="F1149" s="18" t="n">
        <x:v>80</x:v>
      </x:c>
      <x:c r="G1149" s="18" t="n">
        <x:v>26</x:v>
      </x:c>
      <x:c r="H1149" s="18" t="n">
        <x:v>13</x:v>
      </x:c>
      <x:c r="I1149" s="18" t="n">
        <x:v>26</x:v>
      </x:c>
      <x:c r="J1149" s="18" t="n">
        <x:v>444</x:v>
      </x:c>
      <x:c r="K1149" s="18" t="n">
        <x:v>26</x:v>
      </x:c>
      <x:c r="L1149" s="18" t="n">
        <x:v>52</x:v>
      </x:c>
      <x:c r="M1149" s="18" t="n">
        <x:v>26</x:v>
      </x:c>
    </x:row>
    <x:row r="1150">
      <x:c r="A1150" s="22" t="str">
        <x:v>500108178</x:v>
      </x:c>
      <x:c r="B1150" s="17" t="str">
        <x:v>內湖區</x:v>
      </x:c>
      <x:c r="C1150" s="17" t="str">
        <x:v>美善公園</x:v>
      </x:c>
      <x:c r="D1150" s="18" t="n">
        <x:v>26</x:v>
      </x:c>
      <x:c r="E1150" s="18" t="n">
        <x:v>26</x:v>
      </x:c>
      <x:c r="F1150" s="18" t="n">
        <x:v>249</x:v>
      </x:c>
      <x:c r="G1150" s="18" t="n">
        <x:v>26</x:v>
      </x:c>
      <x:c r="H1150" s="18" t="n">
        <x:v>49</x:v>
      </x:c>
      <x:c r="I1150" s="18" t="n">
        <x:v>26</x:v>
      </x:c>
      <x:c r="J1150" s="18" t="n">
        <x:v>277</x:v>
      </x:c>
      <x:c r="K1150" s="18" t="n">
        <x:v>26</x:v>
      </x:c>
      <x:c r="L1150" s="18" t="n">
        <x:v>54</x:v>
      </x:c>
      <x:c r="M1150" s="18" t="n">
        <x:v>26</x:v>
      </x:c>
    </x:row>
    <x:row r="1151">
      <x:c r="A1151" s="22" t="str">
        <x:v>500108179</x:v>
      </x:c>
      <x:c r="B1151" s="17" t="str">
        <x:v>內湖區</x:v>
      </x:c>
      <x:c r="C1151" s="17" t="str">
        <x:v>潭美公園(新明路298巷)</x:v>
      </x:c>
      <x:c r="D1151" s="18" t="n">
        <x:v>26</x:v>
      </x:c>
      <x:c r="E1151" s="18" t="n">
        <x:v>26</x:v>
      </x:c>
      <x:c r="F1151" s="18" t="n">
        <x:v>472</x:v>
      </x:c>
      <x:c r="G1151" s="18" t="n">
        <x:v>26</x:v>
      </x:c>
      <x:c r="H1151" s="18" t="n">
        <x:v>30</x:v>
      </x:c>
      <x:c r="I1151" s="18" t="n">
        <x:v>26</x:v>
      </x:c>
      <x:c r="J1151" s="18" t="n">
        <x:v>114</x:v>
      </x:c>
      <x:c r="K1151" s="18" t="n">
        <x:v>26</x:v>
      </x:c>
      <x:c r="L1151" s="18" t="n">
        <x:v>21</x:v>
      </x:c>
      <x:c r="M1151" s="18" t="n">
        <x:v>26</x:v>
      </x:c>
    </x:row>
    <x:row r="1152">
      <x:c r="A1152" s="22" t="str">
        <x:v>500108180</x:v>
      </x:c>
      <x:c r="B1152" s="17" t="str">
        <x:v>內湖區</x:v>
      </x:c>
      <x:c r="C1152" s="17" t="str">
        <x:v>康寧路三段189巷21弄口</x:v>
      </x:c>
      <x:c r="D1152" s="18" t="n">
        <x:v>26</x:v>
      </x:c>
      <x:c r="E1152" s="18" t="n">
        <x:v>26</x:v>
      </x:c>
      <x:c r="F1152" s="18" t="n">
        <x:v>0</x:v>
      </x:c>
      <x:c r="G1152" s="18" t="n">
        <x:v>26</x:v>
      </x:c>
      <x:c r="H1152" s="18" t="n">
        <x:v>0</x:v>
      </x:c>
      <x:c r="I1152" s="18" t="n">
        <x:v>26</x:v>
      </x:c>
      <x:c r="J1152" s="18" t="n">
        <x:v>0</x:v>
      </x:c>
      <x:c r="K1152" s="18" t="n">
        <x:v>26</x:v>
      </x:c>
      <x:c r="L1152" s="18" t="n">
        <x:v>0</x:v>
      </x:c>
      <x:c r="M1152" s="18" t="n">
        <x:v>26</x:v>
      </x:c>
    </x:row>
    <x:row r="1153">
      <x:c r="A1153" s="22" t="str">
        <x:v>500108181</x:v>
      </x:c>
      <x:c r="B1153" s="17" t="str">
        <x:v>內湖區</x:v>
      </x:c>
      <x:c r="C1153" s="17" t="str">
        <x:v>麗山國小(內湖路一段411巷)</x:v>
      </x:c>
      <x:c r="D1153" s="18" t="n">
        <x:v>26</x:v>
      </x:c>
      <x:c r="E1153" s="18" t="n">
        <x:v>26</x:v>
      </x:c>
      <x:c r="F1153" s="18" t="n">
        <x:v>606</x:v>
      </x:c>
      <x:c r="G1153" s="18" t="n">
        <x:v>26</x:v>
      </x:c>
      <x:c r="H1153" s="18" t="n">
        <x:v>87</x:v>
      </x:c>
      <x:c r="I1153" s="18" t="n">
        <x:v>26</x:v>
      </x:c>
      <x:c r="J1153" s="18" t="n">
        <x:v>88</x:v>
      </x:c>
      <x:c r="K1153" s="18" t="n">
        <x:v>26</x:v>
      </x:c>
      <x:c r="L1153" s="18" t="n">
        <x:v>28</x:v>
      </x:c>
      <x:c r="M1153" s="18" t="n">
        <x:v>26</x:v>
      </x:c>
    </x:row>
    <x:row r="1154">
      <x:c r="A1154" s="22" t="str">
        <x:v>500108182</x:v>
      </x:c>
      <x:c r="B1154" s="17" t="str">
        <x:v>內湖區</x:v>
      </x:c>
      <x:c r="C1154" s="17" t="str">
        <x:v>行善路417巷</x:v>
      </x:c>
      <x:c r="D1154" s="18" t="n">
        <x:v>26</x:v>
      </x:c>
      <x:c r="E1154" s="18" t="n">
        <x:v>26</x:v>
      </x:c>
      <x:c r="F1154" s="18" t="n">
        <x:v>100</x:v>
      </x:c>
      <x:c r="G1154" s="18" t="n">
        <x:v>26</x:v>
      </x:c>
      <x:c r="H1154" s="18" t="n">
        <x:v>33</x:v>
      </x:c>
      <x:c r="I1154" s="18" t="n">
        <x:v>26</x:v>
      </x:c>
      <x:c r="J1154" s="18" t="n">
        <x:v>545</x:v>
      </x:c>
      <x:c r="K1154" s="18" t="n">
        <x:v>26</x:v>
      </x:c>
      <x:c r="L1154" s="18" t="n">
        <x:v>77</x:v>
      </x:c>
      <x:c r="M1154" s="18" t="n">
        <x:v>26</x:v>
      </x:c>
    </x:row>
    <x:row r="1155">
      <x:c r="A1155" s="22" t="str">
        <x:v>500108183</x:v>
      </x:c>
      <x:c r="B1155" s="17" t="str">
        <x:v>內湖區</x:v>
      </x:c>
      <x:c r="C1155" s="17" t="str">
        <x:v>明湖國小(康寧路三段165巷23弄)</x:v>
      </x:c>
      <x:c r="D1155" s="18" t="n">
        <x:v>26</x:v>
      </x:c>
      <x:c r="E1155" s="18" t="n">
        <x:v>26</x:v>
      </x:c>
      <x:c r="F1155" s="18" t="n">
        <x:v>170</x:v>
      </x:c>
      <x:c r="G1155" s="18" t="n">
        <x:v>26</x:v>
      </x:c>
      <x:c r="H1155" s="18" t="n">
        <x:v>43</x:v>
      </x:c>
      <x:c r="I1155" s="18" t="n">
        <x:v>26</x:v>
      </x:c>
      <x:c r="J1155" s="18" t="n">
        <x:v>113</x:v>
      </x:c>
      <x:c r="K1155" s="18" t="n">
        <x:v>26</x:v>
      </x:c>
      <x:c r="L1155" s="18" t="n">
        <x:v>25</x:v>
      </x:c>
      <x:c r="M1155" s="18" t="n">
        <x:v>26</x:v>
      </x:c>
    </x:row>
    <x:row r="1156">
      <x:c r="A1156" s="22" t="str">
        <x:v>500108184</x:v>
      </x:c>
      <x:c r="B1156" s="17" t="str">
        <x:v>內湖區</x:v>
      </x:c>
      <x:c r="C1156" s="17" t="str">
        <x:v>康寧路三段70巷153號</x:v>
      </x:c>
      <x:c r="D1156" s="18" t="n">
        <x:v>26</x:v>
      </x:c>
      <x:c r="E1156" s="18" t="n">
        <x:v>26</x:v>
      </x:c>
      <x:c r="F1156" s="18" t="n">
        <x:v>40</x:v>
      </x:c>
      <x:c r="G1156" s="18" t="n">
        <x:v>26</x:v>
      </x:c>
      <x:c r="H1156" s="18" t="n">
        <x:v>151</x:v>
      </x:c>
      <x:c r="I1156" s="18" t="n">
        <x:v>26</x:v>
      </x:c>
      <x:c r="J1156" s="18" t="n">
        <x:v>35</x:v>
      </x:c>
      <x:c r="K1156" s="18" t="n">
        <x:v>26</x:v>
      </x:c>
      <x:c r="L1156" s="18" t="n">
        <x:v>123</x:v>
      </x:c>
      <x:c r="M1156" s="18" t="n">
        <x:v>26</x:v>
      </x:c>
    </x:row>
    <x:row r="1157">
      <x:c r="A1157" s="22" t="str">
        <x:v>500108185</x:v>
      </x:c>
      <x:c r="B1157" s="17" t="str">
        <x:v>內湖區</x:v>
      </x:c>
      <x:c r="C1157" s="17" t="str">
        <x:v>東湖立體停車場</x:v>
      </x:c>
      <x:c r="D1157" s="18" t="n">
        <x:v>26</x:v>
      </x:c>
      <x:c r="E1157" s="18" t="n">
        <x:v>26</x:v>
      </x:c>
      <x:c r="F1157" s="18" t="n">
        <x:v>152</x:v>
      </x:c>
      <x:c r="G1157" s="18" t="n">
        <x:v>26</x:v>
      </x:c>
      <x:c r="H1157" s="18" t="n">
        <x:v>16</x:v>
      </x:c>
      <x:c r="I1157" s="18" t="n">
        <x:v>26</x:v>
      </x:c>
      <x:c r="J1157" s="18" t="n">
        <x:v>225</x:v>
      </x:c>
      <x:c r="K1157" s="18" t="n">
        <x:v>26</x:v>
      </x:c>
      <x:c r="L1157" s="18" t="n">
        <x:v>46</x:v>
      </x:c>
      <x:c r="M1157" s="18" t="n">
        <x:v>26</x:v>
      </x:c>
    </x:row>
    <x:row r="1158">
      <x:c r="A1158" s="22" t="str">
        <x:v>500108186</x:v>
      </x:c>
      <x:c r="B1158" s="17" t="str">
        <x:v>內湖區</x:v>
      </x:c>
      <x:c r="C1158" s="17" t="str">
        <x:v>明美公園(南京東路六段451巷口)</x:v>
      </x:c>
      <x:c r="D1158" s="18" t="n">
        <x:v>26</x:v>
      </x:c>
      <x:c r="E1158" s="18" t="n">
        <x:v>26</x:v>
      </x:c>
      <x:c r="F1158" s="18" t="n">
        <x:v>343</x:v>
      </x:c>
      <x:c r="G1158" s="18" t="n">
        <x:v>26</x:v>
      </x:c>
      <x:c r="H1158" s="18" t="n">
        <x:v>64</x:v>
      </x:c>
      <x:c r="I1158" s="18" t="n">
        <x:v>26</x:v>
      </x:c>
      <x:c r="J1158" s="18" t="n">
        <x:v>342</x:v>
      </x:c>
      <x:c r="K1158" s="18" t="n">
        <x:v>26</x:v>
      </x:c>
      <x:c r="L1158" s="18" t="n">
        <x:v>72</x:v>
      </x:c>
      <x:c r="M1158" s="18" t="n">
        <x:v>26</x:v>
      </x:c>
    </x:row>
    <x:row r="1159">
      <x:c r="A1159" s="22" t="str">
        <x:v>500108187</x:v>
      </x:c>
      <x:c r="B1159" s="17" t="str">
        <x:v>內湖區</x:v>
      </x:c>
      <x:c r="C1159" s="17" t="str">
        <x:v>文德路66巷14弄</x:v>
      </x:c>
      <x:c r="D1159" s="18" t="n">
        <x:v>26</x:v>
      </x:c>
      <x:c r="E1159" s="18" t="n">
        <x:v>26</x:v>
      </x:c>
      <x:c r="F1159" s="18" t="n">
        <x:v>329</x:v>
      </x:c>
      <x:c r="G1159" s="18" t="n">
        <x:v>26</x:v>
      </x:c>
      <x:c r="H1159" s="18" t="n">
        <x:v>55</x:v>
      </x:c>
      <x:c r="I1159" s="18" t="n">
        <x:v>26</x:v>
      </x:c>
      <x:c r="J1159" s="18" t="n">
        <x:v>96</x:v>
      </x:c>
      <x:c r="K1159" s="18" t="n">
        <x:v>26</x:v>
      </x:c>
      <x:c r="L1159" s="18" t="n">
        <x:v>21</x:v>
      </x:c>
      <x:c r="M1159" s="18" t="n">
        <x:v>26</x:v>
      </x:c>
    </x:row>
    <x:row r="1160">
      <x:c r="A1160" s="22" t="str">
        <x:v>500108188</x:v>
      </x:c>
      <x:c r="B1160" s="17" t="str">
        <x:v>內湖區</x:v>
      </x:c>
      <x:c r="C1160" s="17" t="str">
        <x:v>捷運東湖站(3號出口)</x:v>
      </x:c>
      <x:c r="D1160" s="18" t="n">
        <x:v>26</x:v>
      </x:c>
      <x:c r="E1160" s="18" t="n">
        <x:v>26</x:v>
      </x:c>
      <x:c r="F1160" s="18" t="n">
        <x:v>221</x:v>
      </x:c>
      <x:c r="G1160" s="18" t="n">
        <x:v>26</x:v>
      </x:c>
      <x:c r="H1160" s="18" t="n">
        <x:v>26</x:v>
      </x:c>
      <x:c r="I1160" s="18" t="n">
        <x:v>26</x:v>
      </x:c>
      <x:c r="J1160" s="18" t="n">
        <x:v>492</x:v>
      </x:c>
      <x:c r="K1160" s="18" t="n">
        <x:v>26</x:v>
      </x:c>
      <x:c r="L1160" s="18" t="n">
        <x:v>26</x:v>
      </x:c>
      <x:c r="M1160" s="18" t="n">
        <x:v>26</x:v>
      </x:c>
    </x:row>
    <x:row r="1161">
      <x:c r="A1161" s="22" t="str">
        <x:v>500108189</x:v>
      </x:c>
      <x:c r="B1161" s="17" t="str">
        <x:v>內湖區</x:v>
      </x:c>
      <x:c r="C1161" s="17" t="str">
        <x:v>捷運大湖公園站(1號出口)</x:v>
      </x:c>
      <x:c r="D1161" s="18" t="n">
        <x:v>26</x:v>
      </x:c>
      <x:c r="E1161" s="18" t="n">
        <x:v>26</x:v>
      </x:c>
      <x:c r="F1161" s="18" t="n">
        <x:v>156</x:v>
      </x:c>
      <x:c r="G1161" s="18" t="n">
        <x:v>26</x:v>
      </x:c>
      <x:c r="H1161" s="18" t="n">
        <x:v>31</x:v>
      </x:c>
      <x:c r="I1161" s="18" t="n">
        <x:v>26</x:v>
      </x:c>
      <x:c r="J1161" s="18" t="n">
        <x:v>428</x:v>
      </x:c>
      <x:c r="K1161" s="18" t="n">
        <x:v>26</x:v>
      </x:c>
      <x:c r="L1161" s="18" t="n">
        <x:v>121</x:v>
      </x:c>
      <x:c r="M1161" s="18" t="n">
        <x:v>26</x:v>
      </x:c>
    </x:row>
    <x:row r="1162">
      <x:c r="A1162" s="22" t="str">
        <x:v>500108190</x:v>
      </x:c>
      <x:c r="B1162" s="17" t="str">
        <x:v>內湖區</x:v>
      </x:c>
      <x:c r="C1162" s="17" t="str">
        <x:v>內湖路一段1巷口</x:v>
      </x:c>
      <x:c r="D1162" s="18" t="n">
        <x:v>26</x:v>
      </x:c>
      <x:c r="E1162" s="18" t="n">
        <x:v>26</x:v>
      </x:c>
      <x:c r="F1162" s="18" t="n">
        <x:v>251</x:v>
      </x:c>
      <x:c r="G1162" s="18" t="n">
        <x:v>26</x:v>
      </x:c>
      <x:c r="H1162" s="18" t="n">
        <x:v>27</x:v>
      </x:c>
      <x:c r="I1162" s="18" t="n">
        <x:v>26</x:v>
      </x:c>
      <x:c r="J1162" s="18" t="n">
        <x:v>129</x:v>
      </x:c>
      <x:c r="K1162" s="18" t="n">
        <x:v>26</x:v>
      </x:c>
      <x:c r="L1162" s="18" t="n">
        <x:v>42</x:v>
      </x:c>
      <x:c r="M1162" s="18" t="n">
        <x:v>26</x:v>
      </x:c>
    </x:row>
    <x:row r="1163">
      <x:c r="A1163" s="22" t="str">
        <x:v>500108191</x:v>
      </x:c>
      <x:c r="B1163" s="17" t="str">
        <x:v>內湖區</x:v>
      </x:c>
      <x:c r="C1163" s="17" t="str">
        <x:v>環山路一段136巷口</x:v>
      </x:c>
      <x:c r="D1163" s="18" t="n">
        <x:v>26</x:v>
      </x:c>
      <x:c r="E1163" s="18" t="n">
        <x:v>26</x:v>
      </x:c>
      <x:c r="F1163" s="18" t="n">
        <x:v>753</x:v>
      </x:c>
      <x:c r="G1163" s="18" t="n">
        <x:v>26</x:v>
      </x:c>
      <x:c r="H1163" s="18" t="n">
        <x:v>91</x:v>
      </x:c>
      <x:c r="I1163" s="18" t="n">
        <x:v>26</x:v>
      </x:c>
      <x:c r="J1163" s="18" t="n">
        <x:v>228</x:v>
      </x:c>
      <x:c r="K1163" s="18" t="n">
        <x:v>26</x:v>
      </x:c>
      <x:c r="L1163" s="18" t="n">
        <x:v>44</x:v>
      </x:c>
      <x:c r="M1163" s="18" t="n">
        <x:v>26</x:v>
      </x:c>
    </x:row>
    <x:row r="1164">
      <x:c r="A1164" s="22" t="str">
        <x:v>500108192</x:v>
      </x:c>
      <x:c r="B1164" s="17" t="str">
        <x:v>內湖區</x:v>
      </x:c>
      <x:c r="C1164" s="17" t="str">
        <x:v>上灣公園</x:v>
      </x:c>
      <x:c r="D1164" s="18" t="n">
        <x:v>26</x:v>
      </x:c>
      <x:c r="E1164" s="18" t="n">
        <x:v>26</x:v>
      </x:c>
      <x:c r="F1164" s="18" t="n">
        <x:v>338</x:v>
      </x:c>
      <x:c r="G1164" s="18" t="n">
        <x:v>26</x:v>
      </x:c>
      <x:c r="H1164" s="18" t="n">
        <x:v>35</x:v>
      </x:c>
      <x:c r="I1164" s="18" t="n">
        <x:v>26</x:v>
      </x:c>
      <x:c r="J1164" s="18" t="n">
        <x:v>244</x:v>
      </x:c>
      <x:c r="K1164" s="18" t="n">
        <x:v>26</x:v>
      </x:c>
      <x:c r="L1164" s="18" t="n">
        <x:v>18</x:v>
      </x:c>
      <x:c r="M1164" s="18" t="n">
        <x:v>26</x:v>
      </x:c>
    </x:row>
    <x:row r="1165">
      <x:c r="A1165" s="22" t="str">
        <x:v>500108193</x:v>
      </x:c>
      <x:c r="B1165" s="17" t="str">
        <x:v>內湖區</x:v>
      </x:c>
      <x:c r="C1165" s="17" t="str">
        <x:v>湖興公園(成功路)</x:v>
      </x:c>
      <x:c r="D1165" s="18" t="n">
        <x:v>26</x:v>
      </x:c>
      <x:c r="E1165" s="18" t="n">
        <x:v>26</x:v>
      </x:c>
      <x:c r="F1165" s="18" t="n">
        <x:v>133</x:v>
      </x:c>
      <x:c r="G1165" s="18" t="n">
        <x:v>26</x:v>
      </x:c>
      <x:c r="H1165" s="18" t="n">
        <x:v>54</x:v>
      </x:c>
      <x:c r="I1165" s="18" t="n">
        <x:v>26</x:v>
      </x:c>
      <x:c r="J1165" s="18" t="n">
        <x:v>99</x:v>
      </x:c>
      <x:c r="K1165" s="18" t="n">
        <x:v>26</x:v>
      </x:c>
      <x:c r="L1165" s="18" t="n">
        <x:v>22</x:v>
      </x:c>
      <x:c r="M1165" s="18" t="n">
        <x:v>26</x:v>
      </x:c>
    </x:row>
    <x:row r="1166">
      <x:c r="A1166" s="22" t="str">
        <x:v>500108194</x:v>
      </x:c>
      <x:c r="B1166" s="17" t="str">
        <x:v>內湖區</x:v>
      </x:c>
      <x:c r="C1166" s="17" t="str">
        <x:v>文德三號公園(文德路)</x:v>
      </x:c>
      <x:c r="D1166" s="18" t="n">
        <x:v>26</x:v>
      </x:c>
      <x:c r="E1166" s="18" t="n">
        <x:v>26</x:v>
      </x:c>
      <x:c r="F1166" s="18" t="n">
        <x:v>247</x:v>
      </x:c>
      <x:c r="G1166" s="18" t="n">
        <x:v>26</x:v>
      </x:c>
      <x:c r="H1166" s="18" t="n">
        <x:v>33</x:v>
      </x:c>
      <x:c r="I1166" s="18" t="n">
        <x:v>26</x:v>
      </x:c>
      <x:c r="J1166" s="18" t="n">
        <x:v>96</x:v>
      </x:c>
      <x:c r="K1166" s="18" t="n">
        <x:v>26</x:v>
      </x:c>
      <x:c r="L1166" s="18" t="n">
        <x:v>23</x:v>
      </x:c>
      <x:c r="M1166" s="18" t="n">
        <x:v>26</x:v>
      </x:c>
    </x:row>
    <x:row r="1167">
      <x:c r="A1167" s="22" t="str">
        <x:v>500108195</x:v>
      </x:c>
      <x:c r="B1167" s="17" t="str">
        <x:v>內湖區</x:v>
      </x:c>
      <x:c r="C1167" s="17" t="str">
        <x:v>康寧路一段218巷2弄口</x:v>
      </x:c>
      <x:c r="D1167" s="18" t="n">
        <x:v>26</x:v>
      </x:c>
      <x:c r="E1167" s="18" t="n">
        <x:v>26</x:v>
      </x:c>
      <x:c r="F1167" s="18" t="n">
        <x:v>279</x:v>
      </x:c>
      <x:c r="G1167" s="18" t="n">
        <x:v>26</x:v>
      </x:c>
      <x:c r="H1167" s="18" t="n">
        <x:v>70</x:v>
      </x:c>
      <x:c r="I1167" s="18" t="n">
        <x:v>26</x:v>
      </x:c>
      <x:c r="J1167" s="18" t="n">
        <x:v>85</x:v>
      </x:c>
      <x:c r="K1167" s="18" t="n">
        <x:v>26</x:v>
      </x:c>
      <x:c r="L1167" s="18" t="n">
        <x:v>12</x:v>
      </x:c>
      <x:c r="M1167" s="18" t="n">
        <x:v>26</x:v>
      </x:c>
    </x:row>
    <x:row r="1168">
      <x:c r="A1168" s="22" t="str">
        <x:v>500108196</x:v>
      </x:c>
      <x:c r="B1168" s="17" t="str">
        <x:v>內湖區</x:v>
      </x:c>
      <x:c r="C1168" s="17" t="str">
        <x:v>星雲街210巷口</x:v>
      </x:c>
      <x:c r="D1168" s="18" t="n">
        <x:v>26</x:v>
      </x:c>
      <x:c r="E1168" s="18" t="n">
        <x:v>26</x:v>
      </x:c>
      <x:c r="F1168" s="18" t="n">
        <x:v>254</x:v>
      </x:c>
      <x:c r="G1168" s="18" t="n">
        <x:v>26</x:v>
      </x:c>
      <x:c r="H1168" s="18" t="n">
        <x:v>53</x:v>
      </x:c>
      <x:c r="I1168" s="18" t="n">
        <x:v>26</x:v>
      </x:c>
      <x:c r="J1168" s="18" t="n">
        <x:v>71</x:v>
      </x:c>
      <x:c r="K1168" s="18" t="n">
        <x:v>26</x:v>
      </x:c>
      <x:c r="L1168" s="18" t="n">
        <x:v>28</x:v>
      </x:c>
      <x:c r="M1168" s="18" t="n">
        <x:v>26</x:v>
      </x:c>
    </x:row>
    <x:row r="1169">
      <x:c r="A1169" s="22" t="str">
        <x:v>500108197</x:v>
      </x:c>
      <x:c r="B1169" s="17" t="str">
        <x:v>內湖區</x:v>
      </x:c>
      <x:c r="C1169" s="17" t="str">
        <x:v>成功路二段406巷口</x:v>
      </x:c>
      <x:c r="D1169" s="18" t="n">
        <x:v>26</x:v>
      </x:c>
      <x:c r="E1169" s="18" t="n">
        <x:v>26</x:v>
      </x:c>
      <x:c r="F1169" s="18" t="n">
        <x:v>211</x:v>
      </x:c>
      <x:c r="G1169" s="18" t="n">
        <x:v>26</x:v>
      </x:c>
      <x:c r="H1169" s="18" t="n">
        <x:v>40</x:v>
      </x:c>
      <x:c r="I1169" s="18" t="n">
        <x:v>26</x:v>
      </x:c>
      <x:c r="J1169" s="18" t="n">
        <x:v>134</x:v>
      </x:c>
      <x:c r="K1169" s="18" t="n">
        <x:v>26</x:v>
      </x:c>
      <x:c r="L1169" s="18" t="n">
        <x:v>41</x:v>
      </x:c>
      <x:c r="M1169" s="18" t="n">
        <x:v>26</x:v>
      </x:c>
    </x:row>
    <x:row r="1170">
      <x:c r="A1170" s="22" t="str">
        <x:v>500108198</x:v>
      </x:c>
      <x:c r="B1170" s="17" t="str">
        <x:v>內湖區</x:v>
      </x:c>
      <x:c r="C1170" s="17" t="str">
        <x:v>民權東路六段280巷69弄</x:v>
      </x:c>
      <x:c r="D1170" s="18" t="n">
        <x:v>26</x:v>
      </x:c>
      <x:c r="E1170" s="18" t="n">
        <x:v>26</x:v>
      </x:c>
      <x:c r="F1170" s="18" t="n">
        <x:v>0</x:v>
      </x:c>
      <x:c r="G1170" s="18" t="n">
        <x:v>26</x:v>
      </x:c>
      <x:c r="H1170" s="18" t="n">
        <x:v>0</x:v>
      </x:c>
      <x:c r="I1170" s="18" t="n">
        <x:v>26</x:v>
      </x:c>
      <x:c r="J1170" s="18" t="n">
        <x:v>0</x:v>
      </x:c>
      <x:c r="K1170" s="18" t="n">
        <x:v>26</x:v>
      </x:c>
      <x:c r="L1170" s="18" t="n">
        <x:v>0</x:v>
      </x:c>
      <x:c r="M1170" s="18" t="n">
        <x:v>26</x:v>
      </x:c>
    </x:row>
    <x:row r="1171">
      <x:c r="A1171" s="22" t="str">
        <x:v>500108199</x:v>
      </x:c>
      <x:c r="B1171" s="17" t="str">
        <x:v>內湖區</x:v>
      </x:c>
      <x:c r="C1171" s="17" t="str">
        <x:v>捷運東湖站(2號出口)</x:v>
      </x:c>
      <x:c r="D1171" s="18" t="n">
        <x:v>26</x:v>
      </x:c>
      <x:c r="E1171" s="18" t="n">
        <x:v>26</x:v>
      </x:c>
      <x:c r="F1171" s="18" t="n">
        <x:v>126</x:v>
      </x:c>
      <x:c r="G1171" s="18" t="n">
        <x:v>26</x:v>
      </x:c>
      <x:c r="H1171" s="18" t="n">
        <x:v>17</x:v>
      </x:c>
      <x:c r="I1171" s="18" t="n">
        <x:v>26</x:v>
      </x:c>
      <x:c r="J1171" s="18" t="n">
        <x:v>290</x:v>
      </x:c>
      <x:c r="K1171" s="18" t="n">
        <x:v>26</x:v>
      </x:c>
      <x:c r="L1171" s="18" t="n">
        <x:v>38</x:v>
      </x:c>
      <x:c r="M1171" s="18" t="n">
        <x:v>26</x:v>
      </x:c>
    </x:row>
    <x:row r="1172">
      <x:c r="A1172" s="22" t="str">
        <x:v>500108200</x:v>
      </x:c>
      <x:c r="B1172" s="17" t="str">
        <x:v>內湖區</x:v>
      </x:c>
      <x:c r="C1172" s="17" t="str">
        <x:v>民權東路六段280巷155弄口</x:v>
      </x:c>
      <x:c r="D1172" s="18" t="n">
        <x:v>26</x:v>
      </x:c>
      <x:c r="E1172" s="18" t="n">
        <x:v>26</x:v>
      </x:c>
      <x:c r="F1172" s="18" t="n">
        <x:v>181</x:v>
      </x:c>
      <x:c r="G1172" s="18" t="n">
        <x:v>26</x:v>
      </x:c>
      <x:c r="H1172" s="18" t="n">
        <x:v>129</x:v>
      </x:c>
      <x:c r="I1172" s="18" t="n">
        <x:v>26</x:v>
      </x:c>
      <x:c r="J1172" s="18" t="n">
        <x:v>114</x:v>
      </x:c>
      <x:c r="K1172" s="18" t="n">
        <x:v>26</x:v>
      </x:c>
      <x:c r="L1172" s="18" t="n">
        <x:v>79</x:v>
      </x:c>
      <x:c r="M1172" s="18" t="n">
        <x:v>26</x:v>
      </x:c>
    </x:row>
    <x:row r="1173">
      <x:c r="A1173" s="22" t="str">
        <x:v>500108201</x:v>
      </x:c>
      <x:c r="B1173" s="17" t="str">
        <x:v>內湖區</x:v>
      </x:c>
      <x:c r="C1173" s="17" t="str">
        <x:v>將軍嶺</x:v>
      </x:c>
      <x:c r="D1173" s="18" t="n">
        <x:v>26</x:v>
      </x:c>
      <x:c r="E1173" s="18" t="n">
        <x:v>26</x:v>
      </x:c>
      <x:c r="F1173" s="18" t="n">
        <x:v>289</x:v>
      </x:c>
      <x:c r="G1173" s="18" t="n">
        <x:v>26</x:v>
      </x:c>
      <x:c r="H1173" s="18" t="n">
        <x:v>53</x:v>
      </x:c>
      <x:c r="I1173" s="18" t="n">
        <x:v>26</x:v>
      </x:c>
      <x:c r="J1173" s="18" t="n">
        <x:v>375</x:v>
      </x:c>
      <x:c r="K1173" s="18" t="n">
        <x:v>26</x:v>
      </x:c>
      <x:c r="L1173" s="18" t="n">
        <x:v>57</x:v>
      </x:c>
      <x:c r="M1173" s="18" t="n">
        <x:v>26</x:v>
      </x:c>
    </x:row>
    <x:row r="1174">
      <x:c r="A1174" s="22" t="str">
        <x:v>500108202</x:v>
      </x:c>
      <x:c r="B1174" s="17" t="str">
        <x:v>內湖區</x:v>
      </x:c>
      <x:c r="C1174" s="17" t="str">
        <x:v>文湖街21巷82弄口</x:v>
      </x:c>
      <x:c r="D1174" s="18" t="n">
        <x:v>26</x:v>
      </x:c>
      <x:c r="E1174" s="18" t="n">
        <x:v>26</x:v>
      </x:c>
      <x:c r="F1174" s="18" t="n">
        <x:v>384</x:v>
      </x:c>
      <x:c r="G1174" s="18" t="n">
        <x:v>26</x:v>
      </x:c>
      <x:c r="H1174" s="18" t="n">
        <x:v>101</x:v>
      </x:c>
      <x:c r="I1174" s="18" t="n">
        <x:v>26</x:v>
      </x:c>
      <x:c r="J1174" s="18" t="n">
        <x:v>80</x:v>
      </x:c>
      <x:c r="K1174" s="18" t="n">
        <x:v>26</x:v>
      </x:c>
      <x:c r="L1174" s="18" t="n">
        <x:v>32</x:v>
      </x:c>
      <x:c r="M1174" s="18" t="n">
        <x:v>26</x:v>
      </x:c>
    </x:row>
    <x:row r="1175">
      <x:c r="A1175" s="22" t="str">
        <x:v>500108203</x:v>
      </x:c>
      <x:c r="B1175" s="17" t="str">
        <x:v>內湖區</x:v>
      </x:c>
      <x:c r="C1175" s="17" t="str">
        <x:v>西湖公園(內湖路一段387巷)</x:v>
      </x:c>
      <x:c r="D1175" s="18" t="n">
        <x:v>26</x:v>
      </x:c>
      <x:c r="E1175" s="18" t="n">
        <x:v>26</x:v>
      </x:c>
      <x:c r="F1175" s="18" t="n">
        <x:v>368</x:v>
      </x:c>
      <x:c r="G1175" s="18" t="n">
        <x:v>26</x:v>
      </x:c>
      <x:c r="H1175" s="18" t="n">
        <x:v>40</x:v>
      </x:c>
      <x:c r="I1175" s="18" t="n">
        <x:v>26</x:v>
      </x:c>
      <x:c r="J1175" s="18" t="n">
        <x:v>158</x:v>
      </x:c>
      <x:c r="K1175" s="18" t="n">
        <x:v>26</x:v>
      </x:c>
      <x:c r="L1175" s="18" t="n">
        <x:v>37</x:v>
      </x:c>
      <x:c r="M1175" s="18" t="n">
        <x:v>26</x:v>
      </x:c>
    </x:row>
    <x:row r="1176">
      <x:c r="A1176" s="22" t="str">
        <x:v>500108204</x:v>
      </x:c>
      <x:c r="B1176" s="17" t="str">
        <x:v>內湖區</x:v>
      </x:c>
      <x:c r="C1176" s="17" t="str">
        <x:v>國立臺灣戲曲學院(內湖校區)</x:v>
      </x:c>
      <x:c r="D1176" s="18" t="n">
        <x:v>26</x:v>
      </x:c>
      <x:c r="E1176" s="18" t="n">
        <x:v>26</x:v>
      </x:c>
      <x:c r="F1176" s="18" t="n">
        <x:v>265</x:v>
      </x:c>
      <x:c r="G1176" s="18" t="n">
        <x:v>26</x:v>
      </x:c>
      <x:c r="H1176" s="18" t="n">
        <x:v>34</x:v>
      </x:c>
      <x:c r="I1176" s="18" t="n">
        <x:v>26</x:v>
      </x:c>
      <x:c r="J1176" s="18" t="n">
        <x:v>195</x:v>
      </x:c>
      <x:c r="K1176" s="18" t="n">
        <x:v>26</x:v>
      </x:c>
      <x:c r="L1176" s="18" t="n">
        <x:v>49</x:v>
      </x:c>
      <x:c r="M1176" s="18" t="n">
        <x:v>26</x:v>
      </x:c>
    </x:row>
    <x:row r="1177">
      <x:c r="A1177" s="22" t="str">
        <x:v>500108205</x:v>
      </x:c>
      <x:c r="B1177" s="17" t="str">
        <x:v>內湖區</x:v>
      </x:c>
      <x:c r="C1177" s="17" t="str">
        <x:v>內湖路一段285巷65弄</x:v>
      </x:c>
      <x:c r="D1177" s="18" t="n">
        <x:v>26</x:v>
      </x:c>
      <x:c r="E1177" s="18" t="n">
        <x:v>26</x:v>
      </x:c>
      <x:c r="F1177" s="18" t="n">
        <x:v>438</x:v>
      </x:c>
      <x:c r="G1177" s="18" t="n">
        <x:v>26</x:v>
      </x:c>
      <x:c r="H1177" s="18" t="n">
        <x:v>93</x:v>
      </x:c>
      <x:c r="I1177" s="18" t="n">
        <x:v>26</x:v>
      </x:c>
      <x:c r="J1177" s="18" t="n">
        <x:v>118</x:v>
      </x:c>
      <x:c r="K1177" s="18" t="n">
        <x:v>26</x:v>
      </x:c>
      <x:c r="L1177" s="18" t="n">
        <x:v>42</x:v>
      </x:c>
      <x:c r="M1177" s="18" t="n">
        <x:v>26</x:v>
      </x:c>
    </x:row>
    <x:row r="1178">
      <x:c r="A1178" s="22" t="str">
        <x:v>500108206</x:v>
      </x:c>
      <x:c r="B1178" s="17" t="str">
        <x:v>內湖區</x:v>
      </x:c>
      <x:c r="C1178" s="17" t="str">
        <x:v>西湖國中</x:v>
      </x:c>
      <x:c r="D1178" s="18" t="n">
        <x:v>26</x:v>
      </x:c>
      <x:c r="E1178" s="18" t="n">
        <x:v>26</x:v>
      </x:c>
      <x:c r="F1178" s="18" t="n">
        <x:v>141</x:v>
      </x:c>
      <x:c r="G1178" s="18" t="n">
        <x:v>26</x:v>
      </x:c>
      <x:c r="H1178" s="18" t="n">
        <x:v>36</x:v>
      </x:c>
      <x:c r="I1178" s="18" t="n">
        <x:v>26</x:v>
      </x:c>
      <x:c r="J1178" s="18" t="n">
        <x:v>112</x:v>
      </x:c>
      <x:c r="K1178" s="18" t="n">
        <x:v>26</x:v>
      </x:c>
      <x:c r="L1178" s="18" t="n">
        <x:v>14</x:v>
      </x:c>
      <x:c r="M1178" s="18" t="n">
        <x:v>26</x:v>
      </x:c>
    </x:row>
    <x:row r="1179">
      <x:c r="A1179" s="22" t="str">
        <x:v>500108207</x:v>
      </x:c>
      <x:c r="B1179" s="17" t="str">
        <x:v>內湖區</x:v>
      </x:c>
      <x:c r="C1179" s="17" t="str">
        <x:v>成美疏散門</x:v>
      </x:c>
      <x:c r="D1179" s="18" t="n">
        <x:v>26</x:v>
      </x:c>
      <x:c r="E1179" s="18" t="n">
        <x:v>26</x:v>
      </x:c>
      <x:c r="F1179" s="18" t="n">
        <x:v>145</x:v>
      </x:c>
      <x:c r="G1179" s="18" t="n">
        <x:v>26</x:v>
      </x:c>
      <x:c r="H1179" s="18" t="n">
        <x:v>60</x:v>
      </x:c>
      <x:c r="I1179" s="18" t="n">
        <x:v>26</x:v>
      </x:c>
      <x:c r="J1179" s="18" t="n">
        <x:v>356</x:v>
      </x:c>
      <x:c r="K1179" s="18" t="n">
        <x:v>26</x:v>
      </x:c>
      <x:c r="L1179" s="18" t="n">
        <x:v>45</x:v>
      </x:c>
      <x:c r="M1179" s="18" t="n">
        <x:v>26</x:v>
      </x:c>
    </x:row>
    <x:row r="1180">
      <x:c r="A1180" s="22" t="str">
        <x:v>500108208</x:v>
      </x:c>
      <x:c r="B1180" s="17" t="str">
        <x:v>內湖區</x:v>
      </x:c>
      <x:c r="C1180" s="17" t="str">
        <x:v>大湖國小(大湖山莊街173巷口)</x:v>
      </x:c>
      <x:c r="D1180" s="18" t="n">
        <x:v>26</x:v>
      </x:c>
      <x:c r="E1180" s="18" t="n">
        <x:v>26</x:v>
      </x:c>
      <x:c r="F1180" s="18" t="n">
        <x:v>247</x:v>
      </x:c>
      <x:c r="G1180" s="18" t="n">
        <x:v>26</x:v>
      </x:c>
      <x:c r="H1180" s="18" t="n">
        <x:v>88</x:v>
      </x:c>
      <x:c r="I1180" s="18" t="n">
        <x:v>26</x:v>
      </x:c>
      <x:c r="J1180" s="18" t="n">
        <x:v>60</x:v>
      </x:c>
      <x:c r="K1180" s="18" t="n">
        <x:v>26</x:v>
      </x:c>
      <x:c r="L1180" s="18" t="n">
        <x:v>34</x:v>
      </x:c>
      <x:c r="M1180" s="18" t="n">
        <x:v>26</x:v>
      </x:c>
    </x:row>
    <x:row r="1181">
      <x:c r="A1181" s="22" t="str">
        <x:v>500108209</x:v>
      </x:c>
      <x:c r="B1181" s="17" t="str">
        <x:v>內湖區</x:v>
      </x:c>
      <x:c r="C1181" s="17" t="str">
        <x:v>成功路五段450巷口</x:v>
      </x:c>
      <x:c r="D1181" s="18" t="n">
        <x:v>26</x:v>
      </x:c>
      <x:c r="E1181" s="18" t="n">
        <x:v>26</x:v>
      </x:c>
      <x:c r="F1181" s="18" t="n">
        <x:v>142</x:v>
      </x:c>
      <x:c r="G1181" s="18" t="n">
        <x:v>26</x:v>
      </x:c>
      <x:c r="H1181" s="18" t="n">
        <x:v>11</x:v>
      </x:c>
      <x:c r="I1181" s="18" t="n">
        <x:v>26</x:v>
      </x:c>
      <x:c r="J1181" s="18" t="n">
        <x:v>200</x:v>
      </x:c>
      <x:c r="K1181" s="18" t="n">
        <x:v>26</x:v>
      </x:c>
      <x:c r="L1181" s="18" t="n">
        <x:v>43</x:v>
      </x:c>
      <x:c r="M1181" s="18" t="n">
        <x:v>26</x:v>
      </x:c>
    </x:row>
    <x:row r="1182">
      <x:c r="A1182" s="22" t="str">
        <x:v>500108210</x:v>
      </x:c>
      <x:c r="B1182" s="17" t="str">
        <x:v>內湖區</x:v>
      </x:c>
      <x:c r="C1182" s="17" t="str">
        <x:v>新湖二堤頂大道</x:v>
      </x:c>
      <x:c r="D1182" s="18" t="n">
        <x:v>26</x:v>
      </x:c>
      <x:c r="E1182" s="18" t="n">
        <x:v>26</x:v>
      </x:c>
      <x:c r="F1182" s="18" t="n">
        <x:v>0</x:v>
      </x:c>
      <x:c r="G1182" s="18" t="n">
        <x:v>26</x:v>
      </x:c>
      <x:c r="H1182" s="18" t="n">
        <x:v>0</x:v>
      </x:c>
      <x:c r="I1182" s="18" t="n">
        <x:v>26</x:v>
      </x:c>
      <x:c r="J1182" s="18" t="n">
        <x:v>0</x:v>
      </x:c>
      <x:c r="K1182" s="18" t="n">
        <x:v>26</x:v>
      </x:c>
      <x:c r="L1182" s="18" t="n">
        <x:v>0</x:v>
      </x:c>
      <x:c r="M1182" s="18" t="n">
        <x:v>26</x:v>
      </x:c>
    </x:row>
    <x:row r="1183">
      <x:c r="A1183" s="22" t="str">
        <x:v>500108211</x:v>
      </x:c>
      <x:c r="B1183" s="17" t="str">
        <x:v>內湖區</x:v>
      </x:c>
      <x:c r="C1183" s="17" t="str">
        <x:v>金湖路401巷</x:v>
      </x:c>
      <x:c r="D1183" s="18" t="n">
        <x:v>26</x:v>
      </x:c>
      <x:c r="E1183" s="18" t="n">
        <x:v>26</x:v>
      </x:c>
      <x:c r="F1183" s="18" t="n">
        <x:v>231</x:v>
      </x:c>
      <x:c r="G1183" s="18" t="n">
        <x:v>26</x:v>
      </x:c>
      <x:c r="H1183" s="18" t="n">
        <x:v>44</x:v>
      </x:c>
      <x:c r="I1183" s="18" t="n">
        <x:v>26</x:v>
      </x:c>
      <x:c r="J1183" s="18" t="n">
        <x:v>192</x:v>
      </x:c>
      <x:c r="K1183" s="18" t="n">
        <x:v>26</x:v>
      </x:c>
      <x:c r="L1183" s="18" t="n">
        <x:v>43</x:v>
      </x:c>
      <x:c r="M1183" s="18" t="n">
        <x:v>26</x:v>
      </x:c>
    </x:row>
    <x:row r="1184">
      <x:c r="A1184" s="22" t="str">
        <x:v>500108212</x:v>
      </x:c>
      <x:c r="B1184" s="17" t="str">
        <x:v>內湖區</x:v>
      </x:c>
      <x:c r="C1184" s="17" t="str">
        <x:v>內湖國小(內湖路一段737巷51弄)</x:v>
      </x:c>
      <x:c r="D1184" s="18" t="n">
        <x:v>26</x:v>
      </x:c>
      <x:c r="E1184" s="18" t="n">
        <x:v>26</x:v>
      </x:c>
      <x:c r="F1184" s="18" t="n">
        <x:v>322</x:v>
      </x:c>
      <x:c r="G1184" s="18" t="n">
        <x:v>26</x:v>
      </x:c>
      <x:c r="H1184" s="18" t="n">
        <x:v>69</x:v>
      </x:c>
      <x:c r="I1184" s="18" t="n">
        <x:v>26</x:v>
      </x:c>
      <x:c r="J1184" s="18" t="n">
        <x:v>126</x:v>
      </x:c>
      <x:c r="K1184" s="18" t="n">
        <x:v>26</x:v>
      </x:c>
      <x:c r="L1184" s="18" t="n">
        <x:v>37</x:v>
      </x:c>
      <x:c r="M1184" s="18" t="n">
        <x:v>26</x:v>
      </x:c>
    </x:row>
    <x:row r="1185">
      <x:c r="A1185" s="22" t="str">
        <x:v>500108213</x:v>
      </x:c>
      <x:c r="B1185" s="17" t="str">
        <x:v>內湖區</x:v>
      </x:c>
      <x:c r="C1185" s="17" t="str">
        <x:v>黃石公廟</x:v>
      </x:c>
      <x:c r="D1185" s="18" t="n">
        <x:v>26</x:v>
      </x:c>
      <x:c r="E1185" s="18" t="n">
        <x:v>26</x:v>
      </x:c>
      <x:c r="F1185" s="18" t="n">
        <x:v>129</x:v>
      </x:c>
      <x:c r="G1185" s="18" t="n">
        <x:v>26</x:v>
      </x:c>
      <x:c r="H1185" s="18" t="n">
        <x:v>36</x:v>
      </x:c>
      <x:c r="I1185" s="18" t="n">
        <x:v>26</x:v>
      </x:c>
      <x:c r="J1185" s="18" t="n">
        <x:v>168</x:v>
      </x:c>
      <x:c r="K1185" s="18" t="n">
        <x:v>26</x:v>
      </x:c>
      <x:c r="L1185" s="18" t="n">
        <x:v>46</x:v>
      </x:c>
      <x:c r="M1185" s="18" t="n">
        <x:v>26</x:v>
      </x:c>
    </x:row>
    <x:row r="1186">
      <x:c r="A1186" s="22" t="str">
        <x:v>500108214</x:v>
      </x:c>
      <x:c r="B1186" s="17" t="str">
        <x:v>內湖區</x:v>
      </x:c>
      <x:c r="C1186" s="17" t="str">
        <x:v>內湖路一段737巷/麗山街口</x:v>
      </x:c>
      <x:c r="D1186" s="18" t="n">
        <x:v>26</x:v>
      </x:c>
      <x:c r="E1186" s="18" t="n">
        <x:v>26</x:v>
      </x:c>
      <x:c r="F1186" s="18" t="n">
        <x:v>462</x:v>
      </x:c>
      <x:c r="G1186" s="18" t="n">
        <x:v>26</x:v>
      </x:c>
      <x:c r="H1186" s="18" t="n">
        <x:v>72</x:v>
      </x:c>
      <x:c r="I1186" s="18" t="n">
        <x:v>26</x:v>
      </x:c>
      <x:c r="J1186" s="18" t="n">
        <x:v>96</x:v>
      </x:c>
      <x:c r="K1186" s="18" t="n">
        <x:v>26</x:v>
      </x:c>
      <x:c r="L1186" s="18" t="n">
        <x:v>37</x:v>
      </x:c>
      <x:c r="M1186" s="18" t="n">
        <x:v>26</x:v>
      </x:c>
    </x:row>
    <x:row r="1187">
      <x:c r="A1187" s="22" t="str">
        <x:v>500108215</x:v>
      </x:c>
      <x:c r="B1187" s="17" t="str">
        <x:v>內湖區</x:v>
      </x:c>
      <x:c r="C1187" s="17" t="str">
        <x:v>行愛路78巷</x:v>
      </x:c>
      <x:c r="D1187" s="18" t="n">
        <x:v>26</x:v>
      </x:c>
      <x:c r="E1187" s="18" t="n">
        <x:v>26</x:v>
      </x:c>
      <x:c r="F1187" s="18" t="n">
        <x:v>129</x:v>
      </x:c>
      <x:c r="G1187" s="18" t="n">
        <x:v>26</x:v>
      </x:c>
      <x:c r="H1187" s="18" t="n">
        <x:v>13</x:v>
      </x:c>
      <x:c r="I1187" s="18" t="n">
        <x:v>26</x:v>
      </x:c>
      <x:c r="J1187" s="18" t="n">
        <x:v>405</x:v>
      </x:c>
      <x:c r="K1187" s="18" t="n">
        <x:v>26</x:v>
      </x:c>
      <x:c r="L1187" s="18" t="n">
        <x:v>76</x:v>
      </x:c>
      <x:c r="M1187" s="18" t="n">
        <x:v>26</x:v>
      </x:c>
    </x:row>
    <x:row r="1188">
      <x:c r="A1188" s="22" t="str">
        <x:v>500108216</x:v>
      </x:c>
      <x:c r="B1188" s="17" t="str">
        <x:v>內湖區</x:v>
      </x:c>
      <x:c r="C1188" s="17" t="str">
        <x:v>港墘路1巷口</x:v>
      </x:c>
      <x:c r="D1188" s="18" t="n">
        <x:v>26</x:v>
      </x:c>
      <x:c r="E1188" s="18" t="n">
        <x:v>26</x:v>
      </x:c>
      <x:c r="F1188" s="18" t="n">
        <x:v>306</x:v>
      </x:c>
      <x:c r="G1188" s="18" t="n">
        <x:v>26</x:v>
      </x:c>
      <x:c r="H1188" s="18" t="n">
        <x:v>58</x:v>
      </x:c>
      <x:c r="I1188" s="18" t="n">
        <x:v>26</x:v>
      </x:c>
      <x:c r="J1188" s="18" t="n">
        <x:v>92</x:v>
      </x:c>
      <x:c r="K1188" s="18" t="n">
        <x:v>26</x:v>
      </x:c>
      <x:c r="L1188" s="18" t="n">
        <x:v>30</x:v>
      </x:c>
      <x:c r="M1188" s="18" t="n">
        <x:v>26</x:v>
      </x:c>
    </x:row>
    <x:row r="1189">
      <x:c r="A1189" s="22" t="str">
        <x:v>500108217</x:v>
      </x:c>
      <x:c r="B1189" s="17" t="str">
        <x:v>內湖區</x:v>
      </x:c>
      <x:c r="C1189" s="17" t="str">
        <x:v>民權東路六段280巷69弄</x:v>
      </x:c>
      <x:c r="D1189" s="18" t="n">
        <x:v>26</x:v>
      </x:c>
      <x:c r="E1189" s="18" t="n">
        <x:v>26</x:v>
      </x:c>
      <x:c r="F1189" s="18" t="n">
        <x:v>152</x:v>
      </x:c>
      <x:c r="G1189" s="18" t="n">
        <x:v>26</x:v>
      </x:c>
      <x:c r="H1189" s="18" t="n">
        <x:v>72</x:v>
      </x:c>
      <x:c r="I1189" s="18" t="n">
        <x:v>26</x:v>
      </x:c>
      <x:c r="J1189" s="18" t="n">
        <x:v>87</x:v>
      </x:c>
      <x:c r="K1189" s="18" t="n">
        <x:v>26</x:v>
      </x:c>
      <x:c r="L1189" s="18" t="n">
        <x:v>51</x:v>
      </x:c>
      <x:c r="M1189" s="18" t="n">
        <x:v>26</x:v>
      </x:c>
    </x:row>
    <x:row r="1190">
      <x:c r="A1190" s="22" t="str">
        <x:v>500108218</x:v>
      </x:c>
      <x:c r="B1190" s="17" t="str">
        <x:v>內湖區</x:v>
      </x:c>
      <x:c r="C1190" s="17" t="str">
        <x:v>瑞光路548巷</x:v>
      </x:c>
      <x:c r="D1190" s="18" t="n">
        <x:v>26</x:v>
      </x:c>
      <x:c r="E1190" s="18" t="n">
        <x:v>26</x:v>
      </x:c>
      <x:c r="F1190" s="18" t="n">
        <x:v>116</x:v>
      </x:c>
      <x:c r="G1190" s="18" t="n">
        <x:v>26</x:v>
      </x:c>
      <x:c r="H1190" s="18" t="n">
        <x:v>22</x:v>
      </x:c>
      <x:c r="I1190" s="18" t="n">
        <x:v>26</x:v>
      </x:c>
      <x:c r="J1190" s="18" t="n">
        <x:v>1766</x:v>
      </x:c>
      <x:c r="K1190" s="18" t="n">
        <x:v>26</x:v>
      </x:c>
      <x:c r="L1190" s="18" t="n">
        <x:v>114</x:v>
      </x:c>
      <x:c r="M1190" s="18" t="n">
        <x:v>26</x:v>
      </x:c>
    </x:row>
    <x:row r="1191">
      <x:c r="A1191" s="22" t="str">
        <x:v>500108219</x:v>
      </x:c>
      <x:c r="B1191" s="17" t="str">
        <x:v>內湖區</x:v>
      </x:c>
      <x:c r="C1191" s="17" t="str">
        <x:v>內湖國小(內湖路二段76巷)</x:v>
      </x:c>
      <x:c r="D1191" s="18" t="n">
        <x:v>26</x:v>
      </x:c>
      <x:c r="E1191" s="18" t="n">
        <x:v>26</x:v>
      </x:c>
      <x:c r="F1191" s="18" t="n">
        <x:v>204</x:v>
      </x:c>
      <x:c r="G1191" s="18" t="n">
        <x:v>26</x:v>
      </x:c>
      <x:c r="H1191" s="18" t="n">
        <x:v>39</x:v>
      </x:c>
      <x:c r="I1191" s="18" t="n">
        <x:v>26</x:v>
      </x:c>
      <x:c r="J1191" s="18" t="n">
        <x:v>80</x:v>
      </x:c>
      <x:c r="K1191" s="18" t="n">
        <x:v>26</x:v>
      </x:c>
      <x:c r="L1191" s="18" t="n">
        <x:v>24</x:v>
      </x:c>
      <x:c r="M1191" s="18" t="n">
        <x:v>26</x:v>
      </x:c>
    </x:row>
    <x:row r="1192">
      <x:c r="A1192" s="22" t="str">
        <x:v>500108220</x:v>
      </x:c>
      <x:c r="B1192" s="17" t="str">
        <x:v>內湖區</x:v>
      </x:c>
      <x:c r="C1192" s="17" t="str">
        <x:v>三民國中(民權東路)</x:v>
      </x:c>
      <x:c r="D1192" s="18" t="n">
        <x:v>26</x:v>
      </x:c>
      <x:c r="E1192" s="18" t="n">
        <x:v>26</x:v>
      </x:c>
      <x:c r="F1192" s="18" t="n">
        <x:v>253</x:v>
      </x:c>
      <x:c r="G1192" s="18" t="n">
        <x:v>26</x:v>
      </x:c>
      <x:c r="H1192" s="18" t="n">
        <x:v>30</x:v>
      </x:c>
      <x:c r="I1192" s="18" t="n">
        <x:v>26</x:v>
      </x:c>
      <x:c r="J1192" s="18" t="n">
        <x:v>317</x:v>
      </x:c>
      <x:c r="K1192" s="18" t="n">
        <x:v>26</x:v>
      </x:c>
      <x:c r="L1192" s="18" t="n">
        <x:v>31</x:v>
      </x:c>
      <x:c r="M1192" s="18" t="n">
        <x:v>26</x:v>
      </x:c>
    </x:row>
    <x:row r="1193">
      <x:c r="A1193" s="22" t="str">
        <x:v>500108221</x:v>
      </x:c>
      <x:c r="B1193" s="17" t="str">
        <x:v>內湖區</x:v>
      </x:c>
      <x:c r="C1193" s="17" t="str">
        <x:v>內湖大坑公園</x:v>
      </x:c>
      <x:c r="D1193" s="18" t="n">
        <x:v>26</x:v>
      </x:c>
      <x:c r="E1193" s="18" t="n">
        <x:v>26</x:v>
      </x:c>
      <x:c r="F1193" s="18" t="n">
        <x:v>224</x:v>
      </x:c>
      <x:c r="G1193" s="18" t="n">
        <x:v>26</x:v>
      </x:c>
      <x:c r="H1193" s="18" t="n">
        <x:v>54</x:v>
      </x:c>
      <x:c r="I1193" s="18" t="n">
        <x:v>26</x:v>
      </x:c>
      <x:c r="J1193" s="18" t="n">
        <x:v>136</x:v>
      </x:c>
      <x:c r="K1193" s="18" t="n">
        <x:v>26</x:v>
      </x:c>
      <x:c r="L1193" s="18" t="n">
        <x:v>49</x:v>
      </x:c>
      <x:c r="M1193" s="18" t="n">
        <x:v>26</x:v>
      </x:c>
    </x:row>
    <x:row r="1194">
      <x:c r="A1194" s="22" t="str">
        <x:v>500108222</x:v>
      </x:c>
      <x:c r="B1194" s="17" t="str">
        <x:v>內湖區</x:v>
      </x:c>
      <x:c r="C1194" s="17" t="str">
        <x:v>金湖康寧路口(白鷺鷥山登山步道)</x:v>
      </x:c>
      <x:c r="D1194" s="18" t="n">
        <x:v>26</x:v>
      </x:c>
      <x:c r="E1194" s="18" t="n">
        <x:v>26</x:v>
      </x:c>
      <x:c r="F1194" s="18" t="n">
        <x:v>164</x:v>
      </x:c>
      <x:c r="G1194" s="18" t="n">
        <x:v>26</x:v>
      </x:c>
      <x:c r="H1194" s="18" t="n">
        <x:v>50</x:v>
      </x:c>
      <x:c r="I1194" s="18" t="n">
        <x:v>26</x:v>
      </x:c>
      <x:c r="J1194" s="18" t="n">
        <x:v>204</x:v>
      </x:c>
      <x:c r="K1194" s="18" t="n">
        <x:v>26</x:v>
      </x:c>
      <x:c r="L1194" s="18" t="n">
        <x:v>49</x:v>
      </x:c>
      <x:c r="M1194" s="18" t="n">
        <x:v>26</x:v>
      </x:c>
    </x:row>
    <x:row r="1195">
      <x:c r="A1195" s="22" t="str">
        <x:v>500108223</x:v>
      </x:c>
      <x:c r="B1195" s="17" t="str">
        <x:v>內湖區</x:v>
      </x:c>
      <x:c r="C1195" s="17" t="str">
        <x:v>成功路四段61巷35弄口</x:v>
      </x:c>
      <x:c r="D1195" s="18" t="n">
        <x:v>26</x:v>
      </x:c>
      <x:c r="E1195" s="18" t="n">
        <x:v>26</x:v>
      </x:c>
      <x:c r="F1195" s="18" t="n">
        <x:v>239</x:v>
      </x:c>
      <x:c r="G1195" s="18" t="n">
        <x:v>26</x:v>
      </x:c>
      <x:c r="H1195" s="18" t="n">
        <x:v>36</x:v>
      </x:c>
      <x:c r="I1195" s="18" t="n">
        <x:v>26</x:v>
      </x:c>
      <x:c r="J1195" s="18" t="n">
        <x:v>117</x:v>
      </x:c>
      <x:c r="K1195" s="18" t="n">
        <x:v>26</x:v>
      </x:c>
      <x:c r="L1195" s="18" t="n">
        <x:v>8</x:v>
      </x:c>
      <x:c r="M1195" s="18" t="n">
        <x:v>26</x:v>
      </x:c>
    </x:row>
    <x:row r="1196">
      <x:c r="A1196" s="22" t="str">
        <x:v>500108224</x:v>
      </x:c>
      <x:c r="B1196" s="17" t="str">
        <x:v>內湖區</x:v>
      </x:c>
      <x:c r="C1196" s="17" t="str">
        <x:v>成美抽水站</x:v>
      </x:c>
      <x:c r="D1196" s="18" t="n">
        <x:v>26</x:v>
      </x:c>
      <x:c r="E1196" s="18" t="n">
        <x:v>26</x:v>
      </x:c>
      <x:c r="F1196" s="18" t="n">
        <x:v>265</x:v>
      </x:c>
      <x:c r="G1196" s="18" t="n">
        <x:v>26</x:v>
      </x:c>
      <x:c r="H1196" s="18" t="n">
        <x:v>26</x:v>
      </x:c>
      <x:c r="I1196" s="18" t="n">
        <x:v>26</x:v>
      </x:c>
      <x:c r="J1196" s="18" t="n">
        <x:v>334</x:v>
      </x:c>
      <x:c r="K1196" s="18" t="n">
        <x:v>26</x:v>
      </x:c>
      <x:c r="L1196" s="18" t="n">
        <x:v>34</x:v>
      </x:c>
      <x:c r="M1196" s="18" t="n">
        <x:v>26</x:v>
      </x:c>
    </x:row>
    <x:row r="1197">
      <x:c r="A1197" s="22" t="str">
        <x:v>500108225</x:v>
      </x:c>
      <x:c r="B1197" s="17" t="str">
        <x:v>內湖區</x:v>
      </x:c>
      <x:c r="C1197" s="17" t="str">
        <x:v>文湖公園</x:v>
      </x:c>
      <x:c r="D1197" s="18" t="n">
        <x:v>26</x:v>
      </x:c>
      <x:c r="E1197" s="18" t="n">
        <x:v>26</x:v>
      </x:c>
      <x:c r="F1197" s="18" t="n">
        <x:v>422</x:v>
      </x:c>
      <x:c r="G1197" s="18" t="n">
        <x:v>26</x:v>
      </x:c>
      <x:c r="H1197" s="18" t="n">
        <x:v>40</x:v>
      </x:c>
      <x:c r="I1197" s="18" t="n">
        <x:v>26</x:v>
      </x:c>
      <x:c r="J1197" s="18" t="n">
        <x:v>68</x:v>
      </x:c>
      <x:c r="K1197" s="18" t="n">
        <x:v>26</x:v>
      </x:c>
      <x:c r="L1197" s="18" t="n">
        <x:v>23</x:v>
      </x:c>
      <x:c r="M1197" s="18" t="n">
        <x:v>26</x:v>
      </x:c>
    </x:row>
    <x:row r="1198">
      <x:c r="A1198" s="22" t="str">
        <x:v>500108226</x:v>
      </x:c>
      <x:c r="B1198" s="17" t="str">
        <x:v>內湖區</x:v>
      </x:c>
      <x:c r="C1198" s="17" t="str">
        <x:v>成功路二段/石潭路(西南側)</x:v>
      </x:c>
      <x:c r="D1198" s="18" t="n">
        <x:v>26</x:v>
      </x:c>
      <x:c r="E1198" s="18" t="n">
        <x:v>26</x:v>
      </x:c>
      <x:c r="F1198" s="18" t="n">
        <x:v>150</x:v>
      </x:c>
      <x:c r="G1198" s="18" t="n">
        <x:v>26</x:v>
      </x:c>
      <x:c r="H1198" s="18" t="n">
        <x:v>28</x:v>
      </x:c>
      <x:c r="I1198" s="18" t="n">
        <x:v>26</x:v>
      </x:c>
      <x:c r="J1198" s="18" t="n">
        <x:v>699</x:v>
      </x:c>
      <x:c r="K1198" s="18" t="n">
        <x:v>26</x:v>
      </x:c>
      <x:c r="L1198" s="18" t="n">
        <x:v>105</x:v>
      </x:c>
      <x:c r="M1198" s="18" t="n">
        <x:v>26</x:v>
      </x:c>
    </x:row>
    <x:row r="1199">
      <x:c r="A1199" s="22" t="str">
        <x:v>500108227</x:v>
      </x:c>
      <x:c r="B1199" s="17" t="str">
        <x:v>內湖區</x:v>
      </x:c>
      <x:c r="C1199" s="17" t="str">
        <x:v>華城橋(東湖)</x:v>
      </x:c>
      <x:c r="D1199" s="18" t="n">
        <x:v>26</x:v>
      </x:c>
      <x:c r="E1199" s="18" t="n">
        <x:v>26</x:v>
      </x:c>
      <x:c r="F1199" s="18" t="n">
        <x:v>212</x:v>
      </x:c>
      <x:c r="G1199" s="18" t="n">
        <x:v>26</x:v>
      </x:c>
      <x:c r="H1199" s="18" t="n">
        <x:v>50</x:v>
      </x:c>
      <x:c r="I1199" s="18" t="n">
        <x:v>26</x:v>
      </x:c>
      <x:c r="J1199" s="18" t="n">
        <x:v>112</x:v>
      </x:c>
      <x:c r="K1199" s="18" t="n">
        <x:v>26</x:v>
      </x:c>
      <x:c r="L1199" s="18" t="n">
        <x:v>13</x:v>
      </x:c>
      <x:c r="M1199" s="18" t="n">
        <x:v>26</x:v>
      </x:c>
    </x:row>
    <x:row r="1200">
      <x:c r="A1200" s="22" t="str">
        <x:v>500108228</x:v>
      </x:c>
      <x:c r="B1200" s="17" t="str">
        <x:v>內湖區</x:v>
      </x:c>
      <x:c r="C1200" s="17" t="str">
        <x:v>成功路二段115巷口(國道一號)</x:v>
      </x:c>
      <x:c r="D1200" s="18" t="n">
        <x:v>26</x:v>
      </x:c>
      <x:c r="E1200" s="18" t="n">
        <x:v>26</x:v>
      </x:c>
      <x:c r="F1200" s="18" t="n">
        <x:v>378</x:v>
      </x:c>
      <x:c r="G1200" s="18" t="n">
        <x:v>26</x:v>
      </x:c>
      <x:c r="H1200" s="18" t="n">
        <x:v>24</x:v>
      </x:c>
      <x:c r="I1200" s="18" t="n">
        <x:v>26</x:v>
      </x:c>
      <x:c r="J1200" s="18" t="n">
        <x:v>450</x:v>
      </x:c>
      <x:c r="K1200" s="18" t="n">
        <x:v>26</x:v>
      </x:c>
      <x:c r="L1200" s="18" t="n">
        <x:v>29</x:v>
      </x:c>
      <x:c r="M1200" s="18" t="n">
        <x:v>26</x:v>
      </x:c>
    </x:row>
    <x:row r="1201">
      <x:c r="A1201" s="22" t="str">
        <x:v>500108229</x:v>
      </x:c>
      <x:c r="B1201" s="17" t="str">
        <x:v>內湖區</x:v>
      </x:c>
      <x:c r="C1201" s="17" t="str">
        <x:v>康寧路三段56巷198號</x:v>
      </x:c>
      <x:c r="D1201" s="18" t="n">
        <x:v>26</x:v>
      </x:c>
      <x:c r="E1201" s="18" t="n">
        <x:v>26</x:v>
      </x:c>
      <x:c r="F1201" s="18" t="n">
        <x:v>70</x:v>
      </x:c>
      <x:c r="G1201" s="18" t="n">
        <x:v>26</x:v>
      </x:c>
      <x:c r="H1201" s="18" t="n">
        <x:v>56</x:v>
      </x:c>
      <x:c r="I1201" s="18" t="n">
        <x:v>26</x:v>
      </x:c>
      <x:c r="J1201" s="18" t="n">
        <x:v>78</x:v>
      </x:c>
      <x:c r="K1201" s="18" t="n">
        <x:v>26</x:v>
      </x:c>
      <x:c r="L1201" s="18" t="n">
        <x:v>47</x:v>
      </x:c>
      <x:c r="M1201" s="18" t="n">
        <x:v>26</x:v>
      </x:c>
    </x:row>
    <x:row r="1202">
      <x:c r="A1202" s="22" t="str">
        <x:v>500108230</x:v>
      </x:c>
      <x:c r="B1202" s="17" t="str">
        <x:v>內湖區</x:v>
      </x:c>
      <x:c r="C1202" s="17" t="str">
        <x:v>內湖路一段715巷口</x:v>
      </x:c>
      <x:c r="D1202" s="18" t="n">
        <x:v>26</x:v>
      </x:c>
      <x:c r="E1202" s="18" t="n">
        <x:v>26</x:v>
      </x:c>
      <x:c r="F1202" s="18" t="n">
        <x:v>182</x:v>
      </x:c>
      <x:c r="G1202" s="18" t="n">
        <x:v>26</x:v>
      </x:c>
      <x:c r="H1202" s="18" t="n">
        <x:v>28</x:v>
      </x:c>
      <x:c r="I1202" s="18" t="n">
        <x:v>26</x:v>
      </x:c>
      <x:c r="J1202" s="18" t="n">
        <x:v>82</x:v>
      </x:c>
      <x:c r="K1202" s="18" t="n">
        <x:v>26</x:v>
      </x:c>
      <x:c r="L1202" s="18" t="n">
        <x:v>17</x:v>
      </x:c>
      <x:c r="M1202" s="18" t="n">
        <x:v>26</x:v>
      </x:c>
    </x:row>
    <x:row r="1203">
      <x:c r="A1203" s="22" t="str">
        <x:v>500108231</x:v>
      </x:c>
      <x:c r="B1203" s="17" t="str">
        <x:v>內湖區</x:v>
      </x:c>
      <x:c r="C1203" s="17" t="str">
        <x:v>成功路三段187巷口</x:v>
      </x:c>
      <x:c r="D1203" s="18" t="n">
        <x:v>26</x:v>
      </x:c>
      <x:c r="E1203" s="18" t="n">
        <x:v>26</x:v>
      </x:c>
      <x:c r="F1203" s="18" t="n">
        <x:v>211</x:v>
      </x:c>
      <x:c r="G1203" s="18" t="n">
        <x:v>26</x:v>
      </x:c>
      <x:c r="H1203" s="18" t="n">
        <x:v>25</x:v>
      </x:c>
      <x:c r="I1203" s="18" t="n">
        <x:v>26</x:v>
      </x:c>
      <x:c r="J1203" s="18" t="n">
        <x:v>165</x:v>
      </x:c>
      <x:c r="K1203" s="18" t="n">
        <x:v>26</x:v>
      </x:c>
      <x:c r="L1203" s="18" t="n">
        <x:v>39</x:v>
      </x:c>
      <x:c r="M1203" s="18" t="n">
        <x:v>26</x:v>
      </x:c>
    </x:row>
    <x:row r="1204">
      <x:c r="A1204" s="22" t="str">
        <x:v>500108232</x:v>
      </x:c>
      <x:c r="B1204" s="17" t="str">
        <x:v>內湖區</x:v>
      </x:c>
      <x:c r="C1204" s="17" t="str">
        <x:v>民權東路六段280巷45弄底</x:v>
      </x:c>
      <x:c r="D1204" s="18" t="n">
        <x:v>26</x:v>
      </x:c>
      <x:c r="E1204" s="18" t="n">
        <x:v>26</x:v>
      </x:c>
      <x:c r="F1204" s="18" t="n">
        <x:v>0</x:v>
      </x:c>
      <x:c r="G1204" s="18" t="n">
        <x:v>26</x:v>
      </x:c>
      <x:c r="H1204" s="18" t="n">
        <x:v>0</x:v>
      </x:c>
      <x:c r="I1204" s="18" t="n">
        <x:v>26</x:v>
      </x:c>
      <x:c r="J1204" s="18" t="n">
        <x:v>0</x:v>
      </x:c>
      <x:c r="K1204" s="18" t="n">
        <x:v>26</x:v>
      </x:c>
      <x:c r="L1204" s="18" t="n">
        <x:v>0</x:v>
      </x:c>
      <x:c r="M1204" s="18" t="n">
        <x:v>26</x:v>
      </x:c>
    </x:row>
    <x:row r="1205">
      <x:c r="A1205" s="22" t="str">
        <x:v>500108233</x:v>
      </x:c>
      <x:c r="B1205" s="17" t="str">
        <x:v>內湖區</x:v>
      </x:c>
      <x:c r="C1205" s="17" t="str">
        <x:v>江南街41巷3弄</x:v>
      </x:c>
      <x:c r="D1205" s="18" t="n">
        <x:v>26</x:v>
      </x:c>
      <x:c r="E1205" s="18" t="n">
        <x:v>26</x:v>
      </x:c>
      <x:c r="F1205" s="18" t="n">
        <x:v>223</x:v>
      </x:c>
      <x:c r="G1205" s="18" t="n">
        <x:v>26</x:v>
      </x:c>
      <x:c r="H1205" s="18" t="n">
        <x:v>63</x:v>
      </x:c>
      <x:c r="I1205" s="18" t="n">
        <x:v>26</x:v>
      </x:c>
      <x:c r="J1205" s="18" t="n">
        <x:v>112</x:v>
      </x:c>
      <x:c r="K1205" s="18" t="n">
        <x:v>26</x:v>
      </x:c>
      <x:c r="L1205" s="18" t="n">
        <x:v>38</x:v>
      </x:c>
      <x:c r="M1205" s="18" t="n">
        <x:v>26</x:v>
      </x:c>
    </x:row>
    <x:row r="1206">
      <x:c r="A1206" s="22" t="str">
        <x:v>500108234</x:v>
      </x:c>
      <x:c r="B1206" s="17" t="str">
        <x:v>內湖區</x:v>
      </x:c>
      <x:c r="C1206" s="17" t="str">
        <x:v>民權東路六段280巷45弄口</x:v>
      </x:c>
      <x:c r="D1206" s="18" t="n">
        <x:v>26</x:v>
      </x:c>
      <x:c r="E1206" s="18" t="n">
        <x:v>26</x:v>
      </x:c>
      <x:c r="F1206" s="18" t="n">
        <x:v>100</x:v>
      </x:c>
      <x:c r="G1206" s="18" t="n">
        <x:v>26</x:v>
      </x:c>
      <x:c r="H1206" s="18" t="n">
        <x:v>36</x:v>
      </x:c>
      <x:c r="I1206" s="18" t="n">
        <x:v>26</x:v>
      </x:c>
      <x:c r="J1206" s="18" t="n">
        <x:v>88</x:v>
      </x:c>
      <x:c r="K1206" s="18" t="n">
        <x:v>26</x:v>
      </x:c>
      <x:c r="L1206" s="18" t="n">
        <x:v>55</x:v>
      </x:c>
      <x:c r="M1206" s="18" t="n">
        <x:v>26</x:v>
      </x:c>
    </x:row>
    <x:row r="1207">
      <x:c r="A1207" s="22" t="str">
        <x:v>500108235</x:v>
      </x:c>
      <x:c r="B1207" s="17" t="str">
        <x:v>內湖區</x:v>
      </x:c>
      <x:c r="C1207" s="17" t="str">
        <x:v>成功路三段12巷口</x:v>
      </x:c>
      <x:c r="D1207" s="18" t="n">
        <x:v>26</x:v>
      </x:c>
      <x:c r="E1207" s="18" t="n">
        <x:v>26</x:v>
      </x:c>
      <x:c r="F1207" s="18" t="n">
        <x:v>199</x:v>
      </x:c>
      <x:c r="G1207" s="18" t="n">
        <x:v>26</x:v>
      </x:c>
      <x:c r="H1207" s="18" t="n">
        <x:v>67</x:v>
      </x:c>
      <x:c r="I1207" s="18" t="n">
        <x:v>26</x:v>
      </x:c>
      <x:c r="J1207" s="18" t="n">
        <x:v>139</x:v>
      </x:c>
      <x:c r="K1207" s="18" t="n">
        <x:v>26</x:v>
      </x:c>
      <x:c r="L1207" s="18" t="n">
        <x:v>32</x:v>
      </x:c>
      <x:c r="M1207" s="18" t="n">
        <x:v>26</x:v>
      </x:c>
    </x:row>
    <x:row r="1208">
      <x:c r="A1208" s="22" t="str">
        <x:v>500108236</x:v>
      </x:c>
      <x:c r="B1208" s="17" t="str">
        <x:v>內湖區</x:v>
      </x:c>
      <x:c r="C1208" s="17" t="str">
        <x:v>民權東路六段191巷口</x:v>
      </x:c>
      <x:c r="D1208" s="18" t="n">
        <x:v>26</x:v>
      </x:c>
      <x:c r="E1208" s="18" t="n">
        <x:v>26</x:v>
      </x:c>
      <x:c r="F1208" s="18" t="n">
        <x:v>222</x:v>
      </x:c>
      <x:c r="G1208" s="18" t="n">
        <x:v>26</x:v>
      </x:c>
      <x:c r="H1208" s="18" t="n">
        <x:v>103</x:v>
      </x:c>
      <x:c r="I1208" s="18" t="n">
        <x:v>26</x:v>
      </x:c>
      <x:c r="J1208" s="18" t="n">
        <x:v>203</x:v>
      </x:c>
      <x:c r="K1208" s="18" t="n">
        <x:v>26</x:v>
      </x:c>
      <x:c r="L1208" s="18" t="n">
        <x:v>89</x:v>
      </x:c>
      <x:c r="M1208" s="18" t="n">
        <x:v>26</x:v>
      </x:c>
    </x:row>
    <x:row r="1209">
      <x:c r="A1209" s="22" t="str">
        <x:v>500108237</x:v>
      </x:c>
      <x:c r="B1209" s="17" t="str">
        <x:v>內湖區</x:v>
      </x:c>
      <x:c r="C1209" s="17" t="str">
        <x:v>石潭公園(安康路)南側</x:v>
      </x:c>
      <x:c r="D1209" s="18" t="n">
        <x:v>26</x:v>
      </x:c>
      <x:c r="E1209" s="18" t="n">
        <x:v>26</x:v>
      </x:c>
      <x:c r="F1209" s="18" t="n">
        <x:v>147</x:v>
      </x:c>
      <x:c r="G1209" s="18" t="n">
        <x:v>26</x:v>
      </x:c>
      <x:c r="H1209" s="18" t="n">
        <x:v>61</x:v>
      </x:c>
      <x:c r="I1209" s="18" t="n">
        <x:v>26</x:v>
      </x:c>
      <x:c r="J1209" s="18" t="n">
        <x:v>585</x:v>
      </x:c>
      <x:c r="K1209" s="18" t="n">
        <x:v>26</x:v>
      </x:c>
      <x:c r="L1209" s="18" t="n">
        <x:v>148</x:v>
      </x:c>
      <x:c r="M1209" s="18" t="n">
        <x:v>26</x:v>
      </x:c>
    </x:row>
    <x:row r="1210">
      <x:c r="A1210" s="22" t="str">
        <x:v>500108238</x:v>
      </x:c>
      <x:c r="B1210" s="17" t="str">
        <x:v>內湖區</x:v>
      </x:c>
      <x:c r="C1210" s="17" t="str">
        <x:v>金豐金莊路口</x:v>
      </x:c>
      <x:c r="D1210" s="18" t="n">
        <x:v>26</x:v>
      </x:c>
      <x:c r="E1210" s="18" t="n">
        <x:v>26</x:v>
      </x:c>
      <x:c r="F1210" s="18" t="n">
        <x:v>159</x:v>
      </x:c>
      <x:c r="G1210" s="18" t="n">
        <x:v>26</x:v>
      </x:c>
      <x:c r="H1210" s="18" t="n">
        <x:v>19</x:v>
      </x:c>
      <x:c r="I1210" s="18" t="n">
        <x:v>26</x:v>
      </x:c>
      <x:c r="J1210" s="18" t="n">
        <x:v>249</x:v>
      </x:c>
      <x:c r="K1210" s="18" t="n">
        <x:v>26</x:v>
      </x:c>
      <x:c r="L1210" s="18" t="n">
        <x:v>32</x:v>
      </x:c>
      <x:c r="M1210" s="18" t="n">
        <x:v>26</x:v>
      </x:c>
    </x:row>
    <x:row r="1211">
      <x:c r="A1211" s="22" t="str">
        <x:v>500108239</x:v>
      </x:c>
      <x:c r="B1211" s="17" t="str">
        <x:v>內湖區</x:v>
      </x:c>
      <x:c r="C1211" s="17" t="str">
        <x:v>康寧路三段99巷</x:v>
      </x:c>
      <x:c r="D1211" s="18" t="n">
        <x:v>26</x:v>
      </x:c>
      <x:c r="E1211" s="18" t="n">
        <x:v>26</x:v>
      </x:c>
      <x:c r="F1211" s="18" t="n">
        <x:v>174</x:v>
      </x:c>
      <x:c r="G1211" s="18" t="n">
        <x:v>26</x:v>
      </x:c>
      <x:c r="H1211" s="18" t="n">
        <x:v>55</x:v>
      </x:c>
      <x:c r="I1211" s="18" t="n">
        <x:v>26</x:v>
      </x:c>
      <x:c r="J1211" s="18" t="n">
        <x:v>75</x:v>
      </x:c>
      <x:c r="K1211" s="18" t="n">
        <x:v>26</x:v>
      </x:c>
      <x:c r="L1211" s="18" t="n">
        <x:v>25</x:v>
      </x:c>
      <x:c r="M1211" s="18" t="n">
        <x:v>26</x:v>
      </x:c>
    </x:row>
    <x:row r="1212">
      <x:c r="A1212" s="22" t="str">
        <x:v>500108240</x:v>
      </x:c>
      <x:c r="B1212" s="17" t="str">
        <x:v>內湖區</x:v>
      </x:c>
      <x:c r="C1212" s="17" t="str">
        <x:v>康寧安康路口(國道一號)</x:v>
      </x:c>
      <x:c r="D1212" s="18" t="n">
        <x:v>26</x:v>
      </x:c>
      <x:c r="E1212" s="18" t="n">
        <x:v>26</x:v>
      </x:c>
      <x:c r="F1212" s="18" t="n">
        <x:v>231</x:v>
      </x:c>
      <x:c r="G1212" s="18" t="n">
        <x:v>26</x:v>
      </x:c>
      <x:c r="H1212" s="18" t="n">
        <x:v>12</x:v>
      </x:c>
      <x:c r="I1212" s="18" t="n">
        <x:v>26</x:v>
      </x:c>
      <x:c r="J1212" s="18" t="n">
        <x:v>215</x:v>
      </x:c>
      <x:c r="K1212" s="18" t="n">
        <x:v>26</x:v>
      </x:c>
      <x:c r="L1212" s="18" t="n">
        <x:v>28</x:v>
      </x:c>
      <x:c r="M1212" s="18" t="n">
        <x:v>26</x:v>
      </x:c>
    </x:row>
    <x:row r="1213">
      <x:c r="A1213" s="22" t="str">
        <x:v>500108241</x:v>
      </x:c>
      <x:c r="B1213" s="17" t="str">
        <x:v>內湖區</x:v>
      </x:c>
      <x:c r="C1213" s="17" t="str">
        <x:v>捷運文德站(1號出口)</x:v>
      </x:c>
      <x:c r="D1213" s="18" t="n">
        <x:v>26</x:v>
      </x:c>
      <x:c r="E1213" s="18" t="n">
        <x:v>26</x:v>
      </x:c>
      <x:c r="F1213" s="18" t="n">
        <x:v>185</x:v>
      </x:c>
      <x:c r="G1213" s="18" t="n">
        <x:v>26</x:v>
      </x:c>
      <x:c r="H1213" s="18" t="n">
        <x:v>15</x:v>
      </x:c>
      <x:c r="I1213" s="18" t="n">
        <x:v>26</x:v>
      </x:c>
      <x:c r="J1213" s="18" t="n">
        <x:v>230</x:v>
      </x:c>
      <x:c r="K1213" s="18" t="n">
        <x:v>26</x:v>
      </x:c>
      <x:c r="L1213" s="18" t="n">
        <x:v>53</x:v>
      </x:c>
      <x:c r="M1213" s="18" t="n">
        <x:v>26</x:v>
      </x:c>
    </x:row>
    <x:row r="1214">
      <x:c r="A1214" s="22" t="str">
        <x:v>500108242</x:v>
      </x:c>
      <x:c r="B1214" s="17" t="str">
        <x:v>內湖區</x:v>
      </x:c>
      <x:c r="C1214" s="17" t="str">
        <x:v>港華6號公園</x:v>
      </x:c>
      <x:c r="D1214" s="18" t="n">
        <x:v>26</x:v>
      </x:c>
      <x:c r="E1214" s="18" t="n">
        <x:v>14</x:v>
      </x:c>
      <x:c r="F1214" s="18" t="n">
        <x:v>121</x:v>
      </x:c>
      <x:c r="G1214" s="18" t="n">
        <x:v>13</x:v>
      </x:c>
      <x:c r="H1214" s="18" t="n">
        <x:v>29</x:v>
      </x:c>
      <x:c r="I1214" s="18" t="n">
        <x:v>13</x:v>
      </x:c>
      <x:c r="J1214" s="18" t="n">
        <x:v>30</x:v>
      </x:c>
      <x:c r="K1214" s="18" t="n">
        <x:v>14</x:v>
      </x:c>
      <x:c r="L1214" s="18" t="n">
        <x:v>18</x:v>
      </x:c>
      <x:c r="M1214" s="18" t="n">
        <x:v>14</x:v>
      </x:c>
    </x:row>
    <x:row r="1215">
      <x:c r="A1215" s="22" t="str">
        <x:v>500108243</x:v>
      </x:c>
      <x:c r="B1215" s="17" t="str">
        <x:v>內湖區</x:v>
      </x:c>
      <x:c r="C1215" s="17" t="str">
        <x:v>港墘路26巷</x:v>
      </x:c>
      <x:c r="D1215" s="18" t="n">
        <x:v>26</x:v>
      </x:c>
      <x:c r="E1215" s="18" t="n">
        <x:v>14</x:v>
      </x:c>
      <x:c r="F1215" s="18" t="n">
        <x:v>111</x:v>
      </x:c>
      <x:c r="G1215" s="18" t="n">
        <x:v>13</x:v>
      </x:c>
      <x:c r="H1215" s="18" t="n">
        <x:v>23</x:v>
      </x:c>
      <x:c r="I1215" s="18" t="n">
        <x:v>13</x:v>
      </x:c>
      <x:c r="J1215" s="18" t="n">
        <x:v>37</x:v>
      </x:c>
      <x:c r="K1215" s="18" t="n">
        <x:v>14</x:v>
      </x:c>
      <x:c r="L1215" s="18" t="n">
        <x:v>9</x:v>
      </x:c>
      <x:c r="M1215" s="18" t="n">
        <x:v>14</x:v>
      </x:c>
    </x:row>
    <x:row r="1216">
      <x:c r="A1216" s="22" t="str">
        <x:v>500109001</x:v>
      </x:c>
      <x:c r="B1216" s="17" t="str">
        <x:v>北投區</x:v>
      </x:c>
      <x:c r="C1216" s="17" t="str">
        <x:v>承德路七段304巷口</x:v>
      </x:c>
      <x:c r="D1216" s="18" t="n">
        <x:v>26</x:v>
      </x:c>
      <x:c r="E1216" s="18" t="n">
        <x:v>26</x:v>
      </x:c>
      <x:c r="F1216" s="18" t="n">
        <x:v>471</x:v>
      </x:c>
      <x:c r="G1216" s="18" t="n">
        <x:v>26</x:v>
      </x:c>
      <x:c r="H1216" s="18" t="n">
        <x:v>31</x:v>
      </x:c>
      <x:c r="I1216" s="18" t="n">
        <x:v>26</x:v>
      </x:c>
      <x:c r="J1216" s="18" t="n">
        <x:v>166</x:v>
      </x:c>
      <x:c r="K1216" s="18" t="n">
        <x:v>26</x:v>
      </x:c>
      <x:c r="L1216" s="18" t="n">
        <x:v>27</x:v>
      </x:c>
      <x:c r="M1216" s="18" t="n">
        <x:v>26</x:v>
      </x:c>
    </x:row>
    <x:row r="1217">
      <x:c r="A1217" s="22" t="str">
        <x:v>500109002</x:v>
      </x:c>
      <x:c r="B1217" s="17" t="str">
        <x:v>北投區</x:v>
      </x:c>
      <x:c r="C1217" s="17" t="str">
        <x:v>洲美運動公園</x:v>
      </x:c>
      <x:c r="D1217" s="18" t="n">
        <x:v>26</x:v>
      </x:c>
      <x:c r="E1217" s="18" t="n">
        <x:v>26</x:v>
      </x:c>
      <x:c r="F1217" s="18" t="n">
        <x:v>305</x:v>
      </x:c>
      <x:c r="G1217" s="18" t="n">
        <x:v>26</x:v>
      </x:c>
      <x:c r="H1217" s="18" t="n">
        <x:v>81</x:v>
      </x:c>
      <x:c r="I1217" s="18" t="n">
        <x:v>26</x:v>
      </x:c>
      <x:c r="J1217" s="18" t="n">
        <x:v>393</x:v>
      </x:c>
      <x:c r="K1217" s="18" t="n">
        <x:v>26</x:v>
      </x:c>
      <x:c r="L1217" s="18" t="n">
        <x:v>60</x:v>
      </x:c>
      <x:c r="M1217" s="18" t="n">
        <x:v>26</x:v>
      </x:c>
    </x:row>
    <x:row r="1218">
      <x:c r="A1218" s="22" t="str">
        <x:v>500109003</x:v>
      </x:c>
      <x:c r="B1218" s="17" t="str">
        <x:v>北投區</x:v>
      </x:c>
      <x:c r="C1218" s="17" t="str">
        <x:v>榮華二明德路口</x:v>
      </x:c>
      <x:c r="D1218" s="18" t="n">
        <x:v>26</x:v>
      </x:c>
      <x:c r="E1218" s="18" t="n">
        <x:v>26</x:v>
      </x:c>
      <x:c r="F1218" s="18" t="n">
        <x:v>574</x:v>
      </x:c>
      <x:c r="G1218" s="18" t="n">
        <x:v>26</x:v>
      </x:c>
      <x:c r="H1218" s="18" t="n">
        <x:v>93</x:v>
      </x:c>
      <x:c r="I1218" s="18" t="n">
        <x:v>26</x:v>
      </x:c>
      <x:c r="J1218" s="18" t="n">
        <x:v>112</x:v>
      </x:c>
      <x:c r="K1218" s="18" t="n">
        <x:v>26</x:v>
      </x:c>
      <x:c r="L1218" s="18" t="n">
        <x:v>40</x:v>
      </x:c>
      <x:c r="M1218" s="18" t="n">
        <x:v>26</x:v>
      </x:c>
    </x:row>
    <x:row r="1219">
      <x:c r="A1219" s="22" t="str">
        <x:v>500109004</x:v>
      </x:c>
      <x:c r="B1219" s="17" t="str">
        <x:v>北投區</x:v>
      </x:c>
      <x:c r="C1219" s="17" t="str">
        <x:v>捷運明德站(1號出口)</x:v>
      </x:c>
      <x:c r="D1219" s="18" t="n">
        <x:v>26</x:v>
      </x:c>
      <x:c r="E1219" s="18" t="n">
        <x:v>26</x:v>
      </x:c>
      <x:c r="F1219" s="18" t="n">
        <x:v>136</x:v>
      </x:c>
      <x:c r="G1219" s="18" t="n">
        <x:v>26</x:v>
      </x:c>
      <x:c r="H1219" s="18" t="n">
        <x:v>27</x:v>
      </x:c>
      <x:c r="I1219" s="18" t="n">
        <x:v>26</x:v>
      </x:c>
      <x:c r="J1219" s="18" t="n">
        <x:v>166</x:v>
      </x:c>
      <x:c r="K1219" s="18" t="n">
        <x:v>26</x:v>
      </x:c>
      <x:c r="L1219" s="18" t="n">
        <x:v>36</x:v>
      </x:c>
      <x:c r="M1219" s="18" t="n">
        <x:v>26</x:v>
      </x:c>
    </x:row>
    <x:row r="1220">
      <x:c r="A1220" s="22" t="str">
        <x:v>500109005</x:v>
      </x:c>
      <x:c r="B1220" s="17" t="str">
        <x:v>北投區</x:v>
      </x:c>
      <x:c r="C1220" s="17" t="str">
        <x:v>文林建民路口</x:v>
      </x:c>
      <x:c r="D1220" s="18" t="n">
        <x:v>26</x:v>
      </x:c>
      <x:c r="E1220" s="18" t="n">
        <x:v>26</x:v>
      </x:c>
      <x:c r="F1220" s="18" t="n">
        <x:v>494</x:v>
      </x:c>
      <x:c r="G1220" s="18" t="n">
        <x:v>26</x:v>
      </x:c>
      <x:c r="H1220" s="18" t="n">
        <x:v>42</x:v>
      </x:c>
      <x:c r="I1220" s="18" t="n">
        <x:v>26</x:v>
      </x:c>
      <x:c r="J1220" s="18" t="n">
        <x:v>302</x:v>
      </x:c>
      <x:c r="K1220" s="18" t="n">
        <x:v>26</x:v>
      </x:c>
      <x:c r="L1220" s="18" t="n">
        <x:v>25</x:v>
      </x:c>
      <x:c r="M1220" s="18" t="n">
        <x:v>26</x:v>
      </x:c>
    </x:row>
    <x:row r="1221">
      <x:c r="A1221" s="22" t="str">
        <x:v>500109006</x:v>
      </x:c>
      <x:c r="B1221" s="17" t="str">
        <x:v>北投區</x:v>
      </x:c>
      <x:c r="C1221" s="17" t="str">
        <x:v>永欣綠地</x:v>
      </x:c>
      <x:c r="D1221" s="18" t="n">
        <x:v>26</x:v>
      </x:c>
      <x:c r="E1221" s="18" t="n">
        <x:v>26</x:v>
      </x:c>
      <x:c r="F1221" s="18" t="n">
        <x:v>480</x:v>
      </x:c>
      <x:c r="G1221" s="18" t="n">
        <x:v>26</x:v>
      </x:c>
      <x:c r="H1221" s="18" t="n">
        <x:v>194</x:v>
      </x:c>
      <x:c r="I1221" s="18" t="n">
        <x:v>26</x:v>
      </x:c>
      <x:c r="J1221" s="18" t="n">
        <x:v>174</x:v>
      </x:c>
      <x:c r="K1221" s="18" t="n">
        <x:v>26</x:v>
      </x:c>
      <x:c r="L1221" s="18" t="n">
        <x:v>54</x:v>
      </x:c>
      <x:c r="M1221" s="18" t="n">
        <x:v>26</x:v>
      </x:c>
    </x:row>
    <x:row r="1222">
      <x:c r="A1222" s="22" t="str">
        <x:v>500109007</x:v>
      </x:c>
      <x:c r="B1222" s="17" t="str">
        <x:v>北投區</x:v>
      </x:c>
      <x:c r="C1222" s="17" t="str">
        <x:v>關渡宮</x:v>
      </x:c>
      <x:c r="D1222" s="18" t="n">
        <x:v>26</x:v>
      </x:c>
      <x:c r="E1222" s="18" t="n">
        <x:v>26</x:v>
      </x:c>
      <x:c r="F1222" s="18" t="n">
        <x:v>810</x:v>
      </x:c>
      <x:c r="G1222" s="18" t="n">
        <x:v>26</x:v>
      </x:c>
      <x:c r="H1222" s="18" t="n">
        <x:v>133</x:v>
      </x:c>
      <x:c r="I1222" s="18" t="n">
        <x:v>26</x:v>
      </x:c>
      <x:c r="J1222" s="18" t="n">
        <x:v>753</x:v>
      </x:c>
      <x:c r="K1222" s="18" t="n">
        <x:v>26</x:v>
      </x:c>
      <x:c r="L1222" s="18" t="n">
        <x:v>126</x:v>
      </x:c>
      <x:c r="M1222" s="18" t="n">
        <x:v>26</x:v>
      </x:c>
    </x:row>
    <x:row r="1223">
      <x:c r="A1223" s="22" t="str">
        <x:v>500109008</x:v>
      </x:c>
      <x:c r="B1223" s="17" t="str">
        <x:v>北投區</x:v>
      </x:c>
      <x:c r="C1223" s="17" t="str">
        <x:v>關渡自然公園</x:v>
      </x:c>
      <x:c r="D1223" s="18" t="n">
        <x:v>26</x:v>
      </x:c>
      <x:c r="E1223" s="18" t="n">
        <x:v>26</x:v>
      </x:c>
      <x:c r="F1223" s="18" t="n">
        <x:v>773</x:v>
      </x:c>
      <x:c r="G1223" s="18" t="n">
        <x:v>26</x:v>
      </x:c>
      <x:c r="H1223" s="18" t="n">
        <x:v>125</x:v>
      </x:c>
      <x:c r="I1223" s="18" t="n">
        <x:v>26</x:v>
      </x:c>
      <x:c r="J1223" s="18" t="n">
        <x:v>248</x:v>
      </x:c>
      <x:c r="K1223" s="18" t="n">
        <x:v>26</x:v>
      </x:c>
      <x:c r="L1223" s="18" t="n">
        <x:v>75</x:v>
      </x:c>
      <x:c r="M1223" s="18" t="n">
        <x:v>26</x:v>
      </x:c>
    </x:row>
    <x:row r="1224">
      <x:c r="A1224" s="22" t="str">
        <x:v>500109009</x:v>
      </x:c>
      <x:c r="B1224" s="17" t="str">
        <x:v>北投區</x:v>
      </x:c>
      <x:c r="C1224" s="17" t="str">
        <x:v>關渡醫院</x:v>
      </x:c>
      <x:c r="D1224" s="18" t="n">
        <x:v>26</x:v>
      </x:c>
      <x:c r="E1224" s="18" t="n">
        <x:v>26</x:v>
      </x:c>
      <x:c r="F1224" s="18" t="n">
        <x:v>454</x:v>
      </x:c>
      <x:c r="G1224" s="18" t="n">
        <x:v>26</x:v>
      </x:c>
      <x:c r="H1224" s="18" t="n">
        <x:v>105</x:v>
      </x:c>
      <x:c r="I1224" s="18" t="n">
        <x:v>26</x:v>
      </x:c>
      <x:c r="J1224" s="18" t="n">
        <x:v>306</x:v>
      </x:c>
      <x:c r="K1224" s="18" t="n">
        <x:v>26</x:v>
      </x:c>
      <x:c r="L1224" s="18" t="n">
        <x:v>66</x:v>
      </x:c>
      <x:c r="M1224" s="18" t="n">
        <x:v>26</x:v>
      </x:c>
    </x:row>
    <x:row r="1225">
      <x:c r="A1225" s="22" t="str">
        <x:v>500109010</x:v>
      </x:c>
      <x:c r="B1225" s="17" t="str">
        <x:v>北投區</x:v>
      </x:c>
      <x:c r="C1225" s="17" t="str">
        <x:v>捷運忠義站(1號出口)</x:v>
      </x:c>
      <x:c r="D1225" s="18" t="n">
        <x:v>26</x:v>
      </x:c>
      <x:c r="E1225" s="18" t="n">
        <x:v>26</x:v>
      </x:c>
      <x:c r="F1225" s="18" t="n">
        <x:v>329</x:v>
      </x:c>
      <x:c r="G1225" s="18" t="n">
        <x:v>26</x:v>
      </x:c>
      <x:c r="H1225" s="18" t="n">
        <x:v>38</x:v>
      </x:c>
      <x:c r="I1225" s="18" t="n">
        <x:v>26</x:v>
      </x:c>
      <x:c r="J1225" s="18" t="n">
        <x:v>274</x:v>
      </x:c>
      <x:c r="K1225" s="18" t="n">
        <x:v>26</x:v>
      </x:c>
      <x:c r="L1225" s="18" t="n">
        <x:v>32</x:v>
      </x:c>
      <x:c r="M1225" s="18" t="n">
        <x:v>26</x:v>
      </x:c>
    </x:row>
    <x:row r="1226">
      <x:c r="A1226" s="22" t="str">
        <x:v>500109011</x:v>
      </x:c>
      <x:c r="B1226" s="17" t="str">
        <x:v>北投區</x:v>
      </x:c>
      <x:c r="C1226" s="17" t="str">
        <x:v>捷運關渡站(1號出口)</x:v>
      </x:c>
      <x:c r="D1226" s="18" t="n">
        <x:v>26</x:v>
      </x:c>
      <x:c r="E1226" s="18" t="n">
        <x:v>26</x:v>
      </x:c>
      <x:c r="F1226" s="18" t="n">
        <x:v>821</x:v>
      </x:c>
      <x:c r="G1226" s="18" t="n">
        <x:v>26</x:v>
      </x:c>
      <x:c r="H1226" s="18" t="n">
        <x:v>212</x:v>
      </x:c>
      <x:c r="I1226" s="18" t="n">
        <x:v>26</x:v>
      </x:c>
      <x:c r="J1226" s="18" t="n">
        <x:v>664</x:v>
      </x:c>
      <x:c r="K1226" s="18" t="n">
        <x:v>26</x:v>
      </x:c>
      <x:c r="L1226" s="18" t="n">
        <x:v>213</x:v>
      </x:c>
      <x:c r="M1226" s="18" t="n">
        <x:v>26</x:v>
      </x:c>
    </x:row>
    <x:row r="1227">
      <x:c r="A1227" s="22" t="str">
        <x:v>500109012</x:v>
      </x:c>
      <x:c r="B1227" s="17" t="str">
        <x:v>北投區</x:v>
      </x:c>
      <x:c r="C1227" s="17" t="str">
        <x:v>捷運關渡站(2號出口)</x:v>
      </x:c>
      <x:c r="D1227" s="18" t="n">
        <x:v>26</x:v>
      </x:c>
      <x:c r="E1227" s="18" t="n">
        <x:v>26</x:v>
      </x:c>
      <x:c r="F1227" s="18" t="n">
        <x:v>194</x:v>
      </x:c>
      <x:c r="G1227" s="18" t="n">
        <x:v>26</x:v>
      </x:c>
      <x:c r="H1227" s="18" t="n">
        <x:v>23</x:v>
      </x:c>
      <x:c r="I1227" s="18" t="n">
        <x:v>26</x:v>
      </x:c>
      <x:c r="J1227" s="18" t="n">
        <x:v>234</x:v>
      </x:c>
      <x:c r="K1227" s="18" t="n">
        <x:v>26</x:v>
      </x:c>
      <x:c r="L1227" s="18" t="n">
        <x:v>20</x:v>
      </x:c>
      <x:c r="M1227" s="18" t="n">
        <x:v>26</x:v>
      </x:c>
    </x:row>
    <x:row r="1228">
      <x:c r="A1228" s="22" t="str">
        <x:v>500109013</x:v>
      </x:c>
      <x:c r="B1228" s="17" t="str">
        <x:v>北投區</x:v>
      </x:c>
      <x:c r="C1228" s="17" t="str">
        <x:v>中央北路四段540巷口</x:v>
      </x:c>
      <x:c r="D1228" s="18" t="n">
        <x:v>26</x:v>
      </x:c>
      <x:c r="E1228" s="18" t="n">
        <x:v>26</x:v>
      </x:c>
      <x:c r="F1228" s="18" t="n">
        <x:v>422</x:v>
      </x:c>
      <x:c r="G1228" s="18" t="n">
        <x:v>26</x:v>
      </x:c>
      <x:c r="H1228" s="18" t="n">
        <x:v>76</x:v>
      </x:c>
      <x:c r="I1228" s="18" t="n">
        <x:v>26</x:v>
      </x:c>
      <x:c r="J1228" s="18" t="n">
        <x:v>302</x:v>
      </x:c>
      <x:c r="K1228" s="18" t="n">
        <x:v>26</x:v>
      </x:c>
      <x:c r="L1228" s="18" t="n">
        <x:v>77</x:v>
      </x:c>
      <x:c r="M1228" s="18" t="n">
        <x:v>26</x:v>
      </x:c>
    </x:row>
    <x:row r="1229">
      <x:c r="A1229" s="22" t="str">
        <x:v>500109014</x:v>
      </x:c>
      <x:c r="B1229" s="17" t="str">
        <x:v>北投區</x:v>
      </x:c>
      <x:c r="C1229" s="17" t="str">
        <x:v>大度立德路口</x:v>
      </x:c>
      <x:c r="D1229" s="18" t="n">
        <x:v>26</x:v>
      </x:c>
      <x:c r="E1229" s="18" t="n">
        <x:v>26</x:v>
      </x:c>
      <x:c r="F1229" s="18" t="n">
        <x:v>142</x:v>
      </x:c>
      <x:c r="G1229" s="18" t="n">
        <x:v>26</x:v>
      </x:c>
      <x:c r="H1229" s="18" t="n">
        <x:v>38</x:v>
      </x:c>
      <x:c r="I1229" s="18" t="n">
        <x:v>26</x:v>
      </x:c>
      <x:c r="J1229" s="18" t="n">
        <x:v>425</x:v>
      </x:c>
      <x:c r="K1229" s="18" t="n">
        <x:v>26</x:v>
      </x:c>
      <x:c r="L1229" s="18" t="n">
        <x:v>79</x:v>
      </x:c>
      <x:c r="M1229" s="18" t="n">
        <x:v>26</x:v>
      </x:c>
    </x:row>
    <x:row r="1230">
      <x:c r="A1230" s="22" t="str">
        <x:v>500109015</x:v>
      </x:c>
      <x:c r="B1230" s="17" t="str">
        <x:v>北投區</x:v>
      </x:c>
      <x:c r="C1230" s="17" t="str">
        <x:v>捷運復興崗站(1號出口)</x:v>
      </x:c>
      <x:c r="D1230" s="18" t="n">
        <x:v>26</x:v>
      </x:c>
      <x:c r="E1230" s="18" t="n">
        <x:v>26</x:v>
      </x:c>
      <x:c r="F1230" s="18" t="n">
        <x:v>274</x:v>
      </x:c>
      <x:c r="G1230" s="18" t="n">
        <x:v>26</x:v>
      </x:c>
      <x:c r="H1230" s="18" t="n">
        <x:v>32</x:v>
      </x:c>
      <x:c r="I1230" s="18" t="n">
        <x:v>26</x:v>
      </x:c>
      <x:c r="J1230" s="18" t="n">
        <x:v>653</x:v>
      </x:c>
      <x:c r="K1230" s="18" t="n">
        <x:v>26</x:v>
      </x:c>
      <x:c r="L1230" s="18" t="n">
        <x:v>121</x:v>
      </x:c>
      <x:c r="M1230" s="18" t="n">
        <x:v>26</x:v>
      </x:c>
    </x:row>
    <x:row r="1231">
      <x:c r="A1231" s="22" t="str">
        <x:v>500109016</x:v>
      </x:c>
      <x:c r="B1231" s="17" t="str">
        <x:v>北投區</x:v>
      </x:c>
      <x:c r="C1231" s="17" t="str">
        <x:v>捷運復興崗站旅客服務中心</x:v>
      </x:c>
      <x:c r="D1231" s="18" t="n">
        <x:v>26</x:v>
      </x:c>
      <x:c r="E1231" s="18" t="n">
        <x:v>26</x:v>
      </x:c>
      <x:c r="F1231" s="18" t="n">
        <x:v>353</x:v>
      </x:c>
      <x:c r="G1231" s="18" t="n">
        <x:v>26</x:v>
      </x:c>
      <x:c r="H1231" s="18" t="n">
        <x:v>29</x:v>
      </x:c>
      <x:c r="I1231" s="18" t="n">
        <x:v>26</x:v>
      </x:c>
      <x:c r="J1231" s="18" t="n">
        <x:v>99</x:v>
      </x:c>
      <x:c r="K1231" s="18" t="n">
        <x:v>26</x:v>
      </x:c>
      <x:c r="L1231" s="18" t="n">
        <x:v>20</x:v>
      </x:c>
      <x:c r="M1231" s="18" t="n">
        <x:v>26</x:v>
      </x:c>
    </x:row>
    <x:row r="1232">
      <x:c r="A1232" s="22" t="str">
        <x:v>500109017</x:v>
      </x:c>
      <x:c r="B1232" s="17" t="str">
        <x:v>北投區</x:v>
      </x:c>
      <x:c r="C1232" s="17" t="str">
        <x:v>豐年公園</x:v>
      </x:c>
      <x:c r="D1232" s="18" t="n">
        <x:v>26</x:v>
      </x:c>
      <x:c r="E1232" s="18" t="n">
        <x:v>26</x:v>
      </x:c>
      <x:c r="F1232" s="18" t="n">
        <x:v>312</x:v>
      </x:c>
      <x:c r="G1232" s="18" t="n">
        <x:v>26</x:v>
      </x:c>
      <x:c r="H1232" s="18" t="n">
        <x:v>22</x:v>
      </x:c>
      <x:c r="I1232" s="18" t="n">
        <x:v>26</x:v>
      </x:c>
      <x:c r="J1232" s="18" t="n">
        <x:v>154</x:v>
      </x:c>
      <x:c r="K1232" s="18" t="n">
        <x:v>26</x:v>
      </x:c>
      <x:c r="L1232" s="18" t="n">
        <x:v>13</x:v>
      </x:c>
      <x:c r="M1232" s="18" t="n">
        <x:v>26</x:v>
      </x:c>
    </x:row>
    <x:row r="1233">
      <x:c r="A1233" s="22" t="str">
        <x:v>500109018</x:v>
      </x:c>
      <x:c r="B1233" s="17" t="str">
        <x:v>北投區</x:v>
      </x:c>
      <x:c r="C1233" s="17" t="str">
        <x:v>稻香重三路口</x:v>
      </x:c>
      <x:c r="D1233" s="18" t="n">
        <x:v>26</x:v>
      </x:c>
      <x:c r="E1233" s="18" t="n">
        <x:v>26</x:v>
      </x:c>
      <x:c r="F1233" s="18" t="n">
        <x:v>336</x:v>
      </x:c>
      <x:c r="G1233" s="18" t="n">
        <x:v>26</x:v>
      </x:c>
      <x:c r="H1233" s="18" t="n">
        <x:v>63</x:v>
      </x:c>
      <x:c r="I1233" s="18" t="n">
        <x:v>26</x:v>
      </x:c>
      <x:c r="J1233" s="18" t="n">
        <x:v>241</x:v>
      </x:c>
      <x:c r="K1233" s="18" t="n">
        <x:v>26</x:v>
      </x:c>
      <x:c r="L1233" s="18" t="n">
        <x:v>46</x:v>
      </x:c>
      <x:c r="M1233" s="18" t="n">
        <x:v>26</x:v>
      </x:c>
    </x:row>
    <x:row r="1234">
      <x:c r="A1234" s="22" t="str">
        <x:v>500109019</x:v>
      </x:c>
      <x:c r="B1234" s="17" t="str">
        <x:v>北投區</x:v>
      </x:c>
      <x:c r="C1234" s="17" t="str">
        <x:v>國防大學政治作戰學院</x:v>
      </x:c>
      <x:c r="D1234" s="18" t="n">
        <x:v>26</x:v>
      </x:c>
      <x:c r="E1234" s="18" t="n">
        <x:v>26</x:v>
      </x:c>
      <x:c r="F1234" s="18" t="n">
        <x:v>851</x:v>
      </x:c>
      <x:c r="G1234" s="18" t="n">
        <x:v>26</x:v>
      </x:c>
      <x:c r="H1234" s="18" t="n">
        <x:v>57</x:v>
      </x:c>
      <x:c r="I1234" s="18" t="n">
        <x:v>26</x:v>
      </x:c>
      <x:c r="J1234" s="18" t="n">
        <x:v>729</x:v>
      </x:c>
      <x:c r="K1234" s="18" t="n">
        <x:v>26</x:v>
      </x:c>
      <x:c r="L1234" s="18" t="n">
        <x:v>60</x:v>
      </x:c>
      <x:c r="M1234" s="18" t="n">
        <x:v>26</x:v>
      </x:c>
    </x:row>
    <x:row r="1235">
      <x:c r="A1235" s="22" t="str">
        <x:v>500109020</x:v>
      </x:c>
      <x:c r="B1235" s="17" t="str">
        <x:v>北投區</x:v>
      </x:c>
      <x:c r="C1235" s="17" t="str">
        <x:v>秀山區民活動中心</x:v>
      </x:c>
      <x:c r="D1235" s="18" t="n">
        <x:v>26</x:v>
      </x:c>
      <x:c r="E1235" s="18" t="n">
        <x:v>26</x:v>
      </x:c>
      <x:c r="F1235" s="18" t="n">
        <x:v>270</x:v>
      </x:c>
      <x:c r="G1235" s="18" t="n">
        <x:v>26</x:v>
      </x:c>
      <x:c r="H1235" s="18" t="n">
        <x:v>138</x:v>
      </x:c>
      <x:c r="I1235" s="18" t="n">
        <x:v>26</x:v>
      </x:c>
      <x:c r="J1235" s="18" t="n">
        <x:v>253</x:v>
      </x:c>
      <x:c r="K1235" s="18" t="n">
        <x:v>26</x:v>
      </x:c>
      <x:c r="L1235" s="18" t="n">
        <x:v>81</x:v>
      </x:c>
      <x:c r="M1235" s="18" t="n">
        <x:v>26</x:v>
      </x:c>
    </x:row>
    <x:row r="1236">
      <x:c r="A1236" s="22" t="str">
        <x:v>500109021</x:v>
      </x:c>
      <x:c r="B1236" s="17" t="str">
        <x:v>北投區</x:v>
      </x:c>
      <x:c r="C1236" s="17" t="str">
        <x:v>復興四中和街口</x:v>
      </x:c>
      <x:c r="D1236" s="18" t="n">
        <x:v>26</x:v>
      </x:c>
      <x:c r="E1236" s="18" t="n">
        <x:v>26</x:v>
      </x:c>
      <x:c r="F1236" s="18" t="n">
        <x:v>0</x:v>
      </x:c>
      <x:c r="G1236" s="18" t="n">
        <x:v>26</x:v>
      </x:c>
      <x:c r="H1236" s="18" t="n">
        <x:v>0</x:v>
      </x:c>
      <x:c r="I1236" s="18" t="n">
        <x:v>26</x:v>
      </x:c>
      <x:c r="J1236" s="18" t="n">
        <x:v>0</x:v>
      </x:c>
      <x:c r="K1236" s="18" t="n">
        <x:v>26</x:v>
      </x:c>
      <x:c r="L1236" s="18" t="n">
        <x:v>0</x:v>
      </x:c>
      <x:c r="M1236" s="18" t="n">
        <x:v>26</x:v>
      </x:c>
    </x:row>
    <x:row r="1237">
      <x:c r="A1237" s="22" t="str">
        <x:v>500109022</x:v>
      </x:c>
      <x:c r="B1237" s="17" t="str">
        <x:v>北投區</x:v>
      </x:c>
      <x:c r="C1237" s="17" t="str">
        <x:v>大業大同街口</x:v>
      </x:c>
      <x:c r="D1237" s="18" t="n">
        <x:v>26</x:v>
      </x:c>
      <x:c r="E1237" s="18" t="n">
        <x:v>26</x:v>
      </x:c>
      <x:c r="F1237" s="18" t="n">
        <x:v>924</x:v>
      </x:c>
      <x:c r="G1237" s="18" t="n">
        <x:v>26</x:v>
      </x:c>
      <x:c r="H1237" s="18" t="n">
        <x:v>77</x:v>
      </x:c>
      <x:c r="I1237" s="18" t="n">
        <x:v>26</x:v>
      </x:c>
      <x:c r="J1237" s="18" t="n">
        <x:v>162</x:v>
      </x:c>
      <x:c r="K1237" s="18" t="n">
        <x:v>26</x:v>
      </x:c>
      <x:c r="L1237" s="18" t="n">
        <x:v>34</x:v>
      </x:c>
      <x:c r="M1237" s="18" t="n">
        <x:v>26</x:v>
      </x:c>
    </x:row>
    <x:row r="1238">
      <x:c r="A1238" s="22" t="str">
        <x:v>500109023</x:v>
      </x:c>
      <x:c r="B1238" s="17" t="str">
        <x:v>北投區</x:v>
      </x:c>
      <x:c r="C1238" s="17" t="str">
        <x:v>捷運新北投站</x:v>
      </x:c>
      <x:c r="D1238" s="18" t="n">
        <x:v>26</x:v>
      </x:c>
      <x:c r="E1238" s="18" t="n">
        <x:v>26</x:v>
      </x:c>
      <x:c r="F1238" s="18" t="n">
        <x:v>709</x:v>
      </x:c>
      <x:c r="G1238" s="18" t="n">
        <x:v>26</x:v>
      </x:c>
      <x:c r="H1238" s="18" t="n">
        <x:v>94</x:v>
      </x:c>
      <x:c r="I1238" s="18" t="n">
        <x:v>26</x:v>
      </x:c>
      <x:c r="J1238" s="18" t="n">
        <x:v>578</x:v>
      </x:c>
      <x:c r="K1238" s="18" t="n">
        <x:v>26</x:v>
      </x:c>
      <x:c r="L1238" s="18" t="n">
        <x:v>235</x:v>
      </x:c>
      <x:c r="M1238" s="18" t="n">
        <x:v>26</x:v>
      </x:c>
    </x:row>
    <x:row r="1239">
      <x:c r="A1239" s="22" t="str">
        <x:v>500109024</x:v>
      </x:c>
      <x:c r="B1239" s="17" t="str">
        <x:v>北投區</x:v>
      </x:c>
      <x:c r="C1239" s="17" t="str">
        <x:v>捷運北投站</x:v>
      </x:c>
      <x:c r="D1239" s="18" t="n">
        <x:v>26</x:v>
      </x:c>
      <x:c r="E1239" s="18" t="n">
        <x:v>26</x:v>
      </x:c>
      <x:c r="F1239" s="18" t="n">
        <x:v>124</x:v>
      </x:c>
      <x:c r="G1239" s="18" t="n">
        <x:v>26</x:v>
      </x:c>
      <x:c r="H1239" s="18" t="n">
        <x:v>13</x:v>
      </x:c>
      <x:c r="I1239" s="18" t="n">
        <x:v>26</x:v>
      </x:c>
      <x:c r="J1239" s="18" t="n">
        <x:v>632</x:v>
      </x:c>
      <x:c r="K1239" s="18" t="n">
        <x:v>26</x:v>
      </x:c>
      <x:c r="L1239" s="18" t="n">
        <x:v>50</x:v>
      </x:c>
      <x:c r="M1239" s="18" t="n">
        <x:v>26</x:v>
      </x:c>
    </x:row>
    <x:row r="1240">
      <x:c r="A1240" s="22" t="str">
        <x:v>500109025</x:v>
      </x:c>
      <x:c r="B1240" s="17" t="str">
        <x:v>北投區</x:v>
      </x:c>
      <x:c r="C1240" s="17" t="str">
        <x:v>捷運奇岩站(三合街)</x:v>
      </x:c>
      <x:c r="D1240" s="18" t="n">
        <x:v>26</x:v>
      </x:c>
      <x:c r="E1240" s="18" t="n">
        <x:v>26</x:v>
      </x:c>
      <x:c r="F1240" s="18" t="n">
        <x:v>461</x:v>
      </x:c>
      <x:c r="G1240" s="18" t="n">
        <x:v>26</x:v>
      </x:c>
      <x:c r="H1240" s="18" t="n">
        <x:v>74</x:v>
      </x:c>
      <x:c r="I1240" s="18" t="n">
        <x:v>26</x:v>
      </x:c>
      <x:c r="J1240" s="18" t="n">
        <x:v>2544</x:v>
      </x:c>
      <x:c r="K1240" s="18" t="n">
        <x:v>26</x:v>
      </x:c>
      <x:c r="L1240" s="18" t="n">
        <x:v>120</x:v>
      </x:c>
      <x:c r="M1240" s="18" t="n">
        <x:v>26</x:v>
      </x:c>
    </x:row>
    <x:row r="1241">
      <x:c r="A1241" s="22" t="str">
        <x:v>500109026</x:v>
      </x:c>
      <x:c r="B1241" s="17" t="str">
        <x:v>北投區</x:v>
      </x:c>
      <x:c r="C1241" s="17" t="str">
        <x:v>八仙里辦公處</x:v>
      </x:c>
      <x:c r="D1241" s="18" t="n">
        <x:v>26</x:v>
      </x:c>
      <x:c r="E1241" s="18" t="n">
        <x:v>26</x:v>
      </x:c>
      <x:c r="F1241" s="18" t="n">
        <x:v>0</x:v>
      </x:c>
      <x:c r="G1241" s="18" t="n">
        <x:v>26</x:v>
      </x:c>
      <x:c r="H1241" s="18" t="n">
        <x:v>0</x:v>
      </x:c>
      <x:c r="I1241" s="18" t="n">
        <x:v>26</x:v>
      </x:c>
      <x:c r="J1241" s="18" t="n">
        <x:v>0</x:v>
      </x:c>
      <x:c r="K1241" s="18" t="n">
        <x:v>26</x:v>
      </x:c>
      <x:c r="L1241" s="18" t="n">
        <x:v>0</x:v>
      </x:c>
      <x:c r="M1241" s="18" t="n">
        <x:v>26</x:v>
      </x:c>
    </x:row>
    <x:row r="1242">
      <x:c r="A1242" s="22" t="str">
        <x:v>500109027</x:v>
      </x:c>
      <x:c r="B1242" s="17" t="str">
        <x:v>北投區</x:v>
      </x:c>
      <x:c r="C1242" s="17" t="str">
        <x:v>清江國小</x:v>
      </x:c>
      <x:c r="D1242" s="18" t="n">
        <x:v>26</x:v>
      </x:c>
      <x:c r="E1242" s="18" t="n">
        <x:v>26</x:v>
      </x:c>
      <x:c r="F1242" s="18" t="n">
        <x:v>1429</x:v>
      </x:c>
      <x:c r="G1242" s="18" t="n">
        <x:v>26</x:v>
      </x:c>
      <x:c r="H1242" s="18" t="n">
        <x:v>129</x:v>
      </x:c>
      <x:c r="I1242" s="18" t="n">
        <x:v>26</x:v>
      </x:c>
      <x:c r="J1242" s="18" t="n">
        <x:v>354</x:v>
      </x:c>
      <x:c r="K1242" s="18" t="n">
        <x:v>26</x:v>
      </x:c>
      <x:c r="L1242" s="18" t="n">
        <x:v>85</x:v>
      </x:c>
      <x:c r="M1242" s="18" t="n">
        <x:v>26</x:v>
      </x:c>
    </x:row>
    <x:row r="1243">
      <x:c r="A1243" s="22" t="str">
        <x:v>500109028</x:v>
      </x:c>
      <x:c r="B1243" s="17" t="str">
        <x:v>北投區</x:v>
      </x:c>
      <x:c r="C1243" s="17" t="str">
        <x:v>大業路300巷口</x:v>
      </x:c>
      <x:c r="D1243" s="18" t="n">
        <x:v>26</x:v>
      </x:c>
      <x:c r="E1243" s="18" t="n">
        <x:v>26</x:v>
      </x:c>
      <x:c r="F1243" s="18" t="n">
        <x:v>422</x:v>
      </x:c>
      <x:c r="G1243" s="18" t="n">
        <x:v>26</x:v>
      </x:c>
      <x:c r="H1243" s="18" t="n">
        <x:v>65</x:v>
      </x:c>
      <x:c r="I1243" s="18" t="n">
        <x:v>26</x:v>
      </x:c>
      <x:c r="J1243" s="18" t="n">
        <x:v>376</x:v>
      </x:c>
      <x:c r="K1243" s="18" t="n">
        <x:v>26</x:v>
      </x:c>
      <x:c r="L1243" s="18" t="n">
        <x:v>62</x:v>
      </x:c>
      <x:c r="M1243" s="18" t="n">
        <x:v>26</x:v>
      </x:c>
    </x:row>
    <x:row r="1244">
      <x:c r="A1244" s="22" t="str">
        <x:v>500109029</x:v>
      </x:c>
      <x:c r="B1244" s="17" t="str">
        <x:v>北投區</x:v>
      </x:c>
      <x:c r="C1244" s="17" t="str">
        <x:v>立農公園</x:v>
      </x:c>
      <x:c r="D1244" s="18" t="n">
        <x:v>26</x:v>
      </x:c>
      <x:c r="E1244" s="18" t="n">
        <x:v>26</x:v>
      </x:c>
      <x:c r="F1244" s="18" t="n">
        <x:v>299</x:v>
      </x:c>
      <x:c r="G1244" s="18" t="n">
        <x:v>26</x:v>
      </x:c>
      <x:c r="H1244" s="18" t="n">
        <x:v>34</x:v>
      </x:c>
      <x:c r="I1244" s="18" t="n">
        <x:v>26</x:v>
      </x:c>
      <x:c r="J1244" s="18" t="n">
        <x:v>206</x:v>
      </x:c>
      <x:c r="K1244" s="18" t="n">
        <x:v>26</x:v>
      </x:c>
      <x:c r="L1244" s="18" t="n">
        <x:v>34</x:v>
      </x:c>
      <x:c r="M1244" s="18" t="n">
        <x:v>26</x:v>
      </x:c>
    </x:row>
    <x:row r="1245">
      <x:c r="A1245" s="22" t="str">
        <x:v>500109030</x:v>
      </x:c>
      <x:c r="B1245" s="17" t="str">
        <x:v>北投區</x:v>
      </x:c>
      <x:c r="C1245" s="17" t="str">
        <x:v>北投奇岩長青樂活大樓</x:v>
      </x:c>
      <x:c r="D1245" s="18" t="n">
        <x:v>26</x:v>
      </x:c>
      <x:c r="E1245" s="18" t="n">
        <x:v>26</x:v>
      </x:c>
      <x:c r="F1245" s="18" t="n">
        <x:v>238</x:v>
      </x:c>
      <x:c r="G1245" s="18" t="n">
        <x:v>26</x:v>
      </x:c>
      <x:c r="H1245" s="18" t="n">
        <x:v>59</x:v>
      </x:c>
      <x:c r="I1245" s="18" t="n">
        <x:v>26</x:v>
      </x:c>
      <x:c r="J1245" s="18" t="n">
        <x:v>188</x:v>
      </x:c>
      <x:c r="K1245" s="18" t="n">
        <x:v>26</x:v>
      </x:c>
      <x:c r="L1245" s="18" t="n">
        <x:v>61</x:v>
      </x:c>
      <x:c r="M1245" s="18" t="n">
        <x:v>26</x:v>
      </x:c>
    </x:row>
    <x:row r="1246">
      <x:c r="A1246" s="22" t="str">
        <x:v>500109031</x:v>
      </x:c>
      <x:c r="B1246" s="17" t="str">
        <x:v>北投區</x:v>
      </x:c>
      <x:c r="C1246" s="17" t="str">
        <x:v>捷運唭哩岸站(2號出口)</x:v>
      </x:c>
      <x:c r="D1246" s="18" t="n">
        <x:v>26</x:v>
      </x:c>
      <x:c r="E1246" s="18" t="n">
        <x:v>26</x:v>
      </x:c>
      <x:c r="F1246" s="18" t="n">
        <x:v>492</x:v>
      </x:c>
      <x:c r="G1246" s="18" t="n">
        <x:v>26</x:v>
      </x:c>
      <x:c r="H1246" s="18" t="n">
        <x:v>99</x:v>
      </x:c>
      <x:c r="I1246" s="18" t="n">
        <x:v>26</x:v>
      </x:c>
      <x:c r="J1246" s="18" t="n">
        <x:v>538</x:v>
      </x:c>
      <x:c r="K1246" s="18" t="n">
        <x:v>26</x:v>
      </x:c>
      <x:c r="L1246" s="18" t="n">
        <x:v>44</x:v>
      </x:c>
      <x:c r="M1246" s="18" t="n">
        <x:v>26</x:v>
      </x:c>
    </x:row>
    <x:row r="1247">
      <x:c r="A1247" s="22" t="str">
        <x:v>500109032</x:v>
      </x:c>
      <x:c r="B1247" s="17" t="str">
        <x:v>北投區</x:v>
      </x:c>
      <x:c r="C1247" s="17" t="str">
        <x:v>北投運動中心</x:v>
      </x:c>
      <x:c r="D1247" s="18" t="n">
        <x:v>26</x:v>
      </x:c>
      <x:c r="E1247" s="18" t="n">
        <x:v>26</x:v>
      </x:c>
      <x:c r="F1247" s="18" t="n">
        <x:v>1708</x:v>
      </x:c>
      <x:c r="G1247" s="18" t="n">
        <x:v>26</x:v>
      </x:c>
      <x:c r="H1247" s="18" t="n">
        <x:v>156</x:v>
      </x:c>
      <x:c r="I1247" s="18" t="n">
        <x:v>26</x:v>
      </x:c>
      <x:c r="J1247" s="18" t="n">
        <x:v>317</x:v>
      </x:c>
      <x:c r="K1247" s="18" t="n">
        <x:v>26</x:v>
      </x:c>
      <x:c r="L1247" s="18" t="n">
        <x:v>113</x:v>
      </x:c>
      <x:c r="M1247" s="18" t="n">
        <x:v>26</x:v>
      </x:c>
    </x:row>
    <x:row r="1248">
      <x:c r="A1248" s="22" t="str">
        <x:v>500109033</x:v>
      </x:c>
      <x:c r="B1248" s="17" t="str">
        <x:v>北投區</x:v>
      </x:c>
      <x:c r="C1248" s="17" t="str">
        <x:v>陽明大學</x:v>
      </x:c>
      <x:c r="D1248" s="18" t="n">
        <x:v>26</x:v>
      </x:c>
      <x:c r="E1248" s="18" t="n">
        <x:v>26</x:v>
      </x:c>
      <x:c r="F1248" s="18" t="n">
        <x:v>548</x:v>
      </x:c>
      <x:c r="G1248" s="18" t="n">
        <x:v>26</x:v>
      </x:c>
      <x:c r="H1248" s="18" t="n">
        <x:v>69</x:v>
      </x:c>
      <x:c r="I1248" s="18" t="n">
        <x:v>26</x:v>
      </x:c>
      <x:c r="J1248" s="18" t="n">
        <x:v>199</x:v>
      </x:c>
      <x:c r="K1248" s="18" t="n">
        <x:v>26</x:v>
      </x:c>
      <x:c r="L1248" s="18" t="n">
        <x:v>39</x:v>
      </x:c>
      <x:c r="M1248" s="18" t="n">
        <x:v>26</x:v>
      </x:c>
    </x:row>
    <x:row r="1249">
      <x:c r="A1249" s="22" t="str">
        <x:v>500109034</x:v>
      </x:c>
      <x:c r="B1249" s="17" t="str">
        <x:v>北投區</x:v>
      </x:c>
      <x:c r="C1249" s="17" t="str">
        <x:v>捷運石牌站(2號出口)</x:v>
      </x:c>
      <x:c r="D1249" s="18" t="n">
        <x:v>26</x:v>
      </x:c>
      <x:c r="E1249" s="18" t="n">
        <x:v>26</x:v>
      </x:c>
      <x:c r="F1249" s="18" t="n">
        <x:v>705</x:v>
      </x:c>
      <x:c r="G1249" s="18" t="n">
        <x:v>26</x:v>
      </x:c>
      <x:c r="H1249" s="18" t="n">
        <x:v>108</x:v>
      </x:c>
      <x:c r="I1249" s="18" t="n">
        <x:v>26</x:v>
      </x:c>
      <x:c r="J1249" s="18" t="n">
        <x:v>520</x:v>
      </x:c>
      <x:c r="K1249" s="18" t="n">
        <x:v>26</x:v>
      </x:c>
      <x:c r="L1249" s="18" t="n">
        <x:v>76</x:v>
      </x:c>
      <x:c r="M1249" s="18" t="n">
        <x:v>26</x:v>
      </x:c>
    </x:row>
    <x:row r="1250">
      <x:c r="A1250" s="22" t="str">
        <x:v>500109035</x:v>
      </x:c>
      <x:c r="B1250" s="17" t="str">
        <x:v>北投區</x:v>
      </x:c>
      <x:c r="C1250" s="17" t="str">
        <x:v>台北護理大學</x:v>
      </x:c>
      <x:c r="D1250" s="18" t="n">
        <x:v>26</x:v>
      </x:c>
      <x:c r="E1250" s="18" t="n">
        <x:v>26</x:v>
      </x:c>
      <x:c r="F1250" s="18" t="n">
        <x:v>103</x:v>
      </x:c>
      <x:c r="G1250" s="18" t="n">
        <x:v>26</x:v>
      </x:c>
      <x:c r="H1250" s="18" t="n">
        <x:v>22</x:v>
      </x:c>
      <x:c r="I1250" s="18" t="n">
        <x:v>26</x:v>
      </x:c>
      <x:c r="J1250" s="18" t="n">
        <x:v>635</x:v>
      </x:c>
      <x:c r="K1250" s="18" t="n">
        <x:v>26</x:v>
      </x:c>
      <x:c r="L1250" s="18" t="n">
        <x:v>76</x:v>
      </x:c>
      <x:c r="M1250" s="18" t="n">
        <x:v>26</x:v>
      </x:c>
    </x:row>
    <x:row r="1251">
      <x:c r="A1251" s="22" t="str">
        <x:v>500109036</x:v>
      </x:c>
      <x:c r="B1251" s="17" t="str">
        <x:v>北投區</x:v>
      </x:c>
      <x:c r="C1251" s="17" t="str">
        <x:v>捷運石牌站(1號出口)</x:v>
      </x:c>
      <x:c r="D1251" s="18" t="n">
        <x:v>26</x:v>
      </x:c>
      <x:c r="E1251" s="18" t="n">
        <x:v>26</x:v>
      </x:c>
      <x:c r="F1251" s="18" t="n">
        <x:v>193</x:v>
      </x:c>
      <x:c r="G1251" s="18" t="n">
        <x:v>26</x:v>
      </x:c>
      <x:c r="H1251" s="18" t="n">
        <x:v>37</x:v>
      </x:c>
      <x:c r="I1251" s="18" t="n">
        <x:v>26</x:v>
      </x:c>
      <x:c r="J1251" s="18" t="n">
        <x:v>571</x:v>
      </x:c>
      <x:c r="K1251" s="18" t="n">
        <x:v>26</x:v>
      </x:c>
      <x:c r="L1251" s="18" t="n">
        <x:v>76</x:v>
      </x:c>
      <x:c r="M1251" s="18" t="n">
        <x:v>26</x:v>
      </x:c>
    </x:row>
    <x:row r="1252">
      <x:c r="A1252" s="22" t="str">
        <x:v>500109037</x:v>
      </x:c>
      <x:c r="B1252" s="17" t="str">
        <x:v>北投區</x:v>
      </x:c>
      <x:c r="C1252" s="17" t="str">
        <x:v>振興醫院</x:v>
      </x:c>
      <x:c r="D1252" s="18" t="n">
        <x:v>26</x:v>
      </x:c>
      <x:c r="E1252" s="18" t="n">
        <x:v>26</x:v>
      </x:c>
      <x:c r="F1252" s="18" t="n">
        <x:v>113</x:v>
      </x:c>
      <x:c r="G1252" s="18" t="n">
        <x:v>26</x:v>
      </x:c>
      <x:c r="H1252" s="18" t="n">
        <x:v>51</x:v>
      </x:c>
      <x:c r="I1252" s="18" t="n">
        <x:v>26</x:v>
      </x:c>
      <x:c r="J1252" s="18" t="n">
        <x:v>636</x:v>
      </x:c>
      <x:c r="K1252" s="18" t="n">
        <x:v>26</x:v>
      </x:c>
      <x:c r="L1252" s="18" t="n">
        <x:v>154</x:v>
      </x:c>
      <x:c r="M1252" s="18" t="n">
        <x:v>26</x:v>
      </x:c>
    </x:row>
    <x:row r="1253">
      <x:c r="A1253" s="22" t="str">
        <x:v>500109038</x:v>
      </x:c>
      <x:c r="B1253" s="17" t="str">
        <x:v>北投區</x:v>
      </x:c>
      <x:c r="C1253" s="17" t="str">
        <x:v>臺北榮民總醫院</x:v>
      </x:c>
      <x:c r="D1253" s="18" t="n">
        <x:v>26</x:v>
      </x:c>
      <x:c r="E1253" s="18" t="n">
        <x:v>26</x:v>
      </x:c>
      <x:c r="F1253" s="18" t="n">
        <x:v>0</x:v>
      </x:c>
      <x:c r="G1253" s="18" t="n">
        <x:v>26</x:v>
      </x:c>
      <x:c r="H1253" s="18" t="n">
        <x:v>0</x:v>
      </x:c>
      <x:c r="I1253" s="18" t="n">
        <x:v>26</x:v>
      </x:c>
      <x:c r="J1253" s="18" t="n">
        <x:v>0</x:v>
      </x:c>
      <x:c r="K1253" s="18" t="n">
        <x:v>26</x:v>
      </x:c>
      <x:c r="L1253" s="18" t="n">
        <x:v>0</x:v>
      </x:c>
      <x:c r="M1253" s="18" t="n">
        <x:v>26</x:v>
      </x:c>
    </x:row>
    <x:row r="1254">
      <x:c r="A1254" s="22" t="str">
        <x:v>500109039</x:v>
      </x:c>
      <x:c r="B1254" s="17" t="str">
        <x:v>北投區</x:v>
      </x:c>
      <x:c r="C1254" s="17" t="str">
        <x:v>石牌國小</x:v>
      </x:c>
      <x:c r="D1254" s="18" t="n">
        <x:v>26</x:v>
      </x:c>
      <x:c r="E1254" s="18" t="n">
        <x:v>26</x:v>
      </x:c>
      <x:c r="F1254" s="18" t="n">
        <x:v>269</x:v>
      </x:c>
      <x:c r="G1254" s="18" t="n">
        <x:v>26</x:v>
      </x:c>
      <x:c r="H1254" s="18" t="n">
        <x:v>35</x:v>
      </x:c>
      <x:c r="I1254" s="18" t="n">
        <x:v>26</x:v>
      </x:c>
      <x:c r="J1254" s="18" t="n">
        <x:v>436</x:v>
      </x:c>
      <x:c r="K1254" s="18" t="n">
        <x:v>26</x:v>
      </x:c>
      <x:c r="L1254" s="18" t="n">
        <x:v>41</x:v>
      </x:c>
      <x:c r="M1254" s="18" t="n">
        <x:v>26</x:v>
      </x:c>
    </x:row>
    <x:row r="1255">
      <x:c r="A1255" s="22" t="str">
        <x:v>500109040</x:v>
      </x:c>
      <x:c r="B1255" s="17" t="str">
        <x:v>北投區</x:v>
      </x:c>
      <x:c r="C1255" s="17" t="str">
        <x:v>振興公園</x:v>
      </x:c>
      <x:c r="D1255" s="18" t="n">
        <x:v>26</x:v>
      </x:c>
      <x:c r="E1255" s="18" t="n">
        <x:v>26</x:v>
      </x:c>
      <x:c r="F1255" s="18" t="n">
        <x:v>79</x:v>
      </x:c>
      <x:c r="G1255" s="18" t="n">
        <x:v>26</x:v>
      </x:c>
      <x:c r="H1255" s="18" t="n">
        <x:v>34</x:v>
      </x:c>
      <x:c r="I1255" s="18" t="n">
        <x:v>26</x:v>
      </x:c>
      <x:c r="J1255" s="18" t="n">
        <x:v>135</x:v>
      </x:c>
      <x:c r="K1255" s="18" t="n">
        <x:v>26</x:v>
      </x:c>
      <x:c r="L1255" s="18" t="n">
        <x:v>80</x:v>
      </x:c>
      <x:c r="M1255" s="18" t="n">
        <x:v>26</x:v>
      </x:c>
    </x:row>
    <x:row r="1256">
      <x:c r="A1256" s="22" t="str">
        <x:v>500109041</x:v>
      </x:c>
      <x:c r="B1256" s="17" t="str">
        <x:v>北投區</x:v>
      </x:c>
      <x:c r="C1256" s="17" t="str">
        <x:v>立農國小</x:v>
      </x:c>
      <x:c r="D1256" s="18" t="n">
        <x:v>26</x:v>
      </x:c>
      <x:c r="E1256" s="18" t="n">
        <x:v>26</x:v>
      </x:c>
      <x:c r="F1256" s="18" t="n">
        <x:v>312</x:v>
      </x:c>
      <x:c r="G1256" s="18" t="n">
        <x:v>26</x:v>
      </x:c>
      <x:c r="H1256" s="18" t="n">
        <x:v>56</x:v>
      </x:c>
      <x:c r="I1256" s="18" t="n">
        <x:v>26</x:v>
      </x:c>
      <x:c r="J1256" s="18" t="n">
        <x:v>183</x:v>
      </x:c>
      <x:c r="K1256" s="18" t="n">
        <x:v>26</x:v>
      </x:c>
      <x:c r="L1256" s="18" t="n">
        <x:v>24</x:v>
      </x:c>
      <x:c r="M1256" s="18" t="n">
        <x:v>26</x:v>
      </x:c>
    </x:row>
    <x:row r="1257">
      <x:c r="A1257" s="22" t="str">
        <x:v>500109042</x:v>
      </x:c>
      <x:c r="B1257" s="17" t="str">
        <x:v>北投區</x:v>
      </x:c>
      <x:c r="C1257" s="17" t="str">
        <x:v>承德路七段280巷口</x:v>
      </x:c>
      <x:c r="D1257" s="18" t="n">
        <x:v>26</x:v>
      </x:c>
      <x:c r="E1257" s="18" t="n">
        <x:v>26</x:v>
      </x:c>
      <x:c r="F1257" s="18" t="n">
        <x:v>431</x:v>
      </x:c>
      <x:c r="G1257" s="18" t="n">
        <x:v>26</x:v>
      </x:c>
      <x:c r="H1257" s="18" t="n">
        <x:v>54</x:v>
      </x:c>
      <x:c r="I1257" s="18" t="n">
        <x:v>26</x:v>
      </x:c>
      <x:c r="J1257" s="18" t="n">
        <x:v>146</x:v>
      </x:c>
      <x:c r="K1257" s="18" t="n">
        <x:v>26</x:v>
      </x:c>
      <x:c r="L1257" s="18" t="n">
        <x:v>25</x:v>
      </x:c>
      <x:c r="M1257" s="18" t="n">
        <x:v>26</x:v>
      </x:c>
    </x:row>
    <x:row r="1258">
      <x:c r="A1258" s="22" t="str">
        <x:v>500109043</x:v>
      </x:c>
      <x:c r="B1258" s="17" t="str">
        <x:v>北投區</x:v>
      </x:c>
      <x:c r="C1258" s="17" t="str">
        <x:v>致遠一路二段11巷</x:v>
      </x:c>
      <x:c r="D1258" s="18" t="n">
        <x:v>26</x:v>
      </x:c>
      <x:c r="E1258" s="18" t="n">
        <x:v>26</x:v>
      </x:c>
      <x:c r="F1258" s="18" t="n">
        <x:v>794</x:v>
      </x:c>
      <x:c r="G1258" s="18" t="n">
        <x:v>26</x:v>
      </x:c>
      <x:c r="H1258" s="18" t="n">
        <x:v>40</x:v>
      </x:c>
      <x:c r="I1258" s="18" t="n">
        <x:v>26</x:v>
      </x:c>
      <x:c r="J1258" s="18" t="n">
        <x:v>222</x:v>
      </x:c>
      <x:c r="K1258" s="18" t="n">
        <x:v>26</x:v>
      </x:c>
      <x:c r="L1258" s="18" t="n">
        <x:v>32</x:v>
      </x:c>
      <x:c r="M1258" s="18" t="n">
        <x:v>26</x:v>
      </x:c>
    </x:row>
    <x:row r="1259">
      <x:c r="A1259" s="22" t="str">
        <x:v>500109044</x:v>
      </x:c>
      <x:c r="B1259" s="17" t="str">
        <x:v>北投區</x:v>
      </x:c>
      <x:c r="C1259" s="17" t="str">
        <x:v>榮富公園</x:v>
      </x:c>
      <x:c r="D1259" s="18" t="n">
        <x:v>26</x:v>
      </x:c>
      <x:c r="E1259" s="18" t="n">
        <x:v>26</x:v>
      </x:c>
      <x:c r="F1259" s="18" t="n">
        <x:v>235</x:v>
      </x:c>
      <x:c r="G1259" s="18" t="n">
        <x:v>26</x:v>
      </x:c>
      <x:c r="H1259" s="18" t="n">
        <x:v>70</x:v>
      </x:c>
      <x:c r="I1259" s="18" t="n">
        <x:v>26</x:v>
      </x:c>
      <x:c r="J1259" s="18" t="n">
        <x:v>65</x:v>
      </x:c>
      <x:c r="K1259" s="18" t="n">
        <x:v>26</x:v>
      </x:c>
      <x:c r="L1259" s="18" t="n">
        <x:v>26</x:v>
      </x:c>
      <x:c r="M1259" s="18" t="n">
        <x:v>26</x:v>
      </x:c>
    </x:row>
    <x:row r="1260">
      <x:c r="A1260" s="22" t="str">
        <x:v>500109045</x:v>
      </x:c>
      <x:c r="B1260" s="17" t="str">
        <x:v>北投區</x:v>
      </x:c>
      <x:c r="C1260" s="17" t="str">
        <x:v>中正高中</x:v>
      </x:c>
      <x:c r="D1260" s="18" t="n">
        <x:v>26</x:v>
      </x:c>
      <x:c r="E1260" s="18" t="n">
        <x:v>26</x:v>
      </x:c>
      <x:c r="F1260" s="18" t="n">
        <x:v>104</x:v>
      </x:c>
      <x:c r="G1260" s="18" t="n">
        <x:v>26</x:v>
      </x:c>
      <x:c r="H1260" s="18" t="n">
        <x:v>32</x:v>
      </x:c>
      <x:c r="I1260" s="18" t="n">
        <x:v>26</x:v>
      </x:c>
      <x:c r="J1260" s="18" t="n">
        <x:v>2798</x:v>
      </x:c>
      <x:c r="K1260" s="18" t="n">
        <x:v>26</x:v>
      </x:c>
      <x:c r="L1260" s="18" t="n">
        <x:v>80</x:v>
      </x:c>
      <x:c r="M1260" s="18" t="n">
        <x:v>26</x:v>
      </x:c>
    </x:row>
    <x:row r="1261">
      <x:c r="A1261" s="22" t="str">
        <x:v>500109046</x:v>
      </x:c>
      <x:c r="B1261" s="17" t="str">
        <x:v>北投區</x:v>
      </x:c>
      <x:c r="C1261" s="17" t="str">
        <x:v>立功立德路口</x:v>
      </x:c>
      <x:c r="D1261" s="18" t="n">
        <x:v>26</x:v>
      </x:c>
      <x:c r="E1261" s="18" t="n">
        <x:v>26</x:v>
      </x:c>
      <x:c r="F1261" s="18" t="n">
        <x:v>241</x:v>
      </x:c>
      <x:c r="G1261" s="18" t="n">
        <x:v>26</x:v>
      </x:c>
      <x:c r="H1261" s="18" t="n">
        <x:v>72</x:v>
      </x:c>
      <x:c r="I1261" s="18" t="n">
        <x:v>26</x:v>
      </x:c>
      <x:c r="J1261" s="18" t="n">
        <x:v>1239</x:v>
      </x:c>
      <x:c r="K1261" s="18" t="n">
        <x:v>26</x:v>
      </x:c>
      <x:c r="L1261" s="18" t="n">
        <x:v>163</x:v>
      </x:c>
      <x:c r="M1261" s="18" t="n">
        <x:v>26</x:v>
      </x:c>
    </x:row>
    <x:row r="1262">
      <x:c r="A1262" s="22" t="str">
        <x:v>500109047</x:v>
      </x:c>
      <x:c r="B1262" s="17" t="str">
        <x:v>北投區</x:v>
      </x:c>
      <x:c r="C1262" s="17" t="str">
        <x:v>桃源國中</x:v>
      </x:c>
      <x:c r="D1262" s="18" t="n">
        <x:v>26</x:v>
      </x:c>
      <x:c r="E1262" s="18" t="n">
        <x:v>26</x:v>
      </x:c>
      <x:c r="F1262" s="18" t="n">
        <x:v>514</x:v>
      </x:c>
      <x:c r="G1262" s="18" t="n">
        <x:v>26</x:v>
      </x:c>
      <x:c r="H1262" s="18" t="n">
        <x:v>28</x:v>
      </x:c>
      <x:c r="I1262" s="18" t="n">
        <x:v>26</x:v>
      </x:c>
      <x:c r="J1262" s="18" t="n">
        <x:v>919</x:v>
      </x:c>
      <x:c r="K1262" s="18" t="n">
        <x:v>26</x:v>
      </x:c>
      <x:c r="L1262" s="18" t="n">
        <x:v>43</x:v>
      </x:c>
      <x:c r="M1262" s="18" t="n">
        <x:v>26</x:v>
      </x:c>
    </x:row>
    <x:row r="1263">
      <x:c r="A1263" s="22" t="str">
        <x:v>500109048</x:v>
      </x:c>
      <x:c r="B1263" s="17" t="str">
        <x:v>北投區</x:v>
      </x:c>
      <x:c r="C1263" s="17" t="str">
        <x:v>陽明交大圖書館</x:v>
      </x:c>
      <x:c r="D1263" s="18" t="n">
        <x:v>26</x:v>
      </x:c>
      <x:c r="E1263" s="18" t="n">
        <x:v>26</x:v>
      </x:c>
      <x:c r="F1263" s="18" t="n">
        <x:v>329</x:v>
      </x:c>
      <x:c r="G1263" s="18" t="n">
        <x:v>26</x:v>
      </x:c>
      <x:c r="H1263" s="18" t="n">
        <x:v>27</x:v>
      </x:c>
      <x:c r="I1263" s="18" t="n">
        <x:v>26</x:v>
      </x:c>
      <x:c r="J1263" s="18" t="n">
        <x:v>778</x:v>
      </x:c>
      <x:c r="K1263" s="18" t="n">
        <x:v>26</x:v>
      </x:c>
      <x:c r="L1263" s="18" t="n">
        <x:v>55</x:v>
      </x:c>
      <x:c r="M1263" s="18" t="n">
        <x:v>26</x:v>
      </x:c>
    </x:row>
    <x:row r="1264">
      <x:c r="A1264" s="22" t="str">
        <x:v>500109049</x:v>
      </x:c>
      <x:c r="B1264" s="17" t="str">
        <x:v>北投區</x:v>
      </x:c>
      <x:c r="C1264" s="17" t="str">
        <x:v>捷運新北投站(2號出口)</x:v>
      </x:c>
      <x:c r="D1264" s="18" t="n">
        <x:v>26</x:v>
      </x:c>
      <x:c r="E1264" s="18" t="n">
        <x:v>26</x:v>
      </x:c>
      <x:c r="F1264" s="18" t="n">
        <x:v>167</x:v>
      </x:c>
      <x:c r="G1264" s="18" t="n">
        <x:v>26</x:v>
      </x:c>
      <x:c r="H1264" s="18" t="n">
        <x:v>51</x:v>
      </x:c>
      <x:c r="I1264" s="18" t="n">
        <x:v>26</x:v>
      </x:c>
      <x:c r="J1264" s="18" t="n">
        <x:v>191</x:v>
      </x:c>
      <x:c r="K1264" s="18" t="n">
        <x:v>26</x:v>
      </x:c>
      <x:c r="L1264" s="18" t="n">
        <x:v>46</x:v>
      </x:c>
      <x:c r="M1264" s="18" t="n">
        <x:v>26</x:v>
      </x:c>
    </x:row>
    <x:row r="1265">
      <x:c r="A1265" s="22" t="str">
        <x:v>500109050</x:v>
      </x:c>
      <x:c r="B1265" s="17" t="str">
        <x:v>北投區</x:v>
      </x:c>
      <x:c r="C1265" s="17" t="str">
        <x:v>復興公園</x:v>
      </x:c>
      <x:c r="D1265" s="18" t="n">
        <x:v>26</x:v>
      </x:c>
      <x:c r="E1265" s="18" t="n">
        <x:v>26</x:v>
      </x:c>
      <x:c r="F1265" s="18" t="n">
        <x:v>165</x:v>
      </x:c>
      <x:c r="G1265" s="18" t="n">
        <x:v>26</x:v>
      </x:c>
      <x:c r="H1265" s="18" t="n">
        <x:v>66</x:v>
      </x:c>
      <x:c r="I1265" s="18" t="n">
        <x:v>26</x:v>
      </x:c>
      <x:c r="J1265" s="18" t="n">
        <x:v>80</x:v>
      </x:c>
      <x:c r="K1265" s="18" t="n">
        <x:v>26</x:v>
      </x:c>
      <x:c r="L1265" s="18" t="n">
        <x:v>56</x:v>
      </x:c>
      <x:c r="M1265" s="18" t="n">
        <x:v>26</x:v>
      </x:c>
    </x:row>
    <x:row r="1266">
      <x:c r="A1266" s="22" t="str">
        <x:v>500109051</x:v>
      </x:c>
      <x:c r="B1266" s="17" t="str">
        <x:v>北投區</x:v>
      </x:c>
      <x:c r="C1266" s="17" t="str">
        <x:v>承德石牌路口</x:v>
      </x:c>
      <x:c r="D1266" s="18" t="n">
        <x:v>26</x:v>
      </x:c>
      <x:c r="E1266" s="18" t="n">
        <x:v>26</x:v>
      </x:c>
      <x:c r="F1266" s="18" t="n">
        <x:v>289</x:v>
      </x:c>
      <x:c r="G1266" s="18" t="n">
        <x:v>26</x:v>
      </x:c>
      <x:c r="H1266" s="18" t="n">
        <x:v>41</x:v>
      </x:c>
      <x:c r="I1266" s="18" t="n">
        <x:v>26</x:v>
      </x:c>
      <x:c r="J1266" s="18" t="n">
        <x:v>151</x:v>
      </x:c>
      <x:c r="K1266" s="18" t="n">
        <x:v>26</x:v>
      </x:c>
      <x:c r="L1266" s="18" t="n">
        <x:v>27</x:v>
      </x:c>
      <x:c r="M1266" s="18" t="n">
        <x:v>26</x:v>
      </x:c>
    </x:row>
    <x:row r="1267">
      <x:c r="A1267" s="22" t="str">
        <x:v>500109052</x:v>
      </x:c>
      <x:c r="B1267" s="17" t="str">
        <x:v>北投區</x:v>
      </x:c>
      <x:c r="C1267" s="17" t="str">
        <x:v>承德路七段188巷口</x:v>
      </x:c>
      <x:c r="D1267" s="18" t="n">
        <x:v>26</x:v>
      </x:c>
      <x:c r="E1267" s="18" t="n">
        <x:v>26</x:v>
      </x:c>
      <x:c r="F1267" s="18" t="n">
        <x:v>450</x:v>
      </x:c>
      <x:c r="G1267" s="18" t="n">
        <x:v>26</x:v>
      </x:c>
      <x:c r="H1267" s="18" t="n">
        <x:v>25</x:v>
      </x:c>
      <x:c r="I1267" s="18" t="n">
        <x:v>26</x:v>
      </x:c>
      <x:c r="J1267" s="18" t="n">
        <x:v>132</x:v>
      </x:c>
      <x:c r="K1267" s="18" t="n">
        <x:v>26</x:v>
      </x:c>
      <x:c r="L1267" s="18" t="n">
        <x:v>14</x:v>
      </x:c>
      <x:c r="M1267" s="18" t="n">
        <x:v>26</x:v>
      </x:c>
    </x:row>
    <x:row r="1268">
      <x:c r="A1268" s="22" t="str">
        <x:v>500109053</x:v>
      </x:c>
      <x:c r="B1268" s="17" t="str">
        <x:v>北投區</x:v>
      </x:c>
      <x:c r="C1268" s="17" t="str">
        <x:v>捷運明德站(3號出口)</x:v>
      </x:c>
      <x:c r="D1268" s="18" t="n">
        <x:v>26</x:v>
      </x:c>
      <x:c r="E1268" s="18" t="n">
        <x:v>26</x:v>
      </x:c>
      <x:c r="F1268" s="18" t="n">
        <x:v>618</x:v>
      </x:c>
      <x:c r="G1268" s="18" t="n">
        <x:v>26</x:v>
      </x:c>
      <x:c r="H1268" s="18" t="n">
        <x:v>85</x:v>
      </x:c>
      <x:c r="I1268" s="18" t="n">
        <x:v>26</x:v>
      </x:c>
      <x:c r="J1268" s="18" t="n">
        <x:v>191</x:v>
      </x:c>
      <x:c r="K1268" s="18" t="n">
        <x:v>26</x:v>
      </x:c>
      <x:c r="L1268" s="18" t="n">
        <x:v>38</x:v>
      </x:c>
      <x:c r="M1268" s="18" t="n">
        <x:v>26</x:v>
      </x:c>
    </x:row>
    <x:row r="1269">
      <x:c r="A1269" s="22" t="str">
        <x:v>500109054</x:v>
      </x:c>
      <x:c r="B1269" s="17" t="str">
        <x:v>北投區</x:v>
      </x:c>
      <x:c r="C1269" s="17" t="str">
        <x:v>大豐公園</x:v>
      </x:c>
      <x:c r="D1269" s="18" t="n">
        <x:v>26</x:v>
      </x:c>
      <x:c r="E1269" s="18" t="n">
        <x:v>26</x:v>
      </x:c>
      <x:c r="F1269" s="18" t="n">
        <x:v>641</x:v>
      </x:c>
      <x:c r="G1269" s="18" t="n">
        <x:v>26</x:v>
      </x:c>
      <x:c r="H1269" s="18" t="n">
        <x:v>43</x:v>
      </x:c>
      <x:c r="I1269" s="18" t="n">
        <x:v>26</x:v>
      </x:c>
      <x:c r="J1269" s="18" t="n">
        <x:v>400</x:v>
      </x:c>
      <x:c r="K1269" s="18" t="n">
        <x:v>26</x:v>
      </x:c>
      <x:c r="L1269" s="18" t="n">
        <x:v>41</x:v>
      </x:c>
      <x:c r="M1269" s="18" t="n">
        <x:v>26</x:v>
      </x:c>
    </x:row>
    <x:row r="1270">
      <x:c r="A1270" s="22" t="str">
        <x:v>500109055</x:v>
      </x:c>
      <x:c r="B1270" s="17" t="str">
        <x:v>北投區</x:v>
      </x:c>
      <x:c r="C1270" s="17" t="str">
        <x:v>洲美公園</x:v>
      </x:c>
      <x:c r="D1270" s="18" t="n">
        <x:v>26</x:v>
      </x:c>
      <x:c r="E1270" s="18" t="n">
        <x:v>26</x:v>
      </x:c>
      <x:c r="F1270" s="18" t="n">
        <x:v>369</x:v>
      </x:c>
      <x:c r="G1270" s="18" t="n">
        <x:v>26</x:v>
      </x:c>
      <x:c r="H1270" s="18" t="n">
        <x:v>149</x:v>
      </x:c>
      <x:c r="I1270" s="18" t="n">
        <x:v>26</x:v>
      </x:c>
      <x:c r="J1270" s="18" t="n">
        <x:v>270</x:v>
      </x:c>
      <x:c r="K1270" s="18" t="n">
        <x:v>26</x:v>
      </x:c>
      <x:c r="L1270" s="18" t="n">
        <x:v>178</x:v>
      </x:c>
      <x:c r="M1270" s="18" t="n">
        <x:v>26</x:v>
      </x:c>
    </x:row>
    <x:row r="1271">
      <x:c r="A1271" s="22" t="str">
        <x:v>500109056</x:v>
      </x:c>
      <x:c r="B1271" s="17" t="str">
        <x:v>北投區</x:v>
      </x:c>
      <x:c r="C1271" s="17" t="str">
        <x:v>中和街455巷11弄</x:v>
      </x:c>
      <x:c r="D1271" s="18" t="n">
        <x:v>26</x:v>
      </x:c>
      <x:c r="E1271" s="18" t="n">
        <x:v>26</x:v>
      </x:c>
      <x:c r="F1271" s="18" t="n">
        <x:v>353</x:v>
      </x:c>
      <x:c r="G1271" s="18" t="n">
        <x:v>26</x:v>
      </x:c>
      <x:c r="H1271" s="18" t="n">
        <x:v>57</x:v>
      </x:c>
      <x:c r="I1271" s="18" t="n">
        <x:v>26</x:v>
      </x:c>
      <x:c r="J1271" s="18" t="n">
        <x:v>183</x:v>
      </x:c>
      <x:c r="K1271" s="18" t="n">
        <x:v>26</x:v>
      </x:c>
      <x:c r="L1271" s="18" t="n">
        <x:v>51</x:v>
      </x:c>
      <x:c r="M1271" s="18" t="n">
        <x:v>26</x:v>
      </x:c>
    </x:row>
    <x:row r="1272">
      <x:c r="A1272" s="22" t="str">
        <x:v>500109057</x:v>
      </x:c>
      <x:c r="B1272" s="17" t="str">
        <x:v>北投區</x:v>
      </x:c>
      <x:c r="C1272" s="17" t="str">
        <x:v>洲美蜆仔港公園</x:v>
      </x:c>
      <x:c r="D1272" s="18" t="n">
        <x:v>26</x:v>
      </x:c>
      <x:c r="E1272" s="18" t="n">
        <x:v>26</x:v>
      </x:c>
      <x:c r="F1272" s="18" t="n">
        <x:v>204</x:v>
      </x:c>
      <x:c r="G1272" s="18" t="n">
        <x:v>26</x:v>
      </x:c>
      <x:c r="H1272" s="18" t="n">
        <x:v>46</x:v>
      </x:c>
      <x:c r="I1272" s="18" t="n">
        <x:v>26</x:v>
      </x:c>
      <x:c r="J1272" s="18" t="n">
        <x:v>513</x:v>
      </x:c>
      <x:c r="K1272" s="18" t="n">
        <x:v>26</x:v>
      </x:c>
      <x:c r="L1272" s="18" t="n">
        <x:v>119</x:v>
      </x:c>
      <x:c r="M1272" s="18" t="n">
        <x:v>26</x:v>
      </x:c>
    </x:row>
    <x:row r="1273">
      <x:c r="A1273" s="22" t="str">
        <x:v>500109058</x:v>
      </x:c>
      <x:c r="B1273" s="17" t="str">
        <x:v>北投區</x:v>
      </x:c>
      <x:c r="C1273" s="17" t="str">
        <x:v>文化三杏林一路口</x:v>
      </x:c>
      <x:c r="D1273" s="18" t="n">
        <x:v>26</x:v>
      </x:c>
      <x:c r="E1273" s="18" t="n">
        <x:v>26</x:v>
      </x:c>
      <x:c r="F1273" s="18" t="n">
        <x:v>571</x:v>
      </x:c>
      <x:c r="G1273" s="18" t="n">
        <x:v>26</x:v>
      </x:c>
      <x:c r="H1273" s="18" t="n">
        <x:v>58</x:v>
      </x:c>
      <x:c r="I1273" s="18" t="n">
        <x:v>26</x:v>
      </x:c>
      <x:c r="J1273" s="18" t="n">
        <x:v>88</x:v>
      </x:c>
      <x:c r="K1273" s="18" t="n">
        <x:v>26</x:v>
      </x:c>
      <x:c r="L1273" s="18" t="n">
        <x:v>35</x:v>
      </x:c>
      <x:c r="M1273" s="18" t="n">
        <x:v>26</x:v>
      </x:c>
    </x:row>
    <x:row r="1274">
      <x:c r="A1274" s="22" t="str">
        <x:v>500109059</x:v>
      </x:c>
      <x:c r="B1274" s="17" t="str">
        <x:v>北投區</x:v>
      </x:c>
      <x:c r="C1274" s="17" t="str">
        <x:v>珠海復興一路口</x:v>
      </x:c>
      <x:c r="D1274" s="18" t="n">
        <x:v>26</x:v>
      </x:c>
      <x:c r="E1274" s="18" t="n">
        <x:v>26</x:v>
      </x:c>
      <x:c r="F1274" s="18" t="n">
        <x:v>165</x:v>
      </x:c>
      <x:c r="G1274" s="18" t="n">
        <x:v>26</x:v>
      </x:c>
      <x:c r="H1274" s="18" t="n">
        <x:v>81</x:v>
      </x:c>
      <x:c r="I1274" s="18" t="n">
        <x:v>26</x:v>
      </x:c>
      <x:c r="J1274" s="18" t="n">
        <x:v>230</x:v>
      </x:c>
      <x:c r="K1274" s="18" t="n">
        <x:v>26</x:v>
      </x:c>
      <x:c r="L1274" s="18" t="n">
        <x:v>73</x:v>
      </x:c>
      <x:c r="M1274" s="18" t="n">
        <x:v>26</x:v>
      </x:c>
    </x:row>
    <x:row r="1275">
      <x:c r="A1275" s="22" t="str">
        <x:v>500109060</x:v>
      </x:c>
      <x:c r="B1275" s="17" t="str">
        <x:v>北投區</x:v>
      </x:c>
      <x:c r="C1275" s="17" t="str">
        <x:v>裕民二路33巷</x:v>
      </x:c>
      <x:c r="D1275" s="18" t="n">
        <x:v>26</x:v>
      </x:c>
      <x:c r="E1275" s="18" t="n">
        <x:v>26</x:v>
      </x:c>
      <x:c r="F1275" s="18" t="n">
        <x:v>259</x:v>
      </x:c>
      <x:c r="G1275" s="18" t="n">
        <x:v>26</x:v>
      </x:c>
      <x:c r="H1275" s="18" t="n">
        <x:v>33</x:v>
      </x:c>
      <x:c r="I1275" s="18" t="n">
        <x:v>26</x:v>
      </x:c>
      <x:c r="J1275" s="18" t="n">
        <x:v>226</x:v>
      </x:c>
      <x:c r="K1275" s="18" t="n">
        <x:v>26</x:v>
      </x:c>
      <x:c r="L1275" s="18" t="n">
        <x:v>32</x:v>
      </x:c>
      <x:c r="M1275" s="18" t="n">
        <x:v>26</x:v>
      </x:c>
    </x:row>
    <x:row r="1276">
      <x:c r="A1276" s="22" t="str">
        <x:v>500109061</x:v>
      </x:c>
      <x:c r="B1276" s="17" t="str">
        <x:v>北投區</x:v>
      </x:c>
      <x:c r="C1276" s="17" t="str">
        <x:v>新奇岩社會住宅</x:v>
      </x:c>
      <x:c r="D1276" s="18" t="n">
        <x:v>26</x:v>
      </x:c>
      <x:c r="E1276" s="18" t="n">
        <x:v>26</x:v>
      </x:c>
      <x:c r="F1276" s="18" t="n">
        <x:v>315</x:v>
      </x:c>
      <x:c r="G1276" s="18" t="n">
        <x:v>26</x:v>
      </x:c>
      <x:c r="H1276" s="18" t="n">
        <x:v>84</x:v>
      </x:c>
      <x:c r="I1276" s="18" t="n">
        <x:v>26</x:v>
      </x:c>
      <x:c r="J1276" s="18" t="n">
        <x:v>134</x:v>
      </x:c>
      <x:c r="K1276" s="18" t="n">
        <x:v>26</x:v>
      </x:c>
      <x:c r="L1276" s="18" t="n">
        <x:v>34</x:v>
      </x:c>
      <x:c r="M1276" s="18" t="n">
        <x:v>26</x:v>
      </x:c>
    </x:row>
    <x:row r="1277">
      <x:c r="A1277" s="22" t="str">
        <x:v>500109062</x:v>
      </x:c>
      <x:c r="B1277" s="17" t="str">
        <x:v>北投區</x:v>
      </x:c>
      <x:c r="C1277" s="17" t="str">
        <x:v>泉源公園</x:v>
      </x:c>
      <x:c r="D1277" s="18" t="n">
        <x:v>26</x:v>
      </x:c>
      <x:c r="E1277" s="18" t="n">
        <x:v>26</x:v>
      </x:c>
      <x:c r="F1277" s="18" t="n">
        <x:v>108</x:v>
      </x:c>
      <x:c r="G1277" s="18" t="n">
        <x:v>26</x:v>
      </x:c>
      <x:c r="H1277" s="18" t="n">
        <x:v>116</x:v>
      </x:c>
      <x:c r="I1277" s="18" t="n">
        <x:v>26</x:v>
      </x:c>
      <x:c r="J1277" s="18" t="n">
        <x:v>153</x:v>
      </x:c>
      <x:c r="K1277" s="18" t="n">
        <x:v>26</x:v>
      </x:c>
      <x:c r="L1277" s="18" t="n">
        <x:v>113</x:v>
      </x:c>
      <x:c r="M1277" s="18" t="n">
        <x:v>26</x:v>
      </x:c>
    </x:row>
    <x:row r="1278">
      <x:c r="A1278" s="22" t="str">
        <x:v>500109063</x:v>
      </x:c>
      <x:c r="B1278" s="17" t="str">
        <x:v>北投區</x:v>
      </x:c>
      <x:c r="C1278" s="17" t="str">
        <x:v>奇岩4號綠地</x:v>
      </x:c>
      <x:c r="D1278" s="18" t="n">
        <x:v>26</x:v>
      </x:c>
      <x:c r="E1278" s="18" t="n">
        <x:v>26</x:v>
      </x:c>
      <x:c r="F1278" s="18" t="n">
        <x:v>799</x:v>
      </x:c>
      <x:c r="G1278" s="18" t="n">
        <x:v>26</x:v>
      </x:c>
      <x:c r="H1278" s="18" t="n">
        <x:v>84</x:v>
      </x:c>
      <x:c r="I1278" s="18" t="n">
        <x:v>26</x:v>
      </x:c>
      <x:c r="J1278" s="18" t="n">
        <x:v>218</x:v>
      </x:c>
      <x:c r="K1278" s="18" t="n">
        <x:v>26</x:v>
      </x:c>
      <x:c r="L1278" s="18" t="n">
        <x:v>45</x:v>
      </x:c>
      <x:c r="M1278" s="18" t="n">
        <x:v>26</x:v>
      </x:c>
    </x:row>
    <x:row r="1279">
      <x:c r="A1279" s="22" t="str">
        <x:v>500109064</x:v>
      </x:c>
      <x:c r="B1279" s="17" t="str">
        <x:v>北投區</x:v>
      </x:c>
      <x:c r="C1279" s="17" t="str">
        <x:v>臺北健康護理大學(教研大樓)</x:v>
      </x:c>
      <x:c r="D1279" s="18" t="n">
        <x:v>26</x:v>
      </x:c>
      <x:c r="E1279" s="18" t="n">
        <x:v>26</x:v>
      </x:c>
      <x:c r="F1279" s="18" t="n">
        <x:v>166</x:v>
      </x:c>
      <x:c r="G1279" s="18" t="n">
        <x:v>26</x:v>
      </x:c>
      <x:c r="H1279" s="18" t="n">
        <x:v>39</x:v>
      </x:c>
      <x:c r="I1279" s="18" t="n">
        <x:v>26</x:v>
      </x:c>
      <x:c r="J1279" s="18" t="n">
        <x:v>1545</x:v>
      </x:c>
      <x:c r="K1279" s="18" t="n">
        <x:v>26</x:v>
      </x:c>
      <x:c r="L1279" s="18" t="n">
        <x:v>142</x:v>
      </x:c>
      <x:c r="M1279" s="18" t="n">
        <x:v>26</x:v>
      </x:c>
    </x:row>
    <x:row r="1280">
      <x:c r="A1280" s="22" t="str">
        <x:v>500109065</x:v>
      </x:c>
      <x:c r="B1280" s="17" t="str">
        <x:v>北投區</x:v>
      </x:c>
      <x:c r="C1280" s="17" t="str">
        <x:v>奇岩一號公園</x:v>
      </x:c>
      <x:c r="D1280" s="18" t="n">
        <x:v>26</x:v>
      </x:c>
      <x:c r="E1280" s="18" t="n">
        <x:v>26</x:v>
      </x:c>
      <x:c r="F1280" s="18" t="n">
        <x:v>508</x:v>
      </x:c>
      <x:c r="G1280" s="18" t="n">
        <x:v>26</x:v>
      </x:c>
      <x:c r="H1280" s="18" t="n">
        <x:v>65</x:v>
      </x:c>
      <x:c r="I1280" s="18" t="n">
        <x:v>26</x:v>
      </x:c>
      <x:c r="J1280" s="18" t="n">
        <x:v>183</x:v>
      </x:c>
      <x:c r="K1280" s="18" t="n">
        <x:v>26</x:v>
      </x:c>
      <x:c r="L1280" s="18" t="n">
        <x:v>33</x:v>
      </x:c>
      <x:c r="M1280" s="18" t="n">
        <x:v>26</x:v>
      </x:c>
    </x:row>
    <x:row r="1281">
      <x:c r="A1281" s="22" t="str">
        <x:v>500109066</x:v>
      </x:c>
      <x:c r="B1281" s="17" t="str">
        <x:v>北投區</x:v>
      </x:c>
      <x:c r="C1281" s="17" t="str">
        <x:v>福星公園</x:v>
      </x:c>
      <x:c r="D1281" s="18" t="n">
        <x:v>26</x:v>
      </x:c>
      <x:c r="E1281" s="18" t="n">
        <x:v>26</x:v>
      </x:c>
      <x:c r="F1281" s="18" t="n">
        <x:v>797</x:v>
      </x:c>
      <x:c r="G1281" s="18" t="n">
        <x:v>26</x:v>
      </x:c>
      <x:c r="H1281" s="18" t="n">
        <x:v>78</x:v>
      </x:c>
      <x:c r="I1281" s="18" t="n">
        <x:v>26</x:v>
      </x:c>
      <x:c r="J1281" s="18" t="n">
        <x:v>385</x:v>
      </x:c>
      <x:c r="K1281" s="18" t="n">
        <x:v>26</x:v>
      </x:c>
      <x:c r="L1281" s="18" t="n">
        <x:v>68</x:v>
      </x:c>
      <x:c r="M1281" s="18" t="n">
        <x:v>26</x:v>
      </x:c>
    </x:row>
    <x:row r="1282">
      <x:c r="A1282" s="22" t="str">
        <x:v>500109067</x:v>
      </x:c>
      <x:c r="B1282" s="17" t="str">
        <x:v>北投區</x:v>
      </x:c>
      <x:c r="C1282" s="17" t="str">
        <x:v>中庸公園</x:v>
      </x:c>
      <x:c r="D1282" s="18" t="n">
        <x:v>26</x:v>
      </x:c>
      <x:c r="E1282" s="18" t="n">
        <x:v>26</x:v>
      </x:c>
      <x:c r="F1282" s="18" t="n">
        <x:v>374</x:v>
      </x:c>
      <x:c r="G1282" s="18" t="n">
        <x:v>26</x:v>
      </x:c>
      <x:c r="H1282" s="18" t="n">
        <x:v>35</x:v>
      </x:c>
      <x:c r="I1282" s="18" t="n">
        <x:v>26</x:v>
      </x:c>
      <x:c r="J1282" s="18" t="n">
        <x:v>123</x:v>
      </x:c>
      <x:c r="K1282" s="18" t="n">
        <x:v>26</x:v>
      </x:c>
      <x:c r="L1282" s="18" t="n">
        <x:v>17</x:v>
      </x:c>
      <x:c r="M1282" s="18" t="n">
        <x:v>26</x:v>
      </x:c>
    </x:row>
    <x:row r="1283">
      <x:c r="A1283" s="22" t="str">
        <x:v>500109068</x:v>
      </x:c>
      <x:c r="B1283" s="17" t="str">
        <x:v>北投區</x:v>
      </x:c>
      <x:c r="C1283" s="17" t="str">
        <x:v>豐年公園_1</x:v>
      </x:c>
      <x:c r="D1283" s="18" t="n">
        <x:v>26</x:v>
      </x:c>
      <x:c r="E1283" s="18" t="n">
        <x:v>26</x:v>
      </x:c>
      <x:c r="F1283" s="18" t="n">
        <x:v>779</x:v>
      </x:c>
      <x:c r="G1283" s="18" t="n">
        <x:v>26</x:v>
      </x:c>
      <x:c r="H1283" s="18" t="n">
        <x:v>45</x:v>
      </x:c>
      <x:c r="I1283" s="18" t="n">
        <x:v>26</x:v>
      </x:c>
      <x:c r="J1283" s="18" t="n">
        <x:v>156</x:v>
      </x:c>
      <x:c r="K1283" s="18" t="n">
        <x:v>26</x:v>
      </x:c>
      <x:c r="L1283" s="18" t="n">
        <x:v>47</x:v>
      </x:c>
      <x:c r="M1283" s="18" t="n">
        <x:v>26</x:v>
      </x:c>
    </x:row>
    <x:row r="1284">
      <x:c r="A1284" s="22" t="str">
        <x:v>500109069</x:v>
      </x:c>
      <x:c r="B1284" s="17" t="str">
        <x:v>北投區</x:v>
      </x:c>
      <x:c r="C1284" s="17" t="str">
        <x:v>榮華公園(舊)</x:v>
      </x:c>
      <x:c r="D1284" s="18" t="n">
        <x:v>26</x:v>
      </x:c>
      <x:c r="E1284" s="18" t="n">
        <x:v>26</x:v>
      </x:c>
      <x:c r="F1284" s="18" t="n">
        <x:v>0</x:v>
      </x:c>
      <x:c r="G1284" s="18" t="n">
        <x:v>26</x:v>
      </x:c>
      <x:c r="H1284" s="18" t="n">
        <x:v>0</x:v>
      </x:c>
      <x:c r="I1284" s="18" t="n">
        <x:v>26</x:v>
      </x:c>
      <x:c r="J1284" s="18" t="n">
        <x:v>0</x:v>
      </x:c>
      <x:c r="K1284" s="18" t="n">
        <x:v>26</x:v>
      </x:c>
      <x:c r="L1284" s="18" t="n">
        <x:v>0</x:v>
      </x:c>
      <x:c r="M1284" s="18" t="n">
        <x:v>26</x:v>
      </x:c>
    </x:row>
    <x:row r="1285">
      <x:c r="A1285" s="22" t="str">
        <x:v>500109070</x:v>
      </x:c>
      <x:c r="B1285" s="17" t="str">
        <x:v>北投區</x:v>
      </x:c>
      <x:c r="C1285" s="17" t="str">
        <x:v>光明溫泉路口</x:v>
      </x:c>
      <x:c r="D1285" s="18" t="n">
        <x:v>26</x:v>
      </x:c>
      <x:c r="E1285" s="18" t="n">
        <x:v>26</x:v>
      </x:c>
      <x:c r="F1285" s="18" t="n">
        <x:v>487</x:v>
      </x:c>
      <x:c r="G1285" s="18" t="n">
        <x:v>26</x:v>
      </x:c>
      <x:c r="H1285" s="18" t="n">
        <x:v>43</x:v>
      </x:c>
      <x:c r="I1285" s="18" t="n">
        <x:v>26</x:v>
      </x:c>
      <x:c r="J1285" s="18" t="n">
        <x:v>201</x:v>
      </x:c>
      <x:c r="K1285" s="18" t="n">
        <x:v>26</x:v>
      </x:c>
      <x:c r="L1285" s="18" t="n">
        <x:v>44</x:v>
      </x:c>
      <x:c r="M1285" s="18" t="n">
        <x:v>26</x:v>
      </x:c>
    </x:row>
    <x:row r="1286">
      <x:c r="A1286" s="22" t="str">
        <x:v>500109071</x:v>
      </x:c>
      <x:c r="B1286" s="17" t="str">
        <x:v>北投區</x:v>
      </x:c>
      <x:c r="C1286" s="17" t="str">
        <x:v>和信治癌中心醫院</x:v>
      </x:c>
      <x:c r="D1286" s="18" t="n">
        <x:v>26</x:v>
      </x:c>
      <x:c r="E1286" s="18" t="n">
        <x:v>26</x:v>
      </x:c>
      <x:c r="F1286" s="18" t="n">
        <x:v>154</x:v>
      </x:c>
      <x:c r="G1286" s="18" t="n">
        <x:v>26</x:v>
      </x:c>
      <x:c r="H1286" s="18" t="n">
        <x:v>46</x:v>
      </x:c>
      <x:c r="I1286" s="18" t="n">
        <x:v>26</x:v>
      </x:c>
      <x:c r="J1286" s="18" t="n">
        <x:v>788</x:v>
      </x:c>
      <x:c r="K1286" s="18" t="n">
        <x:v>26</x:v>
      </x:c>
      <x:c r="L1286" s="18" t="n">
        <x:v>135</x:v>
      </x:c>
      <x:c r="M1286" s="18" t="n">
        <x:v>26</x:v>
      </x:c>
    </x:row>
    <x:row r="1287">
      <x:c r="A1287" s="22" t="str">
        <x:v>500109072</x:v>
      </x:c>
      <x:c r="B1287" s="17" t="str">
        <x:v>北投區</x:v>
      </x:c>
      <x:c r="C1287" s="17" t="str">
        <x:v>致遠新村</x:v>
      </x:c>
      <x:c r="D1287" s="18" t="n">
        <x:v>26</x:v>
      </x:c>
      <x:c r="E1287" s="18" t="n">
        <x:v>26</x:v>
      </x:c>
      <x:c r="F1287" s="18" t="n">
        <x:v>193</x:v>
      </x:c>
      <x:c r="G1287" s="18" t="n">
        <x:v>26</x:v>
      </x:c>
      <x:c r="H1287" s="18" t="n">
        <x:v>67</x:v>
      </x:c>
      <x:c r="I1287" s="18" t="n">
        <x:v>26</x:v>
      </x:c>
      <x:c r="J1287" s="18" t="n">
        <x:v>151</x:v>
      </x:c>
      <x:c r="K1287" s="18" t="n">
        <x:v>26</x:v>
      </x:c>
      <x:c r="L1287" s="18" t="n">
        <x:v>60</x:v>
      </x:c>
      <x:c r="M1287" s="18" t="n">
        <x:v>26</x:v>
      </x:c>
    </x:row>
    <x:row r="1288">
      <x:c r="A1288" s="22" t="str">
        <x:v>500109073</x:v>
      </x:c>
      <x:c r="B1288" s="17" t="str">
        <x:v>北投區</x:v>
      </x:c>
      <x:c r="C1288" s="17" t="str">
        <x:v>北投公園露天溫泉</x:v>
      </x:c>
      <x:c r="D1288" s="18" t="n">
        <x:v>26</x:v>
      </x:c>
      <x:c r="E1288" s="18" t="n">
        <x:v>26</x:v>
      </x:c>
      <x:c r="F1288" s="18" t="n">
        <x:v>105</x:v>
      </x:c>
      <x:c r="G1288" s="18" t="n">
        <x:v>26</x:v>
      </x:c>
      <x:c r="H1288" s="18" t="n">
        <x:v>41</x:v>
      </x:c>
      <x:c r="I1288" s="18" t="n">
        <x:v>26</x:v>
      </x:c>
      <x:c r="J1288" s="18" t="n">
        <x:v>74</x:v>
      </x:c>
      <x:c r="K1288" s="18" t="n">
        <x:v>26</x:v>
      </x:c>
      <x:c r="L1288" s="18" t="n">
        <x:v>46</x:v>
      </x:c>
      <x:c r="M1288" s="18" t="n">
        <x:v>26</x:v>
      </x:c>
    </x:row>
    <x:row r="1289">
      <x:c r="A1289" s="22" t="str">
        <x:v>500109074</x:v>
      </x:c>
      <x:c r="B1289" s="17" t="str">
        <x:v>北投區</x:v>
      </x:c>
      <x:c r="C1289" s="17" t="str">
        <x:v>中和街493巷9弄口</x:v>
      </x:c>
      <x:c r="D1289" s="18" t="n">
        <x:v>26</x:v>
      </x:c>
      <x:c r="E1289" s="18" t="n">
        <x:v>26</x:v>
      </x:c>
      <x:c r="F1289" s="18" t="n">
        <x:v>359</x:v>
      </x:c>
      <x:c r="G1289" s="18" t="n">
        <x:v>26</x:v>
      </x:c>
      <x:c r="H1289" s="18" t="n">
        <x:v>53</x:v>
      </x:c>
      <x:c r="I1289" s="18" t="n">
        <x:v>26</x:v>
      </x:c>
      <x:c r="J1289" s="18" t="n">
        <x:v>83</x:v>
      </x:c>
      <x:c r="K1289" s="18" t="n">
        <x:v>26</x:v>
      </x:c>
      <x:c r="L1289" s="18" t="n">
        <x:v>29</x:v>
      </x:c>
      <x:c r="M1289" s="18" t="n">
        <x:v>26</x:v>
      </x:c>
    </x:row>
    <x:row r="1290">
      <x:c r="A1290" s="22" t="str">
        <x:v>500109075</x:v>
      </x:c>
      <x:c r="B1290" s="17" t="str">
        <x:v>北投區</x:v>
      </x:c>
      <x:c r="C1290" s="17" t="str">
        <x:v>捷運北投站(1號出口)</x:v>
      </x:c>
      <x:c r="D1290" s="18" t="n">
        <x:v>26</x:v>
      </x:c>
      <x:c r="E1290" s="18" t="n">
        <x:v>26</x:v>
      </x:c>
      <x:c r="F1290" s="18" t="n">
        <x:v>787</x:v>
      </x:c>
      <x:c r="G1290" s="18" t="n">
        <x:v>26</x:v>
      </x:c>
      <x:c r="H1290" s="18" t="n">
        <x:v>55</x:v>
      </x:c>
      <x:c r="I1290" s="18" t="n">
        <x:v>26</x:v>
      </x:c>
      <x:c r="J1290" s="18" t="n">
        <x:v>3560</x:v>
      </x:c>
      <x:c r="K1290" s="18" t="n">
        <x:v>26</x:v>
      </x:c>
      <x:c r="L1290" s="18" t="n">
        <x:v>135</x:v>
      </x:c>
      <x:c r="M1290" s="18" t="n">
        <x:v>26</x:v>
      </x:c>
    </x:row>
    <x:row r="1291">
      <x:c r="A1291" s="22" t="str">
        <x:v>500109076</x:v>
      </x:c>
      <x:c r="B1291" s="17" t="str">
        <x:v>北投區</x:v>
      </x:c>
      <x:c r="C1291" s="17" t="str">
        <x:v>石牌立農街口</x:v>
      </x:c>
      <x:c r="D1291" s="18" t="n">
        <x:v>26</x:v>
      </x:c>
      <x:c r="E1291" s="18" t="n">
        <x:v>26</x:v>
      </x:c>
      <x:c r="F1291" s="18" t="n">
        <x:v>141</x:v>
      </x:c>
      <x:c r="G1291" s="18" t="n">
        <x:v>26</x:v>
      </x:c>
      <x:c r="H1291" s="18" t="n">
        <x:v>39</x:v>
      </x:c>
      <x:c r="I1291" s="18" t="n">
        <x:v>26</x:v>
      </x:c>
      <x:c r="J1291" s="18" t="n">
        <x:v>314</x:v>
      </x:c>
      <x:c r="K1291" s="18" t="n">
        <x:v>26</x:v>
      </x:c>
      <x:c r="L1291" s="18" t="n">
        <x:v>62</x:v>
      </x:c>
      <x:c r="M1291" s="18" t="n">
        <x:v>26</x:v>
      </x:c>
    </x:row>
    <x:row r="1292">
      <x:c r="A1292" s="22" t="str">
        <x:v>500109077</x:v>
      </x:c>
      <x:c r="B1292" s="17" t="str">
        <x:v>北投區</x:v>
      </x:c>
      <x:c r="C1292" s="17" t="str">
        <x:v>捷運唭哩岸站(1號出口)</x:v>
      </x:c>
      <x:c r="D1292" s="18" t="n">
        <x:v>26</x:v>
      </x:c>
      <x:c r="E1292" s="18" t="n">
        <x:v>26</x:v>
      </x:c>
      <x:c r="F1292" s="18" t="n">
        <x:v>165</x:v>
      </x:c>
      <x:c r="G1292" s="18" t="n">
        <x:v>26</x:v>
      </x:c>
      <x:c r="H1292" s="18" t="n">
        <x:v>44</x:v>
      </x:c>
      <x:c r="I1292" s="18" t="n">
        <x:v>26</x:v>
      </x:c>
      <x:c r="J1292" s="18" t="n">
        <x:v>321</x:v>
      </x:c>
      <x:c r="K1292" s="18" t="n">
        <x:v>26</x:v>
      </x:c>
      <x:c r="L1292" s="18" t="n">
        <x:v>34</x:v>
      </x:c>
      <x:c r="M1292" s="18" t="n">
        <x:v>26</x:v>
      </x:c>
    </x:row>
    <x:row r="1293">
      <x:c r="A1293" s="22" t="str">
        <x:v>500109078</x:v>
      </x:c>
      <x:c r="B1293" s="17" t="str">
        <x:v>北投區</x:v>
      </x:c>
      <x:c r="C1293" s="17" t="str">
        <x:v>大興光明路2巷口</x:v>
      </x:c>
      <x:c r="D1293" s="18" t="n">
        <x:v>26</x:v>
      </x:c>
      <x:c r="E1293" s="18" t="n">
        <x:v>26</x:v>
      </x:c>
      <x:c r="F1293" s="18" t="n">
        <x:v>159</x:v>
      </x:c>
      <x:c r="G1293" s="18" t="n">
        <x:v>26</x:v>
      </x:c>
      <x:c r="H1293" s="18" t="n">
        <x:v>20</x:v>
      </x:c>
      <x:c r="I1293" s="18" t="n">
        <x:v>26</x:v>
      </x:c>
      <x:c r="J1293" s="18" t="n">
        <x:v>280</x:v>
      </x:c>
      <x:c r="K1293" s="18" t="n">
        <x:v>26</x:v>
      </x:c>
      <x:c r="L1293" s="18" t="n">
        <x:v>40</x:v>
      </x:c>
      <x:c r="M1293" s="18" t="n">
        <x:v>26</x:v>
      </x:c>
    </x:row>
    <x:row r="1294">
      <x:c r="A1294" s="22" t="str">
        <x:v>500109079</x:v>
      </x:c>
      <x:c r="B1294" s="17" t="str">
        <x:v>北投區</x:v>
      </x:c>
      <x:c r="C1294" s="17" t="str">
        <x:v>捷運忠義站(2號出口)</x:v>
      </x:c>
      <x:c r="D1294" s="18" t="n">
        <x:v>26</x:v>
      </x:c>
      <x:c r="E1294" s="18" t="n">
        <x:v>26</x:v>
      </x:c>
      <x:c r="F1294" s="18" t="n">
        <x:v>640</x:v>
      </x:c>
      <x:c r="G1294" s="18" t="n">
        <x:v>26</x:v>
      </x:c>
      <x:c r="H1294" s="18" t="n">
        <x:v>83</x:v>
      </x:c>
      <x:c r="I1294" s="18" t="n">
        <x:v>26</x:v>
      </x:c>
      <x:c r="J1294" s="18" t="n">
        <x:v>114</x:v>
      </x:c>
      <x:c r="K1294" s="18" t="n">
        <x:v>26</x:v>
      </x:c>
      <x:c r="L1294" s="18" t="n">
        <x:v>45</x:v>
      </x:c>
      <x:c r="M1294" s="18" t="n">
        <x:v>26</x:v>
      </x:c>
    </x:row>
    <x:row r="1295">
      <x:c r="A1295" s="22" t="str">
        <x:v>500109080</x:v>
      </x:c>
      <x:c r="B1295" s="17" t="str">
        <x:v>北投區</x:v>
      </x:c>
      <x:c r="C1295" s="17" t="str">
        <x:v>福國承德路口</x:v>
      </x:c>
      <x:c r="D1295" s="18" t="n">
        <x:v>26</x:v>
      </x:c>
      <x:c r="E1295" s="18" t="n">
        <x:v>26</x:v>
      </x:c>
      <x:c r="F1295" s="18" t="n">
        <x:v>134</x:v>
      </x:c>
      <x:c r="G1295" s="18" t="n">
        <x:v>26</x:v>
      </x:c>
      <x:c r="H1295" s="18" t="n">
        <x:v>10</x:v>
      </x:c>
      <x:c r="I1295" s="18" t="n">
        <x:v>26</x:v>
      </x:c>
      <x:c r="J1295" s="18" t="n">
        <x:v>264</x:v>
      </x:c>
      <x:c r="K1295" s="18" t="n">
        <x:v>26</x:v>
      </x:c>
      <x:c r="L1295" s="18" t="n">
        <x:v>40</x:v>
      </x:c>
      <x:c r="M1295" s="18" t="n">
        <x:v>26</x:v>
      </x:c>
    </x:row>
    <x:row r="1296">
      <x:c r="A1296" s="22" t="str">
        <x:v>500109081</x:v>
      </x:c>
      <x:c r="B1296" s="17" t="str">
        <x:v>北投區</x:v>
      </x:c>
      <x:c r="C1296" s="17" t="str">
        <x:v>捷運北投站(1號出口)(北投路側)</x:v>
      </x:c>
      <x:c r="D1296" s="18" t="n">
        <x:v>26</x:v>
      </x:c>
      <x:c r="E1296" s="18" t="n">
        <x:v>26</x:v>
      </x:c>
      <x:c r="F1296" s="18" t="n">
        <x:v>425</x:v>
      </x:c>
      <x:c r="G1296" s="18" t="n">
        <x:v>26</x:v>
      </x:c>
      <x:c r="H1296" s="18" t="n">
        <x:v>22</x:v>
      </x:c>
      <x:c r="I1296" s="18" t="n">
        <x:v>26</x:v>
      </x:c>
      <x:c r="J1296" s="18" t="n">
        <x:v>967</x:v>
      </x:c>
      <x:c r="K1296" s="18" t="n">
        <x:v>26</x:v>
      </x:c>
      <x:c r="L1296" s="18" t="n">
        <x:v>62</x:v>
      </x:c>
      <x:c r="M1296" s="18" t="n">
        <x:v>26</x:v>
      </x:c>
    </x:row>
    <x:row r="1297">
      <x:c r="A1297" s="22" t="str">
        <x:v>500109082</x:v>
      </x:c>
      <x:c r="B1297" s="17" t="str">
        <x:v>北投區</x:v>
      </x:c>
      <x:c r="C1297" s="17" t="str">
        <x:v>華固創富中心</x:v>
      </x:c>
      <x:c r="D1297" s="18" t="n">
        <x:v>26</x:v>
      </x:c>
      <x:c r="E1297" s="18" t="n">
        <x:v>26</x:v>
      </x:c>
      <x:c r="F1297" s="18" t="n">
        <x:v>96</x:v>
      </x:c>
      <x:c r="G1297" s="18" t="n">
        <x:v>26</x:v>
      </x:c>
      <x:c r="H1297" s="18" t="n">
        <x:v>15</x:v>
      </x:c>
      <x:c r="I1297" s="18" t="n">
        <x:v>26</x:v>
      </x:c>
      <x:c r="J1297" s="18" t="n">
        <x:v>246</x:v>
      </x:c>
      <x:c r="K1297" s="18" t="n">
        <x:v>26</x:v>
      </x:c>
      <x:c r="L1297" s="18" t="n">
        <x:v>61</x:v>
      </x:c>
      <x:c r="M1297" s="18" t="n">
        <x:v>26</x:v>
      </x:c>
    </x:row>
    <x:row r="1298">
      <x:c r="A1298" s="22" t="str">
        <x:v>500109083</x:v>
      </x:c>
      <x:c r="B1298" s="17" t="str">
        <x:v>北投區</x:v>
      </x:c>
      <x:c r="C1298" s="17" t="str">
        <x:v>知行路316巷關渡路口</x:v>
      </x:c>
      <x:c r="D1298" s="18" t="n">
        <x:v>26</x:v>
      </x:c>
      <x:c r="E1298" s="18" t="n">
        <x:v>26</x:v>
      </x:c>
      <x:c r="F1298" s="18" t="n">
        <x:v>0</x:v>
      </x:c>
      <x:c r="G1298" s="18" t="n">
        <x:v>26</x:v>
      </x:c>
      <x:c r="H1298" s="18" t="n">
        <x:v>0</x:v>
      </x:c>
      <x:c r="I1298" s="18" t="n">
        <x:v>26</x:v>
      </x:c>
      <x:c r="J1298" s="18" t="n">
        <x:v>0</x:v>
      </x:c>
      <x:c r="K1298" s="18" t="n">
        <x:v>26</x:v>
      </x:c>
      <x:c r="L1298" s="18" t="n">
        <x:v>0</x:v>
      </x:c>
      <x:c r="M1298" s="18" t="n">
        <x:v>26</x:v>
      </x:c>
    </x:row>
    <x:row r="1299">
      <x:c r="A1299" s="22" t="str">
        <x:v>500109084</x:v>
      </x:c>
      <x:c r="B1299" s="17" t="str">
        <x:v>北投區</x:v>
      </x:c>
      <x:c r="C1299" s="17" t="str">
        <x:v>崇仰公園(公舘路255巷)</x:v>
      </x:c>
      <x:c r="D1299" s="18" t="n">
        <x:v>26</x:v>
      </x:c>
      <x:c r="E1299" s="18" t="n">
        <x:v>26</x:v>
      </x:c>
      <x:c r="F1299" s="18" t="n">
        <x:v>439</x:v>
      </x:c>
      <x:c r="G1299" s="18" t="n">
        <x:v>26</x:v>
      </x:c>
      <x:c r="H1299" s="18" t="n">
        <x:v>54</x:v>
      </x:c>
      <x:c r="I1299" s="18" t="n">
        <x:v>26</x:v>
      </x:c>
      <x:c r="J1299" s="18" t="n">
        <x:v>390</x:v>
      </x:c>
      <x:c r="K1299" s="18" t="n">
        <x:v>26</x:v>
      </x:c>
      <x:c r="L1299" s="18" t="n">
        <x:v>48</x:v>
      </x:c>
      <x:c r="M1299" s="18" t="n">
        <x:v>26</x:v>
      </x:c>
    </x:row>
    <x:row r="1300">
      <x:c r="A1300" s="22" t="str">
        <x:v>500109085</x:v>
      </x:c>
      <x:c r="B1300" s="17" t="str">
        <x:v>北投區</x:v>
      </x:c>
      <x:c r="C1300" s="17" t="str">
        <x:v>北投文化公園(北側)</x:v>
      </x:c>
      <x:c r="D1300" s="18" t="n">
        <x:v>26</x:v>
      </x:c>
      <x:c r="E1300" s="18" t="n">
        <x:v>26</x:v>
      </x:c>
      <x:c r="F1300" s="18" t="n">
        <x:v>625</x:v>
      </x:c>
      <x:c r="G1300" s="18" t="n">
        <x:v>26</x:v>
      </x:c>
      <x:c r="H1300" s="18" t="n">
        <x:v>54</x:v>
      </x:c>
      <x:c r="I1300" s="18" t="n">
        <x:v>26</x:v>
      </x:c>
      <x:c r="J1300" s="18" t="n">
        <x:v>167</x:v>
      </x:c>
      <x:c r="K1300" s="18" t="n">
        <x:v>26</x:v>
      </x:c>
      <x:c r="L1300" s="18" t="n">
        <x:v>31</x:v>
      </x:c>
      <x:c r="M1300" s="18" t="n">
        <x:v>26</x:v>
      </x:c>
    </x:row>
    <x:row r="1301">
      <x:c r="A1301" s="22" t="str">
        <x:v>500109086</x:v>
      </x:c>
      <x:c r="B1301" s="17" t="str">
        <x:v>北投區</x:v>
      </x:c>
      <x:c r="C1301" s="17" t="str">
        <x:v>中和綠地</x:v>
      </x:c>
      <x:c r="D1301" s="18" t="n">
        <x:v>26</x:v>
      </x:c>
      <x:c r="E1301" s="18" t="n">
        <x:v>26</x:v>
      </x:c>
      <x:c r="F1301" s="18" t="n">
        <x:v>397</x:v>
      </x:c>
      <x:c r="G1301" s="18" t="n">
        <x:v>26</x:v>
      </x:c>
      <x:c r="H1301" s="18" t="n">
        <x:v>162</x:v>
      </x:c>
      <x:c r="I1301" s="18" t="n">
        <x:v>26</x:v>
      </x:c>
      <x:c r="J1301" s="18" t="n">
        <x:v>110</x:v>
      </x:c>
      <x:c r="K1301" s="18" t="n">
        <x:v>26</x:v>
      </x:c>
      <x:c r="L1301" s="18" t="n">
        <x:v>60</x:v>
      </x:c>
      <x:c r="M1301" s="18" t="n">
        <x:v>26</x:v>
      </x:c>
    </x:row>
    <x:row r="1302">
      <x:c r="A1302" s="22" t="str">
        <x:v>500109087</x:v>
      </x:c>
      <x:c r="B1302" s="17" t="str">
        <x:v>北投區</x:v>
      </x:c>
      <x:c r="C1302" s="17" t="str">
        <x:v>大業路65巷口</x:v>
      </x:c>
      <x:c r="D1302" s="18" t="n">
        <x:v>26</x:v>
      </x:c>
      <x:c r="E1302" s="18" t="n">
        <x:v>26</x:v>
      </x:c>
      <x:c r="F1302" s="18" t="n">
        <x:v>297</x:v>
      </x:c>
      <x:c r="G1302" s="18" t="n">
        <x:v>26</x:v>
      </x:c>
      <x:c r="H1302" s="18" t="n">
        <x:v>19</x:v>
      </x:c>
      <x:c r="I1302" s="18" t="n">
        <x:v>26</x:v>
      </x:c>
      <x:c r="J1302" s="18" t="n">
        <x:v>437</x:v>
      </x:c>
      <x:c r="K1302" s="18" t="n">
        <x:v>26</x:v>
      </x:c>
      <x:c r="L1302" s="18" t="n">
        <x:v>49</x:v>
      </x:c>
      <x:c r="M1302" s="18" t="n">
        <x:v>26</x:v>
      </x:c>
    </x:row>
    <x:row r="1303">
      <x:c r="A1303" s="22" t="str">
        <x:v>500109088</x:v>
      </x:c>
      <x:c r="B1303" s="17" t="str">
        <x:v>北投區</x:v>
      </x:c>
      <x:c r="C1303" s="17" t="str">
        <x:v>公舘承德路口</x:v>
      </x:c>
      <x:c r="D1303" s="18" t="n">
        <x:v>26</x:v>
      </x:c>
      <x:c r="E1303" s="18" t="n">
        <x:v>26</x:v>
      </x:c>
      <x:c r="F1303" s="18" t="n">
        <x:v>119</x:v>
      </x:c>
      <x:c r="G1303" s="18" t="n">
        <x:v>26</x:v>
      </x:c>
      <x:c r="H1303" s="18" t="n">
        <x:v>51</x:v>
      </x:c>
      <x:c r="I1303" s="18" t="n">
        <x:v>26</x:v>
      </x:c>
      <x:c r="J1303" s="18" t="n">
        <x:v>203</x:v>
      </x:c>
      <x:c r="K1303" s="18" t="n">
        <x:v>26</x:v>
      </x:c>
      <x:c r="L1303" s="18" t="n">
        <x:v>33</x:v>
      </x:c>
      <x:c r="M1303" s="18" t="n">
        <x:v>26</x:v>
      </x:c>
    </x:row>
    <x:row r="1304">
      <x:c r="A1304" s="22" t="str">
        <x:v>500109089</x:v>
      </x:c>
      <x:c r="B1304" s="17" t="str">
        <x:v>北投區</x:v>
      </x:c>
      <x:c r="C1304" s="17" t="str">
        <x:v>文林北明德路口(東北側)</x:v>
      </x:c>
      <x:c r="D1304" s="18" t="n">
        <x:v>26</x:v>
      </x:c>
      <x:c r="E1304" s="18" t="n">
        <x:v>26</x:v>
      </x:c>
      <x:c r="F1304" s="18" t="n">
        <x:v>137</x:v>
      </x:c>
      <x:c r="G1304" s="18" t="n">
        <x:v>26</x:v>
      </x:c>
      <x:c r="H1304" s="18" t="n">
        <x:v>41</x:v>
      </x:c>
      <x:c r="I1304" s="18" t="n">
        <x:v>26</x:v>
      </x:c>
      <x:c r="J1304" s="18" t="n">
        <x:v>174</x:v>
      </x:c>
      <x:c r="K1304" s="18" t="n">
        <x:v>26</x:v>
      </x:c>
      <x:c r="L1304" s="18" t="n">
        <x:v>59</x:v>
      </x:c>
      <x:c r="M1304" s="18" t="n">
        <x:v>26</x:v>
      </x:c>
    </x:row>
    <x:row r="1305">
      <x:c r="A1305" s="22" t="str">
        <x:v>500109091</x:v>
      </x:c>
      <x:c r="B1305" s="17" t="str">
        <x:v>北投區</x:v>
      </x:c>
      <x:c r="C1305" s="17" t="str">
        <x:v>永興路一段32巷口</x:v>
      </x:c>
      <x:c r="D1305" s="18" t="n">
        <x:v>26</x:v>
      </x:c>
      <x:c r="E1305" s="18" t="n">
        <x:v>26</x:v>
      </x:c>
      <x:c r="F1305" s="18" t="n">
        <x:v>449</x:v>
      </x:c>
      <x:c r="G1305" s="18" t="n">
        <x:v>26</x:v>
      </x:c>
      <x:c r="H1305" s="18" t="n">
        <x:v>64</x:v>
      </x:c>
      <x:c r="I1305" s="18" t="n">
        <x:v>26</x:v>
      </x:c>
      <x:c r="J1305" s="18" t="n">
        <x:v>83</x:v>
      </x:c>
      <x:c r="K1305" s="18" t="n">
        <x:v>26</x:v>
      </x:c>
      <x:c r="L1305" s="18" t="n">
        <x:v>29</x:v>
      </x:c>
      <x:c r="M1305" s="18" t="n">
        <x:v>26</x:v>
      </x:c>
    </x:row>
    <x:row r="1306">
      <x:c r="A1306" s="22" t="str">
        <x:v>500109092</x:v>
      </x:c>
      <x:c r="B1306" s="17" t="str">
        <x:v>北投區</x:v>
      </x:c>
      <x:c r="C1306" s="17" t="str">
        <x:v>國立陽明交通大學(甲棟)</x:v>
      </x:c>
      <x:c r="D1306" s="18" t="n">
        <x:v>26</x:v>
      </x:c>
      <x:c r="E1306" s="18" t="n">
        <x:v>26</x:v>
      </x:c>
      <x:c r="F1306" s="18" t="n">
        <x:v>112</x:v>
      </x:c>
      <x:c r="G1306" s="18" t="n">
        <x:v>26</x:v>
      </x:c>
      <x:c r="H1306" s="18" t="n">
        <x:v>23</x:v>
      </x:c>
      <x:c r="I1306" s="18" t="n">
        <x:v>26</x:v>
      </x:c>
      <x:c r="J1306" s="18" t="n">
        <x:v>978</x:v>
      </x:c>
      <x:c r="K1306" s="18" t="n">
        <x:v>26</x:v>
      </x:c>
      <x:c r="L1306" s="18" t="n">
        <x:v>55</x:v>
      </x:c>
      <x:c r="M1306" s="18" t="n">
        <x:v>26</x:v>
      </x:c>
    </x:row>
    <x:row r="1307">
      <x:c r="A1307" s="22" t="str">
        <x:v>500109093</x:v>
      </x:c>
      <x:c r="B1307" s="17" t="str">
        <x:v>北投區</x:v>
      </x:c>
      <x:c r="C1307" s="17" t="str">
        <x:v>關渡國中</x:v>
      </x:c>
      <x:c r="D1307" s="18" t="n">
        <x:v>26</x:v>
      </x:c>
      <x:c r="E1307" s="18" t="n">
        <x:v>26</x:v>
      </x:c>
      <x:c r="F1307" s="18" t="n">
        <x:v>705</x:v>
      </x:c>
      <x:c r="G1307" s="18" t="n">
        <x:v>26</x:v>
      </x:c>
      <x:c r="H1307" s="18" t="n">
        <x:v>129</x:v>
      </x:c>
      <x:c r="I1307" s="18" t="n">
        <x:v>26</x:v>
      </x:c>
      <x:c r="J1307" s="18" t="n">
        <x:v>312</x:v>
      </x:c>
      <x:c r="K1307" s="18" t="n">
        <x:v>26</x:v>
      </x:c>
      <x:c r="L1307" s="18" t="n">
        <x:v>60</x:v>
      </x:c>
      <x:c r="M1307" s="18" t="n">
        <x:v>26</x:v>
      </x:c>
    </x:row>
    <x:row r="1308">
      <x:c r="A1308" s="22" t="str">
        <x:v>500109094</x:v>
      </x:c>
      <x:c r="B1308" s="17" t="str">
        <x:v>北投區</x:v>
      </x:c>
      <x:c r="C1308" s="17" t="str">
        <x:v>立功街55巷口</x:v>
      </x:c>
      <x:c r="D1308" s="18" t="n">
        <x:v>26</x:v>
      </x:c>
      <x:c r="E1308" s="18" t="n">
        <x:v>26</x:v>
      </x:c>
      <x:c r="F1308" s="18" t="n">
        <x:v>139</x:v>
      </x:c>
      <x:c r="G1308" s="18" t="n">
        <x:v>26</x:v>
      </x:c>
      <x:c r="H1308" s="18" t="n">
        <x:v>29</x:v>
      </x:c>
      <x:c r="I1308" s="18" t="n">
        <x:v>26</x:v>
      </x:c>
      <x:c r="J1308" s="18" t="n">
        <x:v>449</x:v>
      </x:c>
      <x:c r="K1308" s="18" t="n">
        <x:v>26</x:v>
      </x:c>
      <x:c r="L1308" s="18" t="n">
        <x:v>53</x:v>
      </x:c>
      <x:c r="M1308" s="18" t="n">
        <x:v>26</x:v>
      </x:c>
    </x:row>
    <x:row r="1309">
      <x:c r="A1309" s="22" t="str">
        <x:v>500109095</x:v>
      </x:c>
      <x:c r="B1309" s="17" t="str">
        <x:v>北投區</x:v>
      </x:c>
      <x:c r="C1309" s="17" t="str">
        <x:v>承德路七段401巷(洲美橋下)</x:v>
      </x:c>
      <x:c r="D1309" s="18" t="n">
        <x:v>26</x:v>
      </x:c>
      <x:c r="E1309" s="18" t="n">
        <x:v>26</x:v>
      </x:c>
      <x:c r="F1309" s="18" t="n">
        <x:v>240</x:v>
      </x:c>
      <x:c r="G1309" s="18" t="n">
        <x:v>26</x:v>
      </x:c>
      <x:c r="H1309" s="18" t="n">
        <x:v>39</x:v>
      </x:c>
      <x:c r="I1309" s="18" t="n">
        <x:v>26</x:v>
      </x:c>
      <x:c r="J1309" s="18" t="n">
        <x:v>214</x:v>
      </x:c>
      <x:c r="K1309" s="18" t="n">
        <x:v>26</x:v>
      </x:c>
      <x:c r="L1309" s="18" t="n">
        <x:v>55</x:v>
      </x:c>
      <x:c r="M1309" s="18" t="n">
        <x:v>26</x:v>
      </x:c>
    </x:row>
    <x:row r="1310">
      <x:c r="A1310" s="22" t="str">
        <x:v>500109096</x:v>
      </x:c>
      <x:c r="B1310" s="17" t="str">
        <x:v>北投區</x:v>
      </x:c>
      <x:c r="C1310" s="17" t="str">
        <x:v>大業路(農禪寺)</x:v>
      </x:c>
      <x:c r="D1310" s="18" t="n">
        <x:v>26</x:v>
      </x:c>
      <x:c r="E1310" s="18" t="n">
        <x:v>26</x:v>
      </x:c>
      <x:c r="F1310" s="18" t="n">
        <x:v>160</x:v>
      </x:c>
      <x:c r="G1310" s="18" t="n">
        <x:v>26</x:v>
      </x:c>
      <x:c r="H1310" s="18" t="n">
        <x:v>16</x:v>
      </x:c>
      <x:c r="I1310" s="18" t="n">
        <x:v>26</x:v>
      </x:c>
      <x:c r="J1310" s="18" t="n">
        <x:v>325</x:v>
      </x:c>
      <x:c r="K1310" s="18" t="n">
        <x:v>26</x:v>
      </x:c>
      <x:c r="L1310" s="18" t="n">
        <x:v>39</x:v>
      </x:c>
      <x:c r="M1310" s="18" t="n">
        <x:v>26</x:v>
      </x:c>
    </x:row>
    <x:row r="1311">
      <x:c r="A1311" s="22" t="str">
        <x:v>500109097</x:v>
      </x:c>
      <x:c r="B1311" s="17" t="str">
        <x:v>北投區</x:v>
      </x:c>
      <x:c r="C1311" s="17" t="str">
        <x:v>中國電影製片廠</x:v>
      </x:c>
      <x:c r="D1311" s="18" t="n">
        <x:v>26</x:v>
      </x:c>
      <x:c r="E1311" s="18" t="n">
        <x:v>26</x:v>
      </x:c>
      <x:c r="F1311" s="18" t="n">
        <x:v>284</x:v>
      </x:c>
      <x:c r="G1311" s="18" t="n">
        <x:v>26</x:v>
      </x:c>
      <x:c r="H1311" s="18" t="n">
        <x:v>78</x:v>
      </x:c>
      <x:c r="I1311" s="18" t="n">
        <x:v>26</x:v>
      </x:c>
      <x:c r="J1311" s="18" t="n">
        <x:v>233</x:v>
      </x:c>
      <x:c r="K1311" s="18" t="n">
        <x:v>26</x:v>
      </x:c>
      <x:c r="L1311" s="18" t="n">
        <x:v>49</x:v>
      </x:c>
      <x:c r="M1311" s="18" t="n">
        <x:v>26</x:v>
      </x:c>
    </x:row>
    <x:row r="1312">
      <x:c r="A1312" s="22" t="str">
        <x:v>500109098</x:v>
      </x:c>
      <x:c r="B1312" s="17" t="str">
        <x:v>北投區</x:v>
      </x:c>
      <x:c r="C1312" s="17" t="str">
        <x:v>北投新興公園</x:v>
      </x:c>
      <x:c r="D1312" s="18" t="n">
        <x:v>26</x:v>
      </x:c>
      <x:c r="E1312" s="18" t="n">
        <x:v>26</x:v>
      </x:c>
      <x:c r="F1312" s="18" t="n">
        <x:v>491</x:v>
      </x:c>
      <x:c r="G1312" s="18" t="n">
        <x:v>26</x:v>
      </x:c>
      <x:c r="H1312" s="18" t="n">
        <x:v>47</x:v>
      </x:c>
      <x:c r="I1312" s="18" t="n">
        <x:v>26</x:v>
      </x:c>
      <x:c r="J1312" s="18" t="n">
        <x:v>204</x:v>
      </x:c>
      <x:c r="K1312" s="18" t="n">
        <x:v>26</x:v>
      </x:c>
      <x:c r="L1312" s="18" t="n">
        <x:v>37</x:v>
      </x:c>
      <x:c r="M1312" s="18" t="n">
        <x:v>26</x:v>
      </x:c>
    </x:row>
    <x:row r="1313">
      <x:c r="A1313" s="22" t="str">
        <x:v>500109099</x:v>
      </x:c>
      <x:c r="B1313" s="17" t="str">
        <x:v>北投區</x:v>
      </x:c>
      <x:c r="C1313" s="17" t="str">
        <x:v>捷運石牌站(2號出口)(西安街一段)</x:v>
      </x:c>
      <x:c r="D1313" s="18" t="n">
        <x:v>26</x:v>
      </x:c>
      <x:c r="E1313" s="18" t="n">
        <x:v>26</x:v>
      </x:c>
      <x:c r="F1313" s="18" t="n">
        <x:v>342</x:v>
      </x:c>
      <x:c r="G1313" s="18" t="n">
        <x:v>26</x:v>
      </x:c>
      <x:c r="H1313" s="18" t="n">
        <x:v>34</x:v>
      </x:c>
      <x:c r="I1313" s="18" t="n">
        <x:v>26</x:v>
      </x:c>
      <x:c r="J1313" s="18" t="n">
        <x:v>292</x:v>
      </x:c>
      <x:c r="K1313" s="18" t="n">
        <x:v>26</x:v>
      </x:c>
      <x:c r="L1313" s="18" t="n">
        <x:v>43</x:v>
      </x:c>
      <x:c r="M1313" s="18" t="n">
        <x:v>26</x:v>
      </x:c>
    </x:row>
    <x:row r="1314">
      <x:c r="A1314" s="22" t="str">
        <x:v>500109100</x:v>
      </x:c>
      <x:c r="B1314" s="17" t="str">
        <x:v>北投區</x:v>
      </x:c>
      <x:c r="C1314" s="17" t="str">
        <x:v>華碩立功大樓</x:v>
      </x:c>
      <x:c r="D1314" s="18" t="n">
        <x:v>26</x:v>
      </x:c>
      <x:c r="E1314" s="18" t="n">
        <x:v>26</x:v>
      </x:c>
      <x:c r="F1314" s="18" t="n">
        <x:v>111</x:v>
      </x:c>
      <x:c r="G1314" s="18" t="n">
        <x:v>26</x:v>
      </x:c>
      <x:c r="H1314" s="18" t="n">
        <x:v>29</x:v>
      </x:c>
      <x:c r="I1314" s="18" t="n">
        <x:v>26</x:v>
      </x:c>
      <x:c r="J1314" s="18" t="n">
        <x:v>365</x:v>
      </x:c>
      <x:c r="K1314" s="18" t="n">
        <x:v>26</x:v>
      </x:c>
      <x:c r="L1314" s="18" t="n">
        <x:v>64</x:v>
      </x:c>
      <x:c r="M1314" s="18" t="n">
        <x:v>26</x:v>
      </x:c>
    </x:row>
    <x:row r="1315">
      <x:c r="A1315" s="22" t="str">
        <x:v>500109101</x:v>
      </x:c>
      <x:c r="B1315" s="17" t="str">
        <x:v>北投區</x:v>
      </x:c>
      <x:c r="C1315" s="17" t="str">
        <x:v>關渡碼頭</x:v>
      </x:c>
      <x:c r="D1315" s="18" t="n">
        <x:v>26</x:v>
      </x:c>
      <x:c r="E1315" s="18" t="n">
        <x:v>26</x:v>
      </x:c>
      <x:c r="F1315" s="18" t="n">
        <x:v>639</x:v>
      </x:c>
      <x:c r="G1315" s="18" t="n">
        <x:v>26</x:v>
      </x:c>
      <x:c r="H1315" s="18" t="n">
        <x:v>122</x:v>
      </x:c>
      <x:c r="I1315" s="18" t="n">
        <x:v>26</x:v>
      </x:c>
      <x:c r="J1315" s="18" t="n">
        <x:v>659</x:v>
      </x:c>
      <x:c r="K1315" s="18" t="n">
        <x:v>26</x:v>
      </x:c>
      <x:c r="L1315" s="18" t="n">
        <x:v>66</x:v>
      </x:c>
      <x:c r="M1315" s="18" t="n">
        <x:v>26</x:v>
      </x:c>
    </x:row>
    <x:row r="1316">
      <x:c r="A1316" s="22" t="str">
        <x:v>500109102</x:v>
      </x:c>
      <x:c r="B1316" s="17" t="str">
        <x:v>北投區</x:v>
      </x:c>
      <x:c r="C1316" s="17" t="str">
        <x:v>珠海路(48號公園)</x:v>
      </x:c>
      <x:c r="D1316" s="18" t="n">
        <x:v>26</x:v>
      </x:c>
      <x:c r="E1316" s="18" t="n">
        <x:v>26</x:v>
      </x:c>
      <x:c r="F1316" s="18" t="n">
        <x:v>114</x:v>
      </x:c>
      <x:c r="G1316" s="18" t="n">
        <x:v>26</x:v>
      </x:c>
      <x:c r="H1316" s="18" t="n">
        <x:v>46</x:v>
      </x:c>
      <x:c r="I1316" s="18" t="n">
        <x:v>26</x:v>
      </x:c>
      <x:c r="J1316" s="18" t="n">
        <x:v>122</x:v>
      </x:c>
      <x:c r="K1316" s="18" t="n">
        <x:v>26</x:v>
      </x:c>
      <x:c r="L1316" s="18" t="n">
        <x:v>42</x:v>
      </x:c>
      <x:c r="M1316" s="18" t="n">
        <x:v>26</x:v>
      </x:c>
    </x:row>
    <x:row r="1317">
      <x:c r="A1317" s="22" t="str">
        <x:v>500109103</x:v>
      </x:c>
      <x:c r="B1317" s="17" t="str">
        <x:v>北投區</x:v>
      </x:c>
      <x:c r="C1317" s="17" t="str">
        <x:v>承德文林北路口(西側)</x:v>
      </x:c>
      <x:c r="D1317" s="18" t="n">
        <x:v>26</x:v>
      </x:c>
      <x:c r="E1317" s="18" t="n">
        <x:v>26</x:v>
      </x:c>
      <x:c r="F1317" s="18" t="n">
        <x:v>238</x:v>
      </x:c>
      <x:c r="G1317" s="18" t="n">
        <x:v>26</x:v>
      </x:c>
      <x:c r="H1317" s="18" t="n">
        <x:v>34</x:v>
      </x:c>
      <x:c r="I1317" s="18" t="n">
        <x:v>26</x:v>
      </x:c>
      <x:c r="J1317" s="18" t="n">
        <x:v>408</x:v>
      </x:c>
      <x:c r="K1317" s="18" t="n">
        <x:v>26</x:v>
      </x:c>
      <x:c r="L1317" s="18" t="n">
        <x:v>50</x:v>
      </x:c>
      <x:c r="M1317" s="18" t="n">
        <x:v>26</x:v>
      </x:c>
    </x:row>
    <x:row r="1318">
      <x:c r="A1318" s="22" t="str">
        <x:v>500109104</x:v>
      </x:c>
      <x:c r="B1318" s="17" t="str">
        <x:v>北投區</x:v>
      </x:c>
      <x:c r="C1318" s="17" t="str">
        <x:v>石牌路二段324巷口</x:v>
      </x:c>
      <x:c r="D1318" s="18" t="n">
        <x:v>26</x:v>
      </x:c>
      <x:c r="E1318" s="18" t="n">
        <x:v>26</x:v>
      </x:c>
      <x:c r="F1318" s="18" t="n">
        <x:v>176</x:v>
      </x:c>
      <x:c r="G1318" s="18" t="n">
        <x:v>26</x:v>
      </x:c>
      <x:c r="H1318" s="18" t="n">
        <x:v>123</x:v>
      </x:c>
      <x:c r="I1318" s="18" t="n">
        <x:v>26</x:v>
      </x:c>
      <x:c r="J1318" s="18" t="n">
        <x:v>61</x:v>
      </x:c>
      <x:c r="K1318" s="18" t="n">
        <x:v>26</x:v>
      </x:c>
      <x:c r="L1318" s="18" t="n">
        <x:v>39</x:v>
      </x:c>
      <x:c r="M1318" s="18" t="n">
        <x:v>26</x:v>
      </x:c>
    </x:row>
    <x:row r="1319">
      <x:c r="A1319" s="22" t="str">
        <x:v>500109105</x:v>
      </x:c>
      <x:c r="B1319" s="17" t="str">
        <x:v>北投區</x:v>
      </x:c>
      <x:c r="C1319" s="17" t="str">
        <x:v>北投文化公園(中央北路)</x:v>
      </x:c>
      <x:c r="D1319" s="18" t="n">
        <x:v>26</x:v>
      </x:c>
      <x:c r="E1319" s="18" t="n">
        <x:v>26</x:v>
      </x:c>
      <x:c r="F1319" s="18" t="n">
        <x:v>326</x:v>
      </x:c>
      <x:c r="G1319" s="18" t="n">
        <x:v>26</x:v>
      </x:c>
      <x:c r="H1319" s="18" t="n">
        <x:v>27</x:v>
      </x:c>
      <x:c r="I1319" s="18" t="n">
        <x:v>26</x:v>
      </x:c>
      <x:c r="J1319" s="18" t="n">
        <x:v>98</x:v>
      </x:c>
      <x:c r="K1319" s="18" t="n">
        <x:v>26</x:v>
      </x:c>
      <x:c r="L1319" s="18" t="n">
        <x:v>15</x:v>
      </x:c>
      <x:c r="M1319" s="18" t="n">
        <x:v>26</x:v>
      </x:c>
    </x:row>
    <x:row r="1320">
      <x:c r="A1320" s="22" t="str">
        <x:v>500109106</x:v>
      </x:c>
      <x:c r="B1320" s="17" t="str">
        <x:v>北投區</x:v>
      </x:c>
      <x:c r="C1320" s="17" t="str">
        <x:v>泉源路23巷口</x:v>
      </x:c>
      <x:c r="D1320" s="18" t="n">
        <x:v>26</x:v>
      </x:c>
      <x:c r="E1320" s="18" t="n">
        <x:v>26</x:v>
      </x:c>
      <x:c r="F1320" s="18" t="n">
        <x:v>161</x:v>
      </x:c>
      <x:c r="G1320" s="18" t="n">
        <x:v>26</x:v>
      </x:c>
      <x:c r="H1320" s="18" t="n">
        <x:v>80</x:v>
      </x:c>
      <x:c r="I1320" s="18" t="n">
        <x:v>26</x:v>
      </x:c>
      <x:c r="J1320" s="18" t="n">
        <x:v>207</x:v>
      </x:c>
      <x:c r="K1320" s="18" t="n">
        <x:v>26</x:v>
      </x:c>
      <x:c r="L1320" s="18" t="n">
        <x:v>36</x:v>
      </x:c>
      <x:c r="M1320" s="18" t="n">
        <x:v>26</x:v>
      </x:c>
    </x:row>
    <x:row r="1321">
      <x:c r="A1321" s="22" t="str">
        <x:v>500109107</x:v>
      </x:c>
      <x:c r="B1321" s="17" t="str">
        <x:v>北投區</x:v>
      </x:c>
      <x:c r="C1321" s="17" t="str">
        <x:v>大業路667巷口</x:v>
      </x:c>
      <x:c r="D1321" s="18" t="n">
        <x:v>26</x:v>
      </x:c>
      <x:c r="E1321" s="18" t="n">
        <x:v>26</x:v>
      </x:c>
      <x:c r="F1321" s="18" t="n">
        <x:v>188</x:v>
      </x:c>
      <x:c r="G1321" s="18" t="n">
        <x:v>26</x:v>
      </x:c>
      <x:c r="H1321" s="18" t="n">
        <x:v>36</x:v>
      </x:c>
      <x:c r="I1321" s="18" t="n">
        <x:v>26</x:v>
      </x:c>
      <x:c r="J1321" s="18" t="n">
        <x:v>124</x:v>
      </x:c>
      <x:c r="K1321" s="18" t="n">
        <x:v>26</x:v>
      </x:c>
      <x:c r="L1321" s="18" t="n">
        <x:v>33</x:v>
      </x:c>
      <x:c r="M1321" s="18" t="n">
        <x:v>26</x:v>
      </x:c>
    </x:row>
    <x:row r="1322">
      <x:c r="A1322" s="22" t="str">
        <x:v>500109108</x:v>
      </x:c>
      <x:c r="B1322" s="17" t="str">
        <x:v>北投區</x:v>
      </x:c>
      <x:c r="C1322" s="17" t="str">
        <x:v>幼華中學(大業路)</x:v>
      </x:c>
      <x:c r="D1322" s="18" t="n">
        <x:v>26</x:v>
      </x:c>
      <x:c r="E1322" s="18" t="n">
        <x:v>26</x:v>
      </x:c>
      <x:c r="F1322" s="18" t="n">
        <x:v>174</x:v>
      </x:c>
      <x:c r="G1322" s="18" t="n">
        <x:v>26</x:v>
      </x:c>
      <x:c r="H1322" s="18" t="n">
        <x:v>39</x:v>
      </x:c>
      <x:c r="I1322" s="18" t="n">
        <x:v>26</x:v>
      </x:c>
      <x:c r="J1322" s="18" t="n">
        <x:v>171</x:v>
      </x:c>
      <x:c r="K1322" s="18" t="n">
        <x:v>26</x:v>
      </x:c>
      <x:c r="L1322" s="18" t="n">
        <x:v>37</x:v>
      </x:c>
      <x:c r="M1322" s="18" t="n">
        <x:v>26</x:v>
      </x:c>
    </x:row>
    <x:row r="1323">
      <x:c r="A1323" s="22" t="str">
        <x:v>500109109</x:v>
      </x:c>
      <x:c r="B1323" s="17" t="str">
        <x:v>北投區</x:v>
      </x:c>
      <x:c r="C1323" s="17" t="str">
        <x:v>溫泉路68巷6弄口</x:v>
      </x:c>
      <x:c r="D1323" s="18" t="n">
        <x:v>26</x:v>
      </x:c>
      <x:c r="E1323" s="18" t="n">
        <x:v>26</x:v>
      </x:c>
      <x:c r="F1323" s="18" t="n">
        <x:v>157</x:v>
      </x:c>
      <x:c r="G1323" s="18" t="n">
        <x:v>26</x:v>
      </x:c>
      <x:c r="H1323" s="18" t="n">
        <x:v>116</x:v>
      </x:c>
      <x:c r="I1323" s="18" t="n">
        <x:v>26</x:v>
      </x:c>
      <x:c r="J1323" s="18" t="n">
        <x:v>95</x:v>
      </x:c>
      <x:c r="K1323" s="18" t="n">
        <x:v>26</x:v>
      </x:c>
      <x:c r="L1323" s="18" t="n">
        <x:v>52</x:v>
      </x:c>
      <x:c r="M1323" s="18" t="n">
        <x:v>26</x:v>
      </x:c>
    </x:row>
    <x:row r="1324">
      <x:c r="A1324" s="22" t="str">
        <x:v>500109110</x:v>
      </x:c>
      <x:c r="B1324" s="17" t="str">
        <x:v>北投區</x:v>
      </x:c>
      <x:c r="C1324" s="17" t="str">
        <x:v>親水公園</x:v>
      </x:c>
      <x:c r="D1324" s="18" t="n">
        <x:v>26</x:v>
      </x:c>
      <x:c r="E1324" s="18" t="n">
        <x:v>26</x:v>
      </x:c>
      <x:c r="F1324" s="18" t="n">
        <x:v>292</x:v>
      </x:c>
      <x:c r="G1324" s="18" t="n">
        <x:v>26</x:v>
      </x:c>
      <x:c r="H1324" s="18" t="n">
        <x:v>56</x:v>
      </x:c>
      <x:c r="I1324" s="18" t="n">
        <x:v>26</x:v>
      </x:c>
      <x:c r="J1324" s="18" t="n">
        <x:v>292</x:v>
      </x:c>
      <x:c r="K1324" s="18" t="n">
        <x:v>26</x:v>
      </x:c>
      <x:c r="L1324" s="18" t="n">
        <x:v>50</x:v>
      </x:c>
      <x:c r="M1324" s="18" t="n">
        <x:v>26</x:v>
      </x:c>
    </x:row>
    <x:row r="1325">
      <x:c r="A1325" s="22" t="str">
        <x:v>500109111</x:v>
      </x:c>
      <x:c r="B1325" s="17" t="str">
        <x:v>北投區</x:v>
      </x:c>
      <x:c r="C1325" s="17" t="str">
        <x:v>文林橋(文林北路75巷)</x:v>
      </x:c>
      <x:c r="D1325" s="18" t="n">
        <x:v>26</x:v>
      </x:c>
      <x:c r="E1325" s="18" t="n">
        <x:v>26</x:v>
      </x:c>
      <x:c r="F1325" s="18" t="n">
        <x:v>190</x:v>
      </x:c>
      <x:c r="G1325" s="18" t="n">
        <x:v>26</x:v>
      </x:c>
      <x:c r="H1325" s="18" t="n">
        <x:v>34</x:v>
      </x:c>
      <x:c r="I1325" s="18" t="n">
        <x:v>26</x:v>
      </x:c>
      <x:c r="J1325" s="18" t="n">
        <x:v>403</x:v>
      </x:c>
      <x:c r="K1325" s="18" t="n">
        <x:v>26</x:v>
      </x:c>
      <x:c r="L1325" s="18" t="n">
        <x:v>38</x:v>
      </x:c>
      <x:c r="M1325" s="18" t="n">
        <x:v>26</x:v>
      </x:c>
    </x:row>
    <x:row r="1326">
      <x:c r="A1326" s="22" t="str">
        <x:v>500109112</x:v>
      </x:c>
      <x:c r="B1326" s="17" t="str">
        <x:v>北投區</x:v>
      </x:c>
      <x:c r="C1326" s="17" t="str">
        <x:v>榮華公園</x:v>
      </x:c>
      <x:c r="D1326" s="18" t="n">
        <x:v>26</x:v>
      </x:c>
      <x:c r="E1326" s="18" t="n">
        <x:v>26</x:v>
      </x:c>
      <x:c r="F1326" s="18" t="n">
        <x:v>361</x:v>
      </x:c>
      <x:c r="G1326" s="18" t="n">
        <x:v>26</x:v>
      </x:c>
      <x:c r="H1326" s="18" t="n">
        <x:v>57</x:v>
      </x:c>
      <x:c r="I1326" s="18" t="n">
        <x:v>26</x:v>
      </x:c>
      <x:c r="J1326" s="18" t="n">
        <x:v>121</x:v>
      </x:c>
      <x:c r="K1326" s="18" t="n">
        <x:v>26</x:v>
      </x:c>
      <x:c r="L1326" s="18" t="n">
        <x:v>31</x:v>
      </x:c>
      <x:c r="M1326" s="18" t="n">
        <x:v>26</x:v>
      </x:c>
    </x:row>
    <x:row r="1327">
      <x:c r="A1327" s="22" t="str">
        <x:v>500109113</x:v>
      </x:c>
      <x:c r="B1327" s="17" t="str">
        <x:v>北投區</x:v>
      </x:c>
      <x:c r="C1327" s="17" t="str">
        <x:v>北投市場(民族街口)</x:v>
      </x:c>
      <x:c r="D1327" s="18" t="n">
        <x:v>26</x:v>
      </x:c>
      <x:c r="E1327" s="18" t="n">
        <x:v>26</x:v>
      </x:c>
      <x:c r="F1327" s="18" t="n">
        <x:v>488</x:v>
      </x:c>
      <x:c r="G1327" s="18" t="n">
        <x:v>26</x:v>
      </x:c>
      <x:c r="H1327" s="18" t="n">
        <x:v>23</x:v>
      </x:c>
      <x:c r="I1327" s="18" t="n">
        <x:v>26</x:v>
      </x:c>
      <x:c r="J1327" s="18" t="n">
        <x:v>139</x:v>
      </x:c>
      <x:c r="K1327" s="18" t="n">
        <x:v>26</x:v>
      </x:c>
      <x:c r="L1327" s="18" t="n">
        <x:v>21</x:v>
      </x:c>
      <x:c r="M1327" s="18" t="n">
        <x:v>26</x:v>
      </x:c>
    </x:row>
    <x:row r="1328">
      <x:c r="A1328" s="22" t="str">
        <x:v>500109114</x:v>
      </x:c>
      <x:c r="B1328" s="17" t="str">
        <x:v>北投區</x:v>
      </x:c>
      <x:c r="C1328" s="17" t="str">
        <x:v>奇岩抽水站</x:v>
      </x:c>
      <x:c r="D1328" s="18" t="n">
        <x:v>26</x:v>
      </x:c>
      <x:c r="E1328" s="18" t="n">
        <x:v>26</x:v>
      </x:c>
      <x:c r="F1328" s="18" t="n">
        <x:v>541</x:v>
      </x:c>
      <x:c r="G1328" s="18" t="n">
        <x:v>26</x:v>
      </x:c>
      <x:c r="H1328" s="18" t="n">
        <x:v>30</x:v>
      </x:c>
      <x:c r="I1328" s="18" t="n">
        <x:v>26</x:v>
      </x:c>
      <x:c r="J1328" s="18" t="n">
        <x:v>234</x:v>
      </x:c>
      <x:c r="K1328" s="18" t="n">
        <x:v>26</x:v>
      </x:c>
      <x:c r="L1328" s="18" t="n">
        <x:v>22</x:v>
      </x:c>
      <x:c r="M1328" s="18" t="n">
        <x:v>26</x:v>
      </x:c>
    </x:row>
    <x:row r="1329">
      <x:c r="A1329" s="22" t="str">
        <x:v>500109115</x:v>
      </x:c>
      <x:c r="B1329" s="17" t="str">
        <x:v>北投區</x:v>
      </x:c>
      <x:c r="C1329" s="17" t="str">
        <x:v>溫泉路81號</x:v>
      </x:c>
      <x:c r="D1329" s="18" t="n">
        <x:v>26</x:v>
      </x:c>
      <x:c r="E1329" s="18" t="n">
        <x:v>26</x:v>
      </x:c>
      <x:c r="F1329" s="18" t="n">
        <x:v>148</x:v>
      </x:c>
      <x:c r="G1329" s="18" t="n">
        <x:v>26</x:v>
      </x:c>
      <x:c r="H1329" s="18" t="n">
        <x:v>66</x:v>
      </x:c>
      <x:c r="I1329" s="18" t="n">
        <x:v>26</x:v>
      </x:c>
      <x:c r="J1329" s="18" t="n">
        <x:v>156</x:v>
      </x:c>
      <x:c r="K1329" s="18" t="n">
        <x:v>26</x:v>
      </x:c>
      <x:c r="L1329" s="18" t="n">
        <x:v>67</x:v>
      </x:c>
      <x:c r="M1329" s="18" t="n">
        <x:v>26</x:v>
      </x:c>
    </x:row>
    <x:row r="1330">
      <x:c r="A1330" s="22" t="str">
        <x:v>500109116</x:v>
      </x:c>
      <x:c r="B1330" s="17" t="str">
        <x:v>北投區</x:v>
      </x:c>
      <x:c r="C1330" s="17" t="str">
        <x:v>北投公園噴泉</x:v>
      </x:c>
      <x:c r="D1330" s="18" t="n">
        <x:v>26</x:v>
      </x:c>
      <x:c r="E1330" s="18" t="n">
        <x:v>26</x:v>
      </x:c>
      <x:c r="F1330" s="18" t="n">
        <x:v>163</x:v>
      </x:c>
      <x:c r="G1330" s="18" t="n">
        <x:v>26</x:v>
      </x:c>
      <x:c r="H1330" s="18" t="n">
        <x:v>32</x:v>
      </x:c>
      <x:c r="I1330" s="18" t="n">
        <x:v>26</x:v>
      </x:c>
      <x:c r="J1330" s="18" t="n">
        <x:v>214</x:v>
      </x:c>
      <x:c r="K1330" s="18" t="n">
        <x:v>26</x:v>
      </x:c>
      <x:c r="L1330" s="18" t="n">
        <x:v>70</x:v>
      </x:c>
      <x:c r="M1330" s="18" t="n">
        <x:v>26</x:v>
      </x:c>
    </x:row>
    <x:row r="1331">
      <x:c r="A1331" s="22" t="str">
        <x:v>500109117</x:v>
      </x:c>
      <x:c r="B1331" s="17" t="str">
        <x:v>北投區</x:v>
      </x:c>
      <x:c r="C1331" s="17" t="str">
        <x:v>振華公園</x:v>
      </x:c>
      <x:c r="D1331" s="18" t="n">
        <x:v>26</x:v>
      </x:c>
      <x:c r="E1331" s="18" t="n">
        <x:v>26</x:v>
      </x:c>
      <x:c r="F1331" s="18" t="n">
        <x:v>318</x:v>
      </x:c>
      <x:c r="G1331" s="18" t="n">
        <x:v>26</x:v>
      </x:c>
      <x:c r="H1331" s="18" t="n">
        <x:v>69</x:v>
      </x:c>
      <x:c r="I1331" s="18" t="n">
        <x:v>26</x:v>
      </x:c>
      <x:c r="J1331" s="18" t="n">
        <x:v>165</x:v>
      </x:c>
      <x:c r="K1331" s="18" t="n">
        <x:v>26</x:v>
      </x:c>
      <x:c r="L1331" s="18" t="n">
        <x:v>45</x:v>
      </x:c>
      <x:c r="M1331" s="18" t="n">
        <x:v>26</x:v>
      </x:c>
    </x:row>
    <x:row r="1332">
      <x:c r="A1332" s="22" t="str">
        <x:v>500109118</x:v>
      </x:c>
      <x:c r="B1332" s="17" t="str">
        <x:v>北投區</x:v>
      </x:c>
      <x:c r="C1332" s="17" t="str">
        <x:v>三合街一段82巷62弄口</x:v>
      </x:c>
      <x:c r="D1332" s="18" t="n">
        <x:v>26</x:v>
      </x:c>
      <x:c r="E1332" s="18" t="n">
        <x:v>26</x:v>
      </x:c>
      <x:c r="F1332" s="18" t="n">
        <x:v>474</x:v>
      </x:c>
      <x:c r="G1332" s="18" t="n">
        <x:v>26</x:v>
      </x:c>
      <x:c r="H1332" s="18" t="n">
        <x:v>57</x:v>
      </x:c>
      <x:c r="I1332" s="18" t="n">
        <x:v>26</x:v>
      </x:c>
      <x:c r="J1332" s="18" t="n">
        <x:v>161</x:v>
      </x:c>
      <x:c r="K1332" s="18" t="n">
        <x:v>26</x:v>
      </x:c>
      <x:c r="L1332" s="18" t="n">
        <x:v>21</x:v>
      </x:c>
      <x:c r="M1332" s="18" t="n">
        <x:v>26</x:v>
      </x:c>
    </x:row>
    <x:row r="1333">
      <x:c r="A1333" s="22" t="str">
        <x:v>500109119</x:v>
      </x:c>
      <x:c r="B1333" s="17" t="str">
        <x:v>北投區</x:v>
      </x:c>
      <x:c r="C1333" s="17" t="str">
        <x:v>公舘西安街二段口</x:v>
      </x:c>
      <x:c r="D1333" s="18" t="n">
        <x:v>26</x:v>
      </x:c>
      <x:c r="E1333" s="18" t="n">
        <x:v>26</x:v>
      </x:c>
      <x:c r="F1333" s="18" t="n">
        <x:v>190</x:v>
      </x:c>
      <x:c r="G1333" s="18" t="n">
        <x:v>26</x:v>
      </x:c>
      <x:c r="H1333" s="18" t="n">
        <x:v>39</x:v>
      </x:c>
      <x:c r="I1333" s="18" t="n">
        <x:v>26</x:v>
      </x:c>
      <x:c r="J1333" s="18" t="n">
        <x:v>80</x:v>
      </x:c>
      <x:c r="K1333" s="18" t="n">
        <x:v>26</x:v>
      </x:c>
      <x:c r="L1333" s="18" t="n">
        <x:v>30</x:v>
      </x:c>
      <x:c r="M1333" s="18" t="n">
        <x:v>26</x:v>
      </x:c>
    </x:row>
    <x:row r="1334">
      <x:c r="A1334" s="22" t="str">
        <x:v>500109120</x:v>
      </x:c>
      <x:c r="B1334" s="17" t="str">
        <x:v>北投區</x:v>
      </x:c>
      <x:c r="C1334" s="17" t="str">
        <x:v>好市多北投店</x:v>
      </x:c>
      <x:c r="D1334" s="18" t="n">
        <x:v>26</x:v>
      </x:c>
      <x:c r="E1334" s="18" t="n">
        <x:v>26</x:v>
      </x:c>
      <x:c r="F1334" s="18" t="n">
        <x:v>757</x:v>
      </x:c>
      <x:c r="G1334" s="18" t="n">
        <x:v>26</x:v>
      </x:c>
      <x:c r="H1334" s="18" t="n">
        <x:v>66</x:v>
      </x:c>
      <x:c r="I1334" s="18" t="n">
        <x:v>26</x:v>
      </x:c>
      <x:c r="J1334" s="18" t="n">
        <x:v>828</x:v>
      </x:c>
      <x:c r="K1334" s="18" t="n">
        <x:v>26</x:v>
      </x:c>
      <x:c r="L1334" s="18" t="n">
        <x:v>80</x:v>
      </x:c>
      <x:c r="M1334" s="18" t="n">
        <x:v>26</x:v>
      </x:c>
    </x:row>
    <x:row r="1335">
      <x:c r="A1335" s="22" t="str">
        <x:v>500109121</x:v>
      </x:c>
      <x:c r="B1335" s="17" t="str">
        <x:v>北投區</x:v>
      </x:c>
      <x:c r="C1335" s="17" t="str">
        <x:v>薇閣高中</x:v>
      </x:c>
      <x:c r="D1335" s="18" t="n">
        <x:v>26</x:v>
      </x:c>
      <x:c r="E1335" s="18" t="n">
        <x:v>26</x:v>
      </x:c>
      <x:c r="F1335" s="18" t="n">
        <x:v>0</x:v>
      </x:c>
      <x:c r="G1335" s="18" t="n">
        <x:v>26</x:v>
      </x:c>
      <x:c r="H1335" s="18" t="n">
        <x:v>0</x:v>
      </x:c>
      <x:c r="I1335" s="18" t="n">
        <x:v>26</x:v>
      </x:c>
      <x:c r="J1335" s="18" t="n">
        <x:v>0</x:v>
      </x:c>
      <x:c r="K1335" s="18" t="n">
        <x:v>26</x:v>
      </x:c>
      <x:c r="L1335" s="18" t="n">
        <x:v>0</x:v>
      </x:c>
      <x:c r="M1335" s="18" t="n">
        <x:v>26</x:v>
      </x:c>
    </x:row>
    <x:row r="1336">
      <x:c r="A1336" s="22" t="str">
        <x:v>500109122</x:v>
      </x:c>
      <x:c r="B1336" s="17" t="str">
        <x:v>北投區</x:v>
      </x:c>
      <x:c r="C1336" s="17" t="str">
        <x:v>彰化銀行北投分行</x:v>
      </x:c>
      <x:c r="D1336" s="18" t="n">
        <x:v>26</x:v>
      </x:c>
      <x:c r="E1336" s="18" t="n">
        <x:v>26</x:v>
      </x:c>
      <x:c r="F1336" s="18" t="n">
        <x:v>203</x:v>
      </x:c>
      <x:c r="G1336" s="18" t="n">
        <x:v>26</x:v>
      </x:c>
      <x:c r="H1336" s="18" t="n">
        <x:v>21</x:v>
      </x:c>
      <x:c r="I1336" s="18" t="n">
        <x:v>26</x:v>
      </x:c>
      <x:c r="J1336" s="18" t="n">
        <x:v>246</x:v>
      </x:c>
      <x:c r="K1336" s="18" t="n">
        <x:v>26</x:v>
      </x:c>
      <x:c r="L1336" s="18" t="n">
        <x:v>54</x:v>
      </x:c>
      <x:c r="M1336" s="18" t="n">
        <x:v>26</x:v>
      </x:c>
    </x:row>
    <x:row r="1337">
      <x:c r="A1337" s="22" t="str">
        <x:v>500109123</x:v>
      </x:c>
      <x:c r="B1337" s="17" t="str">
        <x:v>北投區</x:v>
      </x:c>
      <x:c r="C1337" s="17" t="str">
        <x:v>中央北路一段197巷口</x:v>
      </x:c>
      <x:c r="D1337" s="18" t="n">
        <x:v>26</x:v>
      </x:c>
      <x:c r="E1337" s="18" t="n">
        <x:v>26</x:v>
      </x:c>
      <x:c r="F1337" s="18" t="n">
        <x:v>292</x:v>
      </x:c>
      <x:c r="G1337" s="18" t="n">
        <x:v>26</x:v>
      </x:c>
      <x:c r="H1337" s="18" t="n">
        <x:v>54</x:v>
      </x:c>
      <x:c r="I1337" s="18" t="n">
        <x:v>26</x:v>
      </x:c>
      <x:c r="J1337" s="18" t="n">
        <x:v>146</x:v>
      </x:c>
      <x:c r="K1337" s="18" t="n">
        <x:v>26</x:v>
      </x:c>
      <x:c r="L1337" s="18" t="n">
        <x:v>46</x:v>
      </x:c>
      <x:c r="M1337" s="18" t="n">
        <x:v>26</x:v>
      </x:c>
    </x:row>
    <x:row r="1338">
      <x:c r="A1338" s="22" t="str">
        <x:v>500109124</x:v>
      </x:c>
      <x:c r="B1338" s="17" t="str">
        <x:v>北投區</x:v>
      </x:c>
      <x:c r="C1338" s="17" t="str">
        <x:v>福星公園地下停車場(出入口B)</x:v>
      </x:c>
      <x:c r="D1338" s="18" t="n">
        <x:v>26</x:v>
      </x:c>
      <x:c r="E1338" s="18" t="n">
        <x:v>26</x:v>
      </x:c>
      <x:c r="F1338" s="18" t="n">
        <x:v>133</x:v>
      </x:c>
      <x:c r="G1338" s="18" t="n">
        <x:v>26</x:v>
      </x:c>
      <x:c r="H1338" s="18" t="n">
        <x:v>27</x:v>
      </x:c>
      <x:c r="I1338" s="18" t="n">
        <x:v>26</x:v>
      </x:c>
      <x:c r="J1338" s="18" t="n">
        <x:v>263</x:v>
      </x:c>
      <x:c r="K1338" s="18" t="n">
        <x:v>26</x:v>
      </x:c>
      <x:c r="L1338" s="18" t="n">
        <x:v>48</x:v>
      </x:c>
      <x:c r="M1338" s="18" t="n">
        <x:v>26</x:v>
      </x:c>
    </x:row>
    <x:row r="1339">
      <x:c r="A1339" s="22" t="str">
        <x:v>500109125</x:v>
      </x:c>
      <x:c r="B1339" s="17" t="str">
        <x:v>北投區</x:v>
      </x:c>
      <x:c r="C1339" s="17" t="str">
        <x:v>民族街36巷口</x:v>
      </x:c>
      <x:c r="D1339" s="18" t="n">
        <x:v>26</x:v>
      </x:c>
      <x:c r="E1339" s="18" t="n">
        <x:v>26</x:v>
      </x:c>
      <x:c r="F1339" s="18" t="n">
        <x:v>392</x:v>
      </x:c>
      <x:c r="G1339" s="18" t="n">
        <x:v>26</x:v>
      </x:c>
      <x:c r="H1339" s="18" t="n">
        <x:v>51</x:v>
      </x:c>
      <x:c r="I1339" s="18" t="n">
        <x:v>26</x:v>
      </x:c>
      <x:c r="J1339" s="18" t="n">
        <x:v>118</x:v>
      </x:c>
      <x:c r="K1339" s="18" t="n">
        <x:v>26</x:v>
      </x:c>
      <x:c r="L1339" s="18" t="n">
        <x:v>36</x:v>
      </x:c>
      <x:c r="M1339" s="18" t="n">
        <x:v>26</x:v>
      </x:c>
    </x:row>
    <x:row r="1340">
      <x:c r="A1340" s="22" t="str">
        <x:v>500109126</x:v>
      </x:c>
      <x:c r="B1340" s="17" t="str">
        <x:v>北投區</x:v>
      </x:c>
      <x:c r="C1340" s="17" t="str">
        <x:v>承德文承路口</x:v>
      </x:c>
      <x:c r="D1340" s="18" t="n">
        <x:v>26</x:v>
      </x:c>
      <x:c r="E1340" s="18" t="n">
        <x:v>26</x:v>
      </x:c>
      <x:c r="F1340" s="18" t="n">
        <x:v>193</x:v>
      </x:c>
      <x:c r="G1340" s="18" t="n">
        <x:v>26</x:v>
      </x:c>
      <x:c r="H1340" s="18" t="n">
        <x:v>21</x:v>
      </x:c>
      <x:c r="I1340" s="18" t="n">
        <x:v>26</x:v>
      </x:c>
      <x:c r="J1340" s="18" t="n">
        <x:v>214</x:v>
      </x:c>
      <x:c r="K1340" s="18" t="n">
        <x:v>26</x:v>
      </x:c>
      <x:c r="L1340" s="18" t="n">
        <x:v>39</x:v>
      </x:c>
      <x:c r="M1340" s="18" t="n">
        <x:v>26</x:v>
      </x:c>
    </x:row>
    <x:row r="1341">
      <x:c r="A1341" s="22" t="str">
        <x:v>500109127</x:v>
      </x:c>
      <x:c r="B1341" s="17" t="str">
        <x:v>北投區</x:v>
      </x:c>
      <x:c r="C1341" s="17" t="str">
        <x:v>承平福美路口</x:v>
      </x:c>
      <x:c r="D1341" s="18" t="n">
        <x:v>26</x:v>
      </x:c>
      <x:c r="E1341" s="18" t="n">
        <x:v>26</x:v>
      </x:c>
      <x:c r="F1341" s="18" t="n">
        <x:v>162</x:v>
      </x:c>
      <x:c r="G1341" s="18" t="n">
        <x:v>26</x:v>
      </x:c>
      <x:c r="H1341" s="18" t="n">
        <x:v>36</x:v>
      </x:c>
      <x:c r="I1341" s="18" t="n">
        <x:v>26</x:v>
      </x:c>
      <x:c r="J1341" s="18" t="n">
        <x:v>247</x:v>
      </x:c>
      <x:c r="K1341" s="18" t="n">
        <x:v>26</x:v>
      </x:c>
      <x:c r="L1341" s="18" t="n">
        <x:v>59</x:v>
      </x:c>
      <x:c r="M1341" s="18" t="n">
        <x:v>26</x:v>
      </x:c>
    </x:row>
    <x:row r="1342">
      <x:c r="A1342" s="22" t="str">
        <x:v>500109128</x:v>
      </x:c>
      <x:c r="B1342" s="17" t="str">
        <x:v>北投區</x:v>
      </x:c>
      <x:c r="C1342" s="17" t="str">
        <x:v>承美福國路口</x:v>
      </x:c>
      <x:c r="D1342" s="18" t="n">
        <x:v>26</x:v>
      </x:c>
      <x:c r="E1342" s="18" t="n">
        <x:v>26</x:v>
      </x:c>
      <x:c r="F1342" s="18" t="n">
        <x:v>413</x:v>
      </x:c>
      <x:c r="G1342" s="18" t="n">
        <x:v>26</x:v>
      </x:c>
      <x:c r="H1342" s="18" t="n">
        <x:v>58</x:v>
      </x:c>
      <x:c r="I1342" s="18" t="n">
        <x:v>26</x:v>
      </x:c>
      <x:c r="J1342" s="18" t="n">
        <x:v>364</x:v>
      </x:c>
      <x:c r="K1342" s="18" t="n">
        <x:v>26</x:v>
      </x:c>
      <x:c r="L1342" s="18" t="n">
        <x:v>85</x:v>
      </x:c>
      <x:c r="M1342" s="18" t="n">
        <x:v>26</x:v>
      </x:c>
    </x:row>
    <x:row r="1343">
      <x:c r="A1343" s="22" t="str">
        <x:v>500109129</x:v>
      </x:c>
      <x:c r="B1343" s="17" t="str">
        <x:v>北投區</x:v>
      </x:c>
      <x:c r="C1343" s="17" t="str">
        <x:v>北投22號線形公園共融遊戲場</x:v>
      </x:c>
      <x:c r="D1343" s="18" t="n">
        <x:v>26</x:v>
      </x:c>
      <x:c r="E1343" s="18" t="n">
        <x:v>26</x:v>
      </x:c>
      <x:c r="F1343" s="18" t="n">
        <x:v>844</x:v>
      </x:c>
      <x:c r="G1343" s="18" t="n">
        <x:v>26</x:v>
      </x:c>
      <x:c r="H1343" s="18" t="n">
        <x:v>49</x:v>
      </x:c>
      <x:c r="I1343" s="18" t="n">
        <x:v>26</x:v>
      </x:c>
      <x:c r="J1343" s="18" t="n">
        <x:v>196</x:v>
      </x:c>
      <x:c r="K1343" s="18" t="n">
        <x:v>26</x:v>
      </x:c>
      <x:c r="L1343" s="18" t="n">
        <x:v>17</x:v>
      </x:c>
      <x:c r="M1343" s="18" t="n">
        <x:v>26</x:v>
      </x:c>
    </x:row>
    <x:row r="1344">
      <x:c r="A1344" s="22" t="str">
        <x:v>500109130</x:v>
      </x:c>
      <x:c r="B1344" s="17" t="str">
        <x:v>北投區</x:v>
      </x:c>
      <x:c r="C1344" s="17" t="str">
        <x:v>承德路七段164巷口</x:v>
      </x:c>
      <x:c r="D1344" s="18" t="n">
        <x:v>26</x:v>
      </x:c>
      <x:c r="E1344" s="18" t="n">
        <x:v>26</x:v>
      </x:c>
      <x:c r="F1344" s="18" t="n">
        <x:v>205</x:v>
      </x:c>
      <x:c r="G1344" s="18" t="n">
        <x:v>26</x:v>
      </x:c>
      <x:c r="H1344" s="18" t="n">
        <x:v>50</x:v>
      </x:c>
      <x:c r="I1344" s="18" t="n">
        <x:v>26</x:v>
      </x:c>
      <x:c r="J1344" s="18" t="n">
        <x:v>143</x:v>
      </x:c>
      <x:c r="K1344" s="18" t="n">
        <x:v>26</x:v>
      </x:c>
      <x:c r="L1344" s="18" t="n">
        <x:v>19</x:v>
      </x:c>
      <x:c r="M1344" s="18" t="n">
        <x:v>26</x:v>
      </x:c>
    </x:row>
    <x:row r="1345">
      <x:c r="A1345" s="22" t="str">
        <x:v>500109131</x:v>
      </x:c>
      <x:c r="B1345" s="17" t="str">
        <x:v>北投區</x:v>
      </x:c>
      <x:c r="C1345" s="17" t="str">
        <x:v>福國社會住宅</x:v>
      </x:c>
      <x:c r="D1345" s="18" t="n">
        <x:v>26</x:v>
      </x:c>
      <x:c r="E1345" s="18" t="n">
        <x:v>26</x:v>
      </x:c>
      <x:c r="F1345" s="18" t="n">
        <x:v>0</x:v>
      </x:c>
      <x:c r="G1345" s="18" t="n">
        <x:v>26</x:v>
      </x:c>
      <x:c r="H1345" s="18" t="n">
        <x:v>0</x:v>
      </x:c>
      <x:c r="I1345" s="18" t="n">
        <x:v>26</x:v>
      </x:c>
      <x:c r="J1345" s="18" t="n">
        <x:v>0</x:v>
      </x:c>
      <x:c r="K1345" s="18" t="n">
        <x:v>26</x:v>
      </x:c>
      <x:c r="L1345" s="18" t="n">
        <x:v>0</x:v>
      </x:c>
      <x:c r="M1345" s="18" t="n">
        <x:v>26</x:v>
      </x:c>
    </x:row>
    <x:row r="1346">
      <x:c r="A1346" s="22" t="str">
        <x:v>500109132</x:v>
      </x:c>
      <x:c r="B1346" s="17" t="str">
        <x:v>北投區</x:v>
      </x:c>
      <x:c r="C1346" s="17" t="str">
        <x:v>光明路266號前</x:v>
      </x:c>
      <x:c r="D1346" s="18" t="n">
        <x:v>26</x:v>
      </x:c>
      <x:c r="E1346" s="18" t="n">
        <x:v>26</x:v>
      </x:c>
      <x:c r="F1346" s="18" t="n">
        <x:v>153</x:v>
      </x:c>
      <x:c r="G1346" s="18" t="n">
        <x:v>26</x:v>
      </x:c>
      <x:c r="H1346" s="18" t="n">
        <x:v>87</x:v>
      </x:c>
      <x:c r="I1346" s="18" t="n">
        <x:v>26</x:v>
      </x:c>
      <x:c r="J1346" s="18" t="n">
        <x:v>159</x:v>
      </x:c>
      <x:c r="K1346" s="18" t="n">
        <x:v>26</x:v>
      </x:c>
      <x:c r="L1346" s="18" t="n">
        <x:v>79</x:v>
      </x:c>
      <x:c r="M1346" s="18" t="n">
        <x:v>26</x:v>
      </x:c>
    </x:row>
    <x:row r="1347">
      <x:c r="A1347" s="22" t="str">
        <x:v>500109133</x:v>
      </x:c>
      <x:c r="B1347" s="17" t="str">
        <x:v>北投區</x:v>
      </x:c>
      <x:c r="C1347" s="17" t="str">
        <x:v>中和街493巷1弄口</x:v>
      </x:c>
      <x:c r="D1347" s="18" t="n">
        <x:v>26</x:v>
      </x:c>
      <x:c r="E1347" s="18" t="n">
        <x:v>26</x:v>
      </x:c>
      <x:c r="F1347" s="18" t="n">
        <x:v>171</x:v>
      </x:c>
      <x:c r="G1347" s="18" t="n">
        <x:v>26</x:v>
      </x:c>
      <x:c r="H1347" s="18" t="n">
        <x:v>56</x:v>
      </x:c>
      <x:c r="I1347" s="18" t="n">
        <x:v>26</x:v>
      </x:c>
      <x:c r="J1347" s="18" t="n">
        <x:v>129</x:v>
      </x:c>
      <x:c r="K1347" s="18" t="n">
        <x:v>26</x:v>
      </x:c>
      <x:c r="L1347" s="18" t="n">
        <x:v>22</x:v>
      </x:c>
      <x:c r="M1347" s="18" t="n">
        <x:v>26</x:v>
      </x:c>
    </x:row>
    <x:row r="1348">
      <x:c r="A1348" s="22" t="str">
        <x:v>500109134</x:v>
      </x:c>
      <x:c r="B1348" s="17" t="str">
        <x:v>北投區</x:v>
      </x:c>
      <x:c r="C1348" s="17" t="str">
        <x:v>共月橋</x:v>
      </x:c>
      <x:c r="D1348" s="18" t="n">
        <x:v>26</x:v>
      </x:c>
      <x:c r="E1348" s="18" t="n">
        <x:v>26</x:v>
      </x:c>
      <x:c r="F1348" s="18" t="n">
        <x:v>359</x:v>
      </x:c>
      <x:c r="G1348" s="18" t="n">
        <x:v>26</x:v>
      </x:c>
      <x:c r="H1348" s="18" t="n">
        <x:v>21</x:v>
      </x:c>
      <x:c r="I1348" s="18" t="n">
        <x:v>26</x:v>
      </x:c>
      <x:c r="J1348" s="18" t="n">
        <x:v>176</x:v>
      </x:c>
      <x:c r="K1348" s="18" t="n">
        <x:v>26</x:v>
      </x:c>
      <x:c r="L1348" s="18" t="n">
        <x:v>17</x:v>
      </x:c>
      <x:c r="M1348" s="18" t="n">
        <x:v>26</x:v>
      </x:c>
    </x:row>
    <x:row r="1349">
      <x:c r="A1349" s="22" t="str">
        <x:v>500109135</x:v>
      </x:c>
      <x:c r="B1349" s="17" t="str">
        <x:v>北投區</x:v>
      </x:c>
      <x:c r="C1349" s="17" t="str">
        <x:v>東華兒童遊戲賽車場</x:v>
      </x:c>
      <x:c r="D1349" s="18" t="n">
        <x:v>26</x:v>
      </x:c>
      <x:c r="E1349" s="18" t="n">
        <x:v>26</x:v>
      </x:c>
      <x:c r="F1349" s="18" t="n">
        <x:v>385</x:v>
      </x:c>
      <x:c r="G1349" s="18" t="n">
        <x:v>26</x:v>
      </x:c>
      <x:c r="H1349" s="18" t="n">
        <x:v>33</x:v>
      </x:c>
      <x:c r="I1349" s="18" t="n">
        <x:v>26</x:v>
      </x:c>
      <x:c r="J1349" s="18" t="n">
        <x:v>200</x:v>
      </x:c>
      <x:c r="K1349" s="18" t="n">
        <x:v>26</x:v>
      </x:c>
      <x:c r="L1349" s="18" t="n">
        <x:v>40</x:v>
      </x:c>
      <x:c r="M1349" s="18" t="n">
        <x:v>26</x:v>
      </x:c>
    </x:row>
    <x:row r="1350">
      <x:c r="A1350" s="22" t="str">
        <x:v>500109136</x:v>
      </x:c>
      <x:c r="B1350" s="17" t="str">
        <x:v>北投區</x:v>
      </x:c>
      <x:c r="C1350" s="17" t="str">
        <x:v>懷德建民路口</x:v>
      </x:c>
      <x:c r="D1350" s="18" t="n">
        <x:v>26</x:v>
      </x:c>
      <x:c r="E1350" s="18" t="n">
        <x:v>26</x:v>
      </x:c>
      <x:c r="F1350" s="18" t="n">
        <x:v>201</x:v>
      </x:c>
      <x:c r="G1350" s="18" t="n">
        <x:v>26</x:v>
      </x:c>
      <x:c r="H1350" s="18" t="n">
        <x:v>50</x:v>
      </x:c>
      <x:c r="I1350" s="18" t="n">
        <x:v>26</x:v>
      </x:c>
      <x:c r="J1350" s="18" t="n">
        <x:v>112</x:v>
      </x:c>
      <x:c r="K1350" s="18" t="n">
        <x:v>26</x:v>
      </x:c>
      <x:c r="L1350" s="18" t="n">
        <x:v>36</x:v>
      </x:c>
      <x:c r="M1350" s="18" t="n">
        <x:v>26</x:v>
      </x:c>
    </x:row>
    <x:row r="1351">
      <x:c r="A1351" s="22" t="str">
        <x:v>500109137</x:v>
      </x:c>
      <x:c r="B1351" s="17" t="str">
        <x:v>北投區</x:v>
      </x:c>
      <x:c r="C1351" s="17" t="str">
        <x:v>懷德55巷停車場</x:v>
      </x:c>
      <x:c r="D1351" s="18" t="n">
        <x:v>26</x:v>
      </x:c>
      <x:c r="E1351" s="18" t="n">
        <x:v>26</x:v>
      </x:c>
      <x:c r="F1351" s="18" t="n">
        <x:v>413</x:v>
      </x:c>
      <x:c r="G1351" s="18" t="n">
        <x:v>26</x:v>
      </x:c>
      <x:c r="H1351" s="18" t="n">
        <x:v>71</x:v>
      </x:c>
      <x:c r="I1351" s="18" t="n">
        <x:v>26</x:v>
      </x:c>
      <x:c r="J1351" s="18" t="n">
        <x:v>189</x:v>
      </x:c>
      <x:c r="K1351" s="18" t="n">
        <x:v>26</x:v>
      </x:c>
      <x:c r="L1351" s="18" t="n">
        <x:v>25</x:v>
      </x:c>
      <x:c r="M1351" s="18" t="n">
        <x:v>26</x:v>
      </x:c>
    </x:row>
    <x:row r="1352">
      <x:c r="A1352" s="22" t="str">
        <x:v>500109138</x:v>
      </x:c>
      <x:c r="B1352" s="17" t="str">
        <x:v>北投區</x:v>
      </x:c>
      <x:c r="C1352" s="17" t="str">
        <x:v>石牌公園</x:v>
      </x:c>
      <x:c r="D1352" s="18" t="n">
        <x:v>26</x:v>
      </x:c>
      <x:c r="E1352" s="18" t="n">
        <x:v>26</x:v>
      </x:c>
      <x:c r="F1352" s="18" t="n">
        <x:v>363</x:v>
      </x:c>
      <x:c r="G1352" s="18" t="n">
        <x:v>26</x:v>
      </x:c>
      <x:c r="H1352" s="18" t="n">
        <x:v>44</x:v>
      </x:c>
      <x:c r="I1352" s="18" t="n">
        <x:v>26</x:v>
      </x:c>
      <x:c r="J1352" s="18" t="n">
        <x:v>104</x:v>
      </x:c>
      <x:c r="K1352" s="18" t="n">
        <x:v>26</x:v>
      </x:c>
      <x:c r="L1352" s="18" t="n">
        <x:v>14</x:v>
      </x:c>
      <x:c r="M1352" s="18" t="n">
        <x:v>26</x:v>
      </x:c>
    </x:row>
    <x:row r="1353">
      <x:c r="A1353" s="22" t="str">
        <x:v>500109139</x:v>
      </x:c>
      <x:c r="B1353" s="17" t="str">
        <x:v>北投區</x:v>
      </x:c>
      <x:c r="C1353" s="17" t="str">
        <x:v>復興一路45巷</x:v>
      </x:c>
      <x:c r="D1353" s="18" t="n">
        <x:v>26</x:v>
      </x:c>
      <x:c r="E1353" s="18" t="n">
        <x:v>26</x:v>
      </x:c>
      <x:c r="F1353" s="18" t="n">
        <x:v>148</x:v>
      </x:c>
      <x:c r="G1353" s="18" t="n">
        <x:v>26</x:v>
      </x:c>
      <x:c r="H1353" s="18" t="n">
        <x:v>31</x:v>
      </x:c>
      <x:c r="I1353" s="18" t="n">
        <x:v>26</x:v>
      </x:c>
      <x:c r="J1353" s="18" t="n">
        <x:v>131</x:v>
      </x:c>
      <x:c r="K1353" s="18" t="n">
        <x:v>26</x:v>
      </x:c>
      <x:c r="L1353" s="18" t="n">
        <x:v>39</x:v>
      </x:c>
      <x:c r="M1353" s="18" t="n">
        <x:v>26</x:v>
      </x:c>
    </x:row>
    <x:row r="1354">
      <x:c r="A1354" s="22" t="str">
        <x:v>500109140</x:v>
      </x:c>
      <x:c r="B1354" s="17" t="str">
        <x:v>北投區</x:v>
      </x:c>
      <x:c r="C1354" s="17" t="str">
        <x:v>東華致遠路口</x:v>
      </x:c>
      <x:c r="D1354" s="18" t="n">
        <x:v>26</x:v>
      </x:c>
      <x:c r="E1354" s="18" t="n">
        <x:v>7</x:v>
      </x:c>
      <x:c r="F1354" s="18" t="n">
        <x:v>39</x:v>
      </x:c>
      <x:c r="G1354" s="18" t="n">
        <x:v>6</x:v>
      </x:c>
      <x:c r="H1354" s="18" t="n">
        <x:v>6</x:v>
      </x:c>
      <x:c r="I1354" s="18" t="n">
        <x:v>6</x:v>
      </x:c>
      <x:c r="J1354" s="18" t="n">
        <x:v>25</x:v>
      </x:c>
      <x:c r="K1354" s="18" t="n">
        <x:v>7</x:v>
      </x:c>
      <x:c r="L1354" s="18" t="n">
        <x:v>6</x:v>
      </x:c>
      <x:c r="M1354" s="18" t="n">
        <x:v>7</x:v>
      </x:c>
    </x:row>
    <x:row r="1355">
      <x:c r="A1355" s="22" t="str">
        <x:v>500110001</x:v>
      </x:c>
      <x:c r="B1355" s="17" t="str">
        <x:v>松山區</x:v>
      </x:c>
      <x:c r="C1355" s="17" t="str">
        <x:v>捷運松山站(5號出口)</x:v>
      </x:c>
      <x:c r="D1355" s="18" t="n">
        <x:v>26</x:v>
      </x:c>
      <x:c r="E1355" s="18" t="n">
        <x:v>26</x:v>
      </x:c>
      <x:c r="F1355" s="18" t="n">
        <x:v>0</x:v>
      </x:c>
      <x:c r="G1355" s="18" t="n">
        <x:v>26</x:v>
      </x:c>
      <x:c r="H1355" s="18" t="n">
        <x:v>0</x:v>
      </x:c>
      <x:c r="I1355" s="18" t="n">
        <x:v>26</x:v>
      </x:c>
      <x:c r="J1355" s="18" t="n">
        <x:v>0</x:v>
      </x:c>
      <x:c r="K1355" s="18" t="n">
        <x:v>26</x:v>
      </x:c>
      <x:c r="L1355" s="18" t="n">
        <x:v>0</x:v>
      </x:c>
      <x:c r="M1355" s="18" t="n">
        <x:v>26</x:v>
      </x:c>
    </x:row>
    <x:row r="1356">
      <x:c r="A1356" s="22" t="str">
        <x:v>500110002</x:v>
      </x:c>
      <x:c r="B1356" s="17" t="str">
        <x:v>松山區</x:v>
      </x:c>
      <x:c r="C1356" s="17" t="str">
        <x:v>捷運松山站(4號出口)</x:v>
      </x:c>
      <x:c r="D1356" s="18" t="n">
        <x:v>26</x:v>
      </x:c>
      <x:c r="E1356" s="18" t="n">
        <x:v>26</x:v>
      </x:c>
      <x:c r="F1356" s="18" t="n">
        <x:v>248</x:v>
      </x:c>
      <x:c r="G1356" s="18" t="n">
        <x:v>26</x:v>
      </x:c>
      <x:c r="H1356" s="18" t="n">
        <x:v>62</x:v>
      </x:c>
      <x:c r="I1356" s="18" t="n">
        <x:v>26</x:v>
      </x:c>
      <x:c r="J1356" s="18" t="n">
        <x:v>151</x:v>
      </x:c>
      <x:c r="K1356" s="18" t="n">
        <x:v>26</x:v>
      </x:c>
      <x:c r="L1356" s="18" t="n">
        <x:v>50</x:v>
      </x:c>
      <x:c r="M1356" s="18" t="n">
        <x:v>26</x:v>
      </x:c>
    </x:row>
    <x:row r="1357">
      <x:c r="A1357" s="22" t="str">
        <x:v>500110003</x:v>
      </x:c>
      <x:c r="B1357" s="17" t="str">
        <x:v>松山區</x:v>
      </x:c>
      <x:c r="C1357" s="17" t="str">
        <x:v>塔悠八德路口</x:v>
      </x:c>
      <x:c r="D1357" s="18" t="n">
        <x:v>26</x:v>
      </x:c>
      <x:c r="E1357" s="18" t="n">
        <x:v>26</x:v>
      </x:c>
      <x:c r="F1357" s="18" t="n">
        <x:v>448</x:v>
      </x:c>
      <x:c r="G1357" s="18" t="n">
        <x:v>26</x:v>
      </x:c>
      <x:c r="H1357" s="18" t="n">
        <x:v>44</x:v>
      </x:c>
      <x:c r="I1357" s="18" t="n">
        <x:v>26</x:v>
      </x:c>
      <x:c r="J1357" s="18" t="n">
        <x:v>145</x:v>
      </x:c>
      <x:c r="K1357" s="18" t="n">
        <x:v>26</x:v>
      </x:c>
      <x:c r="L1357" s="18" t="n">
        <x:v>23</x:v>
      </x:c>
      <x:c r="M1357" s="18" t="n">
        <x:v>26</x:v>
      </x:c>
    </x:row>
    <x:row r="1358">
      <x:c r="A1358" s="22" t="str">
        <x:v>500110004</x:v>
      </x:c>
      <x:c r="B1358" s="17" t="str">
        <x:v>松山區</x:v>
      </x:c>
      <x:c r="C1358" s="17" t="str">
        <x:v>鵬程公園</x:v>
      </x:c>
      <x:c r="D1358" s="18" t="n">
        <x:v>26</x:v>
      </x:c>
      <x:c r="E1358" s="18" t="n">
        <x:v>26</x:v>
      </x:c>
      <x:c r="F1358" s="18" t="n">
        <x:v>549</x:v>
      </x:c>
      <x:c r="G1358" s="18" t="n">
        <x:v>26</x:v>
      </x:c>
      <x:c r="H1358" s="18" t="n">
        <x:v>53</x:v>
      </x:c>
      <x:c r="I1358" s="18" t="n">
        <x:v>26</x:v>
      </x:c>
      <x:c r="J1358" s="18" t="n">
        <x:v>172</x:v>
      </x:c>
      <x:c r="K1358" s="18" t="n">
        <x:v>26</x:v>
      </x:c>
      <x:c r="L1358" s="18" t="n">
        <x:v>18</x:v>
      </x:c>
      <x:c r="M1358" s="18" t="n">
        <x:v>26</x:v>
      </x:c>
    </x:row>
    <x:row r="1359">
      <x:c r="A1359" s="22" t="str">
        <x:v>500110005</x:v>
      </x:c>
      <x:c r="B1359" s="17" t="str">
        <x:v>松山區</x:v>
      </x:c>
      <x:c r="C1359" s="17" t="str">
        <x:v>中崙高中</x:v>
      </x:c>
      <x:c r="D1359" s="18" t="n">
        <x:v>26</x:v>
      </x:c>
      <x:c r="E1359" s="18" t="n">
        <x:v>26</x:v>
      </x:c>
      <x:c r="F1359" s="18" t="n">
        <x:v>299</x:v>
      </x:c>
      <x:c r="G1359" s="18" t="n">
        <x:v>26</x:v>
      </x:c>
      <x:c r="H1359" s="18" t="n">
        <x:v>70</x:v>
      </x:c>
      <x:c r="I1359" s="18" t="n">
        <x:v>26</x:v>
      </x:c>
      <x:c r="J1359" s="18" t="n">
        <x:v>1245</x:v>
      </x:c>
      <x:c r="K1359" s="18" t="n">
        <x:v>26</x:v>
      </x:c>
      <x:c r="L1359" s="18" t="n">
        <x:v>121</x:v>
      </x:c>
      <x:c r="M1359" s="18" t="n">
        <x:v>26</x:v>
      </x:c>
    </x:row>
    <x:row r="1360">
      <x:c r="A1360" s="22" t="str">
        <x:v>500110006</x:v>
      </x:c>
      <x:c r="B1360" s="17" t="str">
        <x:v>松山區</x:v>
      </x:c>
      <x:c r="C1360" s="17" t="str">
        <x:v>捷運南京三民站(2號出口)</x:v>
      </x:c>
      <x:c r="D1360" s="18" t="n">
        <x:v>26</x:v>
      </x:c>
      <x:c r="E1360" s="18" t="n">
        <x:v>26</x:v>
      </x:c>
      <x:c r="F1360" s="18" t="n">
        <x:v>148</x:v>
      </x:c>
      <x:c r="G1360" s="18" t="n">
        <x:v>26</x:v>
      </x:c>
      <x:c r="H1360" s="18" t="n">
        <x:v>44</x:v>
      </x:c>
      <x:c r="I1360" s="18" t="n">
        <x:v>26</x:v>
      </x:c>
      <x:c r="J1360" s="18" t="n">
        <x:v>147</x:v>
      </x:c>
      <x:c r="K1360" s="18" t="n">
        <x:v>26</x:v>
      </x:c>
      <x:c r="L1360" s="18" t="n">
        <x:v>42</x:v>
      </x:c>
      <x:c r="M1360" s="18" t="n">
        <x:v>26</x:v>
      </x:c>
    </x:row>
    <x:row r="1361">
      <x:c r="A1361" s="22" t="str">
        <x:v>500110007</x:v>
      </x:c>
      <x:c r="B1361" s="17" t="str">
        <x:v>松山區</x:v>
      </x:c>
      <x:c r="C1361" s="17" t="str">
        <x:v>捷運南京三民站(1號出口)</x:v>
      </x:c>
      <x:c r="D1361" s="18" t="n">
        <x:v>26</x:v>
      </x:c>
      <x:c r="E1361" s="18" t="n">
        <x:v>26</x:v>
      </x:c>
      <x:c r="F1361" s="18" t="n">
        <x:v>237</x:v>
      </x:c>
      <x:c r="G1361" s="18" t="n">
        <x:v>26</x:v>
      </x:c>
      <x:c r="H1361" s="18" t="n">
        <x:v>39</x:v>
      </x:c>
      <x:c r="I1361" s="18" t="n">
        <x:v>26</x:v>
      </x:c>
      <x:c r="J1361" s="18" t="n">
        <x:v>210</x:v>
      </x:c>
      <x:c r="K1361" s="18" t="n">
        <x:v>26</x:v>
      </x:c>
      <x:c r="L1361" s="18" t="n">
        <x:v>50</x:v>
      </x:c>
      <x:c r="M1361" s="18" t="n">
        <x:v>26</x:v>
      </x:c>
    </x:row>
    <x:row r="1362">
      <x:c r="A1362" s="22" t="str">
        <x:v>500110008</x:v>
      </x:c>
      <x:c r="B1362" s="17" t="str">
        <x:v>松山區</x:v>
      </x:c>
      <x:c r="C1362" s="17" t="str">
        <x:v>光復北路11巷口</x:v>
      </x:c>
      <x:c r="D1362" s="18" t="n">
        <x:v>26</x:v>
      </x:c>
      <x:c r="E1362" s="18" t="n">
        <x:v>26</x:v>
      </x:c>
      <x:c r="F1362" s="18" t="n">
        <x:v>241</x:v>
      </x:c>
      <x:c r="G1362" s="18" t="n">
        <x:v>26</x:v>
      </x:c>
      <x:c r="H1362" s="18" t="n">
        <x:v>57</x:v>
      </x:c>
      <x:c r="I1362" s="18" t="n">
        <x:v>26</x:v>
      </x:c>
      <x:c r="J1362" s="18" t="n">
        <x:v>457</x:v>
      </x:c>
      <x:c r="K1362" s="18" t="n">
        <x:v>26</x:v>
      </x:c>
      <x:c r="L1362" s="18" t="n">
        <x:v>117</x:v>
      </x:c>
      <x:c r="M1362" s="18" t="n">
        <x:v>26</x:v>
      </x:c>
    </x:row>
    <x:row r="1363">
      <x:c r="A1363" s="22" t="str">
        <x:v>500110009</x:v>
      </x:c>
      <x:c r="B1363" s="17" t="str">
        <x:v>松山區</x:v>
      </x:c>
      <x:c r="C1363" s="17" t="str">
        <x:v>捷運南京三民站(4號出口)</x:v>
      </x:c>
      <x:c r="D1363" s="18" t="n">
        <x:v>26</x:v>
      </x:c>
      <x:c r="E1363" s="18" t="n">
        <x:v>26</x:v>
      </x:c>
      <x:c r="F1363" s="18" t="n">
        <x:v>106</x:v>
      </x:c>
      <x:c r="G1363" s="18" t="n">
        <x:v>26</x:v>
      </x:c>
      <x:c r="H1363" s="18" t="n">
        <x:v>26</x:v>
      </x:c>
      <x:c r="I1363" s="18" t="n">
        <x:v>26</x:v>
      </x:c>
      <x:c r="J1363" s="18" t="n">
        <x:v>64</x:v>
      </x:c>
      <x:c r="K1363" s="18" t="n">
        <x:v>26</x:v>
      </x:c>
      <x:c r="L1363" s="18" t="n">
        <x:v>11</x:v>
      </x:c>
      <x:c r="M1363" s="18" t="n">
        <x:v>26</x:v>
      </x:c>
    </x:row>
    <x:row r="1364">
      <x:c r="A1364" s="22" t="str">
        <x:v>500110010</x:v>
      </x:c>
      <x:c r="B1364" s="17" t="str">
        <x:v>松山區</x:v>
      </x:c>
      <x:c r="C1364" s="17" t="str">
        <x:v>西松高中</x:v>
      </x:c>
      <x:c r="D1364" s="18" t="n">
        <x:v>26</x:v>
      </x:c>
      <x:c r="E1364" s="18" t="n">
        <x:v>26</x:v>
      </x:c>
      <x:c r="F1364" s="18" t="n">
        <x:v>138</x:v>
      </x:c>
      <x:c r="G1364" s="18" t="n">
        <x:v>26</x:v>
      </x:c>
      <x:c r="H1364" s="18" t="n">
        <x:v>35</x:v>
      </x:c>
      <x:c r="I1364" s="18" t="n">
        <x:v>26</x:v>
      </x:c>
      <x:c r="J1364" s="18" t="n">
        <x:v>54</x:v>
      </x:c>
      <x:c r="K1364" s="18" t="n">
        <x:v>26</x:v>
      </x:c>
      <x:c r="L1364" s="18" t="n">
        <x:v>18</x:v>
      </x:c>
      <x:c r="M1364" s="18" t="n">
        <x:v>26</x:v>
      </x:c>
    </x:row>
    <x:row r="1365">
      <x:c r="A1365" s="22" t="str">
        <x:v>500110011</x:v>
      </x:c>
      <x:c r="B1365" s="17" t="str">
        <x:v>松山區</x:v>
      </x:c>
      <x:c r="C1365" s="17" t="str">
        <x:v>民權復興路口</x:v>
      </x:c>
      <x:c r="D1365" s="18" t="n">
        <x:v>26</x:v>
      </x:c>
      <x:c r="E1365" s="18" t="n">
        <x:v>26</x:v>
      </x:c>
      <x:c r="F1365" s="18" t="n">
        <x:v>479</x:v>
      </x:c>
      <x:c r="G1365" s="18" t="n">
        <x:v>26</x:v>
      </x:c>
      <x:c r="H1365" s="18" t="n">
        <x:v>81</x:v>
      </x:c>
      <x:c r="I1365" s="18" t="n">
        <x:v>26</x:v>
      </x:c>
      <x:c r="J1365" s="18" t="n">
        <x:v>379</x:v>
      </x:c>
      <x:c r="K1365" s="18" t="n">
        <x:v>26</x:v>
      </x:c>
      <x:c r="L1365" s="18" t="n">
        <x:v>55</x:v>
      </x:c>
      <x:c r="M1365" s="18" t="n">
        <x:v>26</x:v>
      </x:c>
    </x:row>
    <x:row r="1366">
      <x:c r="A1366" s="22" t="str">
        <x:v>500110012</x:v>
      </x:c>
      <x:c r="B1366" s="17" t="str">
        <x:v>松山區</x:v>
      </x:c>
      <x:c r="C1366" s="17" t="str">
        <x:v>民福三號綠地</x:v>
      </x:c>
      <x:c r="D1366" s="18" t="n">
        <x:v>26</x:v>
      </x:c>
      <x:c r="E1366" s="18" t="n">
        <x:v>26</x:v>
      </x:c>
      <x:c r="F1366" s="18" t="n">
        <x:v>283</x:v>
      </x:c>
      <x:c r="G1366" s="18" t="n">
        <x:v>26</x:v>
      </x:c>
      <x:c r="H1366" s="18" t="n">
        <x:v>80</x:v>
      </x:c>
      <x:c r="I1366" s="18" t="n">
        <x:v>26</x:v>
      </x:c>
      <x:c r="J1366" s="18" t="n">
        <x:v>97</x:v>
      </x:c>
      <x:c r="K1366" s="18" t="n">
        <x:v>26</x:v>
      </x:c>
      <x:c r="L1366" s="18" t="n">
        <x:v>35</x:v>
      </x:c>
      <x:c r="M1366" s="18" t="n">
        <x:v>26</x:v>
      </x:c>
    </x:row>
    <x:row r="1367">
      <x:c r="A1367" s="22" t="str">
        <x:v>500110013</x:v>
      </x:c>
      <x:c r="B1367" s="17" t="str">
        <x:v>松山區</x:v>
      </x:c>
      <x:c r="C1367" s="17" t="str">
        <x:v>民有一號公園</x:v>
      </x:c>
      <x:c r="D1367" s="18" t="n">
        <x:v>26</x:v>
      </x:c>
      <x:c r="E1367" s="18" t="n">
        <x:v>26</x:v>
      </x:c>
      <x:c r="F1367" s="18" t="n">
        <x:v>419</x:v>
      </x:c>
      <x:c r="G1367" s="18" t="n">
        <x:v>26</x:v>
      </x:c>
      <x:c r="H1367" s="18" t="n">
        <x:v>83</x:v>
      </x:c>
      <x:c r="I1367" s="18" t="n">
        <x:v>26</x:v>
      </x:c>
      <x:c r="J1367" s="18" t="n">
        <x:v>589</x:v>
      </x:c>
      <x:c r="K1367" s="18" t="n">
        <x:v>26</x:v>
      </x:c>
      <x:c r="L1367" s="18" t="n">
        <x:v>149</x:v>
      </x:c>
      <x:c r="M1367" s="18" t="n">
        <x:v>26</x:v>
      </x:c>
    </x:row>
    <x:row r="1368">
      <x:c r="A1368" s="22" t="str">
        <x:v>500110014</x:v>
      </x:c>
      <x:c r="B1368" s="17" t="str">
        <x:v>松山區</x:v>
      </x:c>
      <x:c r="C1368" s="17" t="str">
        <x:v>民生敦化路口</x:v>
      </x:c>
      <x:c r="D1368" s="18" t="n">
        <x:v>26</x:v>
      </x:c>
      <x:c r="E1368" s="18" t="n">
        <x:v>26</x:v>
      </x:c>
      <x:c r="F1368" s="18" t="n">
        <x:v>180</x:v>
      </x:c>
      <x:c r="G1368" s="18" t="n">
        <x:v>26</x:v>
      </x:c>
      <x:c r="H1368" s="18" t="n">
        <x:v>32</x:v>
      </x:c>
      <x:c r="I1368" s="18" t="n">
        <x:v>26</x:v>
      </x:c>
      <x:c r="J1368" s="18" t="n">
        <x:v>1905</x:v>
      </x:c>
      <x:c r="K1368" s="18" t="n">
        <x:v>26</x:v>
      </x:c>
      <x:c r="L1368" s="18" t="n">
        <x:v>146</x:v>
      </x:c>
      <x:c r="M1368" s="18" t="n">
        <x:v>26</x:v>
      </x:c>
    </x:row>
    <x:row r="1369">
      <x:c r="A1369" s="22" t="str">
        <x:v>500110015</x:v>
      </x:c>
      <x:c r="B1369" s="17" t="str">
        <x:v>松山區</x:v>
      </x:c>
      <x:c r="C1369" s="17" t="str">
        <x:v>松基公園</x:v>
      </x:c>
      <x:c r="D1369" s="18" t="n">
        <x:v>26</x:v>
      </x:c>
      <x:c r="E1369" s="18" t="n">
        <x:v>26</x:v>
      </x:c>
      <x:c r="F1369" s="18" t="n">
        <x:v>97</x:v>
      </x:c>
      <x:c r="G1369" s="18" t="n">
        <x:v>26</x:v>
      </x:c>
      <x:c r="H1369" s="18" t="n">
        <x:v>16</x:v>
      </x:c>
      <x:c r="I1369" s="18" t="n">
        <x:v>26</x:v>
      </x:c>
      <x:c r="J1369" s="18" t="n">
        <x:v>331</x:v>
      </x:c>
      <x:c r="K1369" s="18" t="n">
        <x:v>26</x:v>
      </x:c>
      <x:c r="L1369" s="18" t="n">
        <x:v>45</x:v>
      </x:c>
      <x:c r="M1369" s="18" t="n">
        <x:v>26</x:v>
      </x:c>
    </x:row>
    <x:row r="1370">
      <x:c r="A1370" s="22" t="str">
        <x:v>500110016</x:v>
      </x:c>
      <x:c r="B1370" s="17" t="str">
        <x:v>松山區</x:v>
      </x:c>
      <x:c r="C1370" s="17" t="str">
        <x:v>三民路166巷口</x:v>
      </x:c>
      <x:c r="D1370" s="18" t="n">
        <x:v>26</x:v>
      </x:c>
      <x:c r="E1370" s="18" t="n">
        <x:v>26</x:v>
      </x:c>
      <x:c r="F1370" s="18" t="n">
        <x:v>100</x:v>
      </x:c>
      <x:c r="G1370" s="18" t="n">
        <x:v>26</x:v>
      </x:c>
      <x:c r="H1370" s="18" t="n">
        <x:v>33</x:v>
      </x:c>
      <x:c r="I1370" s="18" t="n">
        <x:v>26</x:v>
      </x:c>
      <x:c r="J1370" s="18" t="n">
        <x:v>94</x:v>
      </x:c>
      <x:c r="K1370" s="18" t="n">
        <x:v>26</x:v>
      </x:c>
      <x:c r="L1370" s="18" t="n">
        <x:v>42</x:v>
      </x:c>
      <x:c r="M1370" s="18" t="n">
        <x:v>26</x:v>
      </x:c>
    </x:row>
    <x:row r="1371">
      <x:c r="A1371" s="22" t="str">
        <x:v>500110017</x:v>
      </x:c>
      <x:c r="B1371" s="17" t="str">
        <x:v>松山區</x:v>
      </x:c>
      <x:c r="C1371" s="17" t="str">
        <x:v>民生活動中心</x:v>
      </x:c>
      <x:c r="D1371" s="18" t="n">
        <x:v>26</x:v>
      </x:c>
      <x:c r="E1371" s="18" t="n">
        <x:v>26</x:v>
      </x:c>
      <x:c r="F1371" s="18" t="n">
        <x:v>170</x:v>
      </x:c>
      <x:c r="G1371" s="18" t="n">
        <x:v>26</x:v>
      </x:c>
      <x:c r="H1371" s="18" t="n">
        <x:v>55</x:v>
      </x:c>
      <x:c r="I1371" s="18" t="n">
        <x:v>26</x:v>
      </x:c>
      <x:c r="J1371" s="18" t="n">
        <x:v>359</x:v>
      </x:c>
      <x:c r="K1371" s="18" t="n">
        <x:v>26</x:v>
      </x:c>
      <x:c r="L1371" s="18" t="n">
        <x:v>89</x:v>
      </x:c>
      <x:c r="M1371" s="18" t="n">
        <x:v>26</x:v>
      </x:c>
    </x:row>
    <x:row r="1372">
      <x:c r="A1372" s="22" t="str">
        <x:v>500110018</x:v>
      </x:c>
      <x:c r="B1372" s="17" t="str">
        <x:v>松山區</x:v>
      </x:c>
      <x:c r="C1372" s="17" t="str">
        <x:v>捷運小巨蛋站(2號出口)</x:v>
      </x:c>
      <x:c r="D1372" s="18" t="n">
        <x:v>26</x:v>
      </x:c>
      <x:c r="E1372" s="18" t="n">
        <x:v>26</x:v>
      </x:c>
      <x:c r="F1372" s="18" t="n">
        <x:v>485</x:v>
      </x:c>
      <x:c r="G1372" s="18" t="n">
        <x:v>26</x:v>
      </x:c>
      <x:c r="H1372" s="18" t="n">
        <x:v>98</x:v>
      </x:c>
      <x:c r="I1372" s="18" t="n">
        <x:v>26</x:v>
      </x:c>
      <x:c r="J1372" s="18" t="n">
        <x:v>242</x:v>
      </x:c>
      <x:c r="K1372" s="18" t="n">
        <x:v>26</x:v>
      </x:c>
      <x:c r="L1372" s="18" t="n">
        <x:v>54</x:v>
      </x:c>
      <x:c r="M1372" s="18" t="n">
        <x:v>26</x:v>
      </x:c>
    </x:row>
    <x:row r="1373">
      <x:c r="A1373" s="22" t="str">
        <x:v>500110019</x:v>
      </x:c>
      <x:c r="B1373" s="17" t="str">
        <x:v>松山區</x:v>
      </x:c>
      <x:c r="C1373" s="17" t="str">
        <x:v>臺北市藝文推廣處</x:v>
      </x:c>
      <x:c r="D1373" s="18" t="n">
        <x:v>26</x:v>
      </x:c>
      <x:c r="E1373" s="18" t="n">
        <x:v>26</x:v>
      </x:c>
      <x:c r="F1373" s="18" t="n">
        <x:v>381</x:v>
      </x:c>
      <x:c r="G1373" s="18" t="n">
        <x:v>26</x:v>
      </x:c>
      <x:c r="H1373" s="18" t="n">
        <x:v>85</x:v>
      </x:c>
      <x:c r="I1373" s="18" t="n">
        <x:v>26</x:v>
      </x:c>
      <x:c r="J1373" s="18" t="n">
        <x:v>301</x:v>
      </x:c>
      <x:c r="K1373" s="18" t="n">
        <x:v>26</x:v>
      </x:c>
      <x:c r="L1373" s="18" t="n">
        <x:v>85</x:v>
      </x:c>
      <x:c r="M1373" s="18" t="n">
        <x:v>26</x:v>
      </x:c>
    </x:row>
    <x:row r="1374">
      <x:c r="A1374" s="22" t="str">
        <x:v>500110020</x:v>
      </x:c>
      <x:c r="B1374" s="17" t="str">
        <x:v>松山區</x:v>
      </x:c>
      <x:c r="C1374" s="17" t="str">
        <x:v>民生國小(敦化北路199巷)</x:v>
      </x:c>
      <x:c r="D1374" s="18" t="n">
        <x:v>26</x:v>
      </x:c>
      <x:c r="E1374" s="18" t="n">
        <x:v>26</x:v>
      </x:c>
      <x:c r="F1374" s="18" t="n">
        <x:v>220</x:v>
      </x:c>
      <x:c r="G1374" s="18" t="n">
        <x:v>26</x:v>
      </x:c>
      <x:c r="H1374" s="18" t="n">
        <x:v>85</x:v>
      </x:c>
      <x:c r="I1374" s="18" t="n">
        <x:v>26</x:v>
      </x:c>
      <x:c r="J1374" s="18" t="n">
        <x:v>171</x:v>
      </x:c>
      <x:c r="K1374" s="18" t="n">
        <x:v>26</x:v>
      </x:c>
      <x:c r="L1374" s="18" t="n">
        <x:v>54</x:v>
      </x:c>
      <x:c r="M1374" s="18" t="n">
        <x:v>26</x:v>
      </x:c>
    </x:row>
    <x:row r="1375">
      <x:c r="A1375" s="22" t="str">
        <x:v>500110021</x:v>
      </x:c>
      <x:c r="B1375" s="17" t="str">
        <x:v>松山區</x:v>
      </x:c>
      <x:c r="C1375" s="17" t="str">
        <x:v>敦北公園</x:v>
      </x:c>
      <x:c r="D1375" s="18" t="n">
        <x:v>26</x:v>
      </x:c>
      <x:c r="E1375" s="18" t="n">
        <x:v>26</x:v>
      </x:c>
      <x:c r="F1375" s="18" t="n">
        <x:v>210</x:v>
      </x:c>
      <x:c r="G1375" s="18" t="n">
        <x:v>26</x:v>
      </x:c>
      <x:c r="H1375" s="18" t="n">
        <x:v>40</x:v>
      </x:c>
      <x:c r="I1375" s="18" t="n">
        <x:v>26</x:v>
      </x:c>
      <x:c r="J1375" s="18" t="n">
        <x:v>983</x:v>
      </x:c>
      <x:c r="K1375" s="18" t="n">
        <x:v>26</x:v>
      </x:c>
      <x:c r="L1375" s="18" t="n">
        <x:v>120</x:v>
      </x:c>
      <x:c r="M1375" s="18" t="n">
        <x:v>26</x:v>
      </x:c>
    </x:row>
    <x:row r="1376">
      <x:c r="A1376" s="22" t="str">
        <x:v>500110022</x:v>
      </x:c>
      <x:c r="B1376" s="17" t="str">
        <x:v>松山區</x:v>
      </x:c>
      <x:c r="C1376" s="17" t="str">
        <x:v>民權運動公園</x:v>
      </x:c>
      <x:c r="D1376" s="18" t="n">
        <x:v>26</x:v>
      </x:c>
      <x:c r="E1376" s="18" t="n">
        <x:v>26</x:v>
      </x:c>
      <x:c r="F1376" s="18" t="n">
        <x:v>320</x:v>
      </x:c>
      <x:c r="G1376" s="18" t="n">
        <x:v>26</x:v>
      </x:c>
      <x:c r="H1376" s="18" t="n">
        <x:v>104</x:v>
      </x:c>
      <x:c r="I1376" s="18" t="n">
        <x:v>26</x:v>
      </x:c>
      <x:c r="J1376" s="18" t="n">
        <x:v>236</x:v>
      </x:c>
      <x:c r="K1376" s="18" t="n">
        <x:v>26</x:v>
      </x:c>
      <x:c r="L1376" s="18" t="n">
        <x:v>65</x:v>
      </x:c>
      <x:c r="M1376" s="18" t="n">
        <x:v>26</x:v>
      </x:c>
    </x:row>
    <x:row r="1377">
      <x:c r="A1377" s="22" t="str">
        <x:v>500110023</x:v>
      </x:c>
      <x:c r="B1377" s="17" t="str">
        <x:v>松山區</x:v>
      </x:c>
      <x:c r="C1377" s="17" t="str">
        <x:v>新東公園</x:v>
      </x:c>
      <x:c r="D1377" s="18" t="n">
        <x:v>26</x:v>
      </x:c>
      <x:c r="E1377" s="18" t="n">
        <x:v>26</x:v>
      </x:c>
      <x:c r="F1377" s="18" t="n">
        <x:v>674</x:v>
      </x:c>
      <x:c r="G1377" s="18" t="n">
        <x:v>26</x:v>
      </x:c>
      <x:c r="H1377" s="18" t="n">
        <x:v>121</x:v>
      </x:c>
      <x:c r="I1377" s="18" t="n">
        <x:v>26</x:v>
      </x:c>
      <x:c r="J1377" s="18" t="n">
        <x:v>292</x:v>
      </x:c>
      <x:c r="K1377" s="18" t="n">
        <x:v>26</x:v>
      </x:c>
      <x:c r="L1377" s="18" t="n">
        <x:v>48</x:v>
      </x:c>
      <x:c r="M1377" s="18" t="n">
        <x:v>26</x:v>
      </x:c>
    </x:row>
    <x:row r="1378">
      <x:c r="A1378" s="22" t="str">
        <x:v>500110024</x:v>
      </x:c>
      <x:c r="B1378" s="17" t="str">
        <x:v>松山區</x:v>
      </x:c>
      <x:c r="C1378" s="17" t="str">
        <x:v>民生光復路口</x:v>
      </x:c>
      <x:c r="D1378" s="18" t="n">
        <x:v>26</x:v>
      </x:c>
      <x:c r="E1378" s="18" t="n">
        <x:v>26</x:v>
      </x:c>
      <x:c r="F1378" s="18" t="n">
        <x:v>153</x:v>
      </x:c>
      <x:c r="G1378" s="18" t="n">
        <x:v>26</x:v>
      </x:c>
      <x:c r="H1378" s="18" t="n">
        <x:v>46</x:v>
      </x:c>
      <x:c r="I1378" s="18" t="n">
        <x:v>26</x:v>
      </x:c>
      <x:c r="J1378" s="18" t="n">
        <x:v>1314</x:v>
      </x:c>
      <x:c r="K1378" s="18" t="n">
        <x:v>26</x:v>
      </x:c>
      <x:c r="L1378" s="18" t="n">
        <x:v>97</x:v>
      </x:c>
      <x:c r="M1378" s="18" t="n">
        <x:v>26</x:v>
      </x:c>
    </x:row>
    <x:row r="1379">
      <x:c r="A1379" s="22" t="str">
        <x:v>500110025</x:v>
      </x:c>
      <x:c r="B1379" s="17" t="str">
        <x:v>松山區</x:v>
      </x:c>
      <x:c r="C1379" s="17" t="str">
        <x:v>三民公園</x:v>
      </x:c>
      <x:c r="D1379" s="18" t="n">
        <x:v>26</x:v>
      </x:c>
      <x:c r="E1379" s="18" t="n">
        <x:v>26</x:v>
      </x:c>
      <x:c r="F1379" s="18" t="n">
        <x:v>606</x:v>
      </x:c>
      <x:c r="G1379" s="18" t="n">
        <x:v>26</x:v>
      </x:c>
      <x:c r="H1379" s="18" t="n">
        <x:v>102</x:v>
      </x:c>
      <x:c r="I1379" s="18" t="n">
        <x:v>26</x:v>
      </x:c>
      <x:c r="J1379" s="18" t="n">
        <x:v>202</x:v>
      </x:c>
      <x:c r="K1379" s="18" t="n">
        <x:v>26</x:v>
      </x:c>
      <x:c r="L1379" s="18" t="n">
        <x:v>55</x:v>
      </x:c>
      <x:c r="M1379" s="18" t="n">
        <x:v>26</x:v>
      </x:c>
    </x:row>
    <x:row r="1380">
      <x:c r="A1380" s="22" t="str">
        <x:v>500110026</x:v>
      </x:c>
      <x:c r="B1380" s="17" t="str">
        <x:v>松山區</x:v>
      </x:c>
      <x:c r="C1380" s="17" t="str">
        <x:v>八德路三段74巷口</x:v>
      </x:c>
      <x:c r="D1380" s="18" t="n">
        <x:v>26</x:v>
      </x:c>
      <x:c r="E1380" s="18" t="n">
        <x:v>26</x:v>
      </x:c>
      <x:c r="F1380" s="18" t="n">
        <x:v>245</x:v>
      </x:c>
      <x:c r="G1380" s="18" t="n">
        <x:v>26</x:v>
      </x:c>
      <x:c r="H1380" s="18" t="n">
        <x:v>42</x:v>
      </x:c>
      <x:c r="I1380" s="18" t="n">
        <x:v>26</x:v>
      </x:c>
      <x:c r="J1380" s="18" t="n">
        <x:v>55</x:v>
      </x:c>
      <x:c r="K1380" s="18" t="n">
        <x:v>26</x:v>
      </x:c>
      <x:c r="L1380" s="18" t="n">
        <x:v>8</x:v>
      </x:c>
      <x:c r="M1380" s="18" t="n">
        <x:v>26</x:v>
      </x:c>
    </x:row>
    <x:row r="1381">
      <x:c r="A1381" s="22" t="str">
        <x:v>500110027</x:v>
      </x:c>
      <x:c r="B1381" s="17" t="str">
        <x:v>松山區</x:v>
      </x:c>
      <x:c r="C1381" s="17" t="str">
        <x:v>八德路三段8巷口</x:v>
      </x:c>
      <x:c r="D1381" s="18" t="n">
        <x:v>26</x:v>
      </x:c>
      <x:c r="E1381" s="18" t="n">
        <x:v>26</x:v>
      </x:c>
      <x:c r="F1381" s="18" t="n">
        <x:v>163</x:v>
      </x:c>
      <x:c r="G1381" s="18" t="n">
        <x:v>26</x:v>
      </x:c>
      <x:c r="H1381" s="18" t="n">
        <x:v>37</x:v>
      </x:c>
      <x:c r="I1381" s="18" t="n">
        <x:v>26</x:v>
      </x:c>
      <x:c r="J1381" s="18" t="n">
        <x:v>104</x:v>
      </x:c>
      <x:c r="K1381" s="18" t="n">
        <x:v>26</x:v>
      </x:c>
      <x:c r="L1381" s="18" t="n">
        <x:v>32</x:v>
      </x:c>
      <x:c r="M1381" s="18" t="n">
        <x:v>26</x:v>
      </x:c>
    </x:row>
    <x:row r="1382">
      <x:c r="A1382" s="22" t="str">
        <x:v>500110028</x:v>
      </x:c>
      <x:c r="B1382" s="17" t="str">
        <x:v>松山區</x:v>
      </x:c>
      <x:c r="C1382" s="17" t="str">
        <x:v>三軍總醫院(松山分院)</x:v>
      </x:c>
      <x:c r="D1382" s="18" t="n">
        <x:v>26</x:v>
      </x:c>
      <x:c r="E1382" s="18" t="n">
        <x:v>26</x:v>
      </x:c>
      <x:c r="F1382" s="18" t="n">
        <x:v>324</x:v>
      </x:c>
      <x:c r="G1382" s="18" t="n">
        <x:v>26</x:v>
      </x:c>
      <x:c r="H1382" s="18" t="n">
        <x:v>74</x:v>
      </x:c>
      <x:c r="I1382" s="18" t="n">
        <x:v>26</x:v>
      </x:c>
      <x:c r="J1382" s="18" t="n">
        <x:v>194</x:v>
      </x:c>
      <x:c r="K1382" s="18" t="n">
        <x:v>26</x:v>
      </x:c>
      <x:c r="L1382" s="18" t="n">
        <x:v>32</x:v>
      </x:c>
      <x:c r="M1382" s="18" t="n">
        <x:v>26</x:v>
      </x:c>
    </x:row>
    <x:row r="1383">
      <x:c r="A1383" s="22" t="str">
        <x:v>500110029</x:v>
      </x:c>
      <x:c r="B1383" s="17" t="str">
        <x:v>松山區</x:v>
      </x:c>
      <x:c r="C1383" s="17" t="str">
        <x:v>平安新城</x:v>
      </x:c>
      <x:c r="D1383" s="18" t="n">
        <x:v>26</x:v>
      </x:c>
      <x:c r="E1383" s="18" t="n">
        <x:v>26</x:v>
      </x:c>
      <x:c r="F1383" s="18" t="n">
        <x:v>492</x:v>
      </x:c>
      <x:c r="G1383" s="18" t="n">
        <x:v>26</x:v>
      </x:c>
      <x:c r="H1383" s="18" t="n">
        <x:v>62</x:v>
      </x:c>
      <x:c r="I1383" s="18" t="n">
        <x:v>26</x:v>
      </x:c>
      <x:c r="J1383" s="18" t="n">
        <x:v>143</x:v>
      </x:c>
      <x:c r="K1383" s="18" t="n">
        <x:v>26</x:v>
      </x:c>
      <x:c r="L1383" s="18" t="n">
        <x:v>31</x:v>
      </x:c>
      <x:c r="M1383" s="18" t="n">
        <x:v>26</x:v>
      </x:c>
    </x:row>
    <x:row r="1384">
      <x:c r="A1384" s="22" t="str">
        <x:v>500110030</x:v>
      </x:c>
      <x:c r="B1384" s="17" t="str">
        <x:v>松山區</x:v>
      </x:c>
      <x:c r="C1384" s="17" t="str">
        <x:v>健康社會住宅</x:v>
      </x:c>
      <x:c r="D1384" s="18" t="n">
        <x:v>26</x:v>
      </x:c>
      <x:c r="E1384" s="18" t="n">
        <x:v>26</x:v>
      </x:c>
      <x:c r="F1384" s="18" t="n">
        <x:v>469</x:v>
      </x:c>
      <x:c r="G1384" s="18" t="n">
        <x:v>26</x:v>
      </x:c>
      <x:c r="H1384" s="18" t="n">
        <x:v>62</x:v>
      </x:c>
      <x:c r="I1384" s="18" t="n">
        <x:v>26</x:v>
      </x:c>
      <x:c r="J1384" s="18" t="n">
        <x:v>57</x:v>
      </x:c>
      <x:c r="K1384" s="18" t="n">
        <x:v>26</x:v>
      </x:c>
      <x:c r="L1384" s="18" t="n">
        <x:v>16</x:v>
      </x:c>
      <x:c r="M1384" s="18" t="n">
        <x:v>26</x:v>
      </x:c>
    </x:row>
    <x:row r="1385">
      <x:c r="A1385" s="22" t="str">
        <x:v>500110031</x:v>
      </x:c>
      <x:c r="B1385" s="17" t="str">
        <x:v>松山區</x:v>
      </x:c>
      <x:c r="C1385" s="17" t="str">
        <x:v>民權光復路口(東北側)</x:v>
      </x:c>
      <x:c r="D1385" s="18" t="n">
        <x:v>26</x:v>
      </x:c>
      <x:c r="E1385" s="18" t="n">
        <x:v>26</x:v>
      </x:c>
      <x:c r="F1385" s="18" t="n">
        <x:v>280</x:v>
      </x:c>
      <x:c r="G1385" s="18" t="n">
        <x:v>26</x:v>
      </x:c>
      <x:c r="H1385" s="18" t="n">
        <x:v>32</x:v>
      </x:c>
      <x:c r="I1385" s="18" t="n">
        <x:v>26</x:v>
      </x:c>
      <x:c r="J1385" s="18" t="n">
        <x:v>403</x:v>
      </x:c>
      <x:c r="K1385" s="18" t="n">
        <x:v>26</x:v>
      </x:c>
      <x:c r="L1385" s="18" t="n">
        <x:v>88</x:v>
      </x:c>
      <x:c r="M1385" s="18" t="n">
        <x:v>26</x:v>
      </x:c>
    </x:row>
    <x:row r="1386">
      <x:c r="A1386" s="22" t="str">
        <x:v>500110032</x:v>
      </x:c>
      <x:c r="B1386" s="17" t="str">
        <x:v>松山區</x:v>
      </x:c>
      <x:c r="C1386" s="17" t="str">
        <x:v>市民東興路口</x:v>
      </x:c>
      <x:c r="D1386" s="18" t="n">
        <x:v>26</x:v>
      </x:c>
      <x:c r="E1386" s="18" t="n">
        <x:v>26</x:v>
      </x:c>
      <x:c r="F1386" s="18" t="n">
        <x:v>136</x:v>
      </x:c>
      <x:c r="G1386" s="18" t="n">
        <x:v>26</x:v>
      </x:c>
      <x:c r="H1386" s="18" t="n">
        <x:v>50</x:v>
      </x:c>
      <x:c r="I1386" s="18" t="n">
        <x:v>26</x:v>
      </x:c>
      <x:c r="J1386" s="18" t="n">
        <x:v>1243</x:v>
      </x:c>
      <x:c r="K1386" s="18" t="n">
        <x:v>26</x:v>
      </x:c>
      <x:c r="L1386" s="18" t="n">
        <x:v>78</x:v>
      </x:c>
      <x:c r="M1386" s="18" t="n">
        <x:v>26</x:v>
      </x:c>
    </x:row>
    <x:row r="1387">
      <x:c r="A1387" s="22" t="str">
        <x:v>500110033</x:v>
      </x:c>
      <x:c r="B1387" s="17" t="str">
        <x:v>松山區</x:v>
      </x:c>
      <x:c r="C1387" s="17" t="str">
        <x:v>光復南路22巷口</x:v>
      </x:c>
      <x:c r="D1387" s="18" t="n">
        <x:v>26</x:v>
      </x:c>
      <x:c r="E1387" s="18" t="n">
        <x:v>26</x:v>
      </x:c>
      <x:c r="F1387" s="18" t="n">
        <x:v>310</x:v>
      </x:c>
      <x:c r="G1387" s="18" t="n">
        <x:v>26</x:v>
      </x:c>
      <x:c r="H1387" s="18" t="n">
        <x:v>41</x:v>
      </x:c>
      <x:c r="I1387" s="18" t="n">
        <x:v>26</x:v>
      </x:c>
      <x:c r="J1387" s="18" t="n">
        <x:v>129</x:v>
      </x:c>
      <x:c r="K1387" s="18" t="n">
        <x:v>26</x:v>
      </x:c>
      <x:c r="L1387" s="18" t="n">
        <x:v>49</x:v>
      </x:c>
      <x:c r="M1387" s="18" t="n">
        <x:v>26</x:v>
      </x:c>
    </x:row>
    <x:row r="1388">
      <x:c r="A1388" s="22" t="str">
        <x:v>500110034</x:v>
      </x:c>
      <x:c r="B1388" s="17" t="str">
        <x:v>松山區</x:v>
      </x:c>
      <x:c r="C1388" s="17" t="str">
        <x:v>光復南路46巷</x:v>
      </x:c>
      <x:c r="D1388" s="18" t="n">
        <x:v>26</x:v>
      </x:c>
      <x:c r="E1388" s="18" t="n">
        <x:v>26</x:v>
      </x:c>
      <x:c r="F1388" s="18" t="n">
        <x:v>402</x:v>
      </x:c>
      <x:c r="G1388" s="18" t="n">
        <x:v>26</x:v>
      </x:c>
      <x:c r="H1388" s="18" t="n">
        <x:v>55</x:v>
      </x:c>
      <x:c r="I1388" s="18" t="n">
        <x:v>26</x:v>
      </x:c>
      <x:c r="J1388" s="18" t="n">
        <x:v>82</x:v>
      </x:c>
      <x:c r="K1388" s="18" t="n">
        <x:v>26</x:v>
      </x:c>
      <x:c r="L1388" s="18" t="n">
        <x:v>29</x:v>
      </x:c>
      <x:c r="M1388" s="18" t="n">
        <x:v>26</x:v>
      </x:c>
    </x:row>
    <x:row r="1389">
      <x:c r="A1389" s="22" t="str">
        <x:v>500110035</x:v>
      </x:c>
      <x:c r="B1389" s="17" t="str">
        <x:v>松山區</x:v>
      </x:c>
      <x:c r="C1389" s="17" t="str">
        <x:v>松山新城</x:v>
      </x:c>
      <x:c r="D1389" s="18" t="n">
        <x:v>26</x:v>
      </x:c>
      <x:c r="E1389" s="18" t="n">
        <x:v>26</x:v>
      </x:c>
      <x:c r="F1389" s="18" t="n">
        <x:v>369</x:v>
      </x:c>
      <x:c r="G1389" s="18" t="n">
        <x:v>26</x:v>
      </x:c>
      <x:c r="H1389" s="18" t="n">
        <x:v>62</x:v>
      </x:c>
      <x:c r="I1389" s="18" t="n">
        <x:v>26</x:v>
      </x:c>
      <x:c r="J1389" s="18" t="n">
        <x:v>158</x:v>
      </x:c>
      <x:c r="K1389" s="18" t="n">
        <x:v>26</x:v>
      </x:c>
      <x:c r="L1389" s="18" t="n">
        <x:v>31</x:v>
      </x:c>
      <x:c r="M1389" s="18" t="n">
        <x:v>26</x:v>
      </x:c>
    </x:row>
    <x:row r="1390">
      <x:c r="A1390" s="22" t="str">
        <x:v>500110036</x:v>
      </x:c>
      <x:c r="B1390" s="17" t="str">
        <x:v>松山區</x:v>
      </x:c>
      <x:c r="C1390" s="17" t="str">
        <x:v>國土管理署</x:v>
      </x:c>
      <x:c r="D1390" s="18" t="n">
        <x:v>26</x:v>
      </x:c>
      <x:c r="E1390" s="18" t="n">
        <x:v>26</x:v>
      </x:c>
      <x:c r="F1390" s="18" t="n">
        <x:v>208</x:v>
      </x:c>
      <x:c r="G1390" s="18" t="n">
        <x:v>26</x:v>
      </x:c>
      <x:c r="H1390" s="18" t="n">
        <x:v>50</x:v>
      </x:c>
      <x:c r="I1390" s="18" t="n">
        <x:v>26</x:v>
      </x:c>
      <x:c r="J1390" s="18" t="n">
        <x:v>1017</x:v>
      </x:c>
      <x:c r="K1390" s="18" t="n">
        <x:v>26</x:v>
      </x:c>
      <x:c r="L1390" s="18" t="n">
        <x:v>96</x:v>
      </x:c>
      <x:c r="M1390" s="18" t="n">
        <x:v>26</x:v>
      </x:c>
    </x:row>
    <x:row r="1391">
      <x:c r="A1391" s="22" t="str">
        <x:v>500110037</x:v>
      </x:c>
      <x:c r="B1391" s="17" t="str">
        <x:v>松山區</x:v>
      </x:c>
      <x:c r="C1391" s="17" t="str">
        <x:v>南京光復路口</x:v>
      </x:c>
      <x:c r="D1391" s="18" t="n">
        <x:v>26</x:v>
      </x:c>
      <x:c r="E1391" s="18" t="n">
        <x:v>26</x:v>
      </x:c>
      <x:c r="F1391" s="18" t="n">
        <x:v>115</x:v>
      </x:c>
      <x:c r="G1391" s="18" t="n">
        <x:v>26</x:v>
      </x:c>
      <x:c r="H1391" s="18" t="n">
        <x:v>43</x:v>
      </x:c>
      <x:c r="I1391" s="18" t="n">
        <x:v>26</x:v>
      </x:c>
      <x:c r="J1391" s="18" t="n">
        <x:v>382</x:v>
      </x:c>
      <x:c r="K1391" s="18" t="n">
        <x:v>26</x:v>
      </x:c>
      <x:c r="L1391" s="18" t="n">
        <x:v>73</x:v>
      </x:c>
      <x:c r="M1391" s="18" t="n">
        <x:v>26</x:v>
      </x:c>
    </x:row>
    <x:row r="1392">
      <x:c r="A1392" s="22" t="str">
        <x:v>500110038</x:v>
      </x:c>
      <x:c r="B1392" s="17" t="str">
        <x:v>松山區</x:v>
      </x:c>
      <x:c r="C1392" s="17" t="str">
        <x:v>民生立體停車場</x:v>
      </x:c>
      <x:c r="D1392" s="18" t="n">
        <x:v>26</x:v>
      </x:c>
      <x:c r="E1392" s="18" t="n">
        <x:v>26</x:v>
      </x:c>
      <x:c r="F1392" s="18" t="n">
        <x:v>348</x:v>
      </x:c>
      <x:c r="G1392" s="18" t="n">
        <x:v>26</x:v>
      </x:c>
      <x:c r="H1392" s="18" t="n">
        <x:v>55</x:v>
      </x:c>
      <x:c r="I1392" s="18" t="n">
        <x:v>26</x:v>
      </x:c>
      <x:c r="J1392" s="18" t="n">
        <x:v>174</x:v>
      </x:c>
      <x:c r="K1392" s="18" t="n">
        <x:v>26</x:v>
      </x:c>
      <x:c r="L1392" s="18" t="n">
        <x:v>54</x:v>
      </x:c>
      <x:c r="M1392" s="18" t="n">
        <x:v>26</x:v>
      </x:c>
    </x:row>
    <x:row r="1393">
      <x:c r="A1393" s="22" t="str">
        <x:v>500110039</x:v>
      </x:c>
      <x:c r="B1393" s="17" t="str">
        <x:v>松山區</x:v>
      </x:c>
      <x:c r="C1393" s="17" t="str">
        <x:v>健康新城</x:v>
      </x:c>
      <x:c r="D1393" s="18" t="n">
        <x:v>26</x:v>
      </x:c>
      <x:c r="E1393" s="18" t="n">
        <x:v>26</x:v>
      </x:c>
      <x:c r="F1393" s="18" t="n">
        <x:v>1171</x:v>
      </x:c>
      <x:c r="G1393" s="18" t="n">
        <x:v>26</x:v>
      </x:c>
      <x:c r="H1393" s="18" t="n">
        <x:v>112</x:v>
      </x:c>
      <x:c r="I1393" s="18" t="n">
        <x:v>26</x:v>
      </x:c>
      <x:c r="J1393" s="18" t="n">
        <x:v>107</x:v>
      </x:c>
      <x:c r="K1393" s="18" t="n">
        <x:v>26</x:v>
      </x:c>
      <x:c r="L1393" s="18" t="n">
        <x:v>36</x:v>
      </x:c>
      <x:c r="M1393" s="18" t="n">
        <x:v>26</x:v>
      </x:c>
    </x:row>
    <x:row r="1394">
      <x:c r="A1394" s="22" t="str">
        <x:v>500110040</x:v>
      </x:c>
      <x:c r="B1394" s="17" t="str">
        <x:v>松山區</x:v>
      </x:c>
      <x:c r="C1394" s="17" t="str">
        <x:v>健安新城</x:v>
      </x:c>
      <x:c r="D1394" s="18" t="n">
        <x:v>26</x:v>
      </x:c>
      <x:c r="E1394" s="18" t="n">
        <x:v>26</x:v>
      </x:c>
      <x:c r="F1394" s="18" t="n">
        <x:v>682</x:v>
      </x:c>
      <x:c r="G1394" s="18" t="n">
        <x:v>26</x:v>
      </x:c>
      <x:c r="H1394" s="18" t="n">
        <x:v>55</x:v>
      </x:c>
      <x:c r="I1394" s="18" t="n">
        <x:v>26</x:v>
      </x:c>
      <x:c r="J1394" s="18" t="n">
        <x:v>137</x:v>
      </x:c>
      <x:c r="K1394" s="18" t="n">
        <x:v>26</x:v>
      </x:c>
      <x:c r="L1394" s="18" t="n">
        <x:v>41</x:v>
      </x:c>
      <x:c r="M1394" s="18" t="n">
        <x:v>26</x:v>
      </x:c>
    </x:row>
    <x:row r="1395">
      <x:c r="A1395" s="22" t="str">
        <x:v>500110041</x:v>
      </x:c>
      <x:c r="B1395" s="17" t="str">
        <x:v>松山區</x:v>
      </x:c>
      <x:c r="C1395" s="17" t="str">
        <x:v>復盛公園</x:v>
      </x:c>
      <x:c r="D1395" s="18" t="n">
        <x:v>26</x:v>
      </x:c>
      <x:c r="E1395" s="18" t="n">
        <x:v>26</x:v>
      </x:c>
      <x:c r="F1395" s="18" t="n">
        <x:v>227</x:v>
      </x:c>
      <x:c r="G1395" s="18" t="n">
        <x:v>26</x:v>
      </x:c>
      <x:c r="H1395" s="18" t="n">
        <x:v>8</x:v>
      </x:c>
      <x:c r="I1395" s="18" t="n">
        <x:v>26</x:v>
      </x:c>
      <x:c r="J1395" s="18" t="n">
        <x:v>45</x:v>
      </x:c>
      <x:c r="K1395" s="18" t="n">
        <x:v>26</x:v>
      </x:c>
      <x:c r="L1395" s="18" t="n">
        <x:v>19</x:v>
      </x:c>
      <x:c r="M1395" s="18" t="n">
        <x:v>26</x:v>
      </x:c>
    </x:row>
    <x:row r="1396">
      <x:c r="A1396" s="22" t="str">
        <x:v>500110042</x:v>
      </x:c>
      <x:c r="B1396" s="17" t="str">
        <x:v>松山區</x:v>
      </x:c>
      <x:c r="C1396" s="17" t="str">
        <x:v>中崙福成宮</x:v>
      </x:c>
      <x:c r="D1396" s="18" t="n">
        <x:v>26</x:v>
      </x:c>
      <x:c r="E1396" s="18" t="n">
        <x:v>26</x:v>
      </x:c>
      <x:c r="F1396" s="18" t="n">
        <x:v>352</x:v>
      </x:c>
      <x:c r="G1396" s="18" t="n">
        <x:v>26</x:v>
      </x:c>
      <x:c r="H1396" s="18" t="n">
        <x:v>35</x:v>
      </x:c>
      <x:c r="I1396" s="18" t="n">
        <x:v>26</x:v>
      </x:c>
      <x:c r="J1396" s="18" t="n">
        <x:v>253</x:v>
      </x:c>
      <x:c r="K1396" s="18" t="n">
        <x:v>26</x:v>
      </x:c>
      <x:c r="L1396" s="18" t="n">
        <x:v>63</x:v>
      </x:c>
      <x:c r="M1396" s="18" t="n">
        <x:v>26</x:v>
      </x:c>
    </x:row>
    <x:row r="1397">
      <x:c r="A1397" s="22" t="str">
        <x:v>500110043</x:v>
      </x:c>
      <x:c r="B1397" s="17" t="str">
        <x:v>松山區</x:v>
      </x:c>
      <x:c r="C1397" s="17" t="str">
        <x:v>捷運南京復興站(7號出口)</x:v>
      </x:c>
      <x:c r="D1397" s="18" t="n">
        <x:v>26</x:v>
      </x:c>
      <x:c r="E1397" s="18" t="n">
        <x:v>26</x:v>
      </x:c>
      <x:c r="F1397" s="18" t="n">
        <x:v>187</x:v>
      </x:c>
      <x:c r="G1397" s="18" t="n">
        <x:v>26</x:v>
      </x:c>
      <x:c r="H1397" s="18" t="n">
        <x:v>53</x:v>
      </x:c>
      <x:c r="I1397" s="18" t="n">
        <x:v>26</x:v>
      </x:c>
      <x:c r="J1397" s="18" t="n">
        <x:v>168</x:v>
      </x:c>
      <x:c r="K1397" s="18" t="n">
        <x:v>26</x:v>
      </x:c>
      <x:c r="L1397" s="18" t="n">
        <x:v>44</x:v>
      </x:c>
      <x:c r="M1397" s="18" t="n">
        <x:v>26</x:v>
      </x:c>
    </x:row>
    <x:row r="1398">
      <x:c r="A1398" s="22" t="str">
        <x:v>500110044</x:v>
      </x:c>
      <x:c r="B1398" s="17" t="str">
        <x:v>松山區</x:v>
      </x:c>
      <x:c r="C1398" s="17" t="str">
        <x:v>捷運南京復興站(5號出口)</x:v>
      </x:c>
      <x:c r="D1398" s="18" t="n">
        <x:v>26</x:v>
      </x:c>
      <x:c r="E1398" s="18" t="n">
        <x:v>26</x:v>
      </x:c>
      <x:c r="F1398" s="18" t="n">
        <x:v>546</x:v>
      </x:c>
      <x:c r="G1398" s="18" t="n">
        <x:v>26</x:v>
      </x:c>
      <x:c r="H1398" s="18" t="n">
        <x:v>75</x:v>
      </x:c>
      <x:c r="I1398" s="18" t="n">
        <x:v>26</x:v>
      </x:c>
      <x:c r="J1398" s="18" t="n">
        <x:v>1014</x:v>
      </x:c>
      <x:c r="K1398" s="18" t="n">
        <x:v>26</x:v>
      </x:c>
      <x:c r="L1398" s="18" t="n">
        <x:v>98</x:v>
      </x:c>
      <x:c r="M1398" s="18" t="n">
        <x:v>26</x:v>
      </x:c>
    </x:row>
    <x:row r="1399">
      <x:c r="A1399" s="22" t="str">
        <x:v>500110045</x:v>
      </x:c>
      <x:c r="B1399" s="17" t="str">
        <x:v>松山區</x:v>
      </x:c>
      <x:c r="C1399" s="17" t="str">
        <x:v>塔悠疏散門</x:v>
      </x:c>
      <x:c r="D1399" s="18" t="n">
        <x:v>26</x:v>
      </x:c>
      <x:c r="E1399" s="18" t="n">
        <x:v>26</x:v>
      </x:c>
      <x:c r="F1399" s="18" t="n">
        <x:v>338</x:v>
      </x:c>
      <x:c r="G1399" s="18" t="n">
        <x:v>26</x:v>
      </x:c>
      <x:c r="H1399" s="18" t="n">
        <x:v>87</x:v>
      </x:c>
      <x:c r="I1399" s="18" t="n">
        <x:v>26</x:v>
      </x:c>
      <x:c r="J1399" s="18" t="n">
        <x:v>202</x:v>
      </x:c>
      <x:c r="K1399" s="18" t="n">
        <x:v>26</x:v>
      </x:c>
      <x:c r="L1399" s="18" t="n">
        <x:v>62</x:v>
      </x:c>
      <x:c r="M1399" s="18" t="n">
        <x:v>26</x:v>
      </x:c>
    </x:row>
    <x:row r="1400">
      <x:c r="A1400" s="22" t="str">
        <x:v>500110046</x:v>
      </x:c>
      <x:c r="B1400" s="17" t="str">
        <x:v>松山區</x:v>
      </x:c>
      <x:c r="C1400" s="17" t="str">
        <x:v>臺北田徑場</x:v>
      </x:c>
      <x:c r="D1400" s="18" t="n">
        <x:v>26</x:v>
      </x:c>
      <x:c r="E1400" s="18" t="n">
        <x:v>26</x:v>
      </x:c>
      <x:c r="F1400" s="18" t="n">
        <x:v>307</x:v>
      </x:c>
      <x:c r="G1400" s="18" t="n">
        <x:v>26</x:v>
      </x:c>
      <x:c r="H1400" s="18" t="n">
        <x:v>38</x:v>
      </x:c>
      <x:c r="I1400" s="18" t="n">
        <x:v>26</x:v>
      </x:c>
      <x:c r="J1400" s="18" t="n">
        <x:v>594</x:v>
      </x:c>
      <x:c r="K1400" s="18" t="n">
        <x:v>26</x:v>
      </x:c>
      <x:c r="L1400" s="18" t="n">
        <x:v>81</x:v>
      </x:c>
      <x:c r="M1400" s="18" t="n">
        <x:v>26</x:v>
      </x:c>
    </x:row>
    <x:row r="1401">
      <x:c r="A1401" s="22" t="str">
        <x:v>500110047</x:v>
      </x:c>
      <x:c r="B1401" s="17" t="str">
        <x:v>松山區</x:v>
      </x:c>
      <x:c r="C1401" s="17" t="str">
        <x:v>捷運小巨蛋站(5號出口)</x:v>
      </x:c>
      <x:c r="D1401" s="18" t="n">
        <x:v>26</x:v>
      </x:c>
      <x:c r="E1401" s="18" t="n">
        <x:v>26</x:v>
      </x:c>
      <x:c r="F1401" s="18" t="n">
        <x:v>207</x:v>
      </x:c>
      <x:c r="G1401" s="18" t="n">
        <x:v>26</x:v>
      </x:c>
      <x:c r="H1401" s="18" t="n">
        <x:v>28</x:v>
      </x:c>
      <x:c r="I1401" s="18" t="n">
        <x:v>26</x:v>
      </x:c>
      <x:c r="J1401" s="18" t="n">
        <x:v>144</x:v>
      </x:c>
      <x:c r="K1401" s="18" t="n">
        <x:v>26</x:v>
      </x:c>
      <x:c r="L1401" s="18" t="n">
        <x:v>51</x:v>
      </x:c>
      <x:c r="M1401" s="18" t="n">
        <x:v>26</x:v>
      </x:c>
    </x:row>
    <x:row r="1402">
      <x:c r="A1402" s="22" t="str">
        <x:v>500110048</x:v>
      </x:c>
      <x:c r="B1402" s="17" t="str">
        <x:v>松山區</x:v>
      </x:c>
      <x:c r="C1402" s="17" t="str">
        <x:v>敦化長春路口</x:v>
      </x:c>
      <x:c r="D1402" s="18" t="n">
        <x:v>26</x:v>
      </x:c>
      <x:c r="E1402" s="18" t="n">
        <x:v>26</x:v>
      </x:c>
      <x:c r="F1402" s="18" t="n">
        <x:v>138</x:v>
      </x:c>
      <x:c r="G1402" s="18" t="n">
        <x:v>26</x:v>
      </x:c>
      <x:c r="H1402" s="18" t="n">
        <x:v>23</x:v>
      </x:c>
      <x:c r="I1402" s="18" t="n">
        <x:v>26</x:v>
      </x:c>
      <x:c r="J1402" s="18" t="n">
        <x:v>1190</x:v>
      </x:c>
      <x:c r="K1402" s="18" t="n">
        <x:v>26</x:v>
      </x:c>
      <x:c r="L1402" s="18" t="n">
        <x:v>93</x:v>
      </x:c>
      <x:c r="M1402" s="18" t="n">
        <x:v>26</x:v>
      </x:c>
    </x:row>
    <x:row r="1403">
      <x:c r="A1403" s="22" t="str">
        <x:v>500110049</x:v>
      </x:c>
      <x:c r="B1403" s="17" t="str">
        <x:v>松山區</x:v>
      </x:c>
      <x:c r="C1403" s="17" t="str">
        <x:v>饒河疏散門(基四號疏散門)</x:v>
      </x:c>
      <x:c r="D1403" s="18" t="n">
        <x:v>26</x:v>
      </x:c>
      <x:c r="E1403" s="18" t="n">
        <x:v>26</x:v>
      </x:c>
      <x:c r="F1403" s="18" t="n">
        <x:v>251</x:v>
      </x:c>
      <x:c r="G1403" s="18" t="n">
        <x:v>26</x:v>
      </x:c>
      <x:c r="H1403" s="18" t="n">
        <x:v>119</x:v>
      </x:c>
      <x:c r="I1403" s="18" t="n">
        <x:v>26</x:v>
      </x:c>
      <x:c r="J1403" s="18" t="n">
        <x:v>162</x:v>
      </x:c>
      <x:c r="K1403" s="18" t="n">
        <x:v>26</x:v>
      </x:c>
      <x:c r="L1403" s="18" t="n">
        <x:v>64</x:v>
      </x:c>
      <x:c r="M1403" s="18" t="n">
        <x:v>26</x:v>
      </x:c>
    </x:row>
    <x:row r="1404">
      <x:c r="A1404" s="22" t="str">
        <x:v>500110050</x:v>
      </x:c>
      <x:c r="B1404" s="17" t="str">
        <x:v>松山區</x:v>
      </x:c>
      <x:c r="C1404" s="17" t="str">
        <x:v>捷運松山站(2號出口)</x:v>
      </x:c>
      <x:c r="D1404" s="18" t="n">
        <x:v>26</x:v>
      </x:c>
      <x:c r="E1404" s="18" t="n">
        <x:v>26</x:v>
      </x:c>
      <x:c r="F1404" s="18" t="n">
        <x:v>152</x:v>
      </x:c>
      <x:c r="G1404" s="18" t="n">
        <x:v>26</x:v>
      </x:c>
      <x:c r="H1404" s="18" t="n">
        <x:v>28</x:v>
      </x:c>
      <x:c r="I1404" s="18" t="n">
        <x:v>26</x:v>
      </x:c>
      <x:c r="J1404" s="18" t="n">
        <x:v>130</x:v>
      </x:c>
      <x:c r="K1404" s="18" t="n">
        <x:v>26</x:v>
      </x:c>
      <x:c r="L1404" s="18" t="n">
        <x:v>21</x:v>
      </x:c>
      <x:c r="M1404" s="18" t="n">
        <x:v>26</x:v>
      </x:c>
    </x:row>
    <x:row r="1405">
      <x:c r="A1405" s="22" t="str">
        <x:v>500110051</x:v>
      </x:c>
      <x:c r="B1405" s="17" t="str">
        <x:v>松山區</x:v>
      </x:c>
      <x:c r="C1405" s="17" t="str">
        <x:v>民權東路三段106巷口</x:v>
      </x:c>
      <x:c r="D1405" s="18" t="n">
        <x:v>26</x:v>
      </x:c>
      <x:c r="E1405" s="18" t="n">
        <x:v>26</x:v>
      </x:c>
      <x:c r="F1405" s="18" t="n">
        <x:v>161</x:v>
      </x:c>
      <x:c r="G1405" s="18" t="n">
        <x:v>26</x:v>
      </x:c>
      <x:c r="H1405" s="18" t="n">
        <x:v>28</x:v>
      </x:c>
      <x:c r="I1405" s="18" t="n">
        <x:v>26</x:v>
      </x:c>
      <x:c r="J1405" s="18" t="n">
        <x:v>370</x:v>
      </x:c>
      <x:c r="K1405" s="18" t="n">
        <x:v>26</x:v>
      </x:c>
      <x:c r="L1405" s="18" t="n">
        <x:v>51</x:v>
      </x:c>
      <x:c r="M1405" s="18" t="n">
        <x:v>26</x:v>
      </x:c>
    </x:row>
    <x:row r="1406">
      <x:c r="A1406" s="22" t="str">
        <x:v>500110052</x:v>
      </x:c>
      <x:c r="B1406" s="17" t="str">
        <x:v>松山區</x:v>
      </x:c>
      <x:c r="C1406" s="17" t="str">
        <x:v>南京東路五段59巷口</x:v>
      </x:c>
      <x:c r="D1406" s="18" t="n">
        <x:v>26</x:v>
      </x:c>
      <x:c r="E1406" s="18" t="n">
        <x:v>26</x:v>
      </x:c>
      <x:c r="F1406" s="18" t="n">
        <x:v>115</x:v>
      </x:c>
      <x:c r="G1406" s="18" t="n">
        <x:v>26</x:v>
      </x:c>
      <x:c r="H1406" s="18" t="n">
        <x:v>34</x:v>
      </x:c>
      <x:c r="I1406" s="18" t="n">
        <x:v>26</x:v>
      </x:c>
      <x:c r="J1406" s="18" t="n">
        <x:v>148</x:v>
      </x:c>
      <x:c r="K1406" s="18" t="n">
        <x:v>26</x:v>
      </x:c>
      <x:c r="L1406" s="18" t="n">
        <x:v>38</x:v>
      </x:c>
      <x:c r="M1406" s="18" t="n">
        <x:v>26</x:v>
      </x:c>
    </x:row>
    <x:row r="1407">
      <x:c r="A1407" s="22" t="str">
        <x:v>500110053</x:v>
      </x:c>
      <x:c r="B1407" s="17" t="str">
        <x:v>松山區</x:v>
      </x:c>
      <x:c r="C1407" s="17" t="str">
        <x:v>三民公園(塔悠路)</x:v>
      </x:c>
      <x:c r="D1407" s="18" t="n">
        <x:v>26</x:v>
      </x:c>
      <x:c r="E1407" s="18" t="n">
        <x:v>26</x:v>
      </x:c>
      <x:c r="F1407" s="18" t="n">
        <x:v>189</x:v>
      </x:c>
      <x:c r="G1407" s="18" t="n">
        <x:v>26</x:v>
      </x:c>
      <x:c r="H1407" s="18" t="n">
        <x:v>42</x:v>
      </x:c>
      <x:c r="I1407" s="18" t="n">
        <x:v>26</x:v>
      </x:c>
      <x:c r="J1407" s="18" t="n">
        <x:v>149</x:v>
      </x:c>
      <x:c r="K1407" s="18" t="n">
        <x:v>26</x:v>
      </x:c>
      <x:c r="L1407" s="18" t="n">
        <x:v>35</x:v>
      </x:c>
      <x:c r="M1407" s="18" t="n">
        <x:v>26</x:v>
      </x:c>
    </x:row>
    <x:row r="1408">
      <x:c r="A1408" s="22" t="str">
        <x:v>500110054</x:v>
      </x:c>
      <x:c r="B1408" s="17" t="str">
        <x:v>松山區</x:v>
      </x:c>
      <x:c r="C1408" s="17" t="str">
        <x:v>寶清公園</x:v>
      </x:c>
      <x:c r="D1408" s="18" t="n">
        <x:v>26</x:v>
      </x:c>
      <x:c r="E1408" s="18" t="n">
        <x:v>26</x:v>
      </x:c>
      <x:c r="F1408" s="18" t="n">
        <x:v>721</x:v>
      </x:c>
      <x:c r="G1408" s="18" t="n">
        <x:v>26</x:v>
      </x:c>
      <x:c r="H1408" s="18" t="n">
        <x:v>63</x:v>
      </x:c>
      <x:c r="I1408" s="18" t="n">
        <x:v>26</x:v>
      </x:c>
      <x:c r="J1408" s="18" t="n">
        <x:v>108</x:v>
      </x:c>
      <x:c r="K1408" s="18" t="n">
        <x:v>26</x:v>
      </x:c>
      <x:c r="L1408" s="18" t="n">
        <x:v>16</x:v>
      </x:c>
      <x:c r="M1408" s="18" t="n">
        <x:v>26</x:v>
      </x:c>
    </x:row>
    <x:row r="1409">
      <x:c r="A1409" s="22" t="str">
        <x:v>500110055</x:v>
      </x:c>
      <x:c r="B1409" s="17" t="str">
        <x:v>松山區</x:v>
      </x:c>
      <x:c r="C1409" s="17" t="str">
        <x:v>西松公園</x:v>
      </x:c>
      <x:c r="D1409" s="18" t="n">
        <x:v>26</x:v>
      </x:c>
      <x:c r="E1409" s="18" t="n">
        <x:v>26</x:v>
      </x:c>
      <x:c r="F1409" s="18" t="n">
        <x:v>108</x:v>
      </x:c>
      <x:c r="G1409" s="18" t="n">
        <x:v>26</x:v>
      </x:c>
      <x:c r="H1409" s="18" t="n">
        <x:v>29</x:v>
      </x:c>
      <x:c r="I1409" s="18" t="n">
        <x:v>26</x:v>
      </x:c>
      <x:c r="J1409" s="18" t="n">
        <x:v>75</x:v>
      </x:c>
      <x:c r="K1409" s="18" t="n">
        <x:v>26</x:v>
      </x:c>
      <x:c r="L1409" s="18" t="n">
        <x:v>10</x:v>
      </x:c>
      <x:c r="M1409" s="18" t="n">
        <x:v>26</x:v>
      </x:c>
    </x:row>
    <x:row r="1410">
      <x:c r="A1410" s="22" t="str">
        <x:v>500110056</x:v>
      </x:c>
      <x:c r="B1410" s="17" t="str">
        <x:v>松山區</x:v>
      </x:c>
      <x:c r="C1410" s="17" t="str">
        <x:v>長壽公園</x:v>
      </x:c>
      <x:c r="D1410" s="18" t="n">
        <x:v>26</x:v>
      </x:c>
      <x:c r="E1410" s="18" t="n">
        <x:v>26</x:v>
      </x:c>
      <x:c r="F1410" s="18" t="n">
        <x:v>182</x:v>
      </x:c>
      <x:c r="G1410" s="18" t="n">
        <x:v>26</x:v>
      </x:c>
      <x:c r="H1410" s="18" t="n">
        <x:v>46</x:v>
      </x:c>
      <x:c r="I1410" s="18" t="n">
        <x:v>26</x:v>
      </x:c>
      <x:c r="J1410" s="18" t="n">
        <x:v>117</x:v>
      </x:c>
      <x:c r="K1410" s="18" t="n">
        <x:v>26</x:v>
      </x:c>
      <x:c r="L1410" s="18" t="n">
        <x:v>45</x:v>
      </x:c>
      <x:c r="M1410" s="18" t="n">
        <x:v>26</x:v>
      </x:c>
    </x:row>
    <x:row r="1411">
      <x:c r="A1411" s="22" t="str">
        <x:v>500110057</x:v>
      </x:c>
      <x:c r="B1411" s="17" t="str">
        <x:v>松山區</x:v>
      </x:c>
      <x:c r="C1411" s="17" t="str">
        <x:v>復源公園</x:v>
      </x:c>
      <x:c r="D1411" s="18" t="n">
        <x:v>26</x:v>
      </x:c>
      <x:c r="E1411" s="18" t="n">
        <x:v>26</x:v>
      </x:c>
      <x:c r="F1411" s="18" t="n">
        <x:v>305</x:v>
      </x:c>
      <x:c r="G1411" s="18" t="n">
        <x:v>26</x:v>
      </x:c>
      <x:c r="H1411" s="18" t="n">
        <x:v>57</x:v>
      </x:c>
      <x:c r="I1411" s="18" t="n">
        <x:v>26</x:v>
      </x:c>
      <x:c r="J1411" s="18" t="n">
        <x:v>141</x:v>
      </x:c>
      <x:c r="K1411" s="18" t="n">
        <x:v>26</x:v>
      </x:c>
      <x:c r="L1411" s="18" t="n">
        <x:v>31</x:v>
      </x:c>
      <x:c r="M1411" s="18" t="n">
        <x:v>26</x:v>
      </x:c>
    </x:row>
    <x:row r="1412">
      <x:c r="A1412" s="22" t="str">
        <x:v>500110058</x:v>
      </x:c>
      <x:c r="B1412" s="17" t="str">
        <x:v>松山區</x:v>
      </x:c>
      <x:c r="C1412" s="17" t="str">
        <x:v>南京東路四段179巷口</x:v>
      </x:c>
      <x:c r="D1412" s="18" t="n">
        <x:v>26</x:v>
      </x:c>
      <x:c r="E1412" s="18" t="n">
        <x:v>26</x:v>
      </x:c>
      <x:c r="F1412" s="18" t="n">
        <x:v>114</x:v>
      </x:c>
      <x:c r="G1412" s="18" t="n">
        <x:v>26</x:v>
      </x:c>
      <x:c r="H1412" s="18" t="n">
        <x:v>28</x:v>
      </x:c>
      <x:c r="I1412" s="18" t="n">
        <x:v>26</x:v>
      </x:c>
      <x:c r="J1412" s="18" t="n">
        <x:v>168</x:v>
      </x:c>
      <x:c r="K1412" s="18" t="n">
        <x:v>26</x:v>
      </x:c>
      <x:c r="L1412" s="18" t="n">
        <x:v>39</x:v>
      </x:c>
      <x:c r="M1412" s="18" t="n">
        <x:v>26</x:v>
      </x:c>
    </x:row>
    <x:row r="1413">
      <x:c r="A1413" s="22" t="str">
        <x:v>500110059</x:v>
      </x:c>
      <x:c r="B1413" s="17" t="str">
        <x:v>松山區</x:v>
      </x:c>
      <x:c r="C1413" s="17" t="str">
        <x:v>臺北田徑場(北寧路側)</x:v>
      </x:c>
      <x:c r="D1413" s="18" t="n">
        <x:v>26</x:v>
      </x:c>
      <x:c r="E1413" s="18" t="n">
        <x:v>26</x:v>
      </x:c>
      <x:c r="F1413" s="18" t="n">
        <x:v>336</x:v>
      </x:c>
      <x:c r="G1413" s="18" t="n">
        <x:v>26</x:v>
      </x:c>
      <x:c r="H1413" s="18" t="n">
        <x:v>51</x:v>
      </x:c>
      <x:c r="I1413" s="18" t="n">
        <x:v>26</x:v>
      </x:c>
      <x:c r="J1413" s="18" t="n">
        <x:v>318</x:v>
      </x:c>
      <x:c r="K1413" s="18" t="n">
        <x:v>26</x:v>
      </x:c>
      <x:c r="L1413" s="18" t="n">
        <x:v>37</x:v>
      </x:c>
      <x:c r="M1413" s="18" t="n">
        <x:v>26</x:v>
      </x:c>
    </x:row>
    <x:row r="1414">
      <x:c r="A1414" s="22" t="str">
        <x:v>500110060</x:v>
      </x:c>
      <x:c r="B1414" s="17" t="str">
        <x:v>松山區</x:v>
      </x:c>
      <x:c r="C1414" s="17" t="str">
        <x:v>西松高中(健康路325巷)</x:v>
      </x:c>
      <x:c r="D1414" s="18" t="n">
        <x:v>26</x:v>
      </x:c>
      <x:c r="E1414" s="18" t="n">
        <x:v>26</x:v>
      </x:c>
      <x:c r="F1414" s="18" t="n">
        <x:v>555</x:v>
      </x:c>
      <x:c r="G1414" s="18" t="n">
        <x:v>26</x:v>
      </x:c>
      <x:c r="H1414" s="18" t="n">
        <x:v>67</x:v>
      </x:c>
      <x:c r="I1414" s="18" t="n">
        <x:v>26</x:v>
      </x:c>
      <x:c r="J1414" s="18" t="n">
        <x:v>156</x:v>
      </x:c>
      <x:c r="K1414" s="18" t="n">
        <x:v>26</x:v>
      </x:c>
      <x:c r="L1414" s="18" t="n">
        <x:v>23</x:v>
      </x:c>
      <x:c r="M1414" s="18" t="n">
        <x:v>26</x:v>
      </x:c>
    </x:row>
    <x:row r="1415">
      <x:c r="A1415" s="22" t="str">
        <x:v>500110061</x:v>
      </x:c>
      <x:c r="B1415" s="17" t="str">
        <x:v>松山區</x:v>
      </x:c>
      <x:c r="C1415" s="17" t="str">
        <x:v>南京東興路口</x:v>
      </x:c>
      <x:c r="D1415" s="18" t="n">
        <x:v>26</x:v>
      </x:c>
      <x:c r="E1415" s="18" t="n">
        <x:v>26</x:v>
      </x:c>
      <x:c r="F1415" s="18" t="n">
        <x:v>330</x:v>
      </x:c>
      <x:c r="G1415" s="18" t="n">
        <x:v>26</x:v>
      </x:c>
      <x:c r="H1415" s="18" t="n">
        <x:v>42</x:v>
      </x:c>
      <x:c r="I1415" s="18" t="n">
        <x:v>26</x:v>
      </x:c>
      <x:c r="J1415" s="18" t="n">
        <x:v>86</x:v>
      </x:c>
      <x:c r="K1415" s="18" t="n">
        <x:v>26</x:v>
      </x:c>
      <x:c r="L1415" s="18" t="n">
        <x:v>26</x:v>
      </x:c>
      <x:c r="M1415" s="18" t="n">
        <x:v>26</x:v>
      </x:c>
    </x:row>
    <x:row r="1416">
      <x:c r="A1416" s="22" t="str">
        <x:v>500110062</x:v>
      </x:c>
      <x:c r="B1416" s="17" t="str">
        <x:v>松山區</x:v>
      </x:c>
      <x:c r="C1416" s="17" t="str">
        <x:v>捷運松山站(3號出口)</x:v>
      </x:c>
      <x:c r="D1416" s="18" t="n">
        <x:v>26</x:v>
      </x:c>
      <x:c r="E1416" s="18" t="n">
        <x:v>26</x:v>
      </x:c>
      <x:c r="F1416" s="18" t="n">
        <x:v>199</x:v>
      </x:c>
      <x:c r="G1416" s="18" t="n">
        <x:v>26</x:v>
      </x:c>
      <x:c r="H1416" s="18" t="n">
        <x:v>34</x:v>
      </x:c>
      <x:c r="I1416" s="18" t="n">
        <x:v>26</x:v>
      </x:c>
      <x:c r="J1416" s="18" t="n">
        <x:v>242</x:v>
      </x:c>
      <x:c r="K1416" s="18" t="n">
        <x:v>26</x:v>
      </x:c>
      <x:c r="L1416" s="18" t="n">
        <x:v>36</x:v>
      </x:c>
      <x:c r="M1416" s="18" t="n">
        <x:v>26</x:v>
      </x:c>
    </x:row>
    <x:row r="1417">
      <x:c r="A1417" s="22" t="str">
        <x:v>500110063</x:v>
      </x:c>
      <x:c r="B1417" s="17" t="str">
        <x:v>松山區</x:v>
      </x:c>
      <x:c r="C1417" s="17" t="str">
        <x:v>介壽國中</x:v>
      </x:c>
      <x:c r="D1417" s="18" t="n">
        <x:v>26</x:v>
      </x:c>
      <x:c r="E1417" s="18" t="n">
        <x:v>26</x:v>
      </x:c>
      <x:c r="F1417" s="18" t="n">
        <x:v>367</x:v>
      </x:c>
      <x:c r="G1417" s="18" t="n">
        <x:v>26</x:v>
      </x:c>
      <x:c r="H1417" s="18" t="n">
        <x:v>78</x:v>
      </x:c>
      <x:c r="I1417" s="18" t="n">
        <x:v>26</x:v>
      </x:c>
      <x:c r="J1417" s="18" t="n">
        <x:v>361</x:v>
      </x:c>
      <x:c r="K1417" s="18" t="n">
        <x:v>26</x:v>
      </x:c>
      <x:c r="L1417" s="18" t="n">
        <x:v>55</x:v>
      </x:c>
      <x:c r="M1417" s="18" t="n">
        <x:v>26</x:v>
      </x:c>
    </x:row>
    <x:row r="1418">
      <x:c r="A1418" s="22" t="str">
        <x:v>500110064</x:v>
      </x:c>
      <x:c r="B1418" s="17" t="str">
        <x:v>松山區</x:v>
      </x:c>
      <x:c r="C1418" s="17" t="str">
        <x:v>敦化南京路口(東北側)</x:v>
      </x:c>
      <x:c r="D1418" s="18" t="n">
        <x:v>26</x:v>
      </x:c>
      <x:c r="E1418" s="18" t="n">
        <x:v>26</x:v>
      </x:c>
      <x:c r="F1418" s="18" t="n">
        <x:v>202</x:v>
      </x:c>
      <x:c r="G1418" s="18" t="n">
        <x:v>26</x:v>
      </x:c>
      <x:c r="H1418" s="18" t="n">
        <x:v>26</x:v>
      </x:c>
      <x:c r="I1418" s="18" t="n">
        <x:v>26</x:v>
      </x:c>
      <x:c r="J1418" s="18" t="n">
        <x:v>314</x:v>
      </x:c>
      <x:c r="K1418" s="18" t="n">
        <x:v>26</x:v>
      </x:c>
      <x:c r="L1418" s="18" t="n">
        <x:v>84</x:v>
      </x:c>
      <x:c r="M1418" s="18" t="n">
        <x:v>26</x:v>
      </x:c>
    </x:row>
    <x:row r="1419">
      <x:c r="A1419" s="22" t="str">
        <x:v>500110065</x:v>
      </x:c>
      <x:c r="B1419" s="17" t="str">
        <x:v>松山區</x:v>
      </x:c>
      <x:c r="C1419" s="17" t="str">
        <x:v>敦化八德路口</x:v>
      </x:c>
      <x:c r="D1419" s="18" t="n">
        <x:v>26</x:v>
      </x:c>
      <x:c r="E1419" s="18" t="n">
        <x:v>26</x:v>
      </x:c>
      <x:c r="F1419" s="18" t="n">
        <x:v>183</x:v>
      </x:c>
      <x:c r="G1419" s="18" t="n">
        <x:v>26</x:v>
      </x:c>
      <x:c r="H1419" s="18" t="n">
        <x:v>43</x:v>
      </x:c>
      <x:c r="I1419" s="18" t="n">
        <x:v>26</x:v>
      </x:c>
      <x:c r="J1419" s="18" t="n">
        <x:v>2084</x:v>
      </x:c>
      <x:c r="K1419" s="18" t="n">
        <x:v>26</x:v>
      </x:c>
      <x:c r="L1419" s="18" t="n">
        <x:v>121</x:v>
      </x:c>
      <x:c r="M1419" s="18" t="n">
        <x:v>26</x:v>
      </x:c>
    </x:row>
    <x:row r="1420">
      <x:c r="A1420" s="22" t="str">
        <x:v>500110066</x:v>
      </x:c>
      <x:c r="B1420" s="17" t="str">
        <x:v>松山區</x:v>
      </x:c>
      <x:c r="C1420" s="17" t="str">
        <x:v>新東街51巷口</x:v>
      </x:c>
      <x:c r="D1420" s="18" t="n">
        <x:v>26</x:v>
      </x:c>
      <x:c r="E1420" s="18" t="n">
        <x:v>26</x:v>
      </x:c>
      <x:c r="F1420" s="18" t="n">
        <x:v>416</x:v>
      </x:c>
      <x:c r="G1420" s="18" t="n">
        <x:v>26</x:v>
      </x:c>
      <x:c r="H1420" s="18" t="n">
        <x:v>67</x:v>
      </x:c>
      <x:c r="I1420" s="18" t="n">
        <x:v>26</x:v>
      </x:c>
      <x:c r="J1420" s="18" t="n">
        <x:v>184</x:v>
      </x:c>
      <x:c r="K1420" s="18" t="n">
        <x:v>26</x:v>
      </x:c>
      <x:c r="L1420" s="18" t="n">
        <x:v>46</x:v>
      </x:c>
      <x:c r="M1420" s="18" t="n">
        <x:v>26</x:v>
      </x:c>
    </x:row>
    <x:row r="1421">
      <x:c r="A1421" s="22" t="str">
        <x:v>500110067</x:v>
      </x:c>
      <x:c r="B1421" s="17" t="str">
        <x:v>松山區</x:v>
      </x:c>
      <x:c r="C1421" s="17" t="str">
        <x:v>八德立體停車場</x:v>
      </x:c>
      <x:c r="D1421" s="18" t="n">
        <x:v>26</x:v>
      </x:c>
      <x:c r="E1421" s="18" t="n">
        <x:v>26</x:v>
      </x:c>
      <x:c r="F1421" s="18" t="n">
        <x:v>536</x:v>
      </x:c>
      <x:c r="G1421" s="18" t="n">
        <x:v>26</x:v>
      </x:c>
      <x:c r="H1421" s="18" t="n">
        <x:v>59</x:v>
      </x:c>
      <x:c r="I1421" s="18" t="n">
        <x:v>26</x:v>
      </x:c>
      <x:c r="J1421" s="18" t="n">
        <x:v>96</x:v>
      </x:c>
      <x:c r="K1421" s="18" t="n">
        <x:v>26</x:v>
      </x:c>
      <x:c r="L1421" s="18" t="n">
        <x:v>31</x:v>
      </x:c>
      <x:c r="M1421" s="18" t="n">
        <x:v>26</x:v>
      </x:c>
    </x:row>
    <x:row r="1422">
      <x:c r="A1422" s="22" t="str">
        <x:v>500110068</x:v>
      </x:c>
      <x:c r="B1422" s="17" t="str">
        <x:v>松山區</x:v>
      </x:c>
      <x:c r="C1422" s="17" t="str">
        <x:v>長春慶城街口</x:v>
      </x:c>
      <x:c r="D1422" s="18" t="n">
        <x:v>26</x:v>
      </x:c>
      <x:c r="E1422" s="18" t="n">
        <x:v>26</x:v>
      </x:c>
      <x:c r="F1422" s="18" t="n">
        <x:v>89</x:v>
      </x:c>
      <x:c r="G1422" s="18" t="n">
        <x:v>26</x:v>
      </x:c>
      <x:c r="H1422" s="18" t="n">
        <x:v>31</x:v>
      </x:c>
      <x:c r="I1422" s="18" t="n">
        <x:v>26</x:v>
      </x:c>
      <x:c r="J1422" s="18" t="n">
        <x:v>418</x:v>
      </x:c>
      <x:c r="K1422" s="18" t="n">
        <x:v>26</x:v>
      </x:c>
      <x:c r="L1422" s="18" t="n">
        <x:v>45</x:v>
      </x:c>
      <x:c r="M1422" s="18" t="n">
        <x:v>26</x:v>
      </x:c>
    </x:row>
    <x:row r="1423">
      <x:c r="A1423" s="22" t="str">
        <x:v>500110069</x:v>
      </x:c>
      <x:c r="B1423" s="17" t="str">
        <x:v>松山區</x:v>
      </x:c>
      <x:c r="C1423" s="17" t="str">
        <x:v>八德路四段652巷口</x:v>
      </x:c>
      <x:c r="D1423" s="18" t="n">
        <x:v>26</x:v>
      </x:c>
      <x:c r="E1423" s="18" t="n">
        <x:v>26</x:v>
      </x:c>
      <x:c r="F1423" s="18" t="n">
        <x:v>297</x:v>
      </x:c>
      <x:c r="G1423" s="18" t="n">
        <x:v>26</x:v>
      </x:c>
      <x:c r="H1423" s="18" t="n">
        <x:v>40</x:v>
      </x:c>
      <x:c r="I1423" s="18" t="n">
        <x:v>26</x:v>
      </x:c>
      <x:c r="J1423" s="18" t="n">
        <x:v>96</x:v>
      </x:c>
      <x:c r="K1423" s="18" t="n">
        <x:v>26</x:v>
      </x:c>
      <x:c r="L1423" s="18" t="n">
        <x:v>41</x:v>
      </x:c>
      <x:c r="M1423" s="18" t="n">
        <x:v>26</x:v>
      </x:c>
    </x:row>
    <x:row r="1424">
      <x:c r="A1424" s="22" t="str">
        <x:v>500110070</x:v>
      </x:c>
      <x:c r="B1424" s="17" t="str">
        <x:v>松山區</x:v>
      </x:c>
      <x:c r="C1424" s="17" t="str">
        <x:v>捷運松山站(1號出口)</x:v>
      </x:c>
      <x:c r="D1424" s="18" t="n">
        <x:v>26</x:v>
      </x:c>
      <x:c r="E1424" s="18" t="n">
        <x:v>26</x:v>
      </x:c>
      <x:c r="F1424" s="18" t="n">
        <x:v>222</x:v>
      </x:c>
      <x:c r="G1424" s="18" t="n">
        <x:v>26</x:v>
      </x:c>
      <x:c r="H1424" s="18" t="n">
        <x:v>51</x:v>
      </x:c>
      <x:c r="I1424" s="18" t="n">
        <x:v>26</x:v>
      </x:c>
      <x:c r="J1424" s="18" t="n">
        <x:v>173</x:v>
      </x:c>
      <x:c r="K1424" s="18" t="n">
        <x:v>26</x:v>
      </x:c>
      <x:c r="L1424" s="18" t="n">
        <x:v>60</x:v>
      </x:c>
      <x:c r="M1424" s="18" t="n">
        <x:v>26</x:v>
      </x:c>
    </x:row>
    <x:row r="1425">
      <x:c r="A1425" s="22" t="str">
        <x:v>500110071</x:v>
      </x:c>
      <x:c r="B1425" s="17" t="str">
        <x:v>松山區</x:v>
      </x:c>
      <x:c r="C1425" s="17" t="str">
        <x:v>捷運小巨蛋站(3號出口)</x:v>
      </x:c>
      <x:c r="D1425" s="18" t="n">
        <x:v>26</x:v>
      </x:c>
      <x:c r="E1425" s="18" t="n">
        <x:v>26</x:v>
      </x:c>
      <x:c r="F1425" s="18" t="n">
        <x:v>448</x:v>
      </x:c>
      <x:c r="G1425" s="18" t="n">
        <x:v>26</x:v>
      </x:c>
      <x:c r="H1425" s="18" t="n">
        <x:v>49</x:v>
      </x:c>
      <x:c r="I1425" s="18" t="n">
        <x:v>26</x:v>
      </x:c>
      <x:c r="J1425" s="18" t="n">
        <x:v>114</x:v>
      </x:c>
      <x:c r="K1425" s="18" t="n">
        <x:v>26</x:v>
      </x:c>
      <x:c r="L1425" s="18" t="n">
        <x:v>34</x:v>
      </x:c>
      <x:c r="M1425" s="18" t="n">
        <x:v>26</x:v>
      </x:c>
    </x:row>
    <x:row r="1426">
      <x:c r="A1426" s="22" t="str">
        <x:v>500110072</x:v>
      </x:c>
      <x:c r="B1426" s="17" t="str">
        <x:v>松山區</x:v>
      </x:c>
      <x:c r="C1426" s="17" t="str">
        <x:v>捷運小巨蛋站(5號出口)_1</x:v>
      </x:c>
      <x:c r="D1426" s="18" t="n">
        <x:v>26</x:v>
      </x:c>
      <x:c r="E1426" s="18" t="n">
        <x:v>26</x:v>
      </x:c>
      <x:c r="F1426" s="18" t="n">
        <x:v>154</x:v>
      </x:c>
      <x:c r="G1426" s="18" t="n">
        <x:v>26</x:v>
      </x:c>
      <x:c r="H1426" s="18" t="n">
        <x:v>14</x:v>
      </x:c>
      <x:c r="I1426" s="18" t="n">
        <x:v>26</x:v>
      </x:c>
      <x:c r="J1426" s="18" t="n">
        <x:v>131</x:v>
      </x:c>
      <x:c r="K1426" s="18" t="n">
        <x:v>26</x:v>
      </x:c>
      <x:c r="L1426" s="18" t="n">
        <x:v>32</x:v>
      </x:c>
      <x:c r="M1426" s="18" t="n">
        <x:v>26</x:v>
      </x:c>
    </x:row>
    <x:row r="1427">
      <x:c r="A1427" s="22" t="str">
        <x:v>500110073</x:v>
      </x:c>
      <x:c r="B1427" s="17" t="str">
        <x:v>松山區</x:v>
      </x:c>
      <x:c r="C1427" s="17" t="str">
        <x:v>敦化北路155巷口</x:v>
      </x:c>
      <x:c r="D1427" s="18" t="n">
        <x:v>26</x:v>
      </x:c>
      <x:c r="E1427" s="18" t="n">
        <x:v>26</x:v>
      </x:c>
      <x:c r="F1427" s="18" t="n">
        <x:v>131</x:v>
      </x:c>
      <x:c r="G1427" s="18" t="n">
        <x:v>26</x:v>
      </x:c>
      <x:c r="H1427" s="18" t="n">
        <x:v>22</x:v>
      </x:c>
      <x:c r="I1427" s="18" t="n">
        <x:v>26</x:v>
      </x:c>
      <x:c r="J1427" s="18" t="n">
        <x:v>771</x:v>
      </x:c>
      <x:c r="K1427" s="18" t="n">
        <x:v>26</x:v>
      </x:c>
      <x:c r="L1427" s="18" t="n">
        <x:v>77</x:v>
      </x:c>
      <x:c r="M1427" s="18" t="n">
        <x:v>26</x:v>
      </x:c>
    </x:row>
    <x:row r="1428">
      <x:c r="A1428" s="22" t="str">
        <x:v>500110074</x:v>
      </x:c>
      <x:c r="B1428" s="17" t="str">
        <x:v>松山區</x:v>
      </x:c>
      <x:c r="C1428" s="17" t="str">
        <x:v>民生復興路口</x:v>
      </x:c>
      <x:c r="D1428" s="18" t="n">
        <x:v>26</x:v>
      </x:c>
      <x:c r="E1428" s="18" t="n">
        <x:v>26</x:v>
      </x:c>
      <x:c r="F1428" s="18" t="n">
        <x:v>120</x:v>
      </x:c>
      <x:c r="G1428" s="18" t="n">
        <x:v>26</x:v>
      </x:c>
      <x:c r="H1428" s="18" t="n">
        <x:v>41</x:v>
      </x:c>
      <x:c r="I1428" s="18" t="n">
        <x:v>26</x:v>
      </x:c>
      <x:c r="J1428" s="18" t="n">
        <x:v>361</x:v>
      </x:c>
      <x:c r="K1428" s="18" t="n">
        <x:v>26</x:v>
      </x:c>
      <x:c r="L1428" s="18" t="n">
        <x:v>80</x:v>
      </x:c>
      <x:c r="M1428" s="18" t="n">
        <x:v>26</x:v>
      </x:c>
    </x:row>
    <x:row r="1429">
      <x:c r="A1429" s="22" t="str">
        <x:v>500110075</x:v>
      </x:c>
      <x:c r="B1429" s="17" t="str">
        <x:v>松山區</x:v>
      </x:c>
      <x:c r="C1429" s="17" t="str">
        <x:v>中山國中(民權東路三段106巷3弄)</x:v>
      </x:c>
      <x:c r="D1429" s="18" t="n">
        <x:v>26</x:v>
      </x:c>
      <x:c r="E1429" s="18" t="n">
        <x:v>26</x:v>
      </x:c>
      <x:c r="F1429" s="18" t="n">
        <x:v>0</x:v>
      </x:c>
      <x:c r="G1429" s="18" t="n">
        <x:v>26</x:v>
      </x:c>
      <x:c r="H1429" s="18" t="n">
        <x:v>0</x:v>
      </x:c>
      <x:c r="I1429" s="18" t="n">
        <x:v>26</x:v>
      </x:c>
      <x:c r="J1429" s="18" t="n">
        <x:v>0</x:v>
      </x:c>
      <x:c r="K1429" s="18" t="n">
        <x:v>26</x:v>
      </x:c>
      <x:c r="L1429" s="18" t="n">
        <x:v>0</x:v>
      </x:c>
      <x:c r="M1429" s="18" t="n">
        <x:v>26</x:v>
      </x:c>
    </x:row>
    <x:row r="1430">
      <x:c r="A1430" s="22" t="str">
        <x:v>500110076</x:v>
      </x:c>
      <x:c r="B1430" s="17" t="str">
        <x:v>松山區</x:v>
      </x:c>
      <x:c r="C1430" s="17" t="str">
        <x:v>市民延吉街口</x:v>
      </x:c>
      <x:c r="D1430" s="18" t="n">
        <x:v>26</x:v>
      </x:c>
      <x:c r="E1430" s="18" t="n">
        <x:v>26</x:v>
      </x:c>
      <x:c r="F1430" s="18" t="n">
        <x:v>343</x:v>
      </x:c>
      <x:c r="G1430" s="18" t="n">
        <x:v>26</x:v>
      </x:c>
      <x:c r="H1430" s="18" t="n">
        <x:v>46</x:v>
      </x:c>
      <x:c r="I1430" s="18" t="n">
        <x:v>26</x:v>
      </x:c>
      <x:c r="J1430" s="18" t="n">
        <x:v>131</x:v>
      </x:c>
      <x:c r="K1430" s="18" t="n">
        <x:v>26</x:v>
      </x:c>
      <x:c r="L1430" s="18" t="n">
        <x:v>30</x:v>
      </x:c>
      <x:c r="M1430" s="18" t="n">
        <x:v>26</x:v>
      </x:c>
    </x:row>
    <x:row r="1431">
      <x:c r="A1431" s="22" t="str">
        <x:v>500110077</x:v>
      </x:c>
      <x:c r="B1431" s="17" t="str">
        <x:v>松山區</x:v>
      </x:c>
      <x:c r="C1431" s="17" t="str">
        <x:v>龍城市場</x:v>
      </x:c>
      <x:c r="D1431" s="18" t="n">
        <x:v>26</x:v>
      </x:c>
      <x:c r="E1431" s="18" t="n">
        <x:v>26</x:v>
      </x:c>
      <x:c r="F1431" s="18" t="n">
        <x:v>375</x:v>
      </x:c>
      <x:c r="G1431" s="18" t="n">
        <x:v>26</x:v>
      </x:c>
      <x:c r="H1431" s="18" t="n">
        <x:v>69</x:v>
      </x:c>
      <x:c r="I1431" s="18" t="n">
        <x:v>26</x:v>
      </x:c>
      <x:c r="J1431" s="18" t="n">
        <x:v>93</x:v>
      </x:c>
      <x:c r="K1431" s="18" t="n">
        <x:v>26</x:v>
      </x:c>
      <x:c r="L1431" s="18" t="n">
        <x:v>19</x:v>
      </x:c>
      <x:c r="M1431" s="18" t="n">
        <x:v>26</x:v>
      </x:c>
    </x:row>
    <x:row r="1432">
      <x:c r="A1432" s="22" t="str">
        <x:v>500110078</x:v>
      </x:c>
      <x:c r="B1432" s="17" t="str">
        <x:v>松山區</x:v>
      </x:c>
      <x:c r="C1432" s="17" t="str">
        <x:v>捷運南京三民站(3號出口)</x:v>
      </x:c>
      <x:c r="D1432" s="18" t="n">
        <x:v>26</x:v>
      </x:c>
      <x:c r="E1432" s="18" t="n">
        <x:v>26</x:v>
      </x:c>
      <x:c r="F1432" s="18" t="n">
        <x:v>350</x:v>
      </x:c>
      <x:c r="G1432" s="18" t="n">
        <x:v>26</x:v>
      </x:c>
      <x:c r="H1432" s="18" t="n">
        <x:v>49</x:v>
      </x:c>
      <x:c r="I1432" s="18" t="n">
        <x:v>26</x:v>
      </x:c>
      <x:c r="J1432" s="18" t="n">
        <x:v>116</x:v>
      </x:c>
      <x:c r="K1432" s="18" t="n">
        <x:v>26</x:v>
      </x:c>
      <x:c r="L1432" s="18" t="n">
        <x:v>38</x:v>
      </x:c>
      <x:c r="M1432" s="18" t="n">
        <x:v>26</x:v>
      </x:c>
    </x:row>
    <x:row r="1433">
      <x:c r="A1433" s="22" t="str">
        <x:v>500110079</x:v>
      </x:c>
      <x:c r="B1433" s="17" t="str">
        <x:v>松山區</x:v>
      </x:c>
      <x:c r="C1433" s="17" t="str">
        <x:v>塔悠基隆路口(麥帥一橋下)</x:v>
      </x:c>
      <x:c r="D1433" s="18" t="n">
        <x:v>26</x:v>
      </x:c>
      <x:c r="E1433" s="18" t="n">
        <x:v>26</x:v>
      </x:c>
      <x:c r="F1433" s="18" t="n">
        <x:v>213</x:v>
      </x:c>
      <x:c r="G1433" s="18" t="n">
        <x:v>26</x:v>
      </x:c>
      <x:c r="H1433" s="18" t="n">
        <x:v>61</x:v>
      </x:c>
      <x:c r="I1433" s="18" t="n">
        <x:v>26</x:v>
      </x:c>
      <x:c r="J1433" s="18" t="n">
        <x:v>156</x:v>
      </x:c>
      <x:c r="K1433" s="18" t="n">
        <x:v>26</x:v>
      </x:c>
      <x:c r="L1433" s="18" t="n">
        <x:v>40</x:v>
      </x:c>
      <x:c r="M1433" s="18" t="n">
        <x:v>26</x:v>
      </x:c>
    </x:row>
    <x:row r="1434">
      <x:c r="A1434" s="22" t="str">
        <x:v>500110080</x:v>
      </x:c>
      <x:c r="B1434" s="17" t="str">
        <x:v>松山區</x:v>
      </x:c>
      <x:c r="C1434" s="17" t="str">
        <x:v>五常街370巷</x:v>
      </x:c>
      <x:c r="D1434" s="18" t="n">
        <x:v>26</x:v>
      </x:c>
      <x:c r="E1434" s="18" t="n">
        <x:v>26</x:v>
      </x:c>
      <x:c r="F1434" s="18" t="n">
        <x:v>130</x:v>
      </x:c>
      <x:c r="G1434" s="18" t="n">
        <x:v>26</x:v>
      </x:c>
      <x:c r="H1434" s="18" t="n">
        <x:v>20</x:v>
      </x:c>
      <x:c r="I1434" s="18" t="n">
        <x:v>26</x:v>
      </x:c>
      <x:c r="J1434" s="18" t="n">
        <x:v>105</x:v>
      </x:c>
      <x:c r="K1434" s="18" t="n">
        <x:v>26</x:v>
      </x:c>
      <x:c r="L1434" s="18" t="n">
        <x:v>32</x:v>
      </x:c>
      <x:c r="M1434" s="18" t="n">
        <x:v>26</x:v>
      </x:c>
    </x:row>
    <x:row r="1435">
      <x:c r="A1435" s="22" t="str">
        <x:v>500110081</x:v>
      </x:c>
      <x:c r="B1435" s="17" t="str">
        <x:v>松山區</x:v>
      </x:c>
      <x:c r="C1435" s="17" t="str">
        <x:v>延壽街119巷口</x:v>
      </x:c>
      <x:c r="D1435" s="18" t="n">
        <x:v>26</x:v>
      </x:c>
      <x:c r="E1435" s="18" t="n">
        <x:v>26</x:v>
      </x:c>
      <x:c r="F1435" s="18" t="n">
        <x:v>191</x:v>
      </x:c>
      <x:c r="G1435" s="18" t="n">
        <x:v>26</x:v>
      </x:c>
      <x:c r="H1435" s="18" t="n">
        <x:v>67</x:v>
      </x:c>
      <x:c r="I1435" s="18" t="n">
        <x:v>26</x:v>
      </x:c>
      <x:c r="J1435" s="18" t="n">
        <x:v>103</x:v>
      </x:c>
      <x:c r="K1435" s="18" t="n">
        <x:v>26</x:v>
      </x:c>
      <x:c r="L1435" s="18" t="n">
        <x:v>37</x:v>
      </x:c>
      <x:c r="M1435" s="18" t="n">
        <x:v>26</x:v>
      </x:c>
    </x:row>
    <x:row r="1436">
      <x:c r="A1436" s="22" t="str">
        <x:v>500110082</x:v>
      </x:c>
      <x:c r="B1436" s="17" t="str">
        <x:v>松山區</x:v>
      </x:c>
      <x:c r="C1436" s="17" t="str">
        <x:v>市民東寧路口</x:v>
      </x:c>
      <x:c r="D1436" s="18" t="n">
        <x:v>26</x:v>
      </x:c>
      <x:c r="E1436" s="18" t="n">
        <x:v>26</x:v>
      </x:c>
      <x:c r="F1436" s="18" t="n">
        <x:v>296</x:v>
      </x:c>
      <x:c r="G1436" s="18" t="n">
        <x:v>26</x:v>
      </x:c>
      <x:c r="H1436" s="18" t="n">
        <x:v>27</x:v>
      </x:c>
      <x:c r="I1436" s="18" t="n">
        <x:v>26</x:v>
      </x:c>
      <x:c r="J1436" s="18" t="n">
        <x:v>193</x:v>
      </x:c>
      <x:c r="K1436" s="18" t="n">
        <x:v>26</x:v>
      </x:c>
      <x:c r="L1436" s="18" t="n">
        <x:v>38</x:v>
      </x:c>
      <x:c r="M1436" s="18" t="n">
        <x:v>26</x:v>
      </x:c>
    </x:row>
    <x:row r="1437">
      <x:c r="A1437" s="22" t="str">
        <x:v>500110083</x:v>
      </x:c>
      <x:c r="B1437" s="17" t="str">
        <x:v>松山區</x:v>
      </x:c>
      <x:c r="C1437" s="17" t="str">
        <x:v>民福簡易綠地</x:v>
      </x:c>
      <x:c r="D1437" s="18" t="n">
        <x:v>26</x:v>
      </x:c>
      <x:c r="E1437" s="18" t="n">
        <x:v>26</x:v>
      </x:c>
      <x:c r="F1437" s="18" t="n">
        <x:v>199</x:v>
      </x:c>
      <x:c r="G1437" s="18" t="n">
        <x:v>26</x:v>
      </x:c>
      <x:c r="H1437" s="18" t="n">
        <x:v>71</x:v>
      </x:c>
      <x:c r="I1437" s="18" t="n">
        <x:v>26</x:v>
      </x:c>
      <x:c r="J1437" s="18" t="n">
        <x:v>71</x:v>
      </x:c>
      <x:c r="K1437" s="18" t="n">
        <x:v>26</x:v>
      </x:c>
      <x:c r="L1437" s="18" t="n">
        <x:v>38</x:v>
      </x:c>
      <x:c r="M1437" s="18" t="n">
        <x:v>26</x:v>
      </x:c>
    </x:row>
    <x:row r="1438">
      <x:c r="A1438" s="22" t="str">
        <x:v>500110084</x:v>
      </x:c>
      <x:c r="B1438" s="17" t="str">
        <x:v>松山區</x:v>
      </x:c>
      <x:c r="C1438" s="17" t="str">
        <x:v>三民國小(撫遠街)</x:v>
      </x:c>
      <x:c r="D1438" s="18" t="n">
        <x:v>26</x:v>
      </x:c>
      <x:c r="E1438" s="18" t="n">
        <x:v>26</x:v>
      </x:c>
      <x:c r="F1438" s="18" t="n">
        <x:v>556</x:v>
      </x:c>
      <x:c r="G1438" s="18" t="n">
        <x:v>26</x:v>
      </x:c>
      <x:c r="H1438" s="18" t="n">
        <x:v>131</x:v>
      </x:c>
      <x:c r="I1438" s="18" t="n">
        <x:v>26</x:v>
      </x:c>
      <x:c r="J1438" s="18" t="n">
        <x:v>167</x:v>
      </x:c>
      <x:c r="K1438" s="18" t="n">
        <x:v>26</x:v>
      </x:c>
      <x:c r="L1438" s="18" t="n">
        <x:v>32</x:v>
      </x:c>
      <x:c r="M1438" s="18" t="n">
        <x:v>26</x:v>
      </x:c>
    </x:row>
    <x:row r="1439">
      <x:c r="A1439" s="22" t="str">
        <x:v>500110085</x:v>
      </x:c>
      <x:c r="B1439" s="17" t="str">
        <x:v>松山區</x:v>
      </x:c>
      <x:c r="C1439" s="17" t="str">
        <x:v>民生郵局</x:v>
      </x:c>
      <x:c r="D1439" s="18" t="n">
        <x:v>26</x:v>
      </x:c>
      <x:c r="E1439" s="18" t="n">
        <x:v>26</x:v>
      </x:c>
      <x:c r="F1439" s="18" t="n">
        <x:v>256</x:v>
      </x:c>
      <x:c r="G1439" s="18" t="n">
        <x:v>26</x:v>
      </x:c>
      <x:c r="H1439" s="18" t="n">
        <x:v>30</x:v>
      </x:c>
      <x:c r="I1439" s="18" t="n">
        <x:v>26</x:v>
      </x:c>
      <x:c r="J1439" s="18" t="n">
        <x:v>134</x:v>
      </x:c>
      <x:c r="K1439" s="18" t="n">
        <x:v>26</x:v>
      </x:c>
      <x:c r="L1439" s="18" t="n">
        <x:v>28</x:v>
      </x:c>
      <x:c r="M1439" s="18" t="n">
        <x:v>26</x:v>
      </x:c>
    </x:row>
    <x:row r="1440">
      <x:c r="A1440" s="22" t="str">
        <x:v>500110086</x:v>
      </x:c>
      <x:c r="B1440" s="17" t="str">
        <x:v>松山區</x:v>
      </x:c>
      <x:c r="C1440" s="17" t="str">
        <x:v>民權敦化路口(西北側)</x:v>
      </x:c>
      <x:c r="D1440" s="18" t="n">
        <x:v>26</x:v>
      </x:c>
      <x:c r="E1440" s="18" t="n">
        <x:v>26</x:v>
      </x:c>
      <x:c r="F1440" s="18" t="n">
        <x:v>343</x:v>
      </x:c>
      <x:c r="G1440" s="18" t="n">
        <x:v>26</x:v>
      </x:c>
      <x:c r="H1440" s="18" t="n">
        <x:v>94</x:v>
      </x:c>
      <x:c r="I1440" s="18" t="n">
        <x:v>26</x:v>
      </x:c>
      <x:c r="J1440" s="18" t="n">
        <x:v>189</x:v>
      </x:c>
      <x:c r="K1440" s="18" t="n">
        <x:v>26</x:v>
      </x:c>
      <x:c r="L1440" s="18" t="n">
        <x:v>44</x:v>
      </x:c>
      <x:c r="M1440" s="18" t="n">
        <x:v>26</x:v>
      </x:c>
    </x:row>
    <x:row r="1441">
      <x:c r="A1441" s="22" t="str">
        <x:v>500110087</x:v>
      </x:c>
      <x:c r="B1441" s="17" t="str">
        <x:v>松山區</x:v>
      </x:c>
      <x:c r="C1441" s="17" t="str">
        <x:v>寶清八德路口(北側)</x:v>
      </x:c>
      <x:c r="D1441" s="18" t="n">
        <x:v>26</x:v>
      </x:c>
      <x:c r="E1441" s="18" t="n">
        <x:v>26</x:v>
      </x:c>
      <x:c r="F1441" s="18" t="n">
        <x:v>467</x:v>
      </x:c>
      <x:c r="G1441" s="18" t="n">
        <x:v>26</x:v>
      </x:c>
      <x:c r="H1441" s="18" t="n">
        <x:v>92</x:v>
      </x:c>
      <x:c r="I1441" s="18" t="n">
        <x:v>26</x:v>
      </x:c>
      <x:c r="J1441" s="18" t="n">
        <x:v>137</x:v>
      </x:c>
      <x:c r="K1441" s="18" t="n">
        <x:v>26</x:v>
      </x:c>
      <x:c r="L1441" s="18" t="n">
        <x:v>22</x:v>
      </x:c>
      <x:c r="M1441" s="18" t="n">
        <x:v>26</x:v>
      </x:c>
    </x:row>
    <x:row r="1442">
      <x:c r="A1442" s="22" t="str">
        <x:v>500110088</x:v>
      </x:c>
      <x:c r="B1442" s="17" t="str">
        <x:v>松山區</x:v>
      </x:c>
      <x:c r="C1442" s="17" t="str">
        <x:v>民生東路三段140巷口</x:v>
      </x:c>
      <x:c r="D1442" s="18" t="n">
        <x:v>26</x:v>
      </x:c>
      <x:c r="E1442" s="18" t="n">
        <x:v>26</x:v>
      </x:c>
      <x:c r="F1442" s="18" t="n">
        <x:v>97</x:v>
      </x:c>
      <x:c r="G1442" s="18" t="n">
        <x:v>26</x:v>
      </x:c>
      <x:c r="H1442" s="18" t="n">
        <x:v>21</x:v>
      </x:c>
      <x:c r="I1442" s="18" t="n">
        <x:v>26</x:v>
      </x:c>
      <x:c r="J1442" s="18" t="n">
        <x:v>209</x:v>
      </x:c>
      <x:c r="K1442" s="18" t="n">
        <x:v>26</x:v>
      </x:c>
      <x:c r="L1442" s="18" t="n">
        <x:v>54</x:v>
      </x:c>
      <x:c r="M1442" s="18" t="n">
        <x:v>26</x:v>
      </x:c>
    </x:row>
    <x:row r="1443">
      <x:c r="A1443" s="22" t="str">
        <x:v>500110089</x:v>
      </x:c>
      <x:c r="B1443" s="17" t="str">
        <x:v>松山區</x:v>
      </x:c>
      <x:c r="C1443" s="17" t="str">
        <x:v>新東延壽街口</x:v>
      </x:c>
      <x:c r="D1443" s="18" t="n">
        <x:v>26</x:v>
      </x:c>
      <x:c r="E1443" s="18" t="n">
        <x:v>26</x:v>
      </x:c>
      <x:c r="F1443" s="18" t="n">
        <x:v>373</x:v>
      </x:c>
      <x:c r="G1443" s="18" t="n">
        <x:v>26</x:v>
      </x:c>
      <x:c r="H1443" s="18" t="n">
        <x:v>75</x:v>
      </x:c>
      <x:c r="I1443" s="18" t="n">
        <x:v>26</x:v>
      </x:c>
      <x:c r="J1443" s="18" t="n">
        <x:v>110</x:v>
      </x:c>
      <x:c r="K1443" s="18" t="n">
        <x:v>26</x:v>
      </x:c>
      <x:c r="L1443" s="18" t="n">
        <x:v>31</x:v>
      </x:c>
      <x:c r="M1443" s="18" t="n">
        <x:v>26</x:v>
      </x:c>
    </x:row>
    <x:row r="1444">
      <x:c r="A1444" s="22" t="str">
        <x:v>500110090</x:v>
      </x:c>
      <x:c r="B1444" s="17" t="str">
        <x:v>松山區</x:v>
      </x:c>
      <x:c r="C1444" s="17" t="str">
        <x:v>健康公園</x:v>
      </x:c>
      <x:c r="D1444" s="18" t="n">
        <x:v>26</x:v>
      </x:c>
      <x:c r="E1444" s="18" t="n">
        <x:v>26</x:v>
      </x:c>
      <x:c r="F1444" s="18" t="n">
        <x:v>506</x:v>
      </x:c>
      <x:c r="G1444" s="18" t="n">
        <x:v>26</x:v>
      </x:c>
      <x:c r="H1444" s="18" t="n">
        <x:v>71</x:v>
      </x:c>
      <x:c r="I1444" s="18" t="n">
        <x:v>26</x:v>
      </x:c>
      <x:c r="J1444" s="18" t="n">
        <x:v>104</x:v>
      </x:c>
      <x:c r="K1444" s="18" t="n">
        <x:v>26</x:v>
      </x:c>
      <x:c r="L1444" s="18" t="n">
        <x:v>32</x:v>
      </x:c>
      <x:c r="M1444" s="18" t="n">
        <x:v>26</x:v>
      </x:c>
    </x:row>
    <x:row r="1445">
      <x:c r="A1445" s="22" t="str">
        <x:v>500110091</x:v>
      </x:c>
      <x:c r="B1445" s="17" t="str">
        <x:v>松山區</x:v>
      </x:c>
      <x:c r="C1445" s="17" t="str">
        <x:v>新中街4巷口</x:v>
      </x:c>
      <x:c r="D1445" s="18" t="n">
        <x:v>26</x:v>
      </x:c>
      <x:c r="E1445" s="18" t="n">
        <x:v>26</x:v>
      </x:c>
      <x:c r="F1445" s="18" t="n">
        <x:v>831</x:v>
      </x:c>
      <x:c r="G1445" s="18" t="n">
        <x:v>26</x:v>
      </x:c>
      <x:c r="H1445" s="18" t="n">
        <x:v>61</x:v>
      </x:c>
      <x:c r="I1445" s="18" t="n">
        <x:v>26</x:v>
      </x:c>
      <x:c r="J1445" s="18" t="n">
        <x:v>218</x:v>
      </x:c>
      <x:c r="K1445" s="18" t="n">
        <x:v>26</x:v>
      </x:c>
      <x:c r="L1445" s="18" t="n">
        <x:v>54</x:v>
      </x:c>
      <x:c r="M1445" s="18" t="n">
        <x:v>26</x:v>
      </x:c>
    </x:row>
    <x:row r="1446">
      <x:c r="A1446" s="22" t="str">
        <x:v>500110092</x:v>
      </x:c>
      <x:c r="B1446" s="17" t="str">
        <x:v>松山區</x:v>
      </x:c>
      <x:c r="C1446" s="17" t="str">
        <x:v>光復北富錦街口</x:v>
      </x:c>
      <x:c r="D1446" s="18" t="n">
        <x:v>26</x:v>
      </x:c>
      <x:c r="E1446" s="18" t="n">
        <x:v>26</x:v>
      </x:c>
      <x:c r="F1446" s="18" t="n">
        <x:v>186</x:v>
      </x:c>
      <x:c r="G1446" s="18" t="n">
        <x:v>26</x:v>
      </x:c>
      <x:c r="H1446" s="18" t="n">
        <x:v>24</x:v>
      </x:c>
      <x:c r="I1446" s="18" t="n">
        <x:v>26</x:v>
      </x:c>
      <x:c r="J1446" s="18" t="n">
        <x:v>265</x:v>
      </x:c>
      <x:c r="K1446" s="18" t="n">
        <x:v>26</x:v>
      </x:c>
      <x:c r="L1446" s="18" t="n">
        <x:v>37</x:v>
      </x:c>
      <x:c r="M1446" s="18" t="n">
        <x:v>26</x:v>
      </x:c>
    </x:row>
    <x:row r="1447">
      <x:c r="A1447" s="22" t="str">
        <x:v>500110093</x:v>
      </x:c>
      <x:c r="B1447" s="17" t="str">
        <x:v>松山區</x:v>
      </x:c>
      <x:c r="C1447" s="17" t="str">
        <x:v>松山國小(東北側)</x:v>
      </x:c>
      <x:c r="D1447" s="18" t="n">
        <x:v>26</x:v>
      </x:c>
      <x:c r="E1447" s="18" t="n">
        <x:v>26</x:v>
      </x:c>
      <x:c r="F1447" s="18" t="n">
        <x:v>315</x:v>
      </x:c>
      <x:c r="G1447" s="18" t="n">
        <x:v>26</x:v>
      </x:c>
      <x:c r="H1447" s="18" t="n">
        <x:v>41</x:v>
      </x:c>
      <x:c r="I1447" s="18" t="n">
        <x:v>26</x:v>
      </x:c>
      <x:c r="J1447" s="18" t="n">
        <x:v>113</x:v>
      </x:c>
      <x:c r="K1447" s="18" t="n">
        <x:v>26</x:v>
      </x:c>
      <x:c r="L1447" s="18" t="n">
        <x:v>26</x:v>
      </x:c>
      <x:c r="M1447" s="18" t="n">
        <x:v>26</x:v>
      </x:c>
    </x:row>
    <x:row r="1448">
      <x:c r="A1448" s="22" t="str">
        <x:v>500110094</x:v>
      </x:c>
      <x:c r="B1448" s="17" t="str">
        <x:v>松山區</x:v>
      </x:c>
      <x:c r="C1448" s="17" t="str">
        <x:v>撫遠街403巷</x:v>
      </x:c>
      <x:c r="D1448" s="18" t="n">
        <x:v>26</x:v>
      </x:c>
      <x:c r="E1448" s="18" t="n">
        <x:v>26</x:v>
      </x:c>
      <x:c r="F1448" s="18" t="n">
        <x:v>400</x:v>
      </x:c>
      <x:c r="G1448" s="18" t="n">
        <x:v>26</x:v>
      </x:c>
      <x:c r="H1448" s="18" t="n">
        <x:v>88</x:v>
      </x:c>
      <x:c r="I1448" s="18" t="n">
        <x:v>26</x:v>
      </x:c>
      <x:c r="J1448" s="18" t="n">
        <x:v>309</x:v>
      </x:c>
      <x:c r="K1448" s="18" t="n">
        <x:v>26</x:v>
      </x:c>
      <x:c r="L1448" s="18" t="n">
        <x:v>58</x:v>
      </x:c>
      <x:c r="M1448" s="18" t="n">
        <x:v>26</x:v>
      </x:c>
    </x:row>
    <x:row r="1449">
      <x:c r="A1449" s="22" t="str">
        <x:v>500110095</x:v>
      </x:c>
      <x:c r="B1449" s="17" t="str">
        <x:v>松山區</x:v>
      </x:c>
      <x:c r="C1449" s="17" t="str">
        <x:v>基六號疏散門</x:v>
      </x:c>
      <x:c r="D1449" s="18" t="n">
        <x:v>26</x:v>
      </x:c>
      <x:c r="E1449" s="18" t="n">
        <x:v>26</x:v>
      </x:c>
      <x:c r="F1449" s="18" t="n">
        <x:v>203</x:v>
      </x:c>
      <x:c r="G1449" s="18" t="n">
        <x:v>26</x:v>
      </x:c>
      <x:c r="H1449" s="18" t="n">
        <x:v>71</x:v>
      </x:c>
      <x:c r="I1449" s="18" t="n">
        <x:v>26</x:v>
      </x:c>
      <x:c r="J1449" s="18" t="n">
        <x:v>143</x:v>
      </x:c>
      <x:c r="K1449" s="18" t="n">
        <x:v>26</x:v>
      </x:c>
      <x:c r="L1449" s="18" t="n">
        <x:v>61</x:v>
      </x:c>
      <x:c r="M1449" s="18" t="n">
        <x:v>26</x:v>
      </x:c>
    </x:row>
    <x:row r="1450">
      <x:c r="A1450" s="22" t="str">
        <x:v>500110096</x:v>
      </x:c>
      <x:c r="B1450" s="17" t="str">
        <x:v>松山區</x:v>
      </x:c>
      <x:c r="C1450" s="17" t="str">
        <x:v>民權三民路口</x:v>
      </x:c>
      <x:c r="D1450" s="18" t="n">
        <x:v>26</x:v>
      </x:c>
      <x:c r="E1450" s="18" t="n">
        <x:v>26</x:v>
      </x:c>
      <x:c r="F1450" s="18" t="n">
        <x:v>221</x:v>
      </x:c>
      <x:c r="G1450" s="18" t="n">
        <x:v>26</x:v>
      </x:c>
      <x:c r="H1450" s="18" t="n">
        <x:v>40</x:v>
      </x:c>
      <x:c r="I1450" s="18" t="n">
        <x:v>26</x:v>
      </x:c>
      <x:c r="J1450" s="18" t="n">
        <x:v>158</x:v>
      </x:c>
      <x:c r="K1450" s="18" t="n">
        <x:v>26</x:v>
      </x:c>
      <x:c r="L1450" s="18" t="n">
        <x:v>39</x:v>
      </x:c>
      <x:c r="M1450" s="18" t="n">
        <x:v>26</x:v>
      </x:c>
    </x:row>
    <x:row r="1451">
      <x:c r="A1451" s="22" t="str">
        <x:v>500110097</x:v>
      </x:c>
      <x:c r="B1451" s="17" t="str">
        <x:v>松山區</x:v>
      </x:c>
      <x:c r="C1451" s="17" t="str">
        <x:v>民權運動公園(北側)</x:v>
      </x:c>
      <x:c r="D1451" s="18" t="n">
        <x:v>26</x:v>
      </x:c>
      <x:c r="E1451" s="18" t="n">
        <x:v>26</x:v>
      </x:c>
      <x:c r="F1451" s="18" t="n">
        <x:v>143</x:v>
      </x:c>
      <x:c r="G1451" s="18" t="n">
        <x:v>26</x:v>
      </x:c>
      <x:c r="H1451" s="18" t="n">
        <x:v>38</x:v>
      </x:c>
      <x:c r="I1451" s="18" t="n">
        <x:v>26</x:v>
      </x:c>
      <x:c r="J1451" s="18" t="n">
        <x:v>171</x:v>
      </x:c>
      <x:c r="K1451" s="18" t="n">
        <x:v>26</x:v>
      </x:c>
      <x:c r="L1451" s="18" t="n">
        <x:v>63</x:v>
      </x:c>
      <x:c r="M1451" s="18" t="n">
        <x:v>26</x:v>
      </x:c>
    </x:row>
    <x:row r="1452">
      <x:c r="A1452" s="22" t="str">
        <x:v>500110098</x:v>
      </x:c>
      <x:c r="B1452" s="17" t="str">
        <x:v>松山區</x:v>
      </x:c>
      <x:c r="C1452" s="17" t="str">
        <x:v>中崙高中停車場</x:v>
      </x:c>
      <x:c r="D1452" s="18" t="n">
        <x:v>26</x:v>
      </x:c>
      <x:c r="E1452" s="18" t="n">
        <x:v>26</x:v>
      </x:c>
      <x:c r="F1452" s="18" t="n">
        <x:v>238</x:v>
      </x:c>
      <x:c r="G1452" s="18" t="n">
        <x:v>26</x:v>
      </x:c>
      <x:c r="H1452" s="18" t="n">
        <x:v>55</x:v>
      </x:c>
      <x:c r="I1452" s="18" t="n">
        <x:v>26</x:v>
      </x:c>
      <x:c r="J1452" s="18" t="n">
        <x:v>202</x:v>
      </x:c>
      <x:c r="K1452" s="18" t="n">
        <x:v>26</x:v>
      </x:c>
      <x:c r="L1452" s="18" t="n">
        <x:v>55</x:v>
      </x:c>
      <x:c r="M1452" s="18" t="n">
        <x:v>26</x:v>
      </x:c>
    </x:row>
    <x:row r="1453">
      <x:c r="A1453" s="22" t="str">
        <x:v>500110099</x:v>
      </x:c>
      <x:c r="B1453" s="17" t="str">
        <x:v>松山區</x:v>
      </x:c>
      <x:c r="C1453" s="17" t="str">
        <x:v>光復延壽街口(西北側)</x:v>
      </x:c>
      <x:c r="D1453" s="18" t="n">
        <x:v>26</x:v>
      </x:c>
      <x:c r="E1453" s="18" t="n">
        <x:v>26</x:v>
      </x:c>
      <x:c r="F1453" s="18" t="n">
        <x:v>314</x:v>
      </x:c>
      <x:c r="G1453" s="18" t="n">
        <x:v>26</x:v>
      </x:c>
      <x:c r="H1453" s="18" t="n">
        <x:v>48</x:v>
      </x:c>
      <x:c r="I1453" s="18" t="n">
        <x:v>26</x:v>
      </x:c>
      <x:c r="J1453" s="18" t="n">
        <x:v>161</x:v>
      </x:c>
      <x:c r="K1453" s="18" t="n">
        <x:v>26</x:v>
      </x:c>
      <x:c r="L1453" s="18" t="n">
        <x:v>39</x:v>
      </x:c>
      <x:c r="M1453" s="18" t="n">
        <x:v>26</x:v>
      </x:c>
    </x:row>
    <x:row r="1454">
      <x:c r="A1454" s="22" t="str">
        <x:v>500110100</x:v>
      </x:c>
      <x:c r="B1454" s="17" t="str">
        <x:v>松山區</x:v>
      </x:c>
      <x:c r="C1454" s="17" t="str">
        <x:v>富錦新東街口(西側)</x:v>
      </x:c>
      <x:c r="D1454" s="18" t="n">
        <x:v>26</x:v>
      </x:c>
      <x:c r="E1454" s="18" t="n">
        <x:v>26</x:v>
      </x:c>
      <x:c r="F1454" s="18" t="n">
        <x:v>153</x:v>
      </x:c>
      <x:c r="G1454" s="18" t="n">
        <x:v>26</x:v>
      </x:c>
      <x:c r="H1454" s="18" t="n">
        <x:v>46</x:v>
      </x:c>
      <x:c r="I1454" s="18" t="n">
        <x:v>26</x:v>
      </x:c>
      <x:c r="J1454" s="18" t="n">
        <x:v>59</x:v>
      </x:c>
      <x:c r="K1454" s="18" t="n">
        <x:v>26</x:v>
      </x:c>
      <x:c r="L1454" s="18" t="n">
        <x:v>17</x:v>
      </x:c>
      <x:c r="M1454" s="18" t="n">
        <x:v>26</x:v>
      </x:c>
    </x:row>
    <x:row r="1455">
      <x:c r="A1455" s="22" t="str">
        <x:v>500110101</x:v>
      </x:c>
      <x:c r="B1455" s="17" t="str">
        <x:v>松山區</x:v>
      </x:c>
      <x:c r="C1455" s="17" t="str">
        <x:v>延壽街18巷口</x:v>
      </x:c>
      <x:c r="D1455" s="18" t="n">
        <x:v>26</x:v>
      </x:c>
      <x:c r="E1455" s="18" t="n">
        <x:v>26</x:v>
      </x:c>
      <x:c r="F1455" s="18" t="n">
        <x:v>444</x:v>
      </x:c>
      <x:c r="G1455" s="18" t="n">
        <x:v>26</x:v>
      </x:c>
      <x:c r="H1455" s="18" t="n">
        <x:v>65</x:v>
      </x:c>
      <x:c r="I1455" s="18" t="n">
        <x:v>26</x:v>
      </x:c>
      <x:c r="J1455" s="18" t="n">
        <x:v>113</x:v>
      </x:c>
      <x:c r="K1455" s="18" t="n">
        <x:v>26</x:v>
      </x:c>
      <x:c r="L1455" s="18" t="n">
        <x:v>32</x:v>
      </x:c>
      <x:c r="M1455" s="18" t="n">
        <x:v>26</x:v>
      </x:c>
    </x:row>
    <x:row r="1456">
      <x:c r="A1456" s="22" t="str">
        <x:v>500110102</x:v>
      </x:c>
      <x:c r="B1456" s="17" t="str">
        <x:v>松山區</x:v>
      </x:c>
      <x:c r="C1456" s="17" t="str">
        <x:v>民生東路四段97巷</x:v>
      </x:c>
      <x:c r="D1456" s="18" t="n">
        <x:v>26</x:v>
      </x:c>
      <x:c r="E1456" s="18" t="n">
        <x:v>26</x:v>
      </x:c>
      <x:c r="F1456" s="18" t="n">
        <x:v>387</x:v>
      </x:c>
      <x:c r="G1456" s="18" t="n">
        <x:v>26</x:v>
      </x:c>
      <x:c r="H1456" s="18" t="n">
        <x:v>67</x:v>
      </x:c>
      <x:c r="I1456" s="18" t="n">
        <x:v>26</x:v>
      </x:c>
      <x:c r="J1456" s="18" t="n">
        <x:v>337</x:v>
      </x:c>
      <x:c r="K1456" s="18" t="n">
        <x:v>26</x:v>
      </x:c>
      <x:c r="L1456" s="18" t="n">
        <x:v>62</x:v>
      </x:c>
      <x:c r="M1456" s="18" t="n">
        <x:v>26</x:v>
      </x:c>
    </x:row>
    <x:row r="1457">
      <x:c r="A1457" s="22" t="str">
        <x:v>500110103</x:v>
      </x:c>
      <x:c r="B1457" s="17" t="str">
        <x:v>松山區</x:v>
      </x:c>
      <x:c r="C1457" s="17" t="str">
        <x:v>民生東路五段177巷口</x:v>
      </x:c>
      <x:c r="D1457" s="18" t="n">
        <x:v>26</x:v>
      </x:c>
      <x:c r="E1457" s="18" t="n">
        <x:v>26</x:v>
      </x:c>
      <x:c r="F1457" s="18" t="n">
        <x:v>162</x:v>
      </x:c>
      <x:c r="G1457" s="18" t="n">
        <x:v>26</x:v>
      </x:c>
      <x:c r="H1457" s="18" t="n">
        <x:v>46</x:v>
      </x:c>
      <x:c r="I1457" s="18" t="n">
        <x:v>26</x:v>
      </x:c>
      <x:c r="J1457" s="18" t="n">
        <x:v>104</x:v>
      </x:c>
      <x:c r="K1457" s="18" t="n">
        <x:v>26</x:v>
      </x:c>
      <x:c r="L1457" s="18" t="n">
        <x:v>39</x:v>
      </x:c>
      <x:c r="M1457" s="18" t="n">
        <x:v>26</x:v>
      </x:c>
    </x:row>
    <x:row r="1458">
      <x:c r="A1458" s="22" t="str">
        <x:v>500110104</x:v>
      </x:c>
      <x:c r="B1458" s="17" t="str">
        <x:v>松山區</x:v>
      </x:c>
      <x:c r="C1458" s="17" t="str">
        <x:v>西松高中地下停車場</x:v>
      </x:c>
      <x:c r="D1458" s="18" t="n">
        <x:v>26</x:v>
      </x:c>
      <x:c r="E1458" s="18" t="n">
        <x:v>26</x:v>
      </x:c>
      <x:c r="F1458" s="18" t="n">
        <x:v>645</x:v>
      </x:c>
      <x:c r="G1458" s="18" t="n">
        <x:v>26</x:v>
      </x:c>
      <x:c r="H1458" s="18" t="n">
        <x:v>59</x:v>
      </x:c>
      <x:c r="I1458" s="18" t="n">
        <x:v>26</x:v>
      </x:c>
      <x:c r="J1458" s="18" t="n">
        <x:v>90</x:v>
      </x:c>
      <x:c r="K1458" s="18" t="n">
        <x:v>26</x:v>
      </x:c>
      <x:c r="L1458" s="18" t="n">
        <x:v>14</x:v>
      </x:c>
      <x:c r="M1458" s="18" t="n">
        <x:v>26</x:v>
      </x:c>
    </x:row>
    <x:row r="1459">
      <x:c r="A1459" s="22" t="str">
        <x:v>500110105</x:v>
      </x:c>
      <x:c r="B1459" s="17" t="str">
        <x:v>松山區</x:v>
      </x:c>
      <x:c r="C1459" s="17" t="str">
        <x:v>民生東路五段69巷</x:v>
      </x:c>
      <x:c r="D1459" s="18" t="n">
        <x:v>26</x:v>
      </x:c>
      <x:c r="E1459" s="18" t="n">
        <x:v>26</x:v>
      </x:c>
      <x:c r="F1459" s="18" t="n">
        <x:v>267</x:v>
      </x:c>
      <x:c r="G1459" s="18" t="n">
        <x:v>26</x:v>
      </x:c>
      <x:c r="H1459" s="18" t="n">
        <x:v>49</x:v>
      </x:c>
      <x:c r="I1459" s="18" t="n">
        <x:v>26</x:v>
      </x:c>
      <x:c r="J1459" s="18" t="n">
        <x:v>196</x:v>
      </x:c>
      <x:c r="K1459" s="18" t="n">
        <x:v>26</x:v>
      </x:c>
      <x:c r="L1459" s="18" t="n">
        <x:v>41</x:v>
      </x:c>
      <x:c r="M1459" s="18" t="n">
        <x:v>26</x:v>
      </x:c>
    </x:row>
    <x:row r="1460">
      <x:c r="A1460" s="22" t="str">
        <x:v>500110106</x:v>
      </x:c>
      <x:c r="B1460" s="17" t="str">
        <x:v>松山區</x:v>
      </x:c>
      <x:c r="C1460" s="17" t="str">
        <x:v>民生東路五段137巷6弄口</x:v>
      </x:c>
      <x:c r="D1460" s="18" t="n">
        <x:v>26</x:v>
      </x:c>
      <x:c r="E1460" s="18" t="n">
        <x:v>26</x:v>
      </x:c>
      <x:c r="F1460" s="18" t="n">
        <x:v>234</x:v>
      </x:c>
      <x:c r="G1460" s="18" t="n">
        <x:v>26</x:v>
      </x:c>
      <x:c r="H1460" s="18" t="n">
        <x:v>62</x:v>
      </x:c>
      <x:c r="I1460" s="18" t="n">
        <x:v>26</x:v>
      </x:c>
      <x:c r="J1460" s="18" t="n">
        <x:v>123</x:v>
      </x:c>
      <x:c r="K1460" s="18" t="n">
        <x:v>26</x:v>
      </x:c>
      <x:c r="L1460" s="18" t="n">
        <x:v>25</x:v>
      </x:c>
      <x:c r="M1460" s="18" t="n">
        <x:v>26</x:v>
      </x:c>
    </x:row>
    <x:row r="1461">
      <x:c r="A1461" s="22" t="str">
        <x:v>500110107</x:v>
      </x:c>
      <x:c r="B1461" s="17" t="str">
        <x:v>松山區</x:v>
      </x:c>
      <x:c r="C1461" s="17" t="str">
        <x:v>敦化北慶城街口</x:v>
      </x:c>
      <x:c r="D1461" s="18" t="n">
        <x:v>26</x:v>
      </x:c>
      <x:c r="E1461" s="18" t="n">
        <x:v>26</x:v>
      </x:c>
      <x:c r="F1461" s="18" t="n">
        <x:v>139</x:v>
      </x:c>
      <x:c r="G1461" s="18" t="n">
        <x:v>26</x:v>
      </x:c>
      <x:c r="H1461" s="18" t="n">
        <x:v>19</x:v>
      </x:c>
      <x:c r="I1461" s="18" t="n">
        <x:v>26</x:v>
      </x:c>
      <x:c r="J1461" s="18" t="n">
        <x:v>1963</x:v>
      </x:c>
      <x:c r="K1461" s="18" t="n">
        <x:v>26</x:v>
      </x:c>
      <x:c r="L1461" s="18" t="n">
        <x:v>132</x:v>
      </x:c>
      <x:c r="M1461" s="18" t="n">
        <x:v>26</x:v>
      </x:c>
    </x:row>
    <x:row r="1462">
      <x:c r="A1462" s="22" t="str">
        <x:v>500110108</x:v>
      </x:c>
      <x:c r="B1462" s="17" t="str">
        <x:v>松山區</x:v>
      </x:c>
      <x:c r="C1462" s="17" t="str">
        <x:v>南京東路三段338巷口</x:v>
      </x:c>
      <x:c r="D1462" s="18" t="n">
        <x:v>26</x:v>
      </x:c>
      <x:c r="E1462" s="18" t="n">
        <x:v>26</x:v>
      </x:c>
      <x:c r="F1462" s="18" t="n">
        <x:v>71</x:v>
      </x:c>
      <x:c r="G1462" s="18" t="n">
        <x:v>26</x:v>
      </x:c>
      <x:c r="H1462" s="18" t="n">
        <x:v>28</x:v>
      </x:c>
      <x:c r="I1462" s="18" t="n">
        <x:v>26</x:v>
      </x:c>
      <x:c r="J1462" s="18" t="n">
        <x:v>314</x:v>
      </x:c>
      <x:c r="K1462" s="18" t="n">
        <x:v>26</x:v>
      </x:c>
      <x:c r="L1462" s="18" t="n">
        <x:v>86</x:v>
      </x:c>
      <x:c r="M1462" s="18" t="n">
        <x:v>26</x:v>
      </x:c>
    </x:row>
    <x:row r="1463">
      <x:c r="A1463" s="22" t="str">
        <x:v>500110109</x:v>
      </x:c>
      <x:c r="B1463" s="17" t="str">
        <x:v>松山區</x:v>
      </x:c>
      <x:c r="C1463" s="17" t="str">
        <x:v>民權東路三段175巷口</x:v>
      </x:c>
      <x:c r="D1463" s="18" t="n">
        <x:v>26</x:v>
      </x:c>
      <x:c r="E1463" s="18" t="n">
        <x:v>26</x:v>
      </x:c>
      <x:c r="F1463" s="18" t="n">
        <x:v>177</x:v>
      </x:c>
      <x:c r="G1463" s="18" t="n">
        <x:v>26</x:v>
      </x:c>
      <x:c r="H1463" s="18" t="n">
        <x:v>38</x:v>
      </x:c>
      <x:c r="I1463" s="18" t="n">
        <x:v>26</x:v>
      </x:c>
      <x:c r="J1463" s="18" t="n">
        <x:v>296</x:v>
      </x:c>
      <x:c r="K1463" s="18" t="n">
        <x:v>26</x:v>
      </x:c>
      <x:c r="L1463" s="18" t="n">
        <x:v>42</x:v>
      </x:c>
      <x:c r="M1463" s="18" t="n">
        <x:v>26</x:v>
      </x:c>
    </x:row>
    <x:row r="1464">
      <x:c r="A1464" s="22" t="str">
        <x:v>500110110</x:v>
      </x:c>
      <x:c r="B1464" s="17" t="str">
        <x:v>松山區</x:v>
      </x:c>
      <x:c r="C1464" s="17" t="str">
        <x:v>健康路225巷口</x:v>
      </x:c>
      <x:c r="D1464" s="18" t="n">
        <x:v>26</x:v>
      </x:c>
      <x:c r="E1464" s="18" t="n">
        <x:v>26</x:v>
      </x:c>
      <x:c r="F1464" s="18" t="n">
        <x:v>329</x:v>
      </x:c>
      <x:c r="G1464" s="18" t="n">
        <x:v>26</x:v>
      </x:c>
      <x:c r="H1464" s="18" t="n">
        <x:v>40</x:v>
      </x:c>
      <x:c r="I1464" s="18" t="n">
        <x:v>26</x:v>
      </x:c>
      <x:c r="J1464" s="18" t="n">
        <x:v>106</x:v>
      </x:c>
      <x:c r="K1464" s="18" t="n">
        <x:v>26</x:v>
      </x:c>
      <x:c r="L1464" s="18" t="n">
        <x:v>20</x:v>
      </x:c>
      <x:c r="M1464" s="18" t="n">
        <x:v>26</x:v>
      </x:c>
    </x:row>
    <x:row r="1465">
      <x:c r="A1465" s="22" t="str">
        <x:v>500110111</x:v>
      </x:c>
      <x:c r="B1465" s="17" t="str">
        <x:v>松山區</x:v>
      </x:c>
      <x:c r="C1465" s="17" t="str">
        <x:v>民生東路三段130巷口(國泰環宇大樓)</x:v>
      </x:c>
      <x:c r="D1465" s="18" t="n">
        <x:v>26</x:v>
      </x:c>
      <x:c r="E1465" s="18" t="n">
        <x:v>6</x:v>
      </x:c>
      <x:c r="F1465" s="18" t="n">
        <x:v>12</x:v>
      </x:c>
      <x:c r="G1465" s="18" t="n">
        <x:v>5</x:v>
      </x:c>
      <x:c r="H1465" s="18" t="n">
        <x:v>0</x:v>
      </x:c>
      <x:c r="I1465" s="18" t="n">
        <x:v>5</x:v>
      </x:c>
      <x:c r="J1465" s="18" t="n">
        <x:v>29</x:v>
      </x:c>
      <x:c r="K1465" s="18" t="n">
        <x:v>6</x:v>
      </x:c>
      <x:c r="L1465" s="18" t="n">
        <x:v>8</x:v>
      </x:c>
      <x:c r="M1465" s="18" t="n">
        <x:v>6</x:v>
      </x:c>
    </x:row>
    <x:row r="1466">
      <x:c r="A1466" s="22" t="str">
        <x:v>500111001</x:v>
      </x:c>
      <x:c r="B1466" s="17" t="str">
        <x:v>南港區</x:v>
      </x:c>
      <x:c r="C1466" s="17" t="str">
        <x:v>南港公園(東新街)</x:v>
      </x:c>
      <x:c r="D1466" s="18" t="n">
        <x:v>26</x:v>
      </x:c>
      <x:c r="E1466" s="18" t="n">
        <x:v>26</x:v>
      </x:c>
      <x:c r="F1466" s="18" t="n">
        <x:v>425</x:v>
      </x:c>
      <x:c r="G1466" s="18" t="n">
        <x:v>26</x:v>
      </x:c>
      <x:c r="H1466" s="18" t="n">
        <x:v>130</x:v>
      </x:c>
      <x:c r="I1466" s="18" t="n">
        <x:v>26</x:v>
      </x:c>
      <x:c r="J1466" s="18" t="n">
        <x:v>166</x:v>
      </x:c>
      <x:c r="K1466" s="18" t="n">
        <x:v>26</x:v>
      </x:c>
      <x:c r="L1466" s="18" t="n">
        <x:v>64</x:v>
      </x:c>
      <x:c r="M1466" s="18" t="n">
        <x:v>26</x:v>
      </x:c>
    </x:row>
    <x:row r="1467">
      <x:c r="A1467" s="22" t="str">
        <x:v>500111002</x:v>
      </x:c>
      <x:c r="B1467" s="17" t="str">
        <x:v>南港區</x:v>
      </x:c>
      <x:c r="C1467" s="17" t="str">
        <x:v>南港公園(福德街)</x:v>
      </x:c>
      <x:c r="D1467" s="18" t="n">
        <x:v>26</x:v>
      </x:c>
      <x:c r="E1467" s="18" t="n">
        <x:v>26</x:v>
      </x:c>
      <x:c r="F1467" s="18" t="n">
        <x:v>796</x:v>
      </x:c>
      <x:c r="G1467" s="18" t="n">
        <x:v>26</x:v>
      </x:c>
      <x:c r="H1467" s="18" t="n">
        <x:v>154</x:v>
      </x:c>
      <x:c r="I1467" s="18" t="n">
        <x:v>26</x:v>
      </x:c>
      <x:c r="J1467" s="18" t="n">
        <x:v>168</x:v>
      </x:c>
      <x:c r="K1467" s="18" t="n">
        <x:v>26</x:v>
      </x:c>
      <x:c r="L1467" s="18" t="n">
        <x:v>37</x:v>
      </x:c>
      <x:c r="M1467" s="18" t="n">
        <x:v>26</x:v>
      </x:c>
    </x:row>
    <x:row r="1468">
      <x:c r="A1468" s="22" t="str">
        <x:v>500111003</x:v>
      </x:c>
      <x:c r="B1468" s="17" t="str">
        <x:v>南港區</x:v>
      </x:c>
      <x:c r="C1468" s="17" t="str">
        <x:v>捷運昆陽站(1號出口)</x:v>
      </x:c>
      <x:c r="D1468" s="18" t="n">
        <x:v>26</x:v>
      </x:c>
      <x:c r="E1468" s="18" t="n">
        <x:v>26</x:v>
      </x:c>
      <x:c r="F1468" s="18" t="n">
        <x:v>352</x:v>
      </x:c>
      <x:c r="G1468" s="18" t="n">
        <x:v>26</x:v>
      </x:c>
      <x:c r="H1468" s="18" t="n">
        <x:v>60</x:v>
      </x:c>
      <x:c r="I1468" s="18" t="n">
        <x:v>26</x:v>
      </x:c>
      <x:c r="J1468" s="18" t="n">
        <x:v>289</x:v>
      </x:c>
      <x:c r="K1468" s="18" t="n">
        <x:v>26</x:v>
      </x:c>
      <x:c r="L1468" s="18" t="n">
        <x:v>65</x:v>
      </x:c>
      <x:c r="M1468" s="18" t="n">
        <x:v>26</x:v>
      </x:c>
    </x:row>
    <x:row r="1469">
      <x:c r="A1469" s="22" t="str">
        <x:v>500111004</x:v>
      </x:c>
      <x:c r="B1469" s="17" t="str">
        <x:v>南港區</x:v>
      </x:c>
      <x:c r="C1469" s="17" t="str">
        <x:v>忠孝東路六段225巷口</x:v>
      </x:c>
      <x:c r="D1469" s="18" t="n">
        <x:v>26</x:v>
      </x:c>
      <x:c r="E1469" s="18" t="n">
        <x:v>26</x:v>
      </x:c>
      <x:c r="F1469" s="18" t="n">
        <x:v>665</x:v>
      </x:c>
      <x:c r="G1469" s="18" t="n">
        <x:v>26</x:v>
      </x:c>
      <x:c r="H1469" s="18" t="n">
        <x:v>72</x:v>
      </x:c>
      <x:c r="I1469" s="18" t="n">
        <x:v>26</x:v>
      </x:c>
      <x:c r="J1469" s="18" t="n">
        <x:v>152</x:v>
      </x:c>
      <x:c r="K1469" s="18" t="n">
        <x:v>26</x:v>
      </x:c>
      <x:c r="L1469" s="18" t="n">
        <x:v>29</x:v>
      </x:c>
      <x:c r="M1469" s="18" t="n">
        <x:v>26</x:v>
      </x:c>
    </x:row>
    <x:row r="1470">
      <x:c r="A1470" s="22" t="str">
        <x:v>500111005</x:v>
      </x:c>
      <x:c r="B1470" s="17" t="str">
        <x:v>南港區</x:v>
      </x:c>
      <x:c r="C1470" s="17" t="str">
        <x:v>捷運後山埤站(1號出口)</x:v>
      </x:c>
      <x:c r="D1470" s="18" t="n">
        <x:v>26</x:v>
      </x:c>
      <x:c r="E1470" s="18" t="n">
        <x:v>26</x:v>
      </x:c>
      <x:c r="F1470" s="18" t="n">
        <x:v>314</x:v>
      </x:c>
      <x:c r="G1470" s="18" t="n">
        <x:v>26</x:v>
      </x:c>
      <x:c r="H1470" s="18" t="n">
        <x:v>50</x:v>
      </x:c>
      <x:c r="I1470" s="18" t="n">
        <x:v>26</x:v>
      </x:c>
      <x:c r="J1470" s="18" t="n">
        <x:v>753</x:v>
      </x:c>
      <x:c r="K1470" s="18" t="n">
        <x:v>26</x:v>
      </x:c>
      <x:c r="L1470" s="18" t="n">
        <x:v>89</x:v>
      </x:c>
      <x:c r="M1470" s="18" t="n">
        <x:v>26</x:v>
      </x:c>
    </x:row>
    <x:row r="1471">
      <x:c r="A1471" s="22" t="str">
        <x:v>500111006</x:v>
      </x:c>
      <x:c r="B1471" s="17" t="str">
        <x:v>南港區</x:v>
      </x:c>
      <x:c r="C1471" s="17" t="str">
        <x:v>合樂公園</x:v>
      </x:c>
      <x:c r="D1471" s="18" t="n">
        <x:v>26</x:v>
      </x:c>
      <x:c r="E1471" s="18" t="n">
        <x:v>26</x:v>
      </x:c>
      <x:c r="F1471" s="18" t="n">
        <x:v>230</x:v>
      </x:c>
      <x:c r="G1471" s="18" t="n">
        <x:v>26</x:v>
      </x:c>
      <x:c r="H1471" s="18" t="n">
        <x:v>75</x:v>
      </x:c>
      <x:c r="I1471" s="18" t="n">
        <x:v>26</x:v>
      </x:c>
      <x:c r="J1471" s="18" t="n">
        <x:v>253</x:v>
      </x:c>
      <x:c r="K1471" s="18" t="n">
        <x:v>26</x:v>
      </x:c>
      <x:c r="L1471" s="18" t="n">
        <x:v>102</x:v>
      </x:c>
      <x:c r="M1471" s="18" t="n">
        <x:v>26</x:v>
      </x:c>
    </x:row>
    <x:row r="1472">
      <x:c r="A1472" s="22" t="str">
        <x:v>500111007</x:v>
      </x:c>
      <x:c r="B1472" s="17" t="str">
        <x:v>南港區</x:v>
      </x:c>
      <x:c r="C1472" s="17" t="str">
        <x:v>合心廣場</x:v>
      </x:c>
      <x:c r="D1472" s="18" t="n">
        <x:v>26</x:v>
      </x:c>
      <x:c r="E1472" s="18" t="n">
        <x:v>26</x:v>
      </x:c>
      <x:c r="F1472" s="18" t="n">
        <x:v>263</x:v>
      </x:c>
      <x:c r="G1472" s="18" t="n">
        <x:v>26</x:v>
      </x:c>
      <x:c r="H1472" s="18" t="n">
        <x:v>59</x:v>
      </x:c>
      <x:c r="I1472" s="18" t="n">
        <x:v>26</x:v>
      </x:c>
      <x:c r="J1472" s="18" t="n">
        <x:v>351</x:v>
      </x:c>
      <x:c r="K1472" s="18" t="n">
        <x:v>26</x:v>
      </x:c>
      <x:c r="L1472" s="18" t="n">
        <x:v>53</x:v>
      </x:c>
      <x:c r="M1472" s="18" t="n">
        <x:v>26</x:v>
      </x:c>
    </x:row>
    <x:row r="1473">
      <x:c r="A1473" s="22" t="str">
        <x:v>500111008</x:v>
      </x:c>
      <x:c r="B1473" s="17" t="str">
        <x:v>南港區</x:v>
      </x:c>
      <x:c r="C1473" s="17" t="str">
        <x:v>成德國中</x:v>
      </x:c>
      <x:c r="D1473" s="18" t="n">
        <x:v>26</x:v>
      </x:c>
      <x:c r="E1473" s="18" t="n">
        <x:v>26</x:v>
      </x:c>
      <x:c r="F1473" s="18" t="n">
        <x:v>341</x:v>
      </x:c>
      <x:c r="G1473" s="18" t="n">
        <x:v>26</x:v>
      </x:c>
      <x:c r="H1473" s="18" t="n">
        <x:v>77</x:v>
      </x:c>
      <x:c r="I1473" s="18" t="n">
        <x:v>26</x:v>
      </x:c>
      <x:c r="J1473" s="18" t="n">
        <x:v>274</x:v>
      </x:c>
      <x:c r="K1473" s="18" t="n">
        <x:v>26</x:v>
      </x:c>
      <x:c r="L1473" s="18" t="n">
        <x:v>81</x:v>
      </x:c>
      <x:c r="M1473" s="18" t="n">
        <x:v>26</x:v>
      </x:c>
    </x:row>
    <x:row r="1474">
      <x:c r="A1474" s="22" t="str">
        <x:v>500111009</x:v>
      </x:c>
      <x:c r="B1474" s="17" t="str">
        <x:v>南港區</x:v>
      </x:c>
      <x:c r="C1474" s="17" t="str">
        <x:v>玉成公園</x:v>
      </x:c>
      <x:c r="D1474" s="18" t="n">
        <x:v>26</x:v>
      </x:c>
      <x:c r="E1474" s="18" t="n">
        <x:v>26</x:v>
      </x:c>
      <x:c r="F1474" s="18" t="n">
        <x:v>775</x:v>
      </x:c>
      <x:c r="G1474" s="18" t="n">
        <x:v>26</x:v>
      </x:c>
      <x:c r="H1474" s="18" t="n">
        <x:v>34</x:v>
      </x:c>
      <x:c r="I1474" s="18" t="n">
        <x:v>26</x:v>
      </x:c>
      <x:c r="J1474" s="18" t="n">
        <x:v>159</x:v>
      </x:c>
      <x:c r="K1474" s="18" t="n">
        <x:v>26</x:v>
      </x:c>
      <x:c r="L1474" s="18" t="n">
        <x:v>26</x:v>
      </x:c>
      <x:c r="M1474" s="18" t="n">
        <x:v>26</x:v>
      </x:c>
    </x:row>
    <x:row r="1475">
      <x:c r="A1475" s="22" t="str">
        <x:v>500111010</x:v>
      </x:c>
      <x:c r="B1475" s="17" t="str">
        <x:v>南港區</x:v>
      </x:c>
      <x:c r="C1475" s="17" t="str">
        <x:v>研究院舊莊街口</x:v>
      </x:c>
      <x:c r="D1475" s="18" t="n">
        <x:v>26</x:v>
      </x:c>
      <x:c r="E1475" s="18" t="n">
        <x:v>26</x:v>
      </x:c>
      <x:c r="F1475" s="18" t="n">
        <x:v>383</x:v>
      </x:c>
      <x:c r="G1475" s="18" t="n">
        <x:v>26</x:v>
      </x:c>
      <x:c r="H1475" s="18" t="n">
        <x:v>33</x:v>
      </x:c>
      <x:c r="I1475" s="18" t="n">
        <x:v>26</x:v>
      </x:c>
      <x:c r="J1475" s="18" t="n">
        <x:v>231</x:v>
      </x:c>
      <x:c r="K1475" s="18" t="n">
        <x:v>26</x:v>
      </x:c>
      <x:c r="L1475" s="18" t="n">
        <x:v>50</x:v>
      </x:c>
      <x:c r="M1475" s="18" t="n">
        <x:v>26</x:v>
      </x:c>
    </x:row>
    <x:row r="1476">
      <x:c r="A1476" s="22" t="str">
        <x:v>500111011</x:v>
      </x:c>
      <x:c r="B1476" s="17" t="str">
        <x:v>南港區</x:v>
      </x:c>
      <x:c r="C1476" s="17" t="str">
        <x:v>中研院綜合體育館東側</x:v>
      </x:c>
      <x:c r="D1476" s="18" t="n">
        <x:v>26</x:v>
      </x:c>
      <x:c r="E1476" s="18" t="n">
        <x:v>26</x:v>
      </x:c>
      <x:c r="F1476" s="18" t="n">
        <x:v>202</x:v>
      </x:c>
      <x:c r="G1476" s="18" t="n">
        <x:v>26</x:v>
      </x:c>
      <x:c r="H1476" s="18" t="n">
        <x:v>49</x:v>
      </x:c>
      <x:c r="I1476" s="18" t="n">
        <x:v>26</x:v>
      </x:c>
      <x:c r="J1476" s="18" t="n">
        <x:v>860</x:v>
      </x:c>
      <x:c r="K1476" s="18" t="n">
        <x:v>26</x:v>
      </x:c>
      <x:c r="L1476" s="18" t="n">
        <x:v>139</x:v>
      </x:c>
      <x:c r="M1476" s="18" t="n">
        <x:v>26</x:v>
      </x:c>
    </x:row>
    <x:row r="1477">
      <x:c r="A1477" s="22" t="str">
        <x:v>500111012</x:v>
      </x:c>
      <x:c r="B1477" s="17" t="str">
        <x:v>南港區</x:v>
      </x:c>
      <x:c r="C1477" s="17" t="str">
        <x:v>國家生技園區</x:v>
      </x:c>
      <x:c r="D1477" s="18" t="n">
        <x:v>26</x:v>
      </x:c>
      <x:c r="E1477" s="18" t="n">
        <x:v>26</x:v>
      </x:c>
      <x:c r="F1477" s="18" t="n">
        <x:v>104</x:v>
      </x:c>
      <x:c r="G1477" s="18" t="n">
        <x:v>26</x:v>
      </x:c>
      <x:c r="H1477" s="18" t="n">
        <x:v>35</x:v>
      </x:c>
      <x:c r="I1477" s="18" t="n">
        <x:v>26</x:v>
      </x:c>
      <x:c r="J1477" s="18" t="n">
        <x:v>1791</x:v>
      </x:c>
      <x:c r="K1477" s="18" t="n">
        <x:v>26</x:v>
      </x:c>
      <x:c r="L1477" s="18" t="n">
        <x:v>107</x:v>
      </x:c>
      <x:c r="M1477" s="18" t="n">
        <x:v>26</x:v>
      </x:c>
    </x:row>
    <x:row r="1478">
      <x:c r="A1478" s="22" t="str">
        <x:v>500111013</x:v>
      </x:c>
      <x:c r="B1478" s="17" t="str">
        <x:v>南港區</x:v>
      </x:c>
      <x:c r="C1478" s="17" t="str">
        <x:v>捷運南港展覽館站(5號出口)</x:v>
      </x:c>
      <x:c r="D1478" s="18" t="n">
        <x:v>26</x:v>
      </x:c>
      <x:c r="E1478" s="18" t="n">
        <x:v>26</x:v>
      </x:c>
      <x:c r="F1478" s="18" t="n">
        <x:v>843</x:v>
      </x:c>
      <x:c r="G1478" s="18" t="n">
        <x:v>26</x:v>
      </x:c>
      <x:c r="H1478" s="18" t="n">
        <x:v>75</x:v>
      </x:c>
      <x:c r="I1478" s="18" t="n">
        <x:v>26</x:v>
      </x:c>
      <x:c r="J1478" s="18" t="n">
        <x:v>439</x:v>
      </x:c>
      <x:c r="K1478" s="18" t="n">
        <x:v>26</x:v>
      </x:c>
      <x:c r="L1478" s="18" t="n">
        <x:v>83</x:v>
      </x:c>
      <x:c r="M1478" s="18" t="n">
        <x:v>26</x:v>
      </x:c>
    </x:row>
    <x:row r="1479">
      <x:c r="A1479" s="22" t="str">
        <x:v>500111014</x:v>
      </x:c>
      <x:c r="B1479" s="17" t="str">
        <x:v>南港區</x:v>
      </x:c>
      <x:c r="C1479" s="17" t="str">
        <x:v>中研公園</x:v>
      </x:c>
      <x:c r="D1479" s="18" t="n">
        <x:v>26</x:v>
      </x:c>
      <x:c r="E1479" s="18" t="n">
        <x:v>26</x:v>
      </x:c>
      <x:c r="F1479" s="18" t="n">
        <x:v>875</x:v>
      </x:c>
      <x:c r="G1479" s="18" t="n">
        <x:v>26</x:v>
      </x:c>
      <x:c r="H1479" s="18" t="n">
        <x:v>132</x:v>
      </x:c>
      <x:c r="I1479" s="18" t="n">
        <x:v>26</x:v>
      </x:c>
      <x:c r="J1479" s="18" t="n">
        <x:v>214</x:v>
      </x:c>
      <x:c r="K1479" s="18" t="n">
        <x:v>26</x:v>
      </x:c>
      <x:c r="L1479" s="18" t="n">
        <x:v>50</x:v>
      </x:c>
      <x:c r="M1479" s="18" t="n">
        <x:v>26</x:v>
      </x:c>
    </x:row>
    <x:row r="1480">
      <x:c r="A1480" s="22" t="str">
        <x:v>500111015</x:v>
      </x:c>
      <x:c r="B1480" s="17" t="str">
        <x:v>南港區</x:v>
      </x:c>
      <x:c r="C1480" s="17" t="str">
        <x:v>福山公園</x:v>
      </x:c>
      <x:c r="D1480" s="18" t="n">
        <x:v>26</x:v>
      </x:c>
      <x:c r="E1480" s="18" t="n">
        <x:v>26</x:v>
      </x:c>
      <x:c r="F1480" s="18" t="n">
        <x:v>811</x:v>
      </x:c>
      <x:c r="G1480" s="18" t="n">
        <x:v>26</x:v>
      </x:c>
      <x:c r="H1480" s="18" t="n">
        <x:v>98</x:v>
      </x:c>
      <x:c r="I1480" s="18" t="n">
        <x:v>26</x:v>
      </x:c>
      <x:c r="J1480" s="18" t="n">
        <x:v>186</x:v>
      </x:c>
      <x:c r="K1480" s="18" t="n">
        <x:v>26</x:v>
      </x:c>
      <x:c r="L1480" s="18" t="n">
        <x:v>38</x:v>
      </x:c>
      <x:c r="M1480" s="18" t="n">
        <x:v>26</x:v>
      </x:c>
    </x:row>
    <x:row r="1481">
      <x:c r="A1481" s="22" t="str">
        <x:v>500111016</x:v>
      </x:c>
      <x:c r="B1481" s="17" t="str">
        <x:v>南港區</x:v>
      </x:c>
      <x:c r="C1481" s="17" t="str">
        <x:v>舊莊區民活動中心</x:v>
      </x:c>
      <x:c r="D1481" s="18" t="n">
        <x:v>26</x:v>
      </x:c>
      <x:c r="E1481" s="18" t="n">
        <x:v>26</x:v>
      </x:c>
      <x:c r="F1481" s="18" t="n">
        <x:v>986</x:v>
      </x:c>
      <x:c r="G1481" s="18" t="n">
        <x:v>26</x:v>
      </x:c>
      <x:c r="H1481" s="18" t="n">
        <x:v>146</x:v>
      </x:c>
      <x:c r="I1481" s="18" t="n">
        <x:v>26</x:v>
      </x:c>
      <x:c r="J1481" s="18" t="n">
        <x:v>215</x:v>
      </x:c>
      <x:c r="K1481" s="18" t="n">
        <x:v>26</x:v>
      </x:c>
      <x:c r="L1481" s="18" t="n">
        <x:v>63</x:v>
      </x:c>
      <x:c r="M1481" s="18" t="n">
        <x:v>26</x:v>
      </x:c>
    </x:row>
    <x:row r="1482">
      <x:c r="A1482" s="22" t="str">
        <x:v>500111017</x:v>
      </x:c>
      <x:c r="B1482" s="17" t="str">
        <x:v>南港區</x:v>
      </x:c>
      <x:c r="C1482" s="17" t="str">
        <x:v>凌雲市場</x:v>
      </x:c>
      <x:c r="D1482" s="18" t="n">
        <x:v>26</x:v>
      </x:c>
      <x:c r="E1482" s="18" t="n">
        <x:v>26</x:v>
      </x:c>
      <x:c r="F1482" s="18" t="n">
        <x:v>485</x:v>
      </x:c>
      <x:c r="G1482" s="18" t="n">
        <x:v>26</x:v>
      </x:c>
      <x:c r="H1482" s="18" t="n">
        <x:v>101</x:v>
      </x:c>
      <x:c r="I1482" s="18" t="n">
        <x:v>26</x:v>
      </x:c>
      <x:c r="J1482" s="18" t="n">
        <x:v>114</x:v>
      </x:c>
      <x:c r="K1482" s="18" t="n">
        <x:v>26</x:v>
      </x:c>
      <x:c r="L1482" s="18" t="n">
        <x:v>35</x:v>
      </x:c>
      <x:c r="M1482" s="18" t="n">
        <x:v>26</x:v>
      </x:c>
    </x:row>
    <x:row r="1483">
      <x:c r="A1483" s="22" t="str">
        <x:v>500111018</x:v>
      </x:c>
      <x:c r="B1483" s="17" t="str">
        <x:v>南港區</x:v>
      </x:c>
      <x:c r="C1483" s="17" t="str">
        <x:v>市民大道八段532號</x:v>
      </x:c>
      <x:c r="D1483" s="18" t="n">
        <x:v>26</x:v>
      </x:c>
      <x:c r="E1483" s="18" t="n">
        <x:v>26</x:v>
      </x:c>
      <x:c r="F1483" s="18" t="n">
        <x:v>249</x:v>
      </x:c>
      <x:c r="G1483" s="18" t="n">
        <x:v>26</x:v>
      </x:c>
      <x:c r="H1483" s="18" t="n">
        <x:v>28</x:v>
      </x:c>
      <x:c r="I1483" s="18" t="n">
        <x:v>26</x:v>
      </x:c>
      <x:c r="J1483" s="18" t="n">
        <x:v>192</x:v>
      </x:c>
      <x:c r="K1483" s="18" t="n">
        <x:v>26</x:v>
      </x:c>
      <x:c r="L1483" s="18" t="n">
        <x:v>18</x:v>
      </x:c>
      <x:c r="M1483" s="18" t="n">
        <x:v>26</x:v>
      </x:c>
    </x:row>
    <x:row r="1484">
      <x:c r="A1484" s="22" t="str">
        <x:v>500111019</x:v>
      </x:c>
      <x:c r="B1484" s="17" t="str">
        <x:v>南港區</x:v>
      </x:c>
      <x:c r="C1484" s="17" t="str">
        <x:v>捷運南港軟體園區(2號出口)</x:v>
      </x:c>
      <x:c r="D1484" s="18" t="n">
        <x:v>26</x:v>
      </x:c>
      <x:c r="E1484" s="18" t="n">
        <x:v>26</x:v>
      </x:c>
      <x:c r="F1484" s="18" t="n">
        <x:v>141</x:v>
      </x:c>
      <x:c r="G1484" s="18" t="n">
        <x:v>26</x:v>
      </x:c>
      <x:c r="H1484" s="18" t="n">
        <x:v>27</x:v>
      </x:c>
      <x:c r="I1484" s="18" t="n">
        <x:v>26</x:v>
      </x:c>
      <x:c r="J1484" s="18" t="n">
        <x:v>738</x:v>
      </x:c>
      <x:c r="K1484" s="18" t="n">
        <x:v>26</x:v>
      </x:c>
      <x:c r="L1484" s="18" t="n">
        <x:v>122</x:v>
      </x:c>
      <x:c r="M1484" s="18" t="n">
        <x:v>26</x:v>
      </x:c>
    </x:row>
    <x:row r="1485">
      <x:c r="A1485" s="22" t="str">
        <x:v>500111020</x:v>
      </x:c>
      <x:c r="B1485" s="17" t="str">
        <x:v>南港區</x:v>
      </x:c>
      <x:c r="C1485" s="17" t="str">
        <x:v>南港國小</x:v>
      </x:c>
      <x:c r="D1485" s="18" t="n">
        <x:v>26</x:v>
      </x:c>
      <x:c r="E1485" s="18" t="n">
        <x:v>26</x:v>
      </x:c>
      <x:c r="F1485" s="18" t="n">
        <x:v>136</x:v>
      </x:c>
      <x:c r="G1485" s="18" t="n">
        <x:v>26</x:v>
      </x:c>
      <x:c r="H1485" s="18" t="n">
        <x:v>30</x:v>
      </x:c>
      <x:c r="I1485" s="18" t="n">
        <x:v>26</x:v>
      </x:c>
      <x:c r="J1485" s="18" t="n">
        <x:v>1648</x:v>
      </x:c>
      <x:c r="K1485" s="18" t="n">
        <x:v>26</x:v>
      </x:c>
      <x:c r="L1485" s="18" t="n">
        <x:v>199</x:v>
      </x:c>
      <x:c r="M1485" s="18" t="n">
        <x:v>26</x:v>
      </x:c>
    </x:row>
    <x:row r="1486">
      <x:c r="A1486" s="22" t="str">
        <x:v>500111021</x:v>
      </x:c>
      <x:c r="B1486" s="17" t="str">
        <x:v>南港區</x:v>
      </x:c>
      <x:c r="C1486" s="17" t="str">
        <x:v>興中立體停車場(興中路)</x:v>
      </x:c>
      <x:c r="D1486" s="18" t="n">
        <x:v>26</x:v>
      </x:c>
      <x:c r="E1486" s="18" t="n">
        <x:v>26</x:v>
      </x:c>
      <x:c r="F1486" s="18" t="n">
        <x:v>239</x:v>
      </x:c>
      <x:c r="G1486" s="18" t="n">
        <x:v>26</x:v>
      </x:c>
      <x:c r="H1486" s="18" t="n">
        <x:v>45</x:v>
      </x:c>
      <x:c r="I1486" s="18" t="n">
        <x:v>26</x:v>
      </x:c>
      <x:c r="J1486" s="18" t="n">
        <x:v>246</x:v>
      </x:c>
      <x:c r="K1486" s="18" t="n">
        <x:v>26</x:v>
      </x:c>
      <x:c r="L1486" s="18" t="n">
        <x:v>24</x:v>
      </x:c>
      <x:c r="M1486" s="18" t="n">
        <x:v>26</x:v>
      </x:c>
    </x:row>
    <x:row r="1487">
      <x:c r="A1487" s="22" t="str">
        <x:v>500111022</x:v>
      </x:c>
      <x:c r="B1487" s="17" t="str">
        <x:v>南港區</x:v>
      </x:c>
      <x:c r="C1487" s="17" t="str">
        <x:v>臺北市立圖書館南港分館</x:v>
      </x:c>
      <x:c r="D1487" s="18" t="n">
        <x:v>26</x:v>
      </x:c>
      <x:c r="E1487" s="18" t="n">
        <x:v>26</x:v>
      </x:c>
      <x:c r="F1487" s="18" t="n">
        <x:v>427</x:v>
      </x:c>
      <x:c r="G1487" s="18" t="n">
        <x:v>26</x:v>
      </x:c>
      <x:c r="H1487" s="18" t="n">
        <x:v>78</x:v>
      </x:c>
      <x:c r="I1487" s="18" t="n">
        <x:v>26</x:v>
      </x:c>
      <x:c r="J1487" s="18" t="n">
        <x:v>324</x:v>
      </x:c>
      <x:c r="K1487" s="18" t="n">
        <x:v>26</x:v>
      </x:c>
      <x:c r="L1487" s="18" t="n">
        <x:v>38</x:v>
      </x:c>
      <x:c r="M1487" s="18" t="n">
        <x:v>26</x:v>
      </x:c>
    </x:row>
    <x:row r="1488">
      <x:c r="A1488" s="22" t="str">
        <x:v>500111023</x:v>
      </x:c>
      <x:c r="B1488" s="17" t="str">
        <x:v>南港區</x:v>
      </x:c>
      <x:c r="C1488" s="17" t="str">
        <x:v>東陽公園</x:v>
      </x:c>
      <x:c r="D1488" s="18" t="n">
        <x:v>26</x:v>
      </x:c>
      <x:c r="E1488" s="18" t="n">
        <x:v>26</x:v>
      </x:c>
      <x:c r="F1488" s="18" t="n">
        <x:v>759</x:v>
      </x:c>
      <x:c r="G1488" s="18" t="n">
        <x:v>26</x:v>
      </x:c>
      <x:c r="H1488" s="18" t="n">
        <x:v>134</x:v>
      </x:c>
      <x:c r="I1488" s="18" t="n">
        <x:v>26</x:v>
      </x:c>
      <x:c r="J1488" s="18" t="n">
        <x:v>294</x:v>
      </x:c>
      <x:c r="K1488" s="18" t="n">
        <x:v>26</x:v>
      </x:c>
      <x:c r="L1488" s="18" t="n">
        <x:v>69</x:v>
      </x:c>
      <x:c r="M1488" s="18" t="n">
        <x:v>26</x:v>
      </x:c>
    </x:row>
    <x:row r="1489">
      <x:c r="A1489" s="22" t="str">
        <x:v>500111024</x:v>
      </x:c>
      <x:c r="B1489" s="17" t="str">
        <x:v>南港區</x:v>
      </x:c>
      <x:c r="C1489" s="17" t="str">
        <x:v>向陽南港路口</x:v>
      </x:c>
      <x:c r="D1489" s="18" t="n">
        <x:v>26</x:v>
      </x:c>
      <x:c r="E1489" s="18" t="n">
        <x:v>26</x:v>
      </x:c>
      <x:c r="F1489" s="18" t="n">
        <x:v>145</x:v>
      </x:c>
      <x:c r="G1489" s="18" t="n">
        <x:v>26</x:v>
      </x:c>
      <x:c r="H1489" s="18" t="n">
        <x:v>33</x:v>
      </x:c>
      <x:c r="I1489" s="18" t="n">
        <x:v>26</x:v>
      </x:c>
      <x:c r="J1489" s="18" t="n">
        <x:v>663</x:v>
      </x:c>
      <x:c r="K1489" s="18" t="n">
        <x:v>26</x:v>
      </x:c>
      <x:c r="L1489" s="18" t="n">
        <x:v>53</x:v>
      </x:c>
      <x:c r="M1489" s="18" t="n">
        <x:v>26</x:v>
      </x:c>
    </x:row>
    <x:row r="1490">
      <x:c r="A1490" s="22" t="str">
        <x:v>500111025</x:v>
      </x:c>
      <x:c r="B1490" s="17" t="str">
        <x:v>南港區</x:v>
      </x:c>
      <x:c r="C1490" s="17" t="str">
        <x:v>南港車站(忠孝東路七段415巷)</x:v>
      </x:c>
      <x:c r="D1490" s="18" t="n">
        <x:v>26</x:v>
      </x:c>
      <x:c r="E1490" s="18" t="n">
        <x:v>26</x:v>
      </x:c>
      <x:c r="F1490" s="18" t="n">
        <x:v>109</x:v>
      </x:c>
      <x:c r="G1490" s="18" t="n">
        <x:v>26</x:v>
      </x:c>
      <x:c r="H1490" s="18" t="n">
        <x:v>11</x:v>
      </x:c>
      <x:c r="I1490" s="18" t="n">
        <x:v>26</x:v>
      </x:c>
      <x:c r="J1490" s="18" t="n">
        <x:v>179</x:v>
      </x:c>
      <x:c r="K1490" s="18" t="n">
        <x:v>26</x:v>
      </x:c>
      <x:c r="L1490" s="18" t="n">
        <x:v>37</x:v>
      </x:c>
      <x:c r="M1490" s="18" t="n">
        <x:v>26</x:v>
      </x:c>
    </x:row>
    <x:row r="1491">
      <x:c r="A1491" s="22" t="str">
        <x:v>500111026</x:v>
      </x:c>
      <x:c r="B1491" s="17" t="str">
        <x:v>南港區</x:v>
      </x:c>
      <x:c r="C1491" s="17" t="str">
        <x:v>捷運南港站(2號出口)</x:v>
      </x:c>
      <x:c r="D1491" s="18" t="n">
        <x:v>26</x:v>
      </x:c>
      <x:c r="E1491" s="18" t="n">
        <x:v>26</x:v>
      </x:c>
      <x:c r="F1491" s="18" t="n">
        <x:v>341</x:v>
      </x:c>
      <x:c r="G1491" s="18" t="n">
        <x:v>26</x:v>
      </x:c>
      <x:c r="H1491" s="18" t="n">
        <x:v>18</x:v>
      </x:c>
      <x:c r="I1491" s="18" t="n">
        <x:v>26</x:v>
      </x:c>
      <x:c r="J1491" s="18" t="n">
        <x:v>134</x:v>
      </x:c>
      <x:c r="K1491" s="18" t="n">
        <x:v>26</x:v>
      </x:c>
      <x:c r="L1491" s="18" t="n">
        <x:v>37</x:v>
      </x:c>
      <x:c r="M1491" s="18" t="n">
        <x:v>26</x:v>
      </x:c>
    </x:row>
    <x:row r="1492">
      <x:c r="A1492" s="22" t="str">
        <x:v>500111027</x:v>
      </x:c>
      <x:c r="B1492" s="17" t="str">
        <x:v>南港區</x:v>
      </x:c>
      <x:c r="C1492" s="17" t="str">
        <x:v>捷運南港站(1號出口)</x:v>
      </x:c>
      <x:c r="D1492" s="18" t="n">
        <x:v>26</x:v>
      </x:c>
      <x:c r="E1492" s="18" t="n">
        <x:v>26</x:v>
      </x:c>
      <x:c r="F1492" s="18" t="n">
        <x:v>294</x:v>
      </x:c>
      <x:c r="G1492" s="18" t="n">
        <x:v>26</x:v>
      </x:c>
      <x:c r="H1492" s="18" t="n">
        <x:v>11</x:v>
      </x:c>
      <x:c r="I1492" s="18" t="n">
        <x:v>26</x:v>
      </x:c>
      <x:c r="J1492" s="18" t="n">
        <x:v>126</x:v>
      </x:c>
      <x:c r="K1492" s="18" t="n">
        <x:v>26</x:v>
      </x:c>
      <x:c r="L1492" s="18" t="n">
        <x:v>3</x:v>
      </x:c>
      <x:c r="M1492" s="18" t="n">
        <x:v>26</x:v>
      </x:c>
    </x:row>
    <x:row r="1493">
      <x:c r="A1493" s="22" t="str">
        <x:v>500111028</x:v>
      </x:c>
      <x:c r="B1493" s="17" t="str">
        <x:v>南港區</x:v>
      </x:c>
      <x:c r="C1493" s="17" t="str">
        <x:v>東新國小</x:v>
      </x:c>
      <x:c r="D1493" s="18" t="n">
        <x:v>26</x:v>
      </x:c>
      <x:c r="E1493" s="18" t="n">
        <x:v>26</x:v>
      </x:c>
      <x:c r="F1493" s="18" t="n">
        <x:v>489</x:v>
      </x:c>
      <x:c r="G1493" s="18" t="n">
        <x:v>26</x:v>
      </x:c>
      <x:c r="H1493" s="18" t="n">
        <x:v>103</x:v>
      </x:c>
      <x:c r="I1493" s="18" t="n">
        <x:v>26</x:v>
      </x:c>
      <x:c r="J1493" s="18" t="n">
        <x:v>148</x:v>
      </x:c>
      <x:c r="K1493" s="18" t="n">
        <x:v>26</x:v>
      </x:c>
      <x:c r="L1493" s="18" t="n">
        <x:v>44</x:v>
      </x:c>
      <x:c r="M1493" s="18" t="n">
        <x:v>26</x:v>
      </x:c>
    </x:row>
    <x:row r="1494">
      <x:c r="A1494" s="22" t="str">
        <x:v>500111029</x:v>
      </x:c>
      <x:c r="B1494" s="17" t="str">
        <x:v>南港區</x:v>
      </x:c>
      <x:c r="C1494" s="17" t="str">
        <x:v>中華科技大學</x:v>
      </x:c>
      <x:c r="D1494" s="18" t="n">
        <x:v>26</x:v>
      </x:c>
      <x:c r="E1494" s="18" t="n">
        <x:v>26</x:v>
      </x:c>
      <x:c r="F1494" s="18" t="n">
        <x:v>153</x:v>
      </x:c>
      <x:c r="G1494" s="18" t="n">
        <x:v>26</x:v>
      </x:c>
      <x:c r="H1494" s="18" t="n">
        <x:v>71</x:v>
      </x:c>
      <x:c r="I1494" s="18" t="n">
        <x:v>26</x:v>
      </x:c>
      <x:c r="J1494" s="18" t="n">
        <x:v>194</x:v>
      </x:c>
      <x:c r="K1494" s="18" t="n">
        <x:v>26</x:v>
      </x:c>
      <x:c r="L1494" s="18" t="n">
        <x:v>43</x:v>
      </x:c>
      <x:c r="M1494" s="18" t="n">
        <x:v>26</x:v>
      </x:c>
    </x:row>
    <x:row r="1495">
      <x:c r="A1495" s="22" t="str">
        <x:v>500111030</x:v>
      </x:c>
      <x:c r="B1495" s="17" t="str">
        <x:v>南港區</x:v>
      </x:c>
      <x:c r="C1495" s="17" t="str">
        <x:v>六福公園</x:v>
      </x:c>
      <x:c r="D1495" s="18" t="n">
        <x:v>26</x:v>
      </x:c>
      <x:c r="E1495" s="18" t="n">
        <x:v>26</x:v>
      </x:c>
      <x:c r="F1495" s="18" t="n">
        <x:v>273</x:v>
      </x:c>
      <x:c r="G1495" s="18" t="n">
        <x:v>26</x:v>
      </x:c>
      <x:c r="H1495" s="18" t="n">
        <x:v>28</x:v>
      </x:c>
      <x:c r="I1495" s="18" t="n">
        <x:v>26</x:v>
      </x:c>
      <x:c r="J1495" s="18" t="n">
        <x:v>102</x:v>
      </x:c>
      <x:c r="K1495" s="18" t="n">
        <x:v>26</x:v>
      </x:c>
      <x:c r="L1495" s="18" t="n">
        <x:v>20</x:v>
      </x:c>
      <x:c r="M1495" s="18" t="n">
        <x:v>26</x:v>
      </x:c>
    </x:row>
    <x:row r="1496">
      <x:c r="A1496" s="22" t="str">
        <x:v>500111031</x:v>
      </x:c>
      <x:c r="B1496" s="17" t="str">
        <x:v>南港區</x:v>
      </x:c>
      <x:c r="C1496" s="17" t="str">
        <x:v>南港加壓站</x:v>
      </x:c>
      <x:c r="D1496" s="18" t="n">
        <x:v>26</x:v>
      </x:c>
      <x:c r="E1496" s="18" t="n">
        <x:v>26</x:v>
      </x:c>
      <x:c r="F1496" s="18" t="n">
        <x:v>371</x:v>
      </x:c>
      <x:c r="G1496" s="18" t="n">
        <x:v>26</x:v>
      </x:c>
      <x:c r="H1496" s="18" t="n">
        <x:v>50</x:v>
      </x:c>
      <x:c r="I1496" s="18" t="n">
        <x:v>26</x:v>
      </x:c>
      <x:c r="J1496" s="18" t="n">
        <x:v>104</x:v>
      </x:c>
      <x:c r="K1496" s="18" t="n">
        <x:v>26</x:v>
      </x:c>
      <x:c r="L1496" s="18" t="n">
        <x:v>23</x:v>
      </x:c>
      <x:c r="M1496" s="18" t="n">
        <x:v>26</x:v>
      </x:c>
    </x:row>
    <x:row r="1497">
      <x:c r="A1497" s="22" t="str">
        <x:v>500111032</x:v>
      </x:c>
      <x:c r="B1497" s="17" t="str">
        <x:v>南港區</x:v>
      </x:c>
      <x:c r="C1497" s="17" t="str">
        <x:v>臺北流行音樂中心(南港路)</x:v>
      </x:c>
      <x:c r="D1497" s="18" t="n">
        <x:v>26</x:v>
      </x:c>
      <x:c r="E1497" s="18" t="n">
        <x:v>26</x:v>
      </x:c>
      <x:c r="F1497" s="18" t="n">
        <x:v>185</x:v>
      </x:c>
      <x:c r="G1497" s="18" t="n">
        <x:v>26</x:v>
      </x:c>
      <x:c r="H1497" s="18" t="n">
        <x:v>20</x:v>
      </x:c>
      <x:c r="I1497" s="18" t="n">
        <x:v>26</x:v>
      </x:c>
      <x:c r="J1497" s="18" t="n">
        <x:v>159</x:v>
      </x:c>
      <x:c r="K1497" s="18" t="n">
        <x:v>26</x:v>
      </x:c>
      <x:c r="L1497" s="18" t="n">
        <x:v>23</x:v>
      </x:c>
      <x:c r="M1497" s="18" t="n">
        <x:v>26</x:v>
      </x:c>
    </x:row>
    <x:row r="1498">
      <x:c r="A1498" s="22" t="str">
        <x:v>500111033</x:v>
      </x:c>
      <x:c r="B1498" s="17" t="str">
        <x:v>南港區</x:v>
      </x:c>
      <x:c r="C1498" s="17" t="str">
        <x:v>興南公園</x:v>
      </x:c>
      <x:c r="D1498" s="18" t="n">
        <x:v>26</x:v>
      </x:c>
      <x:c r="E1498" s="18" t="n">
        <x:v>26</x:v>
      </x:c>
      <x:c r="F1498" s="18" t="n">
        <x:v>159</x:v>
      </x:c>
      <x:c r="G1498" s="18" t="n">
        <x:v>26</x:v>
      </x:c>
      <x:c r="H1498" s="18" t="n">
        <x:v>30</x:v>
      </x:c>
      <x:c r="I1498" s="18" t="n">
        <x:v>26</x:v>
      </x:c>
      <x:c r="J1498" s="18" t="n">
        <x:v>355</x:v>
      </x:c>
      <x:c r="K1498" s="18" t="n">
        <x:v>26</x:v>
      </x:c>
      <x:c r="L1498" s="18" t="n">
        <x:v>45</x:v>
      </x:c>
      <x:c r="M1498" s="18" t="n">
        <x:v>26</x:v>
      </x:c>
    </x:row>
    <x:row r="1499">
      <x:c r="A1499" s="22" t="str">
        <x:v>500111034</x:v>
      </x:c>
      <x:c r="B1499" s="17" t="str">
        <x:v>南港區</x:v>
      </x:c>
      <x:c r="C1499" s="17" t="str">
        <x:v>臺北流行音樂中心(市民大道)</x:v>
      </x:c>
      <x:c r="D1499" s="18" t="n">
        <x:v>26</x:v>
      </x:c>
      <x:c r="E1499" s="18" t="n">
        <x:v>26</x:v>
      </x:c>
      <x:c r="F1499" s="18" t="n">
        <x:v>77</x:v>
      </x:c>
      <x:c r="G1499" s="18" t="n">
        <x:v>26</x:v>
      </x:c>
      <x:c r="H1499" s="18" t="n">
        <x:v>19</x:v>
      </x:c>
      <x:c r="I1499" s="18" t="n">
        <x:v>26</x:v>
      </x:c>
      <x:c r="J1499" s="18" t="n">
        <x:v>454</x:v>
      </x:c>
      <x:c r="K1499" s="18" t="n">
        <x:v>26</x:v>
      </x:c>
      <x:c r="L1499" s="18" t="n">
        <x:v>65</x:v>
      </x:c>
      <x:c r="M1499" s="18" t="n">
        <x:v>26</x:v>
      </x:c>
    </x:row>
    <x:row r="1500">
      <x:c r="A1500" s="22" t="str">
        <x:v>500111035</x:v>
      </x:c>
      <x:c r="B1500" s="17" t="str">
        <x:v>南港區</x:v>
      </x:c>
      <x:c r="C1500" s="17" t="str">
        <x:v>南港車站(市民大道)</x:v>
      </x:c>
      <x:c r="D1500" s="18" t="n">
        <x:v>26</x:v>
      </x:c>
      <x:c r="E1500" s="18" t="n">
        <x:v>26</x:v>
      </x:c>
      <x:c r="F1500" s="18" t="n">
        <x:v>481</x:v>
      </x:c>
      <x:c r="G1500" s="18" t="n">
        <x:v>26</x:v>
      </x:c>
      <x:c r="H1500" s="18" t="n">
        <x:v>83</x:v>
      </x:c>
      <x:c r="I1500" s="18" t="n">
        <x:v>26</x:v>
      </x:c>
      <x:c r="J1500" s="18" t="n">
        <x:v>225</x:v>
      </x:c>
      <x:c r="K1500" s="18" t="n">
        <x:v>26</x:v>
      </x:c>
      <x:c r="L1500" s="18" t="n">
        <x:v>35</x:v>
      </x:c>
      <x:c r="M1500" s="18" t="n">
        <x:v>26</x:v>
      </x:c>
    </x:row>
    <x:row r="1501">
      <x:c r="A1501" s="22" t="str">
        <x:v>500111036</x:v>
      </x:c>
      <x:c r="B1501" s="17" t="str">
        <x:v>南港區</x:v>
      </x:c>
      <x:c r="C1501" s="17" t="str">
        <x:v>忠孝東路七段527巷口</x:v>
      </x:c>
      <x:c r="D1501" s="18" t="n">
        <x:v>26</x:v>
      </x:c>
      <x:c r="E1501" s="18" t="n">
        <x:v>26</x:v>
      </x:c>
      <x:c r="F1501" s="18" t="n">
        <x:v>323</x:v>
      </x:c>
      <x:c r="G1501" s="18" t="n">
        <x:v>26</x:v>
      </x:c>
      <x:c r="H1501" s="18" t="n">
        <x:v>31</x:v>
      </x:c>
      <x:c r="I1501" s="18" t="n">
        <x:v>26</x:v>
      </x:c>
      <x:c r="J1501" s="18" t="n">
        <x:v>176</x:v>
      </x:c>
      <x:c r="K1501" s="18" t="n">
        <x:v>26</x:v>
      </x:c>
      <x:c r="L1501" s="18" t="n">
        <x:v>32</x:v>
      </x:c>
      <x:c r="M1501" s="18" t="n">
        <x:v>26</x:v>
      </x:c>
    </x:row>
    <x:row r="1502">
      <x:c r="A1502" s="22" t="str">
        <x:v>500111037</x:v>
      </x:c>
      <x:c r="B1502" s="17" t="str">
        <x:v>南港區</x:v>
      </x:c>
      <x:c r="C1502" s="17" t="str">
        <x:v>南港軟體園區(新民街)</x:v>
      </x:c>
      <x:c r="D1502" s="18" t="n">
        <x:v>26</x:v>
      </x:c>
      <x:c r="E1502" s="18" t="n">
        <x:v>26</x:v>
      </x:c>
      <x:c r="F1502" s="18" t="n">
        <x:v>155</x:v>
      </x:c>
      <x:c r="G1502" s="18" t="n">
        <x:v>26</x:v>
      </x:c>
      <x:c r="H1502" s="18" t="n">
        <x:v>33</x:v>
      </x:c>
      <x:c r="I1502" s="18" t="n">
        <x:v>26</x:v>
      </x:c>
      <x:c r="J1502" s="18" t="n">
        <x:v>631</x:v>
      </x:c>
      <x:c r="K1502" s="18" t="n">
        <x:v>26</x:v>
      </x:c>
      <x:c r="L1502" s="18" t="n">
        <x:v>103</x:v>
      </x:c>
      <x:c r="M1502" s="18" t="n">
        <x:v>26</x:v>
      </x:c>
    </x:row>
    <x:row r="1503">
      <x:c r="A1503" s="22" t="str">
        <x:v>500111038</x:v>
      </x:c>
      <x:c r="B1503" s="17" t="str">
        <x:v>南港區</x:v>
      </x:c>
      <x:c r="C1503" s="17" t="str">
        <x:v>世貿公園</x:v>
      </x:c>
      <x:c r="D1503" s="18" t="n">
        <x:v>26</x:v>
      </x:c>
      <x:c r="E1503" s="18" t="n">
        <x:v>26</x:v>
      </x:c>
      <x:c r="F1503" s="18" t="n">
        <x:v>128</x:v>
      </x:c>
      <x:c r="G1503" s="18" t="n">
        <x:v>26</x:v>
      </x:c>
      <x:c r="H1503" s="18" t="n">
        <x:v>36</x:v>
      </x:c>
      <x:c r="I1503" s="18" t="n">
        <x:v>26</x:v>
      </x:c>
      <x:c r="J1503" s="18" t="n">
        <x:v>1594</x:v>
      </x:c>
      <x:c r="K1503" s="18" t="n">
        <x:v>26</x:v>
      </x:c>
      <x:c r="L1503" s="18" t="n">
        <x:v>232</x:v>
      </x:c>
      <x:c r="M1503" s="18" t="n">
        <x:v>26</x:v>
      </x:c>
    </x:row>
    <x:row r="1504">
      <x:c r="A1504" s="22" t="str">
        <x:v>500111039</x:v>
      </x:c>
      <x:c r="B1504" s="17" t="str">
        <x:v>南港區</x:v>
      </x:c>
      <x:c r="C1504" s="17" t="str">
        <x:v>凌雲五村(研究院路三段8巷)</x:v>
      </x:c>
      <x:c r="D1504" s="18" t="n">
        <x:v>26</x:v>
      </x:c>
      <x:c r="E1504" s="18" t="n">
        <x:v>26</x:v>
      </x:c>
      <x:c r="F1504" s="18" t="n">
        <x:v>424</x:v>
      </x:c>
      <x:c r="G1504" s="18" t="n">
        <x:v>26</x:v>
      </x:c>
      <x:c r="H1504" s="18" t="n">
        <x:v>60</x:v>
      </x:c>
      <x:c r="I1504" s="18" t="n">
        <x:v>26</x:v>
      </x:c>
      <x:c r="J1504" s="18" t="n">
        <x:v>109</x:v>
      </x:c>
      <x:c r="K1504" s="18" t="n">
        <x:v>26</x:v>
      </x:c>
      <x:c r="L1504" s="18" t="n">
        <x:v>31</x:v>
      </x:c>
      <x:c r="M1504" s="18" t="n">
        <x:v>26</x:v>
      </x:c>
    </x:row>
    <x:row r="1505">
      <x:c r="A1505" s="22" t="str">
        <x:v>500111040</x:v>
      </x:c>
      <x:c r="B1505" s="17" t="str">
        <x:v>南港區</x:v>
      </x:c>
      <x:c r="C1505" s="17" t="str">
        <x:v>新新公園(昆陽街60巷)</x:v>
      </x:c>
      <x:c r="D1505" s="18" t="n">
        <x:v>26</x:v>
      </x:c>
      <x:c r="E1505" s="18" t="n">
        <x:v>26</x:v>
      </x:c>
      <x:c r="F1505" s="18" t="n">
        <x:v>152</x:v>
      </x:c>
      <x:c r="G1505" s="18" t="n">
        <x:v>26</x:v>
      </x:c>
      <x:c r="H1505" s="18" t="n">
        <x:v>25</x:v>
      </x:c>
      <x:c r="I1505" s="18" t="n">
        <x:v>26</x:v>
      </x:c>
      <x:c r="J1505" s="18" t="n">
        <x:v>508</x:v>
      </x:c>
      <x:c r="K1505" s="18" t="n">
        <x:v>26</x:v>
      </x:c>
      <x:c r="L1505" s="18" t="n">
        <x:v>70</x:v>
      </x:c>
      <x:c r="M1505" s="18" t="n">
        <x:v>26</x:v>
      </x:c>
    </x:row>
    <x:row r="1506">
      <x:c r="A1506" s="22" t="str">
        <x:v>500111041</x:v>
      </x:c>
      <x:c r="B1506" s="17" t="str">
        <x:v>南港區</x:v>
      </x:c>
      <x:c r="C1506" s="17" t="str">
        <x:v>南港高中(昆陽街)</x:v>
      </x:c>
      <x:c r="D1506" s="18" t="n">
        <x:v>26</x:v>
      </x:c>
      <x:c r="E1506" s="18" t="n">
        <x:v>26</x:v>
      </x:c>
      <x:c r="F1506" s="18" t="n">
        <x:v>117</x:v>
      </x:c>
      <x:c r="G1506" s="18" t="n">
        <x:v>26</x:v>
      </x:c>
      <x:c r="H1506" s="18" t="n">
        <x:v>21</x:v>
      </x:c>
      <x:c r="I1506" s="18" t="n">
        <x:v>26</x:v>
      </x:c>
      <x:c r="J1506" s="18" t="n">
        <x:v>355</x:v>
      </x:c>
      <x:c r="K1506" s="18" t="n">
        <x:v>26</x:v>
      </x:c>
      <x:c r="L1506" s="18" t="n">
        <x:v>94</x:v>
      </x:c>
      <x:c r="M1506" s="18" t="n">
        <x:v>26</x:v>
      </x:c>
    </x:row>
    <x:row r="1507">
      <x:c r="A1507" s="22" t="str">
        <x:v>500111042</x:v>
      </x:c>
      <x:c r="B1507" s="17" t="str">
        <x:v>南港區</x:v>
      </x:c>
      <x:c r="C1507" s="17" t="str">
        <x:v>南港路三段290巷口</x:v>
      </x:c>
      <x:c r="D1507" s="18" t="n">
        <x:v>26</x:v>
      </x:c>
      <x:c r="E1507" s="18" t="n">
        <x:v>26</x:v>
      </x:c>
      <x:c r="F1507" s="18" t="n">
        <x:v>268</x:v>
      </x:c>
      <x:c r="G1507" s="18" t="n">
        <x:v>26</x:v>
      </x:c>
      <x:c r="H1507" s="18" t="n">
        <x:v>29</x:v>
      </x:c>
      <x:c r="I1507" s="18" t="n">
        <x:v>26</x:v>
      </x:c>
      <x:c r="J1507" s="18" t="n">
        <x:v>118</x:v>
      </x:c>
      <x:c r="K1507" s="18" t="n">
        <x:v>26</x:v>
      </x:c>
      <x:c r="L1507" s="18" t="n">
        <x:v>19</x:v>
      </x:c>
      <x:c r="M1507" s="18" t="n">
        <x:v>26</x:v>
      </x:c>
    </x:row>
    <x:row r="1508">
      <x:c r="A1508" s="22" t="str">
        <x:v>500111043</x:v>
      </x:c>
      <x:c r="B1508" s="17" t="str">
        <x:v>南港區</x:v>
      </x:c>
      <x:c r="C1508" s="17" t="str">
        <x:v>南港路三段220巷口</x:v>
      </x:c>
      <x:c r="D1508" s="18" t="n">
        <x:v>26</x:v>
      </x:c>
      <x:c r="E1508" s="18" t="n">
        <x:v>26</x:v>
      </x:c>
      <x:c r="F1508" s="18" t="n">
        <x:v>224</x:v>
      </x:c>
      <x:c r="G1508" s="18" t="n">
        <x:v>26</x:v>
      </x:c>
      <x:c r="H1508" s="18" t="n">
        <x:v>43</x:v>
      </x:c>
      <x:c r="I1508" s="18" t="n">
        <x:v>26</x:v>
      </x:c>
      <x:c r="J1508" s="18" t="n">
        <x:v>139</x:v>
      </x:c>
      <x:c r="K1508" s="18" t="n">
        <x:v>26</x:v>
      </x:c>
      <x:c r="L1508" s="18" t="n">
        <x:v>36</x:v>
      </x:c>
      <x:c r="M1508" s="18" t="n">
        <x:v>26</x:v>
      </x:c>
    </x:row>
    <x:row r="1509">
      <x:c r="A1509" s="22" t="str">
        <x:v>500111044</x:v>
      </x:c>
      <x:c r="B1509" s="17" t="str">
        <x:v>南港區</x:v>
      </x:c>
      <x:c r="C1509" s="17" t="str">
        <x:v>南港東新街口</x:v>
      </x:c>
      <x:c r="D1509" s="18" t="n">
        <x:v>26</x:v>
      </x:c>
      <x:c r="E1509" s="18" t="n">
        <x:v>26</x:v>
      </x:c>
      <x:c r="F1509" s="18" t="n">
        <x:v>288</x:v>
      </x:c>
      <x:c r="G1509" s="18" t="n">
        <x:v>26</x:v>
      </x:c>
      <x:c r="H1509" s="18" t="n">
        <x:v>28</x:v>
      </x:c>
      <x:c r="I1509" s="18" t="n">
        <x:v>26</x:v>
      </x:c>
      <x:c r="J1509" s="18" t="n">
        <x:v>362</x:v>
      </x:c>
      <x:c r="K1509" s="18" t="n">
        <x:v>26</x:v>
      </x:c>
      <x:c r="L1509" s="18" t="n">
        <x:v>44</x:v>
      </x:c>
      <x:c r="M1509" s="18" t="n">
        <x:v>26</x:v>
      </x:c>
    </x:row>
    <x:row r="1510">
      <x:c r="A1510" s="22" t="str">
        <x:v>500111045</x:v>
      </x:c>
      <x:c r="B1510" s="17" t="str">
        <x:v>南港區</x:v>
      </x:c>
      <x:c r="C1510" s="17" t="str">
        <x:v>八德中坡路口</x:v>
      </x:c>
      <x:c r="D1510" s="18" t="n">
        <x:v>26</x:v>
      </x:c>
      <x:c r="E1510" s="18" t="n">
        <x:v>26</x:v>
      </x:c>
      <x:c r="F1510" s="18" t="n">
        <x:v>444</x:v>
      </x:c>
      <x:c r="G1510" s="18" t="n">
        <x:v>26</x:v>
      </x:c>
      <x:c r="H1510" s="18" t="n">
        <x:v>61</x:v>
      </x:c>
      <x:c r="I1510" s="18" t="n">
        <x:v>26</x:v>
      </x:c>
      <x:c r="J1510" s="18" t="n">
        <x:v>226</x:v>
      </x:c>
      <x:c r="K1510" s="18" t="n">
        <x:v>26</x:v>
      </x:c>
      <x:c r="L1510" s="18" t="n">
        <x:v>40</x:v>
      </x:c>
      <x:c r="M1510" s="18" t="n">
        <x:v>26</x:v>
      </x:c>
    </x:row>
    <x:row r="1511">
      <x:c r="A1511" s="22" t="str">
        <x:v>500111046</x:v>
      </x:c>
      <x:c r="B1511" s="17" t="str">
        <x:v>南港區</x:v>
      </x:c>
      <x:c r="C1511" s="17" t="str">
        <x:v>捷運後山埤站(3號出口)</x:v>
      </x:c>
      <x:c r="D1511" s="18" t="n">
        <x:v>26</x:v>
      </x:c>
      <x:c r="E1511" s="18" t="n">
        <x:v>26</x:v>
      </x:c>
      <x:c r="F1511" s="18" t="n">
        <x:v>257</x:v>
      </x:c>
      <x:c r="G1511" s="18" t="n">
        <x:v>26</x:v>
      </x:c>
      <x:c r="H1511" s="18" t="n">
        <x:v>39</x:v>
      </x:c>
      <x:c r="I1511" s="18" t="n">
        <x:v>26</x:v>
      </x:c>
      <x:c r="J1511" s="18" t="n">
        <x:v>201</x:v>
      </x:c>
      <x:c r="K1511" s="18" t="n">
        <x:v>26</x:v>
      </x:c>
      <x:c r="L1511" s="18" t="n">
        <x:v>66</x:v>
      </x:c>
      <x:c r="M1511" s="18" t="n">
        <x:v>26</x:v>
      </x:c>
    </x:row>
    <x:row r="1512">
      <x:c r="A1512" s="22" t="str">
        <x:v>500111047</x:v>
      </x:c>
      <x:c r="B1512" s="17" t="str">
        <x:v>南港區</x:v>
      </x:c>
      <x:c r="C1512" s="17" t="str">
        <x:v>玉成公園運動中心</x:v>
      </x:c>
      <x:c r="D1512" s="18" t="n">
        <x:v>26</x:v>
      </x:c>
      <x:c r="E1512" s="18" t="n">
        <x:v>26</x:v>
      </x:c>
      <x:c r="F1512" s="18" t="n">
        <x:v>447</x:v>
      </x:c>
      <x:c r="G1512" s="18" t="n">
        <x:v>26</x:v>
      </x:c>
      <x:c r="H1512" s="18" t="n">
        <x:v>88</x:v>
      </x:c>
      <x:c r="I1512" s="18" t="n">
        <x:v>26</x:v>
      </x:c>
      <x:c r="J1512" s="18" t="n">
        <x:v>103</x:v>
      </x:c>
      <x:c r="K1512" s="18" t="n">
        <x:v>26</x:v>
      </x:c>
      <x:c r="L1512" s="18" t="n">
        <x:v>12</x:v>
      </x:c>
      <x:c r="M1512" s="18" t="n">
        <x:v>26</x:v>
      </x:c>
    </x:row>
    <x:row r="1513">
      <x:c r="A1513" s="22" t="str">
        <x:v>500111048</x:v>
      </x:c>
      <x:c r="B1513" s="17" t="str">
        <x:v>南港區</x:v>
      </x:c>
      <x:c r="C1513" s="17" t="str">
        <x:v>百福公園</x:v>
      </x:c>
      <x:c r="D1513" s="18" t="n">
        <x:v>26</x:v>
      </x:c>
      <x:c r="E1513" s="18" t="n">
        <x:v>26</x:v>
      </x:c>
      <x:c r="F1513" s="18" t="n">
        <x:v>547</x:v>
      </x:c>
      <x:c r="G1513" s="18" t="n">
        <x:v>26</x:v>
      </x:c>
      <x:c r="H1513" s="18" t="n">
        <x:v>95</x:v>
      </x:c>
      <x:c r="I1513" s="18" t="n">
        <x:v>26</x:v>
      </x:c>
      <x:c r="J1513" s="18" t="n">
        <x:v>89</x:v>
      </x:c>
      <x:c r="K1513" s="18" t="n">
        <x:v>26</x:v>
      </x:c>
      <x:c r="L1513" s="18" t="n">
        <x:v>21</x:v>
      </x:c>
      <x:c r="M1513" s="18" t="n">
        <x:v>26</x:v>
      </x:c>
    </x:row>
    <x:row r="1514">
      <x:c r="A1514" s="22" t="str">
        <x:v>500111049</x:v>
      </x:c>
      <x:c r="B1514" s="17" t="str">
        <x:v>南港區</x:v>
      </x:c>
      <x:c r="C1514" s="17" t="str">
        <x:v>南湖大橋(經貿二路255巷)</x:v>
      </x:c>
      <x:c r="D1514" s="18" t="n">
        <x:v>26</x:v>
      </x:c>
      <x:c r="E1514" s="18" t="n">
        <x:v>26</x:v>
      </x:c>
      <x:c r="F1514" s="18" t="n">
        <x:v>128</x:v>
      </x:c>
      <x:c r="G1514" s="18" t="n">
        <x:v>26</x:v>
      </x:c>
      <x:c r="H1514" s="18" t="n">
        <x:v>24</x:v>
      </x:c>
      <x:c r="I1514" s="18" t="n">
        <x:v>26</x:v>
      </x:c>
      <x:c r="J1514" s="18" t="n">
        <x:v>155</x:v>
      </x:c>
      <x:c r="K1514" s="18" t="n">
        <x:v>26</x:v>
      </x:c>
      <x:c r="L1514" s="18" t="n">
        <x:v>57</x:v>
      </x:c>
      <x:c r="M1514" s="18" t="n">
        <x:v>26</x:v>
      </x:c>
    </x:row>
    <x:row r="1515">
      <x:c r="A1515" s="22" t="str">
        <x:v>500111050</x:v>
      </x:c>
      <x:c r="B1515" s="17" t="str">
        <x:v>南港區</x:v>
      </x:c>
      <x:c r="C1515" s="17" t="str">
        <x:v>園區重陽路口</x:v>
      </x:c>
      <x:c r="D1515" s="18" t="n">
        <x:v>26</x:v>
      </x:c>
      <x:c r="E1515" s="18" t="n">
        <x:v>26</x:v>
      </x:c>
      <x:c r="F1515" s="18" t="n">
        <x:v>167</x:v>
      </x:c>
      <x:c r="G1515" s="18" t="n">
        <x:v>26</x:v>
      </x:c>
      <x:c r="H1515" s="18" t="n">
        <x:v>45</x:v>
      </x:c>
      <x:c r="I1515" s="18" t="n">
        <x:v>26</x:v>
      </x:c>
      <x:c r="J1515" s="18" t="n">
        <x:v>285</x:v>
      </x:c>
      <x:c r="K1515" s="18" t="n">
        <x:v>26</x:v>
      </x:c>
      <x:c r="L1515" s="18" t="n">
        <x:v>43</x:v>
      </x:c>
      <x:c r="M1515" s="18" t="n">
        <x:v>26</x:v>
      </x:c>
    </x:row>
    <x:row r="1516">
      <x:c r="A1516" s="22" t="str">
        <x:v>500111051</x:v>
      </x:c>
      <x:c r="B1516" s="17" t="str">
        <x:v>南港區</x:v>
      </x:c>
      <x:c r="C1516" s="17" t="str">
        <x:v>南港車站B棟(市民大道)</x:v>
      </x:c>
      <x:c r="D1516" s="18" t="n">
        <x:v>26</x:v>
      </x:c>
      <x:c r="E1516" s="18" t="n">
        <x:v>26</x:v>
      </x:c>
      <x:c r="F1516" s="18" t="n">
        <x:v>374</x:v>
      </x:c>
      <x:c r="G1516" s="18" t="n">
        <x:v>26</x:v>
      </x:c>
      <x:c r="H1516" s="18" t="n">
        <x:v>36</x:v>
      </x:c>
      <x:c r="I1516" s="18" t="n">
        <x:v>26</x:v>
      </x:c>
      <x:c r="J1516" s="18" t="n">
        <x:v>217</x:v>
      </x:c>
      <x:c r="K1516" s="18" t="n">
        <x:v>26</x:v>
      </x:c>
      <x:c r="L1516" s="18" t="n">
        <x:v>22</x:v>
      </x:c>
      <x:c r="M1516" s="18" t="n">
        <x:v>26</x:v>
      </x:c>
    </x:row>
    <x:row r="1517">
      <x:c r="A1517" s="22" t="str">
        <x:v>500111052</x:v>
      </x:c>
      <x:c r="B1517" s="17" t="str">
        <x:v>南港區</x:v>
      </x:c>
      <x:c r="C1517" s="17" t="str">
        <x:v>胡適公園</x:v>
      </x:c>
      <x:c r="D1517" s="18" t="n">
        <x:v>26</x:v>
      </x:c>
      <x:c r="E1517" s="18" t="n">
        <x:v>26</x:v>
      </x:c>
      <x:c r="F1517" s="18" t="n">
        <x:v>187</x:v>
      </x:c>
      <x:c r="G1517" s="18" t="n">
        <x:v>26</x:v>
      </x:c>
      <x:c r="H1517" s="18" t="n">
        <x:v>40</x:v>
      </x:c>
      <x:c r="I1517" s="18" t="n">
        <x:v>26</x:v>
      </x:c>
      <x:c r="J1517" s="18" t="n">
        <x:v>178</x:v>
      </x:c>
      <x:c r="K1517" s="18" t="n">
        <x:v>26</x:v>
      </x:c>
      <x:c r="L1517" s="18" t="n">
        <x:v>39</x:v>
      </x:c>
      <x:c r="M1517" s="18" t="n">
        <x:v>26</x:v>
      </x:c>
    </x:row>
    <x:row r="1518">
      <x:c r="A1518" s="22" t="str">
        <x:v>500111053</x:v>
      </x:c>
      <x:c r="B1518" s="17" t="str">
        <x:v>南港區</x:v>
      </x:c>
      <x:c r="C1518" s="17" t="str">
        <x:v>南港抽水站</x:v>
      </x:c>
      <x:c r="D1518" s="18" t="n">
        <x:v>26</x:v>
      </x:c>
      <x:c r="E1518" s="18" t="n">
        <x:v>26</x:v>
      </x:c>
      <x:c r="F1518" s="18" t="n">
        <x:v>263</x:v>
      </x:c>
      <x:c r="G1518" s="18" t="n">
        <x:v>26</x:v>
      </x:c>
      <x:c r="H1518" s="18" t="n">
        <x:v>37</x:v>
      </x:c>
      <x:c r="I1518" s="18" t="n">
        <x:v>26</x:v>
      </x:c>
      <x:c r="J1518" s="18" t="n">
        <x:v>149</x:v>
      </x:c>
      <x:c r="K1518" s="18" t="n">
        <x:v>26</x:v>
      </x:c>
      <x:c r="L1518" s="18" t="n">
        <x:v>17</x:v>
      </x:c>
      <x:c r="M1518" s="18" t="n">
        <x:v>26</x:v>
      </x:c>
    </x:row>
    <x:row r="1519">
      <x:c r="A1519" s="22" t="str">
        <x:v>500111054</x:v>
      </x:c>
      <x:c r="B1519" s="17" t="str">
        <x:v>南港區</x:v>
      </x:c>
      <x:c r="C1519" s="17" t="str">
        <x:v>經貿公園</x:v>
      </x:c>
      <x:c r="D1519" s="18" t="n">
        <x:v>26</x:v>
      </x:c>
      <x:c r="E1519" s="18" t="n">
        <x:v>26</x:v>
      </x:c>
      <x:c r="F1519" s="18" t="n">
        <x:v>148</x:v>
      </x:c>
      <x:c r="G1519" s="18" t="n">
        <x:v>26</x:v>
      </x:c>
      <x:c r="H1519" s="18" t="n">
        <x:v>26</x:v>
      </x:c>
      <x:c r="I1519" s="18" t="n">
        <x:v>26</x:v>
      </x:c>
      <x:c r="J1519" s="18" t="n">
        <x:v>161</x:v>
      </x:c>
      <x:c r="K1519" s="18" t="n">
        <x:v>26</x:v>
      </x:c>
      <x:c r="L1519" s="18" t="n">
        <x:v>23</x:v>
      </x:c>
      <x:c r="M1519" s="18" t="n">
        <x:v>26</x:v>
      </x:c>
    </x:row>
    <x:row r="1520">
      <x:c r="A1520" s="22" t="str">
        <x:v>500111055</x:v>
      </x:c>
      <x:c r="B1520" s="17" t="str">
        <x:v>南港區</x:v>
      </x:c>
      <x:c r="C1520" s="17" t="str">
        <x:v>育成高中</x:v>
      </x:c>
      <x:c r="D1520" s="18" t="n">
        <x:v>26</x:v>
      </x:c>
      <x:c r="E1520" s="18" t="n">
        <x:v>26</x:v>
      </x:c>
      <x:c r="F1520" s="18" t="n">
        <x:v>268</x:v>
      </x:c>
      <x:c r="G1520" s="18" t="n">
        <x:v>26</x:v>
      </x:c>
      <x:c r="H1520" s="18" t="n">
        <x:v>41</x:v>
      </x:c>
      <x:c r="I1520" s="18" t="n">
        <x:v>26</x:v>
      </x:c>
      <x:c r="J1520" s="18" t="n">
        <x:v>530</x:v>
      </x:c>
      <x:c r="K1520" s="18" t="n">
        <x:v>26</x:v>
      </x:c>
      <x:c r="L1520" s="18" t="n">
        <x:v>98</x:v>
      </x:c>
      <x:c r="M1520" s="18" t="n">
        <x:v>26</x:v>
      </x:c>
    </x:row>
    <x:row r="1521">
      <x:c r="A1521" s="22" t="str">
        <x:v>500111056</x:v>
      </x:c>
      <x:c r="B1521" s="17" t="str">
        <x:v>南港區</x:v>
      </x:c>
      <x:c r="C1521" s="17" t="str">
        <x:v>捷運南港展覽館站(7號出口)</x:v>
      </x:c>
      <x:c r="D1521" s="18" t="n">
        <x:v>26</x:v>
      </x:c>
      <x:c r="E1521" s="18" t="n">
        <x:v>26</x:v>
      </x:c>
      <x:c r="F1521" s="18" t="n">
        <x:v>201</x:v>
      </x:c>
      <x:c r="G1521" s="18" t="n">
        <x:v>26</x:v>
      </x:c>
      <x:c r="H1521" s="18" t="n">
        <x:v>14</x:v>
      </x:c>
      <x:c r="I1521" s="18" t="n">
        <x:v>26</x:v>
      </x:c>
      <x:c r="J1521" s="18" t="n">
        <x:v>316</x:v>
      </x:c>
      <x:c r="K1521" s="18" t="n">
        <x:v>26</x:v>
      </x:c>
      <x:c r="L1521" s="18" t="n">
        <x:v>59</x:v>
      </x:c>
      <x:c r="M1521" s="18" t="n">
        <x:v>26</x:v>
      </x:c>
    </x:row>
    <x:row r="1522">
      <x:c r="A1522" s="22" t="str">
        <x:v>500111057</x:v>
      </x:c>
      <x:c r="B1522" s="17" t="str">
        <x:v>南港區</x:v>
      </x:c>
      <x:c r="C1522" s="17" t="str">
        <x:v>力行橋(南港)</x:v>
      </x:c>
      <x:c r="D1522" s="18" t="n">
        <x:v>26</x:v>
      </x:c>
      <x:c r="E1522" s="18" t="n">
        <x:v>26</x:v>
      </x:c>
      <x:c r="F1522" s="18" t="n">
        <x:v>341</x:v>
      </x:c>
      <x:c r="G1522" s="18" t="n">
        <x:v>26</x:v>
      </x:c>
      <x:c r="H1522" s="18" t="n">
        <x:v>17</x:v>
      </x:c>
      <x:c r="I1522" s="18" t="n">
        <x:v>26</x:v>
      </x:c>
      <x:c r="J1522" s="18" t="n">
        <x:v>119</x:v>
      </x:c>
      <x:c r="K1522" s="18" t="n">
        <x:v>26</x:v>
      </x:c>
      <x:c r="L1522" s="18" t="n">
        <x:v>26</x:v>
      </x:c>
      <x:c r="M1522" s="18" t="n">
        <x:v>26</x:v>
      </x:c>
    </x:row>
    <x:row r="1523">
      <x:c r="A1523" s="22" t="str">
        <x:v>500111058</x:v>
      </x:c>
      <x:c r="B1523" s="17" t="str">
        <x:v>南港區</x:v>
      </x:c>
      <x:c r="C1523" s="17" t="str">
        <x:v>舊莊國小(舊莊街一段)</x:v>
      </x:c>
      <x:c r="D1523" s="18" t="n">
        <x:v>26</x:v>
      </x:c>
      <x:c r="E1523" s="18" t="n">
        <x:v>26</x:v>
      </x:c>
      <x:c r="F1523" s="18" t="n">
        <x:v>190</x:v>
      </x:c>
      <x:c r="G1523" s="18" t="n">
        <x:v>26</x:v>
      </x:c>
      <x:c r="H1523" s="18" t="n">
        <x:v>61</x:v>
      </x:c>
      <x:c r="I1523" s="18" t="n">
        <x:v>26</x:v>
      </x:c>
      <x:c r="J1523" s="18" t="n">
        <x:v>125</x:v>
      </x:c>
      <x:c r="K1523" s="18" t="n">
        <x:v>26</x:v>
      </x:c>
      <x:c r="L1523" s="18" t="n">
        <x:v>34</x:v>
      </x:c>
      <x:c r="M1523" s="18" t="n">
        <x:v>26</x:v>
      </x:c>
    </x:row>
    <x:row r="1524">
      <x:c r="A1524" s="22" t="str">
        <x:v>500111059</x:v>
      </x:c>
      <x:c r="B1524" s="17" t="str">
        <x:v>南港區</x:v>
      </x:c>
      <x:c r="C1524" s="17" t="str">
        <x:v>向陽公園</x:v>
      </x:c>
      <x:c r="D1524" s="18" t="n">
        <x:v>26</x:v>
      </x:c>
      <x:c r="E1524" s="18" t="n">
        <x:v>26</x:v>
      </x:c>
      <x:c r="F1524" s="18" t="n">
        <x:v>314</x:v>
      </x:c>
      <x:c r="G1524" s="18" t="n">
        <x:v>26</x:v>
      </x:c>
      <x:c r="H1524" s="18" t="n">
        <x:v>41</x:v>
      </x:c>
      <x:c r="I1524" s="18" t="n">
        <x:v>26</x:v>
      </x:c>
      <x:c r="J1524" s="18" t="n">
        <x:v>365</x:v>
      </x:c>
      <x:c r="K1524" s="18" t="n">
        <x:v>26</x:v>
      </x:c>
      <x:c r="L1524" s="18" t="n">
        <x:v>50</x:v>
      </x:c>
      <x:c r="M1524" s="18" t="n">
        <x:v>26</x:v>
      </x:c>
    </x:row>
    <x:row r="1525">
      <x:c r="A1525" s="22" t="str">
        <x:v>500111060</x:v>
      </x:c>
      <x:c r="B1525" s="17" t="str">
        <x:v>南港區</x:v>
      </x:c>
      <x:c r="C1525" s="17" t="str">
        <x:v>小彎社會住宅</x:v>
      </x:c>
      <x:c r="D1525" s="18" t="n">
        <x:v>26</x:v>
      </x:c>
      <x:c r="E1525" s="18" t="n">
        <x:v>26</x:v>
      </x:c>
      <x:c r="F1525" s="18" t="n">
        <x:v>728</x:v>
      </x:c>
      <x:c r="G1525" s="18" t="n">
        <x:v>26</x:v>
      </x:c>
      <x:c r="H1525" s="18" t="n">
        <x:v>137</x:v>
      </x:c>
      <x:c r="I1525" s="18" t="n">
        <x:v>26</x:v>
      </x:c>
      <x:c r="J1525" s="18" t="n">
        <x:v>160</x:v>
      </x:c>
      <x:c r="K1525" s="18" t="n">
        <x:v>26</x:v>
      </x:c>
      <x:c r="L1525" s="18" t="n">
        <x:v>37</x:v>
      </x:c>
      <x:c r="M1525" s="18" t="n">
        <x:v>26</x:v>
      </x:c>
    </x:row>
    <x:row r="1526">
      <x:c r="A1526" s="22" t="str">
        <x:v>500111061</x:v>
      </x:c>
      <x:c r="B1526" s="17" t="str">
        <x:v>南港區</x:v>
      </x:c>
      <x:c r="C1526" s="17" t="str">
        <x:v>捷運南港展覽館站(6號出口)</x:v>
      </x:c>
      <x:c r="D1526" s="18" t="n">
        <x:v>26</x:v>
      </x:c>
      <x:c r="E1526" s="18" t="n">
        <x:v>26</x:v>
      </x:c>
      <x:c r="F1526" s="18" t="n">
        <x:v>213</x:v>
      </x:c>
      <x:c r="G1526" s="18" t="n">
        <x:v>26</x:v>
      </x:c>
      <x:c r="H1526" s="18" t="n">
        <x:v>18</x:v>
      </x:c>
      <x:c r="I1526" s="18" t="n">
        <x:v>26</x:v>
      </x:c>
      <x:c r="J1526" s="18" t="n">
        <x:v>219</x:v>
      </x:c>
      <x:c r="K1526" s="18" t="n">
        <x:v>26</x:v>
      </x:c>
      <x:c r="L1526" s="18" t="n">
        <x:v>18</x:v>
      </x:c>
      <x:c r="M1526" s="18" t="n">
        <x:v>26</x:v>
      </x:c>
    </x:row>
    <x:row r="1527">
      <x:c r="A1527" s="22" t="str">
        <x:v>500111062</x:v>
      </x:c>
      <x:c r="B1527" s="17" t="str">
        <x:v>南港區</x:v>
      </x:c>
      <x:c r="C1527" s="17" t="str">
        <x:v>捷運南港展覽館站(4號出口)</x:v>
      </x:c>
      <x:c r="D1527" s="18" t="n">
        <x:v>26</x:v>
      </x:c>
      <x:c r="E1527" s="18" t="n">
        <x:v>26</x:v>
      </x:c>
      <x:c r="F1527" s="18" t="n">
        <x:v>180</x:v>
      </x:c>
      <x:c r="G1527" s="18" t="n">
        <x:v>26</x:v>
      </x:c>
      <x:c r="H1527" s="18" t="n">
        <x:v>48</x:v>
      </x:c>
      <x:c r="I1527" s="18" t="n">
        <x:v>26</x:v>
      </x:c>
      <x:c r="J1527" s="18" t="n">
        <x:v>234</x:v>
      </x:c>
      <x:c r="K1527" s="18" t="n">
        <x:v>26</x:v>
      </x:c>
      <x:c r="L1527" s="18" t="n">
        <x:v>88</x:v>
      </x:c>
      <x:c r="M1527" s="18" t="n">
        <x:v>26</x:v>
      </x:c>
    </x:row>
    <x:row r="1528">
      <x:c r="A1528" s="22" t="str">
        <x:v>500111063</x:v>
      </x:c>
      <x:c r="B1528" s="17" t="str">
        <x:v>南港區</x:v>
      </x:c>
      <x:c r="C1528" s="17" t="str">
        <x:v>成德綠地</x:v>
      </x:c>
      <x:c r="D1528" s="18" t="n">
        <x:v>26</x:v>
      </x:c>
      <x:c r="E1528" s="18" t="n">
        <x:v>26</x:v>
      </x:c>
      <x:c r="F1528" s="18" t="n">
        <x:v>199</x:v>
      </x:c>
      <x:c r="G1528" s="18" t="n">
        <x:v>26</x:v>
      </x:c>
      <x:c r="H1528" s="18" t="n">
        <x:v>53</x:v>
      </x:c>
      <x:c r="I1528" s="18" t="n">
        <x:v>26</x:v>
      </x:c>
      <x:c r="J1528" s="18" t="n">
        <x:v>154</x:v>
      </x:c>
      <x:c r="K1528" s="18" t="n">
        <x:v>26</x:v>
      </x:c>
      <x:c r="L1528" s="18" t="n">
        <x:v>32</x:v>
      </x:c>
      <x:c r="M1528" s="18" t="n">
        <x:v>26</x:v>
      </x:c>
    </x:row>
    <x:row r="1529">
      <x:c r="A1529" s="22" t="str">
        <x:v>500111064</x:v>
      </x:c>
      <x:c r="B1529" s="17" t="str">
        <x:v>南港區</x:v>
      </x:c>
      <x:c r="C1529" s="17" t="str">
        <x:v>南港公園(東新街170巷)</x:v>
      </x:c>
      <x:c r="D1529" s="18" t="n">
        <x:v>26</x:v>
      </x:c>
      <x:c r="E1529" s="18" t="n">
        <x:v>26</x:v>
      </x:c>
      <x:c r="F1529" s="18" t="n">
        <x:v>295</x:v>
      </x:c>
      <x:c r="G1529" s="18" t="n">
        <x:v>26</x:v>
      </x:c>
      <x:c r="H1529" s="18" t="n">
        <x:v>41</x:v>
      </x:c>
      <x:c r="I1529" s="18" t="n">
        <x:v>26</x:v>
      </x:c>
      <x:c r="J1529" s="18" t="n">
        <x:v>113</x:v>
      </x:c>
      <x:c r="K1529" s="18" t="n">
        <x:v>26</x:v>
      </x:c>
      <x:c r="L1529" s="18" t="n">
        <x:v>21</x:v>
      </x:c>
      <x:c r="M1529" s="18" t="n">
        <x:v>26</x:v>
      </x:c>
    </x:row>
    <x:row r="1530">
      <x:c r="A1530" s="22" t="str">
        <x:v>500111065</x:v>
      </x:c>
      <x:c r="B1530" s="17" t="str">
        <x:v>南港區</x:v>
      </x:c>
      <x:c r="C1530" s="17" t="str">
        <x:v>中坡市民路口(東北側)</x:v>
      </x:c>
      <x:c r="D1530" s="18" t="n">
        <x:v>26</x:v>
      </x:c>
      <x:c r="E1530" s="18" t="n">
        <x:v>26</x:v>
      </x:c>
      <x:c r="F1530" s="18" t="n">
        <x:v>194</x:v>
      </x:c>
      <x:c r="G1530" s="18" t="n">
        <x:v>26</x:v>
      </x:c>
      <x:c r="H1530" s="18" t="n">
        <x:v>28</x:v>
      </x:c>
      <x:c r="I1530" s="18" t="n">
        <x:v>26</x:v>
      </x:c>
      <x:c r="J1530" s="18" t="n">
        <x:v>414</x:v>
      </x:c>
      <x:c r="K1530" s="18" t="n">
        <x:v>26</x:v>
      </x:c>
      <x:c r="L1530" s="18" t="n">
        <x:v>74</x:v>
      </x:c>
      <x:c r="M1530" s="18" t="n">
        <x:v>26</x:v>
      </x:c>
    </x:row>
    <x:row r="1531">
      <x:c r="A1531" s="22" t="str">
        <x:v>500111066</x:v>
      </x:c>
      <x:c r="B1531" s="17" t="str">
        <x:v>南港區</x:v>
      </x:c>
      <x:c r="C1531" s="17" t="str">
        <x:v>昆陽公園</x:v>
      </x:c>
      <x:c r="D1531" s="18" t="n">
        <x:v>26</x:v>
      </x:c>
      <x:c r="E1531" s="18" t="n">
        <x:v>26</x:v>
      </x:c>
      <x:c r="F1531" s="18" t="n">
        <x:v>136</x:v>
      </x:c>
      <x:c r="G1531" s="18" t="n">
        <x:v>26</x:v>
      </x:c>
      <x:c r="H1531" s="18" t="n">
        <x:v>28</x:v>
      </x:c>
      <x:c r="I1531" s="18" t="n">
        <x:v>26</x:v>
      </x:c>
      <x:c r="J1531" s="18" t="n">
        <x:v>184</x:v>
      </x:c>
      <x:c r="K1531" s="18" t="n">
        <x:v>26</x:v>
      </x:c>
      <x:c r="L1531" s="18" t="n">
        <x:v>25</x:v>
      </x:c>
      <x:c r="M1531" s="18" t="n">
        <x:v>26</x:v>
      </x:c>
    </x:row>
    <x:row r="1532">
      <x:c r="A1532" s="22" t="str">
        <x:v>500111067</x:v>
      </x:c>
      <x:c r="B1532" s="17" t="str">
        <x:v>南港區</x:v>
      </x:c>
      <x:c r="C1532" s="17" t="str">
        <x:v>南港路二段178巷口</x:v>
      </x:c>
      <x:c r="D1532" s="18" t="n">
        <x:v>26</x:v>
      </x:c>
      <x:c r="E1532" s="18" t="n">
        <x:v>26</x:v>
      </x:c>
      <x:c r="F1532" s="18" t="n">
        <x:v>224</x:v>
      </x:c>
      <x:c r="G1532" s="18" t="n">
        <x:v>26</x:v>
      </x:c>
      <x:c r="H1532" s="18" t="n">
        <x:v>25</x:v>
      </x:c>
      <x:c r="I1532" s="18" t="n">
        <x:v>26</x:v>
      </x:c>
      <x:c r="J1532" s="18" t="n">
        <x:v>75</x:v>
      </x:c>
      <x:c r="K1532" s="18" t="n">
        <x:v>26</x:v>
      </x:c>
      <x:c r="L1532" s="18" t="n">
        <x:v>23</x:v>
      </x:c>
      <x:c r="M1532" s="18" t="n">
        <x:v>26</x:v>
      </x:c>
    </x:row>
    <x:row r="1533">
      <x:c r="A1533" s="22" t="str">
        <x:v>500111068</x:v>
      </x:c>
      <x:c r="B1533" s="17" t="str">
        <x:v>南港區</x:v>
      </x:c>
      <x:c r="C1533" s="17" t="str">
        <x:v>南港車站(忠孝東路)</x:v>
      </x:c>
      <x:c r="D1533" s="18" t="n">
        <x:v>26</x:v>
      </x:c>
      <x:c r="E1533" s="18" t="n">
        <x:v>26</x:v>
      </x:c>
      <x:c r="F1533" s="18" t="n">
        <x:v>358</x:v>
      </x:c>
      <x:c r="G1533" s="18" t="n">
        <x:v>26</x:v>
      </x:c>
      <x:c r="H1533" s="18" t="n">
        <x:v>26</x:v>
      </x:c>
      <x:c r="I1533" s="18" t="n">
        <x:v>26</x:v>
      </x:c>
      <x:c r="J1533" s="18" t="n">
        <x:v>189</x:v>
      </x:c>
      <x:c r="K1533" s="18" t="n">
        <x:v>26</x:v>
      </x:c>
      <x:c r="L1533" s="18" t="n">
        <x:v>27</x:v>
      </x:c>
      <x:c r="M1533" s="18" t="n">
        <x:v>26</x:v>
      </x:c>
    </x:row>
    <x:row r="1534">
      <x:c r="A1534" s="22" t="str">
        <x:v>500111069</x:v>
      </x:c>
      <x:c r="B1534" s="17" t="str">
        <x:v>南港區</x:v>
      </x:c>
      <x:c r="C1534" s="17" t="str">
        <x:v>南港車站(興華路)</x:v>
      </x:c>
      <x:c r="D1534" s="18" t="n">
        <x:v>26</x:v>
      </x:c>
      <x:c r="E1534" s="18" t="n">
        <x:v>26</x:v>
      </x:c>
      <x:c r="F1534" s="18" t="n">
        <x:v>517</x:v>
      </x:c>
      <x:c r="G1534" s="18" t="n">
        <x:v>26</x:v>
      </x:c>
      <x:c r="H1534" s="18" t="n">
        <x:v>80</x:v>
      </x:c>
      <x:c r="I1534" s="18" t="n">
        <x:v>26</x:v>
      </x:c>
      <x:c r="J1534" s="18" t="n">
        <x:v>302</x:v>
      </x:c>
      <x:c r="K1534" s="18" t="n">
        <x:v>26</x:v>
      </x:c>
      <x:c r="L1534" s="18" t="n">
        <x:v>43</x:v>
      </x:c>
      <x:c r="M1534" s="18" t="n">
        <x:v>26</x:v>
      </x:c>
    </x:row>
    <x:row r="1535">
      <x:c r="A1535" s="22" t="str">
        <x:v>500111070</x:v>
      </x:c>
      <x:c r="B1535" s="17" t="str">
        <x:v>南港區</x:v>
      </x:c>
      <x:c r="C1535" s="17" t="str">
        <x:v>玉成公園(成福路178巷口)</x:v>
      </x:c>
      <x:c r="D1535" s="18" t="n">
        <x:v>26</x:v>
      </x:c>
      <x:c r="E1535" s="18" t="n">
        <x:v>26</x:v>
      </x:c>
      <x:c r="F1535" s="18" t="n">
        <x:v>1883</x:v>
      </x:c>
      <x:c r="G1535" s="18" t="n">
        <x:v>26</x:v>
      </x:c>
      <x:c r="H1535" s="18" t="n">
        <x:v>104</x:v>
      </x:c>
      <x:c r="I1535" s="18" t="n">
        <x:v>26</x:v>
      </x:c>
      <x:c r="J1535" s="18" t="n">
        <x:v>156</x:v>
      </x:c>
      <x:c r="K1535" s="18" t="n">
        <x:v>26</x:v>
      </x:c>
      <x:c r="L1535" s="18" t="n">
        <x:v>23</x:v>
      </x:c>
      <x:c r="M1535" s="18" t="n">
        <x:v>26</x:v>
      </x:c>
    </x:row>
    <x:row r="1536">
      <x:c r="A1536" s="22" t="str">
        <x:v>500111071</x:v>
      </x:c>
      <x:c r="B1536" s="17" t="str">
        <x:v>南港區</x:v>
      </x:c>
      <x:c r="C1536" s="17" t="str">
        <x:v>玉東公園(東新街)</x:v>
      </x:c>
      <x:c r="D1536" s="18" t="n">
        <x:v>26</x:v>
      </x:c>
      <x:c r="E1536" s="18" t="n">
        <x:v>26</x:v>
      </x:c>
      <x:c r="F1536" s="18" t="n">
        <x:v>257</x:v>
      </x:c>
      <x:c r="G1536" s="18" t="n">
        <x:v>26</x:v>
      </x:c>
      <x:c r="H1536" s="18" t="n">
        <x:v>26</x:v>
      </x:c>
      <x:c r="I1536" s="18" t="n">
        <x:v>26</x:v>
      </x:c>
      <x:c r="J1536" s="18" t="n">
        <x:v>308</x:v>
      </x:c>
      <x:c r="K1536" s="18" t="n">
        <x:v>26</x:v>
      </x:c>
      <x:c r="L1536" s="18" t="n">
        <x:v>28</x:v>
      </x:c>
      <x:c r="M1536" s="18" t="n">
        <x:v>26</x:v>
      </x:c>
    </x:row>
    <x:row r="1537">
      <x:c r="A1537" s="22" t="str">
        <x:v>500111072</x:v>
      </x:c>
      <x:c r="B1537" s="17" t="str">
        <x:v>南港區</x:v>
      </x:c>
      <x:c r="C1537" s="17" t="str">
        <x:v>南港出租國宅社區</x:v>
      </x:c>
      <x:c r="D1537" s="18" t="n">
        <x:v>26</x:v>
      </x:c>
      <x:c r="E1537" s="18" t="n">
        <x:v>26</x:v>
      </x:c>
      <x:c r="F1537" s="18" t="n">
        <x:v>261</x:v>
      </x:c>
      <x:c r="G1537" s="18" t="n">
        <x:v>26</x:v>
      </x:c>
      <x:c r="H1537" s="18" t="n">
        <x:v>112</x:v>
      </x:c>
      <x:c r="I1537" s="18" t="n">
        <x:v>26</x:v>
      </x:c>
      <x:c r="J1537" s="18" t="n">
        <x:v>69</x:v>
      </x:c>
      <x:c r="K1537" s="18" t="n">
        <x:v>26</x:v>
      </x:c>
      <x:c r="L1537" s="18" t="n">
        <x:v>38</x:v>
      </x:c>
      <x:c r="M1537" s="18" t="n">
        <x:v>26</x:v>
      </x:c>
    </x:row>
    <x:row r="1538">
      <x:c r="A1538" s="22" t="str">
        <x:v>500111073</x:v>
      </x:c>
      <x:c r="B1538" s="17" t="str">
        <x:v>南港區</x:v>
      </x:c>
      <x:c r="C1538" s="17" t="str">
        <x:v>成福路197巷口</x:v>
      </x:c>
      <x:c r="D1538" s="18" t="n">
        <x:v>26</x:v>
      </x:c>
      <x:c r="E1538" s="18" t="n">
        <x:v>26</x:v>
      </x:c>
      <x:c r="F1538" s="18" t="n">
        <x:v>589</x:v>
      </x:c>
      <x:c r="G1538" s="18" t="n">
        <x:v>26</x:v>
      </x:c>
      <x:c r="H1538" s="18" t="n">
        <x:v>44</x:v>
      </x:c>
      <x:c r="I1538" s="18" t="n">
        <x:v>26</x:v>
      </x:c>
      <x:c r="J1538" s="18" t="n">
        <x:v>95</x:v>
      </x:c>
      <x:c r="K1538" s="18" t="n">
        <x:v>26</x:v>
      </x:c>
      <x:c r="L1538" s="18" t="n">
        <x:v>36</x:v>
      </x:c>
      <x:c r="M1538" s="18" t="n">
        <x:v>26</x:v>
      </x:c>
    </x:row>
    <x:row r="1539">
      <x:c r="A1539" s="22" t="str">
        <x:v>500111074</x:v>
      </x:c>
      <x:c r="B1539" s="17" t="str">
        <x:v>南港區</x:v>
      </x:c>
      <x:c r="C1539" s="17" t="str">
        <x:v>南港疏散門(基三號疏散門)</x:v>
      </x:c>
      <x:c r="D1539" s="18" t="n">
        <x:v>26</x:v>
      </x:c>
      <x:c r="E1539" s="18" t="n">
        <x:v>26</x:v>
      </x:c>
      <x:c r="F1539" s="18" t="n">
        <x:v>195</x:v>
      </x:c>
      <x:c r="G1539" s="18" t="n">
        <x:v>26</x:v>
      </x:c>
      <x:c r="H1539" s="18" t="n">
        <x:v>25</x:v>
      </x:c>
      <x:c r="I1539" s="18" t="n">
        <x:v>26</x:v>
      </x:c>
      <x:c r="J1539" s="18" t="n">
        <x:v>312</x:v>
      </x:c>
      <x:c r="K1539" s="18" t="n">
        <x:v>26</x:v>
      </x:c>
      <x:c r="L1539" s="18" t="n">
        <x:v>26</x:v>
      </x:c>
      <x:c r="M1539" s="18" t="n">
        <x:v>26</x:v>
      </x:c>
    </x:row>
    <x:row r="1540">
      <x:c r="A1540" s="22" t="str">
        <x:v>500111075</x:v>
      </x:c>
      <x:c r="B1540" s="17" t="str">
        <x:v>南港區</x:v>
      </x:c>
      <x:c r="C1540" s="17" t="str">
        <x:v>成德立體停車場</x:v>
      </x:c>
      <x:c r="D1540" s="18" t="n">
        <x:v>26</x:v>
      </x:c>
      <x:c r="E1540" s="18" t="n">
        <x:v>26</x:v>
      </x:c>
      <x:c r="F1540" s="18" t="n">
        <x:v>146</x:v>
      </x:c>
      <x:c r="G1540" s="18" t="n">
        <x:v>26</x:v>
      </x:c>
      <x:c r="H1540" s="18" t="n">
        <x:v>28</x:v>
      </x:c>
      <x:c r="I1540" s="18" t="n">
        <x:v>26</x:v>
      </x:c>
      <x:c r="J1540" s="18" t="n">
        <x:v>165</x:v>
      </x:c>
      <x:c r="K1540" s="18" t="n">
        <x:v>26</x:v>
      </x:c>
      <x:c r="L1540" s="18" t="n">
        <x:v>40</x:v>
      </x:c>
      <x:c r="M1540" s="18" t="n">
        <x:v>26</x:v>
      </x:c>
    </x:row>
    <x:row r="1541">
      <x:c r="A1541" s="22" t="str">
        <x:v>500111076</x:v>
      </x:c>
      <x:c r="B1541" s="17" t="str">
        <x:v>南港區</x:v>
      </x:c>
      <x:c r="C1541" s="17" t="str">
        <x:v>南港展覽館2館</x:v>
      </x:c>
      <x:c r="D1541" s="18" t="n">
        <x:v>26</x:v>
      </x:c>
      <x:c r="E1541" s="18" t="n">
        <x:v>26</x:v>
      </x:c>
      <x:c r="F1541" s="18" t="n">
        <x:v>188</x:v>
      </x:c>
      <x:c r="G1541" s="18" t="n">
        <x:v>26</x:v>
      </x:c>
      <x:c r="H1541" s="18" t="n">
        <x:v>10</x:v>
      </x:c>
      <x:c r="I1541" s="18" t="n">
        <x:v>26</x:v>
      </x:c>
      <x:c r="J1541" s="18" t="n">
        <x:v>147</x:v>
      </x:c>
      <x:c r="K1541" s="18" t="n">
        <x:v>26</x:v>
      </x:c>
      <x:c r="L1541" s="18" t="n">
        <x:v>13</x:v>
      </x:c>
      <x:c r="M1541" s="18" t="n">
        <x:v>26</x:v>
      </x:c>
    </x:row>
    <x:row r="1542">
      <x:c r="A1542" s="22" t="str">
        <x:v>500111077</x:v>
      </x:c>
      <x:c r="B1542" s="17" t="str">
        <x:v>南港區</x:v>
      </x:c>
      <x:c r="C1542" s="17" t="str">
        <x:v>舊莊派出所</x:v>
      </x:c>
      <x:c r="D1542" s="18" t="n">
        <x:v>26</x:v>
      </x:c>
      <x:c r="E1542" s="18" t="n">
        <x:v>26</x:v>
      </x:c>
      <x:c r="F1542" s="18" t="n">
        <x:v>189</x:v>
      </x:c>
      <x:c r="G1542" s="18" t="n">
        <x:v>26</x:v>
      </x:c>
      <x:c r="H1542" s="18" t="n">
        <x:v>63</x:v>
      </x:c>
      <x:c r="I1542" s="18" t="n">
        <x:v>26</x:v>
      </x:c>
      <x:c r="J1542" s="18" t="n">
        <x:v>98</x:v>
      </x:c>
      <x:c r="K1542" s="18" t="n">
        <x:v>26</x:v>
      </x:c>
      <x:c r="L1542" s="18" t="n">
        <x:v>17</x:v>
      </x:c>
      <x:c r="M1542" s="18" t="n">
        <x:v>26</x:v>
      </x:c>
    </x:row>
    <x:row r="1543">
      <x:c r="A1543" s="22" t="str">
        <x:v>500111078</x:v>
      </x:c>
      <x:c r="B1543" s="17" t="str">
        <x:v>南港區</x:v>
      </x:c>
      <x:c r="C1543" s="17" t="str">
        <x:v>南港路三段80巷</x:v>
      </x:c>
      <x:c r="D1543" s="18" t="n">
        <x:v>26</x:v>
      </x:c>
      <x:c r="E1543" s="18" t="n">
        <x:v>26</x:v>
      </x:c>
      <x:c r="F1543" s="18" t="n">
        <x:v>105</x:v>
      </x:c>
      <x:c r="G1543" s="18" t="n">
        <x:v>26</x:v>
      </x:c>
      <x:c r="H1543" s="18" t="n">
        <x:v>29</x:v>
      </x:c>
      <x:c r="I1543" s="18" t="n">
        <x:v>26</x:v>
      </x:c>
      <x:c r="J1543" s="18" t="n">
        <x:v>178</x:v>
      </x:c>
      <x:c r="K1543" s="18" t="n">
        <x:v>26</x:v>
      </x:c>
      <x:c r="L1543" s="18" t="n">
        <x:v>54</x:v>
      </x:c>
      <x:c r="M1543" s="18" t="n">
        <x:v>26</x:v>
      </x:c>
    </x:row>
    <x:row r="1544">
      <x:c r="A1544" s="22" t="str">
        <x:v>500111079</x:v>
      </x:c>
      <x:c r="B1544" s="17" t="str">
        <x:v>南港區</x:v>
      </x:c>
      <x:c r="C1544" s="17" t="str">
        <x:v>捷運昆陽站(4號出口)</x:v>
      </x:c>
      <x:c r="D1544" s="18" t="n">
        <x:v>26</x:v>
      </x:c>
      <x:c r="E1544" s="18" t="n">
        <x:v>26</x:v>
      </x:c>
      <x:c r="F1544" s="18" t="n">
        <x:v>265</x:v>
      </x:c>
      <x:c r="G1544" s="18" t="n">
        <x:v>26</x:v>
      </x:c>
      <x:c r="H1544" s="18" t="n">
        <x:v>20</x:v>
      </x:c>
      <x:c r="I1544" s="18" t="n">
        <x:v>26</x:v>
      </x:c>
      <x:c r="J1544" s="18" t="n">
        <x:v>283</x:v>
      </x:c>
      <x:c r="K1544" s="18" t="n">
        <x:v>26</x:v>
      </x:c>
      <x:c r="L1544" s="18" t="n">
        <x:v>60</x:v>
      </x:c>
      <x:c r="M1544" s="18" t="n">
        <x:v>26</x:v>
      </x:c>
    </x:row>
    <x:row r="1545">
      <x:c r="A1545" s="22" t="str">
        <x:v>500111080</x:v>
      </x:c>
      <x:c r="B1545" s="17" t="str">
        <x:v>南港區</x:v>
      </x:c>
      <x:c r="C1545" s="17" t="str">
        <x:v>忠孝東路六段278巷口</x:v>
      </x:c>
      <x:c r="D1545" s="18" t="n">
        <x:v>26</x:v>
      </x:c>
      <x:c r="E1545" s="18" t="n">
        <x:v>26</x:v>
      </x:c>
      <x:c r="F1545" s="18" t="n">
        <x:v>201</x:v>
      </x:c>
      <x:c r="G1545" s="18" t="n">
        <x:v>26</x:v>
      </x:c>
      <x:c r="H1545" s="18" t="n">
        <x:v>33</x:v>
      </x:c>
      <x:c r="I1545" s="18" t="n">
        <x:v>26</x:v>
      </x:c>
      <x:c r="J1545" s="18" t="n">
        <x:v>57</x:v>
      </x:c>
      <x:c r="K1545" s="18" t="n">
        <x:v>26</x:v>
      </x:c>
      <x:c r="L1545" s="18" t="n">
        <x:v>28</x:v>
      </x:c>
      <x:c r="M1545" s="18" t="n">
        <x:v>26</x:v>
      </x:c>
    </x:row>
    <x:row r="1546">
      <x:c r="A1546" s="22" t="str">
        <x:v>500111081</x:v>
      </x:c>
      <x:c r="B1546" s="17" t="str">
        <x:v>南港區</x:v>
      </x:c>
      <x:c r="C1546" s="17" t="str">
        <x:v>中研院人文社會科學館</x:v>
      </x:c>
      <x:c r="D1546" s="18" t="n">
        <x:v>26</x:v>
      </x:c>
      <x:c r="E1546" s="18" t="n">
        <x:v>26</x:v>
      </x:c>
      <x:c r="F1546" s="18" t="n">
        <x:v>169</x:v>
      </x:c>
      <x:c r="G1546" s="18" t="n">
        <x:v>26</x:v>
      </x:c>
      <x:c r="H1546" s="18" t="n">
        <x:v>36</x:v>
      </x:c>
      <x:c r="I1546" s="18" t="n">
        <x:v>26</x:v>
      </x:c>
      <x:c r="J1546" s="18" t="n">
        <x:v>999</x:v>
      </x:c>
      <x:c r="K1546" s="18" t="n">
        <x:v>26</x:v>
      </x:c>
      <x:c r="L1546" s="18" t="n">
        <x:v>150</x:v>
      </x:c>
      <x:c r="M1546" s="18" t="n">
        <x:v>26</x:v>
      </x:c>
    </x:row>
    <x:row r="1547">
      <x:c r="A1547" s="22" t="str">
        <x:v>500111082</x:v>
      </x:c>
      <x:c r="B1547" s="17" t="str">
        <x:v>南港區</x:v>
      </x:c>
      <x:c r="C1547" s="17" t="str">
        <x:v>南港路三段130巷口</x:v>
      </x:c>
      <x:c r="D1547" s="18" t="n">
        <x:v>26</x:v>
      </x:c>
      <x:c r="E1547" s="18" t="n">
        <x:v>26</x:v>
      </x:c>
      <x:c r="F1547" s="18" t="n">
        <x:v>130</x:v>
      </x:c>
      <x:c r="G1547" s="18" t="n">
        <x:v>26</x:v>
      </x:c>
      <x:c r="H1547" s="18" t="n">
        <x:v>34</x:v>
      </x:c>
      <x:c r="I1547" s="18" t="n">
        <x:v>26</x:v>
      </x:c>
      <x:c r="J1547" s="18" t="n">
        <x:v>94</x:v>
      </x:c>
      <x:c r="K1547" s="18" t="n">
        <x:v>26</x:v>
      </x:c>
      <x:c r="L1547" s="18" t="n">
        <x:v>31</x:v>
      </x:c>
      <x:c r="M1547" s="18" t="n">
        <x:v>26</x:v>
      </x:c>
    </x:row>
    <x:row r="1548">
      <x:c r="A1548" s="22" t="str">
        <x:v>500111083</x:v>
      </x:c>
      <x:c r="B1548" s="17" t="str">
        <x:v>南港區</x:v>
      </x:c>
      <x:c r="C1548" s="17" t="str">
        <x:v>南港路三段190巷口</x:v>
      </x:c>
      <x:c r="D1548" s="18" t="n">
        <x:v>26</x:v>
      </x:c>
      <x:c r="E1548" s="18" t="n">
        <x:v>26</x:v>
      </x:c>
      <x:c r="F1548" s="18" t="n">
        <x:v>194</x:v>
      </x:c>
      <x:c r="G1548" s="18" t="n">
        <x:v>26</x:v>
      </x:c>
      <x:c r="H1548" s="18" t="n">
        <x:v>37</x:v>
      </x:c>
      <x:c r="I1548" s="18" t="n">
        <x:v>26</x:v>
      </x:c>
      <x:c r="J1548" s="18" t="n">
        <x:v>146</x:v>
      </x:c>
      <x:c r="K1548" s="18" t="n">
        <x:v>26</x:v>
      </x:c>
      <x:c r="L1548" s="18" t="n">
        <x:v>32</x:v>
      </x:c>
      <x:c r="M1548" s="18" t="n">
        <x:v>26</x:v>
      </x:c>
    </x:row>
    <x:row r="1549">
      <x:c r="A1549" s="22" t="str">
        <x:v>500111084</x:v>
      </x:c>
      <x:c r="B1549" s="17" t="str">
        <x:v>南港區</x:v>
      </x:c>
      <x:c r="C1549" s="17" t="str">
        <x:v>忠孝東路六段212巷口</x:v>
      </x:c>
      <x:c r="D1549" s="18" t="n">
        <x:v>26</x:v>
      </x:c>
      <x:c r="E1549" s="18" t="n">
        <x:v>26</x:v>
      </x:c>
      <x:c r="F1549" s="18" t="n">
        <x:v>200</x:v>
      </x:c>
      <x:c r="G1549" s="18" t="n">
        <x:v>26</x:v>
      </x:c>
      <x:c r="H1549" s="18" t="n">
        <x:v>39</x:v>
      </x:c>
      <x:c r="I1549" s="18" t="n">
        <x:v>26</x:v>
      </x:c>
      <x:c r="J1549" s="18" t="n">
        <x:v>76</x:v>
      </x:c>
      <x:c r="K1549" s="18" t="n">
        <x:v>26</x:v>
      </x:c>
      <x:c r="L1549" s="18" t="n">
        <x:v>17</x:v>
      </x:c>
      <x:c r="M1549" s="18" t="n">
        <x:v>26</x:v>
      </x:c>
    </x:row>
    <x:row r="1550">
      <x:c r="A1550" s="22" t="str">
        <x:v>500111085</x:v>
      </x:c>
      <x:c r="B1550" s="17" t="str">
        <x:v>南港區</x:v>
      </x:c>
      <x:c r="C1550" s="17" t="str">
        <x:v>新富公園</x:v>
      </x:c>
      <x:c r="D1550" s="18" t="n">
        <x:v>26</x:v>
      </x:c>
      <x:c r="E1550" s="18" t="n">
        <x:v>26</x:v>
      </x:c>
      <x:c r="F1550" s="18" t="n">
        <x:v>141</x:v>
      </x:c>
      <x:c r="G1550" s="18" t="n">
        <x:v>26</x:v>
      </x:c>
      <x:c r="H1550" s="18" t="n">
        <x:v>18</x:v>
      </x:c>
      <x:c r="I1550" s="18" t="n">
        <x:v>26</x:v>
      </x:c>
      <x:c r="J1550" s="18" t="n">
        <x:v>94</x:v>
      </x:c>
      <x:c r="K1550" s="18" t="n">
        <x:v>26</x:v>
      </x:c>
      <x:c r="L1550" s="18" t="n">
        <x:v>14</x:v>
      </x:c>
      <x:c r="M1550" s="18" t="n">
        <x:v>26</x:v>
      </x:c>
    </x:row>
    <x:row r="1551">
      <x:c r="A1551" s="22" t="str">
        <x:v>500111086</x:v>
      </x:c>
      <x:c r="B1551" s="17" t="str">
        <x:v>南港區</x:v>
      </x:c>
      <x:c r="C1551" s="17" t="str">
        <x:v>東新街63巷口</x:v>
      </x:c>
      <x:c r="D1551" s="18" t="n">
        <x:v>26</x:v>
      </x:c>
      <x:c r="E1551" s="18" t="n">
        <x:v>26</x:v>
      </x:c>
      <x:c r="F1551" s="18" t="n">
        <x:v>271</x:v>
      </x:c>
      <x:c r="G1551" s="18" t="n">
        <x:v>26</x:v>
      </x:c>
      <x:c r="H1551" s="18" t="n">
        <x:v>44</x:v>
      </x:c>
      <x:c r="I1551" s="18" t="n">
        <x:v>26</x:v>
      </x:c>
      <x:c r="J1551" s="18" t="n">
        <x:v>192</x:v>
      </x:c>
      <x:c r="K1551" s="18" t="n">
        <x:v>26</x:v>
      </x:c>
      <x:c r="L1551" s="18" t="n">
        <x:v>45</x:v>
      </x:c>
      <x:c r="M1551" s="18" t="n">
        <x:v>26</x:v>
      </x:c>
    </x:row>
    <x:row r="1552">
      <x:c r="A1552" s="22" t="str">
        <x:v>500111087</x:v>
      </x:c>
      <x:c r="B1552" s="17" t="str">
        <x:v>南港區</x:v>
      </x:c>
      <x:c r="C1552" s="17" t="str">
        <x:v>中興公園</x:v>
      </x:c>
      <x:c r="D1552" s="18" t="n">
        <x:v>26</x:v>
      </x:c>
      <x:c r="E1552" s="18" t="n">
        <x:v>26</x:v>
      </x:c>
      <x:c r="F1552" s="18" t="n">
        <x:v>124</x:v>
      </x:c>
      <x:c r="G1552" s="18" t="n">
        <x:v>26</x:v>
      </x:c>
      <x:c r="H1552" s="18" t="n">
        <x:v>42</x:v>
      </x:c>
      <x:c r="I1552" s="18" t="n">
        <x:v>26</x:v>
      </x:c>
      <x:c r="J1552" s="18" t="n">
        <x:v>259</x:v>
      </x:c>
      <x:c r="K1552" s="18" t="n">
        <x:v>26</x:v>
      </x:c>
      <x:c r="L1552" s="18" t="n">
        <x:v>51</x:v>
      </x:c>
      <x:c r="M1552" s="18" t="n">
        <x:v>26</x:v>
      </x:c>
    </x:row>
    <x:row r="1553">
      <x:c r="A1553" s="22" t="str">
        <x:v>500111088</x:v>
      </x:c>
      <x:c r="B1553" s="17" t="str">
        <x:v>南港區</x:v>
      </x:c>
      <x:c r="C1553" s="17" t="str">
        <x:v>向陽市民大道路口(西北側)</x:v>
      </x:c>
      <x:c r="D1553" s="18" t="n">
        <x:v>26</x:v>
      </x:c>
      <x:c r="E1553" s="18" t="n">
        <x:v>26</x:v>
      </x:c>
      <x:c r="F1553" s="18" t="n">
        <x:v>105</x:v>
      </x:c>
      <x:c r="G1553" s="18" t="n">
        <x:v>26</x:v>
      </x:c>
      <x:c r="H1553" s="18" t="n">
        <x:v>22</x:v>
      </x:c>
      <x:c r="I1553" s="18" t="n">
        <x:v>26</x:v>
      </x:c>
      <x:c r="J1553" s="18" t="n">
        <x:v>374</x:v>
      </x:c>
      <x:c r="K1553" s="18" t="n">
        <x:v>26</x:v>
      </x:c>
      <x:c r="L1553" s="18" t="n">
        <x:v>33</x:v>
      </x:c>
      <x:c r="M1553" s="18" t="n">
        <x:v>26</x:v>
      </x:c>
    </x:row>
    <x:row r="1554">
      <x:c r="A1554" s="22" t="str">
        <x:v>500111089</x:v>
      </x:c>
      <x:c r="B1554" s="17" t="str">
        <x:v>南港區</x:v>
      </x:c>
      <x:c r="C1554" s="17" t="str">
        <x:v>向陽南港路口(西北側)</x:v>
      </x:c>
      <x:c r="D1554" s="18" t="n">
        <x:v>26</x:v>
      </x:c>
      <x:c r="E1554" s="18" t="n">
        <x:v>26</x:v>
      </x:c>
      <x:c r="F1554" s="18" t="n">
        <x:v>175</x:v>
      </x:c>
      <x:c r="G1554" s="18" t="n">
        <x:v>26</x:v>
      </x:c>
      <x:c r="H1554" s="18" t="n">
        <x:v>44</x:v>
      </x:c>
      <x:c r="I1554" s="18" t="n">
        <x:v>26</x:v>
      </x:c>
      <x:c r="J1554" s="18" t="n">
        <x:v>251</x:v>
      </x:c>
      <x:c r="K1554" s="18" t="n">
        <x:v>26</x:v>
      </x:c>
      <x:c r="L1554" s="18" t="n">
        <x:v>51</x:v>
      </x:c>
      <x:c r="M1554" s="18" t="n">
        <x:v>26</x:v>
      </x:c>
    </x:row>
    <x:row r="1555">
      <x:c r="A1555" s="22" t="str">
        <x:v>500111090</x:v>
      </x:c>
      <x:c r="B1555" s="17" t="str">
        <x:v>南港區</x:v>
      </x:c>
      <x:c r="C1555" s="17" t="str">
        <x:v>研究院路一段151巷口</x:v>
      </x:c>
      <x:c r="D1555" s="18" t="n">
        <x:v>26</x:v>
      </x:c>
      <x:c r="E1555" s="18" t="n">
        <x:v>26</x:v>
      </x:c>
      <x:c r="F1555" s="18" t="n">
        <x:v>184</x:v>
      </x:c>
      <x:c r="G1555" s="18" t="n">
        <x:v>26</x:v>
      </x:c>
      <x:c r="H1555" s="18" t="n">
        <x:v>34</x:v>
      </x:c>
      <x:c r="I1555" s="18" t="n">
        <x:v>26</x:v>
      </x:c>
      <x:c r="J1555" s="18" t="n">
        <x:v>80</x:v>
      </x:c>
      <x:c r="K1555" s="18" t="n">
        <x:v>26</x:v>
      </x:c>
      <x:c r="L1555" s="18" t="n">
        <x:v>7</x:v>
      </x:c>
      <x:c r="M1555" s="18" t="n">
        <x:v>26</x:v>
      </x:c>
    </x:row>
    <x:row r="1556">
      <x:c r="A1556" s="22" t="str">
        <x:v>500111091</x:v>
      </x:c>
      <x:c r="B1556" s="17" t="str">
        <x:v>南港區</x:v>
      </x:c>
      <x:c r="C1556" s="17" t="str">
        <x:v>興中重陽路口</x:v>
      </x:c>
      <x:c r="D1556" s="18" t="n">
        <x:v>26</x:v>
      </x:c>
      <x:c r="E1556" s="18" t="n">
        <x:v>26</x:v>
      </x:c>
      <x:c r="F1556" s="18" t="n">
        <x:v>170</x:v>
      </x:c>
      <x:c r="G1556" s="18" t="n">
        <x:v>26</x:v>
      </x:c>
      <x:c r="H1556" s="18" t="n">
        <x:v>22</x:v>
      </x:c>
      <x:c r="I1556" s="18" t="n">
        <x:v>26</x:v>
      </x:c>
      <x:c r="J1556" s="18" t="n">
        <x:v>237</x:v>
      </x:c>
      <x:c r="K1556" s="18" t="n">
        <x:v>26</x:v>
      </x:c>
      <x:c r="L1556" s="18" t="n">
        <x:v>43</x:v>
      </x:c>
      <x:c r="M1556" s="18" t="n">
        <x:v>26</x:v>
      </x:c>
    </x:row>
    <x:row r="1557">
      <x:c r="A1557" s="22" t="str">
        <x:v>500111092</x:v>
      </x:c>
      <x:c r="B1557" s="17" t="str">
        <x:v>南港區</x:v>
      </x:c>
      <x:c r="C1557" s="17" t="str">
        <x:v>中研院近代史研究所研究大樓</x:v>
      </x:c>
      <x:c r="D1557" s="18" t="n">
        <x:v>26</x:v>
      </x:c>
      <x:c r="E1557" s="18" t="n">
        <x:v>26</x:v>
      </x:c>
      <x:c r="F1557" s="18" t="n">
        <x:v>112</x:v>
      </x:c>
      <x:c r="G1557" s="18" t="n">
        <x:v>26</x:v>
      </x:c>
      <x:c r="H1557" s="18" t="n">
        <x:v>15</x:v>
      </x:c>
      <x:c r="I1557" s="18" t="n">
        <x:v>26</x:v>
      </x:c>
      <x:c r="J1557" s="18" t="n">
        <x:v>413</x:v>
      </x:c>
      <x:c r="K1557" s="18" t="n">
        <x:v>26</x:v>
      </x:c>
      <x:c r="L1557" s="18" t="n">
        <x:v>31</x:v>
      </x:c>
      <x:c r="M1557" s="18" t="n">
        <x:v>26</x:v>
      </x:c>
    </x:row>
    <x:row r="1558">
      <x:c r="A1558" s="22" t="str">
        <x:v>500111093</x:v>
      </x:c>
      <x:c r="B1558" s="17" t="str">
        <x:v>南港區</x:v>
      </x:c>
      <x:c r="C1558" s="17" t="str">
        <x:v>中研院人文社會科學研究中心</x:v>
      </x:c>
      <x:c r="D1558" s="18" t="n">
        <x:v>26</x:v>
      </x:c>
      <x:c r="E1558" s="18" t="n">
        <x:v>26</x:v>
      </x:c>
      <x:c r="F1558" s="18" t="n">
        <x:v>120</x:v>
      </x:c>
      <x:c r="G1558" s="18" t="n">
        <x:v>26</x:v>
      </x:c>
      <x:c r="H1558" s="18" t="n">
        <x:v>8</x:v>
      </x:c>
      <x:c r="I1558" s="18" t="n">
        <x:v>26</x:v>
      </x:c>
      <x:c r="J1558" s="18" t="n">
        <x:v>464</x:v>
      </x:c>
      <x:c r="K1558" s="18" t="n">
        <x:v>26</x:v>
      </x:c>
      <x:c r="L1558" s="18" t="n">
        <x:v>72</x:v>
      </x:c>
      <x:c r="M1558" s="18" t="n">
        <x:v>26</x:v>
      </x:c>
    </x:row>
    <x:row r="1559">
      <x:c r="A1559" s="22" t="str">
        <x:v>500111094</x:v>
      </x:c>
      <x:c r="B1559" s="17" t="str">
        <x:v>南港區</x:v>
      </x:c>
      <x:c r="C1559" s="17" t="str">
        <x:v>中研院生態時代館</x:v>
      </x:c>
      <x:c r="D1559" s="18" t="n">
        <x:v>26</x:v>
      </x:c>
      <x:c r="E1559" s="18" t="n">
        <x:v>26</x:v>
      </x:c>
      <x:c r="F1559" s="18" t="n">
        <x:v>128</x:v>
      </x:c>
      <x:c r="G1559" s="18" t="n">
        <x:v>26</x:v>
      </x:c>
      <x:c r="H1559" s="18" t="n">
        <x:v>16</x:v>
      </x:c>
      <x:c r="I1559" s="18" t="n">
        <x:v>26</x:v>
      </x:c>
      <x:c r="J1559" s="18" t="n">
        <x:v>386</x:v>
      </x:c>
      <x:c r="K1559" s="18" t="n">
        <x:v>26</x:v>
      </x:c>
      <x:c r="L1559" s="18" t="n">
        <x:v>44</x:v>
      </x:c>
      <x:c r="M1559" s="18" t="n">
        <x:v>26</x:v>
      </x:c>
    </x:row>
    <x:row r="1560">
      <x:c r="A1560" s="22" t="str">
        <x:v>500111095</x:v>
      </x:c>
      <x:c r="B1560" s="17" t="str">
        <x:v>南港區</x:v>
      </x:c>
      <x:c r="C1560" s="17" t="str">
        <x:v>玉成街(中坡北路50巷口)</x:v>
      </x:c>
      <x:c r="D1560" s="18" t="n">
        <x:v>26</x:v>
      </x:c>
      <x:c r="E1560" s="18" t="n">
        <x:v>26</x:v>
      </x:c>
      <x:c r="F1560" s="18" t="n">
        <x:v>245</x:v>
      </x:c>
      <x:c r="G1560" s="18" t="n">
        <x:v>26</x:v>
      </x:c>
      <x:c r="H1560" s="18" t="n">
        <x:v>62</x:v>
      </x:c>
      <x:c r="I1560" s="18" t="n">
        <x:v>26</x:v>
      </x:c>
      <x:c r="J1560" s="18" t="n">
        <x:v>307</x:v>
      </x:c>
      <x:c r="K1560" s="18" t="n">
        <x:v>26</x:v>
      </x:c>
      <x:c r="L1560" s="18" t="n">
        <x:v>60</x:v>
      </x:c>
      <x:c r="M1560" s="18" t="n">
        <x:v>26</x:v>
      </x:c>
    </x:row>
    <x:row r="1561">
      <x:c r="A1561" s="22" t="str">
        <x:v>500111096</x:v>
      </x:c>
      <x:c r="B1561" s="17" t="str">
        <x:v>南港區</x:v>
      </x:c>
      <x:c r="C1561" s="17" t="str">
        <x:v>東明公園</x:v>
      </x:c>
      <x:c r="D1561" s="18" t="n">
        <x:v>26</x:v>
      </x:c>
      <x:c r="E1561" s="18" t="n">
        <x:v>26</x:v>
      </x:c>
      <x:c r="F1561" s="18" t="n">
        <x:v>265</x:v>
      </x:c>
      <x:c r="G1561" s="18" t="n">
        <x:v>26</x:v>
      </x:c>
      <x:c r="H1561" s="18" t="n">
        <x:v>48</x:v>
      </x:c>
      <x:c r="I1561" s="18" t="n">
        <x:v>26</x:v>
      </x:c>
      <x:c r="J1561" s="18" t="n">
        <x:v>138</x:v>
      </x:c>
      <x:c r="K1561" s="18" t="n">
        <x:v>26</x:v>
      </x:c>
      <x:c r="L1561" s="18" t="n">
        <x:v>22</x:v>
      </x:c>
      <x:c r="M1561" s="18" t="n">
        <x:v>26</x:v>
      </x:c>
    </x:row>
    <x:row r="1562">
      <x:c r="A1562" s="22" t="str">
        <x:v>500111097</x:v>
      </x:c>
      <x:c r="B1562" s="17" t="str">
        <x:v>南港區</x:v>
      </x:c>
      <x:c r="C1562" s="17" t="str">
        <x:v>捷運南港軟體園區站(1號出口)</x:v>
      </x:c>
      <x:c r="D1562" s="18" t="n">
        <x:v>26</x:v>
      </x:c>
      <x:c r="E1562" s="18" t="n">
        <x:v>26</x:v>
      </x:c>
      <x:c r="F1562" s="18" t="n">
        <x:v>95</x:v>
      </x:c>
      <x:c r="G1562" s="18" t="n">
        <x:v>26</x:v>
      </x:c>
      <x:c r="H1562" s="18" t="n">
        <x:v>22</x:v>
      </x:c>
      <x:c r="I1562" s="18" t="n">
        <x:v>26</x:v>
      </x:c>
      <x:c r="J1562" s="18" t="n">
        <x:v>320</x:v>
      </x:c>
      <x:c r="K1562" s="18" t="n">
        <x:v>26</x:v>
      </x:c>
      <x:c r="L1562" s="18" t="n">
        <x:v>98</x:v>
      </x:c>
      <x:c r="M1562" s="18" t="n">
        <x:v>26</x:v>
      </x:c>
    </x:row>
    <x:row r="1563">
      <x:c r="A1563" s="22" t="str">
        <x:v>500111098</x:v>
      </x:c>
      <x:c r="B1563" s="17" t="str">
        <x:v>南港區</x:v>
      </x:c>
      <x:c r="C1563" s="17" t="str">
        <x:v>南港花園社區A18</x:v>
      </x:c>
      <x:c r="D1563" s="18" t="n">
        <x:v>26</x:v>
      </x:c>
      <x:c r="E1563" s="18" t="n">
        <x:v>26</x:v>
      </x:c>
      <x:c r="F1563" s="18" t="n">
        <x:v>341</x:v>
      </x:c>
      <x:c r="G1563" s="18" t="n">
        <x:v>26</x:v>
      </x:c>
      <x:c r="H1563" s="18" t="n">
        <x:v>101</x:v>
      </x:c>
      <x:c r="I1563" s="18" t="n">
        <x:v>26</x:v>
      </x:c>
      <x:c r="J1563" s="18" t="n">
        <x:v>79</x:v>
      </x:c>
      <x:c r="K1563" s="18" t="n">
        <x:v>26</x:v>
      </x:c>
      <x:c r="L1563" s="18" t="n">
        <x:v>24</x:v>
      </x:c>
      <x:c r="M1563" s="18" t="n">
        <x:v>26</x:v>
      </x:c>
    </x:row>
    <x:row r="1564">
      <x:c r="A1564" s="22" t="str">
        <x:v>500111113</x:v>
      </x:c>
      <x:c r="B1564" s="17" t="str">
        <x:v>南港區</x:v>
      </x:c>
      <x:c r="C1564" s="17" t="str">
        <x:v>內湖機廠(港東街)</x:v>
      </x:c>
      <x:c r="D1564" s="18" t="n">
        <x:v>26</x:v>
      </x:c>
      <x:c r="E1564" s="18" t="n">
        <x:v>26</x:v>
      </x:c>
      <x:c r="F1564" s="18" t="n">
        <x:v>152</x:v>
      </x:c>
      <x:c r="G1564" s="18" t="n">
        <x:v>26</x:v>
      </x:c>
      <x:c r="H1564" s="18" t="n">
        <x:v>30</x:v>
      </x:c>
      <x:c r="I1564" s="18" t="n">
        <x:v>26</x:v>
      </x:c>
      <x:c r="J1564" s="18" t="n">
        <x:v>160</x:v>
      </x:c>
      <x:c r="K1564" s="18" t="n">
        <x:v>26</x:v>
      </x:c>
      <x:c r="L1564" s="18" t="n">
        <x:v>31</x:v>
      </x:c>
      <x:c r="M1564" s="18" t="n">
        <x:v>26</x:v>
      </x:c>
    </x:row>
    <x:row r="1565">
      <x:c r="A1565" s="22" t="str">
        <x:v>500111114</x:v>
      </x:c>
      <x:c r="B1565" s="17" t="str">
        <x:v>南港區</x:v>
      </x:c>
      <x:c r="C1565" s="17" t="str">
        <x:v>市民昆陽街口</x:v>
      </x:c>
      <x:c r="D1565" s="18" t="n">
        <x:v>26</x:v>
      </x:c>
      <x:c r="E1565" s="18" t="n">
        <x:v>26</x:v>
      </x:c>
      <x:c r="F1565" s="18" t="n">
        <x:v>162</x:v>
      </x:c>
      <x:c r="G1565" s="18" t="n">
        <x:v>26</x:v>
      </x:c>
      <x:c r="H1565" s="18" t="n">
        <x:v>20</x:v>
      </x:c>
      <x:c r="I1565" s="18" t="n">
        <x:v>26</x:v>
      </x:c>
      <x:c r="J1565" s="18" t="n">
        <x:v>231</x:v>
      </x:c>
      <x:c r="K1565" s="18" t="n">
        <x:v>26</x:v>
      </x:c>
      <x:c r="L1565" s="18" t="n">
        <x:v>55</x:v>
      </x:c>
      <x:c r="M1565" s="18" t="n">
        <x:v>26</x:v>
      </x:c>
    </x:row>
    <x:row r="1566">
      <x:c r="A1566" s="22" t="str">
        <x:v>500111115</x:v>
      </x:c>
      <x:c r="B1566" s="17" t="str">
        <x:v>南港區</x:v>
      </x:c>
      <x:c r="C1566" s="17" t="str">
        <x:v>南港機廠(北流)</x:v>
      </x:c>
      <x:c r="D1566" s="18" t="n">
        <x:v>26</x:v>
      </x:c>
      <x:c r="E1566" s="18" t="n">
        <x:v>26</x:v>
      </x:c>
      <x:c r="F1566" s="18" t="n">
        <x:v>106</x:v>
      </x:c>
      <x:c r="G1566" s="18" t="n">
        <x:v>26</x:v>
      </x:c>
      <x:c r="H1566" s="18" t="n">
        <x:v>5</x:v>
      </x:c>
      <x:c r="I1566" s="18" t="n">
        <x:v>26</x:v>
      </x:c>
      <x:c r="J1566" s="18" t="n">
        <x:v>194</x:v>
      </x:c>
      <x:c r="K1566" s="18" t="n">
        <x:v>26</x:v>
      </x:c>
      <x:c r="L1566" s="18" t="n">
        <x:v>13</x:v>
      </x:c>
      <x:c r="M1566" s="18" t="n">
        <x:v>26</x:v>
      </x:c>
    </x:row>
    <x:row r="1567">
      <x:c r="A1567" s="22" t="str">
        <x:v>500111116</x:v>
      </x:c>
      <x:c r="B1567" s="17" t="str">
        <x:v>南港區</x:v>
      </x:c>
      <x:c r="C1567" s="17" t="str">
        <x:v>忠孝東路七段265巷</x:v>
      </x:c>
      <x:c r="D1567" s="18" t="n">
        <x:v>26</x:v>
      </x:c>
      <x:c r="E1567" s="18" t="n">
        <x:v>26</x:v>
      </x:c>
      <x:c r="F1567" s="18" t="n">
        <x:v>204</x:v>
      </x:c>
      <x:c r="G1567" s="18" t="n">
        <x:v>26</x:v>
      </x:c>
      <x:c r="H1567" s="18" t="n">
        <x:v>50</x:v>
      </x:c>
      <x:c r="I1567" s="18" t="n">
        <x:v>26</x:v>
      </x:c>
      <x:c r="J1567" s="18" t="n">
        <x:v>286</x:v>
      </x:c>
      <x:c r="K1567" s="18" t="n">
        <x:v>26</x:v>
      </x:c>
      <x:c r="L1567" s="18" t="n">
        <x:v>60</x:v>
      </x:c>
      <x:c r="M1567" s="18" t="n">
        <x:v>26</x:v>
      </x:c>
    </x:row>
    <x:row r="1568">
      <x:c r="A1568" s="22" t="str">
        <x:v>500111117</x:v>
      </x:c>
      <x:c r="B1568" s="17" t="str">
        <x:v>南港區</x:v>
      </x:c>
      <x:c r="C1568" s="17" t="str">
        <x:v>昆陽東新街口</x:v>
      </x:c>
      <x:c r="D1568" s="18" t="n">
        <x:v>26</x:v>
      </x:c>
      <x:c r="E1568" s="18" t="n">
        <x:v>26</x:v>
      </x:c>
      <x:c r="F1568" s="18" t="n">
        <x:v>234</x:v>
      </x:c>
      <x:c r="G1568" s="18" t="n">
        <x:v>26</x:v>
      </x:c>
      <x:c r="H1568" s="18" t="n">
        <x:v>37</x:v>
      </x:c>
      <x:c r="I1568" s="18" t="n">
        <x:v>26</x:v>
      </x:c>
      <x:c r="J1568" s="18" t="n">
        <x:v>169</x:v>
      </x:c>
      <x:c r="K1568" s="18" t="n">
        <x:v>26</x:v>
      </x:c>
      <x:c r="L1568" s="18" t="n">
        <x:v>18</x:v>
      </x:c>
      <x:c r="M1568" s="18" t="n">
        <x:v>26</x:v>
      </x:c>
    </x:row>
    <x:row r="1569">
      <x:c r="A1569" s="22" t="str">
        <x:v>500111118</x:v>
      </x:c>
      <x:c r="B1569" s="17" t="str">
        <x:v>南港區</x:v>
      </x:c>
      <x:c r="C1569" s="17" t="str">
        <x:v>臺北市捷運局機電工程處</x:v>
      </x:c>
      <x:c r="D1569" s="18" t="n">
        <x:v>26</x:v>
      </x:c>
      <x:c r="E1569" s="18" t="n">
        <x:v>26</x:v>
      </x:c>
      <x:c r="F1569" s="18" t="n">
        <x:v>81</x:v>
      </x:c>
      <x:c r="G1569" s="18" t="n">
        <x:v>26</x:v>
      </x:c>
      <x:c r="H1569" s="18" t="n">
        <x:v>49</x:v>
      </x:c>
      <x:c r="I1569" s="18" t="n">
        <x:v>26</x:v>
      </x:c>
      <x:c r="J1569" s="18" t="n">
        <x:v>84</x:v>
      </x:c>
      <x:c r="K1569" s="18" t="n">
        <x:v>26</x:v>
      </x:c>
      <x:c r="L1569" s="18" t="n">
        <x:v>46</x:v>
      </x:c>
      <x:c r="M1569" s="18" t="n">
        <x:v>26</x:v>
      </x:c>
    </x:row>
    <x:row r="1570">
      <x:c r="A1570" s="22" t="str">
        <x:v>500111119</x:v>
      </x:c>
      <x:c r="B1570" s="17" t="str">
        <x:v>南港區</x:v>
      </x:c>
      <x:c r="C1570" s="17" t="str">
        <x:v>經貿二路105巷口(經貿二路)</x:v>
      </x:c>
      <x:c r="D1570" s="18" t="n">
        <x:v>26</x:v>
      </x:c>
      <x:c r="E1570" s="18" t="n">
        <x:v>26</x:v>
      </x:c>
      <x:c r="F1570" s="18" t="n">
        <x:v>145</x:v>
      </x:c>
      <x:c r="G1570" s="18" t="n">
        <x:v>26</x:v>
      </x:c>
      <x:c r="H1570" s="18" t="n">
        <x:v>24</x:v>
      </x:c>
      <x:c r="I1570" s="18" t="n">
        <x:v>26</x:v>
      </x:c>
      <x:c r="J1570" s="18" t="n">
        <x:v>792</x:v>
      </x:c>
      <x:c r="K1570" s="18" t="n">
        <x:v>26</x:v>
      </x:c>
      <x:c r="L1570" s="18" t="n">
        <x:v>178</x:v>
      </x:c>
      <x:c r="M1570" s="18" t="n">
        <x:v>26</x:v>
      </x:c>
    </x:row>
    <x:row r="1571">
      <x:c r="A1571" s="22" t="str">
        <x:v>500111120</x:v>
      </x:c>
      <x:c r="B1571" s="17" t="str">
        <x:v>南港區</x:v>
      </x:c>
      <x:c r="C1571" s="17" t="str">
        <x:v>經貿二路105巷口(經貿一路)</x:v>
      </x:c>
      <x:c r="D1571" s="18" t="n">
        <x:v>26</x:v>
      </x:c>
      <x:c r="E1571" s="18" t="n">
        <x:v>26</x:v>
      </x:c>
      <x:c r="F1571" s="18" t="n">
        <x:v>66</x:v>
      </x:c>
      <x:c r="G1571" s="18" t="n">
        <x:v>26</x:v>
      </x:c>
      <x:c r="H1571" s="18" t="n">
        <x:v>20</x:v>
      </x:c>
      <x:c r="I1571" s="18" t="n">
        <x:v>26</x:v>
      </x:c>
      <x:c r="J1571" s="18" t="n">
        <x:v>363</x:v>
      </x:c>
      <x:c r="K1571" s="18" t="n">
        <x:v>26</x:v>
      </x:c>
      <x:c r="L1571" s="18" t="n">
        <x:v>89</x:v>
      </x:c>
      <x:c r="M1571" s="18" t="n">
        <x:v>26</x:v>
      </x:c>
    </x:row>
    <x:row r="1572">
      <x:c r="A1572" s="22" t="str">
        <x:v>500111121</x:v>
      </x:c>
      <x:c r="B1572" s="17" t="str">
        <x:v>南港區</x:v>
      </x:c>
      <x:c r="C1572" s="17" t="str">
        <x:v>經貿二路185巷</x:v>
      </x:c>
      <x:c r="D1572" s="18" t="n">
        <x:v>26</x:v>
      </x:c>
      <x:c r="E1572" s="18" t="n">
        <x:v>26</x:v>
      </x:c>
      <x:c r="F1572" s="18" t="n">
        <x:v>102</x:v>
      </x:c>
      <x:c r="G1572" s="18" t="n">
        <x:v>26</x:v>
      </x:c>
      <x:c r="H1572" s="18" t="n">
        <x:v>11</x:v>
      </x:c>
      <x:c r="I1572" s="18" t="n">
        <x:v>26</x:v>
      </x:c>
      <x:c r="J1572" s="18" t="n">
        <x:v>143</x:v>
      </x:c>
      <x:c r="K1572" s="18" t="n">
        <x:v>26</x:v>
      </x:c>
      <x:c r="L1572" s="18" t="n">
        <x:v>33</x:v>
      </x:c>
      <x:c r="M1572" s="18" t="n">
        <x:v>26</x:v>
      </x:c>
    </x:row>
    <x:row r="1573">
      <x:c r="A1573" s="22" t="str">
        <x:v>500111122</x:v>
      </x:c>
      <x:c r="B1573" s="17" t="str">
        <x:v>南港區</x:v>
      </x:c>
      <x:c r="C1573" s="17" t="str">
        <x:v>國家生物模式中心</x:v>
      </x:c>
      <x:c r="D1573" s="18" t="n">
        <x:v>26</x:v>
      </x:c>
      <x:c r="E1573" s="18" t="n">
        <x:v>26</x:v>
      </x:c>
      <x:c r="F1573" s="18" t="n">
        <x:v>101</x:v>
      </x:c>
      <x:c r="G1573" s="18" t="n">
        <x:v>26</x:v>
      </x:c>
      <x:c r="H1573" s="18" t="n">
        <x:v>15</x:v>
      </x:c>
      <x:c r="I1573" s="18" t="n">
        <x:v>26</x:v>
      </x:c>
      <x:c r="J1573" s="18" t="n">
        <x:v>472</x:v>
      </x:c>
      <x:c r="K1573" s="18" t="n">
        <x:v>26</x:v>
      </x:c>
      <x:c r="L1573" s="18" t="n">
        <x:v>42</x:v>
      </x:c>
      <x:c r="M1573" s="18" t="n">
        <x:v>26</x:v>
      </x:c>
    </x:row>
    <x:row r="1574">
      <x:c r="A1574" s="22" t="str">
        <x:v>500111123</x:v>
      </x:c>
      <x:c r="B1574" s="17" t="str">
        <x:v>南港區</x:v>
      </x:c>
      <x:c r="C1574" s="17" t="str">
        <x:v>南港路三段106巷口(中華賓士)</x:v>
      </x:c>
      <x:c r="D1574" s="18" t="n">
        <x:v>26</x:v>
      </x:c>
      <x:c r="E1574" s="18" t="n">
        <x:v>26</x:v>
      </x:c>
      <x:c r="F1574" s="18" t="n">
        <x:v>145</x:v>
      </x:c>
      <x:c r="G1574" s="18" t="n">
        <x:v>26</x:v>
      </x:c>
      <x:c r="H1574" s="18" t="n">
        <x:v>28</x:v>
      </x:c>
      <x:c r="I1574" s="18" t="n">
        <x:v>26</x:v>
      </x:c>
      <x:c r="J1574" s="18" t="n">
        <x:v>276</x:v>
      </x:c>
      <x:c r="K1574" s="18" t="n">
        <x:v>26</x:v>
      </x:c>
      <x:c r="L1574" s="18" t="n">
        <x:v>45</x:v>
      </x:c>
      <x:c r="M1574" s="18" t="n">
        <x:v>26</x:v>
      </x:c>
    </x:row>
    <x:row r="1575">
      <x:c r="A1575" s="22" t="str">
        <x:v>500111124</x:v>
      </x:c>
      <x:c r="B1575" s="17" t="str">
        <x:v>南港區</x:v>
      </x:c>
      <x:c r="C1575" s="17" t="str">
        <x:v>中坡松隆路口</x:v>
      </x:c>
      <x:c r="D1575" s="18" t="n">
        <x:v>26</x:v>
      </x:c>
      <x:c r="E1575" s="18" t="n">
        <x:v>26</x:v>
      </x:c>
      <x:c r="F1575" s="18" t="n">
        <x:v>327</x:v>
      </x:c>
      <x:c r="G1575" s="18" t="n">
        <x:v>26</x:v>
      </x:c>
      <x:c r="H1575" s="18" t="n">
        <x:v>51</x:v>
      </x:c>
      <x:c r="I1575" s="18" t="n">
        <x:v>26</x:v>
      </x:c>
      <x:c r="J1575" s="18" t="n">
        <x:v>273</x:v>
      </x:c>
      <x:c r="K1575" s="18" t="n">
        <x:v>26</x:v>
      </x:c>
      <x:c r="L1575" s="18" t="n">
        <x:v>50</x:v>
      </x:c>
      <x:c r="M1575" s="18" t="n">
        <x:v>26</x:v>
      </x:c>
    </x:row>
    <x:row r="1576">
      <x:c r="A1576" s="22" t="str">
        <x:v>500111125</x:v>
      </x:c>
      <x:c r="B1576" s="17" t="str">
        <x:v>南港區</x:v>
      </x:c>
      <x:c r="C1576" s="17" t="str">
        <x:v>成功疏散門</x:v>
      </x:c>
      <x:c r="D1576" s="18" t="n">
        <x:v>26</x:v>
      </x:c>
      <x:c r="E1576" s="18" t="n">
        <x:v>26</x:v>
      </x:c>
      <x:c r="F1576" s="18" t="n">
        <x:v>212</x:v>
      </x:c>
      <x:c r="G1576" s="18" t="n">
        <x:v>26</x:v>
      </x:c>
      <x:c r="H1576" s="18" t="n">
        <x:v>65</x:v>
      </x:c>
      <x:c r="I1576" s="18" t="n">
        <x:v>26</x:v>
      </x:c>
      <x:c r="J1576" s="18" t="n">
        <x:v>111</x:v>
      </x:c>
      <x:c r="K1576" s="18" t="n">
        <x:v>26</x:v>
      </x:c>
      <x:c r="L1576" s="18" t="n">
        <x:v>39</x:v>
      </x:c>
      <x:c r="M1576" s="18" t="n">
        <x:v>26</x:v>
      </x:c>
    </x:row>
    <x:row r="1577">
      <x:c r="A1577" s="22" t="str">
        <x:v>500111126</x:v>
      </x:c>
      <x:c r="B1577" s="17" t="str">
        <x:v>南港區</x:v>
      </x:c>
      <x:c r="C1577" s="17" t="str">
        <x:v>環保局南港區清潔南港分隊</x:v>
      </x:c>
      <x:c r="D1577" s="18" t="n">
        <x:v>26</x:v>
      </x:c>
      <x:c r="E1577" s="18" t="n">
        <x:v>26</x:v>
      </x:c>
      <x:c r="F1577" s="18" t="n">
        <x:v>180</x:v>
      </x:c>
      <x:c r="G1577" s="18" t="n">
        <x:v>26</x:v>
      </x:c>
      <x:c r="H1577" s="18" t="n">
        <x:v>20</x:v>
      </x:c>
      <x:c r="I1577" s="18" t="n">
        <x:v>26</x:v>
      </x:c>
      <x:c r="J1577" s="18" t="n">
        <x:v>204</x:v>
      </x:c>
      <x:c r="K1577" s="18" t="n">
        <x:v>26</x:v>
      </x:c>
      <x:c r="L1577" s="18" t="n">
        <x:v>24</x:v>
      </x:c>
      <x:c r="M1577" s="18" t="n">
        <x:v>26</x:v>
      </x:c>
    </x:row>
    <x:row r="1578">
      <x:c r="A1578" s="22" t="str">
        <x:v>500111127</x:v>
      </x:c>
      <x:c r="B1578" s="17" t="str">
        <x:v>南港區</x:v>
      </x:c>
      <x:c r="C1578" s="17" t="str">
        <x:v>重陽公園(興南街)</x:v>
      </x:c>
      <x:c r="D1578" s="18" t="n">
        <x:v>26</x:v>
      </x:c>
      <x:c r="E1578" s="18" t="n">
        <x:v>26</x:v>
      </x:c>
      <x:c r="F1578" s="18" t="n">
        <x:v>232</x:v>
      </x:c>
      <x:c r="G1578" s="18" t="n">
        <x:v>26</x:v>
      </x:c>
      <x:c r="H1578" s="18" t="n">
        <x:v>61</x:v>
      </x:c>
      <x:c r="I1578" s="18" t="n">
        <x:v>26</x:v>
      </x:c>
      <x:c r="J1578" s="18" t="n">
        <x:v>209</x:v>
      </x:c>
      <x:c r="K1578" s="18" t="n">
        <x:v>26</x:v>
      </x:c>
      <x:c r="L1578" s="18" t="n">
        <x:v>33</x:v>
      </x:c>
      <x:c r="M1578" s="18" t="n">
        <x:v>26</x:v>
      </x:c>
    </x:row>
    <x:row r="1579">
      <x:c r="A1579" s="22" t="str">
        <x:v>500111128</x:v>
      </x:c>
      <x:c r="B1579" s="17" t="str">
        <x:v>南港區</x:v>
      </x:c>
      <x:c r="C1579" s="17" t="str">
        <x:v>生物技術開發中心</x:v>
      </x:c>
      <x:c r="D1579" s="18" t="n">
        <x:v>26</x:v>
      </x:c>
      <x:c r="E1579" s="18" t="n">
        <x:v>26</x:v>
      </x:c>
      <x:c r="F1579" s="18" t="n">
        <x:v>62</x:v>
      </x:c>
      <x:c r="G1579" s="18" t="n">
        <x:v>26</x:v>
      </x:c>
      <x:c r="H1579" s="18" t="n">
        <x:v>17</x:v>
      </x:c>
      <x:c r="I1579" s="18" t="n">
        <x:v>26</x:v>
      </x:c>
      <x:c r="J1579" s="18" t="n">
        <x:v>507</x:v>
      </x:c>
      <x:c r="K1579" s="18" t="n">
        <x:v>26</x:v>
      </x:c>
      <x:c r="L1579" s="18" t="n">
        <x:v>36</x:v>
      </x:c>
      <x:c r="M1579" s="18" t="n">
        <x:v>26</x:v>
      </x:c>
    </x:row>
    <x:row r="1580">
      <x:c r="A1580" s="22" t="str">
        <x:v>500111129</x:v>
      </x:c>
      <x:c r="B1580" s="17" t="str">
        <x:v>南港區</x:v>
      </x:c>
      <x:c r="C1580" s="17" t="str">
        <x:v>南港車站C棟(市民大道)</x:v>
      </x:c>
      <x:c r="D1580" s="18" t="n">
        <x:v>26</x:v>
      </x:c>
      <x:c r="E1580" s="18" t="n">
        <x:v>26</x:v>
      </x:c>
      <x:c r="F1580" s="18" t="n">
        <x:v>267</x:v>
      </x:c>
      <x:c r="G1580" s="18" t="n">
        <x:v>26</x:v>
      </x:c>
      <x:c r="H1580" s="18" t="n">
        <x:v>4</x:v>
      </x:c>
      <x:c r="I1580" s="18" t="n">
        <x:v>26</x:v>
      </x:c>
      <x:c r="J1580" s="18" t="n">
        <x:v>192</x:v>
      </x:c>
      <x:c r="K1580" s="18" t="n">
        <x:v>26</x:v>
      </x:c>
      <x:c r="L1580" s="18" t="n">
        <x:v>13</x:v>
      </x:c>
      <x:c r="M1580" s="18" t="n">
        <x:v>26</x:v>
      </x:c>
    </x:row>
    <x:row r="1581">
      <x:c r="A1581" s="22" t="str">
        <x:v>500111130</x:v>
      </x:c>
      <x:c r="B1581" s="17" t="str">
        <x:v>南港區</x:v>
      </x:c>
      <x:c r="C1581" s="17" t="str">
        <x:v>新陽綠地</x:v>
      </x:c>
      <x:c r="D1581" s="18" t="n">
        <x:v>26</x:v>
      </x:c>
      <x:c r="E1581" s="18" t="n">
        <x:v>26</x:v>
      </x:c>
      <x:c r="F1581" s="18" t="n">
        <x:v>286</x:v>
      </x:c>
      <x:c r="G1581" s="18" t="n">
        <x:v>26</x:v>
      </x:c>
      <x:c r="H1581" s="18" t="n">
        <x:v>60</x:v>
      </x:c>
      <x:c r="I1581" s="18" t="n">
        <x:v>26</x:v>
      </x:c>
      <x:c r="J1581" s="18" t="n">
        <x:v>221</x:v>
      </x:c>
      <x:c r="K1581" s="18" t="n">
        <x:v>26</x:v>
      </x:c>
      <x:c r="L1581" s="18" t="n">
        <x:v>56</x:v>
      </x:c>
      <x:c r="M1581" s="18" t="n">
        <x:v>26</x:v>
      </x:c>
    </x:row>
    <x:row r="1582">
      <x:c r="A1582" s="22" t="str">
        <x:v>500111131</x:v>
      </x:c>
      <x:c r="B1582" s="17" t="str">
        <x:v>南港區</x:v>
      </x:c>
      <x:c r="C1582" s="17" t="str">
        <x:v>九如公園(凌雲街)</x:v>
      </x:c>
      <x:c r="D1582" s="18" t="n">
        <x:v>26</x:v>
      </x:c>
      <x:c r="E1582" s="18" t="n">
        <x:v>26</x:v>
      </x:c>
      <x:c r="F1582" s="18" t="n">
        <x:v>242</x:v>
      </x:c>
      <x:c r="G1582" s="18" t="n">
        <x:v>26</x:v>
      </x:c>
      <x:c r="H1582" s="18" t="n">
        <x:v>42</x:v>
      </x:c>
      <x:c r="I1582" s="18" t="n">
        <x:v>26</x:v>
      </x:c>
      <x:c r="J1582" s="18" t="n">
        <x:v>109</x:v>
      </x:c>
      <x:c r="K1582" s="18" t="n">
        <x:v>26</x:v>
      </x:c>
      <x:c r="L1582" s="18" t="n">
        <x:v>21</x:v>
      </x:c>
      <x:c r="M1582" s="18" t="n">
        <x:v>26</x:v>
      </x:c>
    </x:row>
    <x:row r="1583">
      <x:c r="A1583" s="22" t="str">
        <x:v>500111132</x:v>
      </x:c>
      <x:c r="B1583" s="17" t="str">
        <x:v>南港區</x:v>
      </x:c>
      <x:c r="C1583" s="17" t="str">
        <x:v>捷運南港機廠社會住宅</x:v>
      </x:c>
      <x:c r="D1583" s="18" t="n">
        <x:v>26</x:v>
      </x:c>
      <x:c r="E1583" s="18" t="n">
        <x:v>26</x:v>
      </x:c>
      <x:c r="F1583" s="18" t="n">
        <x:v>674</x:v>
      </x:c>
      <x:c r="G1583" s="18" t="n">
        <x:v>26</x:v>
      </x:c>
      <x:c r="H1583" s="18" t="n">
        <x:v>80</x:v>
      </x:c>
      <x:c r="I1583" s="18" t="n">
        <x:v>26</x:v>
      </x:c>
      <x:c r="J1583" s="18" t="n">
        <x:v>176</x:v>
      </x:c>
      <x:c r="K1583" s="18" t="n">
        <x:v>26</x:v>
      </x:c>
      <x:c r="L1583" s="18" t="n">
        <x:v>15</x:v>
      </x:c>
      <x:c r="M1583" s="18" t="n">
        <x:v>26</x:v>
      </x:c>
    </x:row>
    <x:row r="1584">
      <x:c r="A1584" s="22" t="str">
        <x:v>500111133</x:v>
      </x:c>
      <x:c r="B1584" s="17" t="str">
        <x:v>南港區</x:v>
      </x:c>
      <x:c r="C1584" s="17" t="str">
        <x:v>忠孝向陽路口</x:v>
      </x:c>
      <x:c r="D1584" s="18" t="n">
        <x:v>26</x:v>
      </x:c>
      <x:c r="E1584" s="18" t="n">
        <x:v>26</x:v>
      </x:c>
      <x:c r="F1584" s="18" t="n">
        <x:v>227</x:v>
      </x:c>
      <x:c r="G1584" s="18" t="n">
        <x:v>26</x:v>
      </x:c>
      <x:c r="H1584" s="18" t="n">
        <x:v>32</x:v>
      </x:c>
      <x:c r="I1584" s="18" t="n">
        <x:v>26</x:v>
      </x:c>
      <x:c r="J1584" s="18" t="n">
        <x:v>161</x:v>
      </x:c>
      <x:c r="K1584" s="18" t="n">
        <x:v>26</x:v>
      </x:c>
      <x:c r="L1584" s="18" t="n">
        <x:v>22</x:v>
      </x:c>
      <x:c r="M1584" s="18" t="n">
        <x:v>26</x:v>
      </x:c>
    </x:row>
    <x:row r="1585">
      <x:c r="A1585" s="22" t="str">
        <x:v>500111134</x:v>
      </x:c>
      <x:c r="B1585" s="17" t="str">
        <x:v>南港區</x:v>
      </x:c>
      <x:c r="C1585" s="17" t="str">
        <x:v>重陽路39巷</x:v>
      </x:c>
      <x:c r="D1585" s="18" t="n">
        <x:v>26</x:v>
      </x:c>
      <x:c r="E1585" s="18" t="n">
        <x:v>26</x:v>
      </x:c>
      <x:c r="F1585" s="18" t="n">
        <x:v>336</x:v>
      </x:c>
      <x:c r="G1585" s="18" t="n">
        <x:v>26</x:v>
      </x:c>
      <x:c r="H1585" s="18" t="n">
        <x:v>76</x:v>
      </x:c>
      <x:c r="I1585" s="18" t="n">
        <x:v>26</x:v>
      </x:c>
      <x:c r="J1585" s="18" t="n">
        <x:v>169</x:v>
      </x:c>
      <x:c r="K1585" s="18" t="n">
        <x:v>26</x:v>
      </x:c>
      <x:c r="L1585" s="18" t="n">
        <x:v>47</x:v>
      </x:c>
      <x:c r="M1585" s="18" t="n">
        <x:v>26</x:v>
      </x:c>
    </x:row>
    <x:row r="1586">
      <x:c r="A1586" s="22" t="str">
        <x:v>500111135</x:v>
      </x:c>
      <x:c r="B1586" s="17" t="str">
        <x:v>南港區</x:v>
      </x:c>
      <x:c r="C1586" s="17" t="str">
        <x:v>興南街52巷</x:v>
      </x:c>
      <x:c r="D1586" s="18" t="n">
        <x:v>26</x:v>
      </x:c>
      <x:c r="E1586" s="18" t="n">
        <x:v>26</x:v>
      </x:c>
      <x:c r="F1586" s="18" t="n">
        <x:v>195</x:v>
      </x:c>
      <x:c r="G1586" s="18" t="n">
        <x:v>26</x:v>
      </x:c>
      <x:c r="H1586" s="18" t="n">
        <x:v>52</x:v>
      </x:c>
      <x:c r="I1586" s="18" t="n">
        <x:v>26</x:v>
      </x:c>
      <x:c r="J1586" s="18" t="n">
        <x:v>119</x:v>
      </x:c>
      <x:c r="K1586" s="18" t="n">
        <x:v>26</x:v>
      </x:c>
      <x:c r="L1586" s="18" t="n">
        <x:v>12</x:v>
      </x:c>
      <x:c r="M1586" s="18" t="n">
        <x:v>26</x:v>
      </x:c>
    </x:row>
    <x:row r="1587">
      <x:c r="A1587" s="22" t="str">
        <x:v>500111136</x:v>
      </x:c>
      <x:c r="B1587" s="17" t="str">
        <x:v>南港區</x:v>
      </x:c>
      <x:c r="C1587" s="17" t="str">
        <x:v>成功路一段36巷(松河街)</x:v>
      </x:c>
      <x:c r="D1587" s="18" t="n">
        <x:v>26</x:v>
      </x:c>
      <x:c r="E1587" s="18" t="n">
        <x:v>26</x:v>
      </x:c>
      <x:c r="F1587" s="18" t="n">
        <x:v>121</x:v>
      </x:c>
      <x:c r="G1587" s="18" t="n">
        <x:v>26</x:v>
      </x:c>
      <x:c r="H1587" s="18" t="n">
        <x:v>50</x:v>
      </x:c>
      <x:c r="I1587" s="18" t="n">
        <x:v>26</x:v>
      </x:c>
      <x:c r="J1587" s="18" t="n">
        <x:v>125</x:v>
      </x:c>
      <x:c r="K1587" s="18" t="n">
        <x:v>26</x:v>
      </x:c>
      <x:c r="L1587" s="18" t="n">
        <x:v>47</x:v>
      </x:c>
      <x:c r="M1587" s="18" t="n">
        <x:v>26</x:v>
      </x:c>
    </x:row>
    <x:row r="1588">
      <x:c r="A1588" s="22" t="str">
        <x:v>500111137</x:v>
      </x:c>
      <x:c r="B1588" s="17" t="str">
        <x:v>南港區</x:v>
      </x:c>
      <x:c r="C1588" s="17" t="str">
        <x:v>虹創科技大樓</x:v>
      </x:c>
      <x:c r="D1588" s="18" t="n">
        <x:v>26</x:v>
      </x:c>
      <x:c r="E1588" s="18" t="n">
        <x:v>26</x:v>
      </x:c>
      <x:c r="F1588" s="18" t="n">
        <x:v>0</x:v>
      </x:c>
      <x:c r="G1588" s="18" t="n">
        <x:v>25</x:v>
      </x:c>
      <x:c r="H1588" s="18" t="n">
        <x:v>0</x:v>
      </x:c>
      <x:c r="I1588" s="18" t="n">
        <x:v>25</x:v>
      </x:c>
      <x:c r="J1588" s="18" t="n">
        <x:v>0</x:v>
      </x:c>
      <x:c r="K1588" s="18" t="n">
        <x:v>26</x:v>
      </x:c>
      <x:c r="L1588" s="18" t="n">
        <x:v>0</x:v>
      </x:c>
      <x:c r="M1588" s="18" t="n">
        <x:v>26</x:v>
      </x:c>
    </x:row>
    <x:row r="1589">
      <x:c r="A1589" s="22" t="str">
        <x:v>500111138</x:v>
      </x:c>
      <x:c r="B1589" s="17" t="str">
        <x:v>南港區</x:v>
      </x:c>
      <x:c r="C1589" s="17" t="str">
        <x:v>捷運南港站(生技隧道北側)</x:v>
      </x:c>
      <x:c r="D1589" s="18" t="n">
        <x:v>26</x:v>
      </x:c>
      <x:c r="E1589" s="18" t="n">
        <x:v>12</x:v>
      </x:c>
      <x:c r="F1589" s="18" t="n">
        <x:v>90</x:v>
      </x:c>
      <x:c r="G1589" s="18" t="n">
        <x:v>11</x:v>
      </x:c>
      <x:c r="H1589" s="18" t="n">
        <x:v>14</x:v>
      </x:c>
      <x:c r="I1589" s="18" t="n">
        <x:v>11</x:v>
      </x:c>
      <x:c r="J1589" s="18" t="n">
        <x:v>60</x:v>
      </x:c>
      <x:c r="K1589" s="18" t="n">
        <x:v>12</x:v>
      </x:c>
      <x:c r="L1589" s="18" t="n">
        <x:v>12</x:v>
      </x:c>
      <x:c r="M1589" s="18" t="n">
        <x:v>12</x:v>
      </x:c>
    </x:row>
    <x:row r="1590">
      <x:c r="A1590" s="22" t="str">
        <x:v>500112001</x:v>
      </x:c>
      <x:c r="B1590" s="17" t="str">
        <x:v>信義區</x:v>
      </x:c>
      <x:c r="C1590" s="17" t="str">
        <x:v>黎忠區民活動中心</x:v>
      </x:c>
      <x:c r="D1590" s="18" t="n">
        <x:v>26</x:v>
      </x:c>
      <x:c r="E1590" s="18" t="n">
        <x:v>26</x:v>
      </x:c>
      <x:c r="F1590" s="18" t="n">
        <x:v>829</x:v>
      </x:c>
      <x:c r="G1590" s="18" t="n">
        <x:v>26</x:v>
      </x:c>
      <x:c r="H1590" s="18" t="n">
        <x:v>76</x:v>
      </x:c>
      <x:c r="I1590" s="18" t="n">
        <x:v>26</x:v>
      </x:c>
      <x:c r="J1590" s="18" t="n">
        <x:v>133</x:v>
      </x:c>
      <x:c r="K1590" s="18" t="n">
        <x:v>26</x:v>
      </x:c>
      <x:c r="L1590" s="18" t="n">
        <x:v>26</x:v>
      </x:c>
      <x:c r="M1590" s="18" t="n">
        <x:v>26</x:v>
      </x:c>
    </x:row>
    <x:row r="1591">
      <x:c r="A1591" s="22" t="str">
        <x:v>500112002</x:v>
      </x:c>
      <x:c r="B1591" s="17" t="str">
        <x:v>信義區</x:v>
      </x:c>
      <x:c r="C1591" s="17" t="str">
        <x:v>基隆路二段159巷口</x:v>
      </x:c>
      <x:c r="D1591" s="18" t="n">
        <x:v>26</x:v>
      </x:c>
      <x:c r="E1591" s="18" t="n">
        <x:v>26</x:v>
      </x:c>
      <x:c r="F1591" s="18" t="n">
        <x:v>168</x:v>
      </x:c>
      <x:c r="G1591" s="18" t="n">
        <x:v>26</x:v>
      </x:c>
      <x:c r="H1591" s="18" t="n">
        <x:v>55</x:v>
      </x:c>
      <x:c r="I1591" s="18" t="n">
        <x:v>26</x:v>
      </x:c>
      <x:c r="J1591" s="18" t="n">
        <x:v>72</x:v>
      </x:c>
      <x:c r="K1591" s="18" t="n">
        <x:v>26</x:v>
      </x:c>
      <x:c r="L1591" s="18" t="n">
        <x:v>25</x:v>
      </x:c>
      <x:c r="M1591" s="18" t="n">
        <x:v>26</x:v>
      </x:c>
    </x:row>
    <x:row r="1592">
      <x:c r="A1592" s="22" t="str">
        <x:v>500112003</x:v>
      </x:c>
      <x:c r="B1592" s="17" t="str">
        <x:v>信義區</x:v>
      </x:c>
      <x:c r="C1592" s="17" t="str">
        <x:v>嘉興街175巷口</x:v>
      </x:c>
      <x:c r="D1592" s="18" t="n">
        <x:v>26</x:v>
      </x:c>
      <x:c r="E1592" s="18" t="n">
        <x:v>26</x:v>
      </x:c>
      <x:c r="F1592" s="18" t="n">
        <x:v>374</x:v>
      </x:c>
      <x:c r="G1592" s="18" t="n">
        <x:v>26</x:v>
      </x:c>
      <x:c r="H1592" s="18" t="n">
        <x:v>44</x:v>
      </x:c>
      <x:c r="I1592" s="18" t="n">
        <x:v>26</x:v>
      </x:c>
      <x:c r="J1592" s="18" t="n">
        <x:v>102</x:v>
      </x:c>
      <x:c r="K1592" s="18" t="n">
        <x:v>26</x:v>
      </x:c>
      <x:c r="L1592" s="18" t="n">
        <x:v>26</x:v>
      </x:c>
      <x:c r="M1592" s="18" t="n">
        <x:v>26</x:v>
      </x:c>
    </x:row>
    <x:row r="1593">
      <x:c r="A1593" s="22" t="str">
        <x:v>500112004</x:v>
      </x:c>
      <x:c r="B1593" s="17" t="str">
        <x:v>信義區</x:v>
      </x:c>
      <x:c r="C1593" s="17" t="str">
        <x:v>和平東路三段631巷口</x:v>
      </x:c>
      <x:c r="D1593" s="18" t="n">
        <x:v>26</x:v>
      </x:c>
      <x:c r="E1593" s="18" t="n">
        <x:v>26</x:v>
      </x:c>
      <x:c r="F1593" s="18" t="n">
        <x:v>248</x:v>
      </x:c>
      <x:c r="G1593" s="18" t="n">
        <x:v>26</x:v>
      </x:c>
      <x:c r="H1593" s="18" t="n">
        <x:v>44</x:v>
      </x:c>
      <x:c r="I1593" s="18" t="n">
        <x:v>26</x:v>
      </x:c>
      <x:c r="J1593" s="18" t="n">
        <x:v>113</x:v>
      </x:c>
      <x:c r="K1593" s="18" t="n">
        <x:v>26</x:v>
      </x:c>
      <x:c r="L1593" s="18" t="n">
        <x:v>23</x:v>
      </x:c>
      <x:c r="M1593" s="18" t="n">
        <x:v>26</x:v>
      </x:c>
    </x:row>
    <x:row r="1594">
      <x:c r="A1594" s="22" t="str">
        <x:v>500112005</x:v>
      </x:c>
      <x:c r="B1594" s="17" t="str">
        <x:v>信義區</x:v>
      </x:c>
      <x:c r="C1594" s="17" t="str">
        <x:v>和平東路三段530巷口</x:v>
      </x:c>
      <x:c r="D1594" s="18" t="n">
        <x:v>26</x:v>
      </x:c>
      <x:c r="E1594" s="18" t="n">
        <x:v>26</x:v>
      </x:c>
      <x:c r="F1594" s="18" t="n">
        <x:v>267</x:v>
      </x:c>
      <x:c r="G1594" s="18" t="n">
        <x:v>26</x:v>
      </x:c>
      <x:c r="H1594" s="18" t="n">
        <x:v>33</x:v>
      </x:c>
      <x:c r="I1594" s="18" t="n">
        <x:v>26</x:v>
      </x:c>
      <x:c r="J1594" s="18" t="n">
        <x:v>151</x:v>
      </x:c>
      <x:c r="K1594" s="18" t="n">
        <x:v>26</x:v>
      </x:c>
      <x:c r="L1594" s="18" t="n">
        <x:v>18</x:v>
      </x:c>
      <x:c r="M1594" s="18" t="n">
        <x:v>26</x:v>
      </x:c>
    </x:row>
    <x:row r="1595">
      <x:c r="A1595" s="22" t="str">
        <x:v>500112006</x:v>
      </x:c>
      <x:c r="B1595" s="17" t="str">
        <x:v>信義區</x:v>
      </x:c>
      <x:c r="C1595" s="17" t="str">
        <x:v>六張犁社會住宅1區</x:v>
      </x:c>
      <x:c r="D1595" s="18" t="n">
        <x:v>26</x:v>
      </x:c>
      <x:c r="E1595" s="18" t="n">
        <x:v>26</x:v>
      </x:c>
      <x:c r="F1595" s="18" t="n">
        <x:v>1006</x:v>
      </x:c>
      <x:c r="G1595" s="18" t="n">
        <x:v>26</x:v>
      </x:c>
      <x:c r="H1595" s="18" t="n">
        <x:v>175</x:v>
      </x:c>
      <x:c r="I1595" s="18" t="n">
        <x:v>26</x:v>
      </x:c>
      <x:c r="J1595" s="18" t="n">
        <x:v>138</x:v>
      </x:c>
      <x:c r="K1595" s="18" t="n">
        <x:v>26</x:v>
      </x:c>
      <x:c r="L1595" s="18" t="n">
        <x:v>23</x:v>
      </x:c>
      <x:c r="M1595" s="18" t="n">
        <x:v>26</x:v>
      </x:c>
    </x:row>
    <x:row r="1596">
      <x:c r="A1596" s="22" t="str">
        <x:v>500112007</x:v>
      </x:c>
      <x:c r="B1596" s="17" t="str">
        <x:v>信義區</x:v>
      </x:c>
      <x:c r="C1596" s="17" t="str">
        <x:v>臺北醫學大學</x:v>
      </x:c>
      <x:c r="D1596" s="18" t="n">
        <x:v>26</x:v>
      </x:c>
      <x:c r="E1596" s="18" t="n">
        <x:v>26</x:v>
      </x:c>
      <x:c r="F1596" s="18" t="n">
        <x:v>236</x:v>
      </x:c>
      <x:c r="G1596" s="18" t="n">
        <x:v>26</x:v>
      </x:c>
      <x:c r="H1596" s="18" t="n">
        <x:v>67</x:v>
      </x:c>
      <x:c r="I1596" s="18" t="n">
        <x:v>26</x:v>
      </x:c>
      <x:c r="J1596" s="18" t="n">
        <x:v>1705</x:v>
      </x:c>
      <x:c r="K1596" s="18" t="n">
        <x:v>26</x:v>
      </x:c>
      <x:c r="L1596" s="18" t="n">
        <x:v>138</x:v>
      </x:c>
      <x:c r="M1596" s="18" t="n">
        <x:v>26</x:v>
      </x:c>
    </x:row>
    <x:row r="1597">
      <x:c r="A1597" s="22" t="str">
        <x:v>500112008</x:v>
      </x:c>
      <x:c r="B1597" s="17" t="str">
        <x:v>信義區</x:v>
      </x:c>
      <x:c r="C1597" s="17" t="str">
        <x:v>三興公園</x:v>
      </x:c>
      <x:c r="D1597" s="18" t="n">
        <x:v>26</x:v>
      </x:c>
      <x:c r="E1597" s="18" t="n">
        <x:v>26</x:v>
      </x:c>
      <x:c r="F1597" s="18" t="n">
        <x:v>749</x:v>
      </x:c>
      <x:c r="G1597" s="18" t="n">
        <x:v>26</x:v>
      </x:c>
      <x:c r="H1597" s="18" t="n">
        <x:v>65</x:v>
      </x:c>
      <x:c r="I1597" s="18" t="n">
        <x:v>26</x:v>
      </x:c>
      <x:c r="J1597" s="18" t="n">
        <x:v>73</x:v>
      </x:c>
      <x:c r="K1597" s="18" t="n">
        <x:v>26</x:v>
      </x:c>
      <x:c r="L1597" s="18" t="n">
        <x:v>21</x:v>
      </x:c>
      <x:c r="M1597" s="18" t="n">
        <x:v>26</x:v>
      </x:c>
    </x:row>
    <x:row r="1598">
      <x:c r="A1598" s="22" t="str">
        <x:v>500112009</x:v>
      </x:c>
      <x:c r="B1598" s="17" t="str">
        <x:v>信義區</x:v>
      </x:c>
      <x:c r="C1598" s="17" t="str">
        <x:v>松德站</x:v>
      </x:c>
      <x:c r="D1598" s="18" t="n">
        <x:v>26</x:v>
      </x:c>
      <x:c r="E1598" s="18" t="n">
        <x:v>26</x:v>
      </x:c>
      <x:c r="F1598" s="18" t="n">
        <x:v>375</x:v>
      </x:c>
      <x:c r="G1598" s="18" t="n">
        <x:v>26</x:v>
      </x:c>
      <x:c r="H1598" s="18" t="n">
        <x:v>63</x:v>
      </x:c>
      <x:c r="I1598" s="18" t="n">
        <x:v>26</x:v>
      </x:c>
      <x:c r="J1598" s="18" t="n">
        <x:v>628</x:v>
      </x:c>
      <x:c r="K1598" s="18" t="n">
        <x:v>26</x:v>
      </x:c>
      <x:c r="L1598" s="18" t="n">
        <x:v>88</x:v>
      </x:c>
      <x:c r="M1598" s="18" t="n">
        <x:v>26</x:v>
      </x:c>
    </x:row>
    <x:row r="1599">
      <x:c r="A1599" s="22" t="str">
        <x:v>500112010</x:v>
      </x:c>
      <x:c r="B1599" s="17" t="str">
        <x:v>信義區</x:v>
      </x:c>
      <x:c r="C1599" s="17" t="str">
        <x:v>捷運象山站(2號出口)</x:v>
      </x:c>
      <x:c r="D1599" s="18" t="n">
        <x:v>26</x:v>
      </x:c>
      <x:c r="E1599" s="18" t="n">
        <x:v>26</x:v>
      </x:c>
      <x:c r="F1599" s="18" t="n">
        <x:v>383</x:v>
      </x:c>
      <x:c r="G1599" s="18" t="n">
        <x:v>26</x:v>
      </x:c>
      <x:c r="H1599" s="18" t="n">
        <x:v>73</x:v>
      </x:c>
      <x:c r="I1599" s="18" t="n">
        <x:v>26</x:v>
      </x:c>
      <x:c r="J1599" s="18" t="n">
        <x:v>529</x:v>
      </x:c>
      <x:c r="K1599" s="18" t="n">
        <x:v>26</x:v>
      </x:c>
      <x:c r="L1599" s="18" t="n">
        <x:v>96</x:v>
      </x:c>
      <x:c r="M1599" s="18" t="n">
        <x:v>26</x:v>
      </x:c>
    </x:row>
    <x:row r="1600">
      <x:c r="A1600" s="22" t="str">
        <x:v>500112011</x:v>
      </x:c>
      <x:c r="B1600" s="17" t="str">
        <x:v>信義區</x:v>
      </x:c>
      <x:c r="C1600" s="17" t="str">
        <x:v>象山公園</x:v>
      </x:c>
      <x:c r="D1600" s="18" t="n">
        <x:v>26</x:v>
      </x:c>
      <x:c r="E1600" s="18" t="n">
        <x:v>26</x:v>
      </x:c>
      <x:c r="F1600" s="18" t="n">
        <x:v>269</x:v>
      </x:c>
      <x:c r="G1600" s="18" t="n">
        <x:v>26</x:v>
      </x:c>
      <x:c r="H1600" s="18" t="n">
        <x:v>117</x:v>
      </x:c>
      <x:c r="I1600" s="18" t="n">
        <x:v>26</x:v>
      </x:c>
      <x:c r="J1600" s="18" t="n">
        <x:v>1177</x:v>
      </x:c>
      <x:c r="K1600" s="18" t="n">
        <x:v>26</x:v>
      </x:c>
      <x:c r="L1600" s="18" t="n">
        <x:v>43</x:v>
      </x:c>
      <x:c r="M1600" s="18" t="n">
        <x:v>26</x:v>
      </x:c>
    </x:row>
    <x:row r="1601">
      <x:c r="A1601" s="22" t="str">
        <x:v>500112012</x:v>
      </x:c>
      <x:c r="B1601" s="17" t="str">
        <x:v>信義區</x:v>
      </x:c>
      <x:c r="C1601" s="17" t="str">
        <x:v>松仁路253巷3弄</x:v>
      </x:c>
      <x:c r="D1601" s="18" t="n">
        <x:v>26</x:v>
      </x:c>
      <x:c r="E1601" s="18" t="n">
        <x:v>26</x:v>
      </x:c>
      <x:c r="F1601" s="18" t="n">
        <x:v>782</x:v>
      </x:c>
      <x:c r="G1601" s="18" t="n">
        <x:v>26</x:v>
      </x:c>
      <x:c r="H1601" s="18" t="n">
        <x:v>89</x:v>
      </x:c>
      <x:c r="I1601" s="18" t="n">
        <x:v>26</x:v>
      </x:c>
      <x:c r="J1601" s="18" t="n">
        <x:v>155</x:v>
      </x:c>
      <x:c r="K1601" s="18" t="n">
        <x:v>26</x:v>
      </x:c>
      <x:c r="L1601" s="18" t="n">
        <x:v>33</x:v>
      </x:c>
      <x:c r="M1601" s="18" t="n">
        <x:v>26</x:v>
      </x:c>
    </x:row>
    <x:row r="1602">
      <x:c r="A1602" s="22" t="str">
        <x:v>500112013</x:v>
      </x:c>
      <x:c r="B1602" s="17" t="str">
        <x:v>信義區</x:v>
      </x:c>
      <x:c r="C1602" s="17" t="str">
        <x:v>興雅國中</x:v>
      </x:c>
      <x:c r="D1602" s="18" t="n">
        <x:v>26</x:v>
      </x:c>
      <x:c r="E1602" s="18" t="n">
        <x:v>26</x:v>
      </x:c>
      <x:c r="F1602" s="18" t="n">
        <x:v>60</x:v>
      </x:c>
      <x:c r="G1602" s="18" t="n">
        <x:v>26</x:v>
      </x:c>
      <x:c r="H1602" s="18" t="n">
        <x:v>27</x:v>
      </x:c>
      <x:c r="I1602" s="18" t="n">
        <x:v>26</x:v>
      </x:c>
      <x:c r="J1602" s="18" t="n">
        <x:v>509</x:v>
      </x:c>
      <x:c r="K1602" s="18" t="n">
        <x:v>26</x:v>
      </x:c>
      <x:c r="L1602" s="18" t="n">
        <x:v>78</x:v>
      </x:c>
      <x:c r="M1602" s="18" t="n">
        <x:v>26</x:v>
      </x:c>
    </x:row>
    <x:row r="1603">
      <x:c r="A1603" s="22" t="str">
        <x:v>500112014</x:v>
      </x:c>
      <x:c r="B1603" s="17" t="str">
        <x:v>信義區</x:v>
      </x:c>
      <x:c r="C1603" s="17" t="str">
        <x:v>捷運象山站(1號出口)</x:v>
      </x:c>
      <x:c r="D1603" s="18" t="n">
        <x:v>26</x:v>
      </x:c>
      <x:c r="E1603" s="18" t="n">
        <x:v>26</x:v>
      </x:c>
      <x:c r="F1603" s="18" t="n">
        <x:v>364</x:v>
      </x:c>
      <x:c r="G1603" s="18" t="n">
        <x:v>26</x:v>
      </x:c>
      <x:c r="H1603" s="18" t="n">
        <x:v>34</x:v>
      </x:c>
      <x:c r="I1603" s="18" t="n">
        <x:v>26</x:v>
      </x:c>
      <x:c r="J1603" s="18" t="n">
        <x:v>136</x:v>
      </x:c>
      <x:c r="K1603" s="18" t="n">
        <x:v>26</x:v>
      </x:c>
      <x:c r="L1603" s="18" t="n">
        <x:v>51</x:v>
      </x:c>
      <x:c r="M1603" s="18" t="n">
        <x:v>26</x:v>
      </x:c>
    </x:row>
    <x:row r="1604">
      <x:c r="A1604" s="22" t="str">
        <x:v>500112015</x:v>
      </x:c>
      <x:c r="B1604" s="17" t="str">
        <x:v>信義區</x:v>
      </x:c>
      <x:c r="C1604" s="17" t="str">
        <x:v>松德路200巷</x:v>
      </x:c>
      <x:c r="D1604" s="18" t="n">
        <x:v>26</x:v>
      </x:c>
      <x:c r="E1604" s="18" t="n">
        <x:v>26</x:v>
      </x:c>
      <x:c r="F1604" s="18" t="n">
        <x:v>150</x:v>
      </x:c>
      <x:c r="G1604" s="18" t="n">
        <x:v>26</x:v>
      </x:c>
      <x:c r="H1604" s="18" t="n">
        <x:v>40</x:v>
      </x:c>
      <x:c r="I1604" s="18" t="n">
        <x:v>26</x:v>
      </x:c>
      <x:c r="J1604" s="18" t="n">
        <x:v>226</x:v>
      </x:c>
      <x:c r="K1604" s="18" t="n">
        <x:v>26</x:v>
      </x:c>
      <x:c r="L1604" s="18" t="n">
        <x:v>24</x:v>
      </x:c>
      <x:c r="M1604" s="18" t="n">
        <x:v>26</x:v>
      </x:c>
    </x:row>
    <x:row r="1605">
      <x:c r="A1605" s="22" t="str">
        <x:v>500112016</x:v>
      </x:c>
      <x:c r="B1605" s="17" t="str">
        <x:v>信義區</x:v>
      </x:c>
      <x:c r="C1605" s="17" t="str">
        <x:v>中全公園</x:v>
      </x:c>
      <x:c r="D1605" s="18" t="n">
        <x:v>26</x:v>
      </x:c>
      <x:c r="E1605" s="18" t="n">
        <x:v>26</x:v>
      </x:c>
      <x:c r="F1605" s="18" t="n">
        <x:v>529</x:v>
      </x:c>
      <x:c r="G1605" s="18" t="n">
        <x:v>26</x:v>
      </x:c>
      <x:c r="H1605" s="18" t="n">
        <x:v>44</x:v>
      </x:c>
      <x:c r="I1605" s="18" t="n">
        <x:v>26</x:v>
      </x:c>
      <x:c r="J1605" s="18" t="n">
        <x:v>195</x:v>
      </x:c>
      <x:c r="K1605" s="18" t="n">
        <x:v>26</x:v>
      </x:c>
      <x:c r="L1605" s="18" t="n">
        <x:v>32</x:v>
      </x:c>
      <x:c r="M1605" s="18" t="n">
        <x:v>26</x:v>
      </x:c>
    </x:row>
    <x:row r="1606">
      <x:c r="A1606" s="22" t="str">
        <x:v>500112017</x:v>
      </x:c>
      <x:c r="B1606" s="17" t="str">
        <x:v>信義區</x:v>
      </x:c>
      <x:c r="C1606" s="17" t="str">
        <x:v>台北市災害應變中心</x:v>
      </x:c>
      <x:c r="D1606" s="18" t="n">
        <x:v>26</x:v>
      </x:c>
      <x:c r="E1606" s="18" t="n">
        <x:v>26</x:v>
      </x:c>
      <x:c r="F1606" s="18" t="n">
        <x:v>729</x:v>
      </x:c>
      <x:c r="G1606" s="18" t="n">
        <x:v>26</x:v>
      </x:c>
      <x:c r="H1606" s="18" t="n">
        <x:v>77</x:v>
      </x:c>
      <x:c r="I1606" s="18" t="n">
        <x:v>26</x:v>
      </x:c>
      <x:c r="J1606" s="18" t="n">
        <x:v>223</x:v>
      </x:c>
      <x:c r="K1606" s="18" t="n">
        <x:v>26</x:v>
      </x:c>
      <x:c r="L1606" s="18" t="n">
        <x:v>45</x:v>
      </x:c>
      <x:c r="M1606" s="18" t="n">
        <x:v>26</x:v>
      </x:c>
    </x:row>
    <x:row r="1607">
      <x:c r="A1607" s="22" t="str">
        <x:v>500112018</x:v>
      </x:c>
      <x:c r="B1607" s="17" t="str">
        <x:v>信義區</x:v>
      </x:c>
      <x:c r="C1607" s="17" t="str">
        <x:v>信義運動中心</x:v>
      </x:c>
      <x:c r="D1607" s="18" t="n">
        <x:v>26</x:v>
      </x:c>
      <x:c r="E1607" s="18" t="n">
        <x:v>26</x:v>
      </x:c>
      <x:c r="F1607" s="18" t="n">
        <x:v>171</x:v>
      </x:c>
      <x:c r="G1607" s="18" t="n">
        <x:v>26</x:v>
      </x:c>
      <x:c r="H1607" s="18" t="n">
        <x:v>96</x:v>
      </x:c>
      <x:c r="I1607" s="18" t="n">
        <x:v>26</x:v>
      </x:c>
      <x:c r="J1607" s="18" t="n">
        <x:v>699</x:v>
      </x:c>
      <x:c r="K1607" s="18" t="n">
        <x:v>26</x:v>
      </x:c>
      <x:c r="L1607" s="18" t="n">
        <x:v>141</x:v>
      </x:c>
      <x:c r="M1607" s="18" t="n">
        <x:v>26</x:v>
      </x:c>
    </x:row>
    <x:row r="1608">
      <x:c r="A1608" s="22" t="str">
        <x:v>500112019</x:v>
      </x:c>
      <x:c r="B1608" s="17" t="str">
        <x:v>信義區</x:v>
      </x:c>
      <x:c r="C1608" s="17" t="str">
        <x:v>捷運台北101/世貿站(3號出口)</x:v>
      </x:c>
      <x:c r="D1608" s="18" t="n">
        <x:v>26</x:v>
      </x:c>
      <x:c r="E1608" s="18" t="n">
        <x:v>26</x:v>
      </x:c>
      <x:c r="F1608" s="18" t="n">
        <x:v>149</x:v>
      </x:c>
      <x:c r="G1608" s="18" t="n">
        <x:v>26</x:v>
      </x:c>
      <x:c r="H1608" s="18" t="n">
        <x:v>24</x:v>
      </x:c>
      <x:c r="I1608" s="18" t="n">
        <x:v>26</x:v>
      </x:c>
      <x:c r="J1608" s="18" t="n">
        <x:v>211</x:v>
      </x:c>
      <x:c r="K1608" s="18" t="n">
        <x:v>26</x:v>
      </x:c>
      <x:c r="L1608" s="18" t="n">
        <x:v>53</x:v>
      </x:c>
      <x:c r="M1608" s="18" t="n">
        <x:v>26</x:v>
      </x:c>
    </x:row>
    <x:row r="1609">
      <x:c r="A1609" s="22" t="str">
        <x:v>500112020</x:v>
      </x:c>
      <x:c r="B1609" s="17" t="str">
        <x:v>信義區</x:v>
      </x:c>
      <x:c r="C1609" s="17" t="str">
        <x:v>景新公園</x:v>
      </x:c>
      <x:c r="D1609" s="18" t="n">
        <x:v>26</x:v>
      </x:c>
      <x:c r="E1609" s="18" t="n">
        <x:v>26</x:v>
      </x:c>
      <x:c r="F1609" s="18" t="n">
        <x:v>171</x:v>
      </x:c>
      <x:c r="G1609" s="18" t="n">
        <x:v>26</x:v>
      </x:c>
      <x:c r="H1609" s="18" t="n">
        <x:v>38</x:v>
      </x:c>
      <x:c r="I1609" s="18" t="n">
        <x:v>26</x:v>
      </x:c>
      <x:c r="J1609" s="18" t="n">
        <x:v>96</x:v>
      </x:c>
      <x:c r="K1609" s="18" t="n">
        <x:v>26</x:v>
      </x:c>
      <x:c r="L1609" s="18" t="n">
        <x:v>22</x:v>
      </x:c>
      <x:c r="M1609" s="18" t="n">
        <x:v>26</x:v>
      </x:c>
    </x:row>
    <x:row r="1610">
      <x:c r="A1610" s="22" t="str">
        <x:v>500112021</x:v>
      </x:c>
      <x:c r="B1610" s="17" t="str">
        <x:v>信義區</x:v>
      </x:c>
      <x:c r="C1610" s="17" t="str">
        <x:v>光復信義路口東南側</x:v>
      </x:c>
      <x:c r="D1610" s="18" t="n">
        <x:v>26</x:v>
      </x:c>
      <x:c r="E1610" s="18" t="n">
        <x:v>26</x:v>
      </x:c>
      <x:c r="F1610" s="18" t="n">
        <x:v>112</x:v>
      </x:c>
      <x:c r="G1610" s="18" t="n">
        <x:v>26</x:v>
      </x:c>
      <x:c r="H1610" s="18" t="n">
        <x:v>27</x:v>
      </x:c>
      <x:c r="I1610" s="18" t="n">
        <x:v>26</x:v>
      </x:c>
      <x:c r="J1610" s="18" t="n">
        <x:v>158</x:v>
      </x:c>
      <x:c r="K1610" s="18" t="n">
        <x:v>26</x:v>
      </x:c>
      <x:c r="L1610" s="18" t="n">
        <x:v>57</x:v>
      </x:c>
      <x:c r="M1610" s="18" t="n">
        <x:v>26</x:v>
      </x:c>
    </x:row>
    <x:row r="1611">
      <x:c r="A1611" s="22" t="str">
        <x:v>500112022</x:v>
      </x:c>
      <x:c r="B1611" s="17" t="str">
        <x:v>信義區</x:v>
      </x:c>
      <x:c r="C1611" s="17" t="str">
        <x:v>三張犁</x:v>
      </x:c>
      <x:c r="D1611" s="18" t="n">
        <x:v>26</x:v>
      </x:c>
      <x:c r="E1611" s="18" t="n">
        <x:v>26</x:v>
      </x:c>
      <x:c r="F1611" s="18" t="n">
        <x:v>934</x:v>
      </x:c>
      <x:c r="G1611" s="18" t="n">
        <x:v>26</x:v>
      </x:c>
      <x:c r="H1611" s="18" t="n">
        <x:v>95</x:v>
      </x:c>
      <x:c r="I1611" s="18" t="n">
        <x:v>26</x:v>
      </x:c>
      <x:c r="J1611" s="18" t="n">
        <x:v>156</x:v>
      </x:c>
      <x:c r="K1611" s="18" t="n">
        <x:v>26</x:v>
      </x:c>
      <x:c r="L1611" s="18" t="n">
        <x:v>30</x:v>
      </x:c>
      <x:c r="M1611" s="18" t="n">
        <x:v>26</x:v>
      </x:c>
    </x:row>
    <x:row r="1612">
      <x:c r="A1612" s="22" t="str">
        <x:v>500112023</x:v>
      </x:c>
      <x:c r="B1612" s="17" t="str">
        <x:v>信義區</x:v>
      </x:c>
      <x:c r="C1612" s="17" t="str">
        <x:v>仁愛路四段496巷口</x:v>
      </x:c>
      <x:c r="D1612" s="18" t="n">
        <x:v>26</x:v>
      </x:c>
      <x:c r="E1612" s="18" t="n">
        <x:v>26</x:v>
      </x:c>
      <x:c r="F1612" s="18" t="n">
        <x:v>613</x:v>
      </x:c>
      <x:c r="G1612" s="18" t="n">
        <x:v>26</x:v>
      </x:c>
      <x:c r="H1612" s="18" t="n">
        <x:v>121</x:v>
      </x:c>
      <x:c r="I1612" s="18" t="n">
        <x:v>26</x:v>
      </x:c>
      <x:c r="J1612" s="18" t="n">
        <x:v>260</x:v>
      </x:c>
      <x:c r="K1612" s="18" t="n">
        <x:v>26</x:v>
      </x:c>
      <x:c r="L1612" s="18" t="n">
        <x:v>68</x:v>
      </x:c>
      <x:c r="M1612" s="18" t="n">
        <x:v>26</x:v>
      </x:c>
    </x:row>
    <x:row r="1613">
      <x:c r="A1613" s="22" t="str">
        <x:v>500112024</x:v>
      </x:c>
      <x:c r="B1613" s="17" t="str">
        <x:v>信義區</x:v>
      </x:c>
      <x:c r="C1613" s="17" t="str">
        <x:v>松山工農</x:v>
      </x:c>
      <x:c r="D1613" s="18" t="n">
        <x:v>26</x:v>
      </x:c>
      <x:c r="E1613" s="18" t="n">
        <x:v>26</x:v>
      </x:c>
      <x:c r="F1613" s="18" t="n">
        <x:v>144</x:v>
      </x:c>
      <x:c r="G1613" s="18" t="n">
        <x:v>26</x:v>
      </x:c>
      <x:c r="H1613" s="18" t="n">
        <x:v>35</x:v>
      </x:c>
      <x:c r="I1613" s="18" t="n">
        <x:v>26</x:v>
      </x:c>
      <x:c r="J1613" s="18" t="n">
        <x:v>485</x:v>
      </x:c>
      <x:c r="K1613" s="18" t="n">
        <x:v>26</x:v>
      </x:c>
      <x:c r="L1613" s="18" t="n">
        <x:v>71</x:v>
      </x:c>
      <x:c r="M1613" s="18" t="n">
        <x:v>26</x:v>
      </x:c>
    </x:row>
    <x:row r="1614">
      <x:c r="A1614" s="22" t="str">
        <x:v>500112025</x:v>
      </x:c>
      <x:c r="B1614" s="17" t="str">
        <x:v>信義區</x:v>
      </x:c>
      <x:c r="C1614" s="17" t="str">
        <x:v>松友公園</x:v>
      </x:c>
      <x:c r="D1614" s="18" t="n">
        <x:v>26</x:v>
      </x:c>
      <x:c r="E1614" s="18" t="n">
        <x:v>26</x:v>
      </x:c>
      <x:c r="F1614" s="18" t="n">
        <x:v>1133</x:v>
      </x:c>
      <x:c r="G1614" s="18" t="n">
        <x:v>26</x:v>
      </x:c>
      <x:c r="H1614" s="18" t="n">
        <x:v>86</x:v>
      </x:c>
      <x:c r="I1614" s="18" t="n">
        <x:v>26</x:v>
      </x:c>
      <x:c r="J1614" s="18" t="n">
        <x:v>160</x:v>
      </x:c>
      <x:c r="K1614" s="18" t="n">
        <x:v>26</x:v>
      </x:c>
      <x:c r="L1614" s="18" t="n">
        <x:v>34</x:v>
      </x:c>
      <x:c r="M1614" s="18" t="n">
        <x:v>26</x:v>
      </x:c>
    </x:row>
    <x:row r="1615">
      <x:c r="A1615" s="22" t="str">
        <x:v>500112026</x:v>
      </x:c>
      <x:c r="B1615" s="17" t="str">
        <x:v>信義區</x:v>
      </x:c>
      <x:c r="C1615" s="17" t="str">
        <x:v>林口公園</x:v>
      </x:c>
      <x:c r="D1615" s="18" t="n">
        <x:v>26</x:v>
      </x:c>
      <x:c r="E1615" s="18" t="n">
        <x:v>26</x:v>
      </x:c>
      <x:c r="F1615" s="18" t="n">
        <x:v>1125</x:v>
      </x:c>
      <x:c r="G1615" s="18" t="n">
        <x:v>26</x:v>
      </x:c>
      <x:c r="H1615" s="18" t="n">
        <x:v>157</x:v>
      </x:c>
      <x:c r="I1615" s="18" t="n">
        <x:v>26</x:v>
      </x:c>
      <x:c r="J1615" s="18" t="n">
        <x:v>290</x:v>
      </x:c>
      <x:c r="K1615" s="18" t="n">
        <x:v>26</x:v>
      </x:c>
      <x:c r="L1615" s="18" t="n">
        <x:v>44</x:v>
      </x:c>
      <x:c r="M1615" s="18" t="n">
        <x:v>26</x:v>
      </x:c>
    </x:row>
    <x:row r="1616">
      <x:c r="A1616" s="22" t="str">
        <x:v>500112027</x:v>
      </x:c>
      <x:c r="B1616" s="17" t="str">
        <x:v>信義區</x:v>
      </x:c>
      <x:c r="C1616" s="17" t="str">
        <x:v>松山家商</x:v>
      </x:c>
      <x:c r="D1616" s="18" t="n">
        <x:v>26</x:v>
      </x:c>
      <x:c r="E1616" s="18" t="n">
        <x:v>26</x:v>
      </x:c>
      <x:c r="F1616" s="18" t="n">
        <x:v>150</x:v>
      </x:c>
      <x:c r="G1616" s="18" t="n">
        <x:v>26</x:v>
      </x:c>
      <x:c r="H1616" s="18" t="n">
        <x:v>14</x:v>
      </x:c>
      <x:c r="I1616" s="18" t="n">
        <x:v>26</x:v>
      </x:c>
      <x:c r="J1616" s="18" t="n">
        <x:v>781</x:v>
      </x:c>
      <x:c r="K1616" s="18" t="n">
        <x:v>26</x:v>
      </x:c>
      <x:c r="L1616" s="18" t="n">
        <x:v>54</x:v>
      </x:c>
      <x:c r="M1616" s="18" t="n">
        <x:v>26</x:v>
      </x:c>
    </x:row>
    <x:row r="1617">
      <x:c r="A1617" s="22" t="str">
        <x:v>500112028</x:v>
      </x:c>
      <x:c r="B1617" s="17" t="str">
        <x:v>信義區</x:v>
      </x:c>
      <x:c r="C1617" s="17" t="str">
        <x:v>永春陂濕地公園</x:v>
      </x:c>
      <x:c r="D1617" s="18" t="n">
        <x:v>26</x:v>
      </x:c>
      <x:c r="E1617" s="18" t="n">
        <x:v>26</x:v>
      </x:c>
      <x:c r="F1617" s="18" t="n">
        <x:v>426</x:v>
      </x:c>
      <x:c r="G1617" s="18" t="n">
        <x:v>26</x:v>
      </x:c>
      <x:c r="H1617" s="18" t="n">
        <x:v>78</x:v>
      </x:c>
      <x:c r="I1617" s="18" t="n">
        <x:v>26</x:v>
      </x:c>
      <x:c r="J1617" s="18" t="n">
        <x:v>233</x:v>
      </x:c>
      <x:c r="K1617" s="18" t="n">
        <x:v>26</x:v>
      </x:c>
      <x:c r="L1617" s="18" t="n">
        <x:v>76</x:v>
      </x:c>
      <x:c r="M1617" s="18" t="n">
        <x:v>26</x:v>
      </x:c>
    </x:row>
    <x:row r="1618">
      <x:c r="A1618" s="22" t="str">
        <x:v>500112029</x:v>
      </x:c>
      <x:c r="B1618" s="17" t="str">
        <x:v>信義區</x:v>
      </x:c>
      <x:c r="C1618" s="17" t="str">
        <x:v>臺北市政府</x:v>
      </x:c>
      <x:c r="D1618" s="18" t="n">
        <x:v>26</x:v>
      </x:c>
      <x:c r="E1618" s="18" t="n">
        <x:v>26</x:v>
      </x:c>
      <x:c r="F1618" s="18" t="n">
        <x:v>234</x:v>
      </x:c>
      <x:c r="G1618" s="18" t="n">
        <x:v>26</x:v>
      </x:c>
      <x:c r="H1618" s="18" t="n">
        <x:v>57</x:v>
      </x:c>
      <x:c r="I1618" s="18" t="n">
        <x:v>26</x:v>
      </x:c>
      <x:c r="J1618" s="18" t="n">
        <x:v>1748</x:v>
      </x:c>
      <x:c r="K1618" s="18" t="n">
        <x:v>26</x:v>
      </x:c>
      <x:c r="L1618" s="18" t="n">
        <x:v>274</x:v>
      </x:c>
      <x:c r="M1618" s="18" t="n">
        <x:v>26</x:v>
      </x:c>
    </x:row>
    <x:row r="1619">
      <x:c r="A1619" s="22" t="str">
        <x:v>500112030</x:v>
      </x:c>
      <x:c r="B1619" s="17" t="str">
        <x:v>信義區</x:v>
      </x:c>
      <x:c r="C1619" s="17" t="str">
        <x:v>松智松壽路口</x:v>
      </x:c>
      <x:c r="D1619" s="18" t="n">
        <x:v>26</x:v>
      </x:c>
      <x:c r="E1619" s="18" t="n">
        <x:v>26</x:v>
      </x:c>
      <x:c r="F1619" s="18" t="n">
        <x:v>155</x:v>
      </x:c>
      <x:c r="G1619" s="18" t="n">
        <x:v>26</x:v>
      </x:c>
      <x:c r="H1619" s="18" t="n">
        <x:v>28</x:v>
      </x:c>
      <x:c r="I1619" s="18" t="n">
        <x:v>26</x:v>
      </x:c>
      <x:c r="J1619" s="18" t="n">
        <x:v>1335</x:v>
      </x:c>
      <x:c r="K1619" s="18" t="n">
        <x:v>26</x:v>
      </x:c>
      <x:c r="L1619" s="18" t="n">
        <x:v>170</x:v>
      </x:c>
      <x:c r="M1619" s="18" t="n">
        <x:v>26</x:v>
      </x:c>
    </x:row>
    <x:row r="1620">
      <x:c r="A1620" s="22" t="str">
        <x:v>500112031</x:v>
      </x:c>
      <x:c r="B1620" s="17" t="str">
        <x:v>信義區</x:v>
      </x:c>
      <x:c r="C1620" s="17" t="str">
        <x:v>市府松壽路口</x:v>
      </x:c>
      <x:c r="D1620" s="18" t="n">
        <x:v>26</x:v>
      </x:c>
      <x:c r="E1620" s="18" t="n">
        <x:v>26</x:v>
      </x:c>
      <x:c r="F1620" s="18" t="n">
        <x:v>220</x:v>
      </x:c>
      <x:c r="G1620" s="18" t="n">
        <x:v>26</x:v>
      </x:c>
      <x:c r="H1620" s="18" t="n">
        <x:v>51</x:v>
      </x:c>
      <x:c r="I1620" s="18" t="n">
        <x:v>26</x:v>
      </x:c>
      <x:c r="J1620" s="18" t="n">
        <x:v>451</x:v>
      </x:c>
      <x:c r="K1620" s="18" t="n">
        <x:v>26</x:v>
      </x:c>
      <x:c r="L1620" s="18" t="n">
        <x:v>86</x:v>
      </x:c>
      <x:c r="M1620" s="18" t="n">
        <x:v>26</x:v>
      </x:c>
    </x:row>
    <x:row r="1621">
      <x:c r="A1621" s="22" t="str">
        <x:v>500112032</x:v>
      </x:c>
      <x:c r="B1621" s="17" t="str">
        <x:v>信義區</x:v>
      </x:c>
      <x:c r="C1621" s="17" t="str">
        <x:v>市府松高路口</x:v>
      </x:c>
      <x:c r="D1621" s="18" t="n">
        <x:v>26</x:v>
      </x:c>
      <x:c r="E1621" s="18" t="n">
        <x:v>26</x:v>
      </x:c>
      <x:c r="F1621" s="18" t="n">
        <x:v>445</x:v>
      </x:c>
      <x:c r="G1621" s="18" t="n">
        <x:v>26</x:v>
      </x:c>
      <x:c r="H1621" s="18" t="n">
        <x:v>95</x:v>
      </x:c>
      <x:c r="I1621" s="18" t="n">
        <x:v>26</x:v>
      </x:c>
      <x:c r="J1621" s="18" t="n">
        <x:v>1405</x:v>
      </x:c>
      <x:c r="K1621" s="18" t="n">
        <x:v>26</x:v>
      </x:c>
      <x:c r="L1621" s="18" t="n">
        <x:v>204</x:v>
      </x:c>
      <x:c r="M1621" s="18" t="n">
        <x:v>26</x:v>
      </x:c>
    </x:row>
    <x:row r="1622">
      <x:c r="A1622" s="22" t="str">
        <x:v>500112033</x:v>
      </x:c>
      <x:c r="B1622" s="17" t="str">
        <x:v>信義區</x:v>
      </x:c>
      <x:c r="C1622" s="17" t="str">
        <x:v>市民廣場</x:v>
      </x:c>
      <x:c r="D1622" s="18" t="n">
        <x:v>26</x:v>
      </x:c>
      <x:c r="E1622" s="18" t="n">
        <x:v>26</x:v>
      </x:c>
      <x:c r="F1622" s="18" t="n">
        <x:v>148</x:v>
      </x:c>
      <x:c r="G1622" s="18" t="n">
        <x:v>26</x:v>
      </x:c>
      <x:c r="H1622" s="18" t="n">
        <x:v>37</x:v>
      </x:c>
      <x:c r="I1622" s="18" t="n">
        <x:v>26</x:v>
      </x:c>
      <x:c r="J1622" s="18" t="n">
        <x:v>1002</x:v>
      </x:c>
      <x:c r="K1622" s="18" t="n">
        <x:v>26</x:v>
      </x:c>
      <x:c r="L1622" s="18" t="n">
        <x:v>112</x:v>
      </x:c>
      <x:c r="M1622" s="18" t="n">
        <x:v>26</x:v>
      </x:c>
    </x:row>
    <x:row r="1623">
      <x:c r="A1623" s="22" t="str">
        <x:v>500112034</x:v>
      </x:c>
      <x:c r="B1623" s="17" t="str">
        <x:v>信義區</x:v>
      </x:c>
      <x:c r="C1623" s="17" t="str">
        <x:v>臺北南山廣場</x:v>
      </x:c>
      <x:c r="D1623" s="18" t="n">
        <x:v>26</x:v>
      </x:c>
      <x:c r="E1623" s="18" t="n">
        <x:v>26</x:v>
      </x:c>
      <x:c r="F1623" s="18" t="n">
        <x:v>0</x:v>
      </x:c>
      <x:c r="G1623" s="18" t="n">
        <x:v>26</x:v>
      </x:c>
      <x:c r="H1623" s="18" t="n">
        <x:v>0</x:v>
      </x:c>
      <x:c r="I1623" s="18" t="n">
        <x:v>26</x:v>
      </x:c>
      <x:c r="J1623" s="18" t="n">
        <x:v>0</x:v>
      </x:c>
      <x:c r="K1623" s="18" t="n">
        <x:v>26</x:v>
      </x:c>
      <x:c r="L1623" s="18" t="n">
        <x:v>0</x:v>
      </x:c>
      <x:c r="M1623" s="18" t="n">
        <x:v>26</x:v>
      </x:c>
    </x:row>
    <x:row r="1624">
      <x:c r="A1624" s="22" t="str">
        <x:v>500112035</x:v>
      </x:c>
      <x:c r="B1624" s="17" t="str">
        <x:v>信義區</x:v>
      </x:c>
      <x:c r="C1624" s="17" t="str">
        <x:v>信義廣場(台北101)</x:v>
      </x:c>
      <x:c r="D1624" s="18" t="n">
        <x:v>26</x:v>
      </x:c>
      <x:c r="E1624" s="18" t="n">
        <x:v>26</x:v>
      </x:c>
      <x:c r="F1624" s="18" t="n">
        <x:v>387</x:v>
      </x:c>
      <x:c r="G1624" s="18" t="n">
        <x:v>26</x:v>
      </x:c>
      <x:c r="H1624" s="18" t="n">
        <x:v>64</x:v>
      </x:c>
      <x:c r="I1624" s="18" t="n">
        <x:v>26</x:v>
      </x:c>
      <x:c r="J1624" s="18" t="n">
        <x:v>1025</x:v>
      </x:c>
      <x:c r="K1624" s="18" t="n">
        <x:v>26</x:v>
      </x:c>
      <x:c r="L1624" s="18" t="n">
        <x:v>236</x:v>
      </x:c>
      <x:c r="M1624" s="18" t="n">
        <x:v>26</x:v>
      </x:c>
    </x:row>
    <x:row r="1625">
      <x:c r="A1625" s="22" t="str">
        <x:v>500112036</x:v>
      </x:c>
      <x:c r="B1625" s="17" t="str">
        <x:v>信義區</x:v>
      </x:c>
      <x:c r="C1625" s="17" t="str">
        <x:v>捷運台北101/世貿站(5號出口)</x:v>
      </x:c>
      <x:c r="D1625" s="18" t="n">
        <x:v>26</x:v>
      </x:c>
      <x:c r="E1625" s="18" t="n">
        <x:v>26</x:v>
      </x:c>
      <x:c r="F1625" s="18" t="n">
        <x:v>181</x:v>
      </x:c>
      <x:c r="G1625" s="18" t="n">
        <x:v>26</x:v>
      </x:c>
      <x:c r="H1625" s="18" t="n">
        <x:v>14</x:v>
      </x:c>
      <x:c r="I1625" s="18" t="n">
        <x:v>26</x:v>
      </x:c>
      <x:c r="J1625" s="18" t="n">
        <x:v>214</x:v>
      </x:c>
      <x:c r="K1625" s="18" t="n">
        <x:v>26</x:v>
      </x:c>
      <x:c r="L1625" s="18" t="n">
        <x:v>53</x:v>
      </x:c>
      <x:c r="M1625" s="18" t="n">
        <x:v>26</x:v>
      </x:c>
    </x:row>
    <x:row r="1626">
      <x:c r="A1626" s="22" t="str">
        <x:v>500112037</x:v>
      </x:c>
      <x:c r="B1626" s="17" t="str">
        <x:v>信義區</x:v>
      </x:c>
      <x:c r="C1626" s="17" t="str">
        <x:v>春光公園</x:v>
      </x:c>
      <x:c r="D1626" s="18" t="n">
        <x:v>26</x:v>
      </x:c>
      <x:c r="E1626" s="18" t="n">
        <x:v>26</x:v>
      </x:c>
      <x:c r="F1626" s="18" t="n">
        <x:v>778</x:v>
      </x:c>
      <x:c r="G1626" s="18" t="n">
        <x:v>26</x:v>
      </x:c>
      <x:c r="H1626" s="18" t="n">
        <x:v>34</x:v>
      </x:c>
      <x:c r="I1626" s="18" t="n">
        <x:v>26</x:v>
      </x:c>
      <x:c r="J1626" s="18" t="n">
        <x:v>613</x:v>
      </x:c>
      <x:c r="K1626" s="18" t="n">
        <x:v>26</x:v>
      </x:c>
      <x:c r="L1626" s="18" t="n">
        <x:v>87</x:v>
      </x:c>
      <x:c r="M1626" s="18" t="n">
        <x:v>26</x:v>
      </x:c>
    </x:row>
    <x:row r="1627">
      <x:c r="A1627" s="22" t="str">
        <x:v>500112038</x:v>
      </x:c>
      <x:c r="B1627" s="17" t="str">
        <x:v>信義區</x:v>
      </x:c>
      <x:c r="C1627" s="17" t="str">
        <x:v>松仁路121巷口</x:v>
      </x:c>
      <x:c r="D1627" s="18" t="n">
        <x:v>26</x:v>
      </x:c>
      <x:c r="E1627" s="18" t="n">
        <x:v>26</x:v>
      </x:c>
      <x:c r="F1627" s="18" t="n">
        <x:v>166</x:v>
      </x:c>
      <x:c r="G1627" s="18" t="n">
        <x:v>26</x:v>
      </x:c>
      <x:c r="H1627" s="18" t="n">
        <x:v>25</x:v>
      </x:c>
      <x:c r="I1627" s="18" t="n">
        <x:v>26</x:v>
      </x:c>
      <x:c r="J1627" s="18" t="n">
        <x:v>1065</x:v>
      </x:c>
      <x:c r="K1627" s="18" t="n">
        <x:v>26</x:v>
      </x:c>
      <x:c r="L1627" s="18" t="n">
        <x:v>106</x:v>
      </x:c>
      <x:c r="M1627" s="18" t="n">
        <x:v>26</x:v>
      </x:c>
    </x:row>
    <x:row r="1628">
      <x:c r="A1628" s="22" t="str">
        <x:v>500112039</x:v>
      </x:c>
      <x:c r="B1628" s="17" t="str">
        <x:v>信義區</x:v>
      </x:c>
      <x:c r="C1628" s="17" t="str">
        <x:v>福德國小</x:v>
      </x:c>
      <x:c r="D1628" s="18" t="n">
        <x:v>26</x:v>
      </x:c>
      <x:c r="E1628" s="18" t="n">
        <x:v>26</x:v>
      </x:c>
      <x:c r="F1628" s="18" t="n">
        <x:v>537</x:v>
      </x:c>
      <x:c r="G1628" s="18" t="n">
        <x:v>26</x:v>
      </x:c>
      <x:c r="H1628" s="18" t="n">
        <x:v>117</x:v>
      </x:c>
      <x:c r="I1628" s="18" t="n">
        <x:v>26</x:v>
      </x:c>
      <x:c r="J1628" s="18" t="n">
        <x:v>186</x:v>
      </x:c>
      <x:c r="K1628" s="18" t="n">
        <x:v>26</x:v>
      </x:c>
      <x:c r="L1628" s="18" t="n">
        <x:v>57</x:v>
      </x:c>
      <x:c r="M1628" s="18" t="n">
        <x:v>26</x:v>
      </x:c>
    </x:row>
    <x:row r="1629">
      <x:c r="A1629" s="22" t="str">
        <x:v>500112040</x:v>
      </x:c>
      <x:c r="B1629" s="17" t="str">
        <x:v>信義區</x:v>
      </x:c>
      <x:c r="C1629" s="17" t="str">
        <x:v>福德公園</x:v>
      </x:c>
      <x:c r="D1629" s="18" t="n">
        <x:v>26</x:v>
      </x:c>
      <x:c r="E1629" s="18" t="n">
        <x:v>26</x:v>
      </x:c>
      <x:c r="F1629" s="18" t="n">
        <x:v>747</x:v>
      </x:c>
      <x:c r="G1629" s="18" t="n">
        <x:v>26</x:v>
      </x:c>
      <x:c r="H1629" s="18" t="n">
        <x:v>96</x:v>
      </x:c>
      <x:c r="I1629" s="18" t="n">
        <x:v>26</x:v>
      </x:c>
      <x:c r="J1629" s="18" t="n">
        <x:v>393</x:v>
      </x:c>
      <x:c r="K1629" s="18" t="n">
        <x:v>26</x:v>
      </x:c>
      <x:c r="L1629" s="18" t="n">
        <x:v>55</x:v>
      </x:c>
      <x:c r="M1629" s="18" t="n">
        <x:v>26</x:v>
      </x:c>
    </x:row>
    <x:row r="1630">
      <x:c r="A1630" s="22" t="str">
        <x:v>500112041</x:v>
      </x:c>
      <x:c r="B1630" s="17" t="str">
        <x:v>信義區</x:v>
      </x:c>
      <x:c r="C1630" s="17" t="str">
        <x:v>興雅基隆路口</x:v>
      </x:c>
      <x:c r="D1630" s="18" t="n">
        <x:v>26</x:v>
      </x:c>
      <x:c r="E1630" s="18" t="n">
        <x:v>26</x:v>
      </x:c>
      <x:c r="F1630" s="18" t="n">
        <x:v>0</x:v>
      </x:c>
      <x:c r="G1630" s="18" t="n">
        <x:v>26</x:v>
      </x:c>
      <x:c r="H1630" s="18" t="n">
        <x:v>0</x:v>
      </x:c>
      <x:c r="I1630" s="18" t="n">
        <x:v>26</x:v>
      </x:c>
      <x:c r="J1630" s="18" t="n">
        <x:v>0</x:v>
      </x:c>
      <x:c r="K1630" s="18" t="n">
        <x:v>26</x:v>
      </x:c>
      <x:c r="L1630" s="18" t="n">
        <x:v>0</x:v>
      </x:c>
      <x:c r="M1630" s="18" t="n">
        <x:v>26</x:v>
      </x:c>
    </x:row>
    <x:row r="1631">
      <x:c r="A1631" s="22" t="str">
        <x:v>500112042</x:v>
      </x:c>
      <x:c r="B1631" s="17" t="str">
        <x:v>信義區</x:v>
      </x:c>
      <x:c r="C1631" s="17" t="str">
        <x:v>松高路(信義新天地A4館)</x:v>
      </x:c>
      <x:c r="D1631" s="18" t="n">
        <x:v>26</x:v>
      </x:c>
      <x:c r="E1631" s="18" t="n">
        <x:v>26</x:v>
      </x:c>
      <x:c r="F1631" s="18" t="n">
        <x:v>139</x:v>
      </x:c>
      <x:c r="G1631" s="18" t="n">
        <x:v>26</x:v>
      </x:c>
      <x:c r="H1631" s="18" t="n">
        <x:v>16</x:v>
      </x:c>
      <x:c r="I1631" s="18" t="n">
        <x:v>26</x:v>
      </x:c>
      <x:c r="J1631" s="18" t="n">
        <x:v>282</x:v>
      </x:c>
      <x:c r="K1631" s="18" t="n">
        <x:v>26</x:v>
      </x:c>
      <x:c r="L1631" s="18" t="n">
        <x:v>73</x:v>
      </x:c>
      <x:c r="M1631" s="18" t="n">
        <x:v>26</x:v>
      </x:c>
    </x:row>
    <x:row r="1632">
      <x:c r="A1632" s="22" t="str">
        <x:v>500112043</x:v>
      </x:c>
      <x:c r="B1632" s="17" t="str">
        <x:v>信義區</x:v>
      </x:c>
      <x:c r="C1632" s="17" t="str">
        <x:v>興雅松仁路口</x:v>
      </x:c>
      <x:c r="D1632" s="18" t="n">
        <x:v>26</x:v>
      </x:c>
      <x:c r="E1632" s="18" t="n">
        <x:v>26</x:v>
      </x:c>
      <x:c r="F1632" s="18" t="n">
        <x:v>469</x:v>
      </x:c>
      <x:c r="G1632" s="18" t="n">
        <x:v>26</x:v>
      </x:c>
      <x:c r="H1632" s="18" t="n">
        <x:v>70</x:v>
      </x:c>
      <x:c r="I1632" s="18" t="n">
        <x:v>26</x:v>
      </x:c>
      <x:c r="J1632" s="18" t="n">
        <x:v>1222</x:v>
      </x:c>
      <x:c r="K1632" s="18" t="n">
        <x:v>26</x:v>
      </x:c>
      <x:c r="L1632" s="18" t="n">
        <x:v>292</x:v>
      </x:c>
      <x:c r="M1632" s="18" t="n">
        <x:v>26</x:v>
      </x:c>
    </x:row>
    <x:row r="1633">
      <x:c r="A1633" s="22" t="str">
        <x:v>500112044</x:v>
      </x:c>
      <x:c r="B1633" s="17" t="str">
        <x:v>信義區</x:v>
      </x:c>
      <x:c r="C1633" s="17" t="str">
        <x:v>福祥公園</x:v>
      </x:c>
      <x:c r="D1633" s="18" t="n">
        <x:v>26</x:v>
      </x:c>
      <x:c r="E1633" s="18" t="n">
        <x:v>26</x:v>
      </x:c>
      <x:c r="F1633" s="18" t="n">
        <x:v>616</x:v>
      </x:c>
      <x:c r="G1633" s="18" t="n">
        <x:v>26</x:v>
      </x:c>
      <x:c r="H1633" s="18" t="n">
        <x:v>40</x:v>
      </x:c>
      <x:c r="I1633" s="18" t="n">
        <x:v>26</x:v>
      </x:c>
      <x:c r="J1633" s="18" t="n">
        <x:v>155</x:v>
      </x:c>
      <x:c r="K1633" s="18" t="n">
        <x:v>26</x:v>
      </x:c>
      <x:c r="L1633" s="18" t="n">
        <x:v>24</x:v>
      </x:c>
      <x:c r="M1633" s="18" t="n">
        <x:v>26</x:v>
      </x:c>
    </x:row>
    <x:row r="1634">
      <x:c r="A1634" s="22" t="str">
        <x:v>500112045</x:v>
      </x:c>
      <x:c r="B1634" s="17" t="str">
        <x:v>信義區</x:v>
      </x:c>
      <x:c r="C1634" s="17" t="str">
        <x:v>吳興公車總站</x:v>
      </x:c>
      <x:c r="D1634" s="18" t="n">
        <x:v>26</x:v>
      </x:c>
      <x:c r="E1634" s="18" t="n">
        <x:v>26</x:v>
      </x:c>
      <x:c r="F1634" s="18" t="n">
        <x:v>739</x:v>
      </x:c>
      <x:c r="G1634" s="18" t="n">
        <x:v>26</x:v>
      </x:c>
      <x:c r="H1634" s="18" t="n">
        <x:v>97</x:v>
      </x:c>
      <x:c r="I1634" s="18" t="n">
        <x:v>26</x:v>
      </x:c>
      <x:c r="J1634" s="18" t="n">
        <x:v>148</x:v>
      </x:c>
      <x:c r="K1634" s="18" t="n">
        <x:v>26</x:v>
      </x:c>
      <x:c r="L1634" s="18" t="n">
        <x:v>24</x:v>
      </x:c>
      <x:c r="M1634" s="18" t="n">
        <x:v>26</x:v>
      </x:c>
    </x:row>
    <x:row r="1635">
      <x:c r="A1635" s="22" t="str">
        <x:v>500112046</x:v>
      </x:c>
      <x:c r="B1635" s="17" t="str">
        <x:v>信義區</x:v>
      </x:c>
      <x:c r="C1635" s="17" t="str">
        <x:v>泰和公園</x:v>
      </x:c>
      <x:c r="D1635" s="18" t="n">
        <x:v>26</x:v>
      </x:c>
      <x:c r="E1635" s="18" t="n">
        <x:v>26</x:v>
      </x:c>
      <x:c r="F1635" s="18" t="n">
        <x:v>1922</x:v>
      </x:c>
      <x:c r="G1635" s="18" t="n">
        <x:v>26</x:v>
      </x:c>
      <x:c r="H1635" s="18" t="n">
        <x:v>414</x:v>
      </x:c>
      <x:c r="I1635" s="18" t="n">
        <x:v>26</x:v>
      </x:c>
      <x:c r="J1635" s="18" t="n">
        <x:v>132</x:v>
      </x:c>
      <x:c r="K1635" s="18" t="n">
        <x:v>26</x:v>
      </x:c>
      <x:c r="L1635" s="18" t="n">
        <x:v>23</x:v>
      </x:c>
      <x:c r="M1635" s="18" t="n">
        <x:v>26</x:v>
      </x:c>
    </x:row>
    <x:row r="1636">
      <x:c r="A1636" s="22" t="str">
        <x:v>500112047</x:v>
      </x:c>
      <x:c r="B1636" s="17" t="str">
        <x:v>信義區</x:v>
      </x:c>
      <x:c r="C1636" s="17" t="str">
        <x:v>興雅國小(基隆路一段37巷)</x:v>
      </x:c>
      <x:c r="D1636" s="18" t="n">
        <x:v>26</x:v>
      </x:c>
      <x:c r="E1636" s="18" t="n">
        <x:v>26</x:v>
      </x:c>
      <x:c r="F1636" s="18" t="n">
        <x:v>411</x:v>
      </x:c>
      <x:c r="G1636" s="18" t="n">
        <x:v>26</x:v>
      </x:c>
      <x:c r="H1636" s="18" t="n">
        <x:v>82</x:v>
      </x:c>
      <x:c r="I1636" s="18" t="n">
        <x:v>26</x:v>
      </x:c>
      <x:c r="J1636" s="18" t="n">
        <x:v>119</x:v>
      </x:c>
      <x:c r="K1636" s="18" t="n">
        <x:v>26</x:v>
      </x:c>
      <x:c r="L1636" s="18" t="n">
        <x:v>15</x:v>
      </x:c>
      <x:c r="M1636" s="18" t="n">
        <x:v>26</x:v>
      </x:c>
    </x:row>
    <x:row r="1637">
      <x:c r="A1637" s="22" t="str">
        <x:v>500112048</x:v>
      </x:c>
      <x:c r="B1637" s="17" t="str">
        <x:v>信義區</x:v>
      </x:c>
      <x:c r="C1637" s="17" t="str">
        <x:v>雅祥公園(松信路50巷口)</x:v>
      </x:c>
      <x:c r="D1637" s="18" t="n">
        <x:v>26</x:v>
      </x:c>
      <x:c r="E1637" s="18" t="n">
        <x:v>26</x:v>
      </x:c>
      <x:c r="F1637" s="18" t="n">
        <x:v>403</x:v>
      </x:c>
      <x:c r="G1637" s="18" t="n">
        <x:v>26</x:v>
      </x:c>
      <x:c r="H1637" s="18" t="n">
        <x:v>58</x:v>
      </x:c>
      <x:c r="I1637" s="18" t="n">
        <x:v>26</x:v>
      </x:c>
      <x:c r="J1637" s="18" t="n">
        <x:v>193</x:v>
      </x:c>
      <x:c r="K1637" s="18" t="n">
        <x:v>26</x:v>
      </x:c>
      <x:c r="L1637" s="18" t="n">
        <x:v>47</x:v>
      </x:c>
      <x:c r="M1637" s="18" t="n">
        <x:v>26</x:v>
      </x:c>
    </x:row>
    <x:row r="1638">
      <x:c r="A1638" s="22" t="str">
        <x:v>500112049</x:v>
      </x:c>
      <x:c r="B1638" s="17" t="str">
        <x:v>信義區</x:v>
      </x:c>
      <x:c r="C1638" s="17" t="str">
        <x:v>松山車站</x:v>
      </x:c>
      <x:c r="D1638" s="18" t="n">
        <x:v>26</x:v>
      </x:c>
      <x:c r="E1638" s="18" t="n">
        <x:v>26</x:v>
      </x:c>
      <x:c r="F1638" s="18" t="n">
        <x:v>515</x:v>
      </x:c>
      <x:c r="G1638" s="18" t="n">
        <x:v>26</x:v>
      </x:c>
      <x:c r="H1638" s="18" t="n">
        <x:v>80</x:v>
      </x:c>
      <x:c r="I1638" s="18" t="n">
        <x:v>26</x:v>
      </x:c>
      <x:c r="J1638" s="18" t="n">
        <x:v>376</x:v>
      </x:c>
      <x:c r="K1638" s="18" t="n">
        <x:v>26</x:v>
      </x:c>
      <x:c r="L1638" s="18" t="n">
        <x:v>51</x:v>
      </x:c>
      <x:c r="M1638" s="18" t="n">
        <x:v>26</x:v>
      </x:c>
    </x:row>
    <x:row r="1639">
      <x:c r="A1639" s="22" t="str">
        <x:v>500112050</x:v>
      </x:c>
      <x:c r="B1639" s="17" t="str">
        <x:v>信義區</x:v>
      </x:c>
      <x:c r="C1639" s="17" t="str">
        <x:v>五常公園</x:v>
      </x:c>
      <x:c r="D1639" s="18" t="n">
        <x:v>26</x:v>
      </x:c>
      <x:c r="E1639" s="18" t="n">
        <x:v>26</x:v>
      </x:c>
      <x:c r="F1639" s="18" t="n">
        <x:v>690</x:v>
      </x:c>
      <x:c r="G1639" s="18" t="n">
        <x:v>26</x:v>
      </x:c>
      <x:c r="H1639" s="18" t="n">
        <x:v>116</x:v>
      </x:c>
      <x:c r="I1639" s="18" t="n">
        <x:v>26</x:v>
      </x:c>
      <x:c r="J1639" s="18" t="n">
        <x:v>131</x:v>
      </x:c>
      <x:c r="K1639" s="18" t="n">
        <x:v>26</x:v>
      </x:c>
      <x:c r="L1639" s="18" t="n">
        <x:v>34</x:v>
      </x:c>
      <x:c r="M1639" s="18" t="n">
        <x:v>26</x:v>
      </x:c>
    </x:row>
    <x:row r="1640">
      <x:c r="A1640" s="22" t="str">
        <x:v>500112051</x:v>
      </x:c>
      <x:c r="B1640" s="17" t="str">
        <x:v>信義區</x:v>
      </x:c>
      <x:c r="C1640" s="17" t="str">
        <x:v>永吉松信路口</x:v>
      </x:c>
      <x:c r="D1640" s="18" t="n">
        <x:v>26</x:v>
      </x:c>
      <x:c r="E1640" s="18" t="n">
        <x:v>26</x:v>
      </x:c>
      <x:c r="F1640" s="18" t="n">
        <x:v>1407</x:v>
      </x:c>
      <x:c r="G1640" s="18" t="n">
        <x:v>26</x:v>
      </x:c>
      <x:c r="H1640" s="18" t="n">
        <x:v>112</x:v>
      </x:c>
      <x:c r="I1640" s="18" t="n">
        <x:v>26</x:v>
      </x:c>
      <x:c r="J1640" s="18" t="n">
        <x:v>217</x:v>
      </x:c>
      <x:c r="K1640" s="18" t="n">
        <x:v>26</x:v>
      </x:c>
      <x:c r="L1640" s="18" t="n">
        <x:v>36</x:v>
      </x:c>
      <x:c r="M1640" s="18" t="n">
        <x:v>26</x:v>
      </x:c>
    </x:row>
    <x:row r="1641">
      <x:c r="A1641" s="22" t="str">
        <x:v>500112052</x:v>
      </x:c>
      <x:c r="B1641" s="17" t="str">
        <x:v>信義區</x:v>
      </x:c>
      <x:c r="C1641" s="17" t="str">
        <x:v>三興國小</x:v>
      </x:c>
      <x:c r="D1641" s="18" t="n">
        <x:v>26</x:v>
      </x:c>
      <x:c r="E1641" s="18" t="n">
        <x:v>26</x:v>
      </x:c>
      <x:c r="F1641" s="18" t="n">
        <x:v>346</x:v>
      </x:c>
      <x:c r="G1641" s="18" t="n">
        <x:v>26</x:v>
      </x:c>
      <x:c r="H1641" s="18" t="n">
        <x:v>50</x:v>
      </x:c>
      <x:c r="I1641" s="18" t="n">
        <x:v>26</x:v>
      </x:c>
      <x:c r="J1641" s="18" t="n">
        <x:v>129</x:v>
      </x:c>
      <x:c r="K1641" s="18" t="n">
        <x:v>26</x:v>
      </x:c>
      <x:c r="L1641" s="18" t="n">
        <x:v>37</x:v>
      </x:c>
      <x:c r="M1641" s="18" t="n">
        <x:v>26</x:v>
      </x:c>
    </x:row>
    <x:row r="1642">
      <x:c r="A1642" s="22" t="str">
        <x:v>500112053</x:v>
      </x:c>
      <x:c r="B1642" s="17" t="str">
        <x:v>信義區</x:v>
      </x:c>
      <x:c r="C1642" s="17" t="str">
        <x:v>市民松信路口</x:v>
      </x:c>
      <x:c r="D1642" s="18" t="n">
        <x:v>26</x:v>
      </x:c>
      <x:c r="E1642" s="18" t="n">
        <x:v>26</x:v>
      </x:c>
      <x:c r="F1642" s="18" t="n">
        <x:v>384</x:v>
      </x:c>
      <x:c r="G1642" s="18" t="n">
        <x:v>26</x:v>
      </x:c>
      <x:c r="H1642" s="18" t="n">
        <x:v>45</x:v>
      </x:c>
      <x:c r="I1642" s="18" t="n">
        <x:v>26</x:v>
      </x:c>
      <x:c r="J1642" s="18" t="n">
        <x:v>88</x:v>
      </x:c>
      <x:c r="K1642" s="18" t="n">
        <x:v>26</x:v>
      </x:c>
      <x:c r="L1642" s="18" t="n">
        <x:v>10</x:v>
      </x:c>
      <x:c r="M1642" s="18" t="n">
        <x:v>26</x:v>
      </x:c>
    </x:row>
    <x:row r="1643">
      <x:c r="A1643" s="22" t="str">
        <x:v>500112054</x:v>
      </x:c>
      <x:c r="B1643" s="17" t="str">
        <x:v>信義區</x:v>
      </x:c>
      <x:c r="C1643" s="17" t="str">
        <x:v>松山高中</x:v>
      </x:c>
      <x:c r="D1643" s="18" t="n">
        <x:v>26</x:v>
      </x:c>
      <x:c r="E1643" s="18" t="n">
        <x:v>26</x:v>
      </x:c>
      <x:c r="F1643" s="18" t="n">
        <x:v>189</x:v>
      </x:c>
      <x:c r="G1643" s="18" t="n">
        <x:v>26</x:v>
      </x:c>
      <x:c r="H1643" s="18" t="n">
        <x:v>62</x:v>
      </x:c>
      <x:c r="I1643" s="18" t="n">
        <x:v>26</x:v>
      </x:c>
      <x:c r="J1643" s="18" t="n">
        <x:v>726</x:v>
      </x:c>
      <x:c r="K1643" s="18" t="n">
        <x:v>26</x:v>
      </x:c>
      <x:c r="L1643" s="18" t="n">
        <x:v>81</x:v>
      </x:c>
      <x:c r="M1643" s="18" t="n">
        <x:v>26</x:v>
      </x:c>
    </x:row>
    <x:row r="1644">
      <x:c r="A1644" s="22" t="str">
        <x:v>500112055</x:v>
      </x:c>
      <x:c r="B1644" s="17" t="str">
        <x:v>信義區</x:v>
      </x:c>
      <x:c r="C1644" s="17" t="str">
        <x:v>基隆光復路口</x:v>
      </x:c>
      <x:c r="D1644" s="18" t="n">
        <x:v>26</x:v>
      </x:c>
      <x:c r="E1644" s="18" t="n">
        <x:v>26</x:v>
      </x:c>
      <x:c r="F1644" s="18" t="n">
        <x:v>463</x:v>
      </x:c>
      <x:c r="G1644" s="18" t="n">
        <x:v>26</x:v>
      </x:c>
      <x:c r="H1644" s="18" t="n">
        <x:v>45</x:v>
      </x:c>
      <x:c r="I1644" s="18" t="n">
        <x:v>26</x:v>
      </x:c>
      <x:c r="J1644" s="18" t="n">
        <x:v>97</x:v>
      </x:c>
      <x:c r="K1644" s="18" t="n">
        <x:v>26</x:v>
      </x:c>
      <x:c r="L1644" s="18" t="n">
        <x:v>15</x:v>
      </x:c>
      <x:c r="M1644" s="18" t="n">
        <x:v>26</x:v>
      </x:c>
    </x:row>
    <x:row r="1645">
      <x:c r="A1645" s="22" t="str">
        <x:v>500112056</x:v>
      </x:c>
      <x:c r="B1645" s="17" t="str">
        <x:v>信義區</x:v>
      </x:c>
      <x:c r="C1645" s="17" t="str">
        <x:v>基隆忠孝路口西南側</x:v>
      </x:c>
      <x:c r="D1645" s="18" t="n">
        <x:v>26</x:v>
      </x:c>
      <x:c r="E1645" s="18" t="n">
        <x:v>26</x:v>
      </x:c>
      <x:c r="F1645" s="18" t="n">
        <x:v>166</x:v>
      </x:c>
      <x:c r="G1645" s="18" t="n">
        <x:v>26</x:v>
      </x:c>
      <x:c r="H1645" s="18" t="n">
        <x:v>40</x:v>
      </x:c>
      <x:c r="I1645" s="18" t="n">
        <x:v>26</x:v>
      </x:c>
      <x:c r="J1645" s="18" t="n">
        <x:v>387</x:v>
      </x:c>
      <x:c r="K1645" s="18" t="n">
        <x:v>26</x:v>
      </x:c>
      <x:c r="L1645" s="18" t="n">
        <x:v>120</x:v>
      </x:c>
      <x:c r="M1645" s="18" t="n">
        <x:v>26</x:v>
      </x:c>
    </x:row>
    <x:row r="1646">
      <x:c r="A1646" s="22" t="str">
        <x:v>500112057</x:v>
      </x:c>
      <x:c r="B1646" s="17" t="str">
        <x:v>信義區</x:v>
      </x:c>
      <x:c r="C1646" s="17" t="str">
        <x:v>泰和里民活動中心</x:v>
      </x:c>
      <x:c r="D1646" s="18" t="n">
        <x:v>26</x:v>
      </x:c>
      <x:c r="E1646" s="18" t="n">
        <x:v>26</x:v>
      </x:c>
      <x:c r="F1646" s="18" t="n">
        <x:v>1115</x:v>
      </x:c>
      <x:c r="G1646" s="18" t="n">
        <x:v>26</x:v>
      </x:c>
      <x:c r="H1646" s="18" t="n">
        <x:v>139</x:v>
      </x:c>
      <x:c r="I1646" s="18" t="n">
        <x:v>26</x:v>
      </x:c>
      <x:c r="J1646" s="18" t="n">
        <x:v>117</x:v>
      </x:c>
      <x:c r="K1646" s="18" t="n">
        <x:v>26</x:v>
      </x:c>
      <x:c r="L1646" s="18" t="n">
        <x:v>37</x:v>
      </x:c>
      <x:c r="M1646" s="18" t="n">
        <x:v>26</x:v>
      </x:c>
    </x:row>
    <x:row r="1647">
      <x:c r="A1647" s="22" t="str">
        <x:v>500112058</x:v>
      </x:c>
      <x:c r="B1647" s="17" t="str">
        <x:v>信義區</x:v>
      </x:c>
      <x:c r="C1647" s="17" t="str">
        <x:v>捷運後山埤站(2號出口)</x:v>
      </x:c>
      <x:c r="D1647" s="18" t="n">
        <x:v>26</x:v>
      </x:c>
      <x:c r="E1647" s="18" t="n">
        <x:v>26</x:v>
      </x:c>
      <x:c r="F1647" s="18" t="n">
        <x:v>254</x:v>
      </x:c>
      <x:c r="G1647" s="18" t="n">
        <x:v>26</x:v>
      </x:c>
      <x:c r="H1647" s="18" t="n">
        <x:v>29</x:v>
      </x:c>
      <x:c r="I1647" s="18" t="n">
        <x:v>26</x:v>
      </x:c>
      <x:c r="J1647" s="18" t="n">
        <x:v>324</x:v>
      </x:c>
      <x:c r="K1647" s="18" t="n">
        <x:v>26</x:v>
      </x:c>
      <x:c r="L1647" s="18" t="n">
        <x:v>66</x:v>
      </x:c>
      <x:c r="M1647" s="18" t="n">
        <x:v>26</x:v>
      </x:c>
    </x:row>
    <x:row r="1648">
      <x:c r="A1648" s="22" t="str">
        <x:v>500112059</x:v>
      </x:c>
      <x:c r="B1648" s="17" t="str">
        <x:v>信義區</x:v>
      </x:c>
      <x:c r="C1648" s="17" t="str">
        <x:v>虎林永吉路口</x:v>
      </x:c>
      <x:c r="D1648" s="18" t="n">
        <x:v>26</x:v>
      </x:c>
      <x:c r="E1648" s="18" t="n">
        <x:v>26</x:v>
      </x:c>
      <x:c r="F1648" s="18" t="n">
        <x:v>750</x:v>
      </x:c>
      <x:c r="G1648" s="18" t="n">
        <x:v>26</x:v>
      </x:c>
      <x:c r="H1648" s="18" t="n">
        <x:v>44</x:v>
      </x:c>
      <x:c r="I1648" s="18" t="n">
        <x:v>26</x:v>
      </x:c>
      <x:c r="J1648" s="18" t="n">
        <x:v>145</x:v>
      </x:c>
      <x:c r="K1648" s="18" t="n">
        <x:v>26</x:v>
      </x:c>
      <x:c r="L1648" s="18" t="n">
        <x:v>37</x:v>
      </x:c>
      <x:c r="M1648" s="18" t="n">
        <x:v>26</x:v>
      </x:c>
    </x:row>
    <x:row r="1649">
      <x:c r="A1649" s="22" t="str">
        <x:v>500112060</x:v>
      </x:c>
      <x:c r="B1649" s="17" t="str">
        <x:v>信義區</x:v>
      </x:c>
      <x:c r="C1649" s="17" t="str">
        <x:v>永吉公園</x:v>
      </x:c>
      <x:c r="D1649" s="18" t="n">
        <x:v>26</x:v>
      </x:c>
      <x:c r="E1649" s="18" t="n">
        <x:v>26</x:v>
      </x:c>
      <x:c r="F1649" s="18" t="n">
        <x:v>1134</x:v>
      </x:c>
      <x:c r="G1649" s="18" t="n">
        <x:v>26</x:v>
      </x:c>
      <x:c r="H1649" s="18" t="n">
        <x:v>78</x:v>
      </x:c>
      <x:c r="I1649" s="18" t="n">
        <x:v>26</x:v>
      </x:c>
      <x:c r="J1649" s="18" t="n">
        <x:v>171</x:v>
      </x:c>
      <x:c r="K1649" s="18" t="n">
        <x:v>26</x:v>
      </x:c>
      <x:c r="L1649" s="18" t="n">
        <x:v>29</x:v>
      </x:c>
      <x:c r="M1649" s="18" t="n">
        <x:v>26</x:v>
      </x:c>
    </x:row>
    <x:row r="1650">
      <x:c r="A1650" s="22" t="str">
        <x:v>500112061</x:v>
      </x:c>
      <x:c r="B1650" s="17" t="str">
        <x:v>信義區</x:v>
      </x:c>
      <x:c r="C1650" s="17" t="str">
        <x:v>永吉路321巷口</x:v>
      </x:c>
      <x:c r="D1650" s="18" t="n">
        <x:v>26</x:v>
      </x:c>
      <x:c r="E1650" s="18" t="n">
        <x:v>26</x:v>
      </x:c>
      <x:c r="F1650" s="18" t="n">
        <x:v>683</x:v>
      </x:c>
      <x:c r="G1650" s="18" t="n">
        <x:v>26</x:v>
      </x:c>
      <x:c r="H1650" s="18" t="n">
        <x:v>52</x:v>
      </x:c>
      <x:c r="I1650" s="18" t="n">
        <x:v>26</x:v>
      </x:c>
      <x:c r="J1650" s="18" t="n">
        <x:v>91</x:v>
      </x:c>
      <x:c r="K1650" s="18" t="n">
        <x:v>26</x:v>
      </x:c>
      <x:c r="L1650" s="18" t="n">
        <x:v>37</x:v>
      </x:c>
      <x:c r="M1650" s="18" t="n">
        <x:v>26</x:v>
      </x:c>
    </x:row>
    <x:row r="1651">
      <x:c r="A1651" s="22" t="str">
        <x:v>500112062</x:v>
      </x:c>
      <x:c r="B1651" s="17" t="str">
        <x:v>信義區</x:v>
      </x:c>
      <x:c r="C1651" s="17" t="str">
        <x:v>松山永吉路口</x:v>
      </x:c>
      <x:c r="D1651" s="18" t="n">
        <x:v>26</x:v>
      </x:c>
      <x:c r="E1651" s="18" t="n">
        <x:v>26</x:v>
      </x:c>
      <x:c r="F1651" s="18" t="n">
        <x:v>205</x:v>
      </x:c>
      <x:c r="G1651" s="18" t="n">
        <x:v>26</x:v>
      </x:c>
      <x:c r="H1651" s="18" t="n">
        <x:v>35</x:v>
      </x:c>
      <x:c r="I1651" s="18" t="n">
        <x:v>26</x:v>
      </x:c>
      <x:c r="J1651" s="18" t="n">
        <x:v>193</x:v>
      </x:c>
      <x:c r="K1651" s="18" t="n">
        <x:v>26</x:v>
      </x:c>
      <x:c r="L1651" s="18" t="n">
        <x:v>45</x:v>
      </x:c>
      <x:c r="M1651" s="18" t="n">
        <x:v>26</x:v>
      </x:c>
    </x:row>
    <x:row r="1652">
      <x:c r="A1652" s="22" t="str">
        <x:v>500112063</x:v>
      </x:c>
      <x:c r="B1652" s="17" t="str">
        <x:v>信義區</x:v>
      </x:c>
      <x:c r="C1652" s="17" t="str">
        <x:v>松山路292巷口</x:v>
      </x:c>
      <x:c r="D1652" s="18" t="n">
        <x:v>26</x:v>
      </x:c>
      <x:c r="E1652" s="18" t="n">
        <x:v>26</x:v>
      </x:c>
      <x:c r="F1652" s="18" t="n">
        <x:v>328</x:v>
      </x:c>
      <x:c r="G1652" s="18" t="n">
        <x:v>26</x:v>
      </x:c>
      <x:c r="H1652" s="18" t="n">
        <x:v>67</x:v>
      </x:c>
      <x:c r="I1652" s="18" t="n">
        <x:v>26</x:v>
      </x:c>
      <x:c r="J1652" s="18" t="n">
        <x:v>201</x:v>
      </x:c>
      <x:c r="K1652" s="18" t="n">
        <x:v>26</x:v>
      </x:c>
      <x:c r="L1652" s="18" t="n">
        <x:v>32</x:v>
      </x:c>
      <x:c r="M1652" s="18" t="n">
        <x:v>26</x:v>
      </x:c>
    </x:row>
    <x:row r="1653">
      <x:c r="A1653" s="22" t="str">
        <x:v>500112064</x:v>
      </x:c>
      <x:c r="B1653" s="17" t="str">
        <x:v>信義區</x:v>
      </x:c>
      <x:c r="C1653" s="17" t="str">
        <x:v>捷運象山站(3號出口)</x:v>
      </x:c>
      <x:c r="D1653" s="18" t="n">
        <x:v>26</x:v>
      </x:c>
      <x:c r="E1653" s="18" t="n">
        <x:v>26</x:v>
      </x:c>
      <x:c r="F1653" s="18" t="n">
        <x:v>961</x:v>
      </x:c>
      <x:c r="G1653" s="18" t="n">
        <x:v>26</x:v>
      </x:c>
      <x:c r="H1653" s="18" t="n">
        <x:v>161</x:v>
      </x:c>
      <x:c r="I1653" s="18" t="n">
        <x:v>26</x:v>
      </x:c>
      <x:c r="J1653" s="18" t="n">
        <x:v>336</x:v>
      </x:c>
      <x:c r="K1653" s="18" t="n">
        <x:v>26</x:v>
      </x:c>
      <x:c r="L1653" s="18" t="n">
        <x:v>203</x:v>
      </x:c>
      <x:c r="M1653" s="18" t="n">
        <x:v>26</x:v>
      </x:c>
    </x:row>
    <x:row r="1654">
      <x:c r="A1654" s="22" t="str">
        <x:v>500112065</x:v>
      </x:c>
      <x:c r="B1654" s="17" t="str">
        <x:v>信義區</x:v>
      </x:c>
      <x:c r="C1654" s="17" t="str">
        <x:v>松德公園</x:v>
      </x:c>
      <x:c r="D1654" s="18" t="n">
        <x:v>26</x:v>
      </x:c>
      <x:c r="E1654" s="18" t="n">
        <x:v>26</x:v>
      </x:c>
      <x:c r="F1654" s="18" t="n">
        <x:v>162</x:v>
      </x:c>
      <x:c r="G1654" s="18" t="n">
        <x:v>26</x:v>
      </x:c>
      <x:c r="H1654" s="18" t="n">
        <x:v>24</x:v>
      </x:c>
      <x:c r="I1654" s="18" t="n">
        <x:v>26</x:v>
      </x:c>
      <x:c r="J1654" s="18" t="n">
        <x:v>631</x:v>
      </x:c>
      <x:c r="K1654" s="18" t="n">
        <x:v>26</x:v>
      </x:c>
      <x:c r="L1654" s="18" t="n">
        <x:v>82</x:v>
      </x:c>
      <x:c r="M1654" s="18" t="n">
        <x:v>26</x:v>
      </x:c>
    </x:row>
    <x:row r="1655">
      <x:c r="A1655" s="22" t="str">
        <x:v>500112066</x:v>
      </x:c>
      <x:c r="B1655" s="17" t="str">
        <x:v>信義區</x:v>
      </x:c>
      <x:c r="C1655" s="17" t="str">
        <x:v>世貿三館</x:v>
      </x:c>
      <x:c r="D1655" s="18" t="n">
        <x:v>26</x:v>
      </x:c>
      <x:c r="E1655" s="18" t="n">
        <x:v>26</x:v>
      </x:c>
      <x:c r="F1655" s="18" t="n">
        <x:v>131</x:v>
      </x:c>
      <x:c r="G1655" s="18" t="n">
        <x:v>26</x:v>
      </x:c>
      <x:c r="H1655" s="18" t="n">
        <x:v>39</x:v>
      </x:c>
      <x:c r="I1655" s="18" t="n">
        <x:v>26</x:v>
      </x:c>
      <x:c r="J1655" s="18" t="n">
        <x:v>1202</x:v>
      </x:c>
      <x:c r="K1655" s="18" t="n">
        <x:v>26</x:v>
      </x:c>
      <x:c r="L1655" s="18" t="n">
        <x:v>147</x:v>
      </x:c>
      <x:c r="M1655" s="18" t="n">
        <x:v>26</x:v>
      </x:c>
    </x:row>
    <x:row r="1656">
      <x:c r="A1656" s="22" t="str">
        <x:v>500112067</x:v>
      </x:c>
      <x:c r="B1656" s="17" t="str">
        <x:v>信義區</x:v>
      </x:c>
      <x:c r="C1656" s="17" t="str">
        <x:v>松德虎林街口</x:v>
      </x:c>
      <x:c r="D1656" s="18" t="n">
        <x:v>26</x:v>
      </x:c>
      <x:c r="E1656" s="18" t="n">
        <x:v>26</x:v>
      </x:c>
      <x:c r="F1656" s="18" t="n">
        <x:v>752</x:v>
      </x:c>
      <x:c r="G1656" s="18" t="n">
        <x:v>26</x:v>
      </x:c>
      <x:c r="H1656" s="18" t="n">
        <x:v>51</x:v>
      </x:c>
      <x:c r="I1656" s="18" t="n">
        <x:v>26</x:v>
      </x:c>
      <x:c r="J1656" s="18" t="n">
        <x:v>254</x:v>
      </x:c>
      <x:c r="K1656" s="18" t="n">
        <x:v>26</x:v>
      </x:c>
      <x:c r="L1656" s="18" t="n">
        <x:v>58</x:v>
      </x:c>
      <x:c r="M1656" s="18" t="n">
        <x:v>26</x:v>
      </x:c>
    </x:row>
    <x:row r="1657">
      <x:c r="A1657" s="22" t="str">
        <x:v>500112068</x:v>
      </x:c>
      <x:c r="B1657" s="17" t="str">
        <x:v>信義區</x:v>
      </x:c>
      <x:c r="C1657" s="17" t="str">
        <x:v>富台公園</x:v>
      </x:c>
      <x:c r="D1657" s="18" t="n">
        <x:v>26</x:v>
      </x:c>
      <x:c r="E1657" s="18" t="n">
        <x:v>26</x:v>
      </x:c>
      <x:c r="F1657" s="18" t="n">
        <x:v>465</x:v>
      </x:c>
      <x:c r="G1657" s="18" t="n">
        <x:v>26</x:v>
      </x:c>
      <x:c r="H1657" s="18" t="n">
        <x:v>126</x:v>
      </x:c>
      <x:c r="I1657" s="18" t="n">
        <x:v>26</x:v>
      </x:c>
      <x:c r="J1657" s="18" t="n">
        <x:v>274</x:v>
      </x:c>
      <x:c r="K1657" s="18" t="n">
        <x:v>26</x:v>
      </x:c>
      <x:c r="L1657" s="18" t="n">
        <x:v>40</x:v>
      </x:c>
      <x:c r="M1657" s="18" t="n">
        <x:v>26</x:v>
      </x:c>
    </x:row>
    <x:row r="1658">
      <x:c r="A1658" s="22" t="str">
        <x:v>500112069</x:v>
      </x:c>
      <x:c r="B1658" s="17" t="str">
        <x:v>信義區</x:v>
      </x:c>
      <x:c r="C1658" s="17" t="str">
        <x:v>基隆路一段101巷口</x:v>
      </x:c>
      <x:c r="D1658" s="18" t="n">
        <x:v>26</x:v>
      </x:c>
      <x:c r="E1658" s="18" t="n">
        <x:v>26</x:v>
      </x:c>
      <x:c r="F1658" s="18" t="n">
        <x:v>318</x:v>
      </x:c>
      <x:c r="G1658" s="18" t="n">
        <x:v>26</x:v>
      </x:c>
      <x:c r="H1658" s="18" t="n">
        <x:v>81</x:v>
      </x:c>
      <x:c r="I1658" s="18" t="n">
        <x:v>26</x:v>
      </x:c>
      <x:c r="J1658" s="18" t="n">
        <x:v>369</x:v>
      </x:c>
      <x:c r="K1658" s="18" t="n">
        <x:v>26</x:v>
      </x:c>
      <x:c r="L1658" s="18" t="n">
        <x:v>63</x:v>
      </x:c>
      <x:c r="M1658" s="18" t="n">
        <x:v>26</x:v>
      </x:c>
    </x:row>
    <x:row r="1659">
      <x:c r="A1659" s="22" t="str">
        <x:v>500112070</x:v>
      </x:c>
      <x:c r="B1659" s="17" t="str">
        <x:v>信義區</x:v>
      </x:c>
      <x:c r="C1659" s="17" t="str">
        <x:v>捷運永春站(2號出口)</x:v>
      </x:c>
      <x:c r="D1659" s="18" t="n">
        <x:v>26</x:v>
      </x:c>
      <x:c r="E1659" s="18" t="n">
        <x:v>26</x:v>
      </x:c>
      <x:c r="F1659" s="18" t="n">
        <x:v>295</x:v>
      </x:c>
      <x:c r="G1659" s="18" t="n">
        <x:v>26</x:v>
      </x:c>
      <x:c r="H1659" s="18" t="n">
        <x:v>34</x:v>
      </x:c>
      <x:c r="I1659" s="18" t="n">
        <x:v>26</x:v>
      </x:c>
      <x:c r="J1659" s="18" t="n">
        <x:v>379</x:v>
      </x:c>
      <x:c r="K1659" s="18" t="n">
        <x:v>26</x:v>
      </x:c>
      <x:c r="L1659" s="18" t="n">
        <x:v>53</x:v>
      </x:c>
      <x:c r="M1659" s="18" t="n">
        <x:v>26</x:v>
      </x:c>
    </x:row>
    <x:row r="1660">
      <x:c r="A1660" s="22" t="str">
        <x:v>500112071</x:v>
      </x:c>
      <x:c r="B1660" s="17" t="str">
        <x:v>信義區</x:v>
      </x:c>
      <x:c r="C1660" s="17" t="str">
        <x:v>吳興街260巷</x:v>
      </x:c>
      <x:c r="D1660" s="18" t="n">
        <x:v>26</x:v>
      </x:c>
      <x:c r="E1660" s="18" t="n">
        <x:v>26</x:v>
      </x:c>
      <x:c r="F1660" s="18" t="n">
        <x:v>311</x:v>
      </x:c>
      <x:c r="G1660" s="18" t="n">
        <x:v>26</x:v>
      </x:c>
      <x:c r="H1660" s="18" t="n">
        <x:v>52</x:v>
      </x:c>
      <x:c r="I1660" s="18" t="n">
        <x:v>26</x:v>
      </x:c>
      <x:c r="J1660" s="18" t="n">
        <x:v>287</x:v>
      </x:c>
      <x:c r="K1660" s="18" t="n">
        <x:v>26</x:v>
      </x:c>
      <x:c r="L1660" s="18" t="n">
        <x:v>53</x:v>
      </x:c>
      <x:c r="M1660" s="18" t="n">
        <x:v>26</x:v>
      </x:c>
    </x:row>
    <x:row r="1661">
      <x:c r="A1661" s="22" t="str">
        <x:v>500112072</x:v>
      </x:c>
      <x:c r="B1661" s="17" t="str">
        <x:v>信義區</x:v>
      </x:c>
      <x:c r="C1661" s="17" t="str">
        <x:v>松山家商(林口街)</x:v>
      </x:c>
      <x:c r="D1661" s="18" t="n">
        <x:v>26</x:v>
      </x:c>
      <x:c r="E1661" s="18" t="n">
        <x:v>26</x:v>
      </x:c>
      <x:c r="F1661" s="18" t="n">
        <x:v>278</x:v>
      </x:c>
      <x:c r="G1661" s="18" t="n">
        <x:v>26</x:v>
      </x:c>
      <x:c r="H1661" s="18" t="n">
        <x:v>92</x:v>
      </x:c>
      <x:c r="I1661" s="18" t="n">
        <x:v>26</x:v>
      </x:c>
      <x:c r="J1661" s="18" t="n">
        <x:v>379</x:v>
      </x:c>
      <x:c r="K1661" s="18" t="n">
        <x:v>26</x:v>
      </x:c>
      <x:c r="L1661" s="18" t="n">
        <x:v>71</x:v>
      </x:c>
      <x:c r="M1661" s="18" t="n">
        <x:v>26</x:v>
      </x:c>
    </x:row>
    <x:row r="1662">
      <x:c r="A1662" s="22" t="str">
        <x:v>500112073</x:v>
      </x:c>
      <x:c r="B1662" s="17" t="str">
        <x:v>信義區</x:v>
      </x:c>
      <x:c r="C1662" s="17" t="str">
        <x:v>仁愛逸仙路口</x:v>
      </x:c>
      <x:c r="D1662" s="18" t="n">
        <x:v>26</x:v>
      </x:c>
      <x:c r="E1662" s="18" t="n">
        <x:v>26</x:v>
      </x:c>
      <x:c r="F1662" s="18" t="n">
        <x:v>419</x:v>
      </x:c>
      <x:c r="G1662" s="18" t="n">
        <x:v>26</x:v>
      </x:c>
      <x:c r="H1662" s="18" t="n">
        <x:v>84</x:v>
      </x:c>
      <x:c r="I1662" s="18" t="n">
        <x:v>26</x:v>
      </x:c>
      <x:c r="J1662" s="18" t="n">
        <x:v>378</x:v>
      </x:c>
      <x:c r="K1662" s="18" t="n">
        <x:v>26</x:v>
      </x:c>
      <x:c r="L1662" s="18" t="n">
        <x:v>43</x:v>
      </x:c>
      <x:c r="M1662" s="18" t="n">
        <x:v>26</x:v>
      </x:c>
    </x:row>
    <x:row r="1663">
      <x:c r="A1663" s="22" t="str">
        <x:v>500112074</x:v>
      </x:c>
      <x:c r="B1663" s="17" t="str">
        <x:v>信義區</x:v>
      </x:c>
      <x:c r="C1663" s="17" t="str">
        <x:v>安強公園</x:v>
      </x:c>
      <x:c r="D1663" s="18" t="n">
        <x:v>26</x:v>
      </x:c>
      <x:c r="E1663" s="18" t="n">
        <x:v>26</x:v>
      </x:c>
      <x:c r="F1663" s="18" t="n">
        <x:v>0</x:v>
      </x:c>
      <x:c r="G1663" s="18" t="n">
        <x:v>26</x:v>
      </x:c>
      <x:c r="H1663" s="18" t="n">
        <x:v>0</x:v>
      </x:c>
      <x:c r="I1663" s="18" t="n">
        <x:v>26</x:v>
      </x:c>
      <x:c r="J1663" s="18" t="n">
        <x:v>0</x:v>
      </x:c>
      <x:c r="K1663" s="18" t="n">
        <x:v>26</x:v>
      </x:c>
      <x:c r="L1663" s="18" t="n">
        <x:v>0</x:v>
      </x:c>
      <x:c r="M1663" s="18" t="n">
        <x:v>26</x:v>
      </x:c>
    </x:row>
    <x:row r="1664">
      <x:c r="A1664" s="22" t="str">
        <x:v>500112075</x:v>
      </x:c>
      <x:c r="B1664" s="17" t="str">
        <x:v>信義區</x:v>
      </x:c>
      <x:c r="C1664" s="17" t="str">
        <x:v>信義基隆路口</x:v>
      </x:c>
      <x:c r="D1664" s="18" t="n">
        <x:v>26</x:v>
      </x:c>
      <x:c r="E1664" s="18" t="n">
        <x:v>26</x:v>
      </x:c>
      <x:c r="F1664" s="18" t="n">
        <x:v>84</x:v>
      </x:c>
      <x:c r="G1664" s="18" t="n">
        <x:v>26</x:v>
      </x:c>
      <x:c r="H1664" s="18" t="n">
        <x:v>21</x:v>
      </x:c>
      <x:c r="I1664" s="18" t="n">
        <x:v>26</x:v>
      </x:c>
      <x:c r="J1664" s="18" t="n">
        <x:v>255</x:v>
      </x:c>
      <x:c r="K1664" s="18" t="n">
        <x:v>26</x:v>
      </x:c>
      <x:c r="L1664" s="18" t="n">
        <x:v>57</x:v>
      </x:c>
      <x:c r="M1664" s="18" t="n">
        <x:v>26</x:v>
      </x:c>
    </x:row>
    <x:row r="1665">
      <x:c r="A1665" s="22" t="str">
        <x:v>500112076</x:v>
      </x:c>
      <x:c r="B1665" s="17" t="str">
        <x:v>信義區</x:v>
      </x:c>
      <x:c r="C1665" s="17" t="str">
        <x:v>捷運台北101/世貿站(2號出口)</x:v>
      </x:c>
      <x:c r="D1665" s="18" t="n">
        <x:v>26</x:v>
      </x:c>
      <x:c r="E1665" s="18" t="n">
        <x:v>26</x:v>
      </x:c>
      <x:c r="F1665" s="18" t="n">
        <x:v>455</x:v>
      </x:c>
      <x:c r="G1665" s="18" t="n">
        <x:v>26</x:v>
      </x:c>
      <x:c r="H1665" s="18" t="n">
        <x:v>21</x:v>
      </x:c>
      <x:c r="I1665" s="18" t="n">
        <x:v>26</x:v>
      </x:c>
      <x:c r="J1665" s="18" t="n">
        <x:v>461</x:v>
      </x:c>
      <x:c r="K1665" s="18" t="n">
        <x:v>26</x:v>
      </x:c>
      <x:c r="L1665" s="18" t="n">
        <x:v>117</x:v>
      </x:c>
      <x:c r="M1665" s="18" t="n">
        <x:v>26</x:v>
      </x:c>
    </x:row>
    <x:row r="1666">
      <x:c r="A1666" s="22" t="str">
        <x:v>500112077</x:v>
      </x:c>
      <x:c r="B1666" s="17" t="str">
        <x:v>信義區</x:v>
      </x:c>
      <x:c r="C1666" s="17" t="str">
        <x:v>捷運永春站(1號出口)</x:v>
      </x:c>
      <x:c r="D1666" s="18" t="n">
        <x:v>26</x:v>
      </x:c>
      <x:c r="E1666" s="18" t="n">
        <x:v>26</x:v>
      </x:c>
      <x:c r="F1666" s="18" t="n">
        <x:v>0</x:v>
      </x:c>
      <x:c r="G1666" s="18" t="n">
        <x:v>26</x:v>
      </x:c>
      <x:c r="H1666" s="18" t="n">
        <x:v>0</x:v>
      </x:c>
      <x:c r="I1666" s="18" t="n">
        <x:v>26</x:v>
      </x:c>
      <x:c r="J1666" s="18" t="n">
        <x:v>0</x:v>
      </x:c>
      <x:c r="K1666" s="18" t="n">
        <x:v>26</x:v>
      </x:c>
      <x:c r="L1666" s="18" t="n">
        <x:v>0</x:v>
      </x:c>
      <x:c r="M1666" s="18" t="n">
        <x:v>26</x:v>
      </x:c>
    </x:row>
    <x:row r="1667">
      <x:c r="A1667" s="22" t="str">
        <x:v>500112078</x:v>
      </x:c>
      <x:c r="B1667" s="17" t="str">
        <x:v>信義區</x:v>
      </x:c>
      <x:c r="C1667" s="17" t="str">
        <x:v>吳興街284巷36弄口</x:v>
      </x:c>
      <x:c r="D1667" s="18" t="n">
        <x:v>26</x:v>
      </x:c>
      <x:c r="E1667" s="18" t="n">
        <x:v>26</x:v>
      </x:c>
      <x:c r="F1667" s="18" t="n">
        <x:v>810</x:v>
      </x:c>
      <x:c r="G1667" s="18" t="n">
        <x:v>26</x:v>
      </x:c>
      <x:c r="H1667" s="18" t="n">
        <x:v>122</x:v>
      </x:c>
      <x:c r="I1667" s="18" t="n">
        <x:v>26</x:v>
      </x:c>
      <x:c r="J1667" s="18" t="n">
        <x:v>104</x:v>
      </x:c>
      <x:c r="K1667" s="18" t="n">
        <x:v>26</x:v>
      </x:c>
      <x:c r="L1667" s="18" t="n">
        <x:v>25</x:v>
      </x:c>
      <x:c r="M1667" s="18" t="n">
        <x:v>26</x:v>
      </x:c>
    </x:row>
    <x:row r="1668">
      <x:c r="A1668" s="22" t="str">
        <x:v>500112079</x:v>
      </x:c>
      <x:c r="B1668" s="17" t="str">
        <x:v>信義區</x:v>
      </x:c>
      <x:c r="C1668" s="17" t="str">
        <x:v>協和祐德高級中學</x:v>
      </x:c>
      <x:c r="D1668" s="18" t="n">
        <x:v>26</x:v>
      </x:c>
      <x:c r="E1668" s="18" t="n">
        <x:v>26</x:v>
      </x:c>
      <x:c r="F1668" s="18" t="n">
        <x:v>304</x:v>
      </x:c>
      <x:c r="G1668" s="18" t="n">
        <x:v>26</x:v>
      </x:c>
      <x:c r="H1668" s="18" t="n">
        <x:v>25</x:v>
      </x:c>
      <x:c r="I1668" s="18" t="n">
        <x:v>26</x:v>
      </x:c>
      <x:c r="J1668" s="18" t="n">
        <x:v>155</x:v>
      </x:c>
      <x:c r="K1668" s="18" t="n">
        <x:v>26</x:v>
      </x:c>
      <x:c r="L1668" s="18" t="n">
        <x:v>31</x:v>
      </x:c>
      <x:c r="M1668" s="18" t="n">
        <x:v>26</x:v>
      </x:c>
    </x:row>
    <x:row r="1669">
      <x:c r="A1669" s="22" t="str">
        <x:v>500112080</x:v>
      </x:c>
      <x:c r="B1669" s="17" t="str">
        <x:v>信義區</x:v>
      </x:c>
      <x:c r="C1669" s="17" t="str">
        <x:v>福德國小公車站</x:v>
      </x:c>
      <x:c r="D1669" s="18" t="n">
        <x:v>26</x:v>
      </x:c>
      <x:c r="E1669" s="18" t="n">
        <x:v>26</x:v>
      </x:c>
      <x:c r="F1669" s="18" t="n">
        <x:v>470</x:v>
      </x:c>
      <x:c r="G1669" s="18" t="n">
        <x:v>26</x:v>
      </x:c>
      <x:c r="H1669" s="18" t="n">
        <x:v>82</x:v>
      </x:c>
      <x:c r="I1669" s="18" t="n">
        <x:v>26</x:v>
      </x:c>
      <x:c r="J1669" s="18" t="n">
        <x:v>115</x:v>
      </x:c>
      <x:c r="K1669" s="18" t="n">
        <x:v>26</x:v>
      </x:c>
      <x:c r="L1669" s="18" t="n">
        <x:v>32</x:v>
      </x:c>
      <x:c r="M1669" s="18" t="n">
        <x:v>26</x:v>
      </x:c>
    </x:row>
    <x:row r="1670">
      <x:c r="A1670" s="22" t="str">
        <x:v>500112081</x:v>
      </x:c>
      <x:c r="B1670" s="17" t="str">
        <x:v>信義區</x:v>
      </x:c>
      <x:c r="C1670" s="17" t="str">
        <x:v>松仁路95巷口</x:v>
      </x:c>
      <x:c r="D1670" s="18" t="n">
        <x:v>26</x:v>
      </x:c>
      <x:c r="E1670" s="18" t="n">
        <x:v>26</x:v>
      </x:c>
      <x:c r="F1670" s="18" t="n">
        <x:v>201</x:v>
      </x:c>
      <x:c r="G1670" s="18" t="n">
        <x:v>26</x:v>
      </x:c>
      <x:c r="H1670" s="18" t="n">
        <x:v>71</x:v>
      </x:c>
      <x:c r="I1670" s="18" t="n">
        <x:v>26</x:v>
      </x:c>
      <x:c r="J1670" s="18" t="n">
        <x:v>5538</x:v>
      </x:c>
      <x:c r="K1670" s="18" t="n">
        <x:v>26</x:v>
      </x:c>
      <x:c r="L1670" s="18" t="n">
        <x:v>362</x:v>
      </x:c>
      <x:c r="M1670" s="18" t="n">
        <x:v>26</x:v>
      </x:c>
    </x:row>
    <x:row r="1671">
      <x:c r="A1671" s="22" t="str">
        <x:v>500112082</x:v>
      </x:c>
      <x:c r="B1671" s="17" t="str">
        <x:v>信義區</x:v>
      </x:c>
      <x:c r="C1671" s="17" t="str">
        <x:v>臺北南山廣場_1</x:v>
      </x:c>
      <x:c r="D1671" s="18" t="n">
        <x:v>26</x:v>
      </x:c>
      <x:c r="E1671" s="18" t="n">
        <x:v>26</x:v>
      </x:c>
      <x:c r="F1671" s="18" t="n">
        <x:v>105</x:v>
      </x:c>
      <x:c r="G1671" s="18" t="n">
        <x:v>26</x:v>
      </x:c>
      <x:c r="H1671" s="18" t="n">
        <x:v>34</x:v>
      </x:c>
      <x:c r="I1671" s="18" t="n">
        <x:v>26</x:v>
      </x:c>
      <x:c r="J1671" s="18" t="n">
        <x:v>2082</x:v>
      </x:c>
      <x:c r="K1671" s="18" t="n">
        <x:v>26</x:v>
      </x:c>
      <x:c r="L1671" s="18" t="n">
        <x:v>260</x:v>
      </x:c>
      <x:c r="M1671" s="18" t="n">
        <x:v>26</x:v>
      </x:c>
    </x:row>
    <x:row r="1672">
      <x:c r="A1672" s="22" t="str">
        <x:v>500112083</x:v>
      </x:c>
      <x:c r="B1672" s="17" t="str">
        <x:v>信義區</x:v>
      </x:c>
      <x:c r="C1672" s="17" t="str">
        <x:v>景聯廣場</x:v>
      </x:c>
      <x:c r="D1672" s="18" t="n">
        <x:v>26</x:v>
      </x:c>
      <x:c r="E1672" s="18" t="n">
        <x:v>26</x:v>
      </x:c>
      <x:c r="F1672" s="18" t="n">
        <x:v>227</x:v>
      </x:c>
      <x:c r="G1672" s="18" t="n">
        <x:v>26</x:v>
      </x:c>
      <x:c r="H1672" s="18" t="n">
        <x:v>41</x:v>
      </x:c>
      <x:c r="I1672" s="18" t="n">
        <x:v>26</x:v>
      </x:c>
      <x:c r="J1672" s="18" t="n">
        <x:v>126</x:v>
      </x:c>
      <x:c r="K1672" s="18" t="n">
        <x:v>26</x:v>
      </x:c>
      <x:c r="L1672" s="18" t="n">
        <x:v>25</x:v>
      </x:c>
      <x:c r="M1672" s="18" t="n">
        <x:v>26</x:v>
      </x:c>
    </x:row>
    <x:row r="1673">
      <x:c r="A1673" s="22" t="str">
        <x:v>500112084</x:v>
      </x:c>
      <x:c r="B1673" s="17" t="str">
        <x:v>信義區</x:v>
      </x:c>
      <x:c r="C1673" s="17" t="str">
        <x:v>景平公園</x:v>
      </x:c>
      <x:c r="D1673" s="18" t="n">
        <x:v>26</x:v>
      </x:c>
      <x:c r="E1673" s="18" t="n">
        <x:v>26</x:v>
      </x:c>
      <x:c r="F1673" s="18" t="n">
        <x:v>356</x:v>
      </x:c>
      <x:c r="G1673" s="18" t="n">
        <x:v>26</x:v>
      </x:c>
      <x:c r="H1673" s="18" t="n">
        <x:v>42</x:v>
      </x:c>
      <x:c r="I1673" s="18" t="n">
        <x:v>26</x:v>
      </x:c>
      <x:c r="J1673" s="18" t="n">
        <x:v>88</x:v>
      </x:c>
      <x:c r="K1673" s="18" t="n">
        <x:v>26</x:v>
      </x:c>
      <x:c r="L1673" s="18" t="n">
        <x:v>19</x:v>
      </x:c>
      <x:c r="M1673" s="18" t="n">
        <x:v>26</x:v>
      </x:c>
    </x:row>
    <x:row r="1674">
      <x:c r="A1674" s="22" t="str">
        <x:v>500112085</x:v>
      </x:c>
      <x:c r="B1674" s="17" t="str">
        <x:v>信義區</x:v>
      </x:c>
      <x:c r="C1674" s="17" t="str">
        <x:v>捷運市政府站(3號出口)</x:v>
      </x:c>
      <x:c r="D1674" s="18" t="n">
        <x:v>26</x:v>
      </x:c>
      <x:c r="E1674" s="18" t="n">
        <x:v>26</x:v>
      </x:c>
      <x:c r="F1674" s="18" t="n">
        <x:v>858</x:v>
      </x:c>
      <x:c r="G1674" s="18" t="n">
        <x:v>26</x:v>
      </x:c>
      <x:c r="H1674" s="18" t="n">
        <x:v>137</x:v>
      </x:c>
      <x:c r="I1674" s="18" t="n">
        <x:v>26</x:v>
      </x:c>
      <x:c r="J1674" s="18" t="n">
        <x:v>1069</x:v>
      </x:c>
      <x:c r="K1674" s="18" t="n">
        <x:v>26</x:v>
      </x:c>
      <x:c r="L1674" s="18" t="n">
        <x:v>213</x:v>
      </x:c>
      <x:c r="M1674" s="18" t="n">
        <x:v>26</x:v>
      </x:c>
    </x:row>
    <x:row r="1675">
      <x:c r="A1675" s="22" t="str">
        <x:v>500112086</x:v>
      </x:c>
      <x:c r="B1675" s="17" t="str">
        <x:v>信義區</x:v>
      </x:c>
      <x:c r="C1675" s="17" t="str">
        <x:v>五分埔公園</x:v>
      </x:c>
      <x:c r="D1675" s="18" t="n">
        <x:v>26</x:v>
      </x:c>
      <x:c r="E1675" s="18" t="n">
        <x:v>26</x:v>
      </x:c>
      <x:c r="F1675" s="18" t="n">
        <x:v>253</x:v>
      </x:c>
      <x:c r="G1675" s="18" t="n">
        <x:v>26</x:v>
      </x:c>
      <x:c r="H1675" s="18" t="n">
        <x:v>33</x:v>
      </x:c>
      <x:c r="I1675" s="18" t="n">
        <x:v>26</x:v>
      </x:c>
      <x:c r="J1675" s="18" t="n">
        <x:v>186</x:v>
      </x:c>
      <x:c r="K1675" s="18" t="n">
        <x:v>26</x:v>
      </x:c>
      <x:c r="L1675" s="18" t="n">
        <x:v>45</x:v>
      </x:c>
      <x:c r="M1675" s="18" t="n">
        <x:v>26</x:v>
      </x:c>
    </x:row>
    <x:row r="1676">
      <x:c r="A1676" s="22" t="str">
        <x:v>500112087</x:v>
      </x:c>
      <x:c r="B1676" s="17" t="str">
        <x:v>信義區</x:v>
      </x:c>
      <x:c r="C1676" s="17" t="str">
        <x:v>松仁路305號</x:v>
      </x:c>
      <x:c r="D1676" s="18" t="n">
        <x:v>26</x:v>
      </x:c>
      <x:c r="E1676" s="18" t="n">
        <x:v>26</x:v>
      </x:c>
      <x:c r="F1676" s="18" t="n">
        <x:v>606</x:v>
      </x:c>
      <x:c r="G1676" s="18" t="n">
        <x:v>26</x:v>
      </x:c>
      <x:c r="H1676" s="18" t="n">
        <x:v>108</x:v>
      </x:c>
      <x:c r="I1676" s="18" t="n">
        <x:v>26</x:v>
      </x:c>
      <x:c r="J1676" s="18" t="n">
        <x:v>138</x:v>
      </x:c>
      <x:c r="K1676" s="18" t="n">
        <x:v>26</x:v>
      </x:c>
      <x:c r="L1676" s="18" t="n">
        <x:v>30</x:v>
      </x:c>
      <x:c r="M1676" s="18" t="n">
        <x:v>26</x:v>
      </x:c>
    </x:row>
    <x:row r="1677">
      <x:c r="A1677" s="22" t="str">
        <x:v>500112088</x:v>
      </x:c>
      <x:c r="B1677" s="17" t="str">
        <x:v>信義區</x:v>
      </x:c>
      <x:c r="C1677" s="17" t="str">
        <x:v>吳興街394巷口</x:v>
      </x:c>
      <x:c r="D1677" s="18" t="n">
        <x:v>26</x:v>
      </x:c>
      <x:c r="E1677" s="18" t="n">
        <x:v>26</x:v>
      </x:c>
      <x:c r="F1677" s="18" t="n">
        <x:v>499</x:v>
      </x:c>
      <x:c r="G1677" s="18" t="n">
        <x:v>26</x:v>
      </x:c>
      <x:c r="H1677" s="18" t="n">
        <x:v>68</x:v>
      </x:c>
      <x:c r="I1677" s="18" t="n">
        <x:v>26</x:v>
      </x:c>
      <x:c r="J1677" s="18" t="n">
        <x:v>87</x:v>
      </x:c>
      <x:c r="K1677" s="18" t="n">
        <x:v>26</x:v>
      </x:c>
      <x:c r="L1677" s="18" t="n">
        <x:v>28</x:v>
      </x:c>
      <x:c r="M1677" s="18" t="n">
        <x:v>26</x:v>
      </x:c>
    </x:row>
    <x:row r="1678">
      <x:c r="A1678" s="22" t="str">
        <x:v>500112089</x:v>
      </x:c>
      <x:c r="B1678" s="17" t="str">
        <x:v>信義區</x:v>
      </x:c>
      <x:c r="C1678" s="17" t="str">
        <x:v>富生公園</x:v>
      </x:c>
      <x:c r="D1678" s="18" t="n">
        <x:v>26</x:v>
      </x:c>
      <x:c r="E1678" s="18" t="n">
        <x:v>26</x:v>
      </x:c>
      <x:c r="F1678" s="18" t="n">
        <x:v>152</x:v>
      </x:c>
      <x:c r="G1678" s="18" t="n">
        <x:v>26</x:v>
      </x:c>
      <x:c r="H1678" s="18" t="n">
        <x:v>19</x:v>
      </x:c>
      <x:c r="I1678" s="18" t="n">
        <x:v>26</x:v>
      </x:c>
      <x:c r="J1678" s="18" t="n">
        <x:v>212</x:v>
      </x:c>
      <x:c r="K1678" s="18" t="n">
        <x:v>26</x:v>
      </x:c>
      <x:c r="L1678" s="18" t="n">
        <x:v>59</x:v>
      </x:c>
      <x:c r="M1678" s="18" t="n">
        <x:v>26</x:v>
      </x:c>
    </x:row>
    <x:row r="1679">
      <x:c r="A1679" s="22" t="str">
        <x:v>500112090</x:v>
      </x:c>
      <x:c r="B1679" s="17" t="str">
        <x:v>信義區</x:v>
      </x:c>
      <x:c r="C1679" s="17" t="str">
        <x:v>松勤莊敬路口</x:v>
      </x:c>
      <x:c r="D1679" s="18" t="n">
        <x:v>26</x:v>
      </x:c>
      <x:c r="E1679" s="18" t="n">
        <x:v>26</x:v>
      </x:c>
      <x:c r="F1679" s="18" t="n">
        <x:v>141</x:v>
      </x:c>
      <x:c r="G1679" s="18" t="n">
        <x:v>26</x:v>
      </x:c>
      <x:c r="H1679" s="18" t="n">
        <x:v>24</x:v>
      </x:c>
      <x:c r="I1679" s="18" t="n">
        <x:v>26</x:v>
      </x:c>
      <x:c r="J1679" s="18" t="n">
        <x:v>115</x:v>
      </x:c>
      <x:c r="K1679" s="18" t="n">
        <x:v>26</x:v>
      </x:c>
      <x:c r="L1679" s="18" t="n">
        <x:v>21</x:v>
      </x:c>
      <x:c r="M1679" s="18" t="n">
        <x:v>26</x:v>
      </x:c>
    </x:row>
    <x:row r="1680">
      <x:c r="A1680" s="22" t="str">
        <x:v>500112091</x:v>
      </x:c>
      <x:c r="B1680" s="17" t="str">
        <x:v>信義區</x:v>
      </x:c>
      <x:c r="C1680" s="17" t="str">
        <x:v>松仁松平路口</x:v>
      </x:c>
      <x:c r="D1680" s="18" t="n">
        <x:v>26</x:v>
      </x:c>
      <x:c r="E1680" s="18" t="n">
        <x:v>26</x:v>
      </x:c>
      <x:c r="F1680" s="18" t="n">
        <x:v>104</x:v>
      </x:c>
      <x:c r="G1680" s="18" t="n">
        <x:v>26</x:v>
      </x:c>
      <x:c r="H1680" s="18" t="n">
        <x:v>7</x:v>
      </x:c>
      <x:c r="I1680" s="18" t="n">
        <x:v>26</x:v>
      </x:c>
      <x:c r="J1680" s="18" t="n">
        <x:v>115</x:v>
      </x:c>
      <x:c r="K1680" s="18" t="n">
        <x:v>26</x:v>
      </x:c>
      <x:c r="L1680" s="18" t="n">
        <x:v>17</x:v>
      </x:c>
      <x:c r="M1680" s="18" t="n">
        <x:v>26</x:v>
      </x:c>
    </x:row>
    <x:row r="1681">
      <x:c r="A1681" s="22" t="str">
        <x:v>500112092</x:v>
      </x:c>
      <x:c r="B1681" s="17" t="str">
        <x:v>信義區</x:v>
      </x:c>
      <x:c r="C1681" s="17" t="str">
        <x:v>信義松德路口</x:v>
      </x:c>
      <x:c r="D1681" s="18" t="n">
        <x:v>26</x:v>
      </x:c>
      <x:c r="E1681" s="18" t="n">
        <x:v>26</x:v>
      </x:c>
      <x:c r="F1681" s="18" t="n">
        <x:v>267</x:v>
      </x:c>
      <x:c r="G1681" s="18" t="n">
        <x:v>26</x:v>
      </x:c>
      <x:c r="H1681" s="18" t="n">
        <x:v>41</x:v>
      </x:c>
      <x:c r="I1681" s="18" t="n">
        <x:v>26</x:v>
      </x:c>
      <x:c r="J1681" s="18" t="n">
        <x:v>112</x:v>
      </x:c>
      <x:c r="K1681" s="18" t="n">
        <x:v>26</x:v>
      </x:c>
      <x:c r="L1681" s="18" t="n">
        <x:v>13</x:v>
      </x:c>
      <x:c r="M1681" s="18" t="n">
        <x:v>26</x:v>
      </x:c>
    </x:row>
    <x:row r="1682">
      <x:c r="A1682" s="22" t="str">
        <x:v>500112093</x:v>
      </x:c>
      <x:c r="B1682" s="17" t="str">
        <x:v>信義區</x:v>
      </x:c>
      <x:c r="C1682" s="17" t="str">
        <x:v>捷運市政府站(4號出口)</x:v>
      </x:c>
      <x:c r="D1682" s="18" t="n">
        <x:v>26</x:v>
      </x:c>
      <x:c r="E1682" s="18" t="n">
        <x:v>26</x:v>
      </x:c>
      <x:c r="F1682" s="18" t="n">
        <x:v>143</x:v>
      </x:c>
      <x:c r="G1682" s="18" t="n">
        <x:v>26</x:v>
      </x:c>
      <x:c r="H1682" s="18" t="n">
        <x:v>32</x:v>
      </x:c>
      <x:c r="I1682" s="18" t="n">
        <x:v>26</x:v>
      </x:c>
      <x:c r="J1682" s="18" t="n">
        <x:v>228</x:v>
      </x:c>
      <x:c r="K1682" s="18" t="n">
        <x:v>26</x:v>
      </x:c>
      <x:c r="L1682" s="18" t="n">
        <x:v>62</x:v>
      </x:c>
      <x:c r="M1682" s="18" t="n">
        <x:v>26</x:v>
      </x:c>
    </x:row>
    <x:row r="1683">
      <x:c r="A1683" s="22" t="str">
        <x:v>500112094</x:v>
      </x:c>
      <x:c r="B1683" s="17" t="str">
        <x:v>信義區</x:v>
      </x:c>
      <x:c r="C1683" s="17" t="str">
        <x:v>吳興街284巷(廣安宮)</x:v>
      </x:c>
      <x:c r="D1683" s="18" t="n">
        <x:v>26</x:v>
      </x:c>
      <x:c r="E1683" s="18" t="n">
        <x:v>26</x:v>
      </x:c>
      <x:c r="F1683" s="18" t="n">
        <x:v>483</x:v>
      </x:c>
      <x:c r="G1683" s="18" t="n">
        <x:v>26</x:v>
      </x:c>
      <x:c r="H1683" s="18" t="n">
        <x:v>51</x:v>
      </x:c>
      <x:c r="I1683" s="18" t="n">
        <x:v>26</x:v>
      </x:c>
      <x:c r="J1683" s="18" t="n">
        <x:v>102</x:v>
      </x:c>
      <x:c r="K1683" s="18" t="n">
        <x:v>26</x:v>
      </x:c>
      <x:c r="L1683" s="18" t="n">
        <x:v>14</x:v>
      </x:c>
      <x:c r="M1683" s="18" t="n">
        <x:v>26</x:v>
      </x:c>
    </x:row>
    <x:row r="1684">
      <x:c r="A1684" s="22" t="str">
        <x:v>500112095</x:v>
      </x:c>
      <x:c r="B1684" s="17" t="str">
        <x:v>信義區</x:v>
      </x:c>
      <x:c r="C1684" s="17" t="str">
        <x:v>景勤二號公園(西南側)</x:v>
      </x:c>
      <x:c r="D1684" s="18" t="n">
        <x:v>26</x:v>
      </x:c>
      <x:c r="E1684" s="18" t="n">
        <x:v>26</x:v>
      </x:c>
      <x:c r="F1684" s="18" t="n">
        <x:v>379</x:v>
      </x:c>
      <x:c r="G1684" s="18" t="n">
        <x:v>26</x:v>
      </x:c>
      <x:c r="H1684" s="18" t="n">
        <x:v>81</x:v>
      </x:c>
      <x:c r="I1684" s="18" t="n">
        <x:v>26</x:v>
      </x:c>
      <x:c r="J1684" s="18" t="n">
        <x:v>98</x:v>
      </x:c>
      <x:c r="K1684" s="18" t="n">
        <x:v>26</x:v>
      </x:c>
      <x:c r="L1684" s="18" t="n">
        <x:v>12</x:v>
      </x:c>
      <x:c r="M1684" s="18" t="n">
        <x:v>26</x:v>
      </x:c>
    </x:row>
    <x:row r="1685">
      <x:c r="A1685" s="22" t="str">
        <x:v>500112096</x:v>
      </x:c>
      <x:c r="B1685" s="17" t="str">
        <x:v>信義區</x:v>
      </x:c>
      <x:c r="C1685" s="17" t="str">
        <x:v>克勤新村</x:v>
      </x:c>
      <x:c r="D1685" s="18" t="n">
        <x:v>26</x:v>
      </x:c>
      <x:c r="E1685" s="18" t="n">
        <x:v>26</x:v>
      </x:c>
      <x:c r="F1685" s="18" t="n">
        <x:v>331</x:v>
      </x:c>
      <x:c r="G1685" s="18" t="n">
        <x:v>26</x:v>
      </x:c>
      <x:c r="H1685" s="18" t="n">
        <x:v>57</x:v>
      </x:c>
      <x:c r="I1685" s="18" t="n">
        <x:v>26</x:v>
      </x:c>
      <x:c r="J1685" s="18" t="n">
        <x:v>557</x:v>
      </x:c>
      <x:c r="K1685" s="18" t="n">
        <x:v>26</x:v>
      </x:c>
      <x:c r="L1685" s="18" t="n">
        <x:v>80</x:v>
      </x:c>
      <x:c r="M1685" s="18" t="n">
        <x:v>26</x:v>
      </x:c>
    </x:row>
    <x:row r="1686">
      <x:c r="A1686" s="22" t="str">
        <x:v>500112097</x:v>
      </x:c>
      <x:c r="B1686" s="17" t="str">
        <x:v>信義區</x:v>
      </x:c>
      <x:c r="C1686" s="17" t="str">
        <x:v>和平東路三段291號</x:v>
      </x:c>
      <x:c r="D1686" s="18" t="n">
        <x:v>26</x:v>
      </x:c>
      <x:c r="E1686" s="18" t="n">
        <x:v>26</x:v>
      </x:c>
      <x:c r="F1686" s="18" t="n">
        <x:v>543</x:v>
      </x:c>
      <x:c r="G1686" s="18" t="n">
        <x:v>26</x:v>
      </x:c>
      <x:c r="H1686" s="18" t="n">
        <x:v>43</x:v>
      </x:c>
      <x:c r="I1686" s="18" t="n">
        <x:v>26</x:v>
      </x:c>
      <x:c r="J1686" s="18" t="n">
        <x:v>79</x:v>
      </x:c>
      <x:c r="K1686" s="18" t="n">
        <x:v>26</x:v>
      </x:c>
      <x:c r="L1686" s="18" t="n">
        <x:v>17</x:v>
      </x:c>
      <x:c r="M1686" s="18" t="n">
        <x:v>26</x:v>
      </x:c>
    </x:row>
    <x:row r="1687">
      <x:c r="A1687" s="22" t="str">
        <x:v>500112098</x:v>
      </x:c>
      <x:c r="B1687" s="17" t="str">
        <x:v>信義區</x:v>
      </x:c>
      <x:c r="C1687" s="17" t="str">
        <x:v>永吉路468巷口</x:v>
      </x:c>
      <x:c r="D1687" s="18" t="n">
        <x:v>26</x:v>
      </x:c>
      <x:c r="E1687" s="18" t="n">
        <x:v>26</x:v>
      </x:c>
      <x:c r="F1687" s="18" t="n">
        <x:v>190</x:v>
      </x:c>
      <x:c r="G1687" s="18" t="n">
        <x:v>26</x:v>
      </x:c>
      <x:c r="H1687" s="18" t="n">
        <x:v>32</x:v>
      </x:c>
      <x:c r="I1687" s="18" t="n">
        <x:v>26</x:v>
      </x:c>
      <x:c r="J1687" s="18" t="n">
        <x:v>146</x:v>
      </x:c>
      <x:c r="K1687" s="18" t="n">
        <x:v>26</x:v>
      </x:c>
      <x:c r="L1687" s="18" t="n">
        <x:v>35</x:v>
      </x:c>
      <x:c r="M1687" s="18" t="n">
        <x:v>26</x:v>
      </x:c>
    </x:row>
    <x:row r="1688">
      <x:c r="A1688" s="22" t="str">
        <x:v>500112099</x:v>
      </x:c>
      <x:c r="B1688" s="17" t="str">
        <x:v>信義區</x:v>
      </x:c>
      <x:c r="C1688" s="17" t="str">
        <x:v>廣慈博愛園區(西側)</x:v>
      </x:c>
      <x:c r="D1688" s="18" t="n">
        <x:v>26</x:v>
      </x:c>
      <x:c r="E1688" s="18" t="n">
        <x:v>26</x:v>
      </x:c>
      <x:c r="F1688" s="18" t="n">
        <x:v>860</x:v>
      </x:c>
      <x:c r="G1688" s="18" t="n">
        <x:v>26</x:v>
      </x:c>
      <x:c r="H1688" s="18" t="n">
        <x:v>75</x:v>
      </x:c>
      <x:c r="I1688" s="18" t="n">
        <x:v>26</x:v>
      </x:c>
      <x:c r="J1688" s="18" t="n">
        <x:v>206</x:v>
      </x:c>
      <x:c r="K1688" s="18" t="n">
        <x:v>26</x:v>
      </x:c>
      <x:c r="L1688" s="18" t="n">
        <x:v>23</x:v>
      </x:c>
      <x:c r="M1688" s="18" t="n">
        <x:v>26</x:v>
      </x:c>
    </x:row>
    <x:row r="1689">
      <x:c r="A1689" s="22" t="str">
        <x:v>500112100</x:v>
      </x:c>
      <x:c r="B1689" s="17" t="str">
        <x:v>信義區</x:v>
      </x:c>
      <x:c r="C1689" s="17" t="str">
        <x:v>和平東路三段341巷口</x:v>
      </x:c>
      <x:c r="D1689" s="18" t="n">
        <x:v>26</x:v>
      </x:c>
      <x:c r="E1689" s="18" t="n">
        <x:v>26</x:v>
      </x:c>
      <x:c r="F1689" s="18" t="n">
        <x:v>727</x:v>
      </x:c>
      <x:c r="G1689" s="18" t="n">
        <x:v>26</x:v>
      </x:c>
      <x:c r="H1689" s="18" t="n">
        <x:v>120</x:v>
      </x:c>
      <x:c r="I1689" s="18" t="n">
        <x:v>26</x:v>
      </x:c>
      <x:c r="J1689" s="18" t="n">
        <x:v>122</x:v>
      </x:c>
      <x:c r="K1689" s="18" t="n">
        <x:v>26</x:v>
      </x:c>
      <x:c r="L1689" s="18" t="n">
        <x:v>32</x:v>
      </x:c>
      <x:c r="M1689" s="18" t="n">
        <x:v>26</x:v>
      </x:c>
    </x:row>
    <x:row r="1690">
      <x:c r="A1690" s="22" t="str">
        <x:v>500112101</x:v>
      </x:c>
      <x:c r="B1690" s="17" t="str">
        <x:v>信義區</x:v>
      </x:c>
      <x:c r="C1690" s="17" t="str">
        <x:v>革新公園</x:v>
      </x:c>
      <x:c r="D1690" s="18" t="n">
        <x:v>26</x:v>
      </x:c>
      <x:c r="E1690" s="18" t="n">
        <x:v>26</x:v>
      </x:c>
      <x:c r="F1690" s="18" t="n">
        <x:v>160</x:v>
      </x:c>
      <x:c r="G1690" s="18" t="n">
        <x:v>26</x:v>
      </x:c>
      <x:c r="H1690" s="18" t="n">
        <x:v>43</x:v>
      </x:c>
      <x:c r="I1690" s="18" t="n">
        <x:v>26</x:v>
      </x:c>
      <x:c r="J1690" s="18" t="n">
        <x:v>193</x:v>
      </x:c>
      <x:c r="K1690" s="18" t="n">
        <x:v>26</x:v>
      </x:c>
      <x:c r="L1690" s="18" t="n">
        <x:v>42</x:v>
      </x:c>
      <x:c r="M1690" s="18" t="n">
        <x:v>26</x:v>
      </x:c>
    </x:row>
    <x:row r="1691">
      <x:c r="A1691" s="22" t="str">
        <x:v>500112102</x:v>
      </x:c>
      <x:c r="B1691" s="17" t="str">
        <x:v>信義區</x:v>
      </x:c>
      <x:c r="C1691" s="17" t="str">
        <x:v>黎雙公園</x:v>
      </x:c>
      <x:c r="D1691" s="18" t="n">
        <x:v>26</x:v>
      </x:c>
      <x:c r="E1691" s="18" t="n">
        <x:v>26</x:v>
      </x:c>
      <x:c r="F1691" s="18" t="n">
        <x:v>545</x:v>
      </x:c>
      <x:c r="G1691" s="18" t="n">
        <x:v>26</x:v>
      </x:c>
      <x:c r="H1691" s="18" t="n">
        <x:v>81</x:v>
      </x:c>
      <x:c r="I1691" s="18" t="n">
        <x:v>26</x:v>
      </x:c>
      <x:c r="J1691" s="18" t="n">
        <x:v>106</x:v>
      </x:c>
      <x:c r="K1691" s="18" t="n">
        <x:v>26</x:v>
      </x:c>
      <x:c r="L1691" s="18" t="n">
        <x:v>16</x:v>
      </x:c>
      <x:c r="M1691" s="18" t="n">
        <x:v>26</x:v>
      </x:c>
    </x:row>
    <x:row r="1692">
      <x:c r="A1692" s="22" t="str">
        <x:v>500112103</x:v>
      </x:c>
      <x:c r="B1692" s="17" t="str">
        <x:v>信義區</x:v>
      </x:c>
      <x:c r="C1692" s="17" t="str">
        <x:v>臺北文化體育園區辦公大樓</x:v>
      </x:c>
      <x:c r="D1692" s="18" t="n">
        <x:v>26</x:v>
      </x:c>
      <x:c r="E1692" s="18" t="n">
        <x:v>26</x:v>
      </x:c>
      <x:c r="F1692" s="18" t="n">
        <x:v>123</x:v>
      </x:c>
      <x:c r="G1692" s="18" t="n">
        <x:v>26</x:v>
      </x:c>
      <x:c r="H1692" s="18" t="n">
        <x:v>19</x:v>
      </x:c>
      <x:c r="I1692" s="18" t="n">
        <x:v>26</x:v>
      </x:c>
      <x:c r="J1692" s="18" t="n">
        <x:v>512</x:v>
      </x:c>
      <x:c r="K1692" s="18" t="n">
        <x:v>26</x:v>
      </x:c>
      <x:c r="L1692" s="18" t="n">
        <x:v>90</x:v>
      </x:c>
      <x:c r="M1692" s="18" t="n">
        <x:v>26</x:v>
      </x:c>
    </x:row>
    <x:row r="1693">
      <x:c r="A1693" s="22" t="str">
        <x:v>500112104</x:v>
      </x:c>
      <x:c r="B1693" s="17" t="str">
        <x:v>信義區</x:v>
      </x:c>
      <x:c r="C1693" s="17" t="str">
        <x:v>捷運國父紀念館站(5號出口)</x:v>
      </x:c>
      <x:c r="D1693" s="18" t="n">
        <x:v>26</x:v>
      </x:c>
      <x:c r="E1693" s="18" t="n">
        <x:v>26</x:v>
      </x:c>
      <x:c r="F1693" s="18" t="n">
        <x:v>330</x:v>
      </x:c>
      <x:c r="G1693" s="18" t="n">
        <x:v>26</x:v>
      </x:c>
      <x:c r="H1693" s="18" t="n">
        <x:v>49</x:v>
      </x:c>
      <x:c r="I1693" s="18" t="n">
        <x:v>26</x:v>
      </x:c>
      <x:c r="J1693" s="18" t="n">
        <x:v>284</x:v>
      </x:c>
      <x:c r="K1693" s="18" t="n">
        <x:v>26</x:v>
      </x:c>
      <x:c r="L1693" s="18" t="n">
        <x:v>73</x:v>
      </x:c>
      <x:c r="M1693" s="18" t="n">
        <x:v>26</x:v>
      </x:c>
    </x:row>
    <x:row r="1694">
      <x:c r="A1694" s="22" t="str">
        <x:v>500112105</x:v>
      </x:c>
      <x:c r="B1694" s="17" t="str">
        <x:v>信義區</x:v>
      </x:c>
      <x:c r="C1694" s="17" t="str">
        <x:v>光復南菸廠路口</x:v>
      </x:c>
      <x:c r="D1694" s="18" t="n">
        <x:v>26</x:v>
      </x:c>
      <x:c r="E1694" s="18" t="n">
        <x:v>26</x:v>
      </x:c>
      <x:c r="F1694" s="18" t="n">
        <x:v>343</x:v>
      </x:c>
      <x:c r="G1694" s="18" t="n">
        <x:v>26</x:v>
      </x:c>
      <x:c r="H1694" s="18" t="n">
        <x:v>47</x:v>
      </x:c>
      <x:c r="I1694" s="18" t="n">
        <x:v>26</x:v>
      </x:c>
      <x:c r="J1694" s="18" t="n">
        <x:v>321</x:v>
      </x:c>
      <x:c r="K1694" s="18" t="n">
        <x:v>26</x:v>
      </x:c>
      <x:c r="L1694" s="18" t="n">
        <x:v>117</x:v>
      </x:c>
      <x:c r="M1694" s="18" t="n">
        <x:v>26</x:v>
      </x:c>
    </x:row>
    <x:row r="1695">
      <x:c r="A1695" s="22" t="str">
        <x:v>500112106</x:v>
      </x:c>
      <x:c r="B1695" s="17" t="str">
        <x:v>信義區</x:v>
      </x:c>
      <x:c r="C1695" s="17" t="str">
        <x:v>中坡北永吉路口</x:v>
      </x:c>
      <x:c r="D1695" s="18" t="n">
        <x:v>26</x:v>
      </x:c>
      <x:c r="E1695" s="18" t="n">
        <x:v>26</x:v>
      </x:c>
      <x:c r="F1695" s="18" t="n">
        <x:v>148</x:v>
      </x:c>
      <x:c r="G1695" s="18" t="n">
        <x:v>26</x:v>
      </x:c>
      <x:c r="H1695" s="18" t="n">
        <x:v>30</x:v>
      </x:c>
      <x:c r="I1695" s="18" t="n">
        <x:v>26</x:v>
      </x:c>
      <x:c r="J1695" s="18" t="n">
        <x:v>142</x:v>
      </x:c>
      <x:c r="K1695" s="18" t="n">
        <x:v>26</x:v>
      </x:c>
      <x:c r="L1695" s="18" t="n">
        <x:v>33</x:v>
      </x:c>
      <x:c r="M1695" s="18" t="n">
        <x:v>26</x:v>
      </x:c>
    </x:row>
    <x:row r="1696">
      <x:c r="A1696" s="22" t="str">
        <x:v>500112107</x:v>
      </x:c>
      <x:c r="B1696" s="17" t="str">
        <x:v>信義區</x:v>
      </x:c>
      <x:c r="C1696" s="17" t="str">
        <x:v>松仁路281巷66弄</x:v>
      </x:c>
      <x:c r="D1696" s="18" t="n">
        <x:v>26</x:v>
      </x:c>
      <x:c r="E1696" s="18" t="n">
        <x:v>26</x:v>
      </x:c>
      <x:c r="F1696" s="18" t="n">
        <x:v>795</x:v>
      </x:c>
      <x:c r="G1696" s="18" t="n">
        <x:v>26</x:v>
      </x:c>
      <x:c r="H1696" s="18" t="n">
        <x:v>89</x:v>
      </x:c>
      <x:c r="I1696" s="18" t="n">
        <x:v>26</x:v>
      </x:c>
      <x:c r="J1696" s="18" t="n">
        <x:v>135</x:v>
      </x:c>
      <x:c r="K1696" s="18" t="n">
        <x:v>26</x:v>
      </x:c>
      <x:c r="L1696" s="18" t="n">
        <x:v>17</x:v>
      </x:c>
      <x:c r="M1696" s="18" t="n">
        <x:v>26</x:v>
      </x:c>
    </x:row>
    <x:row r="1697">
      <x:c r="A1697" s="22" t="str">
        <x:v>500112108</x:v>
      </x:c>
      <x:c r="B1697" s="17" t="str">
        <x:v>信義區</x:v>
      </x:c>
      <x:c r="C1697" s="17" t="str">
        <x:v>基隆市民路口</x:v>
      </x:c>
      <x:c r="D1697" s="18" t="n">
        <x:v>26</x:v>
      </x:c>
      <x:c r="E1697" s="18" t="n">
        <x:v>26</x:v>
      </x:c>
      <x:c r="F1697" s="18" t="n">
        <x:v>254</x:v>
      </x:c>
      <x:c r="G1697" s="18" t="n">
        <x:v>26</x:v>
      </x:c>
      <x:c r="H1697" s="18" t="n">
        <x:v>25</x:v>
      </x:c>
      <x:c r="I1697" s="18" t="n">
        <x:v>26</x:v>
      </x:c>
      <x:c r="J1697" s="18" t="n">
        <x:v>152</x:v>
      </x:c>
      <x:c r="K1697" s="18" t="n">
        <x:v>26</x:v>
      </x:c>
      <x:c r="L1697" s="18" t="n">
        <x:v>9</x:v>
      </x:c>
      <x:c r="M1697" s="18" t="n">
        <x:v>26</x:v>
      </x:c>
    </x:row>
    <x:row r="1698">
      <x:c r="A1698" s="22" t="str">
        <x:v>500112109</x:v>
      </x:c>
      <x:c r="B1698" s="17" t="str">
        <x:v>信義區</x:v>
      </x:c>
      <x:c r="C1698" s="17" t="str">
        <x:v>松仁路253巷4弄口</x:v>
      </x:c>
      <x:c r="D1698" s="18" t="n">
        <x:v>26</x:v>
      </x:c>
      <x:c r="E1698" s="18" t="n">
        <x:v>26</x:v>
      </x:c>
      <x:c r="F1698" s="18" t="n">
        <x:v>714</x:v>
      </x:c>
      <x:c r="G1698" s="18" t="n">
        <x:v>26</x:v>
      </x:c>
      <x:c r="H1698" s="18" t="n">
        <x:v>106</x:v>
      </x:c>
      <x:c r="I1698" s="18" t="n">
        <x:v>26</x:v>
      </x:c>
      <x:c r="J1698" s="18" t="n">
        <x:v>122</x:v>
      </x:c>
      <x:c r="K1698" s="18" t="n">
        <x:v>26</x:v>
      </x:c>
      <x:c r="L1698" s="18" t="n">
        <x:v>27</x:v>
      </x:c>
      <x:c r="M1698" s="18" t="n">
        <x:v>26</x:v>
      </x:c>
    </x:row>
    <x:row r="1699">
      <x:c r="A1699" s="22" t="str">
        <x:v>500112110</x:v>
      </x:c>
      <x:c r="B1699" s="17" t="str">
        <x:v>信義區</x:v>
      </x:c>
      <x:c r="C1699" s="17" t="str">
        <x:v>松德路169巷口</x:v>
      </x:c>
      <x:c r="D1699" s="18" t="n">
        <x:v>26</x:v>
      </x:c>
      <x:c r="E1699" s="18" t="n">
        <x:v>26</x:v>
      </x:c>
      <x:c r="F1699" s="18" t="n">
        <x:v>399</x:v>
      </x:c>
      <x:c r="G1699" s="18" t="n">
        <x:v>26</x:v>
      </x:c>
      <x:c r="H1699" s="18" t="n">
        <x:v>92</x:v>
      </x:c>
      <x:c r="I1699" s="18" t="n">
        <x:v>26</x:v>
      </x:c>
      <x:c r="J1699" s="18" t="n">
        <x:v>322</x:v>
      </x:c>
      <x:c r="K1699" s="18" t="n">
        <x:v>26</x:v>
      </x:c>
      <x:c r="L1699" s="18" t="n">
        <x:v>57</x:v>
      </x:c>
      <x:c r="M1699" s="18" t="n">
        <x:v>26</x:v>
      </x:c>
    </x:row>
    <x:row r="1700">
      <x:c r="A1700" s="22" t="str">
        <x:v>500112111</x:v>
      </x:c>
      <x:c r="B1700" s="17" t="str">
        <x:v>信義區</x:v>
      </x:c>
      <x:c r="C1700" s="17" t="str">
        <x:v>吳興新村</x:v>
      </x:c>
      <x:c r="D1700" s="18" t="n">
        <x:v>26</x:v>
      </x:c>
      <x:c r="E1700" s="18" t="n">
        <x:v>26</x:v>
      </x:c>
      <x:c r="F1700" s="18" t="n">
        <x:v>285</x:v>
      </x:c>
      <x:c r="G1700" s="18" t="n">
        <x:v>26</x:v>
      </x:c>
      <x:c r="H1700" s="18" t="n">
        <x:v>24</x:v>
      </x:c>
      <x:c r="I1700" s="18" t="n">
        <x:v>26</x:v>
      </x:c>
      <x:c r="J1700" s="18" t="n">
        <x:v>85</x:v>
      </x:c>
      <x:c r="K1700" s="18" t="n">
        <x:v>26</x:v>
      </x:c>
      <x:c r="L1700" s="18" t="n">
        <x:v>18</x:v>
      </x:c>
      <x:c r="M1700" s="18" t="n">
        <x:v>26</x:v>
      </x:c>
    </x:row>
    <x:row r="1701">
      <x:c r="A1701" s="22" t="str">
        <x:v>500112112</x:v>
      </x:c>
      <x:c r="B1701" s="17" t="str">
        <x:v>信義區</x:v>
      </x:c>
      <x:c r="C1701" s="17" t="str">
        <x:v>松山文創園區(一號倉庫)</x:v>
      </x:c>
      <x:c r="D1701" s="18" t="n">
        <x:v>26</x:v>
      </x:c>
      <x:c r="E1701" s="18" t="n">
        <x:v>26</x:v>
      </x:c>
      <x:c r="F1701" s="18" t="n">
        <x:v>122</x:v>
      </x:c>
      <x:c r="G1701" s="18" t="n">
        <x:v>26</x:v>
      </x:c>
      <x:c r="H1701" s="18" t="n">
        <x:v>12</x:v>
      </x:c>
      <x:c r="I1701" s="18" t="n">
        <x:v>26</x:v>
      </x:c>
      <x:c r="J1701" s="18" t="n">
        <x:v>454</x:v>
      </x:c>
      <x:c r="K1701" s="18" t="n">
        <x:v>26</x:v>
      </x:c>
      <x:c r="L1701" s="18" t="n">
        <x:v>61</x:v>
      </x:c>
      <x:c r="M1701" s="18" t="n">
        <x:v>26</x:v>
      </x:c>
    </x:row>
    <x:row r="1702">
      <x:c r="A1702" s="22" t="str">
        <x:v>500112113</x:v>
      </x:c>
      <x:c r="B1702" s="17" t="str">
        <x:v>信義區</x:v>
      </x:c>
      <x:c r="C1702" s="17" t="str">
        <x:v>永吉路187巷口</x:v>
      </x:c>
      <x:c r="D1702" s="18" t="n">
        <x:v>26</x:v>
      </x:c>
      <x:c r="E1702" s="18" t="n">
        <x:v>26</x:v>
      </x:c>
      <x:c r="F1702" s="18" t="n">
        <x:v>613</x:v>
      </x:c>
      <x:c r="G1702" s="18" t="n">
        <x:v>26</x:v>
      </x:c>
      <x:c r="H1702" s="18" t="n">
        <x:v>54</x:v>
      </x:c>
      <x:c r="I1702" s="18" t="n">
        <x:v>26</x:v>
      </x:c>
      <x:c r="J1702" s="18" t="n">
        <x:v>119</x:v>
      </x:c>
      <x:c r="K1702" s="18" t="n">
        <x:v>26</x:v>
      </x:c>
      <x:c r="L1702" s="18" t="n">
        <x:v>17</x:v>
      </x:c>
      <x:c r="M1702" s="18" t="n">
        <x:v>26</x:v>
      </x:c>
    </x:row>
    <x:row r="1703">
      <x:c r="A1703" s="22" t="str">
        <x:v>500112114</x:v>
      </x:c>
      <x:c r="B1703" s="17" t="str">
        <x:v>信義區</x:v>
      </x:c>
      <x:c r="C1703" s="17" t="str">
        <x:v>仁愛路四段512巷</x:v>
      </x:c>
      <x:c r="D1703" s="18" t="n">
        <x:v>26</x:v>
      </x:c>
      <x:c r="E1703" s="18" t="n">
        <x:v>26</x:v>
      </x:c>
      <x:c r="F1703" s="18" t="n">
        <x:v>216</x:v>
      </x:c>
      <x:c r="G1703" s="18" t="n">
        <x:v>26</x:v>
      </x:c>
      <x:c r="H1703" s="18" t="n">
        <x:v>45</x:v>
      </x:c>
      <x:c r="I1703" s="18" t="n">
        <x:v>26</x:v>
      </x:c>
      <x:c r="J1703" s="18" t="n">
        <x:v>91</x:v>
      </x:c>
      <x:c r="K1703" s="18" t="n">
        <x:v>26</x:v>
      </x:c>
      <x:c r="L1703" s="18" t="n">
        <x:v>19</x:v>
      </x:c>
      <x:c r="M1703" s="18" t="n">
        <x:v>26</x:v>
      </x:c>
    </x:row>
    <x:row r="1704">
      <x:c r="A1704" s="22" t="str">
        <x:v>500112115</x:v>
      </x:c>
      <x:c r="B1704" s="17" t="str">
        <x:v>信義區</x:v>
      </x:c>
      <x:c r="C1704" s="17" t="str">
        <x:v>信安街/富陽街44巷口</x:v>
      </x:c>
      <x:c r="D1704" s="18" t="n">
        <x:v>26</x:v>
      </x:c>
      <x:c r="E1704" s="18" t="n">
        <x:v>26</x:v>
      </x:c>
      <x:c r="F1704" s="18" t="n">
        <x:v>569</x:v>
      </x:c>
      <x:c r="G1704" s="18" t="n">
        <x:v>26</x:v>
      </x:c>
      <x:c r="H1704" s="18" t="n">
        <x:v>95</x:v>
      </x:c>
      <x:c r="I1704" s="18" t="n">
        <x:v>26</x:v>
      </x:c>
      <x:c r="J1704" s="18" t="n">
        <x:v>107</x:v>
      </x:c>
      <x:c r="K1704" s="18" t="n">
        <x:v>26</x:v>
      </x:c>
      <x:c r="L1704" s="18" t="n">
        <x:v>13</x:v>
      </x:c>
      <x:c r="M1704" s="18" t="n">
        <x:v>26</x:v>
      </x:c>
    </x:row>
    <x:row r="1705">
      <x:c r="A1705" s="22" t="str">
        <x:v>500112116</x:v>
      </x:c>
      <x:c r="B1705" s="17" t="str">
        <x:v>信義區</x:v>
      </x:c>
      <x:c r="C1705" s="17" t="str">
        <x:v>吳興公園</x:v>
      </x:c>
      <x:c r="D1705" s="18" t="n">
        <x:v>26</x:v>
      </x:c>
      <x:c r="E1705" s="18" t="n">
        <x:v>26</x:v>
      </x:c>
      <x:c r="F1705" s="18" t="n">
        <x:v>699</x:v>
      </x:c>
      <x:c r="G1705" s="18" t="n">
        <x:v>26</x:v>
      </x:c>
      <x:c r="H1705" s="18" t="n">
        <x:v>86</x:v>
      </x:c>
      <x:c r="I1705" s="18" t="n">
        <x:v>26</x:v>
      </x:c>
      <x:c r="J1705" s="18" t="n">
        <x:v>95</x:v>
      </x:c>
      <x:c r="K1705" s="18" t="n">
        <x:v>26</x:v>
      </x:c>
      <x:c r="L1705" s="18" t="n">
        <x:v>21</x:v>
      </x:c>
      <x:c r="M1705" s="18" t="n">
        <x:v>26</x:v>
      </x:c>
    </x:row>
    <x:row r="1706">
      <x:c r="A1706" s="22" t="str">
        <x:v>500112117</x:v>
      </x:c>
      <x:c r="B1706" s="17" t="str">
        <x:v>信義區</x:v>
      </x:c>
      <x:c r="C1706" s="17" t="str">
        <x:v>逸仙松高路口</x:v>
      </x:c>
      <x:c r="D1706" s="18" t="n">
        <x:v>26</x:v>
      </x:c>
      <x:c r="E1706" s="18" t="n">
        <x:v>26</x:v>
      </x:c>
      <x:c r="F1706" s="18" t="n">
        <x:v>237</x:v>
      </x:c>
      <x:c r="G1706" s="18" t="n">
        <x:v>26</x:v>
      </x:c>
      <x:c r="H1706" s="18" t="n">
        <x:v>46</x:v>
      </x:c>
      <x:c r="I1706" s="18" t="n">
        <x:v>26</x:v>
      </x:c>
      <x:c r="J1706" s="18" t="n">
        <x:v>377</x:v>
      </x:c>
      <x:c r="K1706" s="18" t="n">
        <x:v>26</x:v>
      </x:c>
      <x:c r="L1706" s="18" t="n">
        <x:v>50</x:v>
      </x:c>
      <x:c r="M1706" s="18" t="n">
        <x:v>26</x:v>
      </x:c>
    </x:row>
    <x:row r="1707">
      <x:c r="A1707" s="22" t="str">
        <x:v>500112118</x:v>
      </x:c>
      <x:c r="B1707" s="17" t="str">
        <x:v>信義區</x:v>
      </x:c>
      <x:c r="C1707" s="17" t="str">
        <x:v>光復仁愛路口</x:v>
      </x:c>
      <x:c r="D1707" s="18" t="n">
        <x:v>26</x:v>
      </x:c>
      <x:c r="E1707" s="18" t="n">
        <x:v>26</x:v>
      </x:c>
      <x:c r="F1707" s="18" t="n">
        <x:v>240</x:v>
      </x:c>
      <x:c r="G1707" s="18" t="n">
        <x:v>26</x:v>
      </x:c>
      <x:c r="H1707" s="18" t="n">
        <x:v>32</x:v>
      </x:c>
      <x:c r="I1707" s="18" t="n">
        <x:v>26</x:v>
      </x:c>
      <x:c r="J1707" s="18" t="n">
        <x:v>169</x:v>
      </x:c>
      <x:c r="K1707" s="18" t="n">
        <x:v>26</x:v>
      </x:c>
      <x:c r="L1707" s="18" t="n">
        <x:v>44</x:v>
      </x:c>
      <x:c r="M1707" s="18" t="n">
        <x:v>26</x:v>
      </x:c>
    </x:row>
    <x:row r="1708">
      <x:c r="A1708" s="22" t="str">
        <x:v>500112119</x:v>
      </x:c>
      <x:c r="B1708" s="17" t="str">
        <x:v>信義區</x:v>
      </x:c>
      <x:c r="C1708" s="17" t="str">
        <x:v>信義松智路口(東南側)</x:v>
      </x:c>
      <x:c r="D1708" s="18" t="n">
        <x:v>26</x:v>
      </x:c>
      <x:c r="E1708" s="18" t="n">
        <x:v>26</x:v>
      </x:c>
      <x:c r="F1708" s="18" t="n">
        <x:v>247</x:v>
      </x:c>
      <x:c r="G1708" s="18" t="n">
        <x:v>26</x:v>
      </x:c>
      <x:c r="H1708" s="18" t="n">
        <x:v>37</x:v>
      </x:c>
      <x:c r="I1708" s="18" t="n">
        <x:v>26</x:v>
      </x:c>
      <x:c r="J1708" s="18" t="n">
        <x:v>714</x:v>
      </x:c>
      <x:c r="K1708" s="18" t="n">
        <x:v>26</x:v>
      </x:c>
      <x:c r="L1708" s="18" t="n">
        <x:v>162</x:v>
      </x:c>
      <x:c r="M1708" s="18" t="n">
        <x:v>26</x:v>
      </x:c>
    </x:row>
    <x:row r="1709">
      <x:c r="A1709" s="22" t="str">
        <x:v>500112120</x:v>
      </x:c>
      <x:c r="B1709" s="17" t="str">
        <x:v>信義區</x:v>
      </x:c>
      <x:c r="C1709" s="17" t="str">
        <x:v>松山家商(東側)</x:v>
      </x:c>
      <x:c r="D1709" s="18" t="n">
        <x:v>26</x:v>
      </x:c>
      <x:c r="E1709" s="18" t="n">
        <x:v>26</x:v>
      </x:c>
      <x:c r="F1709" s="18" t="n">
        <x:v>111</x:v>
      </x:c>
      <x:c r="G1709" s="18" t="n">
        <x:v>26</x:v>
      </x:c>
      <x:c r="H1709" s="18" t="n">
        <x:v>25</x:v>
      </x:c>
      <x:c r="I1709" s="18" t="n">
        <x:v>26</x:v>
      </x:c>
      <x:c r="J1709" s="18" t="n">
        <x:v>199</x:v>
      </x:c>
      <x:c r="K1709" s="18" t="n">
        <x:v>26</x:v>
      </x:c>
      <x:c r="L1709" s="18" t="n">
        <x:v>36</x:v>
      </x:c>
      <x:c r="M1709" s="18" t="n">
        <x:v>26</x:v>
      </x:c>
    </x:row>
    <x:row r="1710">
      <x:c r="A1710" s="22" t="str">
        <x:v>500112121</x:v>
      </x:c>
      <x:c r="B1710" s="17" t="str">
        <x:v>信義區</x:v>
      </x:c>
      <x:c r="C1710" s="17" t="str">
        <x:v>永春高中</x:v>
      </x:c>
      <x:c r="D1710" s="18" t="n">
        <x:v>26</x:v>
      </x:c>
      <x:c r="E1710" s="18" t="n">
        <x:v>26</x:v>
      </x:c>
      <x:c r="F1710" s="18" t="n">
        <x:v>0</x:v>
      </x:c>
      <x:c r="G1710" s="18" t="n">
        <x:v>26</x:v>
      </x:c>
      <x:c r="H1710" s="18" t="n">
        <x:v>0</x:v>
      </x:c>
      <x:c r="I1710" s="18" t="n">
        <x:v>26</x:v>
      </x:c>
      <x:c r="J1710" s="18" t="n">
        <x:v>0</x:v>
      </x:c>
      <x:c r="K1710" s="18" t="n">
        <x:v>26</x:v>
      </x:c>
      <x:c r="L1710" s="18" t="n">
        <x:v>0</x:v>
      </x:c>
      <x:c r="M1710" s="18" t="n">
        <x:v>26</x:v>
      </x:c>
    </x:row>
    <x:row r="1711">
      <x:c r="A1711" s="22" t="str">
        <x:v>500112122</x:v>
      </x:c>
      <x:c r="B1711" s="17" t="str">
        <x:v>信義區</x:v>
      </x:c>
      <x:c r="C1711" s="17" t="str">
        <x:v>永吉國中</x:v>
      </x:c>
      <x:c r="D1711" s="18" t="n">
        <x:v>26</x:v>
      </x:c>
      <x:c r="E1711" s="18" t="n">
        <x:v>26</x:v>
      </x:c>
      <x:c r="F1711" s="18" t="n">
        <x:v>0</x:v>
      </x:c>
      <x:c r="G1711" s="18" t="n">
        <x:v>26</x:v>
      </x:c>
      <x:c r="H1711" s="18" t="n">
        <x:v>0</x:v>
      </x:c>
      <x:c r="I1711" s="18" t="n">
        <x:v>26</x:v>
      </x:c>
      <x:c r="J1711" s="18" t="n">
        <x:v>0</x:v>
      </x:c>
      <x:c r="K1711" s="18" t="n">
        <x:v>26</x:v>
      </x:c>
      <x:c r="L1711" s="18" t="n">
        <x:v>0</x:v>
      </x:c>
      <x:c r="M1711" s="18" t="n">
        <x:v>26</x:v>
      </x:c>
    </x:row>
    <x:row r="1712">
      <x:c r="A1712" s="22" t="str">
        <x:v>500112123</x:v>
      </x:c>
      <x:c r="B1712" s="17" t="str">
        <x:v>信義區</x:v>
      </x:c>
      <x:c r="C1712" s="17" t="str">
        <x:v>松山松隆路口</x:v>
      </x:c>
      <x:c r="D1712" s="18" t="n">
        <x:v>26</x:v>
      </x:c>
      <x:c r="E1712" s="18" t="n">
        <x:v>26</x:v>
      </x:c>
      <x:c r="F1712" s="18" t="n">
        <x:v>143</x:v>
      </x:c>
      <x:c r="G1712" s="18" t="n">
        <x:v>26</x:v>
      </x:c>
      <x:c r="H1712" s="18" t="n">
        <x:v>15</x:v>
      </x:c>
      <x:c r="I1712" s="18" t="n">
        <x:v>26</x:v>
      </x:c>
      <x:c r="J1712" s="18" t="n">
        <x:v>141</x:v>
      </x:c>
      <x:c r="K1712" s="18" t="n">
        <x:v>26</x:v>
      </x:c>
      <x:c r="L1712" s="18" t="n">
        <x:v>20</x:v>
      </x:c>
      <x:c r="M1712" s="18" t="n">
        <x:v>26</x:v>
      </x:c>
    </x:row>
    <x:row r="1713">
      <x:c r="A1713" s="22" t="str">
        <x:v>500112124</x:v>
      </x:c>
      <x:c r="B1713" s="17" t="str">
        <x:v>信義區</x:v>
      </x:c>
      <x:c r="C1713" s="17" t="str">
        <x:v>松智松平路口</x:v>
      </x:c>
      <x:c r="D1713" s="18" t="n">
        <x:v>26</x:v>
      </x:c>
      <x:c r="E1713" s="18" t="n">
        <x:v>26</x:v>
      </x:c>
      <x:c r="F1713" s="18" t="n">
        <x:v>177</x:v>
      </x:c>
      <x:c r="G1713" s="18" t="n">
        <x:v>26</x:v>
      </x:c>
      <x:c r="H1713" s="18" t="n">
        <x:v>11</x:v>
      </x:c>
      <x:c r="I1713" s="18" t="n">
        <x:v>26</x:v>
      </x:c>
      <x:c r="J1713" s="18" t="n">
        <x:v>95</x:v>
      </x:c>
      <x:c r="K1713" s="18" t="n">
        <x:v>26</x:v>
      </x:c>
      <x:c r="L1713" s="18" t="n">
        <x:v>13</x:v>
      </x:c>
      <x:c r="M1713" s="18" t="n">
        <x:v>26</x:v>
      </x:c>
    </x:row>
    <x:row r="1714">
      <x:c r="A1714" s="22" t="str">
        <x:v>500112125</x:v>
      </x:c>
      <x:c r="B1714" s="17" t="str">
        <x:v>信義區</x:v>
      </x:c>
      <x:c r="C1714" s="17" t="str">
        <x:v>象山公園(松勤街140巷)</x:v>
      </x:c>
      <x:c r="D1714" s="18" t="n">
        <x:v>26</x:v>
      </x:c>
      <x:c r="E1714" s="18" t="n">
        <x:v>26</x:v>
      </x:c>
      <x:c r="F1714" s="18" t="n">
        <x:v>216</x:v>
      </x:c>
      <x:c r="G1714" s="18" t="n">
        <x:v>26</x:v>
      </x:c>
      <x:c r="H1714" s="18" t="n">
        <x:v>57</x:v>
      </x:c>
      <x:c r="I1714" s="18" t="n">
        <x:v>26</x:v>
      </x:c>
      <x:c r="J1714" s="18" t="n">
        <x:v>350</x:v>
      </x:c>
      <x:c r="K1714" s="18" t="n">
        <x:v>26</x:v>
      </x:c>
      <x:c r="L1714" s="18" t="n">
        <x:v>92</x:v>
      </x:c>
      <x:c r="M1714" s="18" t="n">
        <x:v>26</x:v>
      </x:c>
    </x:row>
    <x:row r="1715">
      <x:c r="A1715" s="22" t="str">
        <x:v>500112126</x:v>
      </x:c>
      <x:c r="B1715" s="17" t="str">
        <x:v>信義區</x:v>
      </x:c>
      <x:c r="C1715" s="17" t="str">
        <x:v>永吉路120巷</x:v>
      </x:c>
      <x:c r="D1715" s="18" t="n">
        <x:v>26</x:v>
      </x:c>
      <x:c r="E1715" s="18" t="n">
        <x:v>26</x:v>
      </x:c>
      <x:c r="F1715" s="18" t="n">
        <x:v>0</x:v>
      </x:c>
      <x:c r="G1715" s="18" t="n">
        <x:v>26</x:v>
      </x:c>
      <x:c r="H1715" s="18" t="n">
        <x:v>0</x:v>
      </x:c>
      <x:c r="I1715" s="18" t="n">
        <x:v>26</x:v>
      </x:c>
      <x:c r="J1715" s="18" t="n">
        <x:v>0</x:v>
      </x:c>
      <x:c r="K1715" s="18" t="n">
        <x:v>26</x:v>
      </x:c>
      <x:c r="L1715" s="18" t="n">
        <x:v>0</x:v>
      </x:c>
      <x:c r="M1715" s="18" t="n">
        <x:v>26</x:v>
      </x:c>
    </x:row>
    <x:row r="1716">
      <x:c r="A1716" s="22" t="str">
        <x:v>500112127</x:v>
      </x:c>
      <x:c r="B1716" s="17" t="str">
        <x:v>信義區</x:v>
      </x:c>
      <x:c r="C1716" s="17" t="str">
        <x:v>永吉路120巷15弄口</x:v>
      </x:c>
      <x:c r="D1716" s="18" t="n">
        <x:v>26</x:v>
      </x:c>
      <x:c r="E1716" s="18" t="n">
        <x:v>26</x:v>
      </x:c>
      <x:c r="F1716" s="18" t="n">
        <x:v>661</x:v>
      </x:c>
      <x:c r="G1716" s="18" t="n">
        <x:v>26</x:v>
      </x:c>
      <x:c r="H1716" s="18" t="n">
        <x:v>59</x:v>
      </x:c>
      <x:c r="I1716" s="18" t="n">
        <x:v>26</x:v>
      </x:c>
      <x:c r="J1716" s="18" t="n">
        <x:v>133</x:v>
      </x:c>
      <x:c r="K1716" s="18" t="n">
        <x:v>26</x:v>
      </x:c>
      <x:c r="L1716" s="18" t="n">
        <x:v>37</x:v>
      </x:c>
      <x:c r="M1716" s="18" t="n">
        <x:v>26</x:v>
      </x:c>
    </x:row>
    <x:row r="1717">
      <x:c r="A1717" s="22" t="str">
        <x:v>500112128</x:v>
      </x:c>
      <x:c r="B1717" s="17" t="str">
        <x:v>信義區</x:v>
      </x:c>
      <x:c r="C1717" s="17" t="str">
        <x:v>臺北文創大樓(菸廠路)</x:v>
      </x:c>
      <x:c r="D1717" s="18" t="n">
        <x:v>26</x:v>
      </x:c>
      <x:c r="E1717" s="18" t="n">
        <x:v>26</x:v>
      </x:c>
      <x:c r="F1717" s="18" t="n">
        <x:v>153</x:v>
      </x:c>
      <x:c r="G1717" s="18" t="n">
        <x:v>26</x:v>
      </x:c>
      <x:c r="H1717" s="18" t="n">
        <x:v>21</x:v>
      </x:c>
      <x:c r="I1717" s="18" t="n">
        <x:v>26</x:v>
      </x:c>
      <x:c r="J1717" s="18" t="n">
        <x:v>1038</x:v>
      </x:c>
      <x:c r="K1717" s="18" t="n">
        <x:v>26</x:v>
      </x:c>
      <x:c r="L1717" s="18" t="n">
        <x:v>114</x:v>
      </x:c>
      <x:c r="M1717" s="18" t="n">
        <x:v>26</x:v>
      </x:c>
    </x:row>
    <x:row r="1718">
      <x:c r="A1718" s="22" t="str">
        <x:v>500112129</x:v>
      </x:c>
      <x:c r="B1718" s="17" t="str">
        <x:v>信義區</x:v>
      </x:c>
      <x:c r="C1718" s="17" t="str">
        <x:v>松德路25巷口</x:v>
      </x:c>
      <x:c r="D1718" s="18" t="n">
        <x:v>26</x:v>
      </x:c>
      <x:c r="E1718" s="18" t="n">
        <x:v>26</x:v>
      </x:c>
      <x:c r="F1718" s="18" t="n">
        <x:v>417</x:v>
      </x:c>
      <x:c r="G1718" s="18" t="n">
        <x:v>26</x:v>
      </x:c>
      <x:c r="H1718" s="18" t="n">
        <x:v>50</x:v>
      </x:c>
      <x:c r="I1718" s="18" t="n">
        <x:v>26</x:v>
      </x:c>
      <x:c r="J1718" s="18" t="n">
        <x:v>157</x:v>
      </x:c>
      <x:c r="K1718" s="18" t="n">
        <x:v>26</x:v>
      </x:c>
      <x:c r="L1718" s="18" t="n">
        <x:v>24</x:v>
      </x:c>
      <x:c r="M1718" s="18" t="n">
        <x:v>26</x:v>
      </x:c>
    </x:row>
    <x:row r="1719">
      <x:c r="A1719" s="22" t="str">
        <x:v>500112130</x:v>
      </x:c>
      <x:c r="B1719" s="17" t="str">
        <x:v>信義區</x:v>
      </x:c>
      <x:c r="C1719" s="17" t="str">
        <x:v>國家鐵道博物館</x:v>
      </x:c>
      <x:c r="D1719" s="18" t="n">
        <x:v>26</x:v>
      </x:c>
      <x:c r="E1719" s="18" t="n">
        <x:v>26</x:v>
      </x:c>
      <x:c r="F1719" s="18" t="n">
        <x:v>145</x:v>
      </x:c>
      <x:c r="G1719" s="18" t="n">
        <x:v>26</x:v>
      </x:c>
      <x:c r="H1719" s="18" t="n">
        <x:v>13</x:v>
      </x:c>
      <x:c r="I1719" s="18" t="n">
        <x:v>26</x:v>
      </x:c>
      <x:c r="J1719" s="18" t="n">
        <x:v>438</x:v>
      </x:c>
      <x:c r="K1719" s="18" t="n">
        <x:v>26</x:v>
      </x:c>
      <x:c r="L1719" s="18" t="n">
        <x:v>39</x:v>
      </x:c>
      <x:c r="M1719" s="18" t="n">
        <x:v>26</x:v>
      </x:c>
    </x:row>
    <x:row r="1720">
      <x:c r="A1720" s="22" t="str">
        <x:v>500112132</x:v>
      </x:c>
      <x:c r="B1720" s="17" t="str">
        <x:v>信義區</x:v>
      </x:c>
      <x:c r="C1720" s="17" t="str">
        <x:v>六張犁社會住宅2區</x:v>
      </x:c>
      <x:c r="D1720" s="18" t="n">
        <x:v>26</x:v>
      </x:c>
      <x:c r="E1720" s="18" t="n">
        <x:v>26</x:v>
      </x:c>
      <x:c r="F1720" s="18" t="n">
        <x:v>627</x:v>
      </x:c>
      <x:c r="G1720" s="18" t="n">
        <x:v>26</x:v>
      </x:c>
      <x:c r="H1720" s="18" t="n">
        <x:v>92</x:v>
      </x:c>
      <x:c r="I1720" s="18" t="n">
        <x:v>26</x:v>
      </x:c>
      <x:c r="J1720" s="18" t="n">
        <x:v>128</x:v>
      </x:c>
      <x:c r="K1720" s="18" t="n">
        <x:v>26</x:v>
      </x:c>
      <x:c r="L1720" s="18" t="n">
        <x:v>24</x:v>
      </x:c>
      <x:c r="M1720" s="18" t="n">
        <x:v>26</x:v>
      </x:c>
    </x:row>
    <x:row r="1721">
      <x:c r="A1721" s="22" t="str">
        <x:v>500112133</x:v>
      </x:c>
      <x:c r="B1721" s="17" t="str">
        <x:v>信義區</x:v>
      </x:c>
      <x:c r="C1721" s="17" t="str">
        <x:v>莊敬路341巷3弄</x:v>
      </x:c>
      <x:c r="D1721" s="18" t="n">
        <x:v>26</x:v>
      </x:c>
      <x:c r="E1721" s="18" t="n">
        <x:v>26</x:v>
      </x:c>
      <x:c r="F1721" s="18" t="n">
        <x:v>203</x:v>
      </x:c>
      <x:c r="G1721" s="18" t="n">
        <x:v>26</x:v>
      </x:c>
      <x:c r="H1721" s="18" t="n">
        <x:v>27</x:v>
      </x:c>
      <x:c r="I1721" s="18" t="n">
        <x:v>26</x:v>
      </x:c>
      <x:c r="J1721" s="18" t="n">
        <x:v>75</x:v>
      </x:c>
      <x:c r="K1721" s="18" t="n">
        <x:v>26</x:v>
      </x:c>
      <x:c r="L1721" s="18" t="n">
        <x:v>16</x:v>
      </x:c>
      <x:c r="M1721" s="18" t="n">
        <x:v>26</x:v>
      </x:c>
    </x:row>
    <x:row r="1722">
      <x:c r="A1722" s="22" t="str">
        <x:v>500112134</x:v>
      </x:c>
      <x:c r="B1722" s="17" t="str">
        <x:v>信義區</x:v>
      </x:c>
      <x:c r="C1722" s="17" t="str">
        <x:v>信義國中</x:v>
      </x:c>
      <x:c r="D1722" s="18" t="n">
        <x:v>26</x:v>
      </x:c>
      <x:c r="E1722" s="18" t="n">
        <x:v>26</x:v>
      </x:c>
      <x:c r="F1722" s="18" t="n">
        <x:v>277</x:v>
      </x:c>
      <x:c r="G1722" s="18" t="n">
        <x:v>26</x:v>
      </x:c>
      <x:c r="H1722" s="18" t="n">
        <x:v>32</x:v>
      </x:c>
      <x:c r="I1722" s="18" t="n">
        <x:v>26</x:v>
      </x:c>
      <x:c r="J1722" s="18" t="n">
        <x:v>117</x:v>
      </x:c>
      <x:c r="K1722" s="18" t="n">
        <x:v>26</x:v>
      </x:c>
      <x:c r="L1722" s="18" t="n">
        <x:v>23</x:v>
      </x:c>
      <x:c r="M1722" s="18" t="n">
        <x:v>26</x:v>
      </x:c>
    </x:row>
    <x:row r="1723">
      <x:c r="A1723" s="22" t="str">
        <x:v>500112135</x:v>
      </x:c>
      <x:c r="B1723" s="17" t="str">
        <x:v>信義區</x:v>
      </x:c>
      <x:c r="C1723" s="17" t="str">
        <x:v>捷運廣慈/奉天宮站(1號出口)</x:v>
      </x:c>
      <x:c r="D1723" s="18" t="n">
        <x:v>26</x:v>
      </x:c>
      <x:c r="E1723" s="18" t="n">
        <x:v>26</x:v>
      </x:c>
      <x:c r="F1723" s="18" t="n">
        <x:v>1097</x:v>
      </x:c>
      <x:c r="G1723" s="18" t="n">
        <x:v>26</x:v>
      </x:c>
      <x:c r="H1723" s="18" t="n">
        <x:v>80</x:v>
      </x:c>
      <x:c r="I1723" s="18" t="n">
        <x:v>26</x:v>
      </x:c>
      <x:c r="J1723" s="18" t="n">
        <x:v>574</x:v>
      </x:c>
      <x:c r="K1723" s="18" t="n">
        <x:v>26</x:v>
      </x:c>
      <x:c r="L1723" s="18" t="n">
        <x:v>37</x:v>
      </x:c>
      <x:c r="M1723" s="18" t="n">
        <x:v>26</x:v>
      </x:c>
    </x:row>
    <x:row r="1724">
      <x:c r="A1724" s="22" t="str">
        <x:v>500112136</x:v>
      </x:c>
      <x:c r="B1724" s="17" t="str">
        <x:v>信義區</x:v>
      </x:c>
      <x:c r="C1724" s="17" t="str">
        <x:v>忠駝公園</x:v>
      </x:c>
      <x:c r="D1724" s="18" t="n">
        <x:v>26</x:v>
      </x:c>
      <x:c r="E1724" s="18" t="n">
        <x:v>26</x:v>
      </x:c>
      <x:c r="F1724" s="18" t="n">
        <x:v>651</x:v>
      </x:c>
      <x:c r="G1724" s="18" t="n">
        <x:v>26</x:v>
      </x:c>
      <x:c r="H1724" s="18" t="n">
        <x:v>112</x:v>
      </x:c>
      <x:c r="I1724" s="18" t="n">
        <x:v>26</x:v>
      </x:c>
      <x:c r="J1724" s="18" t="n">
        <x:v>118</x:v>
      </x:c>
      <x:c r="K1724" s="18" t="n">
        <x:v>26</x:v>
      </x:c>
      <x:c r="L1724" s="18" t="n">
        <x:v>47</x:v>
      </x:c>
      <x:c r="M1724" s="18" t="n">
        <x:v>26</x:v>
      </x:c>
    </x:row>
    <x:row r="1725">
      <x:c r="A1725" s="22" t="str">
        <x:v>500112137</x:v>
      </x:c>
      <x:c r="B1725" s="17" t="str">
        <x:v>信義區</x:v>
      </x:c>
      <x:c r="C1725" s="17" t="str">
        <x:v>忠孝東路五段790巷25弄口</x:v>
      </x:c>
      <x:c r="D1725" s="18" t="n">
        <x:v>26</x:v>
      </x:c>
      <x:c r="E1725" s="18" t="n">
        <x:v>26</x:v>
      </x:c>
      <x:c r="F1725" s="18" t="n">
        <x:v>223</x:v>
      </x:c>
      <x:c r="G1725" s="18" t="n">
        <x:v>26</x:v>
      </x:c>
      <x:c r="H1725" s="18" t="n">
        <x:v>25</x:v>
      </x:c>
      <x:c r="I1725" s="18" t="n">
        <x:v>26</x:v>
      </x:c>
      <x:c r="J1725" s="18" t="n">
        <x:v>91</x:v>
      </x:c>
      <x:c r="K1725" s="18" t="n">
        <x:v>26</x:v>
      </x:c>
      <x:c r="L1725" s="18" t="n">
        <x:v>13</x:v>
      </x:c>
      <x:c r="M1725" s="18" t="n">
        <x:v>26</x:v>
      </x:c>
    </x:row>
    <x:row r="1726">
      <x:c r="A1726" s="22" t="str">
        <x:v>500113001</x:v>
      </x:c>
      <x:c r="B1726" s="17" t="str">
        <x:v>萬華區</x:v>
      </x:c>
      <x:c r="C1726" s="17" t="str">
        <x:v>德昌寶興街口(西北角)</x:v>
      </x:c>
      <x:c r="D1726" s="18" t="n">
        <x:v>26</x:v>
      </x:c>
      <x:c r="E1726" s="18" t="n">
        <x:v>26</x:v>
      </x:c>
      <x:c r="F1726" s="18" t="n">
        <x:v>668</x:v>
      </x:c>
      <x:c r="G1726" s="18" t="n">
        <x:v>26</x:v>
      </x:c>
      <x:c r="H1726" s="18" t="n">
        <x:v>52</x:v>
      </x:c>
      <x:c r="I1726" s="18" t="n">
        <x:v>26</x:v>
      </x:c>
      <x:c r="J1726" s="18" t="n">
        <x:v>191</x:v>
      </x:c>
      <x:c r="K1726" s="18" t="n">
        <x:v>26</x:v>
      </x:c>
      <x:c r="L1726" s="18" t="n">
        <x:v>13</x:v>
      </x:c>
      <x:c r="M1726" s="18" t="n">
        <x:v>26</x:v>
      </x:c>
    </x:row>
    <x:row r="1727">
      <x:c r="A1727" s="22" t="str">
        <x:v>500113002</x:v>
      </x:c>
      <x:c r="B1727" s="17" t="str">
        <x:v>萬華區</x:v>
      </x:c>
      <x:c r="C1727" s="17" t="str">
        <x:v>寶興長泰街口(西南角)</x:v>
      </x:c>
      <x:c r="D1727" s="18" t="n">
        <x:v>26</x:v>
      </x:c>
      <x:c r="E1727" s="18" t="n">
        <x:v>26</x:v>
      </x:c>
      <x:c r="F1727" s="18" t="n">
        <x:v>599</x:v>
      </x:c>
      <x:c r="G1727" s="18" t="n">
        <x:v>26</x:v>
      </x:c>
      <x:c r="H1727" s="18" t="n">
        <x:v>29</x:v>
      </x:c>
      <x:c r="I1727" s="18" t="n">
        <x:v>26</x:v>
      </x:c>
      <x:c r="J1727" s="18" t="n">
        <x:v>124</x:v>
      </x:c>
      <x:c r="K1727" s="18" t="n">
        <x:v>26</x:v>
      </x:c>
      <x:c r="L1727" s="18" t="n">
        <x:v>9</x:v>
      </x:c>
      <x:c r="M1727" s="18" t="n">
        <x:v>26</x:v>
      </x:c>
    </x:row>
    <x:row r="1728">
      <x:c r="A1728" s="22" t="str">
        <x:v>500113003</x:v>
      </x:c>
      <x:c r="B1728" s="17" t="str">
        <x:v>萬華區</x:v>
      </x:c>
      <x:c r="C1728" s="17" t="str">
        <x:v>萬大路486巷口</x:v>
      </x:c>
      <x:c r="D1728" s="18" t="n">
        <x:v>26</x:v>
      </x:c>
      <x:c r="E1728" s="18" t="n">
        <x:v>26</x:v>
      </x:c>
      <x:c r="F1728" s="18" t="n">
        <x:v>294</x:v>
      </x:c>
      <x:c r="G1728" s="18" t="n">
        <x:v>26</x:v>
      </x:c>
      <x:c r="H1728" s="18" t="n">
        <x:v>28</x:v>
      </x:c>
      <x:c r="I1728" s="18" t="n">
        <x:v>26</x:v>
      </x:c>
      <x:c r="J1728" s="18" t="n">
        <x:v>159</x:v>
      </x:c>
      <x:c r="K1728" s="18" t="n">
        <x:v>26</x:v>
      </x:c>
      <x:c r="L1728" s="18" t="n">
        <x:v>24</x:v>
      </x:c>
      <x:c r="M1728" s="18" t="n">
        <x:v>26</x:v>
      </x:c>
    </x:row>
    <x:row r="1729">
      <x:c r="A1729" s="22" t="str">
        <x:v>500113004</x:v>
      </x:c>
      <x:c r="B1729" s="17" t="str">
        <x:v>萬華區</x:v>
      </x:c>
      <x:c r="C1729" s="17" t="str">
        <x:v>國興中華路口</x:v>
      </x:c>
      <x:c r="D1729" s="18" t="n">
        <x:v>26</x:v>
      </x:c>
      <x:c r="E1729" s="18" t="n">
        <x:v>26</x:v>
      </x:c>
      <x:c r="F1729" s="18" t="n">
        <x:v>271</x:v>
      </x:c>
      <x:c r="G1729" s="18" t="n">
        <x:v>26</x:v>
      </x:c>
      <x:c r="H1729" s="18" t="n">
        <x:v>61</x:v>
      </x:c>
      <x:c r="I1729" s="18" t="n">
        <x:v>26</x:v>
      </x:c>
      <x:c r="J1729" s="18" t="n">
        <x:v>132</x:v>
      </x:c>
      <x:c r="K1729" s="18" t="n">
        <x:v>26</x:v>
      </x:c>
      <x:c r="L1729" s="18" t="n">
        <x:v>25</x:v>
      </x:c>
      <x:c r="M1729" s="18" t="n">
        <x:v>26</x:v>
      </x:c>
    </x:row>
    <x:row r="1730">
      <x:c r="A1730" s="22" t="str">
        <x:v>500113005</x:v>
      </x:c>
      <x:c r="B1730" s="17" t="str">
        <x:v>萬華區</x:v>
      </x:c>
      <x:c r="C1730" s="17" t="str">
        <x:v>古亭國中</x:v>
      </x:c>
      <x:c r="D1730" s="18" t="n">
        <x:v>26</x:v>
      </x:c>
      <x:c r="E1730" s="18" t="n">
        <x:v>26</x:v>
      </x:c>
      <x:c r="F1730" s="18" t="n">
        <x:v>411</x:v>
      </x:c>
      <x:c r="G1730" s="18" t="n">
        <x:v>26</x:v>
      </x:c>
      <x:c r="H1730" s="18" t="n">
        <x:v>90</x:v>
      </x:c>
      <x:c r="I1730" s="18" t="n">
        <x:v>26</x:v>
      </x:c>
      <x:c r="J1730" s="18" t="n">
        <x:v>371</x:v>
      </x:c>
      <x:c r="K1730" s="18" t="n">
        <x:v>26</x:v>
      </x:c>
      <x:c r="L1730" s="18" t="n">
        <x:v>56</x:v>
      </x:c>
      <x:c r="M1730" s="18" t="n">
        <x:v>26</x:v>
      </x:c>
    </x:row>
    <x:row r="1731">
      <x:c r="A1731" s="22" t="str">
        <x:v>500113006</x:v>
      </x:c>
      <x:c r="B1731" s="17" t="str">
        <x:v>萬華區</x:v>
      </x:c>
      <x:c r="C1731" s="17" t="str">
        <x:v>國興水源路口</x:v>
      </x:c>
      <x:c r="D1731" s="18" t="n">
        <x:v>26</x:v>
      </x:c>
      <x:c r="E1731" s="18" t="n">
        <x:v>26</x:v>
      </x:c>
      <x:c r="F1731" s="18" t="n">
        <x:v>258</x:v>
      </x:c>
      <x:c r="G1731" s="18" t="n">
        <x:v>26</x:v>
      </x:c>
      <x:c r="H1731" s="18" t="n">
        <x:v>56</x:v>
      </x:c>
      <x:c r="I1731" s="18" t="n">
        <x:v>26</x:v>
      </x:c>
      <x:c r="J1731" s="18" t="n">
        <x:v>252</x:v>
      </x:c>
      <x:c r="K1731" s="18" t="n">
        <x:v>26</x:v>
      </x:c>
      <x:c r="L1731" s="18" t="n">
        <x:v>24</x:v>
      </x:c>
      <x:c r="M1731" s="18" t="n">
        <x:v>26</x:v>
      </x:c>
    </x:row>
    <x:row r="1732">
      <x:c r="A1732" s="22" t="str">
        <x:v>500113007</x:v>
      </x:c>
      <x:c r="B1732" s="17" t="str">
        <x:v>萬華區</x:v>
      </x:c>
      <x:c r="C1732" s="17" t="str">
        <x:v>青年公園高爾夫球場</x:v>
      </x:c>
      <x:c r="D1732" s="18" t="n">
        <x:v>26</x:v>
      </x:c>
      <x:c r="E1732" s="18" t="n">
        <x:v>26</x:v>
      </x:c>
      <x:c r="F1732" s="18" t="n">
        <x:v>318</x:v>
      </x:c>
      <x:c r="G1732" s="18" t="n">
        <x:v>26</x:v>
      </x:c>
      <x:c r="H1732" s="18" t="n">
        <x:v>52</x:v>
      </x:c>
      <x:c r="I1732" s="18" t="n">
        <x:v>26</x:v>
      </x:c>
      <x:c r="J1732" s="18" t="n">
        <x:v>178</x:v>
      </x:c>
      <x:c r="K1732" s="18" t="n">
        <x:v>26</x:v>
      </x:c>
      <x:c r="L1732" s="18" t="n">
        <x:v>26</x:v>
      </x:c>
      <x:c r="M1732" s="18" t="n">
        <x:v>26</x:v>
      </x:c>
    </x:row>
    <x:row r="1733">
      <x:c r="A1733" s="22" t="str">
        <x:v>500113008</x:v>
      </x:c>
      <x:c r="B1733" s="17" t="str">
        <x:v>萬華區</x:v>
      </x:c>
      <x:c r="C1733" s="17" t="str">
        <x:v>國興青年路口</x:v>
      </x:c>
      <x:c r="D1733" s="18" t="n">
        <x:v>26</x:v>
      </x:c>
      <x:c r="E1733" s="18" t="n">
        <x:v>26</x:v>
      </x:c>
      <x:c r="F1733" s="18" t="n">
        <x:v>403</x:v>
      </x:c>
      <x:c r="G1733" s="18" t="n">
        <x:v>26</x:v>
      </x:c>
      <x:c r="H1733" s="18" t="n">
        <x:v>59</x:v>
      </x:c>
      <x:c r="I1733" s="18" t="n">
        <x:v>26</x:v>
      </x:c>
      <x:c r="J1733" s="18" t="n">
        <x:v>204</x:v>
      </x:c>
      <x:c r="K1733" s="18" t="n">
        <x:v>26</x:v>
      </x:c>
      <x:c r="L1733" s="18" t="n">
        <x:v>31</x:v>
      </x:c>
      <x:c r="M1733" s="18" t="n">
        <x:v>26</x:v>
      </x:c>
    </x:row>
    <x:row r="1734">
      <x:c r="A1734" s="22" t="str">
        <x:v>500113009</x:v>
      </x:c>
      <x:c r="B1734" s="17" t="str">
        <x:v>萬華區</x:v>
      </x:c>
      <x:c r="C1734" s="17" t="str">
        <x:v>青年公園棒球場</x:v>
      </x:c>
      <x:c r="D1734" s="18" t="n">
        <x:v>26</x:v>
      </x:c>
      <x:c r="E1734" s="18" t="n">
        <x:v>26</x:v>
      </x:c>
      <x:c r="F1734" s="18" t="n">
        <x:v>381</x:v>
      </x:c>
      <x:c r="G1734" s="18" t="n">
        <x:v>26</x:v>
      </x:c>
      <x:c r="H1734" s="18" t="n">
        <x:v>37</x:v>
      </x:c>
      <x:c r="I1734" s="18" t="n">
        <x:v>26</x:v>
      </x:c>
      <x:c r="J1734" s="18" t="n">
        <x:v>136</x:v>
      </x:c>
      <x:c r="K1734" s="18" t="n">
        <x:v>26</x:v>
      </x:c>
      <x:c r="L1734" s="18" t="n">
        <x:v>24</x:v>
      </x:c>
      <x:c r="M1734" s="18" t="n">
        <x:v>26</x:v>
      </x:c>
    </x:row>
    <x:row r="1735">
      <x:c r="A1735" s="22" t="str">
        <x:v>500113010</x:v>
      </x:c>
      <x:c r="B1735" s="17" t="str">
        <x:v>萬華區</x:v>
      </x:c>
      <x:c r="C1735" s="17" t="str">
        <x:v>青年公園籃球場</x:v>
      </x:c>
      <x:c r="D1735" s="18" t="n">
        <x:v>26</x:v>
      </x:c>
      <x:c r="E1735" s="18" t="n">
        <x:v>26</x:v>
      </x:c>
      <x:c r="F1735" s="18" t="n">
        <x:v>246</x:v>
      </x:c>
      <x:c r="G1735" s="18" t="n">
        <x:v>26</x:v>
      </x:c>
      <x:c r="H1735" s="18" t="n">
        <x:v>78</x:v>
      </x:c>
      <x:c r="I1735" s="18" t="n">
        <x:v>26</x:v>
      </x:c>
      <x:c r="J1735" s="18" t="n">
        <x:v>176</x:v>
      </x:c>
      <x:c r="K1735" s="18" t="n">
        <x:v>26</x:v>
      </x:c>
      <x:c r="L1735" s="18" t="n">
        <x:v>15</x:v>
      </x:c>
      <x:c r="M1735" s="18" t="n">
        <x:v>26</x:v>
      </x:c>
    </x:row>
    <x:row r="1736">
      <x:c r="A1736" s="22" t="str">
        <x:v>500113011</x:v>
      </x:c>
      <x:c r="B1736" s="17" t="str">
        <x:v>萬華區</x:v>
      </x:c>
      <x:c r="C1736" s="17" t="str">
        <x:v>光仁國小(空南三村)</x:v>
      </x:c>
      <x:c r="D1736" s="18" t="n">
        <x:v>26</x:v>
      </x:c>
      <x:c r="E1736" s="18" t="n">
        <x:v>26</x:v>
      </x:c>
      <x:c r="F1736" s="18" t="n">
        <x:v>0</x:v>
      </x:c>
      <x:c r="G1736" s="18" t="n">
        <x:v>26</x:v>
      </x:c>
      <x:c r="H1736" s="18" t="n">
        <x:v>0</x:v>
      </x:c>
      <x:c r="I1736" s="18" t="n">
        <x:v>26</x:v>
      </x:c>
      <x:c r="J1736" s="18" t="n">
        <x:v>0</x:v>
      </x:c>
      <x:c r="K1736" s="18" t="n">
        <x:v>26</x:v>
      </x:c>
      <x:c r="L1736" s="18" t="n">
        <x:v>0</x:v>
      </x:c>
      <x:c r="M1736" s="18" t="n">
        <x:v>26</x:v>
      </x:c>
    </x:row>
    <x:row r="1737">
      <x:c r="A1737" s="22" t="str">
        <x:v>500113012</x:v>
      </x:c>
      <x:c r="B1737" s="17" t="str">
        <x:v>萬華區</x:v>
      </x:c>
      <x:c r="C1737" s="17" t="str">
        <x:v>復華花園新城</x:v>
      </x:c>
      <x:c r="D1737" s="18" t="n">
        <x:v>26</x:v>
      </x:c>
      <x:c r="E1737" s="18" t="n">
        <x:v>26</x:v>
      </x:c>
      <x:c r="F1737" s="18" t="n">
        <x:v>0</x:v>
      </x:c>
      <x:c r="G1737" s="18" t="n">
        <x:v>26</x:v>
      </x:c>
      <x:c r="H1737" s="18" t="n">
        <x:v>0</x:v>
      </x:c>
      <x:c r="I1737" s="18" t="n">
        <x:v>26</x:v>
      </x:c>
      <x:c r="J1737" s="18" t="n">
        <x:v>0</x:v>
      </x:c>
      <x:c r="K1737" s="18" t="n">
        <x:v>26</x:v>
      </x:c>
      <x:c r="L1737" s="18" t="n">
        <x:v>0</x:v>
      </x:c>
      <x:c r="M1737" s="18" t="n">
        <x:v>26</x:v>
      </x:c>
    </x:row>
    <x:row r="1738">
      <x:c r="A1738" s="22" t="str">
        <x:v>500113013</x:v>
      </x:c>
      <x:c r="B1738" s="17" t="str">
        <x:v>萬華區</x:v>
      </x:c>
      <x:c r="C1738" s="17" t="str">
        <x:v>新和國小</x:v>
      </x:c>
      <x:c r="D1738" s="18" t="n">
        <x:v>26</x:v>
      </x:c>
      <x:c r="E1738" s="18" t="n">
        <x:v>26</x:v>
      </x:c>
      <x:c r="F1738" s="18" t="n">
        <x:v>589</x:v>
      </x:c>
      <x:c r="G1738" s="18" t="n">
        <x:v>26</x:v>
      </x:c>
      <x:c r="H1738" s="18" t="n">
        <x:v>55</x:v>
      </x:c>
      <x:c r="I1738" s="18" t="n">
        <x:v>26</x:v>
      </x:c>
      <x:c r="J1738" s="18" t="n">
        <x:v>150</x:v>
      </x:c>
      <x:c r="K1738" s="18" t="n">
        <x:v>26</x:v>
      </x:c>
      <x:c r="L1738" s="18" t="n">
        <x:v>27</x:v>
      </x:c>
      <x:c r="M1738" s="18" t="n">
        <x:v>26</x:v>
      </x:c>
    </x:row>
    <x:row r="1739">
      <x:c r="A1739" s="22" t="str">
        <x:v>500113014</x:v>
      </x:c>
      <x:c r="B1739" s="17" t="str">
        <x:v>萬華區</x:v>
      </x:c>
      <x:c r="C1739" s="17" t="str">
        <x:v>莒光郵局</x:v>
      </x:c>
      <x:c r="D1739" s="18" t="n">
        <x:v>26</x:v>
      </x:c>
      <x:c r="E1739" s="18" t="n">
        <x:v>26</x:v>
      </x:c>
      <x:c r="F1739" s="18" t="n">
        <x:v>43</x:v>
      </x:c>
      <x:c r="G1739" s="18" t="n">
        <x:v>26</x:v>
      </x:c>
      <x:c r="H1739" s="18" t="n">
        <x:v>6</x:v>
      </x:c>
      <x:c r="I1739" s="18" t="n">
        <x:v>26</x:v>
      </x:c>
      <x:c r="J1739" s="18" t="n">
        <x:v>36</x:v>
      </x:c>
      <x:c r="K1739" s="18" t="n">
        <x:v>26</x:v>
      </x:c>
      <x:c r="L1739" s="18" t="n">
        <x:v>11</x:v>
      </x:c>
      <x:c r="M1739" s="18" t="n">
        <x:v>26</x:v>
      </x:c>
    </x:row>
    <x:row r="1740">
      <x:c r="A1740" s="22" t="str">
        <x:v>500113015</x:v>
      </x:c>
      <x:c r="B1740" s="17" t="str">
        <x:v>萬華區</x:v>
      </x:c>
      <x:c r="C1740" s="17" t="str">
        <x:v>莒光立體停車場</x:v>
      </x:c>
      <x:c r="D1740" s="18" t="n">
        <x:v>26</x:v>
      </x:c>
      <x:c r="E1740" s="18" t="n">
        <x:v>26</x:v>
      </x:c>
      <x:c r="F1740" s="18" t="n">
        <x:v>209</x:v>
      </x:c>
      <x:c r="G1740" s="18" t="n">
        <x:v>26</x:v>
      </x:c>
      <x:c r="H1740" s="18" t="n">
        <x:v>23</x:v>
      </x:c>
      <x:c r="I1740" s="18" t="n">
        <x:v>26</x:v>
      </x:c>
      <x:c r="J1740" s="18" t="n">
        <x:v>70</x:v>
      </x:c>
      <x:c r="K1740" s="18" t="n">
        <x:v>26</x:v>
      </x:c>
      <x:c r="L1740" s="18" t="n">
        <x:v>28</x:v>
      </x:c>
      <x:c r="M1740" s="18" t="n">
        <x:v>26</x:v>
      </x:c>
    </x:row>
    <x:row r="1741">
      <x:c r="A1741" s="22" t="str">
        <x:v>500113016</x:v>
      </x:c>
      <x:c r="B1741" s="17" t="str">
        <x:v>萬華區</x:v>
      </x:c>
      <x:c r="C1741" s="17" t="str">
        <x:v>艋舺大道146巷口</x:v>
      </x:c>
      <x:c r="D1741" s="18" t="n">
        <x:v>26</x:v>
      </x:c>
      <x:c r="E1741" s="18" t="n">
        <x:v>26</x:v>
      </x:c>
      <x:c r="F1741" s="18" t="n">
        <x:v>214</x:v>
      </x:c>
      <x:c r="G1741" s="18" t="n">
        <x:v>26</x:v>
      </x:c>
      <x:c r="H1741" s="18" t="n">
        <x:v>26</x:v>
      </x:c>
      <x:c r="I1741" s="18" t="n">
        <x:v>26</x:v>
      </x:c>
      <x:c r="J1741" s="18" t="n">
        <x:v>135</x:v>
      </x:c>
      <x:c r="K1741" s="18" t="n">
        <x:v>26</x:v>
      </x:c>
      <x:c r="L1741" s="18" t="n">
        <x:v>28</x:v>
      </x:c>
      <x:c r="M1741" s="18" t="n">
        <x:v>26</x:v>
      </x:c>
    </x:row>
    <x:row r="1742">
      <x:c r="A1742" s="22" t="str">
        <x:v>500113017</x:v>
      </x:c>
      <x:c r="B1742" s="17" t="str">
        <x:v>萬華區</x:v>
      </x:c>
      <x:c r="C1742" s="17" t="str">
        <x:v>東園國小</x:v>
      </x:c>
      <x:c r="D1742" s="18" t="n">
        <x:v>26</x:v>
      </x:c>
      <x:c r="E1742" s="18" t="n">
        <x:v>26</x:v>
      </x:c>
      <x:c r="F1742" s="18" t="n">
        <x:v>423</x:v>
      </x:c>
      <x:c r="G1742" s="18" t="n">
        <x:v>26</x:v>
      </x:c>
      <x:c r="H1742" s="18" t="n">
        <x:v>80</x:v>
      </x:c>
      <x:c r="I1742" s="18" t="n">
        <x:v>26</x:v>
      </x:c>
      <x:c r="J1742" s="18" t="n">
        <x:v>243</x:v>
      </x:c>
      <x:c r="K1742" s="18" t="n">
        <x:v>26</x:v>
      </x:c>
      <x:c r="L1742" s="18" t="n">
        <x:v>39</x:v>
      </x:c>
      <x:c r="M1742" s="18" t="n">
        <x:v>26</x:v>
      </x:c>
    </x:row>
    <x:row r="1743">
      <x:c r="A1743" s="22" t="str">
        <x:v>500113018</x:v>
      </x:c>
      <x:c r="B1743" s="17" t="str">
        <x:v>萬華區</x:v>
      </x:c>
      <x:c r="C1743" s="17" t="str">
        <x:v>華中疏散門</x:v>
      </x:c>
      <x:c r="D1743" s="18" t="n">
        <x:v>26</x:v>
      </x:c>
      <x:c r="E1743" s="18" t="n">
        <x:v>26</x:v>
      </x:c>
      <x:c r="F1743" s="18" t="n">
        <x:v>329</x:v>
      </x:c>
      <x:c r="G1743" s="18" t="n">
        <x:v>26</x:v>
      </x:c>
      <x:c r="H1743" s="18" t="n">
        <x:v>61</x:v>
      </x:c>
      <x:c r="I1743" s="18" t="n">
        <x:v>26</x:v>
      </x:c>
      <x:c r="J1743" s="18" t="n">
        <x:v>172</x:v>
      </x:c>
      <x:c r="K1743" s="18" t="n">
        <x:v>26</x:v>
      </x:c>
      <x:c r="L1743" s="18" t="n">
        <x:v>38</x:v>
      </x:c>
      <x:c r="M1743" s="18" t="n">
        <x:v>26</x:v>
      </x:c>
    </x:row>
    <x:row r="1744">
      <x:c r="A1744" s="22" t="str">
        <x:v>500113019</x:v>
      </x:c>
      <x:c r="B1744" s="17" t="str">
        <x:v>萬華區</x:v>
      </x:c>
      <x:c r="C1744" s="17" t="str">
        <x:v>錦德公園</x:v>
      </x:c>
      <x:c r="D1744" s="18" t="n">
        <x:v>26</x:v>
      </x:c>
      <x:c r="E1744" s="18" t="n">
        <x:v>26</x:v>
      </x:c>
      <x:c r="F1744" s="18" t="n">
        <x:v>982</x:v>
      </x:c>
      <x:c r="G1744" s="18" t="n">
        <x:v>26</x:v>
      </x:c>
      <x:c r="H1744" s="18" t="n">
        <x:v>67</x:v>
      </x:c>
      <x:c r="I1744" s="18" t="n">
        <x:v>26</x:v>
      </x:c>
      <x:c r="J1744" s="18" t="n">
        <x:v>234</x:v>
      </x:c>
      <x:c r="K1744" s="18" t="n">
        <x:v>26</x:v>
      </x:c>
      <x:c r="L1744" s="18" t="n">
        <x:v>25</x:v>
      </x:c>
      <x:c r="M1744" s="18" t="n">
        <x:v>26</x:v>
      </x:c>
    </x:row>
    <x:row r="1745">
      <x:c r="A1745" s="22" t="str">
        <x:v>500113020</x:v>
      </x:c>
      <x:c r="B1745" s="17" t="str">
        <x:v>萬華區</x:v>
      </x:c>
      <x:c r="C1745" s="17" t="str">
        <x:v>忠德公園</x:v>
      </x:c>
      <x:c r="D1745" s="18" t="n">
        <x:v>26</x:v>
      </x:c>
      <x:c r="E1745" s="18" t="n">
        <x:v>26</x:v>
      </x:c>
      <x:c r="F1745" s="18" t="n">
        <x:v>583</x:v>
      </x:c>
      <x:c r="G1745" s="18" t="n">
        <x:v>26</x:v>
      </x:c>
      <x:c r="H1745" s="18" t="n">
        <x:v>46</x:v>
      </x:c>
      <x:c r="I1745" s="18" t="n">
        <x:v>26</x:v>
      </x:c>
      <x:c r="J1745" s="18" t="n">
        <x:v>179</x:v>
      </x:c>
      <x:c r="K1745" s="18" t="n">
        <x:v>26</x:v>
      </x:c>
      <x:c r="L1745" s="18" t="n">
        <x:v>40</x:v>
      </x:c>
      <x:c r="M1745" s="18" t="n">
        <x:v>26</x:v>
      </x:c>
    </x:row>
    <x:row r="1746">
      <x:c r="A1746" s="22" t="str">
        <x:v>500113021</x:v>
      </x:c>
      <x:c r="B1746" s="17" t="str">
        <x:v>萬華區</x:v>
      </x:c>
      <x:c r="C1746" s="17" t="str">
        <x:v>萬華國中</x:v>
      </x:c>
      <x:c r="D1746" s="18" t="n">
        <x:v>26</x:v>
      </x:c>
      <x:c r="E1746" s="18" t="n">
        <x:v>26</x:v>
      </x:c>
      <x:c r="F1746" s="18" t="n">
        <x:v>0</x:v>
      </x:c>
      <x:c r="G1746" s="18" t="n">
        <x:v>26</x:v>
      </x:c>
      <x:c r="H1746" s="18" t="n">
        <x:v>0</x:v>
      </x:c>
      <x:c r="I1746" s="18" t="n">
        <x:v>26</x:v>
      </x:c>
      <x:c r="J1746" s="18" t="n">
        <x:v>0</x:v>
      </x:c>
      <x:c r="K1746" s="18" t="n">
        <x:v>26</x:v>
      </x:c>
      <x:c r="L1746" s="18" t="n">
        <x:v>0</x:v>
      </x:c>
      <x:c r="M1746" s="18" t="n">
        <x:v>26</x:v>
      </x:c>
    </x:row>
    <x:row r="1747">
      <x:c r="A1747" s="22" t="str">
        <x:v>500113022</x:v>
      </x:c>
      <x:c r="B1747" s="17" t="str">
        <x:v>萬華區</x:v>
      </x:c>
      <x:c r="C1747" s="17" t="str">
        <x:v>華江高中</x:v>
      </x:c>
      <x:c r="D1747" s="18" t="n">
        <x:v>26</x:v>
      </x:c>
      <x:c r="E1747" s="18" t="n">
        <x:v>26</x:v>
      </x:c>
      <x:c r="F1747" s="18" t="n">
        <x:v>313</x:v>
      </x:c>
      <x:c r="G1747" s="18" t="n">
        <x:v>26</x:v>
      </x:c>
      <x:c r="H1747" s="18" t="n">
        <x:v>55</x:v>
      </x:c>
      <x:c r="I1747" s="18" t="n">
        <x:v>26</x:v>
      </x:c>
      <x:c r="J1747" s="18" t="n">
        <x:v>1095</x:v>
      </x:c>
      <x:c r="K1747" s="18" t="n">
        <x:v>26</x:v>
      </x:c>
      <x:c r="L1747" s="18" t="n">
        <x:v>59</x:v>
      </x:c>
      <x:c r="M1747" s="18" t="n">
        <x:v>26</x:v>
      </x:c>
    </x:row>
    <x:row r="1748">
      <x:c r="A1748" s="22" t="str">
        <x:v>500113023</x:v>
      </x:c>
      <x:c r="B1748" s="17" t="str">
        <x:v>萬華區</x:v>
      </x:c>
      <x:c r="C1748" s="17" t="str">
        <x:v>西園艋舺路口</x:v>
      </x:c>
      <x:c r="D1748" s="18" t="n">
        <x:v>26</x:v>
      </x:c>
      <x:c r="E1748" s="18" t="n">
        <x:v>26</x:v>
      </x:c>
      <x:c r="F1748" s="18" t="n">
        <x:v>409</x:v>
      </x:c>
      <x:c r="G1748" s="18" t="n">
        <x:v>26</x:v>
      </x:c>
      <x:c r="H1748" s="18" t="n">
        <x:v>41</x:v>
      </x:c>
      <x:c r="I1748" s="18" t="n">
        <x:v>26</x:v>
      </x:c>
      <x:c r="J1748" s="18" t="n">
        <x:v>434</x:v>
      </x:c>
      <x:c r="K1748" s="18" t="n">
        <x:v>26</x:v>
      </x:c>
      <x:c r="L1748" s="18" t="n">
        <x:v>48</x:v>
      </x:c>
      <x:c r="M1748" s="18" t="n">
        <x:v>26</x:v>
      </x:c>
    </x:row>
    <x:row r="1749">
      <x:c r="A1749" s="22" t="str">
        <x:v>500113024</x:v>
      </x:c>
      <x:c r="B1749" s="17" t="str">
        <x:v>萬華區</x:v>
      </x:c>
      <x:c r="C1749" s="17" t="str">
        <x:v>艋舺興寧街口</x:v>
      </x:c>
      <x:c r="D1749" s="18" t="n">
        <x:v>26</x:v>
      </x:c>
      <x:c r="E1749" s="18" t="n">
        <x:v>26</x:v>
      </x:c>
      <x:c r="F1749" s="18" t="n">
        <x:v>0</x:v>
      </x:c>
      <x:c r="G1749" s="18" t="n">
        <x:v>26</x:v>
      </x:c>
      <x:c r="H1749" s="18" t="n">
        <x:v>0</x:v>
      </x:c>
      <x:c r="I1749" s="18" t="n">
        <x:v>26</x:v>
      </x:c>
      <x:c r="J1749" s="18" t="n">
        <x:v>0</x:v>
      </x:c>
      <x:c r="K1749" s="18" t="n">
        <x:v>26</x:v>
      </x:c>
      <x:c r="L1749" s="18" t="n">
        <x:v>0</x:v>
      </x:c>
      <x:c r="M1749" s="18" t="n">
        <x:v>26</x:v>
      </x:c>
    </x:row>
    <x:row r="1750">
      <x:c r="A1750" s="22" t="str">
        <x:v>500113025</x:v>
      </x:c>
      <x:c r="B1750" s="17" t="str">
        <x:v>萬華區</x:v>
      </x:c>
      <x:c r="C1750" s="17" t="str">
        <x:v>雙園國中</x:v>
      </x:c>
      <x:c r="D1750" s="18" t="n">
        <x:v>26</x:v>
      </x:c>
      <x:c r="E1750" s="18" t="n">
        <x:v>26</x:v>
      </x:c>
      <x:c r="F1750" s="18" t="n">
        <x:v>247</x:v>
      </x:c>
      <x:c r="G1750" s="18" t="n">
        <x:v>26</x:v>
      </x:c>
      <x:c r="H1750" s="18" t="n">
        <x:v>67</x:v>
      </x:c>
      <x:c r="I1750" s="18" t="n">
        <x:v>26</x:v>
      </x:c>
      <x:c r="J1750" s="18" t="n">
        <x:v>232</x:v>
      </x:c>
      <x:c r="K1750" s="18" t="n">
        <x:v>26</x:v>
      </x:c>
      <x:c r="L1750" s="18" t="n">
        <x:v>47</x:v>
      </x:c>
      <x:c r="M1750" s="18" t="n">
        <x:v>26</x:v>
      </x:c>
    </x:row>
    <x:row r="1751">
      <x:c r="A1751" s="22" t="str">
        <x:v>500113026</x:v>
      </x:c>
      <x:c r="B1751" s="17" t="str">
        <x:v>萬華區</x:v>
      </x:c>
      <x:c r="C1751" s="17" t="str">
        <x:v>長順區民活動中心</x:v>
      </x:c>
      <x:c r="D1751" s="18" t="n">
        <x:v>26</x:v>
      </x:c>
      <x:c r="E1751" s="18" t="n">
        <x:v>26</x:v>
      </x:c>
      <x:c r="F1751" s="18" t="n">
        <x:v>344</x:v>
      </x:c>
      <x:c r="G1751" s="18" t="n">
        <x:v>26</x:v>
      </x:c>
      <x:c r="H1751" s="18" t="n">
        <x:v>79</x:v>
      </x:c>
      <x:c r="I1751" s="18" t="n">
        <x:v>26</x:v>
      </x:c>
      <x:c r="J1751" s="18" t="n">
        <x:v>233</x:v>
      </x:c>
      <x:c r="K1751" s="18" t="n">
        <x:v>26</x:v>
      </x:c>
      <x:c r="L1751" s="18" t="n">
        <x:v>59</x:v>
      </x:c>
      <x:c r="M1751" s="18" t="n">
        <x:v>26</x:v>
      </x:c>
    </x:row>
    <x:row r="1752">
      <x:c r="A1752" s="22" t="str">
        <x:v>500113027</x:v>
      </x:c>
      <x:c r="B1752" s="17" t="str">
        <x:v>萬華區</x:v>
      </x:c>
      <x:c r="C1752" s="17" t="str">
        <x:v>萬華安居社會住宅A區</x:v>
      </x:c>
      <x:c r="D1752" s="18" t="n">
        <x:v>26</x:v>
      </x:c>
      <x:c r="E1752" s="18" t="n">
        <x:v>26</x:v>
      </x:c>
      <x:c r="F1752" s="18" t="n">
        <x:v>616</x:v>
      </x:c>
      <x:c r="G1752" s="18" t="n">
        <x:v>26</x:v>
      </x:c>
      <x:c r="H1752" s="18" t="n">
        <x:v>133</x:v>
      </x:c>
      <x:c r="I1752" s="18" t="n">
        <x:v>26</x:v>
      </x:c>
      <x:c r="J1752" s="18" t="n">
        <x:v>116</x:v>
      </x:c>
      <x:c r="K1752" s="18" t="n">
        <x:v>26</x:v>
      </x:c>
      <x:c r="L1752" s="18" t="n">
        <x:v>34</x:v>
      </x:c>
      <x:c r="M1752" s="18" t="n">
        <x:v>26</x:v>
      </x:c>
    </x:row>
    <x:row r="1753">
      <x:c r="A1753" s="22" t="str">
        <x:v>500113028</x:v>
      </x:c>
      <x:c r="B1753" s="17" t="str">
        <x:v>萬華區</x:v>
      </x:c>
      <x:c r="C1753" s="17" t="str">
        <x:v>華江八號公園</x:v>
      </x:c>
      <x:c r="D1753" s="18" t="n">
        <x:v>26</x:v>
      </x:c>
      <x:c r="E1753" s="18" t="n">
        <x:v>26</x:v>
      </x:c>
      <x:c r="F1753" s="18" t="n">
        <x:v>374</x:v>
      </x:c>
      <x:c r="G1753" s="18" t="n">
        <x:v>26</x:v>
      </x:c>
      <x:c r="H1753" s="18" t="n">
        <x:v>44</x:v>
      </x:c>
      <x:c r="I1753" s="18" t="n">
        <x:v>26</x:v>
      </x:c>
      <x:c r="J1753" s="18" t="n">
        <x:v>112</x:v>
      </x:c>
      <x:c r="K1753" s="18" t="n">
        <x:v>26</x:v>
      </x:c>
      <x:c r="L1753" s="18" t="n">
        <x:v>27</x:v>
      </x:c>
      <x:c r="M1753" s="18" t="n">
        <x:v>26</x:v>
      </x:c>
    </x:row>
    <x:row r="1754">
      <x:c r="A1754" s="22" t="str">
        <x:v>500113029</x:v>
      </x:c>
      <x:c r="B1754" s="17" t="str">
        <x:v>萬華區</x:v>
      </x:c>
      <x:c r="C1754" s="17" t="str">
        <x:v>環河南雙園街口</x:v>
      </x:c>
      <x:c r="D1754" s="18" t="n">
        <x:v>26</x:v>
      </x:c>
      <x:c r="E1754" s="18" t="n">
        <x:v>26</x:v>
      </x:c>
      <x:c r="F1754" s="18" t="n">
        <x:v>334</x:v>
      </x:c>
      <x:c r="G1754" s="18" t="n">
        <x:v>26</x:v>
      </x:c>
      <x:c r="H1754" s="18" t="n">
        <x:v>42</x:v>
      </x:c>
      <x:c r="I1754" s="18" t="n">
        <x:v>26</x:v>
      </x:c>
      <x:c r="J1754" s="18" t="n">
        <x:v>274</x:v>
      </x:c>
      <x:c r="K1754" s="18" t="n">
        <x:v>26</x:v>
      </x:c>
      <x:c r="L1754" s="18" t="n">
        <x:v>64</x:v>
      </x:c>
      <x:c r="M1754" s="18" t="n">
        <x:v>26</x:v>
      </x:c>
    </x:row>
    <x:row r="1755">
      <x:c r="A1755" s="22" t="str">
        <x:v>500113030</x:v>
      </x:c>
      <x:c r="B1755" s="17" t="str">
        <x:v>萬華區</x:v>
      </x:c>
      <x:c r="C1755" s="17" t="str">
        <x:v>大理高中</x:v>
      </x:c>
      <x:c r="D1755" s="18" t="n">
        <x:v>26</x:v>
      </x:c>
      <x:c r="E1755" s="18" t="n">
        <x:v>26</x:v>
      </x:c>
      <x:c r="F1755" s="18" t="n">
        <x:v>206</x:v>
      </x:c>
      <x:c r="G1755" s="18" t="n">
        <x:v>26</x:v>
      </x:c>
      <x:c r="H1755" s="18" t="n">
        <x:v>28</x:v>
      </x:c>
      <x:c r="I1755" s="18" t="n">
        <x:v>26</x:v>
      </x:c>
      <x:c r="J1755" s="18" t="n">
        <x:v>613</x:v>
      </x:c>
      <x:c r="K1755" s="18" t="n">
        <x:v>26</x:v>
      </x:c>
      <x:c r="L1755" s="18" t="n">
        <x:v>51</x:v>
      </x:c>
      <x:c r="M1755" s="18" t="n">
        <x:v>26</x:v>
      </x:c>
    </x:row>
    <x:row r="1756">
      <x:c r="A1756" s="22" t="str">
        <x:v>500113031</x:v>
      </x:c>
      <x:c r="B1756" s="17" t="str">
        <x:v>萬華區</x:v>
      </x:c>
      <x:c r="C1756" s="17" t="str">
        <x:v>糖廍文化園區</x:v>
      </x:c>
      <x:c r="D1756" s="18" t="n">
        <x:v>26</x:v>
      </x:c>
      <x:c r="E1756" s="18" t="n">
        <x:v>26</x:v>
      </x:c>
      <x:c r="F1756" s="18" t="n">
        <x:v>284</x:v>
      </x:c>
      <x:c r="G1756" s="18" t="n">
        <x:v>26</x:v>
      </x:c>
      <x:c r="H1756" s="18" t="n">
        <x:v>39</x:v>
      </x:c>
      <x:c r="I1756" s="18" t="n">
        <x:v>26</x:v>
      </x:c>
      <x:c r="J1756" s="18" t="n">
        <x:v>162</x:v>
      </x:c>
      <x:c r="K1756" s="18" t="n">
        <x:v>26</x:v>
      </x:c>
      <x:c r="L1756" s="18" t="n">
        <x:v>34</x:v>
      </x:c>
      <x:c r="M1756" s="18" t="n">
        <x:v>26</x:v>
      </x:c>
    </x:row>
    <x:row r="1757">
      <x:c r="A1757" s="22" t="str">
        <x:v>500113032</x:v>
      </x:c>
      <x:c r="B1757" s="17" t="str">
        <x:v>萬華區</x:v>
      </x:c>
      <x:c r="C1757" s="17" t="str">
        <x:v>兩棵樹公園</x:v>
      </x:c>
      <x:c r="D1757" s="18" t="n">
        <x:v>26</x:v>
      </x:c>
      <x:c r="E1757" s="18" t="n">
        <x:v>26</x:v>
      </x:c>
      <x:c r="F1757" s="18" t="n">
        <x:v>214</x:v>
      </x:c>
      <x:c r="G1757" s="18" t="n">
        <x:v>26</x:v>
      </x:c>
      <x:c r="H1757" s="18" t="n">
        <x:v>33</x:v>
      </x:c>
      <x:c r="I1757" s="18" t="n">
        <x:v>26</x:v>
      </x:c>
      <x:c r="J1757" s="18" t="n">
        <x:v>243</x:v>
      </x:c>
      <x:c r="K1757" s="18" t="n">
        <x:v>26</x:v>
      </x:c>
      <x:c r="L1757" s="18" t="n">
        <x:v>22</x:v>
      </x:c>
      <x:c r="M1757" s="18" t="n">
        <x:v>26</x:v>
      </x:c>
    </x:row>
    <x:row r="1758">
      <x:c r="A1758" s="22" t="str">
        <x:v>500113033</x:v>
      </x:c>
      <x:c r="B1758" s="17" t="str">
        <x:v>萬華區</x:v>
      </x:c>
      <x:c r="C1758" s="17" t="str">
        <x:v>萬華青年公宅</x:v>
      </x:c>
      <x:c r="D1758" s="18" t="n">
        <x:v>26</x:v>
      </x:c>
      <x:c r="E1758" s="18" t="n">
        <x:v>26</x:v>
      </x:c>
      <x:c r="F1758" s="18" t="n">
        <x:v>422</x:v>
      </x:c>
      <x:c r="G1758" s="18" t="n">
        <x:v>26</x:v>
      </x:c>
      <x:c r="H1758" s="18" t="n">
        <x:v>33</x:v>
      </x:c>
      <x:c r="I1758" s="18" t="n">
        <x:v>26</x:v>
      </x:c>
      <x:c r="J1758" s="18" t="n">
        <x:v>74</x:v>
      </x:c>
      <x:c r="K1758" s="18" t="n">
        <x:v>26</x:v>
      </x:c>
      <x:c r="L1758" s="18" t="n">
        <x:v>15</x:v>
      </x:c>
      <x:c r="M1758" s="18" t="n">
        <x:v>26</x:v>
      </x:c>
    </x:row>
    <x:row r="1759">
      <x:c r="A1759" s="22" t="str">
        <x:v>500113034</x:v>
      </x:c>
      <x:c r="B1759" s="17" t="str">
        <x:v>萬華區</x:v>
      </x:c>
      <x:c r="C1759" s="17" t="str">
        <x:v>開封西寧路口</x:v>
      </x:c>
      <x:c r="D1759" s="18" t="n">
        <x:v>26</x:v>
      </x:c>
      <x:c r="E1759" s="18" t="n">
        <x:v>26</x:v>
      </x:c>
      <x:c r="F1759" s="18" t="n">
        <x:v>983</x:v>
      </x:c>
      <x:c r="G1759" s="18" t="n">
        <x:v>26</x:v>
      </x:c>
      <x:c r="H1759" s="18" t="n">
        <x:v>57</x:v>
      </x:c>
      <x:c r="I1759" s="18" t="n">
        <x:v>26</x:v>
      </x:c>
      <x:c r="J1759" s="18" t="n">
        <x:v>504</x:v>
      </x:c>
      <x:c r="K1759" s="18" t="n">
        <x:v>26</x:v>
      </x:c>
      <x:c r="L1759" s="18" t="n">
        <x:v>94</x:v>
      </x:c>
      <x:c r="M1759" s="18" t="n">
        <x:v>26</x:v>
      </x:c>
    </x:row>
    <x:row r="1760">
      <x:c r="A1760" s="22" t="str">
        <x:v>500113035</x:v>
      </x:c>
      <x:c r="B1760" s="17" t="str">
        <x:v>萬華區</x:v>
      </x:c>
      <x:c r="C1760" s="17" t="str">
        <x:v>峨眉停車場</x:v>
      </x:c>
      <x:c r="D1760" s="18" t="n">
        <x:v>26</x:v>
      </x:c>
      <x:c r="E1760" s="18" t="n">
        <x:v>26</x:v>
      </x:c>
      <x:c r="F1760" s="18" t="n">
        <x:v>194</x:v>
      </x:c>
      <x:c r="G1760" s="18" t="n">
        <x:v>26</x:v>
      </x:c>
      <x:c r="H1760" s="18" t="n">
        <x:v>44</x:v>
      </x:c>
      <x:c r="I1760" s="18" t="n">
        <x:v>26</x:v>
      </x:c>
      <x:c r="J1760" s="18" t="n">
        <x:v>649</x:v>
      </x:c>
      <x:c r="K1760" s="18" t="n">
        <x:v>26</x:v>
      </x:c>
      <x:c r="L1760" s="18" t="n">
        <x:v>82</x:v>
      </x:c>
      <x:c r="M1760" s="18" t="n">
        <x:v>26</x:v>
      </x:c>
    </x:row>
    <x:row r="1761">
      <x:c r="A1761" s="22" t="str">
        <x:v>500113036</x:v>
      </x:c>
      <x:c r="B1761" s="17" t="str">
        <x:v>萬華區</x:v>
      </x:c>
      <x:c r="C1761" s="17" t="str">
        <x:v>長沙公園</x:v>
      </x:c>
      <x:c r="D1761" s="18" t="n">
        <x:v>26</x:v>
      </x:c>
      <x:c r="E1761" s="18" t="n">
        <x:v>26</x:v>
      </x:c>
      <x:c r="F1761" s="18" t="n">
        <x:v>497</x:v>
      </x:c>
      <x:c r="G1761" s="18" t="n">
        <x:v>26</x:v>
      </x:c>
      <x:c r="H1761" s="18" t="n">
        <x:v>81</x:v>
      </x:c>
      <x:c r="I1761" s="18" t="n">
        <x:v>26</x:v>
      </x:c>
      <x:c r="J1761" s="18" t="n">
        <x:v>108</x:v>
      </x:c>
      <x:c r="K1761" s="18" t="n">
        <x:v>26</x:v>
      </x:c>
      <x:c r="L1761" s="18" t="n">
        <x:v>29</x:v>
      </x:c>
      <x:c r="M1761" s="18" t="n">
        <x:v>26</x:v>
      </x:c>
    </x:row>
    <x:row r="1762">
      <x:c r="A1762" s="22" t="str">
        <x:v>500113037</x:v>
      </x:c>
      <x:c r="B1762" s="17" t="str">
        <x:v>萬華區</x:v>
      </x:c>
      <x:c r="C1762" s="17" t="str">
        <x:v>貓公園(中興橋頭)</x:v>
      </x:c>
      <x:c r="D1762" s="18" t="n">
        <x:v>26</x:v>
      </x:c>
      <x:c r="E1762" s="18" t="n">
        <x:v>26</x:v>
      </x:c>
      <x:c r="F1762" s="18" t="n">
        <x:v>361</x:v>
      </x:c>
      <x:c r="G1762" s="18" t="n">
        <x:v>26</x:v>
      </x:c>
      <x:c r="H1762" s="18" t="n">
        <x:v>41</x:v>
      </x:c>
      <x:c r="I1762" s="18" t="n">
        <x:v>26</x:v>
      </x:c>
      <x:c r="J1762" s="18" t="n">
        <x:v>119</x:v>
      </x:c>
      <x:c r="K1762" s="18" t="n">
        <x:v>26</x:v>
      </x:c>
      <x:c r="L1762" s="18" t="n">
        <x:v>22</x:v>
      </x:c>
      <x:c r="M1762" s="18" t="n">
        <x:v>26</x:v>
      </x:c>
    </x:row>
    <x:row r="1763">
      <x:c r="A1763" s="22" t="str">
        <x:v>500113038</x:v>
      </x:c>
      <x:c r="B1763" s="17" t="str">
        <x:v>萬華區</x:v>
      </x:c>
      <x:c r="C1763" s="17" t="str">
        <x:v>西本願寺廣場</x:v>
      </x:c>
      <x:c r="D1763" s="18" t="n">
        <x:v>26</x:v>
      </x:c>
      <x:c r="E1763" s="18" t="n">
        <x:v>26</x:v>
      </x:c>
      <x:c r="F1763" s="18" t="n">
        <x:v>472</x:v>
      </x:c>
      <x:c r="G1763" s="18" t="n">
        <x:v>26</x:v>
      </x:c>
      <x:c r="H1763" s="18" t="n">
        <x:v>71</x:v>
      </x:c>
      <x:c r="I1763" s="18" t="n">
        <x:v>26</x:v>
      </x:c>
      <x:c r="J1763" s="18" t="n">
        <x:v>799</x:v>
      </x:c>
      <x:c r="K1763" s="18" t="n">
        <x:v>26</x:v>
      </x:c>
      <x:c r="L1763" s="18" t="n">
        <x:v>156</x:v>
      </x:c>
      <x:c r="M1763" s="18" t="n">
        <x:v>26</x:v>
      </x:c>
    </x:row>
    <x:row r="1764">
      <x:c r="A1764" s="22" t="str">
        <x:v>500113039</x:v>
      </x:c>
      <x:c r="B1764" s="17" t="str">
        <x:v>萬華區</x:v>
      </x:c>
      <x:c r="C1764" s="17" t="str">
        <x:v>中華桂林路口</x:v>
      </x:c>
      <x:c r="D1764" s="18" t="n">
        <x:v>26</x:v>
      </x:c>
      <x:c r="E1764" s="18" t="n">
        <x:v>26</x:v>
      </x:c>
      <x:c r="F1764" s="18" t="n">
        <x:v>392</x:v>
      </x:c>
      <x:c r="G1764" s="18" t="n">
        <x:v>26</x:v>
      </x:c>
      <x:c r="H1764" s="18" t="n">
        <x:v>72</x:v>
      </x:c>
      <x:c r="I1764" s="18" t="n">
        <x:v>26</x:v>
      </x:c>
      <x:c r="J1764" s="18" t="n">
        <x:v>268</x:v>
      </x:c>
      <x:c r="K1764" s="18" t="n">
        <x:v>26</x:v>
      </x:c>
      <x:c r="L1764" s="18" t="n">
        <x:v>59</x:v>
      </x:c>
      <x:c r="M1764" s="18" t="n">
        <x:v>26</x:v>
      </x:c>
    </x:row>
    <x:row r="1765">
      <x:c r="A1765" s="22" t="str">
        <x:v>500113040</x:v>
      </x:c>
      <x:c r="B1765" s="17" t="str">
        <x:v>萬華區</x:v>
      </x:c>
      <x:c r="C1765" s="17" t="str">
        <x:v>捷運龍山寺站(1號出口)</x:v>
      </x:c>
      <x:c r="D1765" s="18" t="n">
        <x:v>26</x:v>
      </x:c>
      <x:c r="E1765" s="18" t="n">
        <x:v>26</x:v>
      </x:c>
      <x:c r="F1765" s="18" t="n">
        <x:v>0</x:v>
      </x:c>
      <x:c r="G1765" s="18" t="n">
        <x:v>26</x:v>
      </x:c>
      <x:c r="H1765" s="18" t="n">
        <x:v>0</x:v>
      </x:c>
      <x:c r="I1765" s="18" t="n">
        <x:v>26</x:v>
      </x:c>
      <x:c r="J1765" s="18" t="n">
        <x:v>0</x:v>
      </x:c>
      <x:c r="K1765" s="18" t="n">
        <x:v>26</x:v>
      </x:c>
      <x:c r="L1765" s="18" t="n">
        <x:v>0</x:v>
      </x:c>
      <x:c r="M1765" s="18" t="n">
        <x:v>26</x:v>
      </x:c>
    </x:row>
    <x:row r="1766">
      <x:c r="A1766" s="22" t="str">
        <x:v>500113041</x:v>
      </x:c>
      <x:c r="B1766" s="17" t="str">
        <x:v>萬華區</x:v>
      </x:c>
      <x:c r="C1766" s="17" t="str">
        <x:v>龍山國小</x:v>
      </x:c>
      <x:c r="D1766" s="18" t="n">
        <x:v>26</x:v>
      </x:c>
      <x:c r="E1766" s="18" t="n">
        <x:v>26</x:v>
      </x:c>
      <x:c r="F1766" s="18" t="n">
        <x:v>244</x:v>
      </x:c>
      <x:c r="G1766" s="18" t="n">
        <x:v>26</x:v>
      </x:c>
      <x:c r="H1766" s="18" t="n">
        <x:v>44</x:v>
      </x:c>
      <x:c r="I1766" s="18" t="n">
        <x:v>26</x:v>
      </x:c>
      <x:c r="J1766" s="18" t="n">
        <x:v>307</x:v>
      </x:c>
      <x:c r="K1766" s="18" t="n">
        <x:v>26</x:v>
      </x:c>
      <x:c r="L1766" s="18" t="n">
        <x:v>36</x:v>
      </x:c>
      <x:c r="M1766" s="18" t="n">
        <x:v>26</x:v>
      </x:c>
    </x:row>
    <x:row r="1767">
      <x:c r="A1767" s="22" t="str">
        <x:v>500113042</x:v>
      </x:c>
      <x:c r="B1767" s="17" t="str">
        <x:v>萬華區</x:v>
      </x:c>
      <x:c r="C1767" s="17" t="str">
        <x:v>華西公園</x:v>
      </x:c>
      <x:c r="D1767" s="18" t="n">
        <x:v>26</x:v>
      </x:c>
      <x:c r="E1767" s="18" t="n">
        <x:v>26</x:v>
      </x:c>
      <x:c r="F1767" s="18" t="n">
        <x:v>1482</x:v>
      </x:c>
      <x:c r="G1767" s="18" t="n">
        <x:v>26</x:v>
      </x:c>
      <x:c r="H1767" s="18" t="n">
        <x:v>58</x:v>
      </x:c>
      <x:c r="I1767" s="18" t="n">
        <x:v>26</x:v>
      </x:c>
      <x:c r="J1767" s="18" t="n">
        <x:v>468</x:v>
      </x:c>
      <x:c r="K1767" s="18" t="n">
        <x:v>26</x:v>
      </x:c>
      <x:c r="L1767" s="18" t="n">
        <x:v>87</x:v>
      </x:c>
      <x:c r="M1767" s="18" t="n">
        <x:v>26</x:v>
      </x:c>
    </x:row>
    <x:row r="1768">
      <x:c r="A1768" s="22" t="str">
        <x:v>500113043</x:v>
      </x:c>
      <x:c r="B1768" s="17" t="str">
        <x:v>萬華區</x:v>
      </x:c>
      <x:c r="C1768" s="17" t="str">
        <x:v>老松國小</x:v>
      </x:c>
      <x:c r="D1768" s="18" t="n">
        <x:v>26</x:v>
      </x:c>
      <x:c r="E1768" s="18" t="n">
        <x:v>26</x:v>
      </x:c>
      <x:c r="F1768" s="18" t="n">
        <x:v>946</x:v>
      </x:c>
      <x:c r="G1768" s="18" t="n">
        <x:v>26</x:v>
      </x:c>
      <x:c r="H1768" s="18" t="n">
        <x:v>77</x:v>
      </x:c>
      <x:c r="I1768" s="18" t="n">
        <x:v>26</x:v>
      </x:c>
      <x:c r="J1768" s="18" t="n">
        <x:v>300</x:v>
      </x:c>
      <x:c r="K1768" s="18" t="n">
        <x:v>26</x:v>
      </x:c>
      <x:c r="L1768" s="18" t="n">
        <x:v>74</x:v>
      </x:c>
      <x:c r="M1768" s="18" t="n">
        <x:v>26</x:v>
      </x:c>
    </x:row>
    <x:row r="1769">
      <x:c r="A1769" s="22" t="str">
        <x:v>500113044</x:v>
      </x:c>
      <x:c r="B1769" s="17" t="str">
        <x:v>萬華區</x:v>
      </x:c>
      <x:c r="C1769" s="17" t="str">
        <x:v>萬華火車站</x:v>
      </x:c>
      <x:c r="D1769" s="18" t="n">
        <x:v>26</x:v>
      </x:c>
      <x:c r="E1769" s="18" t="n">
        <x:v>26</x:v>
      </x:c>
      <x:c r="F1769" s="18" t="n">
        <x:v>715</x:v>
      </x:c>
      <x:c r="G1769" s="18" t="n">
        <x:v>26</x:v>
      </x:c>
      <x:c r="H1769" s="18" t="n">
        <x:v>72</x:v>
      </x:c>
      <x:c r="I1769" s="18" t="n">
        <x:v>26</x:v>
      </x:c>
      <x:c r="J1769" s="18" t="n">
        <x:v>303</x:v>
      </x:c>
      <x:c r="K1769" s="18" t="n">
        <x:v>26</x:v>
      </x:c>
      <x:c r="L1769" s="18" t="n">
        <x:v>70</x:v>
      </x:c>
      <x:c r="M1769" s="18" t="n">
        <x:v>26</x:v>
      </x:c>
    </x:row>
    <x:row r="1770">
      <x:c r="A1770" s="22" t="str">
        <x:v>500113045</x:v>
      </x:c>
      <x:c r="B1770" s="17" t="str">
        <x:v>萬華區</x:v>
      </x:c>
      <x:c r="C1770" s="17" t="str">
        <x:v>萬華火車站(D2廣場)</x:v>
      </x:c>
      <x:c r="D1770" s="18" t="n">
        <x:v>26</x:v>
      </x:c>
      <x:c r="E1770" s="18" t="n">
        <x:v>26</x:v>
      </x:c>
      <x:c r="F1770" s="18" t="n">
        <x:v>242</x:v>
      </x:c>
      <x:c r="G1770" s="18" t="n">
        <x:v>26</x:v>
      </x:c>
      <x:c r="H1770" s="18" t="n">
        <x:v>39</x:v>
      </x:c>
      <x:c r="I1770" s="18" t="n">
        <x:v>26</x:v>
      </x:c>
      <x:c r="J1770" s="18" t="n">
        <x:v>125</x:v>
      </x:c>
      <x:c r="K1770" s="18" t="n">
        <x:v>26</x:v>
      </x:c>
      <x:c r="L1770" s="18" t="n">
        <x:v>25</x:v>
      </x:c>
      <x:c r="M1770" s="18" t="n">
        <x:v>26</x:v>
      </x:c>
    </x:row>
    <x:row r="1771">
      <x:c r="A1771" s="22" t="str">
        <x:v>500113046</x:v>
      </x:c>
      <x:c r="B1771" s="17" t="str">
        <x:v>萬華區</x:v>
      </x:c>
      <x:c r="C1771" s="17" t="str">
        <x:v>捷運龍山寺站(3號出口)</x:v>
      </x:c>
      <x:c r="D1771" s="18" t="n">
        <x:v>26</x:v>
      </x:c>
      <x:c r="E1771" s="18" t="n">
        <x:v>26</x:v>
      </x:c>
      <x:c r="F1771" s="18" t="n">
        <x:v>305</x:v>
      </x:c>
      <x:c r="G1771" s="18" t="n">
        <x:v>26</x:v>
      </x:c>
      <x:c r="H1771" s="18" t="n">
        <x:v>56</x:v>
      </x:c>
      <x:c r="I1771" s="18" t="n">
        <x:v>26</x:v>
      </x:c>
      <x:c r="J1771" s="18" t="n">
        <x:v>373</x:v>
      </x:c>
      <x:c r="K1771" s="18" t="n">
        <x:v>26</x:v>
      </x:c>
      <x:c r="L1771" s="18" t="n">
        <x:v>51</x:v>
      </x:c>
      <x:c r="M1771" s="18" t="n">
        <x:v>26</x:v>
      </x:c>
    </x:row>
    <x:row r="1772">
      <x:c r="A1772" s="22" t="str">
        <x:v>500113047</x:v>
      </x:c>
      <x:c r="B1772" s="17" t="str">
        <x:v>萬華區</x:v>
      </x:c>
      <x:c r="C1772" s="17" t="str">
        <x:v>臺北市電影主題公園(峨眉街)</x:v>
      </x:c>
      <x:c r="D1772" s="18" t="n">
        <x:v>26</x:v>
      </x:c>
      <x:c r="E1772" s="18" t="n">
        <x:v>26</x:v>
      </x:c>
      <x:c r="F1772" s="18" t="n">
        <x:v>234</x:v>
      </x:c>
      <x:c r="G1772" s="18" t="n">
        <x:v>26</x:v>
      </x:c>
      <x:c r="H1772" s="18" t="n">
        <x:v>15</x:v>
      </x:c>
      <x:c r="I1772" s="18" t="n">
        <x:v>26</x:v>
      </x:c>
      <x:c r="J1772" s="18" t="n">
        <x:v>167</x:v>
      </x:c>
      <x:c r="K1772" s="18" t="n">
        <x:v>26</x:v>
      </x:c>
      <x:c r="L1772" s="18" t="n">
        <x:v>31</x:v>
      </x:c>
      <x:c r="M1772" s="18" t="n">
        <x:v>26</x:v>
      </x:c>
    </x:row>
    <x:row r="1773">
      <x:c r="A1773" s="22" t="str">
        <x:v>500113048</x:v>
      </x:c>
      <x:c r="B1773" s="17" t="str">
        <x:v>萬華區</x:v>
      </x:c>
      <x:c r="C1773" s="17" t="str">
        <x:v>臺北市電影主題公園(康定路)</x:v>
      </x:c>
      <x:c r="D1773" s="18" t="n">
        <x:v>26</x:v>
      </x:c>
      <x:c r="E1773" s="18" t="n">
        <x:v>26</x:v>
      </x:c>
      <x:c r="F1773" s="18" t="n">
        <x:v>267</x:v>
      </x:c>
      <x:c r="G1773" s="18" t="n">
        <x:v>26</x:v>
      </x:c>
      <x:c r="H1773" s="18" t="n">
        <x:v>26</x:v>
      </x:c>
      <x:c r="I1773" s="18" t="n">
        <x:v>26</x:v>
      </x:c>
      <x:c r="J1773" s="18" t="n">
        <x:v>135</x:v>
      </x:c>
      <x:c r="K1773" s="18" t="n">
        <x:v>26</x:v>
      </x:c>
      <x:c r="L1773" s="18" t="n">
        <x:v>25</x:v>
      </x:c>
      <x:c r="M1773" s="18" t="n">
        <x:v>26</x:v>
      </x:c>
    </x:row>
    <x:row r="1774">
      <x:c r="A1774" s="22" t="str">
        <x:v>500113049</x:v>
      </x:c>
      <x:c r="B1774" s="17" t="str">
        <x:v>萬華區</x:v>
      </x:c>
      <x:c r="C1774" s="17" t="str">
        <x:v>中華峨眉街口</x:v>
      </x:c>
      <x:c r="D1774" s="18" t="n">
        <x:v>26</x:v>
      </x:c>
      <x:c r="E1774" s="18" t="n">
        <x:v>26</x:v>
      </x:c>
      <x:c r="F1774" s="18" t="n">
        <x:v>191</x:v>
      </x:c>
      <x:c r="G1774" s="18" t="n">
        <x:v>26</x:v>
      </x:c>
      <x:c r="H1774" s="18" t="n">
        <x:v>53</x:v>
      </x:c>
      <x:c r="I1774" s="18" t="n">
        <x:v>26</x:v>
      </x:c>
      <x:c r="J1774" s="18" t="n">
        <x:v>274</x:v>
      </x:c>
      <x:c r="K1774" s="18" t="n">
        <x:v>26</x:v>
      </x:c>
      <x:c r="L1774" s="18" t="n">
        <x:v>74</x:v>
      </x:c>
      <x:c r="M1774" s="18" t="n">
        <x:v>26</x:v>
      </x:c>
    </x:row>
    <x:row r="1775">
      <x:c r="A1775" s="22" t="str">
        <x:v>500113050</x:v>
      </x:c>
      <x:c r="B1775" s="17" t="str">
        <x:v>萬華區</x:v>
      </x:c>
      <x:c r="C1775" s="17" t="str">
        <x:v>萬華266號綠地</x:v>
      </x:c>
      <x:c r="D1775" s="18" t="n">
        <x:v>26</x:v>
      </x:c>
      <x:c r="E1775" s="18" t="n">
        <x:v>26</x:v>
      </x:c>
      <x:c r="F1775" s="18" t="n">
        <x:v>474</x:v>
      </x:c>
      <x:c r="G1775" s="18" t="n">
        <x:v>26</x:v>
      </x:c>
      <x:c r="H1775" s="18" t="n">
        <x:v>40</x:v>
      </x:c>
      <x:c r="I1775" s="18" t="n">
        <x:v>26</x:v>
      </x:c>
      <x:c r="J1775" s="18" t="n">
        <x:v>103</x:v>
      </x:c>
      <x:c r="K1775" s="18" t="n">
        <x:v>26</x:v>
      </x:c>
      <x:c r="L1775" s="18" t="n">
        <x:v>38</x:v>
      </x:c>
      <x:c r="M1775" s="18" t="n">
        <x:v>26</x:v>
      </x:c>
    </x:row>
    <x:row r="1776">
      <x:c r="A1776" s="22" t="str">
        <x:v>500113051</x:v>
      </x:c>
      <x:c r="B1776" s="17" t="str">
        <x:v>萬華區</x:v>
      </x:c>
      <x:c r="C1776" s="17" t="str">
        <x:v>萬大國小(萬大路344巷口)</x:v>
      </x:c>
      <x:c r="D1776" s="18" t="n">
        <x:v>26</x:v>
      </x:c>
      <x:c r="E1776" s="18" t="n">
        <x:v>26</x:v>
      </x:c>
      <x:c r="F1776" s="18" t="n">
        <x:v>153</x:v>
      </x:c>
      <x:c r="G1776" s="18" t="n">
        <x:v>26</x:v>
      </x:c>
      <x:c r="H1776" s="18" t="n">
        <x:v>31</x:v>
      </x:c>
      <x:c r="I1776" s="18" t="n">
        <x:v>26</x:v>
      </x:c>
      <x:c r="J1776" s="18" t="n">
        <x:v>138</x:v>
      </x:c>
      <x:c r="K1776" s="18" t="n">
        <x:v>26</x:v>
      </x:c>
      <x:c r="L1776" s="18" t="n">
        <x:v>7</x:v>
      </x:c>
      <x:c r="M1776" s="18" t="n">
        <x:v>26</x:v>
      </x:c>
    </x:row>
    <x:row r="1777">
      <x:c r="A1777" s="22" t="str">
        <x:v>500113052</x:v>
      </x:c>
      <x:c r="B1777" s="17" t="str">
        <x:v>萬華區</x:v>
      </x:c>
      <x:c r="C1777" s="17" t="str">
        <x:v>德昌街10巷口</x:v>
      </x:c>
      <x:c r="D1777" s="18" t="n">
        <x:v>26</x:v>
      </x:c>
      <x:c r="E1777" s="18" t="n">
        <x:v>26</x:v>
      </x:c>
      <x:c r="F1777" s="18" t="n">
        <x:v>260</x:v>
      </x:c>
      <x:c r="G1777" s="18" t="n">
        <x:v>26</x:v>
      </x:c>
      <x:c r="H1777" s="18" t="n">
        <x:v>31</x:v>
      </x:c>
      <x:c r="I1777" s="18" t="n">
        <x:v>26</x:v>
      </x:c>
      <x:c r="J1777" s="18" t="n">
        <x:v>118</x:v>
      </x:c>
      <x:c r="K1777" s="18" t="n">
        <x:v>26</x:v>
      </x:c>
      <x:c r="L1777" s="18" t="n">
        <x:v>20</x:v>
      </x:c>
      <x:c r="M1777" s="18" t="n">
        <x:v>26</x:v>
      </x:c>
    </x:row>
    <x:row r="1778">
      <x:c r="A1778" s="22" t="str">
        <x:v>500113053</x:v>
      </x:c>
      <x:c r="B1778" s="17" t="str">
        <x:v>萬華區</x:v>
      </x:c>
      <x:c r="C1778" s="17" t="str">
        <x:v>環河南和平西路口</x:v>
      </x:c>
      <x:c r="D1778" s="18" t="n">
        <x:v>26</x:v>
      </x:c>
      <x:c r="E1778" s="18" t="n">
        <x:v>26</x:v>
      </x:c>
      <x:c r="F1778" s="18" t="n">
        <x:v>181</x:v>
      </x:c>
      <x:c r="G1778" s="18" t="n">
        <x:v>26</x:v>
      </x:c>
      <x:c r="H1778" s="18" t="n">
        <x:v>8</x:v>
      </x:c>
      <x:c r="I1778" s="18" t="n">
        <x:v>26</x:v>
      </x:c>
      <x:c r="J1778" s="18" t="n">
        <x:v>45</x:v>
      </x:c>
      <x:c r="K1778" s="18" t="n">
        <x:v>26</x:v>
      </x:c>
      <x:c r="L1778" s="18" t="n">
        <x:v>5</x:v>
      </x:c>
      <x:c r="M1778" s="18" t="n">
        <x:v>26</x:v>
      </x:c>
    </x:row>
    <x:row r="1779">
      <x:c r="A1779" s="22" t="str">
        <x:v>500113054</x:v>
      </x:c>
      <x:c r="B1779" s="17" t="str">
        <x:v>萬華區</x:v>
      </x:c>
      <x:c r="C1779" s="17" t="str">
        <x:v>長順街60巷口</x:v>
      </x:c>
      <x:c r="D1779" s="18" t="n">
        <x:v>26</x:v>
      </x:c>
      <x:c r="E1779" s="18" t="n">
        <x:v>26</x:v>
      </x:c>
      <x:c r="F1779" s="18" t="n">
        <x:v>226</x:v>
      </x:c>
      <x:c r="G1779" s="18" t="n">
        <x:v>26</x:v>
      </x:c>
      <x:c r="H1779" s="18" t="n">
        <x:v>28</x:v>
      </x:c>
      <x:c r="I1779" s="18" t="n">
        <x:v>26</x:v>
      </x:c>
      <x:c r="J1779" s="18" t="n">
        <x:v>201</x:v>
      </x:c>
      <x:c r="K1779" s="18" t="n">
        <x:v>26</x:v>
      </x:c>
      <x:c r="L1779" s="18" t="n">
        <x:v>15</x:v>
      </x:c>
      <x:c r="M1779" s="18" t="n">
        <x:v>26</x:v>
      </x:c>
    </x:row>
    <x:row r="1780">
      <x:c r="A1780" s="22" t="str">
        <x:v>500113055</x:v>
      </x:c>
      <x:c r="B1780" s="17" t="str">
        <x:v>萬華區</x:v>
      </x:c>
      <x:c r="C1780" s="17" t="str">
        <x:v>西園公園</x:v>
      </x:c>
      <x:c r="D1780" s="18" t="n">
        <x:v>26</x:v>
      </x:c>
      <x:c r="E1780" s="18" t="n">
        <x:v>26</x:v>
      </x:c>
      <x:c r="F1780" s="18" t="n">
        <x:v>353</x:v>
      </x:c>
      <x:c r="G1780" s="18" t="n">
        <x:v>26</x:v>
      </x:c>
      <x:c r="H1780" s="18" t="n">
        <x:v>27</x:v>
      </x:c>
      <x:c r="I1780" s="18" t="n">
        <x:v>26</x:v>
      </x:c>
      <x:c r="J1780" s="18" t="n">
        <x:v>154</x:v>
      </x:c>
      <x:c r="K1780" s="18" t="n">
        <x:v>26</x:v>
      </x:c>
      <x:c r="L1780" s="18" t="n">
        <x:v>22</x:v>
      </x:c>
      <x:c r="M1780" s="18" t="n">
        <x:v>26</x:v>
      </x:c>
    </x:row>
    <x:row r="1781">
      <x:c r="A1781" s="22" t="str">
        <x:v>500113056</x:v>
      </x:c>
      <x:c r="B1781" s="17" t="str">
        <x:v>萬華區</x:v>
      </x:c>
      <x:c r="C1781" s="17" t="str">
        <x:v>華江污水廠</x:v>
      </x:c>
      <x:c r="D1781" s="18" t="n">
        <x:v>26</x:v>
      </x:c>
      <x:c r="E1781" s="18" t="n">
        <x:v>26</x:v>
      </x:c>
      <x:c r="F1781" s="18" t="n">
        <x:v>449</x:v>
      </x:c>
      <x:c r="G1781" s="18" t="n">
        <x:v>26</x:v>
      </x:c>
      <x:c r="H1781" s="18" t="n">
        <x:v>48</x:v>
      </x:c>
      <x:c r="I1781" s="18" t="n">
        <x:v>26</x:v>
      </x:c>
      <x:c r="J1781" s="18" t="n">
        <x:v>155</x:v>
      </x:c>
      <x:c r="K1781" s="18" t="n">
        <x:v>26</x:v>
      </x:c>
      <x:c r="L1781" s="18" t="n">
        <x:v>32</x:v>
      </x:c>
      <x:c r="M1781" s="18" t="n">
        <x:v>26</x:v>
      </x:c>
    </x:row>
    <x:row r="1782">
      <x:c r="A1782" s="22" t="str">
        <x:v>500113057</x:v>
      </x:c>
      <x:c r="B1782" s="17" t="str">
        <x:v>萬華區</x:v>
      </x:c>
      <x:c r="C1782" s="17" t="str">
        <x:v>柳鄉公園</x:v>
      </x:c>
      <x:c r="D1782" s="18" t="n">
        <x:v>26</x:v>
      </x:c>
      <x:c r="E1782" s="18" t="n">
        <x:v>26</x:v>
      </x:c>
      <x:c r="F1782" s="18" t="n">
        <x:v>632</x:v>
      </x:c>
      <x:c r="G1782" s="18" t="n">
        <x:v>26</x:v>
      </x:c>
      <x:c r="H1782" s="18" t="n">
        <x:v>71</x:v>
      </x:c>
      <x:c r="I1782" s="18" t="n">
        <x:v>26</x:v>
      </x:c>
      <x:c r="J1782" s="18" t="n">
        <x:v>177</x:v>
      </x:c>
      <x:c r="K1782" s="18" t="n">
        <x:v>26</x:v>
      </x:c>
      <x:c r="L1782" s="18" t="n">
        <x:v>48</x:v>
      </x:c>
      <x:c r="M1782" s="18" t="n">
        <x:v>26</x:v>
      </x:c>
    </x:row>
    <x:row r="1783">
      <x:c r="A1783" s="22" t="str">
        <x:v>500113058</x:v>
      </x:c>
      <x:c r="B1783" s="17" t="str">
        <x:v>萬華區</x:v>
      </x:c>
      <x:c r="C1783" s="17" t="str">
        <x:v>綠堤社區公園</x:v>
      </x:c>
      <x:c r="D1783" s="18" t="n">
        <x:v>26</x:v>
      </x:c>
      <x:c r="E1783" s="18" t="n">
        <x:v>26</x:v>
      </x:c>
      <x:c r="F1783" s="18" t="n">
        <x:v>589</x:v>
      </x:c>
      <x:c r="G1783" s="18" t="n">
        <x:v>26</x:v>
      </x:c>
      <x:c r="H1783" s="18" t="n">
        <x:v>83</x:v>
      </x:c>
      <x:c r="I1783" s="18" t="n">
        <x:v>26</x:v>
      </x:c>
      <x:c r="J1783" s="18" t="n">
        <x:v>118</x:v>
      </x:c>
      <x:c r="K1783" s="18" t="n">
        <x:v>26</x:v>
      </x:c>
      <x:c r="L1783" s="18" t="n">
        <x:v>17</x:v>
      </x:c>
      <x:c r="M1783" s="18" t="n">
        <x:v>26</x:v>
      </x:c>
    </x:row>
    <x:row r="1784">
      <x:c r="A1784" s="22" t="str">
        <x:v>500113059</x:v>
      </x:c>
      <x:c r="B1784" s="17" t="str">
        <x:v>萬華區</x:v>
      </x:c>
      <x:c r="C1784" s="17" t="str">
        <x:v>長順艋舺大道口</x:v>
      </x:c>
      <x:c r="D1784" s="18" t="n">
        <x:v>26</x:v>
      </x:c>
      <x:c r="E1784" s="18" t="n">
        <x:v>26</x:v>
      </x:c>
      <x:c r="F1784" s="18" t="n">
        <x:v>228</x:v>
      </x:c>
      <x:c r="G1784" s="18" t="n">
        <x:v>26</x:v>
      </x:c>
      <x:c r="H1784" s="18" t="n">
        <x:v>34</x:v>
      </x:c>
      <x:c r="I1784" s="18" t="n">
        <x:v>26</x:v>
      </x:c>
      <x:c r="J1784" s="18" t="n">
        <x:v>454</x:v>
      </x:c>
      <x:c r="K1784" s="18" t="n">
        <x:v>26</x:v>
      </x:c>
      <x:c r="L1784" s="18" t="n">
        <x:v>64</x:v>
      </x:c>
      <x:c r="M1784" s="18" t="n">
        <x:v>26</x:v>
      </x:c>
    </x:row>
    <x:row r="1785">
      <x:c r="A1785" s="22" t="str">
        <x:v>500113060</x:v>
      </x:c>
      <x:c r="B1785" s="17" t="str">
        <x:v>萬華區</x:v>
      </x:c>
      <x:c r="C1785" s="17" t="str">
        <x:v>富民路145巷口</x:v>
      </x:c>
      <x:c r="D1785" s="18" t="n">
        <x:v>26</x:v>
      </x:c>
      <x:c r="E1785" s="18" t="n">
        <x:v>26</x:v>
      </x:c>
      <x:c r="F1785" s="18" t="n">
        <x:v>320</x:v>
      </x:c>
      <x:c r="G1785" s="18" t="n">
        <x:v>26</x:v>
      </x:c>
      <x:c r="H1785" s="18" t="n">
        <x:v>67</x:v>
      </x:c>
      <x:c r="I1785" s="18" t="n">
        <x:v>26</x:v>
      </x:c>
      <x:c r="J1785" s="18" t="n">
        <x:v>125</x:v>
      </x:c>
      <x:c r="K1785" s="18" t="n">
        <x:v>26</x:v>
      </x:c>
      <x:c r="L1785" s="18" t="n">
        <x:v>25</x:v>
      </x:c>
      <x:c r="M1785" s="18" t="n">
        <x:v>26</x:v>
      </x:c>
    </x:row>
    <x:row r="1786">
      <x:c r="A1786" s="22" t="str">
        <x:v>500113061</x:v>
      </x:c>
      <x:c r="B1786" s="17" t="str">
        <x:v>萬華區</x:v>
      </x:c>
      <x:c r="C1786" s="17" t="str">
        <x:v>環南綜合市場</x:v>
      </x:c>
      <x:c r="D1786" s="18" t="n">
        <x:v>26</x:v>
      </x:c>
      <x:c r="E1786" s="18" t="n">
        <x:v>26</x:v>
      </x:c>
      <x:c r="F1786" s="18" t="n">
        <x:v>308</x:v>
      </x:c>
      <x:c r="G1786" s="18" t="n">
        <x:v>26</x:v>
      </x:c>
      <x:c r="H1786" s="18" t="n">
        <x:v>54</x:v>
      </x:c>
      <x:c r="I1786" s="18" t="n">
        <x:v>26</x:v>
      </x:c>
      <x:c r="J1786" s="18" t="n">
        <x:v>252</x:v>
      </x:c>
      <x:c r="K1786" s="18" t="n">
        <x:v>26</x:v>
      </x:c>
      <x:c r="L1786" s="18" t="n">
        <x:v>28</x:v>
      </x:c>
      <x:c r="M1786" s="18" t="n">
        <x:v>26</x:v>
      </x:c>
    </x:row>
    <x:row r="1787">
      <x:c r="A1787" s="22" t="str">
        <x:v>500113062</x:v>
      </x:c>
      <x:c r="B1787" s="17" t="str">
        <x:v>萬華區</x:v>
      </x:c>
      <x:c r="C1787" s="17" t="str">
        <x:v>龍山國中</x:v>
      </x:c>
      <x:c r="D1787" s="18" t="n">
        <x:v>26</x:v>
      </x:c>
      <x:c r="E1787" s="18" t="n">
        <x:v>26</x:v>
      </x:c>
      <x:c r="F1787" s="18" t="n">
        <x:v>110</x:v>
      </x:c>
      <x:c r="G1787" s="18" t="n">
        <x:v>26</x:v>
      </x:c>
      <x:c r="H1787" s="18" t="n">
        <x:v>12</x:v>
      </x:c>
      <x:c r="I1787" s="18" t="n">
        <x:v>26</x:v>
      </x:c>
      <x:c r="J1787" s="18" t="n">
        <x:v>97</x:v>
      </x:c>
      <x:c r="K1787" s="18" t="n">
        <x:v>26</x:v>
      </x:c>
      <x:c r="L1787" s="18" t="n">
        <x:v>20</x:v>
      </x:c>
      <x:c r="M1787" s="18" t="n">
        <x:v>26</x:v>
      </x:c>
    </x:row>
    <x:row r="1788">
      <x:c r="A1788" s="22" t="str">
        <x:v>500113063</x:v>
      </x:c>
      <x:c r="B1788" s="17" t="str">
        <x:v>萬華區</x:v>
      </x:c>
      <x:c r="C1788" s="17" t="str">
        <x:v>洛陽停車場</x:v>
      </x:c>
      <x:c r="D1788" s="18" t="n">
        <x:v>26</x:v>
      </x:c>
      <x:c r="E1788" s="18" t="n">
        <x:v>26</x:v>
      </x:c>
      <x:c r="F1788" s="18" t="n">
        <x:v>0</x:v>
      </x:c>
      <x:c r="G1788" s="18" t="n">
        <x:v>26</x:v>
      </x:c>
      <x:c r="H1788" s="18" t="n">
        <x:v>0</x:v>
      </x:c>
      <x:c r="I1788" s="18" t="n">
        <x:v>26</x:v>
      </x:c>
      <x:c r="J1788" s="18" t="n">
        <x:v>0</x:v>
      </x:c>
      <x:c r="K1788" s="18" t="n">
        <x:v>26</x:v>
      </x:c>
      <x:c r="L1788" s="18" t="n">
        <x:v>0</x:v>
      </x:c>
      <x:c r="M1788" s="18" t="n">
        <x:v>26</x:v>
      </x:c>
    </x:row>
    <x:row r="1789">
      <x:c r="A1789" s="22" t="str">
        <x:v>500113064</x:v>
      </x:c>
      <x:c r="B1789" s="17" t="str">
        <x:v>萬華區</x:v>
      </x:c>
      <x:c r="C1789" s="17" t="str">
        <x:v>桂林昆明街口</x:v>
      </x:c>
      <x:c r="D1789" s="18" t="n">
        <x:v>26</x:v>
      </x:c>
      <x:c r="E1789" s="18" t="n">
        <x:v>26</x:v>
      </x:c>
      <x:c r="F1789" s="18" t="n">
        <x:v>787</x:v>
      </x:c>
      <x:c r="G1789" s="18" t="n">
        <x:v>26</x:v>
      </x:c>
      <x:c r="H1789" s="18" t="n">
        <x:v>52</x:v>
      </x:c>
      <x:c r="I1789" s="18" t="n">
        <x:v>26</x:v>
      </x:c>
      <x:c r="J1789" s="18" t="n">
        <x:v>238</x:v>
      </x:c>
      <x:c r="K1789" s="18" t="n">
        <x:v>26</x:v>
      </x:c>
      <x:c r="L1789" s="18" t="n">
        <x:v>39</x:v>
      </x:c>
      <x:c r="M1789" s="18" t="n">
        <x:v>26</x:v>
      </x:c>
    </x:row>
    <x:row r="1790">
      <x:c r="A1790" s="22" t="str">
        <x:v>500113065</x:v>
      </x:c>
      <x:c r="B1790" s="17" t="str">
        <x:v>萬華區</x:v>
      </x:c>
      <x:c r="C1790" s="17" t="str">
        <x:v>萬華國中_1</x:v>
      </x:c>
      <x:c r="D1790" s="18" t="n">
        <x:v>26</x:v>
      </x:c>
      <x:c r="E1790" s="18" t="n">
        <x:v>26</x:v>
      </x:c>
      <x:c r="F1790" s="18" t="n">
        <x:v>210</x:v>
      </x:c>
      <x:c r="G1790" s="18" t="n">
        <x:v>26</x:v>
      </x:c>
      <x:c r="H1790" s="18" t="n">
        <x:v>71</x:v>
      </x:c>
      <x:c r="I1790" s="18" t="n">
        <x:v>26</x:v>
      </x:c>
      <x:c r="J1790" s="18" t="n">
        <x:v>362</x:v>
      </x:c>
      <x:c r="K1790" s="18" t="n">
        <x:v>26</x:v>
      </x:c>
      <x:c r="L1790" s="18" t="n">
        <x:v>50</x:v>
      </x:c>
      <x:c r="M1790" s="18" t="n">
        <x:v>26</x:v>
      </x:c>
    </x:row>
    <x:row r="1791">
      <x:c r="A1791" s="22" t="str">
        <x:v>500113066</x:v>
      </x:c>
      <x:c r="B1791" s="17" t="str">
        <x:v>萬華區</x:v>
      </x:c>
      <x:c r="C1791" s="17" t="str">
        <x:v>青年公園3號出口</x:v>
      </x:c>
      <x:c r="D1791" s="18" t="n">
        <x:v>26</x:v>
      </x:c>
      <x:c r="E1791" s="18" t="n">
        <x:v>26</x:v>
      </x:c>
      <x:c r="F1791" s="18" t="n">
        <x:v>559</x:v>
      </x:c>
      <x:c r="G1791" s="18" t="n">
        <x:v>26</x:v>
      </x:c>
      <x:c r="H1791" s="18" t="n">
        <x:v>89</x:v>
      </x:c>
      <x:c r="I1791" s="18" t="n">
        <x:v>26</x:v>
      </x:c>
      <x:c r="J1791" s="18" t="n">
        <x:v>200</x:v>
      </x:c>
      <x:c r="K1791" s="18" t="n">
        <x:v>26</x:v>
      </x:c>
      <x:c r="L1791" s="18" t="n">
        <x:v>26</x:v>
      </x:c>
      <x:c r="M1791" s="18" t="n">
        <x:v>26</x:v>
      </x:c>
    </x:row>
    <x:row r="1792">
      <x:c r="A1792" s="22" t="str">
        <x:v>500113068</x:v>
      </x:c>
      <x:c r="B1792" s="17" t="str">
        <x:v>萬華區</x:v>
      </x:c>
      <x:c r="C1792" s="17" t="str">
        <x:v>捷運龍山寺站(1號出口)_1</x:v>
      </x:c>
      <x:c r="D1792" s="18" t="n">
        <x:v>26</x:v>
      </x:c>
      <x:c r="E1792" s="18" t="n">
        <x:v>26</x:v>
      </x:c>
      <x:c r="F1792" s="18" t="n">
        <x:v>0</x:v>
      </x:c>
      <x:c r="G1792" s="18" t="n">
        <x:v>26</x:v>
      </x:c>
      <x:c r="H1792" s="18" t="n">
        <x:v>0</x:v>
      </x:c>
      <x:c r="I1792" s="18" t="n">
        <x:v>26</x:v>
      </x:c>
      <x:c r="J1792" s="18" t="n">
        <x:v>0</x:v>
      </x:c>
      <x:c r="K1792" s="18" t="n">
        <x:v>26</x:v>
      </x:c>
      <x:c r="L1792" s="18" t="n">
        <x:v>0</x:v>
      </x:c>
      <x:c r="M1792" s="18" t="n">
        <x:v>26</x:v>
      </x:c>
    </x:row>
    <x:row r="1793">
      <x:c r="A1793" s="22" t="str">
        <x:v>500113069</x:v>
      </x:c>
      <x:c r="B1793" s="17" t="str">
        <x:v>萬華區</x:v>
      </x:c>
      <x:c r="C1793" s="17" t="str">
        <x:v>莒光社會住宅</x:v>
      </x:c>
      <x:c r="D1793" s="18" t="n">
        <x:v>26</x:v>
      </x:c>
      <x:c r="E1793" s="18" t="n">
        <x:v>26</x:v>
      </x:c>
      <x:c r="F1793" s="18" t="n">
        <x:v>371</x:v>
      </x:c>
      <x:c r="G1793" s="18" t="n">
        <x:v>26</x:v>
      </x:c>
      <x:c r="H1793" s="18" t="n">
        <x:v>75</x:v>
      </x:c>
      <x:c r="I1793" s="18" t="n">
        <x:v>26</x:v>
      </x:c>
      <x:c r="J1793" s="18" t="n">
        <x:v>283</x:v>
      </x:c>
      <x:c r="K1793" s="18" t="n">
        <x:v>26</x:v>
      </x:c>
      <x:c r="L1793" s="18" t="n">
        <x:v>53</x:v>
      </x:c>
      <x:c r="M1793" s="18" t="n">
        <x:v>26</x:v>
      </x:c>
    </x:row>
    <x:row r="1794">
      <x:c r="A1794" s="22" t="str">
        <x:v>500113070</x:v>
      </x:c>
      <x:c r="B1794" s="17" t="str">
        <x:v>萬華區</x:v>
      </x:c>
      <x:c r="C1794" s="17" t="str">
        <x:v>艋舺西藏路口</x:v>
      </x:c>
      <x:c r="D1794" s="18" t="n">
        <x:v>26</x:v>
      </x:c>
      <x:c r="E1794" s="18" t="n">
        <x:v>26</x:v>
      </x:c>
      <x:c r="F1794" s="18" t="n">
        <x:v>204</x:v>
      </x:c>
      <x:c r="G1794" s="18" t="n">
        <x:v>26</x:v>
      </x:c>
      <x:c r="H1794" s="18" t="n">
        <x:v>21</x:v>
      </x:c>
      <x:c r="I1794" s="18" t="n">
        <x:v>26</x:v>
      </x:c>
      <x:c r="J1794" s="18" t="n">
        <x:v>138</x:v>
      </x:c>
      <x:c r="K1794" s="18" t="n">
        <x:v>26</x:v>
      </x:c>
      <x:c r="L1794" s="18" t="n">
        <x:v>13</x:v>
      </x:c>
      <x:c r="M1794" s="18" t="n">
        <x:v>26</x:v>
      </x:c>
    </x:row>
    <x:row r="1795">
      <x:c r="A1795" s="22" t="str">
        <x:v>500113071</x:v>
      </x:c>
      <x:c r="B1795" s="17" t="str">
        <x:v>萬華區</x:v>
      </x:c>
      <x:c r="C1795" s="17" t="str">
        <x:v>萬大路493巷</x:v>
      </x:c>
      <x:c r="D1795" s="18" t="n">
        <x:v>26</x:v>
      </x:c>
      <x:c r="E1795" s="18" t="n">
        <x:v>26</x:v>
      </x:c>
      <x:c r="F1795" s="18" t="n">
        <x:v>167</x:v>
      </x:c>
      <x:c r="G1795" s="18" t="n">
        <x:v>26</x:v>
      </x:c>
      <x:c r="H1795" s="18" t="n">
        <x:v>46</x:v>
      </x:c>
      <x:c r="I1795" s="18" t="n">
        <x:v>26</x:v>
      </x:c>
      <x:c r="J1795" s="18" t="n">
        <x:v>68</x:v>
      </x:c>
      <x:c r="K1795" s="18" t="n">
        <x:v>26</x:v>
      </x:c>
      <x:c r="L1795" s="18" t="n">
        <x:v>40</x:v>
      </x:c>
      <x:c r="M1795" s="18" t="n">
        <x:v>26</x:v>
      </x:c>
    </x:row>
    <x:row r="1796">
      <x:c r="A1796" s="22" t="str">
        <x:v>500113072</x:v>
      </x:c>
      <x:c r="B1796" s="17" t="str">
        <x:v>萬華區</x:v>
      </x:c>
      <x:c r="C1796" s="17" t="str">
        <x:v>雙園國中地下停車場</x:v>
      </x:c>
      <x:c r="D1796" s="18" t="n">
        <x:v>26</x:v>
      </x:c>
      <x:c r="E1796" s="18" t="n">
        <x:v>26</x:v>
      </x:c>
      <x:c r="F1796" s="18" t="n">
        <x:v>255</x:v>
      </x:c>
      <x:c r="G1796" s="18" t="n">
        <x:v>26</x:v>
      </x:c>
      <x:c r="H1796" s="18" t="n">
        <x:v>18</x:v>
      </x:c>
      <x:c r="I1796" s="18" t="n">
        <x:v>26</x:v>
      </x:c>
      <x:c r="J1796" s="18" t="n">
        <x:v>115</x:v>
      </x:c>
      <x:c r="K1796" s="18" t="n">
        <x:v>26</x:v>
      </x:c>
      <x:c r="L1796" s="18" t="n">
        <x:v>26</x:v>
      </x:c>
      <x:c r="M1796" s="18" t="n">
        <x:v>26</x:v>
      </x:c>
    </x:row>
    <x:row r="1797">
      <x:c r="A1797" s="22" t="str">
        <x:v>500113073</x:v>
      </x:c>
      <x:c r="B1797" s="17" t="str">
        <x:v>萬華區</x:v>
      </x:c>
      <x:c r="C1797" s="17" t="str">
        <x:v>青年路152巷口</x:v>
      </x:c>
      <x:c r="D1797" s="18" t="n">
        <x:v>26</x:v>
      </x:c>
      <x:c r="E1797" s="18" t="n">
        <x:v>26</x:v>
      </x:c>
      <x:c r="F1797" s="18" t="n">
        <x:v>672</x:v>
      </x:c>
      <x:c r="G1797" s="18" t="n">
        <x:v>26</x:v>
      </x:c>
      <x:c r="H1797" s="18" t="n">
        <x:v>108</x:v>
      </x:c>
      <x:c r="I1797" s="18" t="n">
        <x:v>26</x:v>
      </x:c>
      <x:c r="J1797" s="18" t="n">
        <x:v>91</x:v>
      </x:c>
      <x:c r="K1797" s="18" t="n">
        <x:v>26</x:v>
      </x:c>
      <x:c r="L1797" s="18" t="n">
        <x:v>15</x:v>
      </x:c>
      <x:c r="M1797" s="18" t="n">
        <x:v>26</x:v>
      </x:c>
    </x:row>
    <x:row r="1798">
      <x:c r="A1798" s="22" t="str">
        <x:v>500113074</x:v>
      </x:c>
      <x:c r="B1798" s="17" t="str">
        <x:v>萬華區</x:v>
      </x:c>
      <x:c r="C1798" s="17" t="str">
        <x:v>和平西路二段190巷口</x:v>
      </x:c>
      <x:c r="D1798" s="18" t="n">
        <x:v>26</x:v>
      </x:c>
      <x:c r="E1798" s="18" t="n">
        <x:v>26</x:v>
      </x:c>
      <x:c r="F1798" s="18" t="n">
        <x:v>249</x:v>
      </x:c>
      <x:c r="G1798" s="18" t="n">
        <x:v>26</x:v>
      </x:c>
      <x:c r="H1798" s="18" t="n">
        <x:v>26</x:v>
      </x:c>
      <x:c r="I1798" s="18" t="n">
        <x:v>26</x:v>
      </x:c>
      <x:c r="J1798" s="18" t="n">
        <x:v>145</x:v>
      </x:c>
      <x:c r="K1798" s="18" t="n">
        <x:v>26</x:v>
      </x:c>
      <x:c r="L1798" s="18" t="n">
        <x:v>35</x:v>
      </x:c>
      <x:c r="M1798" s="18" t="n">
        <x:v>26</x:v>
      </x:c>
    </x:row>
    <x:row r="1799">
      <x:c r="A1799" s="22" t="str">
        <x:v>500113075</x:v>
      </x:c>
      <x:c r="B1799" s="17" t="str">
        <x:v>萬華區</x:v>
      </x:c>
      <x:c r="C1799" s="17" t="str">
        <x:v>萬大路424巷口</x:v>
      </x:c>
      <x:c r="D1799" s="18" t="n">
        <x:v>26</x:v>
      </x:c>
      <x:c r="E1799" s="18" t="n">
        <x:v>26</x:v>
      </x:c>
      <x:c r="F1799" s="18" t="n">
        <x:v>460</x:v>
      </x:c>
      <x:c r="G1799" s="18" t="n">
        <x:v>26</x:v>
      </x:c>
      <x:c r="H1799" s="18" t="n">
        <x:v>45</x:v>
      </x:c>
      <x:c r="I1799" s="18" t="n">
        <x:v>26</x:v>
      </x:c>
      <x:c r="J1799" s="18" t="n">
        <x:v>119</x:v>
      </x:c>
      <x:c r="K1799" s="18" t="n">
        <x:v>26</x:v>
      </x:c>
      <x:c r="L1799" s="18" t="n">
        <x:v>18</x:v>
      </x:c>
      <x:c r="M1799" s="18" t="n">
        <x:v>26</x:v>
      </x:c>
    </x:row>
    <x:row r="1800">
      <x:c r="A1800" s="22" t="str">
        <x:v>500113076</x:v>
      </x:c>
      <x:c r="B1800" s="17" t="str">
        <x:v>萬華區</x:v>
      </x:c>
      <x:c r="C1800" s="17" t="str">
        <x:v>壽德公園</x:v>
      </x:c>
      <x:c r="D1800" s="18" t="n">
        <x:v>26</x:v>
      </x:c>
      <x:c r="E1800" s="18" t="n">
        <x:v>26</x:v>
      </x:c>
      <x:c r="F1800" s="18" t="n">
        <x:v>0</x:v>
      </x:c>
      <x:c r="G1800" s="18" t="n">
        <x:v>26</x:v>
      </x:c>
      <x:c r="H1800" s="18" t="n">
        <x:v>0</x:v>
      </x:c>
      <x:c r="I1800" s="18" t="n">
        <x:v>26</x:v>
      </x:c>
      <x:c r="J1800" s="18" t="n">
        <x:v>0</x:v>
      </x:c>
      <x:c r="K1800" s="18" t="n">
        <x:v>26</x:v>
      </x:c>
      <x:c r="L1800" s="18" t="n">
        <x:v>0</x:v>
      </x:c>
      <x:c r="M1800" s="18" t="n">
        <x:v>26</x:v>
      </x:c>
    </x:row>
    <x:row r="1801">
      <x:c r="A1801" s="22" t="str">
        <x:v>500113077</x:v>
      </x:c>
      <x:c r="B1801" s="17" t="str">
        <x:v>萬華區</x:v>
      </x:c>
      <x:c r="C1801" s="17" t="str">
        <x:v>長泰街52巷口</x:v>
      </x:c>
      <x:c r="D1801" s="18" t="n">
        <x:v>26</x:v>
      </x:c>
      <x:c r="E1801" s="18" t="n">
        <x:v>26</x:v>
      </x:c>
      <x:c r="F1801" s="18" t="n">
        <x:v>472</x:v>
      </x:c>
      <x:c r="G1801" s="18" t="n">
        <x:v>26</x:v>
      </x:c>
      <x:c r="H1801" s="18" t="n">
        <x:v>30</x:v>
      </x:c>
      <x:c r="I1801" s="18" t="n">
        <x:v>26</x:v>
      </x:c>
      <x:c r="J1801" s="18" t="n">
        <x:v>173</x:v>
      </x:c>
      <x:c r="K1801" s="18" t="n">
        <x:v>26</x:v>
      </x:c>
      <x:c r="L1801" s="18" t="n">
        <x:v>26</x:v>
      </x:c>
      <x:c r="M1801" s="18" t="n">
        <x:v>26</x:v>
      </x:c>
    </x:row>
    <x:row r="1802">
      <x:c r="A1802" s="22" t="str">
        <x:v>500113078</x:v>
      </x:c>
      <x:c r="B1802" s="17" t="str">
        <x:v>萬華區</x:v>
      </x:c>
      <x:c r="C1802" s="17" t="str">
        <x:v>水源青年路口</x:v>
      </x:c>
      <x:c r="D1802" s="18" t="n">
        <x:v>26</x:v>
      </x:c>
      <x:c r="E1802" s="18" t="n">
        <x:v>26</x:v>
      </x:c>
      <x:c r="F1802" s="18" t="n">
        <x:v>334</x:v>
      </x:c>
      <x:c r="G1802" s="18" t="n">
        <x:v>26</x:v>
      </x:c>
      <x:c r="H1802" s="18" t="n">
        <x:v>92</x:v>
      </x:c>
      <x:c r="I1802" s="18" t="n">
        <x:v>26</x:v>
      </x:c>
      <x:c r="J1802" s="18" t="n">
        <x:v>189</x:v>
      </x:c>
      <x:c r="K1802" s="18" t="n">
        <x:v>26</x:v>
      </x:c>
      <x:c r="L1802" s="18" t="n">
        <x:v>27</x:v>
      </x:c>
      <x:c r="M1802" s="18" t="n">
        <x:v>26</x:v>
      </x:c>
    </x:row>
    <x:row r="1803">
      <x:c r="A1803" s="22" t="str">
        <x:v>500113079</x:v>
      </x:c>
      <x:c r="B1803" s="17" t="str">
        <x:v>萬華區</x:v>
      </x:c>
      <x:c r="C1803" s="17" t="str">
        <x:v>青年公園4號出口</x:v>
      </x:c>
      <x:c r="D1803" s="18" t="n">
        <x:v>26</x:v>
      </x:c>
      <x:c r="E1803" s="18" t="n">
        <x:v>26</x:v>
      </x:c>
      <x:c r="F1803" s="18" t="n">
        <x:v>579</x:v>
      </x:c>
      <x:c r="G1803" s="18" t="n">
        <x:v>26</x:v>
      </x:c>
      <x:c r="H1803" s="18" t="n">
        <x:v>68</x:v>
      </x:c>
      <x:c r="I1803" s="18" t="n">
        <x:v>26</x:v>
      </x:c>
      <x:c r="J1803" s="18" t="n">
        <x:v>179</x:v>
      </x:c>
      <x:c r="K1803" s="18" t="n">
        <x:v>26</x:v>
      </x:c>
      <x:c r="L1803" s="18" t="n">
        <x:v>21</x:v>
      </x:c>
      <x:c r="M1803" s="18" t="n">
        <x:v>26</x:v>
      </x:c>
    </x:row>
    <x:row r="1804">
      <x:c r="A1804" s="22" t="str">
        <x:v>500113080</x:v>
      </x:c>
      <x:c r="B1804" s="17" t="str">
        <x:v>萬華區</x:v>
      </x:c>
      <x:c r="C1804" s="17" t="str">
        <x:v>祥安水岸景觀大廈</x:v>
      </x:c>
      <x:c r="D1804" s="18" t="n">
        <x:v>26</x:v>
      </x:c>
      <x:c r="E1804" s="18" t="n">
        <x:v>26</x:v>
      </x:c>
      <x:c r="F1804" s="18" t="n">
        <x:v>277</x:v>
      </x:c>
      <x:c r="G1804" s="18" t="n">
        <x:v>26</x:v>
      </x:c>
      <x:c r="H1804" s="18" t="n">
        <x:v>30</x:v>
      </x:c>
      <x:c r="I1804" s="18" t="n">
        <x:v>26</x:v>
      </x:c>
      <x:c r="J1804" s="18" t="n">
        <x:v>118</x:v>
      </x:c>
      <x:c r="K1804" s="18" t="n">
        <x:v>26</x:v>
      </x:c>
      <x:c r="L1804" s="18" t="n">
        <x:v>11</x:v>
      </x:c>
      <x:c r="M1804" s="18" t="n">
        <x:v>26</x:v>
      </x:c>
    </x:row>
    <x:row r="1805">
      <x:c r="A1805" s="22" t="str">
        <x:v>500113081</x:v>
      </x:c>
      <x:c r="B1805" s="17" t="str">
        <x:v>萬華區</x:v>
      </x:c>
      <x:c r="C1805" s="17" t="str">
        <x:v>大理高中(西藏路)</x:v>
      </x:c>
      <x:c r="D1805" s="18" t="n">
        <x:v>26</x:v>
      </x:c>
      <x:c r="E1805" s="18" t="n">
        <x:v>26</x:v>
      </x:c>
      <x:c r="F1805" s="18" t="n">
        <x:v>154</x:v>
      </x:c>
      <x:c r="G1805" s="18" t="n">
        <x:v>26</x:v>
      </x:c>
      <x:c r="H1805" s="18" t="n">
        <x:v>45</x:v>
      </x:c>
      <x:c r="I1805" s="18" t="n">
        <x:v>26</x:v>
      </x:c>
      <x:c r="J1805" s="18" t="n">
        <x:v>529</x:v>
      </x:c>
      <x:c r="K1805" s="18" t="n">
        <x:v>26</x:v>
      </x:c>
      <x:c r="L1805" s="18" t="n">
        <x:v>46</x:v>
      </x:c>
      <x:c r="M1805" s="18" t="n">
        <x:v>26</x:v>
      </x:c>
    </x:row>
    <x:row r="1806">
      <x:c r="A1806" s="22" t="str">
        <x:v>500113082</x:v>
      </x:c>
      <x:c r="B1806" s="17" t="str">
        <x:v>萬華區</x:v>
      </x:c>
      <x:c r="C1806" s="17" t="str">
        <x:v>大理公園</x:v>
      </x:c>
      <x:c r="D1806" s="18" t="n">
        <x:v>26</x:v>
      </x:c>
      <x:c r="E1806" s="18" t="n">
        <x:v>26</x:v>
      </x:c>
      <x:c r="F1806" s="18" t="n">
        <x:v>0</x:v>
      </x:c>
      <x:c r="G1806" s="18" t="n">
        <x:v>26</x:v>
      </x:c>
      <x:c r="H1806" s="18" t="n">
        <x:v>0</x:v>
      </x:c>
      <x:c r="I1806" s="18" t="n">
        <x:v>26</x:v>
      </x:c>
      <x:c r="J1806" s="18" t="n">
        <x:v>0</x:v>
      </x:c>
      <x:c r="K1806" s="18" t="n">
        <x:v>26</x:v>
      </x:c>
      <x:c r="L1806" s="18" t="n">
        <x:v>0</x:v>
      </x:c>
      <x:c r="M1806" s="18" t="n">
        <x:v>26</x:v>
      </x:c>
    </x:row>
    <x:row r="1807">
      <x:c r="A1807" s="22" t="str">
        <x:v>500113083</x:v>
      </x:c>
      <x:c r="B1807" s="17" t="str">
        <x:v>萬華區</x:v>
      </x:c>
      <x:c r="C1807" s="17" t="str">
        <x:v>綠堤公園(西北側)</x:v>
      </x:c>
      <x:c r="D1807" s="18" t="n">
        <x:v>26</x:v>
      </x:c>
      <x:c r="E1807" s="18" t="n">
        <x:v>26</x:v>
      </x:c>
      <x:c r="F1807" s="18" t="n">
        <x:v>227</x:v>
      </x:c>
      <x:c r="G1807" s="18" t="n">
        <x:v>26</x:v>
      </x:c>
      <x:c r="H1807" s="18" t="n">
        <x:v>24</x:v>
      </x:c>
      <x:c r="I1807" s="18" t="n">
        <x:v>26</x:v>
      </x:c>
      <x:c r="J1807" s="18" t="n">
        <x:v>77</x:v>
      </x:c>
      <x:c r="K1807" s="18" t="n">
        <x:v>26</x:v>
      </x:c>
      <x:c r="L1807" s="18" t="n">
        <x:v>7</x:v>
      </x:c>
      <x:c r="M1807" s="18" t="n">
        <x:v>26</x:v>
      </x:c>
    </x:row>
    <x:row r="1808">
      <x:c r="A1808" s="22" t="str">
        <x:v>500113084</x:v>
      </x:c>
      <x:c r="B1808" s="17" t="str">
        <x:v>萬華區</x:v>
      </x:c>
      <x:c r="C1808" s="17" t="str">
        <x:v>大理街160巷26弄口</x:v>
      </x:c>
      <x:c r="D1808" s="18" t="n">
        <x:v>26</x:v>
      </x:c>
      <x:c r="E1808" s="18" t="n">
        <x:v>26</x:v>
      </x:c>
      <x:c r="F1808" s="18" t="n">
        <x:v>0</x:v>
      </x:c>
      <x:c r="G1808" s="18" t="n">
        <x:v>26</x:v>
      </x:c>
      <x:c r="H1808" s="18" t="n">
        <x:v>0</x:v>
      </x:c>
      <x:c r="I1808" s="18" t="n">
        <x:v>26</x:v>
      </x:c>
      <x:c r="J1808" s="18" t="n">
        <x:v>0</x:v>
      </x:c>
      <x:c r="K1808" s="18" t="n">
        <x:v>26</x:v>
      </x:c>
      <x:c r="L1808" s="18" t="n">
        <x:v>0</x:v>
      </x:c>
      <x:c r="M1808" s="18" t="n">
        <x:v>26</x:v>
      </x:c>
    </x:row>
    <x:row r="1809">
      <x:c r="A1809" s="22" t="str">
        <x:v>500113085</x:v>
      </x:c>
      <x:c r="B1809" s="17" t="str">
        <x:v>萬華區</x:v>
      </x:c>
      <x:c r="C1809" s="17" t="str">
        <x:v>艋舺雙園街口</x:v>
      </x:c>
      <x:c r="D1809" s="18" t="n">
        <x:v>26</x:v>
      </x:c>
      <x:c r="E1809" s="18" t="n">
        <x:v>26</x:v>
      </x:c>
      <x:c r="F1809" s="18" t="n">
        <x:v>374</x:v>
      </x:c>
      <x:c r="G1809" s="18" t="n">
        <x:v>26</x:v>
      </x:c>
      <x:c r="H1809" s="18" t="n">
        <x:v>33</x:v>
      </x:c>
      <x:c r="I1809" s="18" t="n">
        <x:v>26</x:v>
      </x:c>
      <x:c r="J1809" s="18" t="n">
        <x:v>131</x:v>
      </x:c>
      <x:c r="K1809" s="18" t="n">
        <x:v>26</x:v>
      </x:c>
      <x:c r="L1809" s="18" t="n">
        <x:v>27</x:v>
      </x:c>
      <x:c r="M1809" s="18" t="n">
        <x:v>26</x:v>
      </x:c>
    </x:row>
    <x:row r="1810">
      <x:c r="A1810" s="22" t="str">
        <x:v>500113086</x:v>
      </x:c>
      <x:c r="B1810" s="17" t="str">
        <x:v>萬華區</x:v>
      </x:c>
      <x:c r="C1810" s="17" t="str">
        <x:v>德昌街125巷口</x:v>
      </x:c>
      <x:c r="D1810" s="18" t="n">
        <x:v>26</x:v>
      </x:c>
      <x:c r="E1810" s="18" t="n">
        <x:v>26</x:v>
      </x:c>
      <x:c r="F1810" s="18" t="n">
        <x:v>481</x:v>
      </x:c>
      <x:c r="G1810" s="18" t="n">
        <x:v>26</x:v>
      </x:c>
      <x:c r="H1810" s="18" t="n">
        <x:v>43</x:v>
      </x:c>
      <x:c r="I1810" s="18" t="n">
        <x:v>26</x:v>
      </x:c>
      <x:c r="J1810" s="18" t="n">
        <x:v>119</x:v>
      </x:c>
      <x:c r="K1810" s="18" t="n">
        <x:v>26</x:v>
      </x:c>
      <x:c r="L1810" s="18" t="n">
        <x:v>17</x:v>
      </x:c>
      <x:c r="M1810" s="18" t="n">
        <x:v>26</x:v>
      </x:c>
    </x:row>
    <x:row r="1811">
      <x:c r="A1811" s="22" t="str">
        <x:v>500113087</x:v>
      </x:c>
      <x:c r="B1811" s="17" t="str">
        <x:v>萬華區</x:v>
      </x:c>
      <x:c r="C1811" s="17" t="str">
        <x:v>萬青街186號</x:v>
      </x:c>
      <x:c r="D1811" s="18" t="n">
        <x:v>26</x:v>
      </x:c>
      <x:c r="E1811" s="18" t="n">
        <x:v>26</x:v>
      </x:c>
      <x:c r="F1811" s="18" t="n">
        <x:v>618</x:v>
      </x:c>
      <x:c r="G1811" s="18" t="n">
        <x:v>26</x:v>
      </x:c>
      <x:c r="H1811" s="18" t="n">
        <x:v>70</x:v>
      </x:c>
      <x:c r="I1811" s="18" t="n">
        <x:v>26</x:v>
      </x:c>
      <x:c r="J1811" s="18" t="n">
        <x:v>161</x:v>
      </x:c>
      <x:c r="K1811" s="18" t="n">
        <x:v>26</x:v>
      </x:c>
      <x:c r="L1811" s="18" t="n">
        <x:v>19</x:v>
      </x:c>
      <x:c r="M1811" s="18" t="n">
        <x:v>26</x:v>
      </x:c>
    </x:row>
    <x:row r="1812">
      <x:c r="A1812" s="22" t="str">
        <x:v>500113088</x:v>
      </x:c>
      <x:c r="B1812" s="17" t="str">
        <x:v>萬華區</x:v>
      </x:c>
      <x:c r="C1812" s="17" t="str">
        <x:v>艋舺大道/西園路140巷口</x:v>
      </x:c>
      <x:c r="D1812" s="18" t="n">
        <x:v>26</x:v>
      </x:c>
      <x:c r="E1812" s="18" t="n">
        <x:v>26</x:v>
      </x:c>
      <x:c r="F1812" s="18" t="n">
        <x:v>548</x:v>
      </x:c>
      <x:c r="G1812" s="18" t="n">
        <x:v>26</x:v>
      </x:c>
      <x:c r="H1812" s="18" t="n">
        <x:v>51</x:v>
      </x:c>
      <x:c r="I1812" s="18" t="n">
        <x:v>26</x:v>
      </x:c>
      <x:c r="J1812" s="18" t="n">
        <x:v>142</x:v>
      </x:c>
      <x:c r="K1812" s="18" t="n">
        <x:v>26</x:v>
      </x:c>
      <x:c r="L1812" s="18" t="n">
        <x:v>17</x:v>
      </x:c>
      <x:c r="M1812" s="18" t="n">
        <x:v>26</x:v>
      </x:c>
    </x:row>
    <x:row r="1813">
      <x:c r="A1813" s="22" t="str">
        <x:v>500113089</x:v>
      </x:c>
      <x:c r="B1813" s="17" t="str">
        <x:v>萬華區</x:v>
      </x:c>
      <x:c r="C1813" s="17" t="str">
        <x:v>龍山國中(廣州街)</x:v>
      </x:c>
      <x:c r="D1813" s="18" t="n">
        <x:v>26</x:v>
      </x:c>
      <x:c r="E1813" s="18" t="n">
        <x:v>26</x:v>
      </x:c>
      <x:c r="F1813" s="18" t="n">
        <x:v>107</x:v>
      </x:c>
      <x:c r="G1813" s="18" t="n">
        <x:v>26</x:v>
      </x:c>
      <x:c r="H1813" s="18" t="n">
        <x:v>15</x:v>
      </x:c>
      <x:c r="I1813" s="18" t="n">
        <x:v>26</x:v>
      </x:c>
      <x:c r="J1813" s="18" t="n">
        <x:v>274</x:v>
      </x:c>
      <x:c r="K1813" s="18" t="n">
        <x:v>26</x:v>
      </x:c>
      <x:c r="L1813" s="18" t="n">
        <x:v>26</x:v>
      </x:c>
      <x:c r="M1813" s="18" t="n">
        <x:v>26</x:v>
      </x:c>
    </x:row>
    <x:row r="1814">
      <x:c r="A1814" s="22" t="str">
        <x:v>500113090</x:v>
      </x:c>
      <x:c r="B1814" s="17" t="str">
        <x:v>萬華區</x:v>
      </x:c>
      <x:c r="C1814" s="17" t="str">
        <x:v>華江高中(西藏路)</x:v>
      </x:c>
      <x:c r="D1814" s="18" t="n">
        <x:v>26</x:v>
      </x:c>
      <x:c r="E1814" s="18" t="n">
        <x:v>26</x:v>
      </x:c>
      <x:c r="F1814" s="18" t="n">
        <x:v>122</x:v>
      </x:c>
      <x:c r="G1814" s="18" t="n">
        <x:v>26</x:v>
      </x:c>
      <x:c r="H1814" s="18" t="n">
        <x:v>14</x:v>
      </x:c>
      <x:c r="I1814" s="18" t="n">
        <x:v>26</x:v>
      </x:c>
      <x:c r="J1814" s="18" t="n">
        <x:v>605</x:v>
      </x:c>
      <x:c r="K1814" s="18" t="n">
        <x:v>26</x:v>
      </x:c>
      <x:c r="L1814" s="18" t="n">
        <x:v>22</x:v>
      </x:c>
      <x:c r="M1814" s="18" t="n">
        <x:v>26</x:v>
      </x:c>
    </x:row>
    <x:row r="1815">
      <x:c r="A1815" s="22" t="str">
        <x:v>500113091</x:v>
      </x:c>
      <x:c r="B1815" s="17" t="str">
        <x:v>萬華區</x:v>
      </x:c>
      <x:c r="C1815" s="17" t="str">
        <x:v>新和國小(中華路二段416巷)</x:v>
      </x:c>
      <x:c r="D1815" s="18" t="n">
        <x:v>26</x:v>
      </x:c>
      <x:c r="E1815" s="18" t="n">
        <x:v>26</x:v>
      </x:c>
      <x:c r="F1815" s="18" t="n">
        <x:v>491</x:v>
      </x:c>
      <x:c r="G1815" s="18" t="n">
        <x:v>26</x:v>
      </x:c>
      <x:c r="H1815" s="18" t="n">
        <x:v>97</x:v>
      </x:c>
      <x:c r="I1815" s="18" t="n">
        <x:v>26</x:v>
      </x:c>
      <x:c r="J1815" s="18" t="n">
        <x:v>147</x:v>
      </x:c>
      <x:c r="K1815" s="18" t="n">
        <x:v>26</x:v>
      </x:c>
      <x:c r="L1815" s="18" t="n">
        <x:v>31</x:v>
      </x:c>
      <x:c r="M1815" s="18" t="n">
        <x:v>26</x:v>
      </x:c>
    </x:row>
    <x:row r="1816">
      <x:c r="A1816" s="22" t="str">
        <x:v>500113092</x:v>
      </x:c>
      <x:c r="B1816" s="17" t="str">
        <x:v>萬華區</x:v>
      </x:c>
      <x:c r="C1816" s="17" t="str">
        <x:v>環南綜合市場(西藏路)</x:v>
      </x:c>
      <x:c r="D1816" s="18" t="n">
        <x:v>26</x:v>
      </x:c>
      <x:c r="E1816" s="18" t="n">
        <x:v>26</x:v>
      </x:c>
      <x:c r="F1816" s="18" t="n">
        <x:v>138</x:v>
      </x:c>
      <x:c r="G1816" s="18" t="n">
        <x:v>26</x:v>
      </x:c>
      <x:c r="H1816" s="18" t="n">
        <x:v>31</x:v>
      </x:c>
      <x:c r="I1816" s="18" t="n">
        <x:v>26</x:v>
      </x:c>
      <x:c r="J1816" s="18" t="n">
        <x:v>104</x:v>
      </x:c>
      <x:c r="K1816" s="18" t="n">
        <x:v>26</x:v>
      </x:c>
      <x:c r="L1816" s="18" t="n">
        <x:v>14</x:v>
      </x:c>
      <x:c r="M1816" s="18" t="n">
        <x:v>26</x:v>
      </x:c>
    </x:row>
    <x:row r="1817">
      <x:c r="A1817" s="22" t="str">
        <x:v>500113093</x:v>
      </x:c>
      <x:c r="B1817" s="17" t="str">
        <x:v>萬華區</x:v>
      </x:c>
      <x:c r="C1817" s="17" t="str">
        <x:v>萬華青年社會住宅(青年路168巷49弄)</x:v>
      </x:c>
      <x:c r="D1817" s="18" t="n">
        <x:v>26</x:v>
      </x:c>
      <x:c r="E1817" s="18" t="n">
        <x:v>26</x:v>
      </x:c>
      <x:c r="F1817" s="18" t="n">
        <x:v>457</x:v>
      </x:c>
      <x:c r="G1817" s="18" t="n">
        <x:v>26</x:v>
      </x:c>
      <x:c r="H1817" s="18" t="n">
        <x:v>59</x:v>
      </x:c>
      <x:c r="I1817" s="18" t="n">
        <x:v>26</x:v>
      </x:c>
      <x:c r="J1817" s="18" t="n">
        <x:v>108</x:v>
      </x:c>
      <x:c r="K1817" s="18" t="n">
        <x:v>26</x:v>
      </x:c>
      <x:c r="L1817" s="18" t="n">
        <x:v>11</x:v>
      </x:c>
      <x:c r="M1817" s="18" t="n">
        <x:v>26</x:v>
      </x:c>
    </x:row>
    <x:row r="1818">
      <x:c r="A1818" s="22" t="str">
        <x:v>500113094</x:v>
      </x:c>
      <x:c r="B1818" s="17" t="str">
        <x:v>萬華區</x:v>
      </x:c>
      <x:c r="C1818" s="17" t="str">
        <x:v>萬華51號公園</x:v>
      </x:c>
      <x:c r="D1818" s="18" t="n">
        <x:v>26</x:v>
      </x:c>
      <x:c r="E1818" s="18" t="n">
        <x:v>26</x:v>
      </x:c>
      <x:c r="F1818" s="18" t="n">
        <x:v>207</x:v>
      </x:c>
      <x:c r="G1818" s="18" t="n">
        <x:v>26</x:v>
      </x:c>
      <x:c r="H1818" s="18" t="n">
        <x:v>76</x:v>
      </x:c>
      <x:c r="I1818" s="18" t="n">
        <x:v>26</x:v>
      </x:c>
      <x:c r="J1818" s="18" t="n">
        <x:v>403</x:v>
      </x:c>
      <x:c r="K1818" s="18" t="n">
        <x:v>26</x:v>
      </x:c>
      <x:c r="L1818" s="18" t="n">
        <x:v>42</x:v>
      </x:c>
      <x:c r="M1818" s="18" t="n">
        <x:v>26</x:v>
      </x:c>
    </x:row>
    <x:row r="1819">
      <x:c r="A1819" s="22" t="str">
        <x:v>500113095</x:v>
      </x:c>
      <x:c r="B1819" s="17" t="str">
        <x:v>萬華區</x:v>
      </x:c>
      <x:c r="C1819" s="17" t="str">
        <x:v>萬華區公所(大理街)</x:v>
      </x:c>
      <x:c r="D1819" s="18" t="n">
        <x:v>26</x:v>
      </x:c>
      <x:c r="E1819" s="18" t="n">
        <x:v>26</x:v>
      </x:c>
      <x:c r="F1819" s="18" t="n">
        <x:v>509</x:v>
      </x:c>
      <x:c r="G1819" s="18" t="n">
        <x:v>26</x:v>
      </x:c>
      <x:c r="H1819" s="18" t="n">
        <x:v>69</x:v>
      </x:c>
      <x:c r="I1819" s="18" t="n">
        <x:v>26</x:v>
      </x:c>
      <x:c r="J1819" s="18" t="n">
        <x:v>521</x:v>
      </x:c>
      <x:c r="K1819" s="18" t="n">
        <x:v>26</x:v>
      </x:c>
      <x:c r="L1819" s="18" t="n">
        <x:v>48</x:v>
      </x:c>
      <x:c r="M1819" s="18" t="n">
        <x:v>26</x:v>
      </x:c>
    </x:row>
    <x:row r="1820">
      <x:c r="A1820" s="22" t="str">
        <x:v>500113096</x:v>
      </x:c>
      <x:c r="B1820" s="17" t="str">
        <x:v>萬華區</x:v>
      </x:c>
      <x:c r="C1820" s="17" t="str">
        <x:v>環河南路一段350巷口</x:v>
      </x:c>
      <x:c r="D1820" s="18" t="n">
        <x:v>26</x:v>
      </x:c>
      <x:c r="E1820" s="18" t="n">
        <x:v>26</x:v>
      </x:c>
      <x:c r="F1820" s="18" t="n">
        <x:v>350</x:v>
      </x:c>
      <x:c r="G1820" s="18" t="n">
        <x:v>26</x:v>
      </x:c>
      <x:c r="H1820" s="18" t="n">
        <x:v>55</x:v>
      </x:c>
      <x:c r="I1820" s="18" t="n">
        <x:v>26</x:v>
      </x:c>
      <x:c r="J1820" s="18" t="n">
        <x:v>242</x:v>
      </x:c>
      <x:c r="K1820" s="18" t="n">
        <x:v>26</x:v>
      </x:c>
      <x:c r="L1820" s="18" t="n">
        <x:v>38</x:v>
      </x:c>
      <x:c r="M1820" s="18" t="n">
        <x:v>26</x:v>
      </x:c>
    </x:row>
    <x:row r="1821">
      <x:c r="A1821" s="22" t="str">
        <x:v>500113097</x:v>
      </x:c>
      <x:c r="B1821" s="17" t="str">
        <x:v>萬華區</x:v>
      </x:c>
      <x:c r="C1821" s="17" t="str">
        <x:v>萬華安居社會住宅B區</x:v>
      </x:c>
      <x:c r="D1821" s="18" t="n">
        <x:v>26</x:v>
      </x:c>
      <x:c r="E1821" s="18" t="n">
        <x:v>26</x:v>
      </x:c>
      <x:c r="F1821" s="18" t="n">
        <x:v>720</x:v>
      </x:c>
      <x:c r="G1821" s="18" t="n">
        <x:v>26</x:v>
      </x:c>
      <x:c r="H1821" s="18" t="n">
        <x:v>106</x:v>
      </x:c>
      <x:c r="I1821" s="18" t="n">
        <x:v>26</x:v>
      </x:c>
      <x:c r="J1821" s="18" t="n">
        <x:v>140</x:v>
      </x:c>
      <x:c r="K1821" s="18" t="n">
        <x:v>26</x:v>
      </x:c>
      <x:c r="L1821" s="18" t="n">
        <x:v>31</x:v>
      </x:c>
      <x:c r="M1821" s="18" t="n">
        <x:v>26</x:v>
      </x:c>
    </x:row>
    <x:row r="1822">
      <x:c r="A1822" s="22" t="str">
        <x:v>500113098</x:v>
      </x:c>
      <x:c r="B1822" s="17" t="str">
        <x:v>萬華區</x:v>
      </x:c>
      <x:c r="C1822" s="17" t="str">
        <x:v>青年公園(西藏路125巷口)</x:v>
      </x:c>
      <x:c r="D1822" s="18" t="n">
        <x:v>26</x:v>
      </x:c>
      <x:c r="E1822" s="18" t="n">
        <x:v>26</x:v>
      </x:c>
      <x:c r="F1822" s="18" t="n">
        <x:v>290</x:v>
      </x:c>
      <x:c r="G1822" s="18" t="n">
        <x:v>26</x:v>
      </x:c>
      <x:c r="H1822" s="18" t="n">
        <x:v>59</x:v>
      </x:c>
      <x:c r="I1822" s="18" t="n">
        <x:v>26</x:v>
      </x:c>
      <x:c r="J1822" s="18" t="n">
        <x:v>117</x:v>
      </x:c>
      <x:c r="K1822" s="18" t="n">
        <x:v>26</x:v>
      </x:c>
      <x:c r="L1822" s="18" t="n">
        <x:v>20</x:v>
      </x:c>
      <x:c r="M1822" s="18" t="n">
        <x:v>26</x:v>
      </x:c>
    </x:row>
    <x:row r="1823">
      <x:c r="A1823" s="22" t="str">
        <x:v>500113099</x:v>
      </x:c>
      <x:c r="B1823" s="17" t="str">
        <x:v>萬華區</x:v>
      </x:c>
      <x:c r="C1823" s="17" t="str">
        <x:v>漢口街二段53巷口</x:v>
      </x:c>
      <x:c r="D1823" s="18" t="n">
        <x:v>26</x:v>
      </x:c>
      <x:c r="E1823" s="18" t="n">
        <x:v>26</x:v>
      </x:c>
      <x:c r="F1823" s="18" t="n">
        <x:v>167</x:v>
      </x:c>
      <x:c r="G1823" s="18" t="n">
        <x:v>26</x:v>
      </x:c>
      <x:c r="H1823" s="18" t="n">
        <x:v>19</x:v>
      </x:c>
      <x:c r="I1823" s="18" t="n">
        <x:v>26</x:v>
      </x:c>
      <x:c r="J1823" s="18" t="n">
        <x:v>232</x:v>
      </x:c>
      <x:c r="K1823" s="18" t="n">
        <x:v>26</x:v>
      </x:c>
      <x:c r="L1823" s="18" t="n">
        <x:v>47</x:v>
      </x:c>
      <x:c r="M1823" s="18" t="n">
        <x:v>26</x:v>
      </x:c>
    </x:row>
    <x:row r="1824">
      <x:c r="A1824" s="22" t="str">
        <x:v>500113100</x:v>
      </x:c>
      <x:c r="B1824" s="17" t="str">
        <x:v>萬華區</x:v>
      </x:c>
      <x:c r="C1824" s="17" t="str">
        <x:v>環河福德宮</x:v>
      </x:c>
      <x:c r="D1824" s="18" t="n">
        <x:v>26</x:v>
      </x:c>
      <x:c r="E1824" s="18" t="n">
        <x:v>26</x:v>
      </x:c>
      <x:c r="F1824" s="18" t="n">
        <x:v>296</x:v>
      </x:c>
      <x:c r="G1824" s="18" t="n">
        <x:v>26</x:v>
      </x:c>
      <x:c r="H1824" s="18" t="n">
        <x:v>29</x:v>
      </x:c>
      <x:c r="I1824" s="18" t="n">
        <x:v>26</x:v>
      </x:c>
      <x:c r="J1824" s="18" t="n">
        <x:v>260</x:v>
      </x:c>
      <x:c r="K1824" s="18" t="n">
        <x:v>26</x:v>
      </x:c>
      <x:c r="L1824" s="18" t="n">
        <x:v>14</x:v>
      </x:c>
      <x:c r="M1824" s="18" t="n">
        <x:v>26</x:v>
      </x:c>
    </x:row>
    <x:row r="1825">
      <x:c r="A1825" s="22" t="str">
        <x:v>500113101</x:v>
      </x:c>
      <x:c r="B1825" s="17" t="str">
        <x:v>萬華區</x:v>
      </x:c>
      <x:c r="C1825" s="17" t="str">
        <x:v>崇仁花園(萬大路423巷)</x:v>
      </x:c>
      <x:c r="D1825" s="18" t="n">
        <x:v>26</x:v>
      </x:c>
      <x:c r="E1825" s="18" t="n">
        <x:v>26</x:v>
      </x:c>
      <x:c r="F1825" s="18" t="n">
        <x:v>407</x:v>
      </x:c>
      <x:c r="G1825" s="18" t="n">
        <x:v>26</x:v>
      </x:c>
      <x:c r="H1825" s="18" t="n">
        <x:v>50</x:v>
      </x:c>
      <x:c r="I1825" s="18" t="n">
        <x:v>26</x:v>
      </x:c>
      <x:c r="J1825" s="18" t="n">
        <x:v>108</x:v>
      </x:c>
      <x:c r="K1825" s="18" t="n">
        <x:v>26</x:v>
      </x:c>
      <x:c r="L1825" s="18" t="n">
        <x:v>19</x:v>
      </x:c>
      <x:c r="M1825" s="18" t="n">
        <x:v>26</x:v>
      </x:c>
    </x:row>
    <x:row r="1826">
      <x:c r="A1826" s="22" t="str">
        <x:v>500113102</x:v>
      </x:c>
      <x:c r="B1826" s="17" t="str">
        <x:v>萬華區</x:v>
      </x:c>
      <x:c r="C1826" s="17" t="str">
        <x:v>復華花園新城東側</x:v>
      </x:c>
      <x:c r="D1826" s="18" t="n">
        <x:v>26</x:v>
      </x:c>
      <x:c r="E1826" s="18" t="n">
        <x:v>26</x:v>
      </x:c>
      <x:c r="F1826" s="18" t="n">
        <x:v>897</x:v>
      </x:c>
      <x:c r="G1826" s="18" t="n">
        <x:v>26</x:v>
      </x:c>
      <x:c r="H1826" s="18" t="n">
        <x:v>90</x:v>
      </x:c>
      <x:c r="I1826" s="18" t="n">
        <x:v>26</x:v>
      </x:c>
      <x:c r="J1826" s="18" t="n">
        <x:v>285</x:v>
      </x:c>
      <x:c r="K1826" s="18" t="n">
        <x:v>26</x:v>
      </x:c>
      <x:c r="L1826" s="18" t="n">
        <x:v>38</x:v>
      </x:c>
      <x:c r="M1826" s="18" t="n">
        <x:v>26</x:v>
      </x:c>
    </x:row>
    <x:row r="1827">
      <x:c r="A1827" s="22" t="str">
        <x:v>500113103</x:v>
      </x:c>
      <x:c r="B1827" s="17" t="str">
        <x:v>萬華區</x:v>
      </x:c>
      <x:c r="C1827" s="17" t="str">
        <x:v>中華開封街口</x:v>
      </x:c>
      <x:c r="D1827" s="18" t="n">
        <x:v>26</x:v>
      </x:c>
      <x:c r="E1827" s="18" t="n">
        <x:v>26</x:v>
      </x:c>
      <x:c r="F1827" s="18" t="n">
        <x:v>217</x:v>
      </x:c>
      <x:c r="G1827" s="18" t="n">
        <x:v>26</x:v>
      </x:c>
      <x:c r="H1827" s="18" t="n">
        <x:v>33</x:v>
      </x:c>
      <x:c r="I1827" s="18" t="n">
        <x:v>26</x:v>
      </x:c>
      <x:c r="J1827" s="18" t="n">
        <x:v>264</x:v>
      </x:c>
      <x:c r="K1827" s="18" t="n">
        <x:v>26</x:v>
      </x:c>
      <x:c r="L1827" s="18" t="n">
        <x:v>76</x:v>
      </x:c>
      <x:c r="M1827" s="18" t="n">
        <x:v>26</x:v>
      </x:c>
    </x:row>
    <x:row r="1828">
      <x:c r="A1828" s="22" t="str">
        <x:v>500113104</x:v>
      </x:c>
      <x:c r="B1828" s="17" t="str">
        <x:v>萬華區</x:v>
      </x:c>
      <x:c r="C1828" s="17" t="str">
        <x:v>中華忠孝路口(西南側)</x:v>
      </x:c>
      <x:c r="D1828" s="18" t="n">
        <x:v>26</x:v>
      </x:c>
      <x:c r="E1828" s="18" t="n">
        <x:v>26</x:v>
      </x:c>
      <x:c r="F1828" s="18" t="n">
        <x:v>112</x:v>
      </x:c>
      <x:c r="G1828" s="18" t="n">
        <x:v>26</x:v>
      </x:c>
      <x:c r="H1828" s="18" t="n">
        <x:v>14</x:v>
      </x:c>
      <x:c r="I1828" s="18" t="n">
        <x:v>26</x:v>
      </x:c>
      <x:c r="J1828" s="18" t="n">
        <x:v>141</x:v>
      </x:c>
      <x:c r="K1828" s="18" t="n">
        <x:v>26</x:v>
      </x:c>
      <x:c r="L1828" s="18" t="n">
        <x:v>19</x:v>
      </x:c>
      <x:c r="M1828" s="18" t="n">
        <x:v>26</x:v>
      </x:c>
    </x:row>
    <x:row r="1829">
      <x:c r="A1829" s="22" t="str">
        <x:v>500113105</x:v>
      </x:c>
      <x:c r="B1829" s="17" t="str">
        <x:v>萬華區</x:v>
      </x:c>
      <x:c r="C1829" s="17" t="str">
        <x:v>祥安國宅</x:v>
      </x:c>
      <x:c r="D1829" s="18" t="n">
        <x:v>26</x:v>
      </x:c>
      <x:c r="E1829" s="18" t="n">
        <x:v>26</x:v>
      </x:c>
      <x:c r="F1829" s="18" t="n">
        <x:v>275</x:v>
      </x:c>
      <x:c r="G1829" s="18" t="n">
        <x:v>26</x:v>
      </x:c>
      <x:c r="H1829" s="18" t="n">
        <x:v>46</x:v>
      </x:c>
      <x:c r="I1829" s="18" t="n">
        <x:v>26</x:v>
      </x:c>
      <x:c r="J1829" s="18" t="n">
        <x:v>118</x:v>
      </x:c>
      <x:c r="K1829" s="18" t="n">
        <x:v>26</x:v>
      </x:c>
      <x:c r="L1829" s="18" t="n">
        <x:v>21</x:v>
      </x:c>
      <x:c r="M1829" s="18" t="n">
        <x:v>26</x:v>
      </x:c>
    </x:row>
    <x:row r="1830">
      <x:c r="A1830" s="22" t="str">
        <x:v>500113106</x:v>
      </x:c>
      <x:c r="B1830" s="17" t="str">
        <x:v>萬華區</x:v>
      </x:c>
      <x:c r="C1830" s="17" t="str">
        <x:v>西藏路199巷與萬大路198巷口</x:v>
      </x:c>
      <x:c r="D1830" s="18" t="n">
        <x:v>26</x:v>
      </x:c>
      <x:c r="E1830" s="18" t="n">
        <x:v>4</x:v>
      </x:c>
      <x:c r="F1830" s="18" t="n">
        <x:v>11</x:v>
      </x:c>
      <x:c r="G1830" s="18" t="n">
        <x:v>3</x:v>
      </x:c>
      <x:c r="H1830" s="18" t="n">
        <x:v>0</x:v>
      </x:c>
      <x:c r="I1830" s="18" t="n">
        <x:v>3</x:v>
      </x:c>
      <x:c r="J1830" s="18" t="n">
        <x:v>6</x:v>
      </x:c>
      <x:c r="K1830" s="18" t="n">
        <x:v>4</x:v>
      </x:c>
      <x:c r="L1830" s="18" t="n">
        <x:v>1</x:v>
      </x:c>
      <x:c r="M1830" s="18" t="n">
        <x:v>4</x:v>
      </x:c>
    </x:row>
    <x:row r="1831">
      <x:c r="A1831" s="22" t="str">
        <x:v>500119005</x:v>
      </x:c>
      <x:c r="B1831" s="17" t="str">
        <x:v>臺大公館校區</x:v>
      </x:c>
      <x:c r="C1831" s="17" t="str">
        <x:v>臺大水源舍區A棟</x:v>
      </x:c>
      <x:c r="D1831" s="18" t="n">
        <x:v>26</x:v>
      </x:c>
      <x:c r="E1831" s="18" t="n">
        <x:v>26</x:v>
      </x:c>
      <x:c r="F1831" s="18" t="n">
        <x:v>632</x:v>
      </x:c>
      <x:c r="G1831" s="18" t="n">
        <x:v>26</x:v>
      </x:c>
      <x:c r="H1831" s="18" t="n">
        <x:v>50</x:v>
      </x:c>
      <x:c r="I1831" s="18" t="n">
        <x:v>26</x:v>
      </x:c>
      <x:c r="J1831" s="18" t="n">
        <x:v>164</x:v>
      </x:c>
      <x:c r="K1831" s="18" t="n">
        <x:v>26</x:v>
      </x:c>
      <x:c r="L1831" s="18" t="n">
        <x:v>17</x:v>
      </x:c>
      <x:c r="M1831" s="18" t="n">
        <x:v>26</x:v>
      </x:c>
    </x:row>
    <x:row r="1832">
      <x:c r="A1832" s="22" t="str">
        <x:v>500119006</x:v>
      </x:c>
      <x:c r="B1832" s="17" t="str">
        <x:v>臺大公館校區</x:v>
      </x:c>
      <x:c r="C1832" s="17" t="str">
        <x:v>臺大卓越研究大樓</x:v>
      </x:c>
      <x:c r="D1832" s="18" t="n">
        <x:v>26</x:v>
      </x:c>
      <x:c r="E1832" s="18" t="n">
        <x:v>26</x:v>
      </x:c>
      <x:c r="F1832" s="18" t="n">
        <x:v>890</x:v>
      </x:c>
      <x:c r="G1832" s="18" t="n">
        <x:v>26</x:v>
      </x:c>
      <x:c r="H1832" s="18" t="n">
        <x:v>50</x:v>
      </x:c>
      <x:c r="I1832" s="18" t="n">
        <x:v>26</x:v>
      </x:c>
      <x:c r="J1832" s="18" t="n">
        <x:v>132</x:v>
      </x:c>
      <x:c r="K1832" s="18" t="n">
        <x:v>26</x:v>
      </x:c>
      <x:c r="L1832" s="18" t="n">
        <x:v>28</x:v>
      </x:c>
      <x:c r="M1832" s="18" t="n">
        <x:v>26</x:v>
      </x:c>
    </x:row>
    <x:row r="1833">
      <x:c r="A1833" s="22" t="str">
        <x:v>500119007</x:v>
      </x:c>
      <x:c r="B1833" s="17" t="str">
        <x:v>臺大公館校區</x:v>
      </x:c>
      <x:c r="C1833" s="17" t="str">
        <x:v>臺大水源修齊會館</x:v>
      </x:c>
      <x:c r="D1833" s="18" t="n">
        <x:v>26</x:v>
      </x:c>
      <x:c r="E1833" s="18" t="n">
        <x:v>26</x:v>
      </x:c>
      <x:c r="F1833" s="18" t="n">
        <x:v>440</x:v>
      </x:c>
      <x:c r="G1833" s="18" t="n">
        <x:v>26</x:v>
      </x:c>
      <x:c r="H1833" s="18" t="n">
        <x:v>26</x:v>
      </x:c>
      <x:c r="I1833" s="18" t="n">
        <x:v>26</x:v>
      </x:c>
      <x:c r="J1833" s="18" t="n">
        <x:v>102</x:v>
      </x:c>
      <x:c r="K1833" s="18" t="n">
        <x:v>26</x:v>
      </x:c>
      <x:c r="L1833" s="18" t="n">
        <x:v>32</x:v>
      </x:c>
      <x:c r="M1833" s="18" t="n">
        <x:v>26</x:v>
      </x:c>
    </x:row>
    <x:row r="1834">
      <x:c r="A1834" s="22" t="str">
        <x:v>500119008</x:v>
      </x:c>
      <x:c r="B1834" s="17" t="str">
        <x:v>臺大公館校區</x:v>
      </x:c>
      <x:c r="C1834" s="17" t="str">
        <x:v>臺大檔案展示館</x:v>
      </x:c>
      <x:c r="D1834" s="18" t="n">
        <x:v>26</x:v>
      </x:c>
      <x:c r="E1834" s="18" t="n">
        <x:v>26</x:v>
      </x:c>
      <x:c r="F1834" s="18" t="n">
        <x:v>130</x:v>
      </x:c>
      <x:c r="G1834" s="18" t="n">
        <x:v>26</x:v>
      </x:c>
      <x:c r="H1834" s="18" t="n">
        <x:v>8</x:v>
      </x:c>
      <x:c r="I1834" s="18" t="n">
        <x:v>26</x:v>
      </x:c>
      <x:c r="J1834" s="18" t="n">
        <x:v>83</x:v>
      </x:c>
      <x:c r="K1834" s="18" t="n">
        <x:v>26</x:v>
      </x:c>
      <x:c r="L1834" s="18" t="n">
        <x:v>10</x:v>
      </x:c>
      <x:c r="M1834" s="18" t="n">
        <x:v>26</x:v>
      </x:c>
    </x:row>
    <x:row r="1835">
      <x:c r="A1835" s="22" t="str">
        <x:v>500119009</x:v>
      </x:c>
      <x:c r="B1835" s="17" t="str">
        <x:v>臺大公館校區</x:v>
      </x:c>
      <x:c r="C1835" s="17" t="str">
        <x:v>臺大水源舍區B棟</x:v>
      </x:c>
      <x:c r="D1835" s="18" t="n">
        <x:v>26</x:v>
      </x:c>
      <x:c r="E1835" s="18" t="n">
        <x:v>26</x:v>
      </x:c>
      <x:c r="F1835" s="18" t="n">
        <x:v>527</x:v>
      </x:c>
      <x:c r="G1835" s="18" t="n">
        <x:v>26</x:v>
      </x:c>
      <x:c r="H1835" s="18" t="n">
        <x:v>66</x:v>
      </x:c>
      <x:c r="I1835" s="18" t="n">
        <x:v>26</x:v>
      </x:c>
      <x:c r="J1835" s="18" t="n">
        <x:v>156</x:v>
      </x:c>
      <x:c r="K1835" s="18" t="n">
        <x:v>26</x:v>
      </x:c>
      <x:c r="L1835" s="18" t="n">
        <x:v>17</x:v>
      </x:c>
      <x:c r="M1835" s="18" t="n">
        <x:v>26</x:v>
      </x:c>
    </x:row>
    <x:row r="1836">
      <x:c r="A1836" s="22" t="str">
        <x:v>500119043</x:v>
      </x:c>
      <x:c r="B1836" s="17" t="str">
        <x:v>臺大公館校區</x:v>
      </x:c>
      <x:c r="C1836" s="17" t="str">
        <x:v>臺大男八舍東側</x:v>
      </x:c>
      <x:c r="D1836" s="18" t="n">
        <x:v>26</x:v>
      </x:c>
      <x:c r="E1836" s="18" t="n">
        <x:v>26</x:v>
      </x:c>
      <x:c r="F1836" s="18" t="n">
        <x:v>867</x:v>
      </x:c>
      <x:c r="G1836" s="18" t="n">
        <x:v>26</x:v>
      </x:c>
      <x:c r="H1836" s="18" t="n">
        <x:v>74</x:v>
      </x:c>
      <x:c r="I1836" s="18" t="n">
        <x:v>26</x:v>
      </x:c>
      <x:c r="J1836" s="18" t="n">
        <x:v>166</x:v>
      </x:c>
      <x:c r="K1836" s="18" t="n">
        <x:v>26</x:v>
      </x:c>
      <x:c r="L1836" s="18" t="n">
        <x:v>22</x:v>
      </x:c>
      <x:c r="M1836" s="18" t="n">
        <x:v>26</x:v>
      </x:c>
    </x:row>
    <x:row r="1837">
      <x:c r="A1837" s="22" t="str">
        <x:v>500119044</x:v>
      </x:c>
      <x:c r="B1837" s="17" t="str">
        <x:v>臺大公館校區</x:v>
      </x:c>
      <x:c r="C1837" s="17" t="str">
        <x:v>臺大禮賢樓東南側</x:v>
      </x:c>
      <x:c r="D1837" s="18" t="n">
        <x:v>26</x:v>
      </x:c>
      <x:c r="E1837" s="18" t="n">
        <x:v>26</x:v>
      </x:c>
      <x:c r="F1837" s="18" t="n">
        <x:v>92</x:v>
      </x:c>
      <x:c r="G1837" s="18" t="n">
        <x:v>26</x:v>
      </x:c>
      <x:c r="H1837" s="18" t="n">
        <x:v>17</x:v>
      </x:c>
      <x:c r="I1837" s="18" t="n">
        <x:v>26</x:v>
      </x:c>
      <x:c r="J1837" s="18" t="n">
        <x:v>490</x:v>
      </x:c>
      <x:c r="K1837" s="18" t="n">
        <x:v>26</x:v>
      </x:c>
      <x:c r="L1837" s="18" t="n">
        <x:v>72</x:v>
      </x:c>
      <x:c r="M1837" s="18" t="n">
        <x:v>26</x:v>
      </x:c>
    </x:row>
    <x:row r="1838">
      <x:c r="A1838" s="22" t="str">
        <x:v>500119045</x:v>
      </x:c>
      <x:c r="B1838" s="17" t="str">
        <x:v>臺大公館校區</x:v>
      </x:c>
      <x:c r="C1838" s="17" t="str">
        <x:v>臺大農業陳列館北側</x:v>
      </x:c>
      <x:c r="D1838" s="18" t="n">
        <x:v>26</x:v>
      </x:c>
      <x:c r="E1838" s="18" t="n">
        <x:v>26</x:v>
      </x:c>
      <x:c r="F1838" s="18" t="n">
        <x:v>190</x:v>
      </x:c>
      <x:c r="G1838" s="18" t="n">
        <x:v>26</x:v>
      </x:c>
      <x:c r="H1838" s="18" t="n">
        <x:v>37</x:v>
      </x:c>
      <x:c r="I1838" s="18" t="n">
        <x:v>26</x:v>
      </x:c>
      <x:c r="J1838" s="18" t="n">
        <x:v>290</x:v>
      </x:c>
      <x:c r="K1838" s="18" t="n">
        <x:v>26</x:v>
      </x:c>
      <x:c r="L1838" s="18" t="n">
        <x:v>30</x:v>
      </x:c>
      <x:c r="M1838" s="18" t="n">
        <x:v>26</x:v>
      </x:c>
    </x:row>
    <x:row r="1839">
      <x:c r="A1839" s="22" t="str">
        <x:v>500119046</x:v>
      </x:c>
      <x:c r="B1839" s="17" t="str">
        <x:v>臺大公館校區</x:v>
      </x:c>
      <x:c r="C1839" s="17" t="str">
        <x:v>臺大管理學院二館北側</x:v>
      </x:c>
      <x:c r="D1839" s="18" t="n">
        <x:v>26</x:v>
      </x:c>
      <x:c r="E1839" s="18" t="n">
        <x:v>26</x:v>
      </x:c>
      <x:c r="F1839" s="18" t="n">
        <x:v>98</x:v>
      </x:c>
      <x:c r="G1839" s="18" t="n">
        <x:v>26</x:v>
      </x:c>
      <x:c r="H1839" s="18" t="n">
        <x:v>14</x:v>
      </x:c>
      <x:c r="I1839" s="18" t="n">
        <x:v>26</x:v>
      </x:c>
      <x:c r="J1839" s="18" t="n">
        <x:v>518</x:v>
      </x:c>
      <x:c r="K1839" s="18" t="n">
        <x:v>26</x:v>
      </x:c>
      <x:c r="L1839" s="18" t="n">
        <x:v>84</x:v>
      </x:c>
      <x:c r="M1839" s="18" t="n">
        <x:v>26</x:v>
      </x:c>
    </x:row>
    <x:row r="1840">
      <x:c r="A1840" s="22" t="str">
        <x:v>500119047</x:v>
      </x:c>
      <x:c r="B1840" s="17" t="str">
        <x:v>臺大公館校區</x:v>
      </x:c>
      <x:c r="C1840" s="17" t="str">
        <x:v>臺大土木系館</x:v>
      </x:c>
      <x:c r="D1840" s="18" t="n">
        <x:v>26</x:v>
      </x:c>
      <x:c r="E1840" s="18" t="n">
        <x:v>26</x:v>
      </x:c>
      <x:c r="F1840" s="18" t="n">
        <x:v>129</x:v>
      </x:c>
      <x:c r="G1840" s="18" t="n">
        <x:v>26</x:v>
      </x:c>
      <x:c r="H1840" s="18" t="n">
        <x:v>4</x:v>
      </x:c>
      <x:c r="I1840" s="18" t="n">
        <x:v>26</x:v>
      </x:c>
      <x:c r="J1840" s="18" t="n">
        <x:v>541</x:v>
      </x:c>
      <x:c r="K1840" s="18" t="n">
        <x:v>26</x:v>
      </x:c>
      <x:c r="L1840" s="18" t="n">
        <x:v>90</x:v>
      </x:c>
      <x:c r="M1840" s="18" t="n">
        <x:v>26</x:v>
      </x:c>
    </x:row>
    <x:row r="1841">
      <x:c r="A1841" s="22" t="str">
        <x:v>500119048</x:v>
      </x:c>
      <x:c r="B1841" s="17" t="str">
        <x:v>臺大公館校區</x:v>
      </x:c>
      <x:c r="C1841" s="17" t="str">
        <x:v>臺大大一女舍北側</x:v>
      </x:c>
      <x:c r="D1841" s="18" t="n">
        <x:v>26</x:v>
      </x:c>
      <x:c r="E1841" s="18" t="n">
        <x:v>26</x:v>
      </x:c>
      <x:c r="F1841" s="18" t="n">
        <x:v>227</x:v>
      </x:c>
      <x:c r="G1841" s="18" t="n">
        <x:v>26</x:v>
      </x:c>
      <x:c r="H1841" s="18" t="n">
        <x:v>54</x:v>
      </x:c>
      <x:c r="I1841" s="18" t="n">
        <x:v>26</x:v>
      </x:c>
      <x:c r="J1841" s="18" t="n">
        <x:v>259</x:v>
      </x:c>
      <x:c r="K1841" s="18" t="n">
        <x:v>26</x:v>
      </x:c>
      <x:c r="L1841" s="18" t="n">
        <x:v>36</x:v>
      </x:c>
      <x:c r="M1841" s="18" t="n">
        <x:v>26</x:v>
      </x:c>
    </x:row>
    <x:row r="1842">
      <x:c r="A1842" s="22" t="str">
        <x:v>500119049</x:v>
      </x:c>
      <x:c r="B1842" s="17" t="str">
        <x:v>臺大公館校區</x:v>
      </x:c>
      <x:c r="C1842" s="17" t="str">
        <x:v>臺大女九舍西南側</x:v>
      </x:c>
      <x:c r="D1842" s="18" t="n">
        <x:v>26</x:v>
      </x:c>
      <x:c r="E1842" s="18" t="n">
        <x:v>26</x:v>
      </x:c>
      <x:c r="F1842" s="18" t="n">
        <x:v>77</x:v>
      </x:c>
      <x:c r="G1842" s="18" t="n">
        <x:v>26</x:v>
      </x:c>
      <x:c r="H1842" s="18" t="n">
        <x:v>11</x:v>
      </x:c>
      <x:c r="I1842" s="18" t="n">
        <x:v>26</x:v>
      </x:c>
      <x:c r="J1842" s="18" t="n">
        <x:v>699</x:v>
      </x:c>
      <x:c r="K1842" s="18" t="n">
        <x:v>26</x:v>
      </x:c>
      <x:c r="L1842" s="18" t="n">
        <x:v>89</x:v>
      </x:c>
      <x:c r="M1842" s="18" t="n">
        <x:v>26</x:v>
      </x:c>
    </x:row>
    <x:row r="1843">
      <x:c r="A1843" s="22" t="str">
        <x:v>500119050</x:v>
      </x:c>
      <x:c r="B1843" s="17" t="str">
        <x:v>臺大公館校區</x:v>
      </x:c>
      <x:c r="C1843" s="17" t="str">
        <x:v>臺大小福樓東側</x:v>
      </x:c>
      <x:c r="D1843" s="18" t="n">
        <x:v>26</x:v>
      </x:c>
      <x:c r="E1843" s="18" t="n">
        <x:v>26</x:v>
      </x:c>
      <x:c r="F1843" s="18" t="n">
        <x:v>106</x:v>
      </x:c>
      <x:c r="G1843" s="18" t="n">
        <x:v>26</x:v>
      </x:c>
      <x:c r="H1843" s="18" t="n">
        <x:v>8</x:v>
      </x:c>
      <x:c r="I1843" s="18" t="n">
        <x:v>26</x:v>
      </x:c>
      <x:c r="J1843" s="18" t="n">
        <x:v>1282</x:v>
      </x:c>
      <x:c r="K1843" s="18" t="n">
        <x:v>26</x:v>
      </x:c>
      <x:c r="L1843" s="18" t="n">
        <x:v>83</x:v>
      </x:c>
      <x:c r="M1843" s="18" t="n">
        <x:v>26</x:v>
      </x:c>
    </x:row>
    <x:row r="1844">
      <x:c r="A1844" s="22" t="str">
        <x:v>500119051</x:v>
      </x:c>
      <x:c r="B1844" s="17" t="str">
        <x:v>臺大公館校區</x:v>
      </x:c>
      <x:c r="C1844" s="17" t="str">
        <x:v>臺大立體機車停車場</x:v>
      </x:c>
      <x:c r="D1844" s="18" t="n">
        <x:v>26</x:v>
      </x:c>
      <x:c r="E1844" s="18" t="n">
        <x:v>26</x:v>
      </x:c>
      <x:c r="F1844" s="18" t="n">
        <x:v>77</x:v>
      </x:c>
      <x:c r="G1844" s="18" t="n">
        <x:v>26</x:v>
      </x:c>
      <x:c r="H1844" s="18" t="n">
        <x:v>10</x:v>
      </x:c>
      <x:c r="I1844" s="18" t="n">
        <x:v>26</x:v>
      </x:c>
      <x:c r="J1844" s="18" t="n">
        <x:v>302</x:v>
      </x:c>
      <x:c r="K1844" s="18" t="n">
        <x:v>26</x:v>
      </x:c>
      <x:c r="L1844" s="18" t="n">
        <x:v>66</x:v>
      </x:c>
      <x:c r="M1844" s="18" t="n">
        <x:v>26</x:v>
      </x:c>
    </x:row>
    <x:row r="1845">
      <x:c r="A1845" s="22" t="str">
        <x:v>500119052</x:v>
      </x:c>
      <x:c r="B1845" s="17" t="str">
        <x:v>臺大公館校區</x:v>
      </x:c>
      <x:c r="C1845" s="17" t="str">
        <x:v>臺大工綜館南側</x:v>
      </x:c>
      <x:c r="D1845" s="18" t="n">
        <x:v>26</x:v>
      </x:c>
      <x:c r="E1845" s="18" t="n">
        <x:v>26</x:v>
      </x:c>
      <x:c r="F1845" s="18" t="n">
        <x:v>142</x:v>
      </x:c>
      <x:c r="G1845" s="18" t="n">
        <x:v>26</x:v>
      </x:c>
      <x:c r="H1845" s="18" t="n">
        <x:v>6</x:v>
      </x:c>
      <x:c r="I1845" s="18" t="n">
        <x:v>26</x:v>
      </x:c>
      <x:c r="J1845" s="18" t="n">
        <x:v>1452</x:v>
      </x:c>
      <x:c r="K1845" s="18" t="n">
        <x:v>26</x:v>
      </x:c>
      <x:c r="L1845" s="18" t="n">
        <x:v>168</x:v>
      </x:c>
      <x:c r="M1845" s="18" t="n">
        <x:v>26</x:v>
      </x:c>
    </x:row>
    <x:row r="1846">
      <x:c r="A1846" s="22" t="str">
        <x:v>500119053</x:v>
      </x:c>
      <x:c r="B1846" s="17" t="str">
        <x:v>臺大公館校區</x:v>
      </x:c>
      <x:c r="C1846" s="17" t="str">
        <x:v>臺大天文數學館南側</x:v>
      </x:c>
      <x:c r="D1846" s="18" t="n">
        <x:v>26</x:v>
      </x:c>
      <x:c r="E1846" s="18" t="n">
        <x:v>26</x:v>
      </x:c>
      <x:c r="F1846" s="18" t="n">
        <x:v>122</x:v>
      </x:c>
      <x:c r="G1846" s="18" t="n">
        <x:v>26</x:v>
      </x:c>
      <x:c r="H1846" s="18" t="n">
        <x:v>42</x:v>
      </x:c>
      <x:c r="I1846" s="18" t="n">
        <x:v>26</x:v>
      </x:c>
      <x:c r="J1846" s="18" t="n">
        <x:v>1375</x:v>
      </x:c>
      <x:c r="K1846" s="18" t="n">
        <x:v>26</x:v>
      </x:c>
      <x:c r="L1846" s="18" t="n">
        <x:v>144</x:v>
      </x:c>
      <x:c r="M1846" s="18" t="n">
        <x:v>26</x:v>
      </x:c>
    </x:row>
    <x:row r="1847">
      <x:c r="A1847" s="22" t="str">
        <x:v>500119054</x:v>
      </x:c>
      <x:c r="B1847" s="17" t="str">
        <x:v>臺大公館校區</x:v>
      </x:c>
      <x:c r="C1847" s="17" t="str">
        <x:v>臺大心理系館南側</x:v>
      </x:c>
      <x:c r="D1847" s="18" t="n">
        <x:v>26</x:v>
      </x:c>
      <x:c r="E1847" s="18" t="n">
        <x:v>26</x:v>
      </x:c>
      <x:c r="F1847" s="18" t="n">
        <x:v>95</x:v>
      </x:c>
      <x:c r="G1847" s="18" t="n">
        <x:v>26</x:v>
      </x:c>
      <x:c r="H1847" s="18" t="n">
        <x:v>21</x:v>
      </x:c>
      <x:c r="I1847" s="18" t="n">
        <x:v>26</x:v>
      </x:c>
      <x:c r="J1847" s="18" t="n">
        <x:v>1035</x:v>
      </x:c>
      <x:c r="K1847" s="18" t="n">
        <x:v>26</x:v>
      </x:c>
      <x:c r="L1847" s="18" t="n">
        <x:v>104</x:v>
      </x:c>
      <x:c r="M1847" s="18" t="n">
        <x:v>26</x:v>
      </x:c>
    </x:row>
    <x:row r="1848">
      <x:c r="A1848" s="22" t="str">
        <x:v>500119055</x:v>
      </x:c>
      <x:c r="B1848" s="17" t="str">
        <x:v>臺大公館校區</x:v>
      </x:c>
      <x:c r="C1848" s="17" t="str">
        <x:v>臺大樂學館東側</x:v>
      </x:c>
      <x:c r="D1848" s="18" t="n">
        <x:v>26</x:v>
      </x:c>
      <x:c r="E1848" s="18" t="n">
        <x:v>26</x:v>
      </x:c>
      <x:c r="F1848" s="18" t="n">
        <x:v>94</x:v>
      </x:c>
      <x:c r="G1848" s="18" t="n">
        <x:v>26</x:v>
      </x:c>
      <x:c r="H1848" s="18" t="n">
        <x:v>15</x:v>
      </x:c>
      <x:c r="I1848" s="18" t="n">
        <x:v>26</x:v>
      </x:c>
      <x:c r="J1848" s="18" t="n">
        <x:v>362</x:v>
      </x:c>
      <x:c r="K1848" s="18" t="n">
        <x:v>26</x:v>
      </x:c>
      <x:c r="L1848" s="18" t="n">
        <x:v>116</x:v>
      </x:c>
      <x:c r="M1848" s="18" t="n">
        <x:v>26</x:v>
      </x:c>
    </x:row>
    <x:row r="1849">
      <x:c r="A1849" s="22" t="str">
        <x:v>500119056</x:v>
      </x:c>
      <x:c r="B1849" s="17" t="str">
        <x:v>臺大公館校區</x:v>
      </x:c>
      <x:c r="C1849" s="17" t="str">
        <x:v>臺大農化新館西側</x:v>
      </x:c>
      <x:c r="D1849" s="18" t="n">
        <x:v>26</x:v>
      </x:c>
      <x:c r="E1849" s="18" t="n">
        <x:v>26</x:v>
      </x:c>
      <x:c r="F1849" s="18" t="n">
        <x:v>47</x:v>
      </x:c>
      <x:c r="G1849" s="18" t="n">
        <x:v>26</x:v>
      </x:c>
      <x:c r="H1849" s="18" t="n">
        <x:v>5</x:v>
      </x:c>
      <x:c r="I1849" s="18" t="n">
        <x:v>26</x:v>
      </x:c>
      <x:c r="J1849" s="18" t="n">
        <x:v>75</x:v>
      </x:c>
      <x:c r="K1849" s="18" t="n">
        <x:v>26</x:v>
      </x:c>
      <x:c r="L1849" s="18" t="n">
        <x:v>19</x:v>
      </x:c>
      <x:c r="M1849" s="18" t="n">
        <x:v>26</x:v>
      </x:c>
    </x:row>
    <x:row r="1850">
      <x:c r="A1850" s="22" t="str">
        <x:v>500119057</x:v>
      </x:c>
      <x:c r="B1850" s="17" t="str">
        <x:v>臺大公館校區</x:v>
      </x:c>
      <x:c r="C1850" s="17" t="str">
        <x:v>臺大五號館西側</x:v>
      </x:c>
      <x:c r="D1850" s="18" t="n">
        <x:v>26</x:v>
      </x:c>
      <x:c r="E1850" s="18" t="n">
        <x:v>26</x:v>
      </x:c>
      <x:c r="F1850" s="18" t="n">
        <x:v>100</x:v>
      </x:c>
      <x:c r="G1850" s="18" t="n">
        <x:v>26</x:v>
      </x:c>
      <x:c r="H1850" s="18" t="n">
        <x:v>5</x:v>
      </x:c>
      <x:c r="I1850" s="18" t="n">
        <x:v>26</x:v>
      </x:c>
      <x:c r="J1850" s="18" t="n">
        <x:v>380</x:v>
      </x:c>
      <x:c r="K1850" s="18" t="n">
        <x:v>26</x:v>
      </x:c>
      <x:c r="L1850" s="18" t="n">
        <x:v>80</x:v>
      </x:c>
      <x:c r="M1850" s="18" t="n">
        <x:v>26</x:v>
      </x:c>
    </x:row>
    <x:row r="1851">
      <x:c r="A1851" s="22" t="str">
        <x:v>500119058</x:v>
      </x:c>
      <x:c r="B1851" s="17" t="str">
        <x:v>臺大公館校區</x:v>
      </x:c>
      <x:c r="C1851" s="17" t="str">
        <x:v>臺大舊體育館西側</x:v>
      </x:c>
      <x:c r="D1851" s="18" t="n">
        <x:v>26</x:v>
      </x:c>
      <x:c r="E1851" s="18" t="n">
        <x:v>26</x:v>
      </x:c>
      <x:c r="F1851" s="18" t="n">
        <x:v>185</x:v>
      </x:c>
      <x:c r="G1851" s="18" t="n">
        <x:v>26</x:v>
      </x:c>
      <x:c r="H1851" s="18" t="n">
        <x:v>32</x:v>
      </x:c>
      <x:c r="I1851" s="18" t="n">
        <x:v>26</x:v>
      </x:c>
      <x:c r="J1851" s="18" t="n">
        <x:v>574</x:v>
      </x:c>
      <x:c r="K1851" s="18" t="n">
        <x:v>26</x:v>
      </x:c>
      <x:c r="L1851" s="18" t="n">
        <x:v>82</x:v>
      </x:c>
      <x:c r="M1851" s="18" t="n">
        <x:v>26</x:v>
      </x:c>
    </x:row>
    <x:row r="1852">
      <x:c r="A1852" s="22" t="str">
        <x:v>500119059</x:v>
      </x:c>
      <x:c r="B1852" s="17" t="str">
        <x:v>臺大公館校區</x:v>
      </x:c>
      <x:c r="C1852" s="17" t="str">
        <x:v>臺大共同教室北側</x:v>
      </x:c>
      <x:c r="D1852" s="18" t="n">
        <x:v>26</x:v>
      </x:c>
      <x:c r="E1852" s="18" t="n">
        <x:v>26</x:v>
      </x:c>
      <x:c r="F1852" s="18" t="n">
        <x:v>100</x:v>
      </x:c>
      <x:c r="G1852" s="18" t="n">
        <x:v>26</x:v>
      </x:c>
      <x:c r="H1852" s="18" t="n">
        <x:v>7</x:v>
      </x:c>
      <x:c r="I1852" s="18" t="n">
        <x:v>26</x:v>
      </x:c>
      <x:c r="J1852" s="18" t="n">
        <x:v>804</x:v>
      </x:c>
      <x:c r="K1852" s="18" t="n">
        <x:v>26</x:v>
      </x:c>
      <x:c r="L1852" s="18" t="n">
        <x:v>105</x:v>
      </x:c>
      <x:c r="M1852" s="18" t="n">
        <x:v>26</x:v>
      </x:c>
    </x:row>
    <x:row r="1853">
      <x:c r="A1853" s="22" t="str">
        <x:v>500119060</x:v>
      </x:c>
      <x:c r="B1853" s="17" t="str">
        <x:v>臺大公館校區</x:v>
      </x:c>
      <x:c r="C1853" s="17" t="str">
        <x:v>臺大共同教室東南側</x:v>
      </x:c>
      <x:c r="D1853" s="18" t="n">
        <x:v>26</x:v>
      </x:c>
      <x:c r="E1853" s="18" t="n">
        <x:v>26</x:v>
      </x:c>
      <x:c r="F1853" s="18" t="n">
        <x:v>79</x:v>
      </x:c>
      <x:c r="G1853" s="18" t="n">
        <x:v>26</x:v>
      </x:c>
      <x:c r="H1853" s="18" t="n">
        <x:v>2</x:v>
      </x:c>
      <x:c r="I1853" s="18" t="n">
        <x:v>26</x:v>
      </x:c>
      <x:c r="J1853" s="18" t="n">
        <x:v>197</x:v>
      </x:c>
      <x:c r="K1853" s="18" t="n">
        <x:v>26</x:v>
      </x:c>
      <x:c r="L1853" s="18" t="n">
        <x:v>37</x:v>
      </x:c>
      <x:c r="M1853" s="18" t="n">
        <x:v>26</x:v>
      </x:c>
    </x:row>
    <x:row r="1854">
      <x:c r="A1854" s="22" t="str">
        <x:v>500119061</x:v>
      </x:c>
      <x:c r="B1854" s="17" t="str">
        <x:v>臺大公館校區</x:v>
      </x:c>
      <x:c r="C1854" s="17" t="str">
        <x:v>臺大鹿鳴堂東側</x:v>
      </x:c>
      <x:c r="D1854" s="18" t="n">
        <x:v>26</x:v>
      </x:c>
      <x:c r="E1854" s="18" t="n">
        <x:v>26</x:v>
      </x:c>
      <x:c r="F1854" s="18" t="n">
        <x:v>178</x:v>
      </x:c>
      <x:c r="G1854" s="18" t="n">
        <x:v>26</x:v>
      </x:c>
      <x:c r="H1854" s="18" t="n">
        <x:v>10</x:v>
      </x:c>
      <x:c r="I1854" s="18" t="n">
        <x:v>26</x:v>
      </x:c>
      <x:c r="J1854" s="18" t="n">
        <x:v>373</x:v>
      </x:c>
      <x:c r="K1854" s="18" t="n">
        <x:v>26</x:v>
      </x:c>
      <x:c r="L1854" s="18" t="n">
        <x:v>52</x:v>
      </x:c>
      <x:c r="M1854" s="18" t="n">
        <x:v>26</x:v>
      </x:c>
    </x:row>
    <x:row r="1855">
      <x:c r="A1855" s="22" t="str">
        <x:v>500119062</x:v>
      </x:c>
      <x:c r="B1855" s="17" t="str">
        <x:v>臺大公館校區</x:v>
      </x:c>
      <x:c r="C1855" s="17" t="str">
        <x:v>臺大公館停車場西北側</x:v>
      </x:c>
      <x:c r="D1855" s="18" t="n">
        <x:v>26</x:v>
      </x:c>
      <x:c r="E1855" s="18" t="n">
        <x:v>26</x:v>
      </x:c>
      <x:c r="F1855" s="18" t="n">
        <x:v>52</x:v>
      </x:c>
      <x:c r="G1855" s="18" t="n">
        <x:v>26</x:v>
      </x:c>
      <x:c r="H1855" s="18" t="n">
        <x:v>8</x:v>
      </x:c>
      <x:c r="I1855" s="18" t="n">
        <x:v>26</x:v>
      </x:c>
      <x:c r="J1855" s="18" t="n">
        <x:v>64</x:v>
      </x:c>
      <x:c r="K1855" s="18" t="n">
        <x:v>26</x:v>
      </x:c>
      <x:c r="L1855" s="18" t="n">
        <x:v>36</x:v>
      </x:c>
      <x:c r="M1855" s="18" t="n">
        <x:v>26</x:v>
      </x:c>
    </x:row>
    <x:row r="1856">
      <x:c r="A1856" s="22" t="str">
        <x:v>500119063</x:v>
      </x:c>
      <x:c r="B1856" s="17" t="str">
        <x:v>臺大公館校區</x:v>
      </x:c>
      <x:c r="C1856" s="17" t="str">
        <x:v>臺大第二行政大樓南側</x:v>
      </x:c>
      <x:c r="D1856" s="18" t="n">
        <x:v>26</x:v>
      </x:c>
      <x:c r="E1856" s="18" t="n">
        <x:v>26</x:v>
      </x:c>
      <x:c r="F1856" s="18" t="n">
        <x:v>99</x:v>
      </x:c>
      <x:c r="G1856" s="18" t="n">
        <x:v>26</x:v>
      </x:c>
      <x:c r="H1856" s="18" t="n">
        <x:v>10</x:v>
      </x:c>
      <x:c r="I1856" s="18" t="n">
        <x:v>26</x:v>
      </x:c>
      <x:c r="J1856" s="18" t="n">
        <x:v>168</x:v>
      </x:c>
      <x:c r="K1856" s="18" t="n">
        <x:v>26</x:v>
      </x:c>
      <x:c r="L1856" s="18" t="n">
        <x:v>17</x:v>
      </x:c>
      <x:c r="M1856" s="18" t="n">
        <x:v>26</x:v>
      </x:c>
    </x:row>
    <x:row r="1857">
      <x:c r="A1857" s="22" t="str">
        <x:v>500119064</x:v>
      </x:c>
      <x:c r="B1857" s="17" t="str">
        <x:v>臺大公館校區</x:v>
      </x:c>
      <x:c r="C1857" s="17" t="str">
        <x:v>臺大明達館機車停車場</x:v>
      </x:c>
      <x:c r="D1857" s="18" t="n">
        <x:v>26</x:v>
      </x:c>
      <x:c r="E1857" s="18" t="n">
        <x:v>26</x:v>
      </x:c>
      <x:c r="F1857" s="18" t="n">
        <x:v>272</x:v>
      </x:c>
      <x:c r="G1857" s="18" t="n">
        <x:v>26</x:v>
      </x:c>
      <x:c r="H1857" s="18" t="n">
        <x:v>25</x:v>
      </x:c>
      <x:c r="I1857" s="18" t="n">
        <x:v>26</x:v>
      </x:c>
      <x:c r="J1857" s="18" t="n">
        <x:v>358</x:v>
      </x:c>
      <x:c r="K1857" s="18" t="n">
        <x:v>26</x:v>
      </x:c>
      <x:c r="L1857" s="18" t="n">
        <x:v>41</x:v>
      </x:c>
      <x:c r="M1857" s="18" t="n">
        <x:v>26</x:v>
      </x:c>
    </x:row>
    <x:row r="1858">
      <x:c r="A1858" s="22" t="str">
        <x:v>500119065</x:v>
      </x:c>
      <x:c r="B1858" s="17" t="str">
        <x:v>臺大公館校區</x:v>
      </x:c>
      <x:c r="C1858" s="17" t="str">
        <x:v>臺大二號館</x:v>
      </x:c>
      <x:c r="D1858" s="18" t="n">
        <x:v>26</x:v>
      </x:c>
      <x:c r="E1858" s="18" t="n">
        <x:v>26</x:v>
      </x:c>
      <x:c r="F1858" s="18" t="n">
        <x:v>70</x:v>
      </x:c>
      <x:c r="G1858" s="18" t="n">
        <x:v>26</x:v>
      </x:c>
      <x:c r="H1858" s="18" t="n">
        <x:v>3</x:v>
      </x:c>
      <x:c r="I1858" s="18" t="n">
        <x:v>26</x:v>
      </x:c>
      <x:c r="J1858" s="18" t="n">
        <x:v>103</x:v>
      </x:c>
      <x:c r="K1858" s="18" t="n">
        <x:v>26</x:v>
      </x:c>
      <x:c r="L1858" s="18" t="n">
        <x:v>15</x:v>
      </x:c>
      <x:c r="M1858" s="18" t="n">
        <x:v>26</x:v>
      </x:c>
    </x:row>
    <x:row r="1859">
      <x:c r="A1859" s="22" t="str">
        <x:v>500119066</x:v>
      </x:c>
      <x:c r="B1859" s="17" t="str">
        <x:v>臺大公館校區</x:v>
      </x:c>
      <x:c r="C1859" s="17" t="str">
        <x:v>臺大凝態館南側</x:v>
      </x:c>
      <x:c r="D1859" s="18" t="n">
        <x:v>26</x:v>
      </x:c>
      <x:c r="E1859" s="18" t="n">
        <x:v>26</x:v>
      </x:c>
      <x:c r="F1859" s="18" t="n">
        <x:v>76</x:v>
      </x:c>
      <x:c r="G1859" s="18" t="n">
        <x:v>26</x:v>
      </x:c>
      <x:c r="H1859" s="18" t="n">
        <x:v>10</x:v>
      </x:c>
      <x:c r="I1859" s="18" t="n">
        <x:v>26</x:v>
      </x:c>
      <x:c r="J1859" s="18" t="n">
        <x:v>307</x:v>
      </x:c>
      <x:c r="K1859" s="18" t="n">
        <x:v>26</x:v>
      </x:c>
      <x:c r="L1859" s="18" t="n">
        <x:v>59</x:v>
      </x:c>
      <x:c r="M1859" s="18" t="n">
        <x:v>26</x:v>
      </x:c>
    </x:row>
    <x:row r="1860">
      <x:c r="A1860" s="22" t="str">
        <x:v>500119067</x:v>
      </x:c>
      <x:c r="B1860" s="17" t="str">
        <x:v>臺大公館校區</x:v>
      </x:c>
      <x:c r="C1860" s="17" t="str">
        <x:v>臺大社科院西側</x:v>
      </x:c>
      <x:c r="D1860" s="18" t="n">
        <x:v>26</x:v>
      </x:c>
      <x:c r="E1860" s="18" t="n">
        <x:v>26</x:v>
      </x:c>
      <x:c r="F1860" s="18" t="n">
        <x:v>151</x:v>
      </x:c>
      <x:c r="G1860" s="18" t="n">
        <x:v>26</x:v>
      </x:c>
      <x:c r="H1860" s="18" t="n">
        <x:v>9</x:v>
      </x:c>
      <x:c r="I1860" s="18" t="n">
        <x:v>26</x:v>
      </x:c>
      <x:c r="J1860" s="18" t="n">
        <x:v>1372</x:v>
      </x:c>
      <x:c r="K1860" s="18" t="n">
        <x:v>26</x:v>
      </x:c>
      <x:c r="L1860" s="18" t="n">
        <x:v>128</x:v>
      </x:c>
      <x:c r="M1860" s="18" t="n">
        <x:v>26</x:v>
      </x:c>
    </x:row>
    <x:row r="1861">
      <x:c r="A1861" s="22" t="str">
        <x:v>500119068</x:v>
      </x:c>
      <x:c r="B1861" s="17" t="str">
        <x:v>臺大公館校區</x:v>
      </x:c>
      <x:c r="C1861" s="17" t="str">
        <x:v>臺大社會系館南側</x:v>
      </x:c>
      <x:c r="D1861" s="18" t="n">
        <x:v>26</x:v>
      </x:c>
      <x:c r="E1861" s="18" t="n">
        <x:v>26</x:v>
      </x:c>
      <x:c r="F1861" s="18" t="n">
        <x:v>100</x:v>
      </x:c>
      <x:c r="G1861" s="18" t="n">
        <x:v>26</x:v>
      </x:c>
      <x:c r="H1861" s="18" t="n">
        <x:v>2</x:v>
      </x:c>
      <x:c r="I1861" s="18" t="n">
        <x:v>26</x:v>
      </x:c>
      <x:c r="J1861" s="18" t="n">
        <x:v>1509</x:v>
      </x:c>
      <x:c r="K1861" s="18" t="n">
        <x:v>26</x:v>
      </x:c>
      <x:c r="L1861" s="18" t="n">
        <x:v>153</x:v>
      </x:c>
      <x:c r="M1861" s="18" t="n">
        <x:v>26</x:v>
      </x:c>
    </x:row>
    <x:row r="1862">
      <x:c r="A1862" s="22" t="str">
        <x:v>500119069</x:v>
      </x:c>
      <x:c r="B1862" s="17" t="str">
        <x:v>臺大公館校區</x:v>
      </x:c>
      <x:c r="C1862" s="17" t="str">
        <x:v>臺大思亮館東南側</x:v>
      </x:c>
      <x:c r="D1862" s="18" t="n">
        <x:v>26</x:v>
      </x:c>
      <x:c r="E1862" s="18" t="n">
        <x:v>26</x:v>
      </x:c>
      <x:c r="F1862" s="18" t="n">
        <x:v>101</x:v>
      </x:c>
      <x:c r="G1862" s="18" t="n">
        <x:v>26</x:v>
      </x:c>
      <x:c r="H1862" s="18" t="n">
        <x:v>17</x:v>
      </x:c>
      <x:c r="I1862" s="18" t="n">
        <x:v>26</x:v>
      </x:c>
      <x:c r="J1862" s="18" t="n">
        <x:v>1171</x:v>
      </x:c>
      <x:c r="K1862" s="18" t="n">
        <x:v>26</x:v>
      </x:c>
      <x:c r="L1862" s="18" t="n">
        <x:v>128</x:v>
      </x:c>
      <x:c r="M1862" s="18" t="n">
        <x:v>26</x:v>
      </x:c>
    </x:row>
    <x:row r="1863">
      <x:c r="A1863" s="22" t="str">
        <x:v>500119070</x:v>
      </x:c>
      <x:c r="B1863" s="17" t="str">
        <x:v>臺大公館校區</x:v>
      </x:c>
      <x:c r="C1863" s="17" t="str">
        <x:v>臺大椰林小舖</x:v>
      </x:c>
      <x:c r="D1863" s="18" t="n">
        <x:v>26</x:v>
      </x:c>
      <x:c r="E1863" s="18" t="n">
        <x:v>26</x:v>
      </x:c>
      <x:c r="F1863" s="18" t="n">
        <x:v>325</x:v>
      </x:c>
      <x:c r="G1863" s="18" t="n">
        <x:v>26</x:v>
      </x:c>
      <x:c r="H1863" s="18" t="n">
        <x:v>42</x:v>
      </x:c>
      <x:c r="I1863" s="18" t="n">
        <x:v>26</x:v>
      </x:c>
      <x:c r="J1863" s="18" t="n">
        <x:v>206</x:v>
      </x:c>
      <x:c r="K1863" s="18" t="n">
        <x:v>26</x:v>
      </x:c>
      <x:c r="L1863" s="18" t="n">
        <x:v>24</x:v>
      </x:c>
      <x:c r="M1863" s="18" t="n">
        <x:v>26</x:v>
      </x:c>
    </x:row>
    <x:row r="1864">
      <x:c r="A1864" s="22" t="str">
        <x:v>500119071</x:v>
      </x:c>
      <x:c r="B1864" s="17" t="str">
        <x:v>臺大公館校區</x:v>
      </x:c>
      <x:c r="C1864" s="17" t="str">
        <x:v>臺大計資中心南側</x:v>
      </x:c>
      <x:c r="D1864" s="18" t="n">
        <x:v>26</x:v>
      </x:c>
      <x:c r="E1864" s="18" t="n">
        <x:v>26</x:v>
      </x:c>
      <x:c r="F1864" s="18" t="n">
        <x:v>89</x:v>
      </x:c>
      <x:c r="G1864" s="18" t="n">
        <x:v>26</x:v>
      </x:c>
      <x:c r="H1864" s="18" t="n">
        <x:v>25</x:v>
      </x:c>
      <x:c r="I1864" s="18" t="n">
        <x:v>26</x:v>
      </x:c>
      <x:c r="J1864" s="18" t="n">
        <x:v>2441</x:v>
      </x:c>
      <x:c r="K1864" s="18" t="n">
        <x:v>26</x:v>
      </x:c>
      <x:c r="L1864" s="18" t="n">
        <x:v>192</x:v>
      </x:c>
      <x:c r="M1864" s="18" t="n">
        <x:v>26</x:v>
      </x:c>
    </x:row>
    <x:row r="1865">
      <x:c r="A1865" s="22" t="str">
        <x:v>500119072</x:v>
      </x:c>
      <x:c r="B1865" s="17" t="str">
        <x:v>臺大公館校區</x:v>
      </x:c>
      <x:c r="C1865" s="17" t="str">
        <x:v>臺大原分所北側</x:v>
      </x:c>
      <x:c r="D1865" s="18" t="n">
        <x:v>26</x:v>
      </x:c>
      <x:c r="E1865" s="18" t="n">
        <x:v>26</x:v>
      </x:c>
      <x:c r="F1865" s="18" t="n">
        <x:v>59</x:v>
      </x:c>
      <x:c r="G1865" s="18" t="n">
        <x:v>26</x:v>
      </x:c>
      <x:c r="H1865" s="18" t="n">
        <x:v>8</x:v>
      </x:c>
      <x:c r="I1865" s="18" t="n">
        <x:v>26</x:v>
      </x:c>
      <x:c r="J1865" s="18" t="n">
        <x:v>425</x:v>
      </x:c>
      <x:c r="K1865" s="18" t="n">
        <x:v>26</x:v>
      </x:c>
      <x:c r="L1865" s="18" t="n">
        <x:v>45</x:v>
      </x:c>
      <x:c r="M1865" s="18" t="n">
        <x:v>26</x:v>
      </x:c>
    </x:row>
    <x:row r="1866">
      <x:c r="A1866" s="22" t="str">
        <x:v>500119073</x:v>
      </x:c>
      <x:c r="B1866" s="17" t="str">
        <x:v>臺大公館校區</x:v>
      </x:c>
      <x:c r="C1866" s="17" t="str">
        <x:v>臺大校史館南側</x:v>
      </x:c>
      <x:c r="D1866" s="18" t="n">
        <x:v>26</x:v>
      </x:c>
      <x:c r="E1866" s="18" t="n">
        <x:v>26</x:v>
      </x:c>
      <x:c r="F1866" s="18" t="n">
        <x:v>0</x:v>
      </x:c>
      <x:c r="G1866" s="18" t="n">
        <x:v>26</x:v>
      </x:c>
      <x:c r="H1866" s="18" t="n">
        <x:v>0</x:v>
      </x:c>
      <x:c r="I1866" s="18" t="n">
        <x:v>26</x:v>
      </x:c>
      <x:c r="J1866" s="18" t="n">
        <x:v>0</x:v>
      </x:c>
      <x:c r="K1866" s="18" t="n">
        <x:v>26</x:v>
      </x:c>
      <x:c r="L1866" s="18" t="n">
        <x:v>0</x:v>
      </x:c>
      <x:c r="M1866" s="18" t="n">
        <x:v>26</x:v>
      </x:c>
    </x:row>
    <x:row r="1867">
      <x:c r="A1867" s="22" t="str">
        <x:v>500119074</x:v>
      </x:c>
      <x:c r="B1867" s="17" t="str">
        <x:v>臺大公館校區</x:v>
      </x:c>
      <x:c r="C1867" s="17" t="str">
        <x:v>臺大生命科學館西北側</x:v>
      </x:c>
      <x:c r="D1867" s="18" t="n">
        <x:v>26</x:v>
      </x:c>
      <x:c r="E1867" s="18" t="n">
        <x:v>26</x:v>
      </x:c>
      <x:c r="F1867" s="18" t="n">
        <x:v>106</x:v>
      </x:c>
      <x:c r="G1867" s="18" t="n">
        <x:v>26</x:v>
      </x:c>
      <x:c r="H1867" s="18" t="n">
        <x:v>6</x:v>
      </x:c>
      <x:c r="I1867" s="18" t="n">
        <x:v>26</x:v>
      </x:c>
      <x:c r="J1867" s="18" t="n">
        <x:v>307</x:v>
      </x:c>
      <x:c r="K1867" s="18" t="n">
        <x:v>26</x:v>
      </x:c>
      <x:c r="L1867" s="18" t="n">
        <x:v>50</x:v>
      </x:c>
      <x:c r="M1867" s="18" t="n">
        <x:v>26</x:v>
      </x:c>
    </x:row>
    <x:row r="1868">
      <x:c r="A1868" s="22" t="str">
        <x:v>500119075</x:v>
      </x:c>
      <x:c r="B1868" s="17" t="str">
        <x:v>臺大公館校區</x:v>
      </x:c>
      <x:c r="C1868" s="17" t="str">
        <x:v>臺大第一活動中心西南側</x:v>
      </x:c>
      <x:c r="D1868" s="18" t="n">
        <x:v>26</x:v>
      </x:c>
      <x:c r="E1868" s="18" t="n">
        <x:v>26</x:v>
      </x:c>
      <x:c r="F1868" s="18" t="n">
        <x:v>103</x:v>
      </x:c>
      <x:c r="G1868" s="18" t="n">
        <x:v>26</x:v>
      </x:c>
      <x:c r="H1868" s="18" t="n">
        <x:v>18</x:v>
      </x:c>
      <x:c r="I1868" s="18" t="n">
        <x:v>26</x:v>
      </x:c>
      <x:c r="J1868" s="18" t="n">
        <x:v>2177</x:v>
      </x:c>
      <x:c r="K1868" s="18" t="n">
        <x:v>26</x:v>
      </x:c>
      <x:c r="L1868" s="18" t="n">
        <x:v>117</x:v>
      </x:c>
      <x:c r="M1868" s="18" t="n">
        <x:v>26</x:v>
      </x:c>
    </x:row>
    <x:row r="1869">
      <x:c r="A1869" s="22" t="str">
        <x:v>500119076</x:v>
      </x:c>
      <x:c r="B1869" s="17" t="str">
        <x:v>臺大公館校區</x:v>
      </x:c>
      <x:c r="C1869" s="17" t="str">
        <x:v>臺大博理館西側</x:v>
      </x:c>
      <x:c r="D1869" s="18" t="n">
        <x:v>26</x:v>
      </x:c>
      <x:c r="E1869" s="18" t="n">
        <x:v>26</x:v>
      </x:c>
      <x:c r="F1869" s="18" t="n">
        <x:v>85</x:v>
      </x:c>
      <x:c r="G1869" s="18" t="n">
        <x:v>26</x:v>
      </x:c>
      <x:c r="H1869" s="18" t="n">
        <x:v>3</x:v>
      </x:c>
      <x:c r="I1869" s="18" t="n">
        <x:v>26</x:v>
      </x:c>
      <x:c r="J1869" s="18" t="n">
        <x:v>726</x:v>
      </x:c>
      <x:c r="K1869" s="18" t="n">
        <x:v>26</x:v>
      </x:c>
      <x:c r="L1869" s="18" t="n">
        <x:v>60</x:v>
      </x:c>
      <x:c r="M1869" s="18" t="n">
        <x:v>26</x:v>
      </x:c>
    </x:row>
    <x:row r="1870">
      <x:c r="A1870" s="22" t="str">
        <x:v>500119077</x:v>
      </x:c>
      <x:c r="B1870" s="17" t="str">
        <x:v>臺大公館校區</x:v>
      </x:c>
      <x:c r="C1870" s="17" t="str">
        <x:v>臺大博雅館西側</x:v>
      </x:c>
      <x:c r="D1870" s="18" t="n">
        <x:v>26</x:v>
      </x:c>
      <x:c r="E1870" s="18" t="n">
        <x:v>26</x:v>
      </x:c>
      <x:c r="F1870" s="18" t="n">
        <x:v>106</x:v>
      </x:c>
      <x:c r="G1870" s="18" t="n">
        <x:v>26</x:v>
      </x:c>
      <x:c r="H1870" s="18" t="n">
        <x:v>37</x:v>
      </x:c>
      <x:c r="I1870" s="18" t="n">
        <x:v>26</x:v>
      </x:c>
      <x:c r="J1870" s="18" t="n">
        <x:v>1612</x:v>
      </x:c>
      <x:c r="K1870" s="18" t="n">
        <x:v>26</x:v>
      </x:c>
      <x:c r="L1870" s="18" t="n">
        <x:v>215</x:v>
      </x:c>
      <x:c r="M1870" s="18" t="n">
        <x:v>26</x:v>
      </x:c>
    </x:row>
    <x:row r="1871">
      <x:c r="A1871" s="22" t="str">
        <x:v>500119078</x:v>
      </x:c>
      <x:c r="B1871" s="17" t="str">
        <x:v>臺大公館校區</x:v>
      </x:c>
      <x:c r="C1871" s="17" t="str">
        <x:v>臺大森林館北側</x:v>
      </x:c>
      <x:c r="D1871" s="18" t="n">
        <x:v>26</x:v>
      </x:c>
      <x:c r="E1871" s="18" t="n">
        <x:v>26</x:v>
      </x:c>
      <x:c r="F1871" s="18" t="n">
        <x:v>77</x:v>
      </x:c>
      <x:c r="G1871" s="18" t="n">
        <x:v>26</x:v>
      </x:c>
      <x:c r="H1871" s="18" t="n">
        <x:v>3</x:v>
      </x:c>
      <x:c r="I1871" s="18" t="n">
        <x:v>26</x:v>
      </x:c>
      <x:c r="J1871" s="18" t="n">
        <x:v>153</x:v>
      </x:c>
      <x:c r="K1871" s="18" t="n">
        <x:v>26</x:v>
      </x:c>
      <x:c r="L1871" s="18" t="n">
        <x:v>23</x:v>
      </x:c>
      <x:c r="M1871" s="18" t="n">
        <x:v>26</x:v>
      </x:c>
    </x:row>
    <x:row r="1872">
      <x:c r="A1872" s="22" t="str">
        <x:v>500119079</x:v>
      </x:c>
      <x:c r="B1872" s="17" t="str">
        <x:v>臺大公館校區</x:v>
      </x:c>
      <x:c r="C1872" s="17" t="str">
        <x:v>臺大一號館</x:v>
      </x:c>
      <x:c r="D1872" s="18" t="n">
        <x:v>26</x:v>
      </x:c>
      <x:c r="E1872" s="18" t="n">
        <x:v>26</x:v>
      </x:c>
      <x:c r="F1872" s="18" t="n">
        <x:v>90</x:v>
      </x:c>
      <x:c r="G1872" s="18" t="n">
        <x:v>26</x:v>
      </x:c>
      <x:c r="H1872" s="18" t="n">
        <x:v>11</x:v>
      </x:c>
      <x:c r="I1872" s="18" t="n">
        <x:v>26</x:v>
      </x:c>
      <x:c r="J1872" s="18" t="n">
        <x:v>143</x:v>
      </x:c>
      <x:c r="K1872" s="18" t="n">
        <x:v>26</x:v>
      </x:c>
      <x:c r="L1872" s="18" t="n">
        <x:v>20</x:v>
      </x:c>
      <x:c r="M1872" s="18" t="n">
        <x:v>26</x:v>
      </x:c>
    </x:row>
    <x:row r="1873">
      <x:c r="A1873" s="22" t="str">
        <x:v>500119080</x:v>
      </x:c>
      <x:c r="B1873" s="17" t="str">
        <x:v>臺大公館校區</x:v>
      </x:c>
      <x:c r="C1873" s="17" t="str">
        <x:v>臺大小小福西南側</x:v>
      </x:c>
      <x:c r="D1873" s="18" t="n">
        <x:v>26</x:v>
      </x:c>
      <x:c r="E1873" s="18" t="n">
        <x:v>26</x:v>
      </x:c>
      <x:c r="F1873" s="18" t="n">
        <x:v>51</x:v>
      </x:c>
      <x:c r="G1873" s="18" t="n">
        <x:v>26</x:v>
      </x:c>
      <x:c r="H1873" s="18" t="n">
        <x:v>3</x:v>
      </x:c>
      <x:c r="I1873" s="18" t="n">
        <x:v>26</x:v>
      </x:c>
      <x:c r="J1873" s="18" t="n">
        <x:v>80</x:v>
      </x:c>
      <x:c r="K1873" s="18" t="n">
        <x:v>26</x:v>
      </x:c>
      <x:c r="L1873" s="18" t="n">
        <x:v>4</x:v>
      </x:c>
      <x:c r="M1873" s="18" t="n">
        <x:v>26</x:v>
      </x:c>
    </x:row>
    <x:row r="1874">
      <x:c r="A1874" s="22" t="str">
        <x:v>500119081</x:v>
      </x:c>
      <x:c r="B1874" s="17" t="str">
        <x:v>臺大公館校區</x:v>
      </x:c>
      <x:c r="C1874" s="17" t="str">
        <x:v>臺大教研館北側</x:v>
      </x:c>
      <x:c r="D1874" s="18" t="n">
        <x:v>26</x:v>
      </x:c>
      <x:c r="E1874" s="18" t="n">
        <x:v>26</x:v>
      </x:c>
      <x:c r="F1874" s="18" t="n">
        <x:v>106</x:v>
      </x:c>
      <x:c r="G1874" s="18" t="n">
        <x:v>26</x:v>
      </x:c>
      <x:c r="H1874" s="18" t="n">
        <x:v>4</x:v>
      </x:c>
      <x:c r="I1874" s="18" t="n">
        <x:v>26</x:v>
      </x:c>
      <x:c r="J1874" s="18" t="n">
        <x:v>305</x:v>
      </x:c>
      <x:c r="K1874" s="18" t="n">
        <x:v>26</x:v>
      </x:c>
      <x:c r="L1874" s="18" t="n">
        <x:v>52</x:v>
      </x:c>
      <x:c r="M1874" s="18" t="n">
        <x:v>26</x:v>
      </x:c>
    </x:row>
    <x:row r="1875">
      <x:c r="A1875" s="22" t="str">
        <x:v>500119082</x:v>
      </x:c>
      <x:c r="B1875" s="17" t="str">
        <x:v>臺大公館校區</x:v>
      </x:c>
      <x:c r="C1875" s="17" t="str">
        <x:v>臺大四號館東北側</x:v>
      </x:c>
      <x:c r="D1875" s="18" t="n">
        <x:v>26</x:v>
      </x:c>
      <x:c r="E1875" s="18" t="n">
        <x:v>26</x:v>
      </x:c>
      <x:c r="F1875" s="18" t="n">
        <x:v>84</x:v>
      </x:c>
      <x:c r="G1875" s="18" t="n">
        <x:v>26</x:v>
      </x:c>
      <x:c r="H1875" s="18" t="n">
        <x:v>6</x:v>
      </x:c>
      <x:c r="I1875" s="18" t="n">
        <x:v>26</x:v>
      </x:c>
      <x:c r="J1875" s="18" t="n">
        <x:v>401</x:v>
      </x:c>
      <x:c r="K1875" s="18" t="n">
        <x:v>26</x:v>
      </x:c>
      <x:c r="L1875" s="18" t="n">
        <x:v>64</x:v>
      </x:c>
      <x:c r="M1875" s="18" t="n">
        <x:v>26</x:v>
      </x:c>
    </x:row>
    <x:row r="1876">
      <x:c r="A1876" s="22" t="str">
        <x:v>500119083</x:v>
      </x:c>
      <x:c r="B1876" s="17" t="str">
        <x:v>臺大公館校區</x:v>
      </x:c>
      <x:c r="C1876" s="17" t="str">
        <x:v>臺大新生教室南側</x:v>
      </x:c>
      <x:c r="D1876" s="18" t="n">
        <x:v>26</x:v>
      </x:c>
      <x:c r="E1876" s="18" t="n">
        <x:v>26</x:v>
      </x:c>
      <x:c r="F1876" s="18" t="n">
        <x:v>123</x:v>
      </x:c>
      <x:c r="G1876" s="18" t="n">
        <x:v>26</x:v>
      </x:c>
      <x:c r="H1876" s="18" t="n">
        <x:v>20</x:v>
      </x:c>
      <x:c r="I1876" s="18" t="n">
        <x:v>26</x:v>
      </x:c>
      <x:c r="J1876" s="18" t="n">
        <x:v>515</x:v>
      </x:c>
      <x:c r="K1876" s="18" t="n">
        <x:v>26</x:v>
      </x:c>
      <x:c r="L1876" s="18" t="n">
        <x:v>53</x:v>
      </x:c>
      <x:c r="M1876" s="18" t="n">
        <x:v>26</x:v>
      </x:c>
    </x:row>
    <x:row r="1877">
      <x:c r="A1877" s="22" t="str">
        <x:v>500119084</x:v>
      </x:c>
      <x:c r="B1877" s="17" t="str">
        <x:v>臺大公館校區</x:v>
      </x:c>
      <x:c r="C1877" s="17" t="str">
        <x:v>臺大鄭江樓北側</x:v>
      </x:c>
      <x:c r="D1877" s="18" t="n">
        <x:v>26</x:v>
      </x:c>
      <x:c r="E1877" s="18" t="n">
        <x:v>26</x:v>
      </x:c>
      <x:c r="F1877" s="18" t="n">
        <x:v>181</x:v>
      </x:c>
      <x:c r="G1877" s="18" t="n">
        <x:v>26</x:v>
      </x:c>
      <x:c r="H1877" s="18" t="n">
        <x:v>14</x:v>
      </x:c>
      <x:c r="I1877" s="18" t="n">
        <x:v>26</x:v>
      </x:c>
      <x:c r="J1877" s="18" t="n">
        <x:v>573</x:v>
      </x:c>
      <x:c r="K1877" s="18" t="n">
        <x:v>26</x:v>
      </x:c>
      <x:c r="L1877" s="18" t="n">
        <x:v>96</x:v>
      </x:c>
      <x:c r="M1877" s="18" t="n">
        <x:v>26</x:v>
      </x:c>
    </x:row>
    <x:row r="1878">
      <x:c r="A1878" s="22" t="str">
        <x:v>500119085</x:v>
      </x:c>
      <x:c r="B1878" s="17" t="str">
        <x:v>臺大公館校區</x:v>
      </x:c>
      <x:c r="C1878" s="17" t="str">
        <x:v>臺大電機二館東南側</x:v>
      </x:c>
      <x:c r="D1878" s="18" t="n">
        <x:v>26</x:v>
      </x:c>
      <x:c r="E1878" s="18" t="n">
        <x:v>26</x:v>
      </x:c>
      <x:c r="F1878" s="18" t="n">
        <x:v>87</x:v>
      </x:c>
      <x:c r="G1878" s="18" t="n">
        <x:v>26</x:v>
      </x:c>
      <x:c r="H1878" s="18" t="n">
        <x:v>3</x:v>
      </x:c>
      <x:c r="I1878" s="18" t="n">
        <x:v>26</x:v>
      </x:c>
      <x:c r="J1878" s="18" t="n">
        <x:v>236</x:v>
      </x:c>
      <x:c r="K1878" s="18" t="n">
        <x:v>26</x:v>
      </x:c>
      <x:c r="L1878" s="18" t="n">
        <x:v>67</x:v>
      </x:c>
      <x:c r="M1878" s="18" t="n">
        <x:v>26</x:v>
      </x:c>
    </x:row>
    <x:row r="1879">
      <x:c r="A1879" s="22" t="str">
        <x:v>500119086</x:v>
      </x:c>
      <x:c r="B1879" s="17" t="str">
        <x:v>臺大公館校區</x:v>
      </x:c>
      <x:c r="C1879" s="17" t="str">
        <x:v>臺大圖資系館北側</x:v>
      </x:c>
      <x:c r="D1879" s="18" t="n">
        <x:v>26</x:v>
      </x:c>
      <x:c r="E1879" s="18" t="n">
        <x:v>26</x:v>
      </x:c>
      <x:c r="F1879" s="18" t="n">
        <x:v>104</x:v>
      </x:c>
      <x:c r="G1879" s="18" t="n">
        <x:v>26</x:v>
      </x:c>
      <x:c r="H1879" s="18" t="n">
        <x:v>5</x:v>
      </x:c>
      <x:c r="I1879" s="18" t="n">
        <x:v>26</x:v>
      </x:c>
      <x:c r="J1879" s="18" t="n">
        <x:v>2307</x:v>
      </x:c>
      <x:c r="K1879" s="18" t="n">
        <x:v>26</x:v>
      </x:c>
      <x:c r="L1879" s="18" t="n">
        <x:v>93</x:v>
      </x:c>
      <x:c r="M1879" s="18" t="n">
        <x:v>26</x:v>
      </x:c>
    </x:row>
    <x:row r="1880">
      <x:c r="A1880" s="22" t="str">
        <x:v>500119087</x:v>
      </x:c>
      <x:c r="B1880" s="17" t="str">
        <x:v>臺大公館校區</x:v>
      </x:c>
      <x:c r="C1880" s="17" t="str">
        <x:v>臺大總圖書館西南側</x:v>
      </x:c>
      <x:c r="D1880" s="18" t="n">
        <x:v>26</x:v>
      </x:c>
      <x:c r="E1880" s="18" t="n">
        <x:v>26</x:v>
      </x:c>
      <x:c r="F1880" s="18" t="n">
        <x:v>108</x:v>
      </x:c>
      <x:c r="G1880" s="18" t="n">
        <x:v>26</x:v>
      </x:c>
      <x:c r="H1880" s="18" t="n">
        <x:v>17</x:v>
      </x:c>
      <x:c r="I1880" s="18" t="n">
        <x:v>26</x:v>
      </x:c>
      <x:c r="J1880" s="18" t="n">
        <x:v>1689</x:v>
      </x:c>
      <x:c r="K1880" s="18" t="n">
        <x:v>26</x:v>
      </x:c>
      <x:c r="L1880" s="18" t="n">
        <x:v>137</x:v>
      </x:c>
      <x:c r="M1880" s="18" t="n">
        <x:v>26</x:v>
      </x:c>
    </x:row>
    <x:row r="1881">
      <x:c r="A1881" s="22" t="str">
        <x:v>500119088</x:v>
      </x:c>
      <x:c r="B1881" s="17" t="str">
        <x:v>臺大公館校區</x:v>
      </x:c>
      <x:c r="C1881" s="17" t="str">
        <x:v>臺大黑森林西側</x:v>
      </x:c>
      <x:c r="D1881" s="18" t="n">
        <x:v>26</x:v>
      </x:c>
      <x:c r="E1881" s="18" t="n">
        <x:v>26</x:v>
      </x:c>
      <x:c r="F1881" s="18" t="n">
        <x:v>260</x:v>
      </x:c>
      <x:c r="G1881" s="18" t="n">
        <x:v>26</x:v>
      </x:c>
      <x:c r="H1881" s="18" t="n">
        <x:v>16</x:v>
      </x:c>
      <x:c r="I1881" s="18" t="n">
        <x:v>26</x:v>
      </x:c>
      <x:c r="J1881" s="18" t="n">
        <x:v>622</x:v>
      </x:c>
      <x:c r="K1881" s="18" t="n">
        <x:v>26</x:v>
      </x:c>
      <x:c r="L1881" s="18" t="n">
        <x:v>92</x:v>
      </x:c>
      <x:c r="M1881" s="18" t="n">
        <x:v>26</x:v>
      </x:c>
    </x:row>
    <x:row r="1882">
      <x:c r="A1882" s="22" t="str">
        <x:v>500119089</x:v>
      </x:c>
      <x:c r="B1882" s="17" t="str">
        <x:v>臺大公館校區</x:v>
      </x:c>
      <x:c r="C1882" s="17" t="str">
        <x:v>臺大獸醫館南側</x:v>
      </x:c>
      <x:c r="D1882" s="18" t="n">
        <x:v>26</x:v>
      </x:c>
      <x:c r="E1882" s="18" t="n">
        <x:v>26</x:v>
      </x:c>
      <x:c r="F1882" s="18" t="n">
        <x:v>150</x:v>
      </x:c>
      <x:c r="G1882" s="18" t="n">
        <x:v>26</x:v>
      </x:c>
      <x:c r="H1882" s="18" t="n">
        <x:v>7</x:v>
      </x:c>
      <x:c r="I1882" s="18" t="n">
        <x:v>26</x:v>
      </x:c>
      <x:c r="J1882" s="18" t="n">
        <x:v>510</x:v>
      </x:c>
      <x:c r="K1882" s="18" t="n">
        <x:v>26</x:v>
      </x:c>
      <x:c r="L1882" s="18" t="n">
        <x:v>58</x:v>
      </x:c>
      <x:c r="M1882" s="18" t="n">
        <x:v>26</x:v>
      </x:c>
    </x:row>
    <x:row r="1883">
      <x:c r="A1883" s="22" t="str">
        <x:v>500119090</x:v>
      </x:c>
      <x:c r="B1883" s="17" t="str">
        <x:v>臺大公館校區</x:v>
      </x:c>
      <x:c r="C1883" s="17" t="str">
        <x:v>臺大新體育館東南側</x:v>
      </x:c>
      <x:c r="D1883" s="18" t="n">
        <x:v>26</x:v>
      </x:c>
      <x:c r="E1883" s="18" t="n">
        <x:v>26</x:v>
      </x:c>
      <x:c r="F1883" s="18" t="n">
        <x:v>246</x:v>
      </x:c>
      <x:c r="G1883" s="18" t="n">
        <x:v>26</x:v>
      </x:c>
      <x:c r="H1883" s="18" t="n">
        <x:v>21</x:v>
      </x:c>
      <x:c r="I1883" s="18" t="n">
        <x:v>26</x:v>
      </x:c>
      <x:c r="J1883" s="18" t="n">
        <x:v>890</x:v>
      </x:c>
      <x:c r="K1883" s="18" t="n">
        <x:v>26</x:v>
      </x:c>
      <x:c r="L1883" s="18" t="n">
        <x:v>134</x:v>
      </x:c>
      <x:c r="M1883" s="18" t="n">
        <x:v>26</x:v>
      </x:c>
    </x:row>
    <x:row r="1884">
      <x:c r="A1884" s="22" t="str">
        <x:v>500119091</x:v>
      </x:c>
      <x:c r="B1884" s="17" t="str">
        <x:v>臺大公館校區</x:v>
      </x:c>
      <x:c r="C1884" s="17" t="str">
        <x:v>臺大明達館北側(員工宿舍)</x:v>
      </x:c>
      <x:c r="D1884" s="18" t="n">
        <x:v>26</x:v>
      </x:c>
      <x:c r="E1884" s="18" t="n">
        <x:v>26</x:v>
      </x:c>
      <x:c r="F1884" s="18" t="n">
        <x:v>267</x:v>
      </x:c>
      <x:c r="G1884" s="18" t="n">
        <x:v>26</x:v>
      </x:c>
      <x:c r="H1884" s="18" t="n">
        <x:v>28</x:v>
      </x:c>
      <x:c r="I1884" s="18" t="n">
        <x:v>26</x:v>
      </x:c>
      <x:c r="J1884" s="18" t="n">
        <x:v>340</x:v>
      </x:c>
      <x:c r="K1884" s="18" t="n">
        <x:v>26</x:v>
      </x:c>
      <x:c r="L1884" s="18" t="n">
        <x:v>68</x:v>
      </x:c>
      <x:c r="M1884" s="18" t="n">
        <x:v>26</x:v>
      </x:c>
    </x:row>
    <x:row r="1885">
      <x:c r="A1885" s="22" t="str">
        <x:v>500119092</x:v>
      </x:c>
      <x:c r="B1885" s="17" t="str">
        <x:v>臺大公館校區</x:v>
      </x:c>
      <x:c r="C1885" s="17" t="str">
        <x:v>臺大管理學院一館</x:v>
      </x:c>
      <x:c r="D1885" s="18" t="n">
        <x:v>26</x:v>
      </x:c>
      <x:c r="E1885" s="18" t="n">
        <x:v>26</x:v>
      </x:c>
      <x:c r="F1885" s="18" t="n">
        <x:v>100</x:v>
      </x:c>
      <x:c r="G1885" s="18" t="n">
        <x:v>26</x:v>
      </x:c>
      <x:c r="H1885" s="18" t="n">
        <x:v>7</x:v>
      </x:c>
      <x:c r="I1885" s="18" t="n">
        <x:v>26</x:v>
      </x:c>
      <x:c r="J1885" s="18" t="n">
        <x:v>221</x:v>
      </x:c>
      <x:c r="K1885" s="18" t="n">
        <x:v>26</x:v>
      </x:c>
      <x:c r="L1885" s="18" t="n">
        <x:v>49</x:v>
      </x:c>
      <x:c r="M1885" s="18" t="n">
        <x:v>26</x:v>
      </x:c>
    </x:row>
    <x:row r="1886">
      <x:c r="A1886" s="22" t="str">
        <x:v>500119093</x:v>
      </x:c>
      <x:c r="B1886" s="17" t="str">
        <x:v>臺大公館校區</x:v>
      </x:c>
      <x:c r="C1886" s="17" t="str">
        <x:v>臺大禮賢樓西側</x:v>
      </x:c>
      <x:c r="D1886" s="18" t="n">
        <x:v>26</x:v>
      </x:c>
      <x:c r="E1886" s="18" t="n">
        <x:v>26</x:v>
      </x:c>
      <x:c r="F1886" s="18" t="n">
        <x:v>165</x:v>
      </x:c>
      <x:c r="G1886" s="18" t="n">
        <x:v>26</x:v>
      </x:c>
      <x:c r="H1886" s="18" t="n">
        <x:v>9</x:v>
      </x:c>
      <x:c r="I1886" s="18" t="n">
        <x:v>26</x:v>
      </x:c>
      <x:c r="J1886" s="18" t="n">
        <x:v>294</x:v>
      </x:c>
      <x:c r="K1886" s="18" t="n">
        <x:v>26</x:v>
      </x:c>
      <x:c r="L1886" s="18" t="n">
        <x:v>25</x:v>
      </x:c>
      <x:c r="M1886" s="18" t="n">
        <x:v>26</x:v>
      </x:c>
    </x:row>
    <x:row r="1887">
      <x:c r="A1887" s="22" t="str">
        <x:v>500119094</x:v>
      </x:c>
      <x:c r="B1887" s="17" t="str">
        <x:v>臺大公館校區</x:v>
      </x:c>
      <x:c r="C1887" s="17" t="str">
        <x:v>臺大大一女餐廳廣場</x:v>
      </x:c>
      <x:c r="D1887" s="18" t="n">
        <x:v>26</x:v>
      </x:c>
      <x:c r="E1887" s="18" t="n">
        <x:v>26</x:v>
      </x:c>
      <x:c r="F1887" s="18" t="n">
        <x:v>1445</x:v>
      </x:c>
      <x:c r="G1887" s="18" t="n">
        <x:v>26</x:v>
      </x:c>
      <x:c r="H1887" s="18" t="n">
        <x:v>36</x:v>
      </x:c>
      <x:c r="I1887" s="18" t="n">
        <x:v>26</x:v>
      </x:c>
      <x:c r="J1887" s="18" t="n">
        <x:v>396</x:v>
      </x:c>
      <x:c r="K1887" s="18" t="n">
        <x:v>26</x:v>
      </x:c>
      <x:c r="L1887" s="18" t="n">
        <x:v>26</x:v>
      </x:c>
      <x:c r="M1887" s="18" t="n">
        <x:v>26</x:v>
      </x:c>
    </x:row>
    <x:row r="1888">
      <x:c r="A1888" s="22" t="str">
        <x:v>500119095</x:v>
      </x:c>
      <x:c r="B1888" s="17" t="str">
        <x:v>臺大公館校區</x:v>
      </x:c>
      <x:c r="C1888" s="17" t="str">
        <x:v>臺大學新館</x:v>
      </x:c>
      <x:c r="D1888" s="18" t="n">
        <x:v>26</x:v>
      </x:c>
      <x:c r="E1888" s="18" t="n">
        <x:v>26</x:v>
      </x:c>
      <x:c r="F1888" s="18" t="n">
        <x:v>151</x:v>
      </x:c>
      <x:c r="G1888" s="18" t="n">
        <x:v>26</x:v>
      </x:c>
      <x:c r="H1888" s="18" t="n">
        <x:v>8</x:v>
      </x:c>
      <x:c r="I1888" s="18" t="n">
        <x:v>26</x:v>
      </x:c>
      <x:c r="J1888" s="18" t="n">
        <x:v>781</x:v>
      </x:c>
      <x:c r="K1888" s="18" t="n">
        <x:v>26</x:v>
      </x:c>
      <x:c r="L1888" s="18" t="n">
        <x:v>69</x:v>
      </x:c>
      <x:c r="M1888" s="18" t="n">
        <x:v>26</x:v>
      </x:c>
    </x:row>
    <x:row r="1889">
      <x:c r="A1889" s="22" t="str">
        <x:v>500119096</x:v>
      </x:c>
      <x:c r="B1889" s="17" t="str">
        <x:v>臺大公館校區</x:v>
      </x:c>
      <x:c r="C1889" s="17" t="str">
        <x:v>臺大水源舍區C棟</x:v>
      </x:c>
      <x:c r="D1889" s="18" t="n">
        <x:v>26</x:v>
      </x:c>
      <x:c r="E1889" s="18" t="n">
        <x:v>26</x:v>
      </x:c>
      <x:c r="F1889" s="18" t="n">
        <x:v>857</x:v>
      </x:c>
      <x:c r="G1889" s="18" t="n">
        <x:v>26</x:v>
      </x:c>
      <x:c r="H1889" s="18" t="n">
        <x:v>59</x:v>
      </x:c>
      <x:c r="I1889" s="18" t="n">
        <x:v>26</x:v>
      </x:c>
      <x:c r="J1889" s="18" t="n">
        <x:v>109</x:v>
      </x:c>
      <x:c r="K1889" s="18" t="n">
        <x:v>26</x:v>
      </x:c>
      <x:c r="L1889" s="18" t="n">
        <x:v>5</x:v>
      </x:c>
      <x:c r="M1889" s="18" t="n">
        <x:v>26</x:v>
      </x:c>
    </x:row>
    <x:row r="1890">
      <x:c r="A1890" s="22" t="str">
        <x:v>500119097</x:v>
      </x:c>
      <x:c r="B1890" s="17" t="str">
        <x:v>臺大公館校區</x:v>
      </x:c>
      <x:c r="C1890" s="17" t="str">
        <x:v>臺大人文館</x:v>
      </x:c>
      <x:c r="D1890" s="18" t="n">
        <x:v>26</x:v>
      </x:c>
      <x:c r="E1890" s="18" t="n">
        <x:v>26</x:v>
      </x:c>
      <x:c r="F1890" s="18" t="n">
        <x:v>340</x:v>
      </x:c>
      <x:c r="G1890" s="18" t="n">
        <x:v>26</x:v>
      </x:c>
      <x:c r="H1890" s="18" t="n">
        <x:v>3</x:v>
      </x:c>
      <x:c r="I1890" s="18" t="n">
        <x:v>26</x:v>
      </x:c>
      <x:c r="J1890" s="18" t="n">
        <x:v>485</x:v>
      </x:c>
      <x:c r="K1890" s="18" t="n">
        <x:v>26</x:v>
      </x:c>
      <x:c r="L1890" s="18" t="n">
        <x:v>52</x:v>
      </x:c>
      <x:c r="M1890" s="18" t="n">
        <x:v>26</x:v>
      </x:c>
    </x:row>
    <x:row r="1891">
      <x:c r="A1891" s="22" t="str">
        <x:v>500119098</x:v>
      </x:c>
      <x:c r="B1891" s="17" t="str">
        <x:v>臺大公館校區</x:v>
      </x:c>
      <x:c r="C1891" s="17" t="str">
        <x:v>臺大數學研究中心(東側)</x:v>
      </x:c>
      <x:c r="D1891" s="18" t="n">
        <x:v>26</x:v>
      </x:c>
      <x:c r="E1891" s="18" t="n">
        <x:v>26</x:v>
      </x:c>
      <x:c r="F1891" s="18" t="n">
        <x:v>151</x:v>
      </x:c>
      <x:c r="G1891" s="18" t="n">
        <x:v>26</x:v>
      </x:c>
      <x:c r="H1891" s="18" t="n">
        <x:v>13</x:v>
      </x:c>
      <x:c r="I1891" s="18" t="n">
        <x:v>26</x:v>
      </x:c>
      <x:c r="J1891" s="18" t="n">
        <x:v>2769</x:v>
      </x:c>
      <x:c r="K1891" s="18" t="n">
        <x:v>26</x:v>
      </x:c>
      <x:c r="L1891" s="18" t="n">
        <x:v>144</x:v>
      </x:c>
      <x:c r="M1891" s="18" t="n">
        <x:v>26</x:v>
      </x:c>
    </x:row>
    <x:row r="1892">
      <x:c r="A1892" s="22" t="str">
        <x:v>500119099</x:v>
      </x:c>
      <x:c r="B1892" s="17" t="str">
        <x:v>臺大公館校區</x:v>
      </x:c>
      <x:c r="C1892" s="17" t="str">
        <x:v>臺大博理館北側</x:v>
      </x:c>
      <x:c r="D1892" s="18" t="n">
        <x:v>26</x:v>
      </x:c>
      <x:c r="E1892" s="18" t="n">
        <x:v>26</x:v>
      </x:c>
      <x:c r="F1892" s="18" t="n">
        <x:v>111</x:v>
      </x:c>
      <x:c r="G1892" s="18" t="n">
        <x:v>26</x:v>
      </x:c>
      <x:c r="H1892" s="18" t="n">
        <x:v>9</x:v>
      </x:c>
      <x:c r="I1892" s="18" t="n">
        <x:v>26</x:v>
      </x:c>
      <x:c r="J1892" s="18" t="n">
        <x:v>685</x:v>
      </x:c>
      <x:c r="K1892" s="18" t="n">
        <x:v>26</x:v>
      </x:c>
      <x:c r="L1892" s="18" t="n">
        <x:v>47</x:v>
      </x:c>
      <x:c r="M1892" s="18" t="n">
        <x:v>26</x:v>
      </x:c>
    </x:row>
    <x:row r="1893">
      <x:c r="A1893" s="22" t="str">
        <x:v>500119100</x:v>
      </x:c>
      <x:c r="B1893" s="17" t="str">
        <x:v>臺大公館校區</x:v>
      </x:c>
      <x:c r="C1893" s="17" t="str">
        <x:v>臺大博理館東側</x:v>
      </x:c>
      <x:c r="D1893" s="18" t="n">
        <x:v>26</x:v>
      </x:c>
      <x:c r="E1893" s="18" t="n">
        <x:v>26</x:v>
      </x:c>
      <x:c r="F1893" s="18" t="n">
        <x:v>136</x:v>
      </x:c>
      <x:c r="G1893" s="18" t="n">
        <x:v>26</x:v>
      </x:c>
      <x:c r="H1893" s="18" t="n">
        <x:v>3</x:v>
      </x:c>
      <x:c r="I1893" s="18" t="n">
        <x:v>26</x:v>
      </x:c>
      <x:c r="J1893" s="18" t="n">
        <x:v>425</x:v>
      </x:c>
      <x:c r="K1893" s="18" t="n">
        <x:v>26</x:v>
      </x:c>
      <x:c r="L1893" s="18" t="n">
        <x:v>50</x:v>
      </x:c>
      <x:c r="M1893" s="18" t="n">
        <x:v>26</x:v>
      </x:c>
    </x:row>
    <x:row r="1894">
      <x:c r="A1894" s="22" t="str">
        <x:v>500119101</x:v>
      </x:c>
      <x:c r="B1894" s="17" t="str">
        <x:v>臺大公館校區</x:v>
      </x:c>
      <x:c r="C1894" s="17" t="str">
        <x:v>臺大德田館東北側</x:v>
      </x:c>
      <x:c r="D1894" s="18" t="n">
        <x:v>26</x:v>
      </x:c>
      <x:c r="E1894" s="18" t="n">
        <x:v>26</x:v>
      </x:c>
      <x:c r="F1894" s="18" t="n">
        <x:v>144</x:v>
      </x:c>
      <x:c r="G1894" s="18" t="n">
        <x:v>26</x:v>
      </x:c>
      <x:c r="H1894" s="18" t="n">
        <x:v>3</x:v>
      </x:c>
      <x:c r="I1894" s="18" t="n">
        <x:v>26</x:v>
      </x:c>
      <x:c r="J1894" s="18" t="n">
        <x:v>2482</x:v>
      </x:c>
      <x:c r="K1894" s="18" t="n">
        <x:v>26</x:v>
      </x:c>
      <x:c r="L1894" s="18" t="n">
        <x:v>174</x:v>
      </x:c>
      <x:c r="M1894" s="18" t="n">
        <x:v>26</x:v>
      </x:c>
    </x:row>
    <x:row r="1895">
      <x:c r="A1895" s="22" t="str">
        <x:v>500119102</x:v>
      </x:c>
      <x:c r="B1895" s="17" t="str">
        <x:v>臺大公館校區</x:v>
      </x:c>
      <x:c r="C1895" s="17" t="str">
        <x:v>臺大普通教學館東側</x:v>
      </x:c>
      <x:c r="D1895" s="18" t="n">
        <x:v>26</x:v>
      </x:c>
      <x:c r="E1895" s="18" t="n">
        <x:v>26</x:v>
      </x:c>
      <x:c r="F1895" s="18" t="n">
        <x:v>91</x:v>
      </x:c>
      <x:c r="G1895" s="18" t="n">
        <x:v>26</x:v>
      </x:c>
      <x:c r="H1895" s="18" t="n">
        <x:v>8</x:v>
      </x:c>
      <x:c r="I1895" s="18" t="n">
        <x:v>26</x:v>
      </x:c>
      <x:c r="J1895" s="18" t="n">
        <x:v>1186</x:v>
      </x:c>
      <x:c r="K1895" s="18" t="n">
        <x:v>26</x:v>
      </x:c>
      <x:c r="L1895" s="18" t="n">
        <x:v>124</x:v>
      </x:c>
      <x:c r="M1895" s="18" t="n">
        <x:v>26</x:v>
      </x:c>
    </x:row>
    <x:row r="1896">
      <x:c r="A1896" s="22" t="str">
        <x:v>500119103</x:v>
      </x:c>
      <x:c r="B1896" s="17" t="str">
        <x:v>臺大公館校區</x:v>
      </x:c>
      <x:c r="C1896" s="17" t="str">
        <x:v>臺大次震宇宙館西側</x:v>
      </x:c>
      <x:c r="D1896" s="18" t="n">
        <x:v>26</x:v>
      </x:c>
      <x:c r="E1896" s="18" t="n">
        <x:v>26</x:v>
      </x:c>
      <x:c r="F1896" s="18" t="n">
        <x:v>91</x:v>
      </x:c>
      <x:c r="G1896" s="18" t="n">
        <x:v>26</x:v>
      </x:c>
      <x:c r="H1896" s="18" t="n">
        <x:v>3</x:v>
      </x:c>
      <x:c r="I1896" s="18" t="n">
        <x:v>26</x:v>
      </x:c>
      <x:c r="J1896" s="18" t="n">
        <x:v>828</x:v>
      </x:c>
      <x:c r="K1896" s="18" t="n">
        <x:v>26</x:v>
      </x:c>
      <x:c r="L1896" s="18" t="n">
        <x:v>78</x:v>
      </x:c>
      <x:c r="M1896" s="18" t="n">
        <x:v>26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20c6c12c1ac44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3" t="str">
        <x:v>入選日期｜平日且台北總用量超過20萬</x:v>
      </x:c>
      <x:c r="B1" s="3" t="str">
        <x:v>入選日期｜平日且台北總用量超過20萬</x:v>
      </x:c>
      <x:c r="C1" s="3" t="str">
        <x:v>入選日期｜平日且台北總用量超過20萬</x:v>
      </x:c>
      <x:c r="D1" s="3" t="str">
        <x:v>入選日期｜平日且台北總用量超過20萬</x:v>
      </x:c>
      <x:c r="E1" s="3" t="str">
        <x:v>入選日期｜平日且台北總用量超過20萬</x:v>
      </x:c>
      <x:c r="F1" s="3" t="str">
        <x:v>入選日期｜平日且台北總用量超過20萬</x:v>
      </x:c>
    </x:row>
    <x:row r="3" ht="36" customHeight="1">
      <x:c r="A3" s="14" t="str">
        <x:v>日期</x:v>
      </x:c>
      <x:c r="B3" s="14" t="str">
        <x:v>星期</x:v>
      </x:c>
      <x:c r="C3" s="14" t="str">
        <x:v>2.0用量</x:v>
      </x:c>
      <x:c r="D3" s="14" t="str">
        <x:v>2.0E用量</x:v>
      </x:c>
      <x:c r="E3" s="14" t="str">
        <x:v>總用量</x:v>
      </x:c>
      <x:c r="F3" s="14" t="str">
        <x:v>門檻檢核</x:v>
      </x:c>
    </x:row>
    <x:row r="4">
      <x:c r="A4" s="27" t="str">
        <x:v>2026-09-02</x:v>
      </x:c>
      <x:c r="B4" s="27" t="str">
        <x:v>三</x:v>
      </x:c>
      <x:c r="C4" s="28" t="n">
        <x:v>280266</x:v>
      </x:c>
      <x:c r="D4" s="28" t="n">
        <x:v>29151</x:v>
      </x:c>
      <x:c r="E4" s="28" t="n">
        <x:f>C4+D4</x:f>
        <x:v>309417</x:v>
      </x:c>
      <x:c r="F4" s="27" t="str">
        <x:f>IF(E4&gt;200000,"納入","排除")</x:f>
        <x:v>納入</x:v>
      </x:c>
    </x:row>
    <x:row r="5">
      <x:c r="A5" s="27" t="str">
        <x:v>2026-09-07</x:v>
      </x:c>
      <x:c r="B5" s="27" t="str">
        <x:v>一</x:v>
      </x:c>
      <x:c r="C5" s="28" t="n">
        <x:v>295130</x:v>
      </x:c>
      <x:c r="D5" s="28" t="n">
        <x:v>30018</x:v>
      </x:c>
      <x:c r="E5" s="28" t="n">
        <x:f>C5+D5</x:f>
        <x:v>325148</x:v>
      </x:c>
      <x:c r="F5" s="27" t="str">
        <x:f>IF(E5&gt;200000,"納入","排除")</x:f>
        <x:v>納入</x:v>
      </x:c>
    </x:row>
    <x:row r="6">
      <x:c r="A6" s="27" t="str">
        <x:v>2026-09-08</x:v>
      </x:c>
      <x:c r="B6" s="27" t="str">
        <x:v>二</x:v>
      </x:c>
      <x:c r="C6" s="28" t="n">
        <x:v>288413</x:v>
      </x:c>
      <x:c r="D6" s="28" t="n">
        <x:v>29957</x:v>
      </x:c>
      <x:c r="E6" s="28" t="n">
        <x:f>C6+D6</x:f>
        <x:v>318370</x:v>
      </x:c>
      <x:c r="F6" s="27" t="str">
        <x:f>IF(E6&gt;200000,"納入","排除")</x:f>
        <x:v>納入</x:v>
      </x:c>
    </x:row>
    <x:row r="7">
      <x:c r="A7" s="27" t="str">
        <x:v>2026-09-09</x:v>
      </x:c>
      <x:c r="B7" s="27" t="str">
        <x:v>三</x:v>
      </x:c>
      <x:c r="C7" s="28" t="n">
        <x:v>274391</x:v>
      </x:c>
      <x:c r="D7" s="28" t="n">
        <x:v>28954</x:v>
      </x:c>
      <x:c r="E7" s="28" t="n">
        <x:f>C7+D7</x:f>
        <x:v>303345</x:v>
      </x:c>
      <x:c r="F7" s="27" t="str">
        <x:f>IF(E7&gt;200000,"納入","排除")</x:f>
        <x:v>納入</x:v>
      </x:c>
    </x:row>
    <x:row r="8">
      <x:c r="A8" s="27" t="str">
        <x:v>2026-09-10</x:v>
      </x:c>
      <x:c r="B8" s="27" t="str">
        <x:v>四</x:v>
      </x:c>
      <x:c r="C8" s="28" t="n">
        <x:v>257070</x:v>
      </x:c>
      <x:c r="D8" s="28" t="n">
        <x:v>26964</x:v>
      </x:c>
      <x:c r="E8" s="28" t="n">
        <x:f>C8+D8</x:f>
        <x:v>284034</x:v>
      </x:c>
      <x:c r="F8" s="27" t="str">
        <x:f>IF(E8&gt;200000,"納入","排除")</x:f>
        <x:v>納入</x:v>
      </x:c>
    </x:row>
    <x:row r="9">
      <x:c r="A9" s="27" t="str">
        <x:v>2026-09-11</x:v>
      </x:c>
      <x:c r="B9" s="27" t="str">
        <x:v>五</x:v>
      </x:c>
      <x:c r="C9" s="28" t="n">
        <x:v>191777</x:v>
      </x:c>
      <x:c r="D9" s="28" t="n">
        <x:v>20575</x:v>
      </x:c>
      <x:c r="E9" s="28" t="n">
        <x:f>C9+D9</x:f>
        <x:v>212352</x:v>
      </x:c>
      <x:c r="F9" s="27" t="str">
        <x:f>IF(E9&gt;200000,"納入","排除")</x:f>
        <x:v>納入</x:v>
      </x:c>
    </x:row>
    <x:row r="10">
      <x:c r="A10" s="27" t="str">
        <x:v>2026-09-14</x:v>
      </x:c>
      <x:c r="B10" s="27" t="str">
        <x:v>一</x:v>
      </x:c>
      <x:c r="C10" s="28" t="n">
        <x:v>230984</x:v>
      </x:c>
      <x:c r="D10" s="28" t="n">
        <x:v>24060</x:v>
      </x:c>
      <x:c r="E10" s="28" t="n">
        <x:f>C10+D10</x:f>
        <x:v>255044</x:v>
      </x:c>
      <x:c r="F10" s="27" t="str">
        <x:f>IF(E10&gt;200000,"納入","排除")</x:f>
        <x:v>納入</x:v>
      </x:c>
    </x:row>
    <x:row r="11">
      <x:c r="A11" s="27" t="str">
        <x:v>2026-09-15</x:v>
      </x:c>
      <x:c r="B11" s="27" t="str">
        <x:v>二</x:v>
      </x:c>
      <x:c r="C11" s="28" t="n">
        <x:v>275039</x:v>
      </x:c>
      <x:c r="D11" s="28" t="n">
        <x:v>28458</x:v>
      </x:c>
      <x:c r="E11" s="28" t="n">
        <x:f>C11+D11</x:f>
        <x:v>303497</x:v>
      </x:c>
      <x:c r="F11" s="27" t="str">
        <x:f>IF(E11&gt;200000,"納入","排除")</x:f>
        <x:v>納入</x:v>
      </x:c>
    </x:row>
    <x:row r="12">
      <x:c r="A12" s="27" t="str">
        <x:v>2026-09-16</x:v>
      </x:c>
      <x:c r="B12" s="27" t="str">
        <x:v>三</x:v>
      </x:c>
      <x:c r="C12" s="28" t="n">
        <x:v>293283</x:v>
      </x:c>
      <x:c r="D12" s="28" t="n">
        <x:v>31325</x:v>
      </x:c>
      <x:c r="E12" s="28" t="n">
        <x:f>C12+D12</x:f>
        <x:v>324608</x:v>
      </x:c>
      <x:c r="F12" s="27" t="str">
        <x:f>IF(E12&gt;200000,"納入","排除")</x:f>
        <x:v>納入</x:v>
      </x:c>
    </x:row>
    <x:row r="13">
      <x:c r="A13" s="27" t="str">
        <x:v>2026-09-17</x:v>
      </x:c>
      <x:c r="B13" s="27" t="str">
        <x:v>四</x:v>
      </x:c>
      <x:c r="C13" s="28" t="n">
        <x:v>289066</x:v>
      </x:c>
      <x:c r="D13" s="28" t="n">
        <x:v>30820</x:v>
      </x:c>
      <x:c r="E13" s="28" t="n">
        <x:f>C13+D13</x:f>
        <x:v>319886</x:v>
      </x:c>
      <x:c r="F13" s="27" t="str">
        <x:f>IF(E13&gt;200000,"納入","排除")</x:f>
        <x:v>納入</x:v>
      </x:c>
    </x:row>
    <x:row r="14">
      <x:c r="A14" s="27" t="str">
        <x:v>2026-09-18</x:v>
      </x:c>
      <x:c r="B14" s="27" t="str">
        <x:v>五</x:v>
      </x:c>
      <x:c r="C14" s="28" t="n">
        <x:v>296217</x:v>
      </x:c>
      <x:c r="D14" s="28" t="n">
        <x:v>33546</x:v>
      </x:c>
      <x:c r="E14" s="28" t="n">
        <x:f>C14+D14</x:f>
        <x:v>329763</x:v>
      </x:c>
      <x:c r="F14" s="27" t="str">
        <x:f>IF(E14&gt;200000,"納入","排除")</x:f>
        <x:v>納入</x:v>
      </x:c>
    </x:row>
    <x:row r="15">
      <x:c r="A15" s="27" t="str">
        <x:v>2026-09-21</x:v>
      </x:c>
      <x:c r="B15" s="27" t="str">
        <x:v>一</x:v>
      </x:c>
      <x:c r="C15" s="28" t="n">
        <x:v>283110</x:v>
      </x:c>
      <x:c r="D15" s="28" t="n">
        <x:v>28163</x:v>
      </x:c>
      <x:c r="E15" s="28" t="n">
        <x:f>C15+D15</x:f>
        <x:v>311273</x:v>
      </x:c>
      <x:c r="F15" s="27" t="str">
        <x:f>IF(E15&gt;200000,"納入","排除")</x:f>
        <x:v>納入</x:v>
      </x:c>
    </x:row>
    <x:row r="16">
      <x:c r="A16" s="27" t="str">
        <x:v>2026-09-22</x:v>
      </x:c>
      <x:c r="B16" s="27" t="str">
        <x:v>二</x:v>
      </x:c>
      <x:c r="C16" s="28" t="n">
        <x:v>283150</x:v>
      </x:c>
      <x:c r="D16" s="28" t="n">
        <x:v>29992</x:v>
      </x:c>
      <x:c r="E16" s="28" t="n">
        <x:f>C16+D16</x:f>
        <x:v>313142</x:v>
      </x:c>
      <x:c r="F16" s="27" t="str">
        <x:f>IF(E16&gt;200000,"納入","排除")</x:f>
        <x:v>納入</x:v>
      </x:c>
    </x:row>
    <x:row r="17">
      <x:c r="A17" s="27" t="str">
        <x:v>2026-09-23</x:v>
      </x:c>
      <x:c r="B17" s="27" t="str">
        <x:v>三</x:v>
      </x:c>
      <x:c r="C17" s="28" t="n">
        <x:v>290742</x:v>
      </x:c>
      <x:c r="D17" s="28" t="n">
        <x:v>31788</x:v>
      </x:c>
      <x:c r="E17" s="28" t="n">
        <x:f>C17+D17</x:f>
        <x:v>322530</x:v>
      </x:c>
      <x:c r="F17" s="27" t="str">
        <x:f>IF(E17&gt;200000,"納入","排除")</x:f>
        <x:v>納入</x:v>
      </x:c>
    </x:row>
    <x:row r="18">
      <x:c r="A18" s="27" t="str">
        <x:v>2026-09-24</x:v>
      </x:c>
      <x:c r="B18" s="27" t="str">
        <x:v>四</x:v>
      </x:c>
      <x:c r="C18" s="28" t="n">
        <x:v>287976</x:v>
      </x:c>
      <x:c r="D18" s="28" t="n">
        <x:v>32798</x:v>
      </x:c>
      <x:c r="E18" s="28" t="n">
        <x:f>C18+D18</x:f>
        <x:v>320774</x:v>
      </x:c>
      <x:c r="F18" s="27" t="str">
        <x:f>IF(E18&gt;200000,"納入","排除")</x:f>
        <x:v>納入</x:v>
      </x:c>
    </x:row>
    <x:row r="19">
      <x:c r="A19" s="27" t="str">
        <x:v>2026-09-25</x:v>
      </x:c>
      <x:c r="B19" s="27" t="str">
        <x:v>五</x:v>
      </x:c>
      <x:c r="C19" s="28" t="n">
        <x:v>188464</x:v>
      </x:c>
      <x:c r="D19" s="28" t="n">
        <x:v>23957</x:v>
      </x:c>
      <x:c r="E19" s="28" t="n">
        <x:f>C19+D19</x:f>
        <x:v>212421</x:v>
      </x:c>
      <x:c r="F19" s="27" t="str">
        <x:f>IF(E19&gt;200000,"納入","排除")</x:f>
        <x:v>納入</x:v>
      </x:c>
    </x:row>
    <x:row r="20">
      <x:c r="A20" s="27" t="str">
        <x:v>2026-09-28</x:v>
      </x:c>
      <x:c r="B20" s="27" t="str">
        <x:v>一</x:v>
      </x:c>
      <x:c r="C20" s="28" t="n">
        <x:v>199297</x:v>
      </x:c>
      <x:c r="D20" s="28" t="n">
        <x:v>21942</x:v>
      </x:c>
      <x:c r="E20" s="28" t="n">
        <x:f>C20+D20</x:f>
        <x:v>221239</x:v>
      </x:c>
      <x:c r="F20" s="27" t="str">
        <x:f>IF(E20&gt;200000,"納入","排除")</x:f>
        <x:v>納入</x:v>
      </x:c>
    </x:row>
    <x:row r="21">
      <x:c r="A21" s="27" t="str">
        <x:v>2026-09-29</x:v>
      </x:c>
      <x:c r="B21" s="27" t="str">
        <x:v>二</x:v>
      </x:c>
      <x:c r="C21" s="28" t="n">
        <x:v>284921</x:v>
      </x:c>
      <x:c r="D21" s="28" t="n">
        <x:v>29294</x:v>
      </x:c>
      <x:c r="E21" s="28" t="n">
        <x:f>C21+D21</x:f>
        <x:v>314215</x:v>
      </x:c>
      <x:c r="F21" s="27" t="str">
        <x:f>IF(E21&gt;200000,"納入","排除")</x:f>
        <x:v>納入</x:v>
      </x:c>
    </x:row>
    <x:row r="22">
      <x:c r="A22" s="27" t="str">
        <x:v>2026-09-30</x:v>
      </x:c>
      <x:c r="B22" s="27" t="str">
        <x:v>三</x:v>
      </x:c>
      <x:c r="C22" s="28" t="n">
        <x:v>294221</x:v>
      </x:c>
      <x:c r="D22" s="28" t="n">
        <x:v>31738</x:v>
      </x:c>
      <x:c r="E22" s="28" t="n">
        <x:f>C22+D22</x:f>
        <x:v>325959</x:v>
      </x:c>
      <x:c r="F22" s="27" t="str">
        <x:f>IF(E22&gt;200000,"納入","排除")</x:f>
        <x:v>納入</x:v>
      </x:c>
    </x:row>
    <x:row r="23">
      <x:c r="A23" s="27" t="str">
        <x:v>2026-10-01</x:v>
      </x:c>
      <x:c r="B23" s="27" t="str">
        <x:v>四</x:v>
      </x:c>
      <x:c r="C23" s="28" t="n">
        <x:v>287097</x:v>
      </x:c>
      <x:c r="D23" s="28" t="n">
        <x:v>32169</x:v>
      </x:c>
      <x:c r="E23" s="28" t="n">
        <x:f>C23+D23</x:f>
        <x:v>319266</x:v>
      </x:c>
      <x:c r="F23" s="27" t="str">
        <x:f>IF(E23&gt;200000,"納入","排除")</x:f>
        <x:v>納入</x:v>
      </x:c>
    </x:row>
    <x:row r="24">
      <x:c r="A24" s="27" t="str">
        <x:v>2026-10-02</x:v>
      </x:c>
      <x:c r="B24" s="27" t="str">
        <x:v>五</x:v>
      </x:c>
      <x:c r="C24" s="28" t="n">
        <x:v>262702</x:v>
      </x:c>
      <x:c r="D24" s="28" t="n">
        <x:v>30924</x:v>
      </x:c>
      <x:c r="E24" s="28" t="n">
        <x:f>C24+D24</x:f>
        <x:v>293626</x:v>
      </x:c>
      <x:c r="F24" s="27" t="str">
        <x:f>IF(E24&gt;200000,"納入","排除")</x:f>
        <x:v>納入</x:v>
      </x:c>
    </x:row>
    <x:row r="25">
      <x:c r="A25" s="27" t="str">
        <x:v>2026-10-06</x:v>
      </x:c>
      <x:c r="B25" s="27" t="str">
        <x:v>二</x:v>
      </x:c>
      <x:c r="C25" s="28" t="n">
        <x:v>285054</x:v>
      </x:c>
      <x:c r="D25" s="28" t="n">
        <x:v>31334</x:v>
      </x:c>
      <x:c r="E25" s="28" t="n">
        <x:f>C25+D25</x:f>
        <x:v>316388</x:v>
      </x:c>
      <x:c r="F25" s="27" t="str">
        <x:f>IF(E25&gt;200000,"納入","排除")</x:f>
        <x:v>納入</x:v>
      </x:c>
    </x:row>
    <x:row r="26">
      <x:c r="A26" s="27" t="str">
        <x:v>2026-10-07</x:v>
      </x:c>
      <x:c r="B26" s="27" t="str">
        <x:v>三</x:v>
      </x:c>
      <x:c r="C26" s="28" t="n">
        <x:v>302730</x:v>
      </x:c>
      <x:c r="D26" s="28" t="n">
        <x:v>33804</x:v>
      </x:c>
      <x:c r="E26" s="28" t="n">
        <x:f>C26+D26</x:f>
        <x:v>336534</x:v>
      </x:c>
      <x:c r="F26" s="27" t="str">
        <x:f>IF(E26&gt;200000,"納入","排除")</x:f>
        <x:v>納入</x:v>
      </x:c>
    </x:row>
    <x:row r="27">
      <x:c r="A27" s="27" t="str">
        <x:v>2026-10-08</x:v>
      </x:c>
      <x:c r="B27" s="27" t="str">
        <x:v>四</x:v>
      </x:c>
      <x:c r="C27" s="28" t="n">
        <x:v>305202</x:v>
      </x:c>
      <x:c r="D27" s="28" t="n">
        <x:v>35388</x:v>
      </x:c>
      <x:c r="E27" s="28" t="n">
        <x:f>C27+D27</x:f>
        <x:v>340590</x:v>
      </x:c>
      <x:c r="F27" s="27" t="str">
        <x:f>IF(E27&gt;200000,"納入","排除")</x:f>
        <x:v>納入</x:v>
      </x:c>
    </x:row>
    <x:row r="28">
      <x:c r="A28" s="27" t="str">
        <x:v>2026-10-09</x:v>
      </x:c>
      <x:c r="B28" s="27" t="str">
        <x:v>五</x:v>
      </x:c>
      <x:c r="C28" s="28" t="n">
        <x:v>239745</x:v>
      </x:c>
      <x:c r="D28" s="28" t="n">
        <x:v>29489</x:v>
      </x:c>
      <x:c r="E28" s="28" t="n">
        <x:f>C28+D28</x:f>
        <x:v>269234</x:v>
      </x:c>
      <x:c r="F28" s="27" t="str">
        <x:f>IF(E28&gt;200000,"納入","排除")</x:f>
        <x:v>納入</x:v>
      </x:c>
    </x:row>
    <x:row r="29">
      <x:c r="A29" s="27" t="str">
        <x:v>2026-10-12</x:v>
      </x:c>
      <x:c r="B29" s="27" t="str">
        <x:v>一</x:v>
      </x:c>
      <x:c r="C29" s="28" t="n">
        <x:v>287540</x:v>
      </x:c>
      <x:c r="D29" s="28" t="n">
        <x:v>28422</x:v>
      </x:c>
      <x:c r="E29" s="28" t="n">
        <x:f>C29+D29</x:f>
        <x:v>315962</x:v>
      </x:c>
      <x:c r="F29" s="27" t="str">
        <x:f>IF(E29&gt;200000,"納入","排除")</x:f>
        <x:v>納入</x:v>
      </x:c>
    </x:row>
  </x:sheetData>
  <x:mergeCells>
    <x:mergeCell ref="A1:F1"/>
  </x:mergeCells>
  <x:conditionalFormatting sqref="F4:F29">
    <x:cfRule type="containsText" dxfId="0" priority="1" operator="containsText" text="納入"/>
  </x:conditionalFormatting>
  <x:pageMargins left="0.7" right="0.7" top="0.75" bottom="0.75" header="0.3" footer="0.3"/>
  <x:tableParts count="1">
    <x:tablePart xmlns:r="http://schemas.openxmlformats.org/officeDocument/2006/relationships" r:id="Rab432a84ba41409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68" hidden="0" customWidth="1"/>
    <x:col min="3" max="3" width="4" hidden="0" customWidth="1"/>
    <x:col min="4" max="4" width="13" hidden="0" customWidth="1"/>
    <x:col min="5" max="5" width="68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資料來源、口徑與檢核</x:v>
      </x:c>
      <x:c r="B1" s="3" t="str">
        <x:v>資料來源、口徑與檢核</x:v>
      </x:c>
      <x:c r="C1" s="3" t="str">
        <x:v>資料來源、口徑與檢核</x:v>
      </x:c>
      <x:c r="D1" s="3" t="str">
        <x:v>資料來源、口徑與檢核</x:v>
      </x:c>
      <x:c r="E1" s="3" t="str">
        <x:v>資料來源、口徑與檢核</x:v>
      </x:c>
      <x:c r="F1" s="3" t="str">
        <x:v>資料來源、口徑與檢核</x:v>
      </x:c>
      <x:c r="G1" s="3" t="str">
        <x:v>資料來源、口徑與檢核</x:v>
      </x:c>
      <x:c r="H1" s="3" t="str">
        <x:v>資料來源、口徑與檢核</x:v>
      </x:c>
    </x:row>
    <x:row r="3" ht="36" customHeight="1">
      <x:c r="A3" s="14" t="str">
        <x:v>項目</x:v>
      </x:c>
      <x:c r="B3" s="14" t="str">
        <x:v>說明</x:v>
      </x:c>
      <x:c r="D3" s="14" t="str">
        <x:v>日期</x:v>
      </x:c>
      <x:c r="E3" s="14" t="str">
        <x:v>VDS來源檔</x:v>
      </x:c>
      <x:c r="F3" s="14" t="str">
        <x:v>06:00站數</x:v>
      </x:c>
      <x:c r="G3" s="14" t="str">
        <x:v>06:30站數</x:v>
      </x:c>
      <x:c r="H3" s="14" t="str">
        <x:v>15點站數</x:v>
      </x:c>
    </x:row>
    <x:row r="4" ht="30" customHeight="1">
      <x:c r="A4" s="44" t="str">
        <x:v>期間</x:v>
      </x:c>
      <x:c r="B4" s="27" t="str">
        <x:v>2026-09-01 至 2026-10-12；10/12為製作日前最後完整日。</x:v>
      </x:c>
      <x:c r="D4" s="17" t="str">
        <x:v>2026-09-02</x:v>
      </x:c>
      <x:c r="E4" s="17" t="str">
        <x:v>outputs\01a057bd-84e6-7bd3-995f-1d34ab3e518e\weekly_20260831_0906\raw\vds_taipei_2026-09-02.xlsx</x:v>
      </x:c>
      <x:c r="F4" s="18" t="n">
        <x:v>1874</x:v>
      </x:c>
      <x:c r="G4" s="18" t="n">
        <x:v>1874</x:v>
      </x:c>
      <x:c r="H4" s="18" t="n">
        <x:v>1875</x:v>
      </x:c>
    </x:row>
    <x:row r="5" ht="30" customHeight="1">
      <x:c r="A5" s="44" t="str">
        <x:v>日期條件</x:v>
      </x:c>
      <x:c r="B5" s="27" t="str">
        <x:v>週一至週五，且Report台北2.0＋2.0E日用量嚴格大於200,000。</x:v>
      </x:c>
      <x:c r="D5" s="17" t="str">
        <x:v>2026-09-07</x:v>
      </x:c>
      <x:c r="E5" s="17" t="str">
        <x:v>outputs\01a057bd-84e6-7bd3-995f-1d34ab3e518e\weekly_20260907_0913\raw\vds_taipei_2026-09-07.xlsx</x:v>
      </x:c>
      <x:c r="F5" s="18" t="n">
        <x:v>1875</x:v>
      </x:c>
      <x:c r="G5" s="18" t="n">
        <x:v>1875</x:v>
      </x:c>
      <x:c r="H5" s="18" t="n">
        <x:v>1876</x:v>
      </x:c>
    </x:row>
    <x:row r="6" ht="30" customHeight="1">
      <x:c r="A6" s="44" t="str">
        <x:v>配置</x:v>
      </x:c>
      <x:c r="B6" s="27" t="str">
        <x:v>在站車輛數＋一般綁車數；2.0、2.0E分開。</x:v>
      </x:c>
      <x:c r="D6" s="17" t="str">
        <x:v>2026-09-08</x:v>
      </x:c>
      <x:c r="E6" s="17" t="str">
        <x:v>outputs\01a057bd-84e6-7bd3-995f-1d34ab3e518e\weekly_20260907_0913\raw\vds_taipei_2026-09-08.xlsx</x:v>
      </x:c>
      <x:c r="F6" s="18" t="n">
        <x:v>1876</x:v>
      </x:c>
      <x:c r="G6" s="18" t="n">
        <x:v>1876</x:v>
      </x:c>
      <x:c r="H6" s="18" t="n">
        <x:v>1876</x:v>
      </x:c>
    </x:row>
    <x:row r="7" ht="30" customHeight="1">
      <x:c r="A7" s="44" t="str">
        <x:v>排除</x:v>
      </x:c>
      <x:c r="B7" s="27" t="str">
        <x:v>故障綁車不計；500199*維護站排除。</x:v>
      </x:c>
      <x:c r="D7" s="17" t="str">
        <x:v>2026-09-09</x:v>
      </x:c>
      <x:c r="E7" s="17" t="str">
        <x:v>outputs\01a057bd-84e6-7bd3-995f-1d34ab3e518e\weekly_20260907_0913\raw\vds_taipei_2026-09-09.xlsx</x:v>
      </x:c>
      <x:c r="F7" s="18" t="n">
        <x:v>1876</x:v>
      </x:c>
      <x:c r="G7" s="18" t="n">
        <x:v>1876</x:v>
      </x:c>
      <x:c r="H7" s="18" t="n">
        <x:v>1876</x:v>
      </x:c>
    </x:row>
    <x:row r="8" ht="30" customHeight="1">
      <x:c r="A8" s="44" t="str">
        <x:v>06點</x:v>
      </x:c>
      <x:c r="B8" s="27" t="str">
        <x:v>比較06:00／06:30，2.0與2.0E各自取最大；平手取06:00。</x:v>
      </x:c>
      <x:c r="D8" s="17" t="str">
        <x:v>2026-09-10</x:v>
      </x:c>
      <x:c r="E8" s="17" t="str">
        <x:v>outputs\01a057bd-84e6-7bd3-995f-1d34ab3e518e\weekly_20260907_0913\raw\vds_taipei_2026-09-10.xlsx</x:v>
      </x:c>
      <x:c r="F8" s="18" t="n">
        <x:v>1876</x:v>
      </x:c>
      <x:c r="G8" s="18" t="n">
        <x:v>1876</x:v>
      </x:c>
      <x:c r="H8" s="18" t="n">
        <x:v>1876</x:v>
      </x:c>
    </x:row>
    <x:row r="9" ht="30" customHeight="1">
      <x:c r="A9" s="44" t="str">
        <x:v>15點</x:v>
      </x:c>
      <x:c r="B9" s="27" t="str">
        <x:v>比較15:00／15:30，2.0與2.0E各自取最大；平手取15:00。</x:v>
      </x:c>
      <x:c r="D9" s="17" t="str">
        <x:v>2026-09-11</x:v>
      </x:c>
      <x:c r="E9" s="17" t="str">
        <x:v>outputs\01a057bd-84e6-7bd3-995f-1d34ab3e518e\weekly_20260907_0913\raw\vds_taipei_2026-09-11.xlsx</x:v>
      </x:c>
      <x:c r="F9" s="18" t="n">
        <x:v>1876</x:v>
      </x:c>
      <x:c r="G9" s="18" t="n">
        <x:v>1876</x:v>
      </x:c>
      <x:c r="H9" s="18" t="n">
        <x:v>1876</x:v>
      </x:c>
    </x:row>
    <x:row r="10" ht="30" customHeight="1">
      <x:c r="A10" s="44" t="str">
        <x:v>分鐘漂移</x:v>
      </x:c>
      <x:c r="B10" s="27" t="str">
        <x:v>完整快照偶爾落在:01／:31，正規化至同一半小時批次。</x:v>
      </x:c>
      <x:c r="D10" s="17" t="str">
        <x:v>2026-09-14</x:v>
      </x:c>
      <x:c r="E10" s="17" t="str">
        <x:v>outputs\01a057bd-84e6-7bd3-995f-1d34ab3e518e\weekly_20260914_0920\raw\vds_taipei_2026-09-14.xlsx</x:v>
      </x:c>
      <x:c r="F10" s="18" t="n">
        <x:v>1876</x:v>
      </x:c>
      <x:c r="G10" s="18" t="n">
        <x:v>1876</x:v>
      </x:c>
      <x:c r="H10" s="18" t="n">
        <x:v>1876</x:v>
      </x:c>
    </x:row>
    <x:row r="11" ht="30" customHeight="1">
      <x:c r="A11" s="44" t="str">
        <x:v>各站平均</x:v>
      </x:c>
      <x:c r="B11" s="27" t="str">
        <x:v>僅以該站實際出現且有快照的入選日期平均；缺站不補0。</x:v>
      </x:c>
      <x:c r="D11" s="17" t="str">
        <x:v>2026-09-15</x:v>
      </x:c>
      <x:c r="E11" s="17" t="str">
        <x:v>outputs\01a057bd-84e6-7bd3-995f-1d34ab3e518e\weekly_20260914_0920\raw\vds_taipei_2026-09-15.xlsx</x:v>
      </x:c>
      <x:c r="F11" s="18" t="n">
        <x:v>1876</x:v>
      </x:c>
      <x:c r="G11" s="18" t="n">
        <x:v>1876</x:v>
      </x:c>
      <x:c r="H11" s="18" t="n">
        <x:v>1877</x:v>
      </x:c>
    </x:row>
    <x:row r="12" ht="30" customHeight="1">
      <x:c r="A12" s="44" t="str">
        <x:v>同時點全市</x:v>
      </x:c>
      <x:c r="B12" s="27" t="str">
        <x:v>先在各時點合計全站，再於兩時點取最大。</x:v>
      </x:c>
      <x:c r="D12" s="17" t="str">
        <x:v>2026-09-16</x:v>
      </x:c>
      <x:c r="E12" s="17" t="str">
        <x:v>outputs\01a057bd-84e6-7bd3-995f-1d34ab3e518e\weekly_20260914_0920\raw\vds_taipei_2026-09-16.xlsx</x:v>
      </x:c>
      <x:c r="F12" s="18" t="n">
        <x:v>1877</x:v>
      </x:c>
      <x:c r="G12" s="18" t="n">
        <x:v>1877</x:v>
      </x:c>
      <x:c r="H12" s="18" t="n">
        <x:v>1878</x:v>
      </x:c>
    </x:row>
    <x:row r="13" ht="30" customHeight="1">
      <x:c r="A13" s="44" t="str">
        <x:v>逐站最大加總</x:v>
      </x:c>
      <x:c r="B13" s="27" t="str">
        <x:v>每站先取最大後再加總，因此通常略高於同時點全市。</x:v>
      </x:c>
      <x:c r="D13" s="17" t="str">
        <x:v>2026-09-17</x:v>
      </x:c>
      <x:c r="E13" s="17" t="str">
        <x:v>outputs\01a057bd-84e6-7bd3-995f-1d34ab3e518e\weekly_20260914_0920\raw\vds_taipei_2026-09-17.xlsx</x:v>
      </x:c>
      <x:c r="F13" s="18" t="n">
        <x:v>1878</x:v>
      </x:c>
      <x:c r="G13" s="18" t="n">
        <x:v>1878</x:v>
      </x:c>
      <x:c r="H13" s="18" t="n">
        <x:v>1878</x:v>
      </x:c>
    </x:row>
    <x:row r="14">
      <x:c r="D14" s="17" t="str">
        <x:v>2026-09-18</x:v>
      </x:c>
      <x:c r="E14" s="17" t="str">
        <x:v>outputs\01a057bd-84e6-7bd3-995f-1d34ab3e518e\weekly_20260914_0920\raw\vds_taipei_2026-09-18.xlsx</x:v>
      </x:c>
      <x:c r="F14" s="18" t="n">
        <x:v>1878</x:v>
      </x:c>
      <x:c r="G14" s="18" t="n">
        <x:v>1878</x:v>
      </x:c>
      <x:c r="H14" s="18" t="n">
        <x:v>1878</x:v>
      </x:c>
    </x:row>
    <x:row r="15">
      <x:c r="D15" s="17" t="str">
        <x:v>2026-09-21</x:v>
      </x:c>
      <x:c r="E15" s="17" t="str">
        <x:v>monthly-report\outputs\01a0c1d5-a6fd-7252-a0d1-23864c1ef07b\weekly_20260921_0927\raw\vds_taipei_2026-09-21.xlsx</x:v>
      </x:c>
      <x:c r="F15" s="18" t="n">
        <x:v>1878</x:v>
      </x:c>
      <x:c r="G15" s="18" t="n">
        <x:v>1878</x:v>
      </x:c>
      <x:c r="H15" s="18" t="n">
        <x:v>1879</x:v>
      </x:c>
    </x:row>
    <x:row r="16">
      <x:c r="D16" s="17" t="str">
        <x:v>2026-09-22</x:v>
      </x:c>
      <x:c r="E16" s="17" t="str">
        <x:v>monthly-report\outputs\01a0c1d5-a6fd-7252-a0d1-23864c1ef07b\weekly_20260921_0927\raw\vds_taipei_2026-09-22.xlsx</x:v>
      </x:c>
      <x:c r="F16" s="18" t="n">
        <x:v>1879</x:v>
      </x:c>
      <x:c r="G16" s="18" t="n">
        <x:v>1879</x:v>
      </x:c>
      <x:c r="H16" s="18" t="n">
        <x:v>1881</x:v>
      </x:c>
    </x:row>
    <x:row r="17">
      <x:c r="D17" s="17" t="str">
        <x:v>2026-09-23</x:v>
      </x:c>
      <x:c r="E17" s="17" t="str">
        <x:v>monthly-report\outputs\01a0c1d5-a6fd-7252-a0d1-23864c1ef07b\weekly_20260921_0927\raw\vds_taipei_2026-09-23.xlsx</x:v>
      </x:c>
      <x:c r="F17" s="18" t="n">
        <x:v>1881</x:v>
      </x:c>
      <x:c r="G17" s="18" t="n">
        <x:v>1881</x:v>
      </x:c>
      <x:c r="H17" s="18" t="n">
        <x:v>1882</x:v>
      </x:c>
    </x:row>
    <x:row r="18">
      <x:c r="D18" s="17" t="str">
        <x:v>2026-09-24</x:v>
      </x:c>
      <x:c r="E18" s="17" t="str">
        <x:v>monthly-report\outputs\01a0c1d5-a6fd-7252-a0d1-23864c1ef07b\weekly_20260921_0927\raw\vds_taipei_2026-09-24.xlsx</x:v>
      </x:c>
      <x:c r="F18" s="18" t="n">
        <x:v>1882</x:v>
      </x:c>
      <x:c r="G18" s="18" t="n">
        <x:v>1882</x:v>
      </x:c>
      <x:c r="H18" s="18" t="n">
        <x:v>1883</x:v>
      </x:c>
    </x:row>
    <x:row r="19">
      <x:c r="D19" s="17" t="str">
        <x:v>2026-09-25</x:v>
      </x:c>
      <x:c r="E19" s="17" t="str">
        <x:v>monthly-report\outputs\01a0c1d5-a6fd-7252-a0d1-23864c1ef07b\weekly_20260921_0927\raw\vds_taipei_2026-09-25.xlsx</x:v>
      </x:c>
      <x:c r="F19" s="18" t="n">
        <x:v>1883</x:v>
      </x:c>
      <x:c r="G19" s="18" t="n">
        <x:v>1883</x:v>
      </x:c>
      <x:c r="H19" s="18" t="n">
        <x:v>1883</x:v>
      </x:c>
    </x:row>
    <x:row r="20">
      <x:c r="D20" s="17" t="str">
        <x:v>2026-09-28</x:v>
      </x:c>
      <x:c r="E20" s="17" t="str">
        <x:v>monthly-report\outputs\weekly-auto\weekly_20260928_1004\raw\vds_taipei_2026-09-28.xlsx</x:v>
      </x:c>
      <x:c r="F20" s="18" t="n">
        <x:v>1883</x:v>
      </x:c>
      <x:c r="G20" s="18" t="n">
        <x:v>1883</x:v>
      </x:c>
      <x:c r="H20" s="18" t="n">
        <x:v>1883</x:v>
      </x:c>
    </x:row>
    <x:row r="21">
      <x:c r="D21" s="17" t="str">
        <x:v>2026-09-29</x:v>
      </x:c>
      <x:c r="E21" s="17" t="str">
        <x:v>monthly-report\outputs\weekly-auto\weekly_20260928_1004\raw\vds_taipei_2026-09-29.xlsx</x:v>
      </x:c>
      <x:c r="F21" s="18" t="n">
        <x:v>1883</x:v>
      </x:c>
      <x:c r="G21" s="18" t="n">
        <x:v>1883</x:v>
      </x:c>
      <x:c r="H21" s="18" t="n">
        <x:v>1883</x:v>
      </x:c>
    </x:row>
    <x:row r="22">
      <x:c r="D22" s="17" t="str">
        <x:v>2026-09-30</x:v>
      </x:c>
      <x:c r="E22" s="17" t="str">
        <x:v>monthly-report\outputs\weekly-auto\weekly_20260928_1004\raw\vds_taipei_2026-09-30.xlsx</x:v>
      </x:c>
      <x:c r="F22" s="18" t="n">
        <x:v>1883</x:v>
      </x:c>
      <x:c r="G22" s="18" t="n">
        <x:v>1883</x:v>
      </x:c>
      <x:c r="H22" s="18" t="n">
        <x:v>1883</x:v>
      </x:c>
    </x:row>
    <x:row r="23">
      <x:c r="D23" s="17" t="str">
        <x:v>2026-10-01</x:v>
      </x:c>
      <x:c r="E23" s="17" t="str">
        <x:v>monthly-report\outputs\weekly-auto\weekly_20260928_1004\raw\vds_taipei_2026-10-01.xlsx</x:v>
      </x:c>
      <x:c r="F23" s="18" t="n">
        <x:v>1883</x:v>
      </x:c>
      <x:c r="G23" s="18" t="n">
        <x:v>1883</x:v>
      </x:c>
      <x:c r="H23" s="18" t="n">
        <x:v>1884</x:v>
      </x:c>
    </x:row>
    <x:row r="24">
      <x:c r="D24" s="17" t="str">
        <x:v>2026-10-02</x:v>
      </x:c>
      <x:c r="E24" s="17" t="str">
        <x:v>monthly-report\outputs\weekly-auto\weekly_20260928_1004\raw\vds_taipei_2026-10-02.xlsx</x:v>
      </x:c>
      <x:c r="F24" s="18" t="n">
        <x:v>1884</x:v>
      </x:c>
      <x:c r="G24" s="18" t="n">
        <x:v>1884</x:v>
      </x:c>
      <x:c r="H24" s="18" t="n">
        <x:v>1887</x:v>
      </x:c>
    </x:row>
    <x:row r="25">
      <x:c r="D25" s="17" t="str">
        <x:v>2026-10-06</x:v>
      </x:c>
      <x:c r="E25" s="17" t="str">
        <x:v>monthly-report\outputs\weekly-auto\weekly_20261005_1011\raw\vds_taipei_2026-10-06.xlsx</x:v>
      </x:c>
      <x:c r="F25" s="18" t="n">
        <x:v>1887</x:v>
      </x:c>
      <x:c r="G25" s="18" t="n">
        <x:v>1887</x:v>
      </x:c>
      <x:c r="H25" s="18" t="n">
        <x:v>1887</x:v>
      </x:c>
    </x:row>
    <x:row r="26">
      <x:c r="D26" s="17" t="str">
        <x:v>2026-10-07</x:v>
      </x:c>
      <x:c r="E26" s="17" t="str">
        <x:v>monthly-report\outputs\weekly-auto\weekly_20261005_1011\raw\vds_taipei_2026-10-07.xlsx</x:v>
      </x:c>
      <x:c r="F26" s="18" t="n">
        <x:v>1887</x:v>
      </x:c>
      <x:c r="G26" s="18" t="n">
        <x:v>1887</x:v>
      </x:c>
      <x:c r="H26" s="18" t="n">
        <x:v>1889</x:v>
      </x:c>
    </x:row>
    <x:row r="27">
      <x:c r="D27" s="17" t="str">
        <x:v>2026-10-08</x:v>
      </x:c>
      <x:c r="E27" s="17" t="str">
        <x:v>monthly-report\outputs\weekly-auto\weekly_20261005_1011\raw\vds_taipei_2026-10-08.xlsx</x:v>
      </x:c>
      <x:c r="F27" s="18" t="n">
        <x:v>1889</x:v>
      </x:c>
      <x:c r="G27" s="18" t="n">
        <x:v>1889</x:v>
      </x:c>
      <x:c r="H27" s="18" t="n">
        <x:v>1892</x:v>
      </x:c>
    </x:row>
    <x:row r="28">
      <x:c r="D28" s="17" t="str">
        <x:v>2026-10-09</x:v>
      </x:c>
      <x:c r="E28" s="17" t="str">
        <x:v>monthly-report\outputs\weekly-auto\weekly_20261005_1011\raw\vds_taipei_2026-10-09.xlsx</x:v>
      </x:c>
      <x:c r="F28" s="18" t="n">
        <x:v>1892</x:v>
      </x:c>
      <x:c r="G28" s="18" t="n">
        <x:v>1892</x:v>
      </x:c>
      <x:c r="H28" s="18" t="n">
        <x:v>1892</x:v>
      </x:c>
    </x:row>
    <x:row r="29">
      <x:c r="D29" s="17" t="str">
        <x:v>2026-10-12</x:v>
      </x:c>
      <x:c r="E29" s="17" t="str">
        <x:v>monthly-report\outputs\taipei_config_20260901_20261012\raw\vds_taipei_2026-10-12.xlsx</x:v>
      </x:c>
      <x:c r="F29" s="18" t="n">
        <x:v>1892</x:v>
      </x:c>
      <x:c r="G29" s="18" t="n">
        <x:v>1892</x:v>
      </x:c>
      <x:c r="H29" s="18" t="n">
        <x:v>1892</x:v>
      </x:c>
    </x:row>
    <x:row r="31" ht="36" customHeight="1">
      <x:c r="A31" s="34" t="str">
        <x:v>檢核項目</x:v>
      </x:c>
      <x:c r="B31" s="34" t="str">
        <x:v>期待值</x:v>
      </x:c>
      <x:c r="C31" s="34" t="str">
        <x:v>實際值</x:v>
      </x:c>
      <x:c r="D31" s="34" t="str">
        <x:v>差異</x:v>
      </x:c>
      <x:c r="E31" s="34" t="str">
        <x:v>結果</x:v>
      </x:c>
      <x:c r="F31" s="34" t="str">
        <x:v>說明</x:v>
      </x:c>
    </x:row>
    <x:row r="32">
      <x:c r="A32" s="27" t="str">
        <x:v>入選日期數</x:v>
      </x:c>
      <x:c r="B32" s="28" t="n">
        <x:v>26</x:v>
      </x:c>
      <x:c r="C32" s="28" t="n">
        <x:f>COUNTA('入選日期'!A4:A29)</x:f>
        <x:v>26</x:v>
      </x:c>
      <x:c r="D32" s="28" t="n">
        <x:f>C32-B32</x:f>
        <x:v>0</x:v>
      </x:c>
      <x:c r="E32" s="27" t="str">
        <x:f>IF(D32=0,"一致","不一致")</x:f>
        <x:v>一致</x:v>
      </x:c>
      <x:c r="F32" s="27" t="str">
        <x:v>入選日期活頁</x:v>
      </x:c>
    </x:row>
    <x:row r="33">
      <x:c r="A33" s="27" t="str">
        <x:v>各站平均列數</x:v>
      </x:c>
      <x:c r="B33" s="28" t="n">
        <x:v>1893</x:v>
      </x:c>
      <x:c r="C33" s="28" t="n">
        <x:f>COUNTA('各站平均'!A4:A1896)</x:f>
        <x:v>1893</x:v>
      </x:c>
      <x:c r="D33" s="28" t="n">
        <x:f>C33-B33</x:f>
        <x:v>0</x:v>
      </x:c>
      <x:c r="E33" s="27" t="str">
        <x:f>IF(D33=0,"一致","不一致")</x:f>
        <x:v>一致</x:v>
      </x:c>
      <x:c r="F33" s="27" t="str">
        <x:v>各站平均活頁</x:v>
      </x:c>
    </x:row>
    <x:row r="34">
      <x:c r="A34" s="27" t="str">
        <x:v>來源彙總列數</x:v>
      </x:c>
      <x:c r="B34" s="28" t="n">
        <x:v>1893</x:v>
      </x:c>
      <x:c r="C34" s="28" t="n">
        <x:f>COUNTA('各站彙總來源'!A4:A1896)</x:f>
        <x:v>1893</x:v>
      </x:c>
      <x:c r="D34" s="28" t="n">
        <x:f>C34-B34</x:f>
        <x:v>0</x:v>
      </x:c>
      <x:c r="E34" s="27" t="str">
        <x:f>IF(D34=0,"一致","不一致")</x:f>
        <x:v>一致</x:v>
      </x:c>
      <x:c r="F34" s="27" t="str">
        <x:v>各站彙總來源活頁</x:v>
      </x:c>
    </x:row>
    <x:row r="35">
      <x:c r="A35" s="27" t="str">
        <x:v>10/12總用量</x:v>
      </x:c>
      <x:c r="B35" s="28" t="n">
        <x:v>315962</x:v>
      </x:c>
      <x:c r="C35" s="28" t="n">
        <x:f>SUMIFS('入選日期'!E4:E29,'入選日期'!A4:A29,"2026-10-12")</x:f>
        <x:v>315962</x:v>
      </x:c>
      <x:c r="D35" s="28" t="n">
        <x:f>C35-B35</x:f>
        <x:v>0</x:v>
      </x:c>
      <x:c r="E35" s="27" t="str">
        <x:f>IF(D35=0,"一致","不一致")</x:f>
        <x:v>一致</x:v>
      </x:c>
      <x:c r="F35" s="27" t="str">
        <x:v>Report 2.0＋2.0E</x:v>
      </x:c>
    </x:row>
  </x:sheetData>
  <x:mergeCells>
    <x:mergeCell ref="A1:H1"/>
  </x:mergeCells>
  <x:conditionalFormatting sqref="E32:E35">
    <x:cfRule type="containsText" dxfId="1" priority="1" operator="containsText" text="不一致"/>
  </x:conditionalFormatting>
  <x:pageMargins left="0.7" right="0.7" top="0.75" bottom="0.75" header="0.3" footer="0.3"/>
</x:worksheet>
</file>