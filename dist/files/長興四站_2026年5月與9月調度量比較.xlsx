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7ef73fff9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調度量比較" sheetId="1" r:id="Ra09306e6649848ad"/>
    <x:sheet xmlns:r="http://schemas.openxmlformats.org/officeDocument/2006/relationships" name="逐日明細" sheetId="2" r:id="R8a4bc8e3311e45d5"/>
    <x:sheet xmlns:r="http://schemas.openxmlformats.org/officeDocument/2006/relationships" name="計算說明" sheetId="3" r:id="Rb3f0a10e1fd2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+0.0%;-0.0%;0.0%"/>
    <x:numFmt numFmtId="202" formatCode="0.000"/>
  </x:numFmts>
  <x:fonts count="5">
    <x:font>
      <x:sz val="11"/>
      <x:name val="Carlito"/>
    </x:font>
    <x:font>
      <x:b/>
      <x:sz val="17"/>
      <x:color rgb="FF17365D"/>
      <x:name val="Arial"/>
    </x:font>
    <x:font>
      <x:i/>
      <x:sz val="10"/>
      <x:color rgb="FF475569"/>
      <x:name val="Arial"/>
    </x:font>
    <x:font>
      <x:b/>
      <x:sz val="11"/>
      <x:color rgb="FFFFFFFF"/>
      <x:name val="Arial"/>
    </x:font>
    <x:font>
      <x:b/>
      <x:sz val="16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D54F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EAF7F1"/>
      </x:patternFill>
    </x:fill>
    <x:fill>
      <x:patternFill patternType="solid">
        <x:fgColor rgb="FF475569"/>
      </x:patternFill>
    </x:fill>
  </x:fills>
  <x:borders count="10">
    <x:border/>
    <x:border>
      <x:right style="thin">
        <x:color rgb="FF64748B"/>
      </x:right>
      <x:bottom style="thin">
        <x:color rgb="FF64748B"/>
      </x:bottom>
    </x:border>
    <x:border>
      <x:left style="thin">
        <x:color rgb="FF64748B"/>
      </x:left>
      <x:right style="thin">
        <x:color rgb="FF64748B"/>
      </x:right>
      <x:bottom style="thin">
        <x:color rgb="FF64748B"/>
      </x:bottom>
    </x:border>
    <x:border>
      <x:left style="thin">
        <x:color rgb="FF64748B"/>
      </x:left>
      <x:bottom style="thin">
        <x:color rgb="FF64748B"/>
      </x:bottom>
    </x:border>
    <x:border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top style="thin">
        <x:color rgb="FF64748B"/>
      </x:top>
      <x:bottom style="thin">
        <x:color rgb="FF64748B"/>
      </x:bottom>
    </x:border>
    <x:border>
      <x:right style="thin">
        <x:color rgb="FF64748B"/>
      </x:right>
      <x:top style="thin">
        <x:color rgb="FF64748B"/>
      </x:top>
    </x:border>
    <x:border>
      <x:left style="thin">
        <x:color rgb="FF64748B"/>
      </x:left>
      <x:right style="thin">
        <x:color rgb="FF64748B"/>
      </x:right>
      <x:top style="thin">
        <x:color rgb="FF64748B"/>
      </x:top>
    </x:border>
    <x:border>
      <x:left style="thin">
        <x:color rgb="FF64748B"/>
      </x:left>
      <x:top style="thin">
        <x:color rgb="FF64748B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5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5" borderId="9" xfId="0" applyNumberFormat="1" applyFont="1" applyFill="1" applyBorder="1"/>
    <x:xf numFmtId="200" fontId="0" fillId="4" borderId="5" xfId="0" applyNumberFormat="1" applyFont="1" applyFill="1" applyBorder="1"/>
    <x:xf numFmtId="200" fontId="0" fillId="4" borderId="8" xfId="0" applyNumberFormat="1" applyFont="1" applyFill="1" applyBorder="1"/>
    <x:xf numFmtId="201" fontId="0" fillId="5" borderId="6" xfId="0" applyNumberFormat="1" applyFont="1" applyFill="1" applyBorder="1"/>
    <x:xf numFmtId="201" fontId="0" fillId="5" borderId="9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14d610c9347f6" /><Relationship Type="http://schemas.openxmlformats.org/officeDocument/2006/relationships/theme" Target="/xl/theme/theme1.xml" Id="Rf980f3407ee34dc4" /><Relationship Type="http://schemas.openxmlformats.org/officeDocument/2006/relationships/sharedStrings" Target="/xl/sharedStrings.xml" Id="Ra598f736115c4423" /><Relationship Type="http://schemas.openxmlformats.org/officeDocument/2006/relationships/worksheet" Target="/xl/worksheets/sheet1.xml" Id="Ra09306e6649848ad" /><Relationship Type="http://schemas.openxmlformats.org/officeDocument/2006/relationships/worksheet" Target="/xl/worksheets/sheet2.xml" Id="R8a4bc8e3311e45d5" /><Relationship Type="http://schemas.openxmlformats.org/officeDocument/2006/relationships/worksheet" Target="/xl/worksheets/sheet3.xml" Id="Rb3f0a10e1fd248c8" /></Relationships>
</file>

<file path=xl/tables/table1.xml><?xml version="1.0" encoding="utf-8"?>
<x:table xmlns:x="http://schemas.openxmlformats.org/spreadsheetml/2006/main" id="1" name="LongxingDailyTable" displayName="LongxingDailyTable" ref="A1:E38" headerRowCount="1" totalsRowCount="0" totalsRowShown="0">
  <x:tableColumns count="5">
    <x:tableColumn id="1" name="月份"/>
    <x:tableColumn id="2" name="日期"/>
    <x:tableColumn id="3" name="6–24調入量"/>
    <x:tableColumn id="4" name="9–12調入量"/>
    <x:tableColumn id="5" name="20–00調出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447077937e40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8" hidden="0" customWidth="1"/>
  </x:cols>
  <x:sheetData>
    <x:row r="1" ht="32" customHeight="1">
      <x:c r="A1" s="4" t="str">
        <x:v>長興四站合計｜2026年5月與9月調度量比較</x:v>
      </x:c>
      <x:c r="B1" s="4"/>
      <x:c r="C1" s="4"/>
      <x:c r="D1" s="4"/>
    </x:row>
    <x:row r="2">
      <x:c r="A2" s="6" t="str">
        <x:v>主表為四站期間合計，不除以四站、不除以樣本日；下方另列四站合計日均供跨月比較。</x:v>
      </x:c>
      <x:c r="B2" s="6"/>
      <x:c r="C2" s="6"/>
      <x:c r="D2" s="6"/>
    </x:row>
    <x:row r="4" ht="27" customHeight="1">
      <x:c r="A4" s="13" t="str">
        <x:v>指標</x:v>
      </x:c>
      <x:c r="B4" s="14" t="str">
        <x:v>5月四站合計</x:v>
      </x:c>
      <x:c r="C4" s="14" t="str">
        <x:v>9月四站合計</x:v>
      </x:c>
      <x:c r="D4" s="15" t="str">
        <x:v>差異</x:v>
      </x:c>
    </x:row>
    <x:row r="5" ht="27" customHeight="1">
      <x:c r="A5" s="16" t="str">
        <x:v>6–24調入量</x:v>
      </x:c>
      <x:c r="B5" s="22" t="n">
        <x:f>SUMIF('逐日明細'!$A$2:$A$38,"2026-05",'逐日明細'!C$2:C$38)</x:f>
        <x:v>621</x:v>
      </x:c>
      <x:c r="C5" s="22" t="n">
        <x:f>SUMIF('逐日明細'!$A$2:$A$38,"2026-09",'逐日明細'!C$2:C$38)</x:f>
        <x:v>1028</x:v>
      </x:c>
      <x:c r="D5" s="24" t="n">
        <x:f>C5/B5-1</x:f>
        <x:v>0.6553945249597424</x:v>
      </x:c>
    </x:row>
    <x:row r="6" ht="27" customHeight="1">
      <x:c r="A6" s="16" t="str">
        <x:v>9–12調入量</x:v>
      </x:c>
      <x:c r="B6" s="22" t="n">
        <x:f>SUMIF('逐日明細'!$A$2:$A$38,"2026-05",'逐日明細'!D$2:D$38)</x:f>
        <x:v>184</x:v>
      </x:c>
      <x:c r="C6" s="22" t="n">
        <x:f>SUMIF('逐日明細'!$A$2:$A$38,"2026-09",'逐日明細'!D$2:D$38)</x:f>
        <x:v>453</x:v>
      </x:c>
      <x:c r="D6" s="24" t="n">
        <x:f>C6/B6-1</x:f>
        <x:v>1.4619565217391304</x:v>
      </x:c>
    </x:row>
    <x:row r="7" ht="27" customHeight="1">
      <x:c r="A7" s="19" t="str">
        <x:v>20–00調出量</x:v>
      </x:c>
      <x:c r="B7" s="23" t="n">
        <x:f>SUMIF('逐日明細'!$A$2:$A$38,"2026-05",'逐日明細'!E$2:E$38)</x:f>
        <x:v>645</x:v>
      </x:c>
      <x:c r="C7" s="23" t="n">
        <x:f>SUMIF('逐日明細'!$A$2:$A$38,"2026-09",'逐日明細'!E$2:E$38)</x:f>
        <x:v>627</x:v>
      </x:c>
      <x:c r="D7" s="25" t="n">
        <x:f>C7/B7-1</x:f>
        <x:v>-0.027906976744186074</x:v>
      </x:c>
    </x:row>
    <x:row r="10">
      <x:c r="A10" s="28" t="str">
        <x:v>四站合計日均</x:v>
      </x:c>
      <x:c r="B10" s="28" t="str">
        <x:v>5月</x:v>
      </x:c>
      <x:c r="C10" s="28" t="str">
        <x:v>9月</x:v>
      </x:c>
      <x:c r="D10" s="28" t="str">
        <x:v>樣本日</x:v>
      </x:c>
    </x:row>
    <x:row r="11">
      <x:c r="A11" t="str">
        <x:v>6–24調入量</x:v>
      </x:c>
      <x:c r="B11" s="29" t="n">
        <x:v>34.5</x:v>
      </x:c>
      <x:c r="C11" s="29" t="n">
        <x:v>54.10526315789474</x:v>
      </x:c>
      <x:c r="D11" t="str">
        <x:v>18／19</x:v>
      </x:c>
    </x:row>
    <x:row r="12">
      <x:c r="A12" t="str">
        <x:v>9–12調入量</x:v>
      </x:c>
      <x:c r="B12" s="29" t="n">
        <x:v>10.222222222222221</x:v>
      </x:c>
      <x:c r="C12" s="29" t="n">
        <x:v>23.842105263157894</x:v>
      </x:c>
      <x:c r="D12" t="str">
        <x:v>18／19</x:v>
      </x:c>
    </x:row>
    <x:row r="13">
      <x:c r="A13" t="str">
        <x:v>20–00調出量</x:v>
      </x:c>
      <x:c r="B13" s="29" t="n">
        <x:v>35.833333333333336</x:v>
      </x:c>
      <x:c r="C13" s="29" t="n">
        <x:v>33</x:v>
      </x:c>
      <x:c r="D13" t="str">
        <x:v>18／19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</x:cols>
  <x:sheetData>
    <x:row r="1">
      <x:c r="A1" s="9" t="str">
        <x:v>月份</x:v>
      </x:c>
      <x:c r="B1" s="9" t="str">
        <x:v>日期</x:v>
      </x:c>
      <x:c r="C1" s="9" t="str">
        <x:v>6–24調入量</x:v>
      </x:c>
      <x:c r="D1" s="9" t="str">
        <x:v>9–12調入量</x:v>
      </x:c>
      <x:c r="E1" s="9" t="str">
        <x:v>20–00調出量</x:v>
      </x:c>
    </x:row>
    <x:row r="2">
      <x:c r="A2" t="str">
        <x:v>2026-05</x:v>
      </x:c>
      <x:c r="B2" t="str">
        <x:v>2026-05-01</x:v>
      </x:c>
      <x:c r="C2" t="n">
        <x:v>45</x:v>
      </x:c>
      <x:c r="D2" t="n">
        <x:v>16</x:v>
      </x:c>
      <x:c r="E2" t="n">
        <x:v>32</x:v>
      </x:c>
    </x:row>
    <x:row r="3">
      <x:c r="A3" t="str">
        <x:v>2026-05</x:v>
      </x:c>
      <x:c r="B3" t="str">
        <x:v>2026-05-06</x:v>
      </x:c>
      <x:c r="C3" t="n">
        <x:v>110</x:v>
      </x:c>
      <x:c r="D3" t="n">
        <x:v>16</x:v>
      </x:c>
      <x:c r="E3" t="n">
        <x:v>14</x:v>
      </x:c>
    </x:row>
    <x:row r="4">
      <x:c r="A4" t="str">
        <x:v>2026-05</x:v>
      </x:c>
      <x:c r="B4" t="str">
        <x:v>2026-05-07</x:v>
      </x:c>
      <x:c r="C4" t="n">
        <x:v>32</x:v>
      </x:c>
      <x:c r="D4" t="n">
        <x:v>0</x:v>
      </x:c>
      <x:c r="E4" t="n">
        <x:v>45</x:v>
      </x:c>
    </x:row>
    <x:row r="5">
      <x:c r="A5" t="str">
        <x:v>2026-05</x:v>
      </x:c>
      <x:c r="B5" t="str">
        <x:v>2026-05-08</x:v>
      </x:c>
      <x:c r="C5" t="n">
        <x:v>40</x:v>
      </x:c>
      <x:c r="D5" t="n">
        <x:v>24</x:v>
      </x:c>
      <x:c r="E5" t="n">
        <x:v>45</x:v>
      </x:c>
    </x:row>
    <x:row r="6">
      <x:c r="A6" t="str">
        <x:v>2026-05</x:v>
      </x:c>
      <x:c r="B6" t="str">
        <x:v>2026-05-11</x:v>
      </x:c>
      <x:c r="C6" t="n">
        <x:v>48</x:v>
      </x:c>
      <x:c r="D6" t="n">
        <x:v>0</x:v>
      </x:c>
      <x:c r="E6" t="n">
        <x:v>48</x:v>
      </x:c>
    </x:row>
    <x:row r="7">
      <x:c r="A7" t="str">
        <x:v>2026-05</x:v>
      </x:c>
      <x:c r="B7" t="str">
        <x:v>2026-05-12</x:v>
      </x:c>
      <x:c r="C7" t="n">
        <x:v>16</x:v>
      </x:c>
      <x:c r="D7" t="n">
        <x:v>0</x:v>
      </x:c>
      <x:c r="E7" t="n">
        <x:v>64</x:v>
      </x:c>
    </x:row>
    <x:row r="8">
      <x:c r="A8" t="str">
        <x:v>2026-05</x:v>
      </x:c>
      <x:c r="B8" t="str">
        <x:v>2026-05-14</x:v>
      </x:c>
      <x:c r="C8" t="n">
        <x:v>16</x:v>
      </x:c>
      <x:c r="D8" t="n">
        <x:v>0</x:v>
      </x:c>
      <x:c r="E8" t="n">
        <x:v>51</x:v>
      </x:c>
    </x:row>
    <x:row r="9">
      <x:c r="A9" t="str">
        <x:v>2026-05</x:v>
      </x:c>
      <x:c r="B9" t="str">
        <x:v>2026-05-15</x:v>
      </x:c>
      <x:c r="C9" t="n">
        <x:v>0</x:v>
      </x:c>
      <x:c r="D9" t="n">
        <x:v>0</x:v>
      </x:c>
      <x:c r="E9" t="n">
        <x:v>16</x:v>
      </x:c>
    </x:row>
    <x:row r="10">
      <x:c r="A10" t="str">
        <x:v>2026-05</x:v>
      </x:c>
      <x:c r="B10" t="str">
        <x:v>2026-05-18</x:v>
      </x:c>
      <x:c r="C10" t="n">
        <x:v>32</x:v>
      </x:c>
      <x:c r="D10" t="n">
        <x:v>16</x:v>
      </x:c>
      <x:c r="E10" t="n">
        <x:v>48</x:v>
      </x:c>
    </x:row>
    <x:row r="11">
      <x:c r="A11" t="str">
        <x:v>2026-05</x:v>
      </x:c>
      <x:c r="B11" t="str">
        <x:v>2026-05-19</x:v>
      </x:c>
      <x:c r="C11" t="n">
        <x:v>14</x:v>
      </x:c>
      <x:c r="D11" t="n">
        <x:v>0</x:v>
      </x:c>
      <x:c r="E11" t="n">
        <x:v>48</x:v>
      </x:c>
    </x:row>
    <x:row r="12">
      <x:c r="A12" t="str">
        <x:v>2026-05</x:v>
      </x:c>
      <x:c r="B12" t="str">
        <x:v>2026-05-20</x:v>
      </x:c>
      <x:c r="C12" t="n">
        <x:v>14</x:v>
      </x:c>
      <x:c r="D12" t="n">
        <x:v>14</x:v>
      </x:c>
      <x:c r="E12" t="n">
        <x:v>30</x:v>
      </x:c>
    </x:row>
    <x:row r="13">
      <x:c r="A13" t="str">
        <x:v>2026-05</x:v>
      </x:c>
      <x:c r="B13" t="str">
        <x:v>2026-05-21</x:v>
      </x:c>
      <x:c r="C13" t="n">
        <x:v>16</x:v>
      </x:c>
      <x:c r="D13" t="n">
        <x:v>0</x:v>
      </x:c>
      <x:c r="E13" t="n">
        <x:v>0</x:v>
      </x:c>
    </x:row>
    <x:row r="14">
      <x:c r="A14" t="str">
        <x:v>2026-05</x:v>
      </x:c>
      <x:c r="B14" t="str">
        <x:v>2026-05-22</x:v>
      </x:c>
      <x:c r="C14" t="n">
        <x:v>62</x:v>
      </x:c>
      <x:c r="D14" t="n">
        <x:v>16</x:v>
      </x:c>
      <x:c r="E14" t="n">
        <x:v>0</x:v>
      </x:c>
    </x:row>
    <x:row r="15">
      <x:c r="A15" t="str">
        <x:v>2026-05</x:v>
      </x:c>
      <x:c r="B15" t="str">
        <x:v>2026-05-25</x:v>
      </x:c>
      <x:c r="C15" t="n">
        <x:v>32</x:v>
      </x:c>
      <x:c r="D15" t="n">
        <x:v>16</x:v>
      </x:c>
      <x:c r="E15" t="n">
        <x:v>60</x:v>
      </x:c>
    </x:row>
    <x:row r="16">
      <x:c r="A16" t="str">
        <x:v>2026-05</x:v>
      </x:c>
      <x:c r="B16" t="str">
        <x:v>2026-05-26</x:v>
      </x:c>
      <x:c r="C16" t="n">
        <x:v>62</x:v>
      </x:c>
      <x:c r="D16" t="n">
        <x:v>0</x:v>
      </x:c>
      <x:c r="E16" t="n">
        <x:v>30</x:v>
      </x:c>
    </x:row>
    <x:row r="17">
      <x:c r="A17" t="str">
        <x:v>2026-05</x:v>
      </x:c>
      <x:c r="B17" t="str">
        <x:v>2026-05-27</x:v>
      </x:c>
      <x:c r="C17" t="n">
        <x:v>16</x:v>
      </x:c>
      <x:c r="D17" t="n">
        <x:v>16</x:v>
      </x:c>
      <x:c r="E17" t="n">
        <x:v>34</x:v>
      </x:c>
    </x:row>
    <x:row r="18">
      <x:c r="A18" t="str">
        <x:v>2026-05</x:v>
      </x:c>
      <x:c r="B18" t="str">
        <x:v>2026-05-28</x:v>
      </x:c>
      <x:c r="C18" t="n">
        <x:v>16</x:v>
      </x:c>
      <x:c r="D18" t="n">
        <x:v>16</x:v>
      </x:c>
      <x:c r="E18" t="n">
        <x:v>48</x:v>
      </x:c>
    </x:row>
    <x:row r="19">
      <x:c r="A19" t="str">
        <x:v>2026-05</x:v>
      </x:c>
      <x:c r="B19" t="str">
        <x:v>2026-05-29</x:v>
      </x:c>
      <x:c r="C19" t="n">
        <x:v>50</x:v>
      </x:c>
      <x:c r="D19" t="n">
        <x:v>34</x:v>
      </x:c>
      <x:c r="E19" t="n">
        <x:v>32</x:v>
      </x:c>
    </x:row>
    <x:row r="20">
      <x:c r="A20" t="str">
        <x:v>2026-09</x:v>
      </x:c>
      <x:c r="B20" t="str">
        <x:v>2026-09-02</x:v>
      </x:c>
      <x:c r="C20" t="n">
        <x:v>126</x:v>
      </x:c>
      <x:c r="D20" t="n">
        <x:v>46</x:v>
      </x:c>
      <x:c r="E20" t="n">
        <x:v>61</x:v>
      </x:c>
    </x:row>
    <x:row r="21">
      <x:c r="A21" t="str">
        <x:v>2026-09</x:v>
      </x:c>
      <x:c r="B21" t="str">
        <x:v>2026-09-07</x:v>
      </x:c>
      <x:c r="C21" t="n">
        <x:v>126</x:v>
      </x:c>
      <x:c r="D21" t="n">
        <x:v>62</x:v>
      </x:c>
      <x:c r="E21" t="n">
        <x:v>45</x:v>
      </x:c>
    </x:row>
    <x:row r="22">
      <x:c r="A22" t="str">
        <x:v>2026-09</x:v>
      </x:c>
      <x:c r="B22" t="str">
        <x:v>2026-09-08</x:v>
      </x:c>
      <x:c r="C22" t="n">
        <x:v>62</x:v>
      </x:c>
      <x:c r="D22" t="n">
        <x:v>30</x:v>
      </x:c>
      <x:c r="E22" t="n">
        <x:v>45</x:v>
      </x:c>
    </x:row>
    <x:row r="23">
      <x:c r="A23" t="str">
        <x:v>2026-09</x:v>
      </x:c>
      <x:c r="B23" t="str">
        <x:v>2026-09-09</x:v>
      </x:c>
      <x:c r="C23" t="n">
        <x:v>47</x:v>
      </x:c>
      <x:c r="D23" t="n">
        <x:v>0</x:v>
      </x:c>
      <x:c r="E23" t="n">
        <x:v>48</x:v>
      </x:c>
    </x:row>
    <x:row r="24">
      <x:c r="A24" t="str">
        <x:v>2026-09</x:v>
      </x:c>
      <x:c r="B24" t="str">
        <x:v>2026-09-10</x:v>
      </x:c>
      <x:c r="C24" t="n">
        <x:v>16</x:v>
      </x:c>
      <x:c r="D24" t="n">
        <x:v>16</x:v>
      </x:c>
      <x:c r="E24" t="n">
        <x:v>34</x:v>
      </x:c>
    </x:row>
    <x:row r="25">
      <x:c r="A25" t="str">
        <x:v>2026-09</x:v>
      </x:c>
      <x:c r="B25" t="str">
        <x:v>2026-09-11</x:v>
      </x:c>
      <x:c r="C25" t="n">
        <x:v>0</x:v>
      </x:c>
      <x:c r="D25" t="n">
        <x:v>0</x:v>
      </x:c>
      <x:c r="E25" t="n">
        <x:v>12</x:v>
      </x:c>
    </x:row>
    <x:row r="26">
      <x:c r="A26" t="str">
        <x:v>2026-09</x:v>
      </x:c>
      <x:c r="B26" t="str">
        <x:v>2026-09-14</x:v>
      </x:c>
      <x:c r="C26" t="n">
        <x:v>76</x:v>
      </x:c>
      <x:c r="D26" t="n">
        <x:v>46</x:v>
      </x:c>
      <x:c r="E26" t="n">
        <x:v>50</x:v>
      </x:c>
    </x:row>
    <x:row r="27">
      <x:c r="A27" t="str">
        <x:v>2026-09</x:v>
      </x:c>
      <x:c r="B27" t="str">
        <x:v>2026-09-15</x:v>
      </x:c>
      <x:c r="C27" t="n">
        <x:v>106</x:v>
      </x:c>
      <x:c r="D27" t="n">
        <x:v>0</x:v>
      </x:c>
      <x:c r="E27" t="n">
        <x:v>66</x:v>
      </x:c>
    </x:row>
    <x:row r="28">
      <x:c r="A28" t="str">
        <x:v>2026-09</x:v>
      </x:c>
      <x:c r="B28" t="str">
        <x:v>2026-09-16</x:v>
      </x:c>
      <x:c r="C28" t="n">
        <x:v>62</x:v>
      </x:c>
      <x:c r="D28" t="n">
        <x:v>46</x:v>
      </x:c>
      <x:c r="E28" t="n">
        <x:v>34</x:v>
      </x:c>
    </x:row>
    <x:row r="29">
      <x:c r="A29" t="str">
        <x:v>2026-09</x:v>
      </x:c>
      <x:c r="B29" t="str">
        <x:v>2026-09-17</x:v>
      </x:c>
      <x:c r="C29" t="n">
        <x:v>26</x:v>
      </x:c>
      <x:c r="D29" t="n">
        <x:v>10</x:v>
      </x:c>
      <x:c r="E29" t="n">
        <x:v>46</x:v>
      </x:c>
    </x:row>
    <x:row r="30">
      <x:c r="A30" t="str">
        <x:v>2026-09</x:v>
      </x:c>
      <x:c r="B30" t="str">
        <x:v>2026-09-18</x:v>
      </x:c>
      <x:c r="C30" t="n">
        <x:v>12</x:v>
      </x:c>
      <x:c r="D30" t="n">
        <x:v>12</x:v>
      </x:c>
      <x:c r="E30" t="n">
        <x:v>0</x:v>
      </x:c>
    </x:row>
    <x:row r="31">
      <x:c r="A31" t="str">
        <x:v>2026-09</x:v>
      </x:c>
      <x:c r="B31" t="str">
        <x:v>2026-09-21</x:v>
      </x:c>
      <x:c r="C31" t="n">
        <x:v>14</x:v>
      </x:c>
      <x:c r="D31" t="n">
        <x:v>14</x:v>
      </x:c>
      <x:c r="E31" t="n">
        <x:v>44</x:v>
      </x:c>
    </x:row>
    <x:row r="32">
      <x:c r="A32" t="str">
        <x:v>2026-09</x:v>
      </x:c>
      <x:c r="B32" t="str">
        <x:v>2026-09-22</x:v>
      </x:c>
      <x:c r="C32" t="n">
        <x:v>45</x:v>
      </x:c>
      <x:c r="D32" t="n">
        <x:v>13</x:v>
      </x:c>
      <x:c r="E32" t="n">
        <x:v>30</x:v>
      </x:c>
    </x:row>
    <x:row r="33">
      <x:c r="A33" t="str">
        <x:v>2026-09</x:v>
      </x:c>
      <x:c r="B33" t="str">
        <x:v>2026-09-23</x:v>
      </x:c>
      <x:c r="C33" t="n">
        <x:v>76</x:v>
      </x:c>
      <x:c r="D33" t="n">
        <x:v>60</x:v>
      </x:c>
      <x:c r="E33" t="n">
        <x:v>0</x:v>
      </x:c>
    </x:row>
    <x:row r="34">
      <x:c r="A34" t="str">
        <x:v>2026-09</x:v>
      </x:c>
      <x:c r="B34" t="str">
        <x:v>2026-09-24</x:v>
      </x:c>
      <x:c r="C34" t="n">
        <x:v>60</x:v>
      </x:c>
      <x:c r="D34" t="n">
        <x:v>44</x:v>
      </x:c>
      <x:c r="E34" t="n">
        <x:v>0</x:v>
      </x:c>
    </x:row>
    <x:row r="35">
      <x:c r="A35" t="str">
        <x:v>2026-09</x:v>
      </x:c>
      <x:c r="B35" t="str">
        <x:v>2026-09-25</x:v>
      </x:c>
      <x:c r="C35" t="n">
        <x:v>4</x:v>
      </x:c>
      <x:c r="D35" t="n">
        <x:v>4</x:v>
      </x:c>
      <x:c r="E35" t="n">
        <x:v>17</x:v>
      </x:c>
    </x:row>
    <x:row r="36">
      <x:c r="A36" t="str">
        <x:v>2026-09</x:v>
      </x:c>
      <x:c r="B36" t="str">
        <x:v>2026-09-28</x:v>
      </x:c>
      <x:c r="C36" t="n">
        <x:v>36</x:v>
      </x:c>
      <x:c r="D36" t="n">
        <x:v>4</x:v>
      </x:c>
      <x:c r="E36" t="n">
        <x:v>50</x:v>
      </x:c>
    </x:row>
    <x:row r="37">
      <x:c r="A37" t="str">
        <x:v>2026-09</x:v>
      </x:c>
      <x:c r="B37" t="str">
        <x:v>2026-09-29</x:v>
      </x:c>
      <x:c r="C37" t="n">
        <x:v>104</x:v>
      </x:c>
      <x:c r="D37" t="n">
        <x:v>46</x:v>
      </x:c>
      <x:c r="E37" t="n">
        <x:v>28</x:v>
      </x:c>
    </x:row>
    <x:row r="38">
      <x:c r="A38" t="str">
        <x:v>2026-09</x:v>
      </x:c>
      <x:c r="B38" t="str">
        <x:v>2026-09-30</x:v>
      </x:c>
      <x:c r="C38" t="n">
        <x:v>30</x:v>
      </x:c>
      <x:c r="D38" t="n">
        <x:v>0</x:v>
      </x:c>
      <x:c r="E38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82447077937e40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70" hidden="0" customWidth="1"/>
  </x:cols>
  <x:sheetData>
    <x:row r="1">
      <x:c r="A1" s="31" t="str">
        <x:v>計算說明與稽核</x:v>
      </x:c>
      <x:c r="B1" s="31"/>
      <x:c r="C1" s="31"/>
    </x:row>
    <x:row r="3">
      <x:c r="A3" s="9" t="str">
        <x:v>項目</x:v>
      </x:c>
      <x:c r="B3" s="9" t="str">
        <x:v>內容</x:v>
      </x:c>
      <x:c r="C3" s="9" t="str">
        <x:v>備註</x:v>
      </x:c>
    </x:row>
    <x:row r="4">
      <x:c r="A4" s="32" t="str">
        <x:v>場站</x:v>
      </x:c>
      <x:c r="B4" s="32" t="str">
        <x:v>500101031、500101032、500101033、500101042</x:v>
      </x:c>
      <x:c r="C4" s="32" t="str">
        <x:v>臺大男七舍前、臺大男一舍前、臺大男六舍前、基隆長興路口東側</x:v>
      </x:c>
    </x:row>
    <x:row r="5">
      <x:c r="A5" s="32" t="str">
        <x:v>主表合計</x:v>
      </x:c>
      <x:c r="B5" s="32" t="str">
        <x:v>5月18日四站總量；9月19日四站總量</x:v>
      </x:c>
      <x:c r="C5" s="32" t="str">
        <x:v>不除以四站，也不除以樣本日</x:v>
      </x:c>
    </x:row>
    <x:row r="6">
      <x:c r="A6" s="32" t="str">
        <x:v>日均輔助</x:v>
      </x:c>
      <x:c r="B6" s="32" t="str">
        <x:v>5月18日；9月19日</x:v>
      </x:c>
      <x:c r="C6" s="32" t="str">
        <x:v>平日且台北2.0＋2.0E當日借出用量達200,000；零調度日納入分母</x:v>
      </x:c>
    </x:row>
    <x:row r="7">
      <x:c r="A7" s="32" t="str">
        <x:v>6–24調入</x:v>
      </x:c>
      <x:c r="B7" s="32" t="str">
        <x:v>06:00–23:59</x:v>
      </x:c>
      <x:c r="C7" s="32" t="str">
        <x:v>四站調入數量合計後除以樣本日</x:v>
      </x:c>
    </x:row>
    <x:row r="8">
      <x:c r="A8" s="32" t="str">
        <x:v>9–12調入</x:v>
      </x:c>
      <x:c r="B8" s="32" t="str">
        <x:v>09:00–12:59</x:v>
      </x:c>
      <x:c r="C8" s="32" t="str">
        <x:v>四站調入數量合計後除以樣本日</x:v>
      </x:c>
    </x:row>
    <x:row r="9">
      <x:c r="A9" s="32" t="str">
        <x:v>20–00調出</x:v>
      </x:c>
      <x:c r="B9" s="32" t="str">
        <x:v>20:00–23:59</x:v>
      </x:c>
      <x:c r="C9" s="32" t="str">
        <x:v>四站調出數量合計後除以樣本日</x:v>
      </x:c>
    </x:row>
    <x:row r="10">
      <x:c r="A10" s="32" t="str">
        <x:v>VDS篩選</x:v>
      </x:c>
      <x:c r="B10" s="32" t="str">
        <x:v>工作狀態=調入／調出；車種=2.0／2.0E；數量&gt;0</x:v>
      </x:c>
      <x:c r="C10" s="32" t="str">
        <x:v>依車號＋站碼＋狀態＋車種＋數量＋抵達時間去重</x:v>
      </x:c>
    </x:row>
    <x:row r="11">
      <x:c r="A11" s="32" t="str">
        <x:v>5月總量</x:v>
      </x:c>
      <x:c r="B11" s="32" t="str">
        <x:v>621／184／645</x:v>
      </x:c>
      <x:c r="C11" s="32" t="str">
        <x:v>依序為6–24調入、9–12調入、20–00調出</x:v>
      </x:c>
    </x:row>
    <x:row r="12">
      <x:c r="A12" s="32" t="str">
        <x:v>9月總量</x:v>
      </x:c>
      <x:c r="B12" s="32" t="str">
        <x:v>1,028／453／627</x:v>
      </x:c>
      <x:c r="C12" s="32" t="str">
        <x:v>依序為6–24調入、9–12調入、20–00調出</x:v>
      </x:c>
    </x:row>
  </x:sheetData>
  <x:mergeCells>
    <x:mergeCell ref="A1:C1"/>
  </x:mergeCells>
  <x:pageMargins left="0.7" right="0.7" top="0.75" bottom="0.75" header="0.3" footer="0.3"/>
</x:worksheet>
</file>