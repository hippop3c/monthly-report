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188634269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5歲以上" sheetId="1" r:id="R0321d0105e3f493e"/>
    <x:sheet xmlns:r="http://schemas.openxmlformats.org/officeDocument/2006/relationships" name="敬老卡比例" sheetId="2" r:id="Rbc9ac2a4cc9c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0">
    <x:font>
      <x:sz val="11"/>
      <x:name val="Carlito"/>
    </x:font>
    <x:font>
      <x:b/>
      <x:sz val="18"/>
      <x:color rgb="FF4472C4"/>
      <x:name val="Noto Sans TC"/>
    </x:font>
    <x:font>
      <x:i/>
      <x:sz val="10"/>
      <x:color rgb="FF666666"/>
      <x:name val="Noto Sans TC"/>
    </x:font>
    <x:font>
      <x:b/>
      <x:sz val="11"/>
      <x:color rgb="FFFFFFFF"/>
      <x:name val="Noto Sans TC"/>
    </x:font>
    <x:font>
      <x:b/>
      <x:sz val="9"/>
      <x:color rgb="FFFFFFFF"/>
      <x:name val="Noto Sans TC"/>
    </x:font>
    <x:font>
      <x:sz val="10"/>
      <x:color rgb="FF202020"/>
      <x:name val="Noto Sans TC"/>
    </x:font>
    <x:font>
      <x:b/>
      <x:sz val="10"/>
      <x:color rgb="FF202020"/>
      <x:name val="Noto Sans TC"/>
    </x:font>
    <x:font>
      <x:b/>
      <x:sz val="10"/>
      <x:color rgb="FFFFFFFF"/>
      <x:name val="Noto Sans TC"/>
    </x:font>
    <x:font>
      <x:sz val="9"/>
      <x:color rgb="FF666666"/>
      <x:name val="Noto Sans TC"/>
    </x:font>
    <x:font>
      <x:b/>
      <x:sz val="18"/>
      <x:color rgb="FFED7D31"/>
      <x:name val="Noto Sans TC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203864"/>
      </x:patternFill>
    </x:fill>
    <x:fill>
      <x:patternFill patternType="solid">
        <x:fgColor rgb="FFE8F0F7"/>
      </x:patternFill>
    </x:fill>
    <x:fill>
      <x:patternFill patternType="solid">
        <x:fgColor rgb="FFFFF2CC"/>
      </x:patternFill>
    </x:fill>
    <x:fill>
      <x:patternFill patternType="solid">
        <x:fgColor rgb="FFED7D31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 applyAlignment="1">
      <x:alignment horizontal="right"/>
    </x:xf>
    <x:xf numFmtId="0" fontId="5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right"/>
    </x:xf>
    <x:xf numFmtId="0" fontId="5" fillId="5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right"/>
    </x:xf>
    <x:xf numFmtId="0" fontId="6" fillId="5" borderId="2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right"/>
    </x:xf>
    <x:xf numFmtId="200" fontId="5" fillId="4" borderId="2" xfId="0" applyNumberFormat="1" applyFont="1" applyFill="1" applyBorder="1" applyAlignment="1">
      <x:alignment horizontal="right"/>
    </x:xf>
    <x:xf numFmtId="200" fontId="5" fillId="0" borderId="2" xfId="0" applyNumberFormat="1" applyFont="1" applyFill="1" applyBorder="1" applyAlignment="1">
      <x:alignment horizontal="right"/>
    </x:xf>
    <x:xf numFmtId="200" fontId="6" fillId="5" borderId="2" xfId="0" applyNumberFormat="1" applyFont="1" applyFill="1" applyBorder="1" applyAlignment="1">
      <x:alignment horizontal="right"/>
    </x:xf>
    <x:xf numFmtId="201" fontId="5" fillId="4" borderId="2" xfId="0" applyNumberFormat="1" applyFont="1" applyFill="1" applyBorder="1" applyAlignment="1">
      <x:alignment horizontal="right"/>
    </x:xf>
    <x:xf numFmtId="201" fontId="5" fillId="0" borderId="2" xfId="0" applyNumberFormat="1" applyFont="1" applyFill="1" applyBorder="1" applyAlignment="1">
      <x:alignment horizontal="right"/>
    </x:xf>
    <x:xf numFmtId="201" fontId="6" fillId="5" borderId="2" xfId="0" applyNumberFormat="1" applyFont="1" applyFill="1" applyBorder="1" applyAlignment="1">
      <x:alignment horizontal="right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97248b76f4387" /><Relationship Type="http://schemas.openxmlformats.org/officeDocument/2006/relationships/theme" Target="/xl/theme/theme1.xml" Id="Rcacfbf2513514b27" /><Relationship Type="http://schemas.openxmlformats.org/officeDocument/2006/relationships/sharedStrings" Target="/xl/sharedStrings.xml" Id="Rd8b21d321fca40ce" /><Relationship Type="http://schemas.openxmlformats.org/officeDocument/2006/relationships/worksheet" Target="/xl/worksheets/sheet1.xml" Id="R0321d0105e3f493e" /><Relationship Type="http://schemas.openxmlformats.org/officeDocument/2006/relationships/worksheet" Target="/xl/worksheets/sheet2.xml" Id="Rbc9ac2a4cc9c4a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fa31bde339403c" /><Relationship Type="http://schemas.openxmlformats.org/officeDocument/2006/relationships/chart" Target="/xl/drawings/charts/chart2.xml" Id="R42968fafc73c4f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c90f3c102c34fe2" /><Relationship Type="http://schemas.openxmlformats.org/officeDocument/2006/relationships/chart" Target="/xl/drawings/charts/chart4.xml" Id="R95d7ee940e0442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TC"/>
                <a:ea typeface="Noto Sans TC"/>
                <a:cs typeface="Noto Sans TC"/>
              </a:rPr>
              <a:t>2.0E占總用量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TC"/>
              <a:ea typeface="Noto Sans TC"/>
              <a:cs typeface="Noto Sans T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</c:v>
          </c:tx>
          <c:marker>
            <c:symbol val="none"/>
          </c:marker>
          <c:cat>
            <c:strRef>
              <c:f>'65歲以上'!$M$6:$M$20</c:f>
              <c:strCache>
                <c:ptCount val="0"/>
              </c:strCache>
            </c:strRef>
          </c:cat>
          <c:val>
            <c:numRef>
              <c:f>'65歲以上'!$N$6:$N$20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</c:v>
          </c:tx>
          <c:marker>
            <c:symbol val="none"/>
          </c:marker>
          <c:cat>
            <c:strRef>
              <c:f>'65歲以上'!$M$6:$M$20</c:f>
              <c:strCache>
                <c:ptCount val="0"/>
              </c:strCache>
            </c:strRef>
          </c:cat>
          <c:val>
            <c:numRef>
              <c:f>'65歲以上'!$O$6:$O$20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TC"/>
                <a:ea typeface="Noto Sans TC"/>
                <a:cs typeface="Noto Sans TC"/>
              </a:defRPr>
            </a:pPr>
          </a:p>
        </c:txPr>
        <c:crossAx val="48672768"/>
      </c:catAx>
      <c:valAx>
        <c:axId val="48672768"/>
        <c:scaling>
          <c:orientation val="minMax"/>
          <c:max val="0.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TC"/>
                <a:ea typeface="Noto Sans TC"/>
                <a:cs typeface="Noto Sans T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Noto Sans TC"/>
              <a:ea typeface="Noto Sans TC"/>
              <a:cs typeface="Noto Sans T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TC"/>
                <a:ea typeface="Noto Sans TC"/>
                <a:cs typeface="Noto Sans TC"/>
              </a:rPr>
              <a:t>65歲以上占2.0E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TC"/>
              <a:ea typeface="Noto Sans TC"/>
              <a:cs typeface="Noto Sans T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</c:v>
          </c:tx>
          <c:marker>
            <c:symbol val="none"/>
          </c:marker>
          <c:cat>
            <c:strRef>
              <c:f>'65歲以上'!$Q$6:$Q$20</c:f>
              <c:strCache>
                <c:ptCount val="0"/>
              </c:strCache>
            </c:strRef>
          </c:cat>
          <c:val>
            <c:numRef>
              <c:f>'65歲以上'!$R$6:$R$20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</c:v>
          </c:tx>
          <c:marker>
            <c:symbol val="none"/>
          </c:marker>
          <c:cat>
            <c:strRef>
              <c:f>'65歲以上'!$Q$6:$Q$20</c:f>
              <c:strCache>
                <c:ptCount val="0"/>
              </c:strCache>
            </c:strRef>
          </c:cat>
          <c:val>
            <c:numRef>
              <c:f>'65歲以上'!$S$6:$S$20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TC"/>
                <a:ea typeface="Noto Sans TC"/>
                <a:cs typeface="Noto Sans TC"/>
              </a:defRPr>
            </a:pPr>
          </a:p>
        </c:txPr>
        <c:crossAx val="48672768"/>
      </c:catAx>
      <c:valAx>
        <c:axId val="48672768"/>
        <c:scaling>
          <c:orientation val="minMax"/>
          <c:max val="0.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TC"/>
                <a:ea typeface="Noto Sans TC"/>
                <a:cs typeface="Noto Sans T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Noto Sans TC"/>
              <a:ea typeface="Noto Sans TC"/>
              <a:cs typeface="Noto Sans T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TC"/>
                <a:ea typeface="Noto Sans TC"/>
                <a:cs typeface="Noto Sans TC"/>
              </a:rPr>
              <a:t>2.0E占總用量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TC"/>
              <a:ea typeface="Noto Sans TC"/>
              <a:cs typeface="Noto Sans T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</c:v>
          </c:tx>
          <c:marker>
            <c:symbol val="none"/>
          </c:marker>
          <c:cat>
            <c:strRef>
              <c:f>'敬老卡比例'!$M$6:$M$20</c:f>
              <c:strCache>
                <c:ptCount val="0"/>
              </c:strCache>
            </c:strRef>
          </c:cat>
          <c:val>
            <c:numRef>
              <c:f>'敬老卡比例'!$N$6:$N$20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</c:v>
          </c:tx>
          <c:marker>
            <c:symbol val="none"/>
          </c:marker>
          <c:cat>
            <c:strRef>
              <c:f>'敬老卡比例'!$M$6:$M$20</c:f>
              <c:strCache>
                <c:ptCount val="0"/>
              </c:strCache>
            </c:strRef>
          </c:cat>
          <c:val>
            <c:numRef>
              <c:f>'敬老卡比例'!$O$6:$O$20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TC"/>
                <a:ea typeface="Noto Sans TC"/>
                <a:cs typeface="Noto Sans TC"/>
              </a:defRPr>
            </a:pPr>
          </a:p>
        </c:txPr>
        <c:crossAx val="48672768"/>
      </c:catAx>
      <c:valAx>
        <c:axId val="48672768"/>
        <c:scaling>
          <c:orientation val="minMax"/>
          <c:max val="0.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TC"/>
                <a:ea typeface="Noto Sans TC"/>
                <a:cs typeface="Noto Sans T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Noto Sans TC"/>
              <a:ea typeface="Noto Sans TC"/>
              <a:cs typeface="Noto Sans T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Noto Sans TC"/>
                <a:ea typeface="Noto Sans TC"/>
                <a:cs typeface="Noto Sans TC"/>
              </a:rPr>
              <a:t>敬老卡占2.0E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Noto Sans TC"/>
              <a:ea typeface="Noto Sans TC"/>
              <a:cs typeface="Noto Sans T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</c:v>
          </c:tx>
          <c:marker>
            <c:symbol val="none"/>
          </c:marker>
          <c:cat>
            <c:strRef>
              <c:f>'敬老卡比例'!$Q$6:$Q$20</c:f>
              <c:strCache>
                <c:ptCount val="0"/>
              </c:strCache>
            </c:strRef>
          </c:cat>
          <c:val>
            <c:numRef>
              <c:f>'敬老卡比例'!$R$6:$R$20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</c:v>
          </c:tx>
          <c:marker>
            <c:symbol val="none"/>
          </c:marker>
          <c:cat>
            <c:strRef>
              <c:f>'敬老卡比例'!$Q$6:$Q$20</c:f>
              <c:strCache>
                <c:ptCount val="0"/>
              </c:strCache>
            </c:strRef>
          </c:cat>
          <c:val>
            <c:numRef>
              <c:f>'敬老卡比例'!$S$6:$S$20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Noto Sans TC"/>
                <a:ea typeface="Noto Sans TC"/>
                <a:cs typeface="Noto Sans TC"/>
              </a:defRPr>
            </a:pPr>
          </a:p>
        </c:txPr>
        <c:crossAx val="48672768"/>
      </c:catAx>
      <c:valAx>
        <c:axId val="48672768"/>
        <c:scaling>
          <c:orientation val="minMax"/>
          <c:max val="0.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oto Sans TC"/>
                <a:ea typeface="Noto Sans TC"/>
                <a:cs typeface="Noto Sans TC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Noto Sans TC"/>
              <a:ea typeface="Noto Sans TC"/>
              <a:cs typeface="Noto Sans T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fa31bde339403c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68fafc73c4f1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90f3c102c34fe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d7ee940e0442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254aac9b0049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bc11987b4a9419d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2" hidden="0" customWidth="1"/>
    <x:col min="5" max="5" width="19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9" hidden="0" customWidth="1"/>
    <x:col min="11" max="11" width="16" hidden="0" customWidth="1"/>
  </x:cols>
  <x:sheetData>
    <x:row r="1" ht="31" customHeight="1">
      <x:c r="A1" s="2" t="str">
        <x:v>雙北65歲以上使用2.0E比例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2025-07 至 2026-09｜115.9* 為 2026/9/1–9/28｜65歲以上與敬老卡分開計算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4" customHeight="1">
      <x:c r="A4" s="8" t="str">
        <x:v>台北市</x:v>
      </x:c>
      <x:c r="B4" s="8"/>
      <x:c r="C4" s="8"/>
      <x:c r="D4" s="8"/>
      <x:c r="E4" s="8"/>
      <x:c r="F4" s="8"/>
      <x:c r="G4" s="8" t="str">
        <x:v>新北市</x:v>
      </x:c>
      <x:c r="H4" s="8"/>
      <x:c r="I4" s="8"/>
      <x:c r="J4" s="8"/>
      <x:c r="K4" s="8"/>
    </x:row>
    <x:row r="5" ht="43" customHeight="1">
      <x:c r="A5" s="14" t="str">
        <x:v>月份</x:v>
      </x:c>
      <x:c r="B5" s="14" t="str">
        <x:v>台北總用量</x:v>
      </x:c>
      <x:c r="C5" s="14" t="str">
        <x:v>台北2.0E次數</x:v>
      </x:c>
      <x:c r="D5" s="14" t="str">
        <x:v>台北2.0E比例</x:v>
      </x:c>
      <x:c r="E5" s="14" t="str">
        <x:v>台北65歲以上2.0E次數</x:v>
      </x:c>
      <x:c r="F5" s="14" t="str">
        <x:v>台北65歲以上2.0E次數占2.0E</x:v>
      </x:c>
      <x:c r="G5" s="14" t="str">
        <x:v>新北總用量</x:v>
      </x:c>
      <x:c r="H5" s="14" t="str">
        <x:v>新北2.0E次數</x:v>
      </x:c>
      <x:c r="I5" s="14" t="str">
        <x:v>新北2.0E比例</x:v>
      </x:c>
      <x:c r="J5" s="14" t="str">
        <x:v>新北65歲以上2.0E次數</x:v>
      </x:c>
      <x:c r="K5" s="14" t="str">
        <x:v>新北65歲以上2.0E次數占2.0E</x:v>
      </x:c>
      <x:c r="M5" t="str">
        <x:v>月份</x:v>
      </x:c>
      <x:c r="N5" t="str">
        <x:v>台北</x:v>
      </x:c>
      <x:c r="O5" t="str">
        <x:v>新北</x:v>
      </x:c>
      <x:c r="Q5" t="str">
        <x:v>月份</x:v>
      </x:c>
      <x:c r="R5" t="str">
        <x:v>台北</x:v>
      </x:c>
      <x:c r="S5" t="str">
        <x:v>新北</x:v>
      </x:c>
    </x:row>
    <x:row r="6" ht="22" customHeight="1">
      <x:c r="A6" s="19" t="str">
        <x:v>114.7</x:v>
      </x:c>
      <x:c r="B6" s="25" t="n">
        <x:v>6640633</x:v>
      </x:c>
      <x:c r="C6" s="25" t="n">
        <x:v>261965</x:v>
      </x:c>
      <x:c r="D6" s="28" t="n">
        <x:f>C6/B6</x:f>
        <x:v>0.03944879953462268</x:v>
      </x:c>
      <x:c r="E6" s="25" t="n">
        <x:v>24627</x:v>
      </x:c>
      <x:c r="F6" s="28" t="n">
        <x:f>E6/C6</x:f>
        <x:v>0.0940087416257897</x:v>
      </x:c>
      <x:c r="G6" s="25" t="n">
        <x:v>3437103</x:v>
      </x:c>
      <x:c r="H6" s="25" t="n">
        <x:v>243761</x:v>
      </x:c>
      <x:c r="I6" s="28" t="n">
        <x:f>H6/G6</x:f>
        <x:v>0.07092048157998175</x:v>
      </x:c>
      <x:c r="J6" s="25" t="n">
        <x:v>15765</x:v>
      </x:c>
      <x:c r="K6" s="28" t="n">
        <x:f>J6/H6</x:f>
        <x:v>0.06467400445518356</x:v>
      </x:c>
      <x:c r="M6" t="str">
        <x:v>25-7月</x:v>
      </x:c>
      <x:c r="N6" t="n">
        <x:f>D6</x:f>
        <x:v>0.03944879953462268</x:v>
      </x:c>
      <x:c r="O6" t="n">
        <x:f>I6</x:f>
        <x:v>0.07092048157998175</x:v>
      </x:c>
      <x:c r="Q6" t="str">
        <x:v>25-7月</x:v>
      </x:c>
      <x:c r="R6" t="n">
        <x:f>F6</x:f>
        <x:v>0.0940087416257897</x:v>
      </x:c>
      <x:c r="S6" t="n">
        <x:f>K6</x:f>
        <x:v>0.06467400445518356</x:v>
      </x:c>
    </x:row>
    <x:row r="7" ht="22" customHeight="1">
      <x:c r="A7" s="17" t="str">
        <x:v>114.8</x:v>
      </x:c>
      <x:c r="B7" s="26" t="n">
        <x:v>7430044</x:v>
      </x:c>
      <x:c r="C7" s="26" t="n">
        <x:v>307403</x:v>
      </x:c>
      <x:c r="D7" s="29" t="n">
        <x:f>C7/B7</x:f>
        <x:v>0.041372971680921404</x:v>
      </x:c>
      <x:c r="E7" s="26" t="n">
        <x:v>26905</x:v>
      </x:c>
      <x:c r="F7" s="29" t="n">
        <x:f>E7/C7</x:f>
        <x:v>0.08752354401225752</x:v>
      </x:c>
      <x:c r="G7" s="26" t="n">
        <x:v>3934270</x:v>
      </x:c>
      <x:c r="H7" s="26" t="n">
        <x:v>290229</x:v>
      </x:c>
      <x:c r="I7" s="29" t="n">
        <x:f>H7/G7</x:f>
        <x:v>0.07376946676257604</x:v>
      </x:c>
      <x:c r="J7" s="26" t="n">
        <x:v>18165</x:v>
      </x:c>
      <x:c r="K7" s="29" t="n">
        <x:f>J7/H7</x:f>
        <x:v>0.06258850769564724</x:v>
      </x:c>
      <x:c r="M7" t="str">
        <x:v>25-8月</x:v>
      </x:c>
      <x:c r="N7" t="n">
        <x:f>D7</x:f>
        <x:v>0.041372971680921404</x:v>
      </x:c>
      <x:c r="O7" t="n">
        <x:f>I7</x:f>
        <x:v>0.07376946676257604</x:v>
      </x:c>
      <x:c r="Q7" t="str">
        <x:v>25-8月</x:v>
      </x:c>
      <x:c r="R7" t="n">
        <x:f>F7</x:f>
        <x:v>0.08752354401225752</x:v>
      </x:c>
      <x:c r="S7" t="n">
        <x:f>K7</x:f>
        <x:v>0.06258850769564724</x:v>
      </x:c>
    </x:row>
    <x:row r="8" ht="22" customHeight="1">
      <x:c r="A8" s="19" t="str">
        <x:v>114.9</x:v>
      </x:c>
      <x:c r="B8" s="25" t="n">
        <x:v>7600053</x:v>
      </x:c>
      <x:c r="C8" s="25" t="n">
        <x:v>376581</x:v>
      </x:c>
      <x:c r="D8" s="28" t="n">
        <x:f>C8/B8</x:f>
        <x:v>0.04954978603438687</x:v>
      </x:c>
      <x:c r="E8" s="25" t="n">
        <x:v>29428</x:v>
      </x:c>
      <x:c r="F8" s="28" t="n">
        <x:f>E8/C8</x:f>
        <x:v>0.07814520647616316</x:v>
      </x:c>
      <x:c r="G8" s="25" t="n">
        <x:v>3941056</x:v>
      </x:c>
      <x:c r="H8" s="25" t="n">
        <x:v>274036</x:v>
      </x:c>
      <x:c r="I8" s="28" t="n">
        <x:f>H8/G8</x:f>
        <x:v>0.06953364783448902</x:v>
      </x:c>
      <x:c r="J8" s="25" t="n">
        <x:v>16917</x:v>
      </x:c>
      <x:c r="K8" s="28" t="n">
        <x:f>J8/H8</x:f>
        <x:v>0.06173276503817017</x:v>
      </x:c>
      <x:c r="M8" t="str">
        <x:v>25-9月</x:v>
      </x:c>
      <x:c r="N8" t="n">
        <x:f>D8</x:f>
        <x:v>0.04954978603438687</x:v>
      </x:c>
      <x:c r="O8" t="n">
        <x:f>I8</x:f>
        <x:v>0.06953364783448902</x:v>
      </x:c>
      <x:c r="Q8" t="str">
        <x:v>25-9月</x:v>
      </x:c>
      <x:c r="R8" t="n">
        <x:f>F8</x:f>
        <x:v>0.07814520647616316</x:v>
      </x:c>
      <x:c r="S8" t="n">
        <x:f>K8</x:f>
        <x:v>0.06173276503817017</x:v>
      </x:c>
    </x:row>
    <x:row r="9" ht="22" customHeight="1">
      <x:c r="A9" s="17" t="str">
        <x:v>114.10</x:v>
      </x:c>
      <x:c r="B9" s="26" t="n">
        <x:v>6600331</x:v>
      </x:c>
      <x:c r="C9" s="26" t="n">
        <x:v>319393</x:v>
      </x:c>
      <x:c r="D9" s="29" t="n">
        <x:f>C9/B9</x:f>
        <x:v>0.04839045193339546</x:v>
      </x:c>
      <x:c r="E9" s="26" t="n">
        <x:v>27063</x:v>
      </x:c>
      <x:c r="F9" s="29" t="n">
        <x:f>E9/C9</x:f>
        <x:v>0.08473260215471222</x:v>
      </x:c>
      <x:c r="G9" s="26" t="n">
        <x:v>3502587</x:v>
      </x:c>
      <x:c r="H9" s="26" t="n">
        <x:v>239939</x:v>
      </x:c>
      <x:c r="I9" s="29" t="n">
        <x:f>H9/G9</x:f>
        <x:v>0.0685033662261637</x:v>
      </x:c>
      <x:c r="J9" s="26" t="n">
        <x:v>15629</x:v>
      </x:c>
      <x:c r="K9" s="29" t="n">
        <x:f>J9/H9</x:f>
        <x:v>0.06513738908639279</x:v>
      </x:c>
      <x:c r="M9" t="str">
        <x:v>25-10月</x:v>
      </x:c>
      <x:c r="N9" t="n">
        <x:f>D9</x:f>
        <x:v>0.04839045193339546</x:v>
      </x:c>
      <x:c r="O9" t="n">
        <x:f>I9</x:f>
        <x:v>0.0685033662261637</x:v>
      </x:c>
      <x:c r="Q9" t="str">
        <x:v>25-10月</x:v>
      </x:c>
      <x:c r="R9" t="n">
        <x:f>F9</x:f>
        <x:v>0.08473260215471222</x:v>
      </x:c>
      <x:c r="S9" t="n">
        <x:f>K9</x:f>
        <x:v>0.06513738908639279</x:v>
      </x:c>
    </x:row>
    <x:row r="10" ht="22" customHeight="1">
      <x:c r="A10" s="19" t="str">
        <x:v>114.11</x:v>
      </x:c>
      <x:c r="B10" s="25" t="n">
        <x:v>6947547</x:v>
      </x:c>
      <x:c r="C10" s="25" t="n">
        <x:v>337686</x:v>
      </x:c>
      <x:c r="D10" s="28" t="n">
        <x:f>C10/B10</x:f>
        <x:v>0.048605068810617616</x:v>
      </x:c>
      <x:c r="E10" s="25" t="n">
        <x:v>28156</x:v>
      </x:c>
      <x:c r="F10" s="28" t="n">
        <x:f>E10/C10</x:f>
        <x:v>0.08337923396291229</x:v>
      </x:c>
      <x:c r="G10" s="25" t="n">
        <x:v>3608396</x:v>
      </x:c>
      <x:c r="H10" s="25" t="n">
        <x:v>241686</x:v>
      </x:c>
      <x:c r="I10" s="28" t="n">
        <x:f>H10/G10</x:f>
        <x:v>0.06697879057620061</x:v>
      </x:c>
      <x:c r="J10" s="25" t="n">
        <x:v>15918</x:v>
      </x:c>
      <x:c r="K10" s="28" t="n">
        <x:f>J10/H10</x:f>
        <x:v>0.06586231722151883</x:v>
      </x:c>
      <x:c r="M10" t="str">
        <x:v>25-11月</x:v>
      </x:c>
      <x:c r="N10" t="n">
        <x:f>D10</x:f>
        <x:v>0.048605068810617616</x:v>
      </x:c>
      <x:c r="O10" t="n">
        <x:f>I10</x:f>
        <x:v>0.06697879057620061</x:v>
      </x:c>
      <x:c r="Q10" t="str">
        <x:v>25-11月</x:v>
      </x:c>
      <x:c r="R10" t="n">
        <x:f>F10</x:f>
        <x:v>0.08337923396291229</x:v>
      </x:c>
      <x:c r="S10" t="n">
        <x:f>K10</x:f>
        <x:v>0.06586231722151883</x:v>
      </x:c>
    </x:row>
    <x:row r="11" ht="22" customHeight="1">
      <x:c r="A11" s="17" t="str">
        <x:v>114.12</x:v>
      </x:c>
      <x:c r="B11" s="26" t="n">
        <x:v>7309242</x:v>
      </x:c>
      <x:c r="C11" s="26" t="n">
        <x:v>381726</x:v>
      </x:c>
      <x:c r="D11" s="29" t="n">
        <x:f>C11/B11</x:f>
        <x:v>0.052225114450992316</x:v>
      </x:c>
      <x:c r="E11" s="26" t="n">
        <x:v>30429</x:v>
      </x:c>
      <x:c r="F11" s="29" t="n">
        <x:f>E11/C11</x:f>
        <x:v>0.07971424529636441</x:v>
      </x:c>
      <x:c r="G11" s="26" t="n">
        <x:v>3732563</x:v>
      </x:c>
      <x:c r="H11" s="26" t="n">
        <x:v>241586</x:v>
      </x:c>
      <x:c r="I11" s="29" t="n">
        <x:f>H11/G11</x:f>
        <x:v>0.06472389079568114</x:v>
      </x:c>
      <x:c r="J11" s="26" t="n">
        <x:v>15418</x:v>
      </x:c>
      <x:c r="K11" s="29" t="n">
        <x:f>J11/H11</x:f>
        <x:v>0.06381992333992864</x:v>
      </x:c>
      <x:c r="M11" t="str">
        <x:v>25-12月</x:v>
      </x:c>
      <x:c r="N11" t="n">
        <x:f>D11</x:f>
        <x:v>0.052225114450992316</x:v>
      </x:c>
      <x:c r="O11" t="n">
        <x:f>I11</x:f>
        <x:v>0.06472389079568114</x:v>
      </x:c>
      <x:c r="Q11" t="str">
        <x:v>25-12月</x:v>
      </x:c>
      <x:c r="R11" t="n">
        <x:f>F11</x:f>
        <x:v>0.07971424529636441</x:v>
      </x:c>
      <x:c r="S11" t="n">
        <x:f>K11</x:f>
        <x:v>0.06381992333992864</x:v>
      </x:c>
    </x:row>
    <x:row r="12" ht="22" customHeight="1">
      <x:c r="A12" s="19" t="str">
        <x:v>115.1</x:v>
      </x:c>
      <x:c r="B12" s="25" t="n">
        <x:v>6810359</x:v>
      </x:c>
      <x:c r="C12" s="25" t="n">
        <x:v>363375</x:v>
      </x:c>
      <x:c r="D12" s="28" t="n">
        <x:f>C12/B12</x:f>
        <x:v>0.053356218078958836</x:v>
      </x:c>
      <x:c r="E12" s="25" t="n">
        <x:v>28869</x:v>
      </x:c>
      <x:c r="F12" s="28" t="n">
        <x:f>E12/C12</x:f>
        <x:v>0.0794468524251806</x:v>
      </x:c>
      <x:c r="G12" s="25" t="n">
        <x:v>3676259</x:v>
      </x:c>
      <x:c r="H12" s="25" t="n">
        <x:v>251266</x:v>
      </x:c>
      <x:c r="I12" s="28" t="n">
        <x:f>H12/G12</x:f>
        <x:v>0.06834828558053173</x:v>
      </x:c>
      <x:c r="J12" s="25" t="n">
        <x:v>15297</x:v>
      </x:c>
      <x:c r="K12" s="28" t="n">
        <x:f>J12/H12</x:f>
        <x:v>0.06087970517300391</x:v>
      </x:c>
      <x:c r="M12" t="str">
        <x:v>26-1月</x:v>
      </x:c>
      <x:c r="N12" t="n">
        <x:f>D12</x:f>
        <x:v>0.053356218078958836</x:v>
      </x:c>
      <x:c r="O12" t="n">
        <x:f>I12</x:f>
        <x:v>0.06834828558053173</x:v>
      </x:c>
      <x:c r="Q12" t="str">
        <x:v>26-1月</x:v>
      </x:c>
      <x:c r="R12" t="n">
        <x:f>F12</x:f>
        <x:v>0.0794468524251806</x:v>
      </x:c>
      <x:c r="S12" t="n">
        <x:f>K12</x:f>
        <x:v>0.06087970517300391</x:v>
      </x:c>
    </x:row>
    <x:row r="13" ht="22" customHeight="1">
      <x:c r="A13" s="17" t="str">
        <x:v>115.2</x:v>
      </x:c>
      <x:c r="B13" s="26" t="n">
        <x:v>5837647</x:v>
      </x:c>
      <x:c r="C13" s="26" t="n">
        <x:v>337127</x:v>
      </x:c>
      <x:c r="D13" s="29" t="n">
        <x:f>C13/B13</x:f>
        <x:v>0.05775049433444674</x:v>
      </x:c>
      <x:c r="E13" s="26" t="n">
        <x:v>28287</x:v>
      </x:c>
      <x:c r="F13" s="29" t="n">
        <x:f>E13/C13</x:f>
        <x:v>0.08390606507339964</x:v>
      </x:c>
      <x:c r="G13" s="26" t="n">
        <x:v>3255507</x:v>
      </x:c>
      <x:c r="H13" s="26" t="n">
        <x:v>241739</x:v>
      </x:c>
      <x:c r="I13" s="29" t="n">
        <x:f>H13/G13</x:f>
        <x:v>0.07425540783662883</x:v>
      </x:c>
      <x:c r="J13" s="26" t="n">
        <x:v>15405</x:v>
      </x:c>
      <x:c r="K13" s="29" t="n">
        <x:f>J13/H13</x:f>
        <x:v>0.06372575380885998</x:v>
      </x:c>
      <x:c r="M13" t="str">
        <x:v>26-2月</x:v>
      </x:c>
      <x:c r="N13" t="n">
        <x:f>D13</x:f>
        <x:v>0.05775049433444674</x:v>
      </x:c>
      <x:c r="O13" t="n">
        <x:f>I13</x:f>
        <x:v>0.07425540783662883</x:v>
      </x:c>
      <x:c r="Q13" t="str">
        <x:v>26-2月</x:v>
      </x:c>
      <x:c r="R13" t="n">
        <x:f>F13</x:f>
        <x:v>0.08390606507339964</x:v>
      </x:c>
      <x:c r="S13" t="n">
        <x:f>K13</x:f>
        <x:v>0.06372575380885998</x:v>
      </x:c>
    </x:row>
    <x:row r="14" ht="22" customHeight="1">
      <x:c r="A14" s="19" t="str">
        <x:v>115.3</x:v>
      </x:c>
      <x:c r="B14" s="25" t="n">
        <x:v>7751464</x:v>
      </x:c>
      <x:c r="C14" s="25" t="n">
        <x:v>478039</x:v>
      </x:c>
      <x:c r="D14" s="28" t="n">
        <x:f>C14/B14</x:f>
        <x:v>0.06167080179950523</x:v>
      </x:c>
      <x:c r="E14" s="25" t="n">
        <x:v>33072</x:v>
      </x:c>
      <x:c r="F14" s="28" t="n">
        <x:f>E14/C14</x:f>
        <x:v>0.06918263991013286</x:v>
      </x:c>
      <x:c r="G14" s="25" t="n">
        <x:v>4130060</x:v>
      </x:c>
      <x:c r="H14" s="25" t="n">
        <x:v>283640</x:v>
      </x:c>
      <x:c r="I14" s="28" t="n">
        <x:f>H14/G14</x:f>
        <x:v>0.06867696837334082</x:v>
      </x:c>
      <x:c r="J14" s="25" t="n">
        <x:v>16243</x:v>
      </x:c>
      <x:c r="K14" s="28" t="n">
        <x:f>J14/H14</x:f>
        <x:v>0.05726625299675645</x:v>
      </x:c>
      <x:c r="M14" t="str">
        <x:v>26-3月</x:v>
      </x:c>
      <x:c r="N14" t="n">
        <x:f>D14</x:f>
        <x:v>0.06167080179950523</x:v>
      </x:c>
      <x:c r="O14" t="n">
        <x:f>I14</x:f>
        <x:v>0.06867696837334082</x:v>
      </x:c>
      <x:c r="Q14" t="str">
        <x:v>26-3月</x:v>
      </x:c>
      <x:c r="R14" t="n">
        <x:f>F14</x:f>
        <x:v>0.06918263991013286</x:v>
      </x:c>
      <x:c r="S14" t="n">
        <x:f>K14</x:f>
        <x:v>0.05726625299675645</x:v>
      </x:c>
    </x:row>
    <x:row r="15" ht="22" customHeight="1">
      <x:c r="A15" s="17" t="str">
        <x:v>115.4</x:v>
      </x:c>
      <x:c r="B15" s="26" t="n">
        <x:v>7389038</x:v>
      </x:c>
      <x:c r="C15" s="26" t="n">
        <x:v>456581</x:v>
      </x:c>
      <x:c r="D15" s="29" t="n">
        <x:f>C15/B15</x:f>
        <x:v>0.0617916703094503</x:v>
      </x:c>
      <x:c r="E15" s="26" t="n">
        <x:v>30175</x:v>
      </x:c>
      <x:c r="F15" s="29" t="n">
        <x:f>E15/C15</x:f>
        <x:v>0.06608904006079973</x:v>
      </x:c>
      <x:c r="G15" s="26" t="n">
        <x:v>4000609</x:v>
      </x:c>
      <x:c r="H15" s="26" t="n">
        <x:v>290408</x:v>
      </x:c>
      <x:c r="I15" s="29" t="n">
        <x:f>H15/G15</x:f>
        <x:v>0.07259094802816271</x:v>
      </x:c>
      <x:c r="J15" s="26" t="n">
        <x:v>15697</x:v>
      </x:c>
      <x:c r="K15" s="29" t="n">
        <x:f>J15/H15</x:f>
        <x:v>0.05405154127985455</x:v>
      </x:c>
      <x:c r="M15" t="str">
        <x:v>26-4月</x:v>
      </x:c>
      <x:c r="N15" t="n">
        <x:f>D15</x:f>
        <x:v>0.0617916703094503</x:v>
      </x:c>
      <x:c r="O15" t="n">
        <x:f>I15</x:f>
        <x:v>0.07259094802816271</x:v>
      </x:c>
      <x:c r="Q15" t="str">
        <x:v>26-4月</x:v>
      </x:c>
      <x:c r="R15" t="n">
        <x:f>F15</x:f>
        <x:v>0.06608904006079973</x:v>
      </x:c>
      <x:c r="S15" t="n">
        <x:f>K15</x:f>
        <x:v>0.05405154127985455</x:v>
      </x:c>
    </x:row>
    <x:row r="16" ht="22" customHeight="1">
      <x:c r="A16" s="19" t="str">
        <x:v>115.5</x:v>
      </x:c>
      <x:c r="B16" s="25" t="n">
        <x:v>8197979</x:v>
      </x:c>
      <x:c r="C16" s="25" t="n">
        <x:v>543150</x:v>
      </x:c>
      <x:c r="D16" s="28" t="n">
        <x:f>C16/B16</x:f>
        <x:v>0.06625413409817224</x:v>
      </x:c>
      <x:c r="E16" s="25" t="n">
        <x:v>33531</x:v>
      </x:c>
      <x:c r="F16" s="28" t="n">
        <x:f>E16/C16</x:f>
        <x:v>0.06173432753383044</x:v>
      </x:c>
      <x:c r="G16" s="25" t="n">
        <x:v>4587782</x:v>
      </x:c>
      <x:c r="H16" s="25" t="n">
        <x:v>354134</x:v>
      </x:c>
      <x:c r="I16" s="28" t="n">
        <x:f>H16/G16</x:f>
        <x:v>0.07719067732512137</x:v>
      </x:c>
      <x:c r="J16" s="25" t="n">
        <x:v>18343</x:v>
      </x:c>
      <x:c r="K16" s="28" t="n">
        <x:f>J16/H16</x:f>
        <x:v>0.05179677749100623</x:v>
      </x:c>
      <x:c r="M16" t="str">
        <x:v>26-5月</x:v>
      </x:c>
      <x:c r="N16" t="n">
        <x:f>D16</x:f>
        <x:v>0.06625413409817224</x:v>
      </x:c>
      <x:c r="O16" t="n">
        <x:f>I16</x:f>
        <x:v>0.07719067732512137</x:v>
      </x:c>
      <x:c r="Q16" t="str">
        <x:v>26-5月</x:v>
      </x:c>
      <x:c r="R16" t="n">
        <x:f>F16</x:f>
        <x:v>0.06173432753383044</x:v>
      </x:c>
      <x:c r="S16" t="n">
        <x:f>K16</x:f>
        <x:v>0.05179677749100623</x:v>
      </x:c>
    </x:row>
    <x:row r="17" ht="22" customHeight="1">
      <x:c r="A17" s="17" t="str">
        <x:v>115.6</x:v>
      </x:c>
      <x:c r="B17" s="26" t="n">
        <x:v>6406441</x:v>
      </x:c>
      <x:c r="C17" s="26" t="n">
        <x:v>435473</x:v>
      </x:c>
      <x:c r="D17" s="29" t="n">
        <x:f>C17/B17</x:f>
        <x:v>0.06797424654343964</x:v>
      </x:c>
      <x:c r="E17" s="26" t="n">
        <x:v>28705</x:v>
      </x:c>
      <x:c r="F17" s="29" t="n">
        <x:f>E17/C17</x:f>
        <x:v>0.0659168306645877</x:v>
      </x:c>
      <x:c r="G17" s="26" t="n">
        <x:v>3621529</x:v>
      </x:c>
      <x:c r="H17" s="26" t="n">
        <x:v>275391</x:v>
      </x:c>
      <x:c r="I17" s="29" t="n">
        <x:f>H17/G17</x:f>
        <x:v>0.07604274327224772</x:v>
      </x:c>
      <x:c r="J17" s="26" t="n">
        <x:v>14884</x:v>
      </x:c>
      <x:c r="K17" s="29" t="n">
        <x:f>J17/H17</x:f>
        <x:v>0.054046791652595766</x:v>
      </x:c>
      <x:c r="M17" t="str">
        <x:v>26-6月</x:v>
      </x:c>
      <x:c r="N17" t="n">
        <x:f>D17</x:f>
        <x:v>0.06797424654343964</x:v>
      </x:c>
      <x:c r="O17" t="n">
        <x:f>I17</x:f>
        <x:v>0.07604274327224772</x:v>
      </x:c>
      <x:c r="Q17" t="str">
        <x:v>26-6月</x:v>
      </x:c>
      <x:c r="R17" t="n">
        <x:f>F17</x:f>
        <x:v>0.0659168306645877</x:v>
      </x:c>
      <x:c r="S17" t="n">
        <x:f>K17</x:f>
        <x:v>0.054046791652595766</x:v>
      </x:c>
    </x:row>
    <x:row r="18" ht="22" customHeight="1">
      <x:c r="A18" s="19" t="str">
        <x:v>115.7</x:v>
      </x:c>
      <x:c r="B18" s="25" t="n">
        <x:v>7755642</x:v>
      </x:c>
      <x:c r="C18" s="25" t="n">
        <x:v>674111</x:v>
      </x:c>
      <x:c r="D18" s="28" t="n">
        <x:f>C18/B18</x:f>
        <x:v>0.08691878763872804</x:v>
      </x:c>
      <x:c r="E18" s="25" t="n">
        <x:v>97427</x:v>
      </x:c>
      <x:c r="F18" s="28" t="n">
        <x:f>E18/C18</x:f>
        <x:v>0.14452664323827974</x:v>
      </x:c>
      <x:c r="G18" s="25" t="n">
        <x:v>4359122</x:v>
      </x:c>
      <x:c r="H18" s="25" t="n">
        <x:v>358943</x:v>
      </x:c>
      <x:c r="I18" s="28" t="n">
        <x:f>H18/G18</x:f>
        <x:v>0.08234295805439719</x:v>
      </x:c>
      <x:c r="J18" s="25" t="n">
        <x:v>40411</x:v>
      </x:c>
      <x:c r="K18" s="28" t="n">
        <x:f>J18/H18</x:f>
        <x:v>0.1125833349584753</x:v>
      </x:c>
      <x:c r="M18" t="str">
        <x:v>26-7月</x:v>
      </x:c>
      <x:c r="N18" t="n">
        <x:f>D18</x:f>
        <x:v>0.08691878763872804</x:v>
      </x:c>
      <x:c r="O18" t="n">
        <x:f>I18</x:f>
        <x:v>0.08234295805439719</x:v>
      </x:c>
      <x:c r="Q18" t="str">
        <x:v>26-7月</x:v>
      </x:c>
      <x:c r="R18" t="n">
        <x:f>F18</x:f>
        <x:v>0.14452664323827974</x:v>
      </x:c>
      <x:c r="S18" t="n">
        <x:f>K18</x:f>
        <x:v>0.1125833349584753</x:v>
      </x:c>
    </x:row>
    <x:row r="19" ht="22" customHeight="1">
      <x:c r="A19" s="17" t="str">
        <x:v>115.8</x:v>
      </x:c>
      <x:c r="B19" s="26" t="n">
        <x:v>7418322</x:v>
      </x:c>
      <x:c r="C19" s="26" t="n">
        <x:v>710468</x:v>
      </x:c>
      <x:c r="D19" s="29" t="n">
        <x:f>C19/B19</x:f>
        <x:v>0.09577206273871638</x:v>
      </x:c>
      <x:c r="E19" s="26" t="n">
        <x:v>123256</x:v>
      </x:c>
      <x:c r="F19" s="29" t="n">
        <x:f>E19/C19</x:f>
        <x:v>0.17348564608117467</x:v>
      </x:c>
      <x:c r="G19" s="26" t="n">
        <x:v>4290885</x:v>
      </x:c>
      <x:c r="H19" s="26" t="n">
        <x:v>382150</x:v>
      </x:c>
      <x:c r="I19" s="29" t="n">
        <x:f>H19/G19</x:f>
        <x:v>0.08906088137994843</x:v>
      </x:c>
      <x:c r="J19" s="26" t="n">
        <x:v>47685</x:v>
      </x:c>
      <x:c r="K19" s="29" t="n">
        <x:f>J19/H19</x:f>
        <x:v>0.1247808452178464</x:v>
      </x:c>
      <x:c r="M19" t="str">
        <x:v>26-8月</x:v>
      </x:c>
      <x:c r="N19" t="n">
        <x:f>D19</x:f>
        <x:v>0.09577206273871638</x:v>
      </x:c>
      <x:c r="O19" t="n">
        <x:f>I19</x:f>
        <x:v>0.08906088137994843</x:v>
      </x:c>
      <x:c r="Q19" t="str">
        <x:v>26-8月</x:v>
      </x:c>
      <x:c r="R19" t="n">
        <x:f>F19</x:f>
        <x:v>0.17348564608117467</x:v>
      </x:c>
      <x:c r="S19" t="n">
        <x:f>K19</x:f>
        <x:v>0.1247808452178464</x:v>
      </x:c>
    </x:row>
    <x:row r="20" ht="22" customHeight="1">
      <x:c r="A20" s="23" t="str">
        <x:v>115.9*</x:v>
      </x:c>
      <x:c r="B20" s="27" t="n">
        <x:v>7019508</x:v>
      </x:c>
      <x:c r="C20" s="27" t="n">
        <x:v>689697</x:v>
      </x:c>
      <x:c r="D20" s="30" t="n">
        <x:f>C20/B20</x:f>
        <x:v>0.09825432209778805</x:v>
      </x:c>
      <x:c r="E20" s="27" t="n">
        <x:v>117229</x:v>
      </x:c>
      <x:c r="F20" s="30" t="n">
        <x:f>E20/C20</x:f>
        <x:v>0.16997174121389538</x:v>
      </x:c>
      <x:c r="G20" s="27" t="n">
        <x:v>3972968</x:v>
      </x:c>
      <x:c r="H20" s="27" t="n">
        <x:v>361241</x:v>
      </x:c>
      <x:c r="I20" s="30" t="n">
        <x:f>H20/G20</x:f>
        <x:v>0.09092471925270981</x:v>
      </x:c>
      <x:c r="J20" s="27" t="n">
        <x:v>45800</x:v>
      </x:c>
      <x:c r="K20" s="30" t="n">
        <x:f>J20/H20</x:f>
        <x:v>0.1267851655819799</x:v>
      </x:c>
      <x:c r="M20" t="str">
        <x:v>26-9月</x:v>
      </x:c>
      <x:c r="N20" t="n">
        <x:f>D20</x:f>
        <x:v>0.09825432209778805</x:v>
      </x:c>
      <x:c r="O20" t="n">
        <x:f>I20</x:f>
        <x:v>0.09092471925270981</x:v>
      </x:c>
      <x:c r="Q20" t="str">
        <x:v>26-9月</x:v>
      </x:c>
      <x:c r="R20" t="n">
        <x:f>F20</x:f>
        <x:v>0.16997174121389538</x:v>
      </x:c>
      <x:c r="S20" t="n">
        <x:f>K20</x:f>
        <x:v>0.1267851655819799</x:v>
      </x:c>
    </x:row>
    <x:row r="43" ht="22" customHeight="1">
      <x:c r="A43" s="32" t="str">
        <x:v>資料來源與口徑</x:v>
      </x:c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 ht="25" customHeight="1">
      <x:c r="A44" s="35" t="str">
        <x:v>歷史65歲以上（2025-07至2026-08）：Looker Studio data_analysis.visual_report，65–100歲。</x:v>
      </x:c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 ht="25" customHeight="1">
      <x:c r="A45" s="35" t="str">
        <x:v>2026-09 65歲以上：Report/BigQuery yb2.bike_transaction 的2.0E有效租借，排除調度與維修卡，依 data_center.INSUR 有效保險卡（CancelDate='NULL'）65–100歲分組。</x:v>
      </x:c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 ht="25" customHeight="1">
      <x:c r="A46" s="35" t="str">
        <x:v>Report：https://report.youbike.com.tw｜Looker：https://datastudio.google.com/reporting/47a02eaf-102a-452c-922f-97a75e5a27e5/page/8GclC</x:v>
      </x:c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</x:sheetData>
  <x:mergeCells>
    <x:mergeCell ref="A1:K1"/>
    <x:mergeCell ref="A2:K2"/>
    <x:mergeCell ref="A4:F4"/>
    <x:mergeCell ref="G4:K4"/>
    <x:mergeCell ref="A43:K43"/>
    <x:mergeCell ref="A44:K44"/>
    <x:mergeCell ref="A45:K45"/>
    <x:mergeCell ref="A46:K46"/>
  </x:mergeCells>
  <x:pageMargins left="0.7" right="0.7" top="0.75" bottom="0.75" header="0.3" footer="0.3"/>
  <x:drawing xmlns:r="http://schemas.openxmlformats.org/officeDocument/2006/relationships" r:id="R08254aac9b0049ca"/>
</x:worksheet>
</file>

<file path=xl/worksheets/sheet2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2" hidden="0" customWidth="1"/>
    <x:col min="5" max="5" width="19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9" hidden="0" customWidth="1"/>
    <x:col min="11" max="11" width="16" hidden="0" customWidth="1"/>
  </x:cols>
  <x:sheetData>
    <x:row r="1" ht="31" customHeight="1">
      <x:c r="A1" s="37" t="str">
        <x:v>雙北敬老卡使用2.0E比例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23" customHeight="1">
      <x:c r="A2" s="4" t="str">
        <x:v>2025-07 至 2026-09｜115.9* 為 2026/9/1–9/28｜敬老卡比例＝2.0E敬老卡使用次數÷2.0E租借次數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24" customHeight="1">
      <x:c r="A4" s="41" t="str">
        <x:v>台北市</x:v>
      </x:c>
      <x:c r="B4" s="41"/>
      <x:c r="C4" s="41"/>
      <x:c r="D4" s="41"/>
      <x:c r="E4" s="41"/>
      <x:c r="F4" s="41"/>
      <x:c r="G4" s="41" t="str">
        <x:v>新北市</x:v>
      </x:c>
      <x:c r="H4" s="41"/>
      <x:c r="I4" s="41"/>
      <x:c r="J4" s="41"/>
      <x:c r="K4" s="41"/>
    </x:row>
    <x:row r="5" ht="43" customHeight="1">
      <x:c r="A5" s="14" t="str">
        <x:v>月份</x:v>
      </x:c>
      <x:c r="B5" s="14" t="str">
        <x:v>台北總用量</x:v>
      </x:c>
      <x:c r="C5" s="14" t="str">
        <x:v>台北2.0E次數</x:v>
      </x:c>
      <x:c r="D5" s="14" t="str">
        <x:v>台北2.0E比例</x:v>
      </x:c>
      <x:c r="E5" s="14" t="str">
        <x:v>台北敬老卡2.0E次數</x:v>
      </x:c>
      <x:c r="F5" s="14" t="str">
        <x:v>台北敬老卡2.0E次數占2.0E</x:v>
      </x:c>
      <x:c r="G5" s="14" t="str">
        <x:v>新北總用量</x:v>
      </x:c>
      <x:c r="H5" s="14" t="str">
        <x:v>新北2.0E次數</x:v>
      </x:c>
      <x:c r="I5" s="14" t="str">
        <x:v>新北2.0E比例</x:v>
      </x:c>
      <x:c r="J5" s="14" t="str">
        <x:v>新北敬老卡2.0E次數</x:v>
      </x:c>
      <x:c r="K5" s="14" t="str">
        <x:v>新北敬老卡2.0E次數占2.0E</x:v>
      </x:c>
      <x:c r="M5" t="str">
        <x:v>月份</x:v>
      </x:c>
      <x:c r="N5" t="str">
        <x:v>台北</x:v>
      </x:c>
      <x:c r="O5" t="str">
        <x:v>新北</x:v>
      </x:c>
      <x:c r="Q5" t="str">
        <x:v>月份</x:v>
      </x:c>
      <x:c r="R5" t="str">
        <x:v>台北</x:v>
      </x:c>
      <x:c r="S5" t="str">
        <x:v>新北</x:v>
      </x:c>
    </x:row>
    <x:row r="6" ht="22" customHeight="1">
      <x:c r="A6" s="19" t="str">
        <x:v>114.7</x:v>
      </x:c>
      <x:c r="B6" s="25" t="n">
        <x:v>6640633</x:v>
      </x:c>
      <x:c r="C6" s="25" t="n">
        <x:v>261965</x:v>
      </x:c>
      <x:c r="D6" s="28" t="n">
        <x:f>C6/B6</x:f>
        <x:v>0.03944879953462268</x:v>
      </x:c>
      <x:c r="E6" s="25" t="n">
        <x:v>30177</x:v>
      </x:c>
      <x:c r="F6" s="28" t="n">
        <x:f>E6/C6</x:f>
        <x:v>0.1151947779283492</x:v>
      </x:c>
      <x:c r="G6" s="25" t="n">
        <x:v>3437103</x:v>
      </x:c>
      <x:c r="H6" s="25" t="n">
        <x:v>243761</x:v>
      </x:c>
      <x:c r="I6" s="28" t="n">
        <x:f>H6/G6</x:f>
        <x:v>0.07092048157998175</x:v>
      </x:c>
      <x:c r="J6" s="25" t="n">
        <x:v>20505</x:v>
      </x:c>
      <x:c r="K6" s="28" t="n">
        <x:f>J6/H6</x:f>
        <x:v>0.08411928077091906</x:v>
      </x:c>
      <x:c r="M6" t="str">
        <x:v>25-7月</x:v>
      </x:c>
      <x:c r="N6" t="n">
        <x:f>D6</x:f>
        <x:v>0.03944879953462268</x:v>
      </x:c>
      <x:c r="O6" t="n">
        <x:f>I6</x:f>
        <x:v>0.07092048157998175</x:v>
      </x:c>
      <x:c r="Q6" t="str">
        <x:v>25-7月</x:v>
      </x:c>
      <x:c r="R6" t="n">
        <x:f>F6</x:f>
        <x:v>0.1151947779283492</x:v>
      </x:c>
      <x:c r="S6" t="n">
        <x:f>K6</x:f>
        <x:v>0.08411928077091906</x:v>
      </x:c>
    </x:row>
    <x:row r="7" ht="22" customHeight="1">
      <x:c r="A7" s="17" t="str">
        <x:v>114.8</x:v>
      </x:c>
      <x:c r="B7" s="26" t="n">
        <x:v>7430044</x:v>
      </x:c>
      <x:c r="C7" s="26" t="n">
        <x:v>307403</x:v>
      </x:c>
      <x:c r="D7" s="29" t="n">
        <x:f>C7/B7</x:f>
        <x:v>0.041372971680921404</x:v>
      </x:c>
      <x:c r="E7" s="26" t="n">
        <x:v>33938</x:v>
      </x:c>
      <x:c r="F7" s="29" t="n">
        <x:f>E7/C7</x:f>
        <x:v>0.11040230576799837</x:v>
      </x:c>
      <x:c r="G7" s="26" t="n">
        <x:v>3934270</x:v>
      </x:c>
      <x:c r="H7" s="26" t="n">
        <x:v>290229</x:v>
      </x:c>
      <x:c r="I7" s="29" t="n">
        <x:f>H7/G7</x:f>
        <x:v>0.07376946676257604</x:v>
      </x:c>
      <x:c r="J7" s="26" t="n">
        <x:v>24174</x:v>
      </x:c>
      <x:c r="K7" s="29" t="n">
        <x:f>J7/H7</x:f>
        <x:v>0.08329284806135845</x:v>
      </x:c>
      <x:c r="M7" t="str">
        <x:v>25-8月</x:v>
      </x:c>
      <x:c r="N7" t="n">
        <x:f>D7</x:f>
        <x:v>0.041372971680921404</x:v>
      </x:c>
      <x:c r="O7" t="n">
        <x:f>I7</x:f>
        <x:v>0.07376946676257604</x:v>
      </x:c>
      <x:c r="Q7" t="str">
        <x:v>25-8月</x:v>
      </x:c>
      <x:c r="R7" t="n">
        <x:f>F7</x:f>
        <x:v>0.11040230576799837</x:v>
      </x:c>
      <x:c r="S7" t="n">
        <x:f>K7</x:f>
        <x:v>0.08329284806135845</x:v>
      </x:c>
    </x:row>
    <x:row r="8" ht="22" customHeight="1">
      <x:c r="A8" s="19" t="str">
        <x:v>114.9</x:v>
      </x:c>
      <x:c r="B8" s="25" t="n">
        <x:v>7600053</x:v>
      </x:c>
      <x:c r="C8" s="25" t="n">
        <x:v>376581</x:v>
      </x:c>
      <x:c r="D8" s="28" t="n">
        <x:f>C8/B8</x:f>
        <x:v>0.04954978603438687</x:v>
      </x:c>
      <x:c r="E8" s="25" t="n">
        <x:v>38706</x:v>
      </x:c>
      <x:c r="F8" s="28" t="n">
        <x:f>E8/C8</x:f>
        <x:v>0.10278266827057127</x:v>
      </x:c>
      <x:c r="G8" s="25" t="n">
        <x:v>3941056</x:v>
      </x:c>
      <x:c r="H8" s="25" t="n">
        <x:v>274036</x:v>
      </x:c>
      <x:c r="I8" s="28" t="n">
        <x:f>H8/G8</x:f>
        <x:v>0.06953364783448902</x:v>
      </x:c>
      <x:c r="J8" s="25" t="n">
        <x:v>23787</x:v>
      </x:c>
      <x:c r="K8" s="28" t="n">
        <x:f>J8/H8</x:f>
        <x:v>0.08680246390985126</x:v>
      </x:c>
      <x:c r="M8" t="str">
        <x:v>25-9月</x:v>
      </x:c>
      <x:c r="N8" t="n">
        <x:f>D8</x:f>
        <x:v>0.04954978603438687</x:v>
      </x:c>
      <x:c r="O8" t="n">
        <x:f>I8</x:f>
        <x:v>0.06953364783448902</x:v>
      </x:c>
      <x:c r="Q8" t="str">
        <x:v>25-9月</x:v>
      </x:c>
      <x:c r="R8" t="n">
        <x:f>F8</x:f>
        <x:v>0.10278266827057127</x:v>
      </x:c>
      <x:c r="S8" t="n">
        <x:f>K8</x:f>
        <x:v>0.08680246390985126</x:v>
      </x:c>
    </x:row>
    <x:row r="9" ht="22" customHeight="1">
      <x:c r="A9" s="17" t="str">
        <x:v>114.10</x:v>
      </x:c>
      <x:c r="B9" s="26" t="n">
        <x:v>6600331</x:v>
      </x:c>
      <x:c r="C9" s="26" t="n">
        <x:v>319393</x:v>
      </x:c>
      <x:c r="D9" s="29" t="n">
        <x:f>C9/B9</x:f>
        <x:v>0.04839045193339546</x:v>
      </x:c>
      <x:c r="E9" s="26" t="n">
        <x:v>36546</x:v>
      </x:c>
      <x:c r="F9" s="29" t="n">
        <x:f>E9/C9</x:f>
        <x:v>0.11442329669091057</x:v>
      </x:c>
      <x:c r="G9" s="26" t="n">
        <x:v>3502587</x:v>
      </x:c>
      <x:c r="H9" s="26" t="n">
        <x:v>239939</x:v>
      </x:c>
      <x:c r="I9" s="29" t="n">
        <x:f>H9/G9</x:f>
        <x:v>0.0685033662261637</x:v>
      </x:c>
      <x:c r="J9" s="26" t="n">
        <x:v>22631</x:v>
      </x:c>
      <x:c r="K9" s="29" t="n">
        <x:f>J9/H9</x:f>
        <x:v>0.09431980628409721</x:v>
      </x:c>
      <x:c r="M9" t="str">
        <x:v>25-10月</x:v>
      </x:c>
      <x:c r="N9" t="n">
        <x:f>D9</x:f>
        <x:v>0.04839045193339546</x:v>
      </x:c>
      <x:c r="O9" t="n">
        <x:f>I9</x:f>
        <x:v>0.0685033662261637</x:v>
      </x:c>
      <x:c r="Q9" t="str">
        <x:v>25-10月</x:v>
      </x:c>
      <x:c r="R9" t="n">
        <x:f>F9</x:f>
        <x:v>0.11442329669091057</x:v>
      </x:c>
      <x:c r="S9" t="n">
        <x:f>K9</x:f>
        <x:v>0.09431980628409721</x:v>
      </x:c>
    </x:row>
    <x:row r="10" ht="22" customHeight="1">
      <x:c r="A10" s="19" t="str">
        <x:v>114.11</x:v>
      </x:c>
      <x:c r="B10" s="25" t="n">
        <x:v>6947547</x:v>
      </x:c>
      <x:c r="C10" s="25" t="n">
        <x:v>337686</x:v>
      </x:c>
      <x:c r="D10" s="28" t="n">
        <x:f>C10/B10</x:f>
        <x:v>0.048605068810617616</x:v>
      </x:c>
      <x:c r="E10" s="25" t="n">
        <x:v>39509</x:v>
      </x:c>
      <x:c r="F10" s="28" t="n">
        <x:f>E10/C10</x:f>
        <x:v>0.11699922413129357</x:v>
      </x:c>
      <x:c r="G10" s="25" t="n">
        <x:v>3608396</x:v>
      </x:c>
      <x:c r="H10" s="25" t="n">
        <x:v>241686</x:v>
      </x:c>
      <x:c r="I10" s="28" t="n">
        <x:f>H10/G10</x:f>
        <x:v>0.06697879057620061</x:v>
      </x:c>
      <x:c r="J10" s="25" t="n">
        <x:v>23888</x:v>
      </x:c>
      <x:c r="K10" s="28" t="n">
        <x:f>J10/H10</x:f>
        <x:v>0.09883898943256954</x:v>
      </x:c>
      <x:c r="M10" t="str">
        <x:v>25-11月</x:v>
      </x:c>
      <x:c r="N10" t="n">
        <x:f>D10</x:f>
        <x:v>0.048605068810617616</x:v>
      </x:c>
      <x:c r="O10" t="n">
        <x:f>I10</x:f>
        <x:v>0.06697879057620061</x:v>
      </x:c>
      <x:c r="Q10" t="str">
        <x:v>25-11月</x:v>
      </x:c>
      <x:c r="R10" t="n">
        <x:f>F10</x:f>
        <x:v>0.11699922413129357</x:v>
      </x:c>
      <x:c r="S10" t="n">
        <x:f>K10</x:f>
        <x:v>0.09883898943256954</x:v>
      </x:c>
    </x:row>
    <x:row r="11" ht="22" customHeight="1">
      <x:c r="A11" s="17" t="str">
        <x:v>114.12</x:v>
      </x:c>
      <x:c r="B11" s="26" t="n">
        <x:v>7309242</x:v>
      </x:c>
      <x:c r="C11" s="26" t="n">
        <x:v>381726</x:v>
      </x:c>
      <x:c r="D11" s="29" t="n">
        <x:f>C11/B11</x:f>
        <x:v>0.052225114450992316</x:v>
      </x:c>
      <x:c r="E11" s="26" t="n">
        <x:v>44149</x:v>
      </x:c>
      <x:c r="F11" s="29" t="n">
        <x:f>E11/C11</x:f>
        <x:v>0.11565625605801019</x:v>
      </x:c>
      <x:c r="G11" s="26" t="n">
        <x:v>3732563</x:v>
      </x:c>
      <x:c r="H11" s="26" t="n">
        <x:v>241586</x:v>
      </x:c>
      <x:c r="I11" s="29" t="n">
        <x:f>H11/G11</x:f>
        <x:v>0.06472389079568114</x:v>
      </x:c>
      <x:c r="J11" s="26" t="n">
        <x:v>24385</x:v>
      </x:c>
      <x:c r="K11" s="29" t="n">
        <x:f>J11/H11</x:f>
        <x:v>0.10093714039720844</x:v>
      </x:c>
      <x:c r="M11" t="str">
        <x:v>25-12月</x:v>
      </x:c>
      <x:c r="N11" t="n">
        <x:f>D11</x:f>
        <x:v>0.052225114450992316</x:v>
      </x:c>
      <x:c r="O11" t="n">
        <x:f>I11</x:f>
        <x:v>0.06472389079568114</x:v>
      </x:c>
      <x:c r="Q11" t="str">
        <x:v>25-12月</x:v>
      </x:c>
      <x:c r="R11" t="n">
        <x:f>F11</x:f>
        <x:v>0.11565625605801019</x:v>
      </x:c>
      <x:c r="S11" t="n">
        <x:f>K11</x:f>
        <x:v>0.10093714039720844</x:v>
      </x:c>
    </x:row>
    <x:row r="12" ht="22" customHeight="1">
      <x:c r="A12" s="19" t="str">
        <x:v>115.1</x:v>
      </x:c>
      <x:c r="B12" s="25" t="n">
        <x:v>6810359</x:v>
      </x:c>
      <x:c r="C12" s="25" t="n">
        <x:v>363375</x:v>
      </x:c>
      <x:c r="D12" s="28" t="n">
        <x:f>C12/B12</x:f>
        <x:v>0.053356218078958836</x:v>
      </x:c>
      <x:c r="E12" s="25" t="n">
        <x:v>43993</x:v>
      </x:c>
      <x:c r="F12" s="28" t="n">
        <x:f>E12/C12</x:f>
        <x:v>0.12106776745786034</x:v>
      </x:c>
      <x:c r="G12" s="25" t="n">
        <x:v>3676259</x:v>
      </x:c>
      <x:c r="H12" s="25" t="n">
        <x:v>251266</x:v>
      </x:c>
      <x:c r="I12" s="28" t="n">
        <x:f>H12/G12</x:f>
        <x:v>0.06834828558053173</x:v>
      </x:c>
      <x:c r="J12" s="25" t="n">
        <x:v>25280</x:v>
      </x:c>
      <x:c r="K12" s="28" t="n">
        <x:f>J12/H12</x:f>
        <x:v>0.10061050838553565</x:v>
      </x:c>
      <x:c r="M12" t="str">
        <x:v>26-1月</x:v>
      </x:c>
      <x:c r="N12" t="n">
        <x:f>D12</x:f>
        <x:v>0.053356218078958836</x:v>
      </x:c>
      <x:c r="O12" t="n">
        <x:f>I12</x:f>
        <x:v>0.06834828558053173</x:v>
      </x:c>
      <x:c r="Q12" t="str">
        <x:v>26-1月</x:v>
      </x:c>
      <x:c r="R12" t="n">
        <x:f>F12</x:f>
        <x:v>0.12106776745786034</x:v>
      </x:c>
      <x:c r="S12" t="n">
        <x:f>K12</x:f>
        <x:v>0.10061050838553565</x:v>
      </x:c>
    </x:row>
    <x:row r="13" ht="22" customHeight="1">
      <x:c r="A13" s="17" t="str">
        <x:v>115.2</x:v>
      </x:c>
      <x:c r="B13" s="26" t="n">
        <x:v>5837647</x:v>
      </x:c>
      <x:c r="C13" s="26" t="n">
        <x:v>337127</x:v>
      </x:c>
      <x:c r="D13" s="29" t="n">
        <x:f>C13/B13</x:f>
        <x:v>0.05775049433444674</x:v>
      </x:c>
      <x:c r="E13" s="26" t="n">
        <x:v>43773</x:v>
      </x:c>
      <x:c r="F13" s="29" t="n">
        <x:f>E13/C13</x:f>
        <x:v>0.12984127643291699</x:v>
      </x:c>
      <x:c r="G13" s="26" t="n">
        <x:v>3255507</x:v>
      </x:c>
      <x:c r="H13" s="26" t="n">
        <x:v>241739</x:v>
      </x:c>
      <x:c r="I13" s="29" t="n">
        <x:f>H13/G13</x:f>
        <x:v>0.07425540783662883</x:v>
      </x:c>
      <x:c r="J13" s="26" t="n">
        <x:v>25527</x:v>
      </x:c>
      <x:c r="K13" s="29" t="n">
        <x:f>J13/H13</x:f>
        <x:v>0.10559735913526572</x:v>
      </x:c>
      <x:c r="M13" t="str">
        <x:v>26-2月</x:v>
      </x:c>
      <x:c r="N13" t="n">
        <x:f>D13</x:f>
        <x:v>0.05775049433444674</x:v>
      </x:c>
      <x:c r="O13" t="n">
        <x:f>I13</x:f>
        <x:v>0.07425540783662883</x:v>
      </x:c>
      <x:c r="Q13" t="str">
        <x:v>26-2月</x:v>
      </x:c>
      <x:c r="R13" t="n">
        <x:f>F13</x:f>
        <x:v>0.12984127643291699</x:v>
      </x:c>
      <x:c r="S13" t="n">
        <x:f>K13</x:f>
        <x:v>0.10559735913526572</x:v>
      </x:c>
    </x:row>
    <x:row r="14" ht="22" customHeight="1">
      <x:c r="A14" s="19" t="str">
        <x:v>115.3</x:v>
      </x:c>
      <x:c r="B14" s="25" t="n">
        <x:v>7751464</x:v>
      </x:c>
      <x:c r="C14" s="25" t="n">
        <x:v>478039</x:v>
      </x:c>
      <x:c r="D14" s="28" t="n">
        <x:f>C14/B14</x:f>
        <x:v>0.06167080179950523</x:v>
      </x:c>
      <x:c r="E14" s="25" t="n">
        <x:v>54393</x:v>
      </x:c>
      <x:c r="F14" s="28" t="n">
        <x:f>E14/C14</x:f>
        <x:v>0.11378360342984568</x:v>
      </x:c>
      <x:c r="G14" s="25" t="n">
        <x:v>4130060</x:v>
      </x:c>
      <x:c r="H14" s="25" t="n">
        <x:v>283640</x:v>
      </x:c>
      <x:c r="I14" s="28" t="n">
        <x:f>H14/G14</x:f>
        <x:v>0.06867696837334082</x:v>
      </x:c>
      <x:c r="J14" s="25" t="n">
        <x:v>28990</x:v>
      </x:c>
      <x:c r="K14" s="28" t="n">
        <x:f>J14/H14</x:f>
        <x:v>0.10220702298688478</x:v>
      </x:c>
      <x:c r="M14" t="str">
        <x:v>26-3月</x:v>
      </x:c>
      <x:c r="N14" t="n">
        <x:f>D14</x:f>
        <x:v>0.06167080179950523</x:v>
      </x:c>
      <x:c r="O14" t="n">
        <x:f>I14</x:f>
        <x:v>0.06867696837334082</x:v>
      </x:c>
      <x:c r="Q14" t="str">
        <x:v>26-3月</x:v>
      </x:c>
      <x:c r="R14" t="n">
        <x:f>F14</x:f>
        <x:v>0.11378360342984568</x:v>
      </x:c>
      <x:c r="S14" t="n">
        <x:f>K14</x:f>
        <x:v>0.10220702298688478</x:v>
      </x:c>
    </x:row>
    <x:row r="15" ht="22" customHeight="1">
      <x:c r="A15" s="17" t="str">
        <x:v>115.4</x:v>
      </x:c>
      <x:c r="B15" s="26" t="n">
        <x:v>7389038</x:v>
      </x:c>
      <x:c r="C15" s="26" t="n">
        <x:v>456581</x:v>
      </x:c>
      <x:c r="D15" s="29" t="n">
        <x:f>C15/B15</x:f>
        <x:v>0.0617916703094503</x:v>
      </x:c>
      <x:c r="E15" s="26" t="n">
        <x:v>51939</x:v>
      </x:c>
      <x:c r="F15" s="29" t="n">
        <x:f>E15/C15</x:f>
        <x:v>0.11375637619611854</x:v>
      </x:c>
      <x:c r="G15" s="26" t="n">
        <x:v>4000609</x:v>
      </x:c>
      <x:c r="H15" s="26" t="n">
        <x:v>290408</x:v>
      </x:c>
      <x:c r="I15" s="29" t="n">
        <x:f>H15/G15</x:f>
        <x:v>0.07259094802816271</x:v>
      </x:c>
      <x:c r="J15" s="26" t="n">
        <x:v>28271</x:v>
      </x:c>
      <x:c r="K15" s="29" t="n">
        <x:f>J15/H15</x:f>
        <x:v>0.09734924657722928</x:v>
      </x:c>
      <x:c r="M15" t="str">
        <x:v>26-4月</x:v>
      </x:c>
      <x:c r="N15" t="n">
        <x:f>D15</x:f>
        <x:v>0.0617916703094503</x:v>
      </x:c>
      <x:c r="O15" t="n">
        <x:f>I15</x:f>
        <x:v>0.07259094802816271</x:v>
      </x:c>
      <x:c r="Q15" t="str">
        <x:v>26-4月</x:v>
      </x:c>
      <x:c r="R15" t="n">
        <x:f>F15</x:f>
        <x:v>0.11375637619611854</x:v>
      </x:c>
      <x:c r="S15" t="n">
        <x:f>K15</x:f>
        <x:v>0.09734924657722928</x:v>
      </x:c>
    </x:row>
    <x:row r="16" ht="22" customHeight="1">
      <x:c r="A16" s="19" t="str">
        <x:v>115.5</x:v>
      </x:c>
      <x:c r="B16" s="25" t="n">
        <x:v>8197979</x:v>
      </x:c>
      <x:c r="C16" s="25" t="n">
        <x:v>543150</x:v>
      </x:c>
      <x:c r="D16" s="28" t="n">
        <x:f>C16/B16</x:f>
        <x:v>0.06625413409817224</x:v>
      </x:c>
      <x:c r="E16" s="25" t="n">
        <x:v>59278</x:v>
      </x:c>
      <x:c r="F16" s="28" t="n">
        <x:f>E16/C16</x:f>
        <x:v>0.10913743901316394</x:v>
      </x:c>
      <x:c r="G16" s="25" t="n">
        <x:v>4587782</x:v>
      </x:c>
      <x:c r="H16" s="25" t="n">
        <x:v>354134</x:v>
      </x:c>
      <x:c r="I16" s="28" t="n">
        <x:f>H16/G16</x:f>
        <x:v>0.07719067732512137</x:v>
      </x:c>
      <x:c r="J16" s="25" t="n">
        <x:v>33458</x:v>
      </x:c>
      <x:c r="K16" s="28" t="n">
        <x:f>J16/H16</x:f>
        <x:v>0.09447836129826563</x:v>
      </x:c>
      <x:c r="M16" t="str">
        <x:v>26-5月</x:v>
      </x:c>
      <x:c r="N16" t="n">
        <x:f>D16</x:f>
        <x:v>0.06625413409817224</x:v>
      </x:c>
      <x:c r="O16" t="n">
        <x:f>I16</x:f>
        <x:v>0.07719067732512137</x:v>
      </x:c>
      <x:c r="Q16" t="str">
        <x:v>26-5月</x:v>
      </x:c>
      <x:c r="R16" t="n">
        <x:f>F16</x:f>
        <x:v>0.10913743901316394</x:v>
      </x:c>
      <x:c r="S16" t="n">
        <x:f>K16</x:f>
        <x:v>0.09447836129826563</x:v>
      </x:c>
    </x:row>
    <x:row r="17" ht="22" customHeight="1">
      <x:c r="A17" s="17" t="str">
        <x:v>115.6</x:v>
      </x:c>
      <x:c r="B17" s="26" t="n">
        <x:v>6406441</x:v>
      </x:c>
      <x:c r="C17" s="26" t="n">
        <x:v>435473</x:v>
      </x:c>
      <x:c r="D17" s="29" t="n">
        <x:f>C17/B17</x:f>
        <x:v>0.06797424654343964</x:v>
      </x:c>
      <x:c r="E17" s="26" t="n">
        <x:v>52896</x:v>
      </x:c>
      <x:c r="F17" s="29" t="n">
        <x:f>E17/C17</x:f>
        <x:v>0.1214679210881042</x:v>
      </x:c>
      <x:c r="G17" s="26" t="n">
        <x:v>3621529</x:v>
      </x:c>
      <x:c r="H17" s="26" t="n">
        <x:v>275391</x:v>
      </x:c>
      <x:c r="I17" s="29" t="n">
        <x:f>H17/G17</x:f>
        <x:v>0.07604274327224772</x:v>
      </x:c>
      <x:c r="J17" s="26" t="n">
        <x:v>28959</x:v>
      </x:c>
      <x:c r="K17" s="29" t="n">
        <x:f>J17/H17</x:f>
        <x:v>0.10515594191531313</x:v>
      </x:c>
      <x:c r="M17" t="str">
        <x:v>26-6月</x:v>
      </x:c>
      <x:c r="N17" t="n">
        <x:f>D17</x:f>
        <x:v>0.06797424654343964</x:v>
      </x:c>
      <x:c r="O17" t="n">
        <x:f>I17</x:f>
        <x:v>0.07604274327224772</x:v>
      </x:c>
      <x:c r="Q17" t="str">
        <x:v>26-6月</x:v>
      </x:c>
      <x:c r="R17" t="n">
        <x:f>F17</x:f>
        <x:v>0.1214679210881042</x:v>
      </x:c>
      <x:c r="S17" t="n">
        <x:f>K17</x:f>
        <x:v>0.10515594191531313</x:v>
      </x:c>
    </x:row>
    <x:row r="18" ht="22" customHeight="1">
      <x:c r="A18" s="19" t="str">
        <x:v>115.7</x:v>
      </x:c>
      <x:c r="B18" s="25" t="n">
        <x:v>7755642</x:v>
      </x:c>
      <x:c r="C18" s="25" t="n">
        <x:v>674111</x:v>
      </x:c>
      <x:c r="D18" s="28" t="n">
        <x:f>C18/B18</x:f>
        <x:v>0.08691878763872804</x:v>
      </x:c>
      <x:c r="E18" s="25" t="n">
        <x:v>184497</x:v>
      </x:c>
      <x:c r="F18" s="28" t="n">
        <x:f>E18/C18</x:f>
        <x:v>0.2736893478967114</x:v>
      </x:c>
      <x:c r="G18" s="25" t="n">
        <x:v>4359122</x:v>
      </x:c>
      <x:c r="H18" s="25" t="n">
        <x:v>358943</x:v>
      </x:c>
      <x:c r="I18" s="28" t="n">
        <x:f>H18/G18</x:f>
        <x:v>0.08234295805439719</x:v>
      </x:c>
      <x:c r="J18" s="25" t="n">
        <x:v>78318</x:v>
      </x:c>
      <x:c r="K18" s="28" t="n">
        <x:f>J18/H18</x:f>
        <x:v>0.2181906319387758</x:v>
      </x:c>
      <x:c r="M18" t="str">
        <x:v>26-7月</x:v>
      </x:c>
      <x:c r="N18" t="n">
        <x:f>D18</x:f>
        <x:v>0.08691878763872804</x:v>
      </x:c>
      <x:c r="O18" t="n">
        <x:f>I18</x:f>
        <x:v>0.08234295805439719</x:v>
      </x:c>
      <x:c r="Q18" t="str">
        <x:v>26-7月</x:v>
      </x:c>
      <x:c r="R18" t="n">
        <x:f>F18</x:f>
        <x:v>0.2736893478967114</x:v>
      </x:c>
      <x:c r="S18" t="n">
        <x:f>K18</x:f>
        <x:v>0.2181906319387758</x:v>
      </x:c>
    </x:row>
    <x:row r="19" ht="22" customHeight="1">
      <x:c r="A19" s="17" t="str">
        <x:v>115.8</x:v>
      </x:c>
      <x:c r="B19" s="26" t="n">
        <x:v>7418322</x:v>
      </x:c>
      <x:c r="C19" s="26" t="n">
        <x:v>710468</x:v>
      </x:c>
      <x:c r="D19" s="29" t="n">
        <x:f>C19/B19</x:f>
        <x:v>0.09577206273871638</x:v>
      </x:c>
      <x:c r="E19" s="26" t="n">
        <x:v>244401</x:v>
      </x:c>
      <x:c r="F19" s="29" t="n">
        <x:f>E19/C19</x:f>
        <x:v>0.3440000112601834</x:v>
      </x:c>
      <x:c r="G19" s="26" t="n">
        <x:v>4290885</x:v>
      </x:c>
      <x:c r="H19" s="26" t="n">
        <x:v>382150</x:v>
      </x:c>
      <x:c r="I19" s="29" t="n">
        <x:f>H19/G19</x:f>
        <x:v>0.08906088137994843</x:v>
      </x:c>
      <x:c r="J19" s="26" t="n">
        <x:v>98016</x:v>
      </x:c>
      <x:c r="K19" s="29" t="n">
        <x:f>J19/H19</x:f>
        <x:v>0.25648567316498755</x:v>
      </x:c>
      <x:c r="M19" t="str">
        <x:v>26-8月</x:v>
      </x:c>
      <x:c r="N19" t="n">
        <x:f>D19</x:f>
        <x:v>0.09577206273871638</x:v>
      </x:c>
      <x:c r="O19" t="n">
        <x:f>I19</x:f>
        <x:v>0.08906088137994843</x:v>
      </x:c>
      <x:c r="Q19" t="str">
        <x:v>26-8月</x:v>
      </x:c>
      <x:c r="R19" t="n">
        <x:f>F19</x:f>
        <x:v>0.3440000112601834</x:v>
      </x:c>
      <x:c r="S19" t="n">
        <x:f>K19</x:f>
        <x:v>0.25648567316498755</x:v>
      </x:c>
    </x:row>
    <x:row r="20" ht="22" customHeight="1">
      <x:c r="A20" s="23" t="str">
        <x:v>115.9*</x:v>
      </x:c>
      <x:c r="B20" s="27" t="n">
        <x:v>7019508</x:v>
      </x:c>
      <x:c r="C20" s="27" t="n">
        <x:v>689697</x:v>
      </x:c>
      <x:c r="D20" s="30" t="n">
        <x:f>C20/B20</x:f>
        <x:v>0.09825432209778805</x:v>
      </x:c>
      <x:c r="E20" s="27" t="n">
        <x:v>242367</x:v>
      </x:c>
      <x:c r="F20" s="30" t="n">
        <x:f>E20/C20</x:f>
        <x:v>0.35141083693274006</x:v>
      </x:c>
      <x:c r="G20" s="27" t="n">
        <x:v>3972968</x:v>
      </x:c>
      <x:c r="H20" s="27" t="n">
        <x:v>361241</x:v>
      </x:c>
      <x:c r="I20" s="30" t="n">
        <x:f>H20/G20</x:f>
        <x:v>0.09092471925270981</x:v>
      </x:c>
      <x:c r="J20" s="27" t="n">
        <x:v>96477</x:v>
      </x:c>
      <x:c r="K20" s="30" t="n">
        <x:f>J20/H20</x:f>
        <x:v>0.26707101353390117</x:v>
      </x:c>
      <x:c r="M20" t="str">
        <x:v>26-9月</x:v>
      </x:c>
      <x:c r="N20" t="n">
        <x:f>D20</x:f>
        <x:v>0.09825432209778805</x:v>
      </x:c>
      <x:c r="O20" t="n">
        <x:f>I20</x:f>
        <x:v>0.09092471925270981</x:v>
      </x:c>
      <x:c r="Q20" t="str">
        <x:v>26-9月</x:v>
      </x:c>
      <x:c r="R20" t="n">
        <x:f>F20</x:f>
        <x:v>0.35141083693274006</x:v>
      </x:c>
      <x:c r="S20" t="n">
        <x:f>K20</x:f>
        <x:v>0.26707101353390117</x:v>
      </x:c>
    </x:row>
    <x:row r="43" ht="22" customHeight="1">
      <x:c r="A43" s="32" t="str">
        <x:v>資料來源與口徑</x:v>
      </x:c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 ht="25" customHeight="1">
      <x:c r="A44" s="35" t="str">
        <x:v>敬老卡次數：Report daily_report_query2E 的「敬老使用次數」，與65歲以上使用者口徑分開。</x:v>
      </x:c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</x:row>
    <x:row r="45" ht="25" customHeight="1">
      <x:c r="A45" s="35" t="str">
        <x:v>總用量與2.0E租借次數：Report月報及日報；2026-09統計至9/28。</x:v>
      </x:c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</x:row>
    <x:row r="46" ht="25" customHeight="1">
      <x:c r="A46" s="35" t="str">
        <x:v>Report：https://report.youbike.com.tw｜API：https://youbike-report-api-421613424541.asia-east1.run.app/report/gcpfun</x:v>
      </x:c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</x:row>
  </x:sheetData>
  <x:mergeCells>
    <x:mergeCell ref="A1:K1"/>
    <x:mergeCell ref="A2:K2"/>
    <x:mergeCell ref="A4:F4"/>
    <x:mergeCell ref="G4:K4"/>
    <x:mergeCell ref="A43:K43"/>
    <x:mergeCell ref="A44:K44"/>
    <x:mergeCell ref="A45:K45"/>
    <x:mergeCell ref="A46:K46"/>
  </x:mergeCells>
  <x:pageMargins left="0.7" right="0.7" top="0.75" bottom="0.75" header="0.3" footer="0.3"/>
  <x:drawing xmlns:r="http://schemas.openxmlformats.org/officeDocument/2006/relationships" r:id="Rebc11987b4a9419d"/>
</x:worksheet>
</file>