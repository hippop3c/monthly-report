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72c5ae060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報總覽" sheetId="1" r:id="Rc4a5801021914d78"/>
    <x:sheet xmlns:r="http://schemas.openxmlformats.org/officeDocument/2006/relationships" name="期間數據" sheetId="2" r:id="Rc4181b10b74544ef"/>
    <x:sheet xmlns:r="http://schemas.openxmlformats.org/officeDocument/2006/relationships" name="逐日數據" sheetId="3" r:id="R9abc0bc3c67243cc"/>
    <x:sheet xmlns:r="http://schemas.openxmlformats.org/officeDocument/2006/relationships" name="逐時數據" sheetId="4" r:id="R486d6b0db5ad4a26"/>
    <x:sheet xmlns:r="http://schemas.openxmlformats.org/officeDocument/2006/relationships" name="場站期間彙總" sheetId="5" r:id="Ra36978d25c3a4805"/>
    <x:sheet xmlns:r="http://schemas.openxmlformats.org/officeDocument/2006/relationships" name="ZZB路線彙總" sheetId="6" r:id="R99b511c669e54866"/>
    <x:sheet xmlns:r="http://schemas.openxmlformats.org/officeDocument/2006/relationships" name="ZZB配對明細" sheetId="7" r:id="Rda1ebbaa94f5456f"/>
    <x:sheet xmlns:r="http://schemas.openxmlformats.org/officeDocument/2006/relationships" name="ZZB原始調度" sheetId="8" r:id="Rc9868b0f85474e82"/>
    <x:sheet xmlns:r="http://schemas.openxmlformats.org/officeDocument/2006/relationships" name="資料口徑" sheetId="9" r:id="R33fbb5ddbd4a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#,##0.0"/>
    <x:numFmt numFmtId="203" formatCode="0.000000"/>
  </x:numFmts>
  <x:fonts count="7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b/>
      <x:sz val="10"/>
      <x:color rgb="FF202124"/>
      <x:name val="Arial"/>
    </x:font>
    <x:font>
      <x:sz val="9"/>
      <x:color rgb="FF5F6B76"/>
      <x:name val="Arial"/>
    </x:font>
    <x:font>
      <x:b/>
      <x:sz val="10"/>
      <x:color rgb="FF17212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D6777"/>
      </x:patternFill>
    </x:fill>
    <x:fill>
      <x:patternFill patternType="solid">
        <x:fgColor rgb="FF1F4E78"/>
      </x:patternFill>
    </x:fill>
    <x:fill>
      <x:patternFill patternType="solid">
        <x:fgColor rgb="FF202124"/>
      </x:patternFill>
    </x:fill>
    <x:fill>
      <x:patternFill patternType="solid">
        <x:fgColor rgb="FFFFDF00"/>
      </x:patternFill>
    </x:fill>
    <x:fill>
      <x:patternFill patternType="solid">
        <x:fgColor rgb="FFFFF7C2"/>
      </x:patternFill>
    </x:fill>
  </x:fills>
  <x:borders count="2">
    <x:border/>
    <x:border>
      <x:left style="thin">
        <x:color rgb="FFC8D1DA"/>
      </x:left>
      <x:right style="thin">
        <x:color rgb="FFC8D1DA"/>
      </x:right>
      <x:top style="thin">
        <x:color rgb="FFC8D1DA"/>
      </x:top>
      <x:bottom style="thin">
        <x:color rgb="FFC8D1DA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1" fontId="3" fillId="6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/>
    </x:xf>
    <x:xf numFmtId="200" fontId="3" fillId="6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B42318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color rgb="FFB42318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color rgb="FFB42318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8d0dbc756412b" /><Relationship Type="http://schemas.openxmlformats.org/officeDocument/2006/relationships/theme" Target="/xl/theme/theme1.xml" Id="R2ae6fba2a38444c7" /><Relationship Type="http://schemas.openxmlformats.org/officeDocument/2006/relationships/sharedStrings" Target="/xl/sharedStrings.xml" Id="Ra3d9d0c087364a1a" /><Relationship Type="http://schemas.openxmlformats.org/officeDocument/2006/relationships/worksheet" Target="/xl/worksheets/sheet1.xml" Id="Rc4a5801021914d78" /><Relationship Type="http://schemas.openxmlformats.org/officeDocument/2006/relationships/worksheet" Target="/xl/worksheets/sheet2.xml" Id="Rc4181b10b74544ef" /><Relationship Type="http://schemas.openxmlformats.org/officeDocument/2006/relationships/worksheet" Target="/xl/worksheets/sheet3.xml" Id="R9abc0bc3c67243cc" /><Relationship Type="http://schemas.openxmlformats.org/officeDocument/2006/relationships/worksheet" Target="/xl/worksheets/sheet4.xml" Id="R486d6b0db5ad4a26" /><Relationship Type="http://schemas.openxmlformats.org/officeDocument/2006/relationships/worksheet" Target="/xl/worksheets/sheet5.xml" Id="Ra36978d25c3a4805" /><Relationship Type="http://schemas.openxmlformats.org/officeDocument/2006/relationships/worksheet" Target="/xl/worksheets/sheet6.xml" Id="R99b511c669e54866" /><Relationship Type="http://schemas.openxmlformats.org/officeDocument/2006/relationships/worksheet" Target="/xl/worksheets/sheet7.xml" Id="Rda1ebbaa94f5456f" /><Relationship Type="http://schemas.openxmlformats.org/officeDocument/2006/relationships/worksheet" Target="/xl/worksheets/sheet8.xml" Id="Rc9868b0f85474e82" /><Relationship Type="http://schemas.openxmlformats.org/officeDocument/2006/relationships/worksheet" Target="/xl/worksheets/sheet9.xml" Id="R33fbb5ddbd4a4042" /></Relationships>
</file>

<file path=xl/tables/table1.xml><?xml version="1.0" encoding="utf-8"?>
<x:table xmlns:x="http://schemas.openxmlformats.org/spreadsheetml/2006/main" id="1" name="DailyMetrics" displayName="DailyMetrics" ref="A2:R36" headerRowCount="1" totalsRowCount="0" totalsRowShown="0">
  <x:tableColumns count="18">
    <x:tableColumn id="1" name="日期"/>
    <x:tableColumn id="2" name="星期"/>
    <x:tableColumn id="3" name="資料狀態"/>
    <x:tableColumn id="4" name="場站數"/>
    <x:tableColumn id="5" name="2.0用量"/>
    <x:tableColumn id="6" name="2.0E用量"/>
    <x:tableColumn id="7" name="用量合計"/>
    <x:tableColumn id="8" name="2.0還量"/>
    <x:tableColumn id="9" name="2.0E還量"/>
    <x:tableColumn id="10" name="還量合計"/>
    <x:tableColumn id="11" name="6–24用量"/>
    <x:tableColumn id="12" name="7–9用量"/>
    <x:tableColumn id="13" name="11–13用量"/>
    <x:tableColumn id="14" name="16–20用量"/>
    <x:tableColumn id="15" name="21–00用量"/>
    <x:tableColumn id="16" name="6–24見車率"/>
    <x:tableColumn id="17" name="7–9見車率"/>
    <x:tableColumn id="18" name="7–9見位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urlyMetrics" displayName="HourlyMetrics" ref="A2:L1034" headerRowCount="1" totalsRowCount="0" totalsRowShown="0">
  <x:tableColumns count="12">
    <x:tableColumn id="1" name="期間"/>
    <x:tableColumn id="2" name="日期"/>
    <x:tableColumn id="3" name="小時"/>
    <x:tableColumn id="4" name="2.0用量"/>
    <x:tableColumn id="5" name="2.0E用量"/>
    <x:tableColumn id="6" name="用量合計"/>
    <x:tableColumn id="7" name="2.0還量"/>
    <x:tableColumn id="8" name="2.0E還量"/>
    <x:tableColumn id="9" name="還量合計"/>
    <x:tableColumn id="10" name="淨流量（還-借）"/>
    <x:tableColumn id="11" name="佔當日用量"/>
    <x:tableColumn id="12" name="時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ionRollup" displayName="StationRollup" ref="A2:K197" headerRowCount="1" totalsRowCount="0" totalsRowShown="0">
  <x:tableColumns count="11">
    <x:tableColumn id="1" name="期間"/>
    <x:tableColumn id="2" name="場站代碼"/>
    <x:tableColumn id="3" name="場站名稱"/>
    <x:tableColumn id="4" name="有效日數"/>
    <x:tableColumn id="5" name="日均用量"/>
    <x:tableColumn id="6" name="日均還量"/>
    <x:tableColumn id="7" name="6–24見車率"/>
    <x:tableColumn id="8" name="7–9見車率"/>
    <x:tableColumn id="9" name="11–13見車率"/>
    <x:tableColumn id="10" name="16–20見車率"/>
    <x:tableColumn id="11" name="7–9見位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ZzbRoutes" displayName="ZzbRoutes" ref="A2:V280" headerRowCount="1" totalsRowCount="0" totalsRowShown="0">
  <x:tableColumns count="22">
    <x:tableColumn id="1" name="日期"/>
    <x:tableColumn id="2" name="調出小時"/>
    <x:tableColumn id="3" name="時段"/>
    <x:tableColumn id="4" name="調出站代碼"/>
    <x:tableColumn id="5" name="調出站名稱"/>
    <x:tableColumn id="6" name="調入站代碼"/>
    <x:tableColumn id="7" name="調入站名稱"/>
    <x:tableColumn id="8" name="線型"/>
    <x:tableColumn id="9" name="車輛數"/>
    <x:tableColumn id="10" name="車號"/>
    <x:tableColumn id="11" name="調度數量"/>
    <x:tableColumn id="12" name="2.0"/>
    <x:tableColumn id="13" name="2.0E"/>
    <x:tableColumn id="14" name="路線段數"/>
    <x:tableColumn id="15" name="調出緯度"/>
    <x:tableColumn id="16" name="調出經度"/>
    <x:tableColumn id="17" name="調入緯度"/>
    <x:tableColumn id="18" name="調入經度"/>
    <x:tableColumn id="19" name="兩端500119"/>
    <x:tableColumn id="20" name="虛線理由"/>
    <x:tableColumn id="21" name="調出行政區"/>
    <x:tableColumn id="22" name="調入行政區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ZzbSegments" displayName="ZzbSegments" ref="A2:P391" headerRowCount="1" totalsRowCount="0" totalsRowShown="0">
  <x:tableColumns count="16">
    <x:tableColumn id="1" name="日期"/>
    <x:tableColumn id="2" name="車號"/>
    <x:tableColumn id="3" name="車種"/>
    <x:tableColumn id="4" name="配對數量"/>
    <x:tableColumn id="5" name="調出時間"/>
    <x:tableColumn id="6" name="調入時間"/>
    <x:tableColumn id="7" name="調出小時"/>
    <x:tableColumn id="8" name="時段"/>
    <x:tableColumn id="9" name="調出站代碼"/>
    <x:tableColumn id="10" name="調出站名稱"/>
    <x:tableColumn id="11" name="調入站代碼"/>
    <x:tableColumn id="12" name="調入站名稱"/>
    <x:tableColumn id="13" name="線型"/>
    <x:tableColumn id="14" name="調出行政區"/>
    <x:tableColumn id="15" name="調入行政區"/>
    <x:tableColumn id="16" name="備註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ZzbEvents" displayName="ZzbEvents" ref="A2:L718" headerRowCount="1" totalsRowCount="0" totalsRowShown="0">
  <x:tableColumns count="12">
    <x:tableColumn id="1" name="日期"/>
    <x:tableColumn id="2" name="時間"/>
    <x:tableColumn id="3" name="小時"/>
    <x:tableColumn id="4" name="時段"/>
    <x:tableColumn id="5" name="車號"/>
    <x:tableColumn id="6" name="工作狀態"/>
    <x:tableColumn id="7" name="車種"/>
    <x:tableColumn id="8" name="數量"/>
    <x:tableColumn id="9" name="城市"/>
    <x:tableColumn id="10" name="場站代碼"/>
    <x:tableColumn id="11" name="場站名稱"/>
    <x:tableColumn id="12" name="資料範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0f36759cb2345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7f577231ad544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de51f2b19ca4f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f4e1df11751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f5c1b0c4db441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907949ef1e44d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17" t="str">
        <x:v>臺大公館校區 8–9月營運指標比較</x:v>
      </x:c>
      <x:c r="B1" s="17" t="str">
        <x:v>臺大公館校區 8–9月營運指標比較</x:v>
      </x:c>
      <x:c r="C1" s="17" t="str">
        <x:v>臺大公館校區 8–9月營運指標比較</x:v>
      </x:c>
      <x:c r="D1" s="17" t="str">
        <x:v>臺大公館校區 8–9月營運指標比較</x:v>
      </x:c>
      <x:c r="E1" s="17" t="str">
        <x:v>臺大公館校區 8–9月營運指標比較</x:v>
      </x:c>
      <x:c r="F1" s="17" t="str">
        <x:v>臺大公館校區 8–9月營運指標比較</x:v>
      </x:c>
      <x:c r="G1" s="17" t="str">
        <x:v>臺大公館校區 8–9月營運指標比較</x:v>
      </x:c>
      <x:c r="H1" s="17" t="str">
        <x:v>臺大公館校區 8–9月營運指標比較</x:v>
      </x:c>
      <x:c r="I1" s="17" t="str">
        <x:v>臺大公館校區 8–9月營運指標比較</x:v>
      </x:c>
    </x:row>
    <x:row r="2" ht="34" customHeight="1">
      <x:c r="A2" s="23" t="str">
        <x:v>指標</x:v>
      </x:c>
      <x:c r="B2" s="23" t="str">
        <x:v>5月平日</x:v>
      </x:c>
      <x:c r="C2" s="23" t="str">
        <x:v>8月平日</x:v>
      </x:c>
      <x:c r="D2" s="23" t="str">
        <x:v>與5月差異</x:v>
      </x:c>
      <x:c r="E2" s="23" t="str">
        <x:v>9/1–9/17★</x:v>
      </x:c>
      <x:c r="F2" s="23" t="str">
        <x:v>與5月差異</x:v>
      </x:c>
      <x:c r="G2" s="23" t="str">
        <x:v>9/7–9/17★</x:v>
      </x:c>
      <x:c r="H2" s="23" t="str">
        <x:v>與5月差異</x:v>
      </x:c>
      <x:c r="I2" s="23" t="str">
        <x:v>9/17單日</x:v>
      </x:c>
    </x:row>
    <x:row r="3" ht="26" customHeight="1">
      <x:c r="A3" s="12" t="str">
        <x:v>日均用量</x:v>
      </x:c>
      <x:c r="B3" s="13" t="n">
        <x:f>'期間數據'!B3</x:f>
        <x:v>15681</x:v>
      </x:c>
      <x:c r="C3" s="13" t="n">
        <x:f>'期間數據'!C3</x:f>
        <x:v>9906</x:v>
      </x:c>
      <x:c r="D3" s="30" t="n">
        <x:f>IFERROR(C3/B3-1,"")</x:f>
        <x:v>-0.36828008417830493</x:v>
      </x:c>
      <x:c r="E3" s="13" t="n">
        <x:f>'期間數據'!D3</x:f>
        <x:v>16579</x:v>
      </x:c>
      <x:c r="F3" s="30" t="n">
        <x:f>IFERROR(E3/B3-1,"")</x:f>
        <x:v>0.057266755946687065</x:v>
      </x:c>
      <x:c r="G3" s="13" t="n">
        <x:f>'期間數據'!E3</x:f>
        <x:v>20597</x:v>
      </x:c>
      <x:c r="H3" s="30" t="n">
        <x:f>IFERROR(G3/B3-1,"")</x:f>
        <x:v>0.3135004145143805</x:v>
      </x:c>
      <x:c r="I3" s="13" t="n">
        <x:f>IF(ISBLANK('期間數據'!F3),"",'期間數據'!F3)</x:f>
        <x:v>21201</x:v>
      </x:c>
    </x:row>
    <x:row r="4" ht="26" customHeight="1">
      <x:c r="A4" s="12" t="str">
        <x:v>日均還量</x:v>
      </x:c>
      <x:c r="B4" s="13" t="n">
        <x:f>'期間數據'!B4</x:f>
        <x:v>15384</x:v>
      </x:c>
      <x:c r="C4" s="13" t="n">
        <x:f>'期間數據'!C4</x:f>
        <x:v>9673</x:v>
      </x:c>
      <x:c r="D4" s="30" t="n">
        <x:f>IFERROR(C4/B4-1,"")</x:f>
        <x:v>-0.37122984919396773</x:v>
      </x:c>
      <x:c r="E4" s="13" t="n">
        <x:f>'期間數據'!D4</x:f>
        <x:v>16260</x:v>
      </x:c>
      <x:c r="F4" s="30" t="n">
        <x:f>IFERROR(E4/B4-1,"")</x:f>
        <x:v>0.05694227769110771</x:v>
      </x:c>
      <x:c r="G4" s="13" t="n">
        <x:f>'期間數據'!E4</x:f>
        <x:v>20182</x:v>
      </x:c>
      <x:c r="H4" s="30" t="n">
        <x:f>IFERROR(G4/B4-1,"")</x:f>
        <x:v>0.3118824752990119</x:v>
      </x:c>
      <x:c r="I4" s="13" t="n">
        <x:f>IF(ISBLANK('期間數據'!F4),"",'期間數據'!F4)</x:f>
        <x:v>20778</x:v>
      </x:c>
    </x:row>
    <x:row r="5" ht="26" customHeight="1">
      <x:c r="A5" s="12" t="str">
        <x:v>6–24時見車率</x:v>
      </x:c>
      <x:c r="B5" s="14" t="n">
        <x:f>'期間數據'!B5</x:f>
        <x:v>0.866</x:v>
      </x:c>
      <x:c r="C5" s="14" t="n">
        <x:f>'期間數據'!C5</x:f>
        <x:v>0.9036189141018953</x:v>
      </x:c>
      <x:c r="D5" s="30" t="n">
        <x:f>IFERROR(C5/B5-1,"")</x:f>
        <x:v>0.04343985462112632</x:v>
      </x:c>
      <x:c r="E5" s="14" t="n">
        <x:f>'期間數據'!D5</x:f>
        <x:v>0.8405905785667324</x:v>
      </x:c>
      <x:c r="F5" s="30" t="n">
        <x:f>IFERROR(E5/B5-1,"")</x:f>
        <x:v>-0.029341133294766286</x:v>
      </x:c>
      <x:c r="G5" s="14" t="n">
        <x:f>'期間數據'!E5</x:f>
        <x:v>0.809311339031339</x:v>
      </x:c>
      <x:c r="H5" s="30" t="n">
        <x:f>IFERROR(G5/B5-1,"")</x:f>
        <x:v>-0.06546034753886953</x:v>
      </x:c>
      <x:c r="I5" s="14" t="n">
        <x:f>IF(ISBLANK('期間數據'!F5),"",'期間數據'!F5)</x:f>
        <x:v>0.8012536752136752</x:v>
      </x:c>
    </x:row>
    <x:row r="6" ht="26" customHeight="1">
      <x:c r="A6" s="12" t="str">
        <x:v>6–24時用量</x:v>
      </x:c>
      <x:c r="B6" s="13" t="n">
        <x:f>'期間數據'!B6</x:f>
        <x:v>15459</x:v>
      </x:c>
      <x:c r="C6" s="13" t="n">
        <x:f>'期間數據'!C6</x:f>
        <x:v>9722</x:v>
      </x:c>
      <x:c r="D6" s="30" t="n">
        <x:f>IFERROR(C6/B6-1,"")</x:f>
        <x:v>-0.37111067986286306</x:v>
      </x:c>
      <x:c r="E6" s="13" t="n">
        <x:f>'期間數據'!D6</x:f>
        <x:v>16397</x:v>
      </x:c>
      <x:c r="F6" s="30" t="n">
        <x:f>IFERROR(E6/B6-1,"")</x:f>
        <x:v>0.060676628501196817</x:v>
      </x:c>
      <x:c r="G6" s="13" t="n">
        <x:f>'期間數據'!E6</x:f>
        <x:v>20413</x:v>
      </x:c>
      <x:c r="H6" s="30" t="n">
        <x:f>IFERROR(G6/B6-1,"")</x:f>
        <x:v>0.3204605731289216</x:v>
      </x:c>
      <x:c r="I6" s="13" t="n">
        <x:f>IF(ISBLANK('期間數據'!F6),"",'期間數據'!F6)</x:f>
        <x:v>20933</x:v>
      </x:c>
    </x:row>
    <x:row r="7" ht="26" customHeight="1">
      <x:c r="A7" s="12" t="str">
        <x:v>7–9時見車率</x:v>
      </x:c>
      <x:c r="B7" s="14" t="n">
        <x:f>'期間數據'!B7</x:f>
        <x:v>0.915</x:v>
      </x:c>
      <x:c r="C7" s="14" t="n">
        <x:f>'期間數據'!C7</x:f>
        <x:v>0.9314118153364632</x:v>
      </x:c>
      <x:c r="D7" s="30" t="n">
        <x:f>IFERROR(C7/B7-1,"")</x:f>
        <x:v>0.01793641020378489</x:v>
      </x:c>
      <x:c r="E7" s="14" t="n">
        <x:f>'期間數據'!D7</x:f>
        <x:v>0.8932542800788955</x:v>
      </x:c>
      <x:c r="F7" s="30" t="n">
        <x:f>IFERROR(E7/B7-1,"")</x:f>
        <x:v>-0.023765814121425755</x:v>
      </x:c>
      <x:c r="G7" s="14" t="n">
        <x:f>'期間數據'!E7</x:f>
        <x:v>0.8699617094017094</x:v>
      </x:c>
      <x:c r="H7" s="30" t="n">
        <x:f>IFERROR(G7/B7-1,"")</x:f>
        <x:v>-0.049222175517257605</x:v>
      </x:c>
      <x:c r="I7" s="14" t="n">
        <x:f>IF(ISBLANK('期間數據'!F7),"",'期間數據'!F7)</x:f>
        <x:v>0.87846</x:v>
      </x:c>
    </x:row>
    <x:row r="8" ht="26" customHeight="1">
      <x:c r="A8" s="12" t="str">
        <x:v>7–9時用量</x:v>
      </x:c>
      <x:c r="B8" s="13" t="n">
        <x:f>'期間數據'!B8</x:f>
        <x:v>1013</x:v>
      </x:c>
      <x:c r="C8" s="13" t="n">
        <x:f>'期間數據'!C8</x:f>
        <x:v>1485</x:v>
      </x:c>
      <x:c r="D8" s="30" t="n">
        <x:f>IFERROR(C8/B8-1,"")</x:f>
        <x:v>0.4659427443237907</x:v>
      </x:c>
      <x:c r="E8" s="13" t="n">
        <x:f>'期間數據'!D8</x:f>
        <x:v>2107</x:v>
      </x:c>
      <x:c r="F8" s="30" t="n">
        <x:f>IFERROR(E8/B8-1,"")</x:f>
        <x:v>1.079960513326752</x:v>
      </x:c>
      <x:c r="G8" s="13" t="n">
        <x:f>'期間數據'!E8</x:f>
        <x:v>2531</x:v>
      </x:c>
      <x:c r="H8" s="30" t="n">
        <x:f>IFERROR(G8/B8-1,"")</x:f>
        <x:v>1.4985192497532083</x:v>
      </x:c>
      <x:c r="I8" s="13" t="n">
        <x:f>IF(ISBLANK('期間數據'!F8),"",'期間數據'!F8)</x:f>
        <x:v>2482</x:v>
      </x:c>
    </x:row>
    <x:row r="9" ht="26" customHeight="1">
      <x:c r="A9" s="12" t="str">
        <x:v>11–13時見車率</x:v>
      </x:c>
      <x:c r="B9" s="14" t="n">
        <x:f>'期間數據'!B9</x:f>
        <x:v>0.9</x:v>
      </x:c>
      <x:c r="C9" s="14" t="n">
        <x:f>'期間數據'!C9</x:f>
        <x:v>0.9267301251956183</x:v>
      </x:c>
      <x:c r="D9" s="30" t="n">
        <x:f>IFERROR(C9/B9-1,"")</x:f>
        <x:v>0.029700139106242585</x:v>
      </x:c>
      <x:c r="E9" s="14" t="n">
        <x:f>'期間數據'!D9</x:f>
        <x:v>0.9146213806706115</x:v>
      </x:c>
      <x:c r="F9" s="30" t="n">
        <x:f>IFERROR(E9/B9-1,"")</x:f>
        <x:v>0.01624597852290166</x:v>
      </x:c>
      <x:c r="G9" s="14" t="n">
        <x:f>'期間數據'!E9</x:f>
        <x:v>0.9065137321937322</x:v>
      </x:c>
      <x:c r="H9" s="30" t="n">
        <x:f>IFERROR(G9/B9-1,"")</x:f>
        <x:v>0.007237480215257941</x:v>
      </x:c>
      <x:c r="I9" s="14" t="n">
        <x:f>IF(ISBLANK('期間數據'!F9),"",'期間數據'!F9)</x:f>
        <x:v>0.8985466666666667</x:v>
      </x:c>
    </x:row>
    <x:row r="10" ht="26" customHeight="1">
      <x:c r="A10" s="12" t="str">
        <x:v>11–13時用量</x:v>
      </x:c>
      <x:c r="B10" s="13" t="n">
        <x:f>'期間數據'!B10</x:f>
        <x:v>2656</x:v>
      </x:c>
      <x:c r="C10" s="13" t="n">
        <x:f>'期間數據'!C10</x:f>
        <x:v>2289</x:v>
      </x:c>
      <x:c r="D10" s="30" t="n">
        <x:f>IFERROR(C10/B10-1,"")</x:f>
        <x:v>-0.1381777108433735</x:v>
      </x:c>
      <x:c r="E10" s="13" t="n">
        <x:f>'期間數據'!D10</x:f>
        <x:v>4481</x:v>
      </x:c>
      <x:c r="F10" s="30" t="n">
        <x:f>IFERROR(E10/B10-1,"")</x:f>
        <x:v>0.6871234939759037</x:v>
      </x:c>
      <x:c r="G10" s="13" t="n">
        <x:f>'期間數據'!E10</x:f>
        <x:v>5572</x:v>
      </x:c>
      <x:c r="H10" s="30" t="n">
        <x:f>IFERROR(G10/B10-1,"")</x:f>
        <x:v>1.0978915662650603</x:v>
      </x:c>
      <x:c r="I10" s="13" t="n">
        <x:f>IF(ISBLANK('期間數據'!F10),"",'期間數據'!F10)</x:f>
        <x:v>5465</x:v>
      </x:c>
    </x:row>
    <x:row r="11" ht="26" customHeight="1">
      <x:c r="A11" s="12" t="str">
        <x:v>16–20時見車率</x:v>
      </x:c>
      <x:c r="B11" s="14" t="n">
        <x:f>'期間數據'!B11</x:f>
        <x:v>0.845</x:v>
      </x:c>
      <x:c r="C11" s="14" t="n">
        <x:f>'期間數據'!C11</x:f>
        <x:v>0.9021752738654146</x:v>
      </x:c>
      <x:c r="D11" s="30" t="n">
        <x:f>IFERROR(C11/B11-1,"")</x:f>
        <x:v>0.06766304599457351</x:v>
      </x:c>
      <x:c r="E11" s="14" t="n">
        <x:f>'期間數據'!D11</x:f>
        <x:v>0.8320276213017751</x:v>
      </x:c>
      <x:c r="F11" s="30" t="n">
        <x:f>IFERROR(E11/B11-1,"")</x:f>
        <x:v>-0.015351927453520542</x:v>
      </x:c>
      <x:c r="G11" s="14" t="n">
        <x:f>'期間數據'!E11</x:f>
        <x:v>0.7971337094017094</x:v>
      </x:c>
      <x:c r="H11" s="30" t="n">
        <x:f>IFERROR(G11/B11-1,"")</x:f>
        <x:v>-0.056646497749456404</x:v>
      </x:c>
      <x:c r="I11" s="14" t="n">
        <x:f>IF(ISBLANK('期間數據'!F11),"",'期間數據'!F11)</x:f>
        <x:v>0.7998975384615384</x:v>
      </x:c>
    </x:row>
    <x:row r="12" ht="26" customHeight="1">
      <x:c r="A12" s="12" t="str">
        <x:v>16–20時用量</x:v>
      </x:c>
      <x:c r="B12" s="13" t="n">
        <x:f>'期間數據'!B12</x:f>
        <x:v>4948</x:v>
      </x:c>
      <x:c r="C12" s="13" t="n">
        <x:f>'期間數據'!C12</x:f>
        <x:v>3490</x:v>
      </x:c>
      <x:c r="D12" s="30" t="n">
        <x:f>IFERROR(C12/B12-1,"")</x:f>
        <x:v>-0.29466451091350043</x:v>
      </x:c>
      <x:c r="E12" s="13" t="n">
        <x:f>'期間數據'!D12</x:f>
        <x:v>5125</x:v>
      </x:c>
      <x:c r="F12" s="30" t="n">
        <x:f>IFERROR(E12/B12-1,"")</x:f>
        <x:v>0.035772029102667746</x:v>
      </x:c>
      <x:c r="G12" s="13" t="n">
        <x:f>'期間數據'!E12</x:f>
        <x:v>6444</x:v>
      </x:c>
      <x:c r="H12" s="30" t="n">
        <x:f>IFERROR(G12/B12-1,"")</x:f>
        <x:v>0.30234438156831045</x:v>
      </x:c>
      <x:c r="I12" s="13" t="n">
        <x:f>IF(ISBLANK('期間數據'!F12),"",'期間數據'!F12)</x:f>
        <x:v>7392</x:v>
      </x:c>
    </x:row>
    <x:row r="13" ht="26" customHeight="1">
      <x:c r="A13" s="12" t="str">
        <x:v>21–00時見車率</x:v>
      </x:c>
      <x:c r="B13" s="14" t="n">
        <x:f>'期間數據'!B13</x:f>
        <x:v>0.677916528</x:v>
      </x:c>
      <x:c r="C13" s="14" t="n">
        <x:f>'期間數據'!C13</x:f>
        <x:v>0.804842905581638</x:v>
      </x:c>
      <x:c r="D13" s="30" t="n">
        <x:f>IFERROR(C13/B13-1,"")</x:f>
        <x:v>0.18723009742231556</x:v>
      </x:c>
      <x:c r="E13" s="14" t="n">
        <x:f>'期間數據'!D13</x:f>
        <x:v>0.6175740828402367</x:v>
      </x:c>
      <x:c r="F13" s="30" t="n">
        <x:f>IFERROR(E13/B13-1,"")</x:f>
        <x:v>-0.08901161524677159</x:v>
      </x:c>
      <x:c r="G13" s="14" t="n">
        <x:f>'期間數據'!E13</x:f>
        <x:v>0.5378823931623932</x:v>
      </x:c>
      <x:c r="H13" s="30" t="n">
        <x:f>IFERROR(G13/B13-1,"")</x:f>
        <x:v>-0.20656545319928654</x:v>
      </x:c>
      <x:c r="I13" s="14" t="n">
        <x:f>IF(ISBLANK('期間數據'!F13),"",'期間數據'!F13)</x:f>
        <x:v>0.4954728205128205</x:v>
      </x:c>
    </x:row>
    <x:row r="14" ht="26" customHeight="1">
      <x:c r="A14" s="12" t="str">
        <x:v>21–00時用量</x:v>
      </x:c>
      <x:c r="B14" s="13" t="n">
        <x:f>'期間數據'!B14</x:f>
        <x:v>869</x:v>
      </x:c>
      <x:c r="C14" s="13" t="n">
        <x:f>'期間數據'!C14</x:f>
        <x:v>624</x:v>
      </x:c>
      <x:c r="D14" s="30" t="n">
        <x:f>IFERROR(C14/B14-1,"")</x:f>
        <x:v>-0.2819332566168009</x:v>
      </x:c>
      <x:c r="E14" s="13" t="n">
        <x:f>'期間數據'!D14</x:f>
        <x:v>664</x:v>
      </x:c>
      <x:c r="F14" s="30" t="n">
        <x:f>IFERROR(E14/B14-1,"")</x:f>
        <x:v>-0.2359033371691599</x:v>
      </x:c>
      <x:c r="G14" s="13" t="n">
        <x:f>'期間數據'!E14</x:f>
        <x:v>725</x:v>
      </x:c>
      <x:c r="H14" s="30" t="n">
        <x:f>IFERROR(G14/B14-1,"")</x:f>
        <x:v>-0.16570771001150753</x:v>
      </x:c>
      <x:c r="I14" s="13" t="n">
        <x:f>IF(ISBLANK('期間數據'!F14),"",'期間數據'!F14)</x:f>
        <x:v>839</x:v>
      </x:c>
    </x:row>
    <x:row r="15" ht="26" customHeight="1">
      <x:c r="A15" s="12" t="str">
        <x:v>7–9見位率</x:v>
      </x:c>
      <x:c r="B15" s="14" t="n">
        <x:f>'期間數據'!B15</x:f>
        <x:v>0.965</x:v>
      </x:c>
      <x:c r="C15" s="14" t="n">
        <x:f>'期間數據'!C15</x:f>
        <x:v>0.9657408450704226</x:v>
      </x:c>
      <x:c r="D15" s="30" t="n">
        <x:f>IFERROR(C15/B15-1,"")</x:f>
        <x:v>0.0007677150988836257</x:v>
      </x:c>
      <x:c r="E15" s="14" t="n">
        <x:f>'期間數據'!D15</x:f>
        <x:v>0.9564693885601578</x:v>
      </x:c>
      <x:c r="F15" s="30" t="n">
        <x:f>IFERROR(E15/B15-1,"")</x:f>
        <x:v>-0.00884001185475869</x:v>
      </x:c>
      <x:c r="G15" s="14" t="n">
        <x:f>'期間數據'!E15</x:f>
        <x:v>0.9450997150997151</x:v>
      </x:c>
      <x:c r="H15" s="30" t="n">
        <x:f>IFERROR(G15/B15-1,"")</x:f>
        <x:v>-0.020622056891486884</x:v>
      </x:c>
      <x:c r="I15" s="14" t="n">
        <x:f>IF(ISBLANK('期間數據'!F15),"",'期間數據'!F15)</x:f>
        <x:v>0.9552989743589744</x:v>
      </x:c>
    </x:row>
    <x:row r="17" ht="24" customHeight="1">
      <x:c r="A17" s="32" t="str">
        <x:v>★ 主表採完整平日：9/1–9/17 共 13 日；9/7–9/17 共 9 日；9/17 單日值另列最右欄。</x:v>
      </x:c>
      <x:c r="B17" s="32"/>
      <x:c r="C17" s="32"/>
      <x:c r="D17" s="32"/>
      <x:c r="E17" s="32"/>
      <x:c r="F17" s="32"/>
      <x:c r="G17" s="32"/>
      <x:c r="H17" s="32"/>
      <x:c r="I17" s="32"/>
    </x:row>
    <x:row r="18" ht="24" customHeight="1">
      <x:c r="A18" s="32" t="str">
        <x:v>※ 資料期間截至 2026-09-17 23:59；Report 完整時段至 23:59。</x:v>
      </x:c>
      <x:c r="B18" s="32"/>
      <x:c r="C18" s="32"/>
      <x:c r="D18" s="32"/>
      <x:c r="E18" s="32"/>
      <x:c r="F18" s="32"/>
      <x:c r="G18" s="32"/>
      <x:c r="H18" s="32"/>
      <x:c r="I18" s="32"/>
    </x:row>
    <x:row r="19" ht="24" customHeight="1">
      <x:c r="A19" s="32" t="str">
        <x:v>※ 臺大範圍依場站代碼 500119* 動態聯集；用量與還量均合併 YouBike 2.0＋2.0E。</x:v>
      </x:c>
      <x:c r="B19" s="32"/>
      <x:c r="C19" s="32"/>
      <x:c r="D19" s="32"/>
      <x:c r="E19" s="32"/>
      <x:c r="F19" s="32"/>
      <x:c r="G19" s="32"/>
      <x:c r="H19" s="32"/>
      <x:c r="I19" s="32"/>
    </x:row>
    <x:row r="20" ht="24" customHeight="1">
      <x:c r="A20" s="32" t="str">
        <x:v>※ 時段口徑：6–24=06–23；7–9=07、08、09；11–13=11、12、13；16–20=16–20；21–00=21–23。</x:v>
      </x:c>
      <x:c r="B20" s="32"/>
      <x:c r="C20" s="32"/>
      <x:c r="D20" s="32"/>
      <x:c r="E20" s="32"/>
      <x:c r="F20" s="32"/>
      <x:c r="G20" s="32"/>
      <x:c r="H20" s="32"/>
      <x:c r="I20" s="32"/>
    </x:row>
    <x:row r="21" ht="24" customHeight="1">
      <x:c r="A21" s="32" t="str">
        <x:v>※ 差異=(期間值÷5月平日)-1；見車率／見位率亦為相對變動率。</x:v>
      </x:c>
      <x:c r="B21" s="32"/>
      <x:c r="C21" s="32"/>
      <x:c r="D21" s="32"/>
      <x:c r="E21" s="32"/>
      <x:c r="F21" s="32"/>
      <x:c r="G21" s="32"/>
      <x:c r="H21" s="32"/>
      <x:c r="I21" s="32"/>
    </x:row>
  </x:sheetData>
  <x:mergeCells>
    <x:mergeCell ref="A1:I1"/>
    <x:mergeCell ref="A17:I17"/>
    <x:mergeCell ref="A18:I18"/>
    <x:mergeCell ref="A19:I19"/>
    <x:mergeCell ref="A20:I20"/>
    <x:mergeCell ref="A21:I21"/>
  </x:mergeCells>
  <x:conditionalFormatting sqref="D3:D15">
    <x:cfRule type="cellIs" dxfId="0" priority="1" operator="lessThan">
      <x:formula>0</x:formula>
    </x:cfRule>
    <x:cfRule type="cellIs" dxfId="1" priority="2">
      <x:formula>0</x:formula>
    </x:cfRule>
  </x:conditionalFormatting>
  <x:conditionalFormatting sqref="F3:F15">
    <x:cfRule type="cellIs" dxfId="2" priority="3" operator="lessThan">
      <x:formula>0</x:formula>
    </x:cfRule>
    <x:cfRule type="cellIs" dxfId="3" priority="4">
      <x:formula>0</x:formula>
    </x:cfRule>
  </x:conditionalFormatting>
  <x:conditionalFormatting sqref="H3:H15">
    <x:cfRule type="cellIs" dxfId="4" priority="5" operator="lessThan">
      <x:formula>0</x:formula>
    </x:cfRule>
    <x:cfRule type="cellIs" dxfId="5" priority="6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期間原始彙總值（主表以公式連動）</x:v>
      </x:c>
      <x:c r="B1" s="3" t="str">
        <x:v>期間原始彙總值（主表以公式連動）</x:v>
      </x:c>
      <x:c r="C1" s="3" t="str">
        <x:v>期間原始彙總值（主表以公式連動）</x:v>
      </x:c>
      <x:c r="D1" s="3" t="str">
        <x:v>期間原始彙總值（主表以公式連動）</x:v>
      </x:c>
      <x:c r="E1" s="3" t="str">
        <x:v>期間原始彙總值（主表以公式連動）</x:v>
      </x:c>
      <x:c r="F1" s="3" t="str">
        <x:v>期間原始彙總值（主表以公式連動）</x:v>
      </x:c>
    </x:row>
    <x:row r="2" ht="34" customHeight="1">
      <x:c r="A2" s="9" t="str">
        <x:v>指標</x:v>
      </x:c>
      <x:c r="B2" s="9" t="str">
        <x:v>5月平日</x:v>
      </x:c>
      <x:c r="C2" s="9" t="str">
        <x:v>8月平日</x:v>
      </x:c>
      <x:c r="D2" s="9" t="str">
        <x:v>9/1–9/17平日</x:v>
      </x:c>
      <x:c r="E2" s="9" t="str">
        <x:v>9/7–9/17平日</x:v>
      </x:c>
      <x:c r="F2" s="9" t="str">
        <x:v>9/17單日</x:v>
      </x:c>
    </x:row>
    <x:row r="3">
      <x:c r="A3" s="12" t="str">
        <x:v>日均用量</x:v>
      </x:c>
      <x:c r="B3" s="13" t="n">
        <x:v>15681</x:v>
      </x:c>
      <x:c r="C3" s="13" t="n">
        <x:v>9906</x:v>
      </x:c>
      <x:c r="D3" s="13" t="n">
        <x:v>16579</x:v>
      </x:c>
      <x:c r="E3" s="13" t="n">
        <x:v>20597</x:v>
      </x:c>
      <x:c r="F3" s="13" t="n">
        <x:v>21201</x:v>
      </x:c>
    </x:row>
    <x:row r="4">
      <x:c r="A4" s="12" t="str">
        <x:v>日均還量</x:v>
      </x:c>
      <x:c r="B4" s="13" t="n">
        <x:v>15384</x:v>
      </x:c>
      <x:c r="C4" s="13" t="n">
        <x:v>9673</x:v>
      </x:c>
      <x:c r="D4" s="13" t="n">
        <x:v>16260</x:v>
      </x:c>
      <x:c r="E4" s="13" t="n">
        <x:v>20182</x:v>
      </x:c>
      <x:c r="F4" s="13" t="n">
        <x:v>20778</x:v>
      </x:c>
    </x:row>
    <x:row r="5">
      <x:c r="A5" s="12" t="str">
        <x:v>6–24時見車率</x:v>
      </x:c>
      <x:c r="B5" s="14" t="n">
        <x:v>0.866</x:v>
      </x:c>
      <x:c r="C5" s="14" t="n">
        <x:v>0.9036189141018953</x:v>
      </x:c>
      <x:c r="D5" s="14" t="n">
        <x:v>0.8405905785667324</x:v>
      </x:c>
      <x:c r="E5" s="14" t="n">
        <x:v>0.809311339031339</x:v>
      </x:c>
      <x:c r="F5" s="14" t="n">
        <x:v>0.8012536752136752</x:v>
      </x:c>
    </x:row>
    <x:row r="6">
      <x:c r="A6" s="12" t="str">
        <x:v>6–24時用量</x:v>
      </x:c>
      <x:c r="B6" s="13" t="n">
        <x:v>15459</x:v>
      </x:c>
      <x:c r="C6" s="13" t="n">
        <x:v>9722</x:v>
      </x:c>
      <x:c r="D6" s="13" t="n">
        <x:v>16397</x:v>
      </x:c>
      <x:c r="E6" s="13" t="n">
        <x:v>20413</x:v>
      </x:c>
      <x:c r="F6" s="13" t="n">
        <x:v>20933</x:v>
      </x:c>
    </x:row>
    <x:row r="7">
      <x:c r="A7" s="12" t="str">
        <x:v>7–9時見車率</x:v>
      </x:c>
      <x:c r="B7" s="14" t="n">
        <x:v>0.915</x:v>
      </x:c>
      <x:c r="C7" s="14" t="n">
        <x:v>0.9314118153364632</x:v>
      </x:c>
      <x:c r="D7" s="14" t="n">
        <x:v>0.8932542800788955</x:v>
      </x:c>
      <x:c r="E7" s="14" t="n">
        <x:v>0.8699617094017094</x:v>
      </x:c>
      <x:c r="F7" s="14" t="n">
        <x:v>0.87846</x:v>
      </x:c>
    </x:row>
    <x:row r="8">
      <x:c r="A8" s="12" t="str">
        <x:v>7–9時用量</x:v>
      </x:c>
      <x:c r="B8" s="13" t="n">
        <x:v>1013</x:v>
      </x:c>
      <x:c r="C8" s="13" t="n">
        <x:v>1485</x:v>
      </x:c>
      <x:c r="D8" s="13" t="n">
        <x:v>2107</x:v>
      </x:c>
      <x:c r="E8" s="13" t="n">
        <x:v>2531</x:v>
      </x:c>
      <x:c r="F8" s="13" t="n">
        <x:v>2482</x:v>
      </x:c>
    </x:row>
    <x:row r="9">
      <x:c r="A9" s="12" t="str">
        <x:v>11–13時見車率</x:v>
      </x:c>
      <x:c r="B9" s="14" t="n">
        <x:v>0.9</x:v>
      </x:c>
      <x:c r="C9" s="14" t="n">
        <x:v>0.9267301251956183</x:v>
      </x:c>
      <x:c r="D9" s="14" t="n">
        <x:v>0.9146213806706115</x:v>
      </x:c>
      <x:c r="E9" s="14" t="n">
        <x:v>0.9065137321937322</x:v>
      </x:c>
      <x:c r="F9" s="14" t="n">
        <x:v>0.8985466666666667</x:v>
      </x:c>
    </x:row>
    <x:row r="10">
      <x:c r="A10" s="12" t="str">
        <x:v>11–13時用量</x:v>
      </x:c>
      <x:c r="B10" s="13" t="n">
        <x:v>2656</x:v>
      </x:c>
      <x:c r="C10" s="13" t="n">
        <x:v>2289</x:v>
      </x:c>
      <x:c r="D10" s="13" t="n">
        <x:v>4481</x:v>
      </x:c>
      <x:c r="E10" s="13" t="n">
        <x:v>5572</x:v>
      </x:c>
      <x:c r="F10" s="13" t="n">
        <x:v>5465</x:v>
      </x:c>
    </x:row>
    <x:row r="11">
      <x:c r="A11" s="12" t="str">
        <x:v>16–20時見車率</x:v>
      </x:c>
      <x:c r="B11" s="14" t="n">
        <x:v>0.845</x:v>
      </x:c>
      <x:c r="C11" s="14" t="n">
        <x:v>0.9021752738654146</x:v>
      </x:c>
      <x:c r="D11" s="14" t="n">
        <x:v>0.8320276213017751</x:v>
      </x:c>
      <x:c r="E11" s="14" t="n">
        <x:v>0.7971337094017094</x:v>
      </x:c>
      <x:c r="F11" s="14" t="n">
        <x:v>0.7998975384615384</x:v>
      </x:c>
    </x:row>
    <x:row r="12">
      <x:c r="A12" s="12" t="str">
        <x:v>16–20時用量</x:v>
      </x:c>
      <x:c r="B12" s="13" t="n">
        <x:v>4948</x:v>
      </x:c>
      <x:c r="C12" s="13" t="n">
        <x:v>3490</x:v>
      </x:c>
      <x:c r="D12" s="13" t="n">
        <x:v>5125</x:v>
      </x:c>
      <x:c r="E12" s="13" t="n">
        <x:v>6444</x:v>
      </x:c>
      <x:c r="F12" s="13" t="n">
        <x:v>7392</x:v>
      </x:c>
    </x:row>
    <x:row r="13">
      <x:c r="A13" s="12" t="str">
        <x:v>21–00時見車率</x:v>
      </x:c>
      <x:c r="B13" s="14" t="n">
        <x:v>0.677916528</x:v>
      </x:c>
      <x:c r="C13" s="14" t="n">
        <x:v>0.804842905581638</x:v>
      </x:c>
      <x:c r="D13" s="14" t="n">
        <x:v>0.6175740828402367</x:v>
      </x:c>
      <x:c r="E13" s="14" t="n">
        <x:v>0.5378823931623932</x:v>
      </x:c>
      <x:c r="F13" s="14" t="n">
        <x:v>0.4954728205128205</x:v>
      </x:c>
    </x:row>
    <x:row r="14">
      <x:c r="A14" s="12" t="str">
        <x:v>21–00時用量</x:v>
      </x:c>
      <x:c r="B14" s="13" t="n">
        <x:v>869</x:v>
      </x:c>
      <x:c r="C14" s="13" t="n">
        <x:v>624</x:v>
      </x:c>
      <x:c r="D14" s="13" t="n">
        <x:v>664</x:v>
      </x:c>
      <x:c r="E14" s="13" t="n">
        <x:v>725</x:v>
      </x:c>
      <x:c r="F14" s="13" t="n">
        <x:v>839</x:v>
      </x:c>
    </x:row>
    <x:row r="15">
      <x:c r="A15" s="12" t="str">
        <x:v>7–9見位率</x:v>
      </x:c>
      <x:c r="B15" s="14" t="n">
        <x:v>0.965</x:v>
      </x:c>
      <x:c r="C15" s="14" t="n">
        <x:v>0.9657408450704226</x:v>
      </x:c>
      <x:c r="D15" s="14" t="n">
        <x:v>0.9564693885601578</x:v>
      </x:c>
      <x:c r="E15" s="14" t="n">
        <x:v>0.9450997150997151</x:v>
      </x:c>
      <x:c r="F15" s="14" t="n">
        <x:v>0.9552989743589744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2" customHeight="1">
      <x:c r="A1" s="3" t="str">
        <x:v>臺大 500119* 逐日營運明細</x:v>
      </x:c>
      <x:c r="B1" s="3" t="str">
        <x:v>臺大 500119* 逐日營運明細</x:v>
      </x:c>
      <x:c r="C1" s="3" t="str">
        <x:v>臺大 500119* 逐日營運明細</x:v>
      </x:c>
      <x:c r="D1" s="3" t="str">
        <x:v>臺大 500119* 逐日營運明細</x:v>
      </x:c>
      <x:c r="E1" s="3" t="str">
        <x:v>臺大 500119* 逐日營運明細</x:v>
      </x:c>
      <x:c r="F1" s="3" t="str">
        <x:v>臺大 500119* 逐日營運明細</x:v>
      </x:c>
      <x:c r="G1" s="3" t="str">
        <x:v>臺大 500119* 逐日營運明細</x:v>
      </x:c>
      <x:c r="H1" s="3" t="str">
        <x:v>臺大 500119* 逐日營運明細</x:v>
      </x:c>
      <x:c r="I1" s="3" t="str">
        <x:v>臺大 500119* 逐日營運明細</x:v>
      </x:c>
      <x:c r="J1" s="3" t="str">
        <x:v>臺大 500119* 逐日營運明細</x:v>
      </x:c>
      <x:c r="K1" s="3" t="str">
        <x:v>臺大 500119* 逐日營運明細</x:v>
      </x:c>
      <x:c r="L1" s="3" t="str">
        <x:v>臺大 500119* 逐日營運明細</x:v>
      </x:c>
      <x:c r="M1" s="3" t="str">
        <x:v>臺大 500119* 逐日營運明細</x:v>
      </x:c>
      <x:c r="N1" s="3" t="str">
        <x:v>臺大 500119* 逐日營運明細</x:v>
      </x:c>
      <x:c r="O1" s="3" t="str">
        <x:v>臺大 500119* 逐日營運明細</x:v>
      </x:c>
      <x:c r="P1" s="3" t="str">
        <x:v>臺大 500119* 逐日營運明細</x:v>
      </x:c>
      <x:c r="Q1" s="3" t="str">
        <x:v>臺大 500119* 逐日營運明細</x:v>
      </x:c>
      <x:c r="R1" s="3" t="str">
        <x:v>臺大 500119* 逐日營運明細</x:v>
      </x:c>
    </x:row>
    <x:row r="2" ht="34" customHeight="1">
      <x:c r="A2" s="9" t="str">
        <x:v>日期</x:v>
      </x:c>
      <x:c r="B2" s="9" t="str">
        <x:v>星期</x:v>
      </x:c>
      <x:c r="C2" s="9" t="str">
        <x:v>資料狀態</x:v>
      </x:c>
      <x:c r="D2" s="9" t="str">
        <x:v>場站數</x:v>
      </x:c>
      <x:c r="E2" s="9" t="str">
        <x:v>2.0用量</x:v>
      </x:c>
      <x:c r="F2" s="9" t="str">
        <x:v>2.0E用量</x:v>
      </x:c>
      <x:c r="G2" s="9" t="str">
        <x:v>用量合計</x:v>
      </x:c>
      <x:c r="H2" s="9" t="str">
        <x:v>2.0還量</x:v>
      </x:c>
      <x:c r="I2" s="9" t="str">
        <x:v>2.0E還量</x:v>
      </x:c>
      <x:c r="J2" s="9" t="str">
        <x:v>還量合計</x:v>
      </x:c>
      <x:c r="K2" s="9" t="str">
        <x:v>6–24用量</x:v>
      </x:c>
      <x:c r="L2" s="9" t="str">
        <x:v>7–9用量</x:v>
      </x:c>
      <x:c r="M2" s="9" t="str">
        <x:v>11–13用量</x:v>
      </x:c>
      <x:c r="N2" s="9" t="str">
        <x:v>16–20用量</x:v>
      </x:c>
      <x:c r="O2" s="9" t="str">
        <x:v>21–00用量</x:v>
      </x:c>
      <x:c r="P2" s="9" t="str">
        <x:v>6–24見車率</x:v>
      </x:c>
      <x:c r="Q2" s="9" t="str">
        <x:v>7–9見車率</x:v>
      </x:c>
      <x:c r="R2" s="9" t="str">
        <x:v>7–9見位率</x:v>
      </x:c>
    </x:row>
    <x:row r="3">
      <x:c r="A3" s="12" t="str">
        <x:v>2026-08-03</x:v>
      </x:c>
      <x:c r="B3" s="12" t="str">
        <x:v>一</x:v>
      </x:c>
      <x:c r="C3" s="12" t="str">
        <x:v>完整日</x:v>
      </x:c>
      <x:c r="D3" s="13" t="n">
        <x:v>60</x:v>
      </x:c>
      <x:c r="E3" s="13" t="n">
        <x:v>10441</x:v>
      </x:c>
      <x:c r="F3" s="13" t="n">
        <x:v>386</x:v>
      </x:c>
      <x:c r="G3" s="13" t="n">
        <x:v>10827</x:v>
      </x:c>
      <x:c r="H3" s="13" t="n">
        <x:v>9908</x:v>
      </x:c>
      <x:c r="I3" s="13" t="n">
        <x:v>375</x:v>
      </x:c>
      <x:c r="J3" s="13" t="n">
        <x:v>10283</x:v>
      </x:c>
      <x:c r="K3" s="13" t="n">
        <x:v>10675</x:v>
      </x:c>
      <x:c r="L3" s="13" t="n">
        <x:v>1472</x:v>
      </x:c>
      <x:c r="M3" s="13" t="n">
        <x:v>2349</x:v>
      </x:c>
      <x:c r="N3" s="13" t="n">
        <x:v>4312</x:v>
      </x:c>
      <x:c r="O3" s="13" t="n">
        <x:v>593</x:v>
      </x:c>
      <x:c r="P3" s="14"/>
      <x:c r="Q3" s="14"/>
      <x:c r="R3" s="14"/>
    </x:row>
    <x:row r="4">
      <x:c r="A4" s="12" t="str">
        <x:v>2026-08-04</x:v>
      </x:c>
      <x:c r="B4" s="12" t="str">
        <x:v>二</x:v>
      </x:c>
      <x:c r="C4" s="12" t="str">
        <x:v>完整日</x:v>
      </x:c>
      <x:c r="D4" s="13" t="n">
        <x:v>60</x:v>
      </x:c>
      <x:c r="E4" s="13" t="n">
        <x:v>10642</x:v>
      </x:c>
      <x:c r="F4" s="13" t="n">
        <x:v>407</x:v>
      </x:c>
      <x:c r="G4" s="13" t="n">
        <x:v>11049</x:v>
      </x:c>
      <x:c r="H4" s="13" t="n">
        <x:v>10247</x:v>
      </x:c>
      <x:c r="I4" s="13" t="n">
        <x:v>406</x:v>
      </x:c>
      <x:c r="J4" s="13" t="n">
        <x:v>10653</x:v>
      </x:c>
      <x:c r="K4" s="13" t="n">
        <x:v>10885</x:v>
      </x:c>
      <x:c r="L4" s="13" t="n">
        <x:v>1589</x:v>
      </x:c>
      <x:c r="M4" s="13" t="n">
        <x:v>2344</x:v>
      </x:c>
      <x:c r="N4" s="13" t="n">
        <x:v>4308</x:v>
      </x:c>
      <x:c r="O4" s="13" t="n">
        <x:v>684</x:v>
      </x:c>
      <x:c r="P4" s="14"/>
      <x:c r="Q4" s="14"/>
      <x:c r="R4" s="14"/>
    </x:row>
    <x:row r="5">
      <x:c r="A5" s="12" t="str">
        <x:v>2026-08-05</x:v>
      </x:c>
      <x:c r="B5" s="12" t="str">
        <x:v>三</x:v>
      </x:c>
      <x:c r="C5" s="12" t="str">
        <x:v>完整日</x:v>
      </x:c>
      <x:c r="D5" s="13" t="n">
        <x:v>60</x:v>
      </x:c>
      <x:c r="E5" s="13" t="n">
        <x:v>10742</x:v>
      </x:c>
      <x:c r="F5" s="13" t="n">
        <x:v>424</x:v>
      </x:c>
      <x:c r="G5" s="13" t="n">
        <x:v>11166</x:v>
      </x:c>
      <x:c r="H5" s="13" t="n">
        <x:v>10250</x:v>
      </x:c>
      <x:c r="I5" s="13" t="n">
        <x:v>390</x:v>
      </x:c>
      <x:c r="J5" s="13" t="n">
        <x:v>10640</x:v>
      </x:c>
      <x:c r="K5" s="13" t="n">
        <x:v>10925</x:v>
      </x:c>
      <x:c r="L5" s="13" t="n">
        <x:v>1566</x:v>
      </x:c>
      <x:c r="M5" s="13" t="n">
        <x:v>2436</x:v>
      </x:c>
      <x:c r="N5" s="13" t="n">
        <x:v>4253</x:v>
      </x:c>
      <x:c r="O5" s="13" t="n">
        <x:v>674</x:v>
      </x:c>
      <x:c r="P5" s="14"/>
      <x:c r="Q5" s="14"/>
      <x:c r="R5" s="14"/>
    </x:row>
    <x:row r="6">
      <x:c r="A6" s="12" t="str">
        <x:v>2026-08-06</x:v>
      </x:c>
      <x:c r="B6" s="12" t="str">
        <x:v>四</x:v>
      </x:c>
      <x:c r="C6" s="12" t="str">
        <x:v>完整日</x:v>
      </x:c>
      <x:c r="D6" s="13" t="n">
        <x:v>60</x:v>
      </x:c>
      <x:c r="E6" s="13" t="n">
        <x:v>10068</x:v>
      </x:c>
      <x:c r="F6" s="13" t="n">
        <x:v>500</x:v>
      </x:c>
      <x:c r="G6" s="13" t="n">
        <x:v>10568</x:v>
      </x:c>
      <x:c r="H6" s="13" t="n">
        <x:v>9714</x:v>
      </x:c>
      <x:c r="I6" s="13" t="n">
        <x:v>462</x:v>
      </x:c>
      <x:c r="J6" s="13" t="n">
        <x:v>10176</x:v>
      </x:c>
      <x:c r="K6" s="13" t="n">
        <x:v>10376</x:v>
      </x:c>
      <x:c r="L6" s="13" t="n">
        <x:v>1551</x:v>
      </x:c>
      <x:c r="M6" s="13" t="n">
        <x:v>2275</x:v>
      </x:c>
      <x:c r="N6" s="13" t="n">
        <x:v>4081</x:v>
      </x:c>
      <x:c r="O6" s="13" t="n">
        <x:v>678</x:v>
      </x:c>
      <x:c r="P6" s="14"/>
      <x:c r="Q6" s="14"/>
      <x:c r="R6" s="14"/>
    </x:row>
    <x:row r="7">
      <x:c r="A7" s="12" t="str">
        <x:v>2026-08-07</x:v>
      </x:c>
      <x:c r="B7" s="12" t="str">
        <x:v>五</x:v>
      </x:c>
      <x:c r="C7" s="12" t="str">
        <x:v>完整日</x:v>
      </x:c>
      <x:c r="D7" s="13" t="n">
        <x:v>60</x:v>
      </x:c>
      <x:c r="E7" s="13" t="n">
        <x:v>9474</x:v>
      </x:c>
      <x:c r="F7" s="13" t="n">
        <x:v>458</x:v>
      </x:c>
      <x:c r="G7" s="13" t="n">
        <x:v>9932</x:v>
      </x:c>
      <x:c r="H7" s="13" t="n">
        <x:v>9153</x:v>
      </x:c>
      <x:c r="I7" s="13" t="n">
        <x:v>426</x:v>
      </x:c>
      <x:c r="J7" s="13" t="n">
        <x:v>9579</x:v>
      </x:c>
      <x:c r="K7" s="13" t="n">
        <x:v>9744</x:v>
      </x:c>
      <x:c r="L7" s="13" t="n">
        <x:v>1388</x:v>
      </x:c>
      <x:c r="M7" s="13" t="n">
        <x:v>2477</x:v>
      </x:c>
      <x:c r="N7" s="13" t="n">
        <x:v>3472</x:v>
      </x:c>
      <x:c r="O7" s="13" t="n">
        <x:v>471</x:v>
      </x:c>
      <x:c r="P7" s="14"/>
      <x:c r="Q7" s="14"/>
      <x:c r="R7" s="14"/>
    </x:row>
    <x:row r="8">
      <x:c r="A8" s="12" t="str">
        <x:v>2026-08-10</x:v>
      </x:c>
      <x:c r="B8" s="12" t="str">
        <x:v>一</x:v>
      </x:c>
      <x:c r="C8" s="12" t="str">
        <x:v>完整日</x:v>
      </x:c>
      <x:c r="D8" s="13" t="n">
        <x:v>60</x:v>
      </x:c>
      <x:c r="E8" s="13" t="n">
        <x:v>9550</x:v>
      </x:c>
      <x:c r="F8" s="13" t="n">
        <x:v>384</x:v>
      </x:c>
      <x:c r="G8" s="13" t="n">
        <x:v>9934</x:v>
      </x:c>
      <x:c r="H8" s="13" t="n">
        <x:v>9282</x:v>
      </x:c>
      <x:c r="I8" s="13" t="n">
        <x:v>409</x:v>
      </x:c>
      <x:c r="J8" s="13" t="n">
        <x:v>9691</x:v>
      </x:c>
      <x:c r="K8" s="13" t="n">
        <x:v>9761</x:v>
      </x:c>
      <x:c r="L8" s="13" t="n">
        <x:v>1460</x:v>
      </x:c>
      <x:c r="M8" s="13" t="n">
        <x:v>2492</x:v>
      </x:c>
      <x:c r="N8" s="13" t="n">
        <x:v>3299</x:v>
      </x:c>
      <x:c r="O8" s="13" t="n">
        <x:v>459</x:v>
      </x:c>
      <x:c r="P8" s="14"/>
      <x:c r="Q8" s="14"/>
      <x:c r="R8" s="14"/>
    </x:row>
    <x:row r="9">
      <x:c r="A9" s="12" t="str">
        <x:v>2026-08-11</x:v>
      </x:c>
      <x:c r="B9" s="12" t="str">
        <x:v>二</x:v>
      </x:c>
      <x:c r="C9" s="12" t="str">
        <x:v>完整日</x:v>
      </x:c>
      <x:c r="D9" s="13" t="n">
        <x:v>61</x:v>
      </x:c>
      <x:c r="E9" s="13" t="n">
        <x:v>10716</x:v>
      </x:c>
      <x:c r="F9" s="13" t="n">
        <x:v>508</x:v>
      </x:c>
      <x:c r="G9" s="13" t="n">
        <x:v>11224</x:v>
      </x:c>
      <x:c r="H9" s="13" t="n">
        <x:v>10406</x:v>
      </x:c>
      <x:c r="I9" s="13" t="n">
        <x:v>472</x:v>
      </x:c>
      <x:c r="J9" s="13" t="n">
        <x:v>10878</x:v>
      </x:c>
      <x:c r="K9" s="13" t="n">
        <x:v>11042</x:v>
      </x:c>
      <x:c r="L9" s="13" t="n">
        <x:v>1594</x:v>
      </x:c>
      <x:c r="M9" s="13" t="n">
        <x:v>2508</x:v>
      </x:c>
      <x:c r="N9" s="13" t="n">
        <x:v>4344</x:v>
      </x:c>
      <x:c r="O9" s="13" t="n">
        <x:v>685</x:v>
      </x:c>
      <x:c r="P9" s="14"/>
      <x:c r="Q9" s="14"/>
      <x:c r="R9" s="14"/>
    </x:row>
    <x:row r="10">
      <x:c r="A10" s="12" t="str">
        <x:v>2026-08-12</x:v>
      </x:c>
      <x:c r="B10" s="12" t="str">
        <x:v>三</x:v>
      </x:c>
      <x:c r="C10" s="12" t="str">
        <x:v>完整日</x:v>
      </x:c>
      <x:c r="D10" s="13" t="n">
        <x:v>61</x:v>
      </x:c>
      <x:c r="E10" s="13" t="n">
        <x:v>10806</x:v>
      </x:c>
      <x:c r="F10" s="13" t="n">
        <x:v>425</x:v>
      </x:c>
      <x:c r="G10" s="13" t="n">
        <x:v>11231</x:v>
      </x:c>
      <x:c r="H10" s="13" t="n">
        <x:v>10429</x:v>
      </x:c>
      <x:c r="I10" s="13" t="n">
        <x:v>417</x:v>
      </x:c>
      <x:c r="J10" s="13" t="n">
        <x:v>10846</x:v>
      </x:c>
      <x:c r="K10" s="13" t="n">
        <x:v>11025</x:v>
      </x:c>
      <x:c r="L10" s="13" t="n">
        <x:v>1642</x:v>
      </x:c>
      <x:c r="M10" s="13" t="n">
        <x:v>2624</x:v>
      </x:c>
      <x:c r="N10" s="13" t="n">
        <x:v>4184</x:v>
      </x:c>
      <x:c r="O10" s="13" t="n">
        <x:v>792</x:v>
      </x:c>
      <x:c r="P10" s="14"/>
      <x:c r="Q10" s="14"/>
      <x:c r="R10" s="14"/>
    </x:row>
    <x:row r="11">
      <x:c r="A11" s="12" t="str">
        <x:v>2026-08-13</x:v>
      </x:c>
      <x:c r="B11" s="12" t="str">
        <x:v>四</x:v>
      </x:c>
      <x:c r="C11" s="12" t="str">
        <x:v>完整日</x:v>
      </x:c>
      <x:c r="D11" s="13" t="n">
        <x:v>61</x:v>
      </x:c>
      <x:c r="E11" s="13" t="n">
        <x:v>9900</x:v>
      </x:c>
      <x:c r="F11" s="13" t="n">
        <x:v>418</x:v>
      </x:c>
      <x:c r="G11" s="13" t="n">
        <x:v>10318</x:v>
      </x:c>
      <x:c r="H11" s="13" t="n">
        <x:v>9573</x:v>
      </x:c>
      <x:c r="I11" s="13" t="n">
        <x:v>408</x:v>
      </x:c>
      <x:c r="J11" s="13" t="n">
        <x:v>9981</x:v>
      </x:c>
      <x:c r="K11" s="13" t="n">
        <x:v>10110</x:v>
      </x:c>
      <x:c r="L11" s="13" t="n">
        <x:v>1543</x:v>
      </x:c>
      <x:c r="M11" s="13" t="n">
        <x:v>2552</x:v>
      </x:c>
      <x:c r="N11" s="13" t="n">
        <x:v>4074</x:v>
      </x:c>
      <x:c r="O11" s="13" t="n">
        <x:v>706</x:v>
      </x:c>
      <x:c r="P11" s="14"/>
      <x:c r="Q11" s="14"/>
      <x:c r="R11" s="14"/>
    </x:row>
    <x:row r="12">
      <x:c r="A12" s="12" t="str">
        <x:v>2026-08-14</x:v>
      </x:c>
      <x:c r="B12" s="12" t="str">
        <x:v>五</x:v>
      </x:c>
      <x:c r="C12" s="12" t="str">
        <x:v>完整日</x:v>
      </x:c>
      <x:c r="D12" s="13" t="n">
        <x:v>61</x:v>
      </x:c>
      <x:c r="E12" s="13" t="n">
        <x:v>9267</x:v>
      </x:c>
      <x:c r="F12" s="13" t="n">
        <x:v>359</x:v>
      </x:c>
      <x:c r="G12" s="13" t="n">
        <x:v>9626</x:v>
      </x:c>
      <x:c r="H12" s="13" t="n">
        <x:v>9056</x:v>
      </x:c>
      <x:c r="I12" s="13" t="n">
        <x:v>357</x:v>
      </x:c>
      <x:c r="J12" s="13" t="n">
        <x:v>9413</x:v>
      </x:c>
      <x:c r="K12" s="13" t="n">
        <x:v>9442</x:v>
      </x:c>
      <x:c r="L12" s="13" t="n">
        <x:v>1501</x:v>
      </x:c>
      <x:c r="M12" s="13" t="n">
        <x:v>2711</x:v>
      </x:c>
      <x:c r="N12" s="13" t="n">
        <x:v>3331</x:v>
      </x:c>
      <x:c r="O12" s="13" t="n">
        <x:v>681</x:v>
      </x:c>
      <x:c r="P12" s="14"/>
      <x:c r="Q12" s="14"/>
      <x:c r="R12" s="14"/>
    </x:row>
    <x:row r="13">
      <x:c r="A13" s="12" t="str">
        <x:v>2026-08-17</x:v>
      </x:c>
      <x:c r="B13" s="12" t="str">
        <x:v>一</x:v>
      </x:c>
      <x:c r="C13" s="12" t="str">
        <x:v>完整日</x:v>
      </x:c>
      <x:c r="D13" s="13" t="n">
        <x:v>61</x:v>
      </x:c>
      <x:c r="E13" s="13" t="n">
        <x:v>10894</x:v>
      </x:c>
      <x:c r="F13" s="13" t="n">
        <x:v>445</x:v>
      </x:c>
      <x:c r="G13" s="13" t="n">
        <x:v>11339</x:v>
      </x:c>
      <x:c r="H13" s="13" t="n">
        <x:v>10450</x:v>
      </x:c>
      <x:c r="I13" s="13" t="n">
        <x:v>410</x:v>
      </x:c>
      <x:c r="J13" s="13" t="n">
        <x:v>10860</x:v>
      </x:c>
      <x:c r="K13" s="13" t="n">
        <x:v>11142</x:v>
      </x:c>
      <x:c r="L13" s="13" t="n">
        <x:v>1523</x:v>
      </x:c>
      <x:c r="M13" s="13" t="n">
        <x:v>2485</x:v>
      </x:c>
      <x:c r="N13" s="13" t="n">
        <x:v>4389</x:v>
      </x:c>
      <x:c r="O13" s="13" t="n">
        <x:v>644</x:v>
      </x:c>
      <x:c r="P13" s="14"/>
      <x:c r="Q13" s="14"/>
      <x:c r="R13" s="14"/>
    </x:row>
    <x:row r="14">
      <x:c r="A14" s="12" t="str">
        <x:v>2026-08-18</x:v>
      </x:c>
      <x:c r="B14" s="12" t="str">
        <x:v>二</x:v>
      </x:c>
      <x:c r="C14" s="12" t="str">
        <x:v>完整日</x:v>
      </x:c>
      <x:c r="D14" s="13" t="n">
        <x:v>61</x:v>
      </x:c>
      <x:c r="E14" s="13" t="n">
        <x:v>10549</x:v>
      </x:c>
      <x:c r="F14" s="13" t="n">
        <x:v>412</x:v>
      </x:c>
      <x:c r="G14" s="13" t="n">
        <x:v>10961</x:v>
      </x:c>
      <x:c r="H14" s="13" t="n">
        <x:v>10062</x:v>
      </x:c>
      <x:c r="I14" s="13" t="n">
        <x:v>393</x:v>
      </x:c>
      <x:c r="J14" s="13" t="n">
        <x:v>10455</x:v>
      </x:c>
      <x:c r="K14" s="13" t="n">
        <x:v>10804</x:v>
      </x:c>
      <x:c r="L14" s="13" t="n">
        <x:v>1289</x:v>
      </x:c>
      <x:c r="M14" s="13" t="n">
        <x:v>2513</x:v>
      </x:c>
      <x:c r="N14" s="13" t="n">
        <x:v>4354</x:v>
      </x:c>
      <x:c r="O14" s="13" t="n">
        <x:v>632</x:v>
      </x:c>
      <x:c r="P14" s="14"/>
      <x:c r="Q14" s="14"/>
      <x:c r="R14" s="14"/>
    </x:row>
    <x:row r="15">
      <x:c r="A15" s="12" t="str">
        <x:v>2026-08-19</x:v>
      </x:c>
      <x:c r="B15" s="12" t="str">
        <x:v>三</x:v>
      </x:c>
      <x:c r="C15" s="12" t="str">
        <x:v>完整日</x:v>
      </x:c>
      <x:c r="D15" s="13" t="n">
        <x:v>61</x:v>
      </x:c>
      <x:c r="E15" s="13" t="n">
        <x:v>8344</x:v>
      </x:c>
      <x:c r="F15" s="13" t="n">
        <x:v>310</x:v>
      </x:c>
      <x:c r="G15" s="13" t="n">
        <x:v>8654</x:v>
      </x:c>
      <x:c r="H15" s="13" t="n">
        <x:v>8178</x:v>
      </x:c>
      <x:c r="I15" s="13" t="n">
        <x:v>330</x:v>
      </x:c>
      <x:c r="J15" s="13" t="n">
        <x:v>8508</x:v>
      </x:c>
      <x:c r="K15" s="13" t="n">
        <x:v>8449</x:v>
      </x:c>
      <x:c r="L15" s="13" t="n">
        <x:v>1509</x:v>
      </x:c>
      <x:c r="M15" s="13" t="n">
        <x:v>1751</x:v>
      </x:c>
      <x:c r="N15" s="13" t="n">
        <x:v>2695</x:v>
      </x:c>
      <x:c r="O15" s="13" t="n">
        <x:v>507</x:v>
      </x:c>
      <x:c r="P15" s="14"/>
      <x:c r="Q15" s="14"/>
      <x:c r="R15" s="14"/>
    </x:row>
    <x:row r="16">
      <x:c r="A16" s="12" t="str">
        <x:v>2026-08-20</x:v>
      </x:c>
      <x:c r="B16" s="12" t="str">
        <x:v>四</x:v>
      </x:c>
      <x:c r="C16" s="12" t="str">
        <x:v>完整日</x:v>
      </x:c>
      <x:c r="D16" s="13" t="n">
        <x:v>61</x:v>
      </x:c>
      <x:c r="E16" s="13" t="n">
        <x:v>6422</x:v>
      </x:c>
      <x:c r="F16" s="13" t="n">
        <x:v>249</x:v>
      </x:c>
      <x:c r="G16" s="13" t="n">
        <x:v>6671</x:v>
      </x:c>
      <x:c r="H16" s="13" t="n">
        <x:v>6989</x:v>
      </x:c>
      <x:c r="I16" s="13" t="n">
        <x:v>304</x:v>
      </x:c>
      <x:c r="J16" s="13" t="n">
        <x:v>7293</x:v>
      </x:c>
      <x:c r="K16" s="13" t="n">
        <x:v>6574</x:v>
      </x:c>
      <x:c r="L16" s="13" t="n">
        <x:v>1433</x:v>
      </x:c>
      <x:c r="M16" s="13" t="n">
        <x:v>1357</x:v>
      </x:c>
      <x:c r="N16" s="13" t="n">
        <x:v>1372</x:v>
      </x:c>
      <x:c r="O16" s="13" t="n">
        <x:v>637</x:v>
      </x:c>
      <x:c r="P16" s="14"/>
      <x:c r="Q16" s="14"/>
      <x:c r="R16" s="14"/>
    </x:row>
    <x:row r="17">
      <x:c r="A17" s="12" t="str">
        <x:v>2026-08-21</x:v>
      </x:c>
      <x:c r="B17" s="12" t="str">
        <x:v>五</x:v>
      </x:c>
      <x:c r="C17" s="12" t="str">
        <x:v>完整日</x:v>
      </x:c>
      <x:c r="D17" s="13" t="n">
        <x:v>61</x:v>
      </x:c>
      <x:c r="E17" s="13" t="n">
        <x:v>6672</x:v>
      </x:c>
      <x:c r="F17" s="13" t="n">
        <x:v>261</x:v>
      </x:c>
      <x:c r="G17" s="13" t="n">
        <x:v>6933</x:v>
      </x:c>
      <x:c r="H17" s="13" t="n">
        <x:v>7309</x:v>
      </x:c>
      <x:c r="I17" s="13" t="n">
        <x:v>307</x:v>
      </x:c>
      <x:c r="J17" s="13" t="n">
        <x:v>7616</x:v>
      </x:c>
      <x:c r="K17" s="13" t="n">
        <x:v>6729</x:v>
      </x:c>
      <x:c r="L17" s="13" t="n">
        <x:v>1523</x:v>
      </x:c>
      <x:c r="M17" s="13" t="n">
        <x:v>2403</x:v>
      </x:c>
      <x:c r="N17" s="13" t="n">
        <x:v>706</x:v>
      </x:c>
      <x:c r="O17" s="13" t="n">
        <x:v>352</x:v>
      </x:c>
      <x:c r="P17" s="14"/>
      <x:c r="Q17" s="14"/>
      <x:c r="R17" s="14"/>
    </x:row>
    <x:row r="18">
      <x:c r="A18" s="12" t="str">
        <x:v>2026-08-24</x:v>
      </x:c>
      <x:c r="B18" s="12" t="str">
        <x:v>一</x:v>
      </x:c>
      <x:c r="C18" s="12" t="str">
        <x:v>完整日</x:v>
      </x:c>
      <x:c r="D18" s="13" t="n">
        <x:v>61</x:v>
      </x:c>
      <x:c r="E18" s="13" t="n">
        <x:v>5255</x:v>
      </x:c>
      <x:c r="F18" s="13" t="n">
        <x:v>205</x:v>
      </x:c>
      <x:c r="G18" s="13" t="n">
        <x:v>5460</x:v>
      </x:c>
      <x:c r="H18" s="13" t="n">
        <x:v>5396</x:v>
      </x:c>
      <x:c r="I18" s="13" t="n">
        <x:v>223</x:v>
      </x:c>
      <x:c r="J18" s="13" t="n">
        <x:v>5619</x:v>
      </x:c>
      <x:c r="K18" s="13" t="n">
        <x:v>5302</x:v>
      </x:c>
      <x:c r="L18" s="13" t="n">
        <x:v>1413</x:v>
      </x:c>
      <x:c r="M18" s="13" t="n">
        <x:v>904</x:v>
      </x:c>
      <x:c r="N18" s="13" t="n">
        <x:v>1466</x:v>
      </x:c>
      <x:c r="O18" s="13" t="n">
        <x:v>502</x:v>
      </x:c>
      <x:c r="P18" s="14"/>
      <x:c r="Q18" s="14"/>
      <x:c r="R18" s="14"/>
    </x:row>
    <x:row r="19">
      <x:c r="A19" s="12" t="str">
        <x:v>2026-08-25</x:v>
      </x:c>
      <x:c r="B19" s="12" t="str">
        <x:v>二</x:v>
      </x:c>
      <x:c r="C19" s="12" t="str">
        <x:v>完整日</x:v>
      </x:c>
      <x:c r="D19" s="13" t="n">
        <x:v>61</x:v>
      </x:c>
      <x:c r="E19" s="13" t="n">
        <x:v>6916</x:v>
      </x:c>
      <x:c r="F19" s="13" t="n">
        <x:v>238</x:v>
      </x:c>
      <x:c r="G19" s="13" t="n">
        <x:v>7154</x:v>
      </x:c>
      <x:c r="H19" s="13" t="n">
        <x:v>7174</x:v>
      </x:c>
      <x:c r="I19" s="13" t="n">
        <x:v>238</x:v>
      </x:c>
      <x:c r="J19" s="13" t="n">
        <x:v>7412</x:v>
      </x:c>
      <x:c r="K19" s="13" t="n">
        <x:v>6992</x:v>
      </x:c>
      <x:c r="L19" s="13" t="n">
        <x:v>1424</x:v>
      </x:c>
      <x:c r="M19" s="13" t="n">
        <x:v>1673</x:v>
      </x:c>
      <x:c r="N19" s="13" t="n">
        <x:v>1910</x:v>
      </x:c>
      <x:c r="O19" s="13" t="n">
        <x:v>613</x:v>
      </x:c>
      <x:c r="P19" s="14"/>
      <x:c r="Q19" s="14"/>
      <x:c r="R19" s="14"/>
    </x:row>
    <x:row r="20">
      <x:c r="A20" s="12" t="str">
        <x:v>2026-08-26</x:v>
      </x:c>
      <x:c r="B20" s="12" t="str">
        <x:v>三</x:v>
      </x:c>
      <x:c r="C20" s="12" t="str">
        <x:v>完整日</x:v>
      </x:c>
      <x:c r="D20" s="13" t="n">
        <x:v>61</x:v>
      </x:c>
      <x:c r="E20" s="13" t="n">
        <x:v>10789</x:v>
      </x:c>
      <x:c r="F20" s="13" t="n">
        <x:v>454</x:v>
      </x:c>
      <x:c r="G20" s="13" t="n">
        <x:v>11243</x:v>
      </x:c>
      <x:c r="H20" s="13" t="n">
        <x:v>10133</x:v>
      </x:c>
      <x:c r="I20" s="13" t="n">
        <x:v>407</x:v>
      </x:c>
      <x:c r="J20" s="13" t="n">
        <x:v>10540</x:v>
      </x:c>
      <x:c r="K20" s="13" t="n">
        <x:v>11048</x:v>
      </x:c>
      <x:c r="L20" s="13" t="n">
        <x:v>1535</x:v>
      </x:c>
      <x:c r="M20" s="13" t="n">
        <x:v>2429</x:v>
      </x:c>
      <x:c r="N20" s="13" t="n">
        <x:v>4219</x:v>
      </x:c>
      <x:c r="O20" s="13" t="n">
        <x:v>849</x:v>
      </x:c>
      <x:c r="P20" s="14"/>
      <x:c r="Q20" s="14"/>
      <x:c r="R20" s="14"/>
    </x:row>
    <x:row r="21">
      <x:c r="A21" s="12" t="str">
        <x:v>2026-08-27</x:v>
      </x:c>
      <x:c r="B21" s="12" t="str">
        <x:v>四</x:v>
      </x:c>
      <x:c r="C21" s="12" t="str">
        <x:v>完整日</x:v>
      </x:c>
      <x:c r="D21" s="13" t="n">
        <x:v>62</x:v>
      </x:c>
      <x:c r="E21" s="13" t="n">
        <x:v>10494</x:v>
      </x:c>
      <x:c r="F21" s="13" t="n">
        <x:v>421</x:v>
      </x:c>
      <x:c r="G21" s="13" t="n">
        <x:v>10915</x:v>
      </x:c>
      <x:c r="H21" s="13" t="n">
        <x:v>10177</x:v>
      </x:c>
      <x:c r="I21" s="13" t="n">
        <x:v>404</x:v>
      </x:c>
      <x:c r="J21" s="13" t="n">
        <x:v>10581</x:v>
      </x:c>
      <x:c r="K21" s="13" t="n">
        <x:v>10716</x:v>
      </x:c>
      <x:c r="L21" s="13" t="n">
        <x:v>1335</x:v>
      </x:c>
      <x:c r="M21" s="13" t="n">
        <x:v>2461</x:v>
      </x:c>
      <x:c r="N21" s="13" t="n">
        <x:v>4231</x:v>
      </x:c>
      <x:c r="O21" s="13" t="n">
        <x:v>692</x:v>
      </x:c>
      <x:c r="P21" s="14"/>
      <x:c r="Q21" s="14"/>
      <x:c r="R21" s="14"/>
    </x:row>
    <x:row r="22">
      <x:c r="A22" s="12" t="str">
        <x:v>2026-08-28</x:v>
      </x:c>
      <x:c r="B22" s="12" t="str">
        <x:v>五</x:v>
      </x:c>
      <x:c r="C22" s="12" t="str">
        <x:v>完整日</x:v>
      </x:c>
      <x:c r="D22" s="13" t="n">
        <x:v>65</x:v>
      </x:c>
      <x:c r="E22" s="13" t="n">
        <x:v>10567</x:v>
      </x:c>
      <x:c r="F22" s="13" t="n">
        <x:v>459</x:v>
      </x:c>
      <x:c r="G22" s="13" t="n">
        <x:v>11026</x:v>
      </x:c>
      <x:c r="H22" s="13" t="n">
        <x:v>10223</x:v>
      </x:c>
      <x:c r="I22" s="13" t="n">
        <x:v>411</x:v>
      </x:c>
      <x:c r="J22" s="13" t="n">
        <x:v>10634</x:v>
      </x:c>
      <x:c r="K22" s="13" t="n">
        <x:v>10813</x:v>
      </x:c>
      <x:c r="L22" s="13" t="n">
        <x:v>1413</x:v>
      </x:c>
      <x:c r="M22" s="13" t="n">
        <x:v>2600</x:v>
      </x:c>
      <x:c r="N22" s="13" t="n">
        <x:v>3885</x:v>
      </x:c>
      <x:c r="O22" s="13" t="n">
        <x:v>690</x:v>
      </x:c>
      <x:c r="P22" s="14"/>
      <x:c r="Q22" s="14"/>
      <x:c r="R22" s="14"/>
    </x:row>
    <x:row r="23">
      <x:c r="A23" s="12" t="str">
        <x:v>2026-08-31</x:v>
      </x:c>
      <x:c r="B23" s="12" t="str">
        <x:v>一</x:v>
      </x:c>
      <x:c r="C23" s="12" t="str">
        <x:v>完整日</x:v>
      </x:c>
      <x:c r="D23" s="13" t="n">
        <x:v>65</x:v>
      </x:c>
      <x:c r="E23" s="13" t="n">
        <x:v>11270</x:v>
      </x:c>
      <x:c r="F23" s="13" t="n">
        <x:v>511</x:v>
      </x:c>
      <x:c r="G23" s="13" t="n">
        <x:v>11781</x:v>
      </x:c>
      <x:c r="H23" s="13" t="n">
        <x:v>10995</x:v>
      </x:c>
      <x:c r="I23" s="13" t="n">
        <x:v>472</x:v>
      </x:c>
      <x:c r="J23" s="13" t="n">
        <x:v>11467</x:v>
      </x:c>
      <x:c r="K23" s="13" t="n">
        <x:v>11605</x:v>
      </x:c>
      <x:c r="L23" s="13" t="n">
        <x:v>1470</x:v>
      </x:c>
      <x:c r="M23" s="13" t="n">
        <x:v>2721</x:v>
      </x:c>
      <x:c r="N23" s="13" t="n">
        <x:v>4391</x:v>
      </x:c>
      <x:c r="O23" s="13" t="n">
        <x:v>563</x:v>
      </x:c>
      <x:c r="P23" s="14"/>
      <x:c r="Q23" s="14"/>
      <x:c r="R23" s="14"/>
    </x:row>
    <x:row r="24">
      <x:c r="A24" s="12" t="str">
        <x:v>2026-09-01</x:v>
      </x:c>
      <x:c r="B24" s="12" t="str">
        <x:v>二</x:v>
      </x:c>
      <x:c r="C24" s="12" t="str">
        <x:v>完整日</x:v>
      </x:c>
      <x:c r="D24" s="13" t="n">
        <x:v>65</x:v>
      </x:c>
      <x:c r="E24" s="13" t="n">
        <x:v>7366</x:v>
      </x:c>
      <x:c r="F24" s="13" t="n">
        <x:v>259</x:v>
      </x:c>
      <x:c r="G24" s="13" t="n">
        <x:v>7625</x:v>
      </x:c>
      <x:c r="H24" s="13" t="n">
        <x:v>7732</x:v>
      </x:c>
      <x:c r="I24" s="13" t="n">
        <x:v>307</x:v>
      </x:c>
      <x:c r="J24" s="13" t="n">
        <x:v>8039</x:v>
      </x:c>
      <x:c r="K24" s="13" t="n">
        <x:v>7414</x:v>
      </x:c>
      <x:c r="L24" s="13" t="n">
        <x:v>1653</x:v>
      </x:c>
      <x:c r="M24" s="13" t="n">
        <x:v>2355</x:v>
      </x:c>
      <x:c r="N24" s="13" t="n">
        <x:v>1129</x:v>
      </x:c>
      <x:c r="O24" s="13" t="n">
        <x:v>438</x:v>
      </x:c>
      <x:c r="P24" s="14" t="n">
        <x:v>0.9359405128205128</x:v>
      </x:c>
      <x:c r="Q24" s="14" t="n">
        <x:v>0.8877779487179487</x:v>
      </x:c>
      <x:c r="R24" s="14" t="n">
        <x:v>0.988034358974359</x:v>
      </x:c>
    </x:row>
    <x:row r="25">
      <x:c r="A25" s="12" t="str">
        <x:v>2026-09-02</x:v>
      </x:c>
      <x:c r="B25" s="12" t="str">
        <x:v>三</x:v>
      </x:c>
      <x:c r="C25" s="12" t="str">
        <x:v>完整日</x:v>
      </x:c>
      <x:c r="D25" s="13" t="n">
        <x:v>65</x:v>
      </x:c>
      <x:c r="E25" s="13" t="n">
        <x:v>12646</x:v>
      </x:c>
      <x:c r="F25" s="13" t="n">
        <x:v>539</x:v>
      </x:c>
      <x:c r="G25" s="13" t="n">
        <x:v>13185</x:v>
      </x:c>
      <x:c r="H25" s="13" t="n">
        <x:v>12212</x:v>
      </x:c>
      <x:c r="I25" s="13" t="n">
        <x:v>500</x:v>
      </x:c>
      <x:c r="J25" s="13" t="n">
        <x:v>12712</x:v>
      </x:c>
      <x:c r="K25" s="13" t="n">
        <x:v>13018</x:v>
      </x:c>
      <x:c r="L25" s="13" t="n">
        <x:v>1727</x:v>
      </x:c>
      <x:c r="M25" s="13" t="n">
        <x:v>3215</x:v>
      </x:c>
      <x:c r="N25" s="13" t="n">
        <x:v>4669</x:v>
      </x:c>
      <x:c r="O25" s="13" t="n">
        <x:v>669</x:v>
      </x:c>
      <x:c r="P25" s="14" t="n">
        <x:v>0.8448291452991453</x:v>
      </x:c>
      <x:c r="Q25" s="14" t="n">
        <x:v>0.9342738461538461</x:v>
      </x:c>
      <x:c r="R25" s="14" t="n">
        <x:v>0.9641025641025641</x:v>
      </x:c>
    </x:row>
    <x:row r="26">
      <x:c r="A26" s="12" t="str">
        <x:v>2026-09-03</x:v>
      </x:c>
      <x:c r="B26" s="12" t="str">
        <x:v>四</x:v>
      </x:c>
      <x:c r="C26" s="12" t="str">
        <x:v>完整日</x:v>
      </x:c>
      <x:c r="D26" s="13" t="n">
        <x:v>65</x:v>
      </x:c>
      <x:c r="E26" s="13" t="n">
        <x:v>4689</x:v>
      </x:c>
      <x:c r="F26" s="13" t="n">
        <x:v>140</x:v>
      </x:c>
      <x:c r="G26" s="13" t="n">
        <x:v>4829</x:v>
      </x:c>
      <x:c r="H26" s="13" t="n">
        <x:v>4659</x:v>
      </x:c>
      <x:c r="I26" s="13" t="n">
        <x:v>149</x:v>
      </x:c>
      <x:c r="J26" s="13" t="n">
        <x:v>4808</x:v>
      </x:c>
      <x:c r="K26" s="13" t="n">
        <x:v>4664</x:v>
      </x:c>
      <x:c r="L26" s="13" t="n">
        <x:v>712</x:v>
      </x:c>
      <x:c r="M26" s="13" t="n">
        <x:v>1934</x:v>
      </x:c>
      <x:c r="N26" s="13" t="n">
        <x:v>1155</x:v>
      </x:c>
      <x:c r="O26" s="13" t="n">
        <x:v>265</x:v>
      </x:c>
      <x:c r="P26" s="14" t="n">
        <x:v>0.9421226495726496</x:v>
      </x:c>
      <x:c r="Q26" s="14" t="n">
        <x:v>0.9673502564102564</x:v>
      </x:c>
      <x:c r="R26" s="14" t="n">
        <x:v>0.9897435897435898</x:v>
      </x:c>
    </x:row>
    <x:row r="27">
      <x:c r="A27" s="12" t="str">
        <x:v>2026-09-04</x:v>
      </x:c>
      <x:c r="B27" s="12" t="str">
        <x:v>五</x:v>
      </x:c>
      <x:c r="C27" s="12" t="str">
        <x:v>完整日</x:v>
      </x:c>
      <x:c r="D27" s="13" t="n">
        <x:v>65</x:v>
      </x:c>
      <x:c r="E27" s="13" t="n">
        <x:v>4365</x:v>
      </x:c>
      <x:c r="F27" s="13" t="n">
        <x:v>145</x:v>
      </x:c>
      <x:c r="G27" s="13" t="n">
        <x:v>4510</x:v>
      </x:c>
      <x:c r="H27" s="13" t="n">
        <x:v>4033</x:v>
      </x:c>
      <x:c r="I27" s="13" t="n">
        <x:v>151</x:v>
      </x:c>
      <x:c r="J27" s="13" t="n">
        <x:v>4184</x:v>
      </x:c>
      <x:c r="K27" s="13" t="n">
        <x:v>4348</x:v>
      </x:c>
      <x:c r="L27" s="13" t="n">
        <x:v>519</x:v>
      </x:c>
      <x:c r="M27" s="13" t="n">
        <x:v>607</x:v>
      </x:c>
      <x:c r="N27" s="13" t="n">
        <x:v>1679</x:v>
      </x:c>
      <x:c r="O27" s="13" t="n">
        <x:v>736</x:v>
      </x:c>
      <x:c r="P27" s="14" t="n">
        <x:v>0.9209831623931624</x:v>
      </x:c>
      <x:c r="Q27" s="14" t="n">
        <x:v>0.9932482051282051</x:v>
      </x:c>
      <x:c r="R27" s="14" t="n">
        <x:v>0.9863241025641025</x:v>
      </x:c>
    </x:row>
    <x:row r="28">
      <x:c r="A28" s="12" t="str">
        <x:v>2026-09-07</x:v>
      </x:c>
      <x:c r="B28" s="12" t="str">
        <x:v>一</x:v>
      </x:c>
      <x:c r="C28" s="12" t="str">
        <x:v>完整日</x:v>
      </x:c>
      <x:c r="D28" s="13" t="n">
        <x:v>65</x:v>
      </x:c>
      <x:c r="E28" s="13" t="n">
        <x:v>22991</x:v>
      </x:c>
      <x:c r="F28" s="13" t="n">
        <x:v>875</x:v>
      </x:c>
      <x:c r="G28" s="13" t="n">
        <x:v>23866</x:v>
      </x:c>
      <x:c r="H28" s="13" t="n">
        <x:v>22465</x:v>
      </x:c>
      <x:c r="I28" s="13" t="n">
        <x:v>834</x:v>
      </x:c>
      <x:c r="J28" s="13" t="n">
        <x:v>23299</x:v>
      </x:c>
      <x:c r="K28" s="13" t="n">
        <x:v>23697</x:v>
      </x:c>
      <x:c r="L28" s="13" t="n">
        <x:v>2891</x:v>
      </x:c>
      <x:c r="M28" s="13" t="n">
        <x:v>6740</x:v>
      </x:c>
      <x:c r="N28" s="13" t="n">
        <x:v>7229</x:v>
      </x:c>
      <x:c r="O28" s="13" t="n">
        <x:v>666</x:v>
      </x:c>
      <x:c r="P28" s="14" t="n">
        <x:v>0.7666946153846154</x:v>
      </x:c>
      <x:c r="Q28" s="14" t="n">
        <x:v>0.8405123076923077</x:v>
      </x:c>
      <x:c r="R28" s="14" t="n">
        <x:v>0.9389733333333333</x:v>
      </x:c>
    </x:row>
    <x:row r="29">
      <x:c r="A29" s="12" t="str">
        <x:v>2026-09-08</x:v>
      </x:c>
      <x:c r="B29" s="12" t="str">
        <x:v>二</x:v>
      </x:c>
      <x:c r="C29" s="12" t="str">
        <x:v>完整日</x:v>
      </x:c>
      <x:c r="D29" s="13" t="n">
        <x:v>65</x:v>
      </x:c>
      <x:c r="E29" s="13" t="n">
        <x:v>21450</x:v>
      </x:c>
      <x:c r="F29" s="13" t="n">
        <x:v>1112</x:v>
      </x:c>
      <x:c r="G29" s="13" t="n">
        <x:v>22562</x:v>
      </x:c>
      <x:c r="H29" s="13" t="n">
        <x:v>20962</x:v>
      </x:c>
      <x:c r="I29" s="13" t="n">
        <x:v>1046</x:v>
      </x:c>
      <x:c r="J29" s="13" t="n">
        <x:v>22008</x:v>
      </x:c>
      <x:c r="K29" s="13" t="n">
        <x:v>22374</x:v>
      </x:c>
      <x:c r="L29" s="13" t="n">
        <x:v>3112</x:v>
      </x:c>
      <x:c r="M29" s="13" t="n">
        <x:v>6549</x:v>
      </x:c>
      <x:c r="N29" s="13" t="n">
        <x:v>6085</x:v>
      </x:c>
      <x:c r="O29" s="13" t="n">
        <x:v>675</x:v>
      </x:c>
      <x:c r="P29" s="14" t="n">
        <x:v>0.7766094017094017</x:v>
      </x:c>
      <x:c r="Q29" s="14" t="n">
        <x:v>0.8760682051282052</x:v>
      </x:c>
      <x:c r="R29" s="14" t="n">
        <x:v>0.9463251282051282</x:v>
      </x:c>
    </x:row>
    <x:row r="30">
      <x:c r="A30" s="12" t="str">
        <x:v>2026-09-09</x:v>
      </x:c>
      <x:c r="B30" s="12" t="str">
        <x:v>三</x:v>
      </x:c>
      <x:c r="C30" s="12" t="str">
        <x:v>完整日</x:v>
      </x:c>
      <x:c r="D30" s="13" t="n">
        <x:v>65</x:v>
      </x:c>
      <x:c r="E30" s="13" t="n">
        <x:v>20081</x:v>
      </x:c>
      <x:c r="F30" s="13" t="n">
        <x:v>1044</x:v>
      </x:c>
      <x:c r="G30" s="13" t="n">
        <x:v>21125</x:v>
      </x:c>
      <x:c r="H30" s="13" t="n">
        <x:v>19715</x:v>
      </x:c>
      <x:c r="I30" s="13" t="n">
        <x:v>1021</x:v>
      </x:c>
      <x:c r="J30" s="13" t="n">
        <x:v>20736</x:v>
      </x:c>
      <x:c r="K30" s="13" t="n">
        <x:v>20942</x:v>
      </x:c>
      <x:c r="L30" s="13" t="n">
        <x:v>2836</x:v>
      </x:c>
      <x:c r="M30" s="13" t="n">
        <x:v>6238</x:v>
      </x:c>
      <x:c r="N30" s="13" t="n">
        <x:v>5406</x:v>
      </x:c>
      <x:c r="O30" s="13" t="n">
        <x:v>546</x:v>
      </x:c>
      <x:c r="P30" s="14" t="n">
        <x:v>0.7459109401709402</x:v>
      </x:c>
      <x:c r="Q30" s="14" t="n">
        <x:v>0.7964112820512821</x:v>
      </x:c>
      <x:c r="R30" s="14" t="n">
        <x:v>0.9508548717948718</x:v>
      </x:c>
    </x:row>
    <x:row r="31">
      <x:c r="A31" s="12" t="str">
        <x:v>2026-09-10</x:v>
      </x:c>
      <x:c r="B31" s="12" t="str">
        <x:v>四</x:v>
      </x:c>
      <x:c r="C31" s="12" t="str">
        <x:v>完整日</x:v>
      </x:c>
      <x:c r="D31" s="13" t="n">
        <x:v>65</x:v>
      </x:c>
      <x:c r="E31" s="13" t="n">
        <x:v>19040</x:v>
      </x:c>
      <x:c r="F31" s="13" t="n">
        <x:v>846</x:v>
      </x:c>
      <x:c r="G31" s="13" t="n">
        <x:v>19886</x:v>
      </x:c>
      <x:c r="H31" s="13" t="n">
        <x:v>18776</x:v>
      </x:c>
      <x:c r="I31" s="13" t="n">
        <x:v>832</x:v>
      </x:c>
      <x:c r="J31" s="13" t="n">
        <x:v>19608</x:v>
      </x:c>
      <x:c r="K31" s="13" t="n">
        <x:v>19759</x:v>
      </x:c>
      <x:c r="L31" s="13" t="n">
        <x:v>2806</x:v>
      </x:c>
      <x:c r="M31" s="13" t="n">
        <x:v>4820</x:v>
      </x:c>
      <x:c r="N31" s="13" t="n">
        <x:v>6073</x:v>
      </x:c>
      <x:c r="O31" s="13" t="n">
        <x:v>687</x:v>
      </x:c>
      <x:c r="P31" s="14" t="n">
        <x:v>0.7941310256410257</x:v>
      </x:c>
      <x:c r="Q31" s="14" t="n">
        <x:v>0.8438451282051282</x:v>
      </x:c>
      <x:c r="R31" s="14" t="n">
        <x:v>0.9535041025641026</x:v>
      </x:c>
    </x:row>
    <x:row r="32">
      <x:c r="A32" s="12" t="str">
        <x:v>2026-09-11</x:v>
      </x:c>
      <x:c r="B32" s="12" t="str">
        <x:v>五</x:v>
      </x:c>
      <x:c r="C32" s="12" t="str">
        <x:v>完整日</x:v>
      </x:c>
      <x:c r="D32" s="13" t="n">
        <x:v>65</x:v>
      </x:c>
      <x:c r="E32" s="13" t="n">
        <x:v>12514</x:v>
      </x:c>
      <x:c r="F32" s="13" t="n">
        <x:v>562</x:v>
      </x:c>
      <x:c r="G32" s="13" t="n">
        <x:v>13076</x:v>
      </x:c>
      <x:c r="H32" s="13" t="n">
        <x:v>12182</x:v>
      </x:c>
      <x:c r="I32" s="13" t="n">
        <x:v>557</x:v>
      </x:c>
      <x:c r="J32" s="13" t="n">
        <x:v>12739</x:v>
      </x:c>
      <x:c r="K32" s="13" t="n">
        <x:v>12949</x:v>
      </x:c>
      <x:c r="L32" s="13" t="n">
        <x:v>1246</x:v>
      </x:c>
      <x:c r="M32" s="13" t="n">
        <x:v>3645</x:v>
      </x:c>
      <x:c r="N32" s="13" t="n">
        <x:v>3752</x:v>
      </x:c>
      <x:c r="O32" s="13" t="n">
        <x:v>295</x:v>
      </x:c>
      <x:c r="P32" s="14" t="n">
        <x:v>0.8657117094017094</x:v>
      </x:c>
      <x:c r="Q32" s="14" t="n">
        <x:v>0.8946138461538462</x:v>
      </x:c>
      <x:c r="R32" s="14" t="n">
        <x:v>0.972991282051282</x:v>
      </x:c>
    </x:row>
    <x:row r="33">
      <x:c r="A33" s="12" t="str">
        <x:v>2026-09-14</x:v>
      </x:c>
      <x:c r="B33" s="12" t="str">
        <x:v>一</x:v>
      </x:c>
      <x:c r="C33" s="12" t="str">
        <x:v>完整日</x:v>
      </x:c>
      <x:c r="D33" s="13" t="n">
        <x:v>65</x:v>
      </x:c>
      <x:c r="E33" s="13" t="n">
        <x:v>19030</x:v>
      </x:c>
      <x:c r="F33" s="13" t="n">
        <x:v>711</x:v>
      </x:c>
      <x:c r="G33" s="13" t="n">
        <x:v>19741</x:v>
      </x:c>
      <x:c r="H33" s="13" t="n">
        <x:v>18765</x:v>
      </x:c>
      <x:c r="I33" s="13" t="n">
        <x:v>717</x:v>
      </x:c>
      <x:c r="J33" s="13" t="n">
        <x:v>19482</x:v>
      </x:c>
      <x:c r="K33" s="13" t="n">
        <x:v>19538</x:v>
      </x:c>
      <x:c r="L33" s="13" t="n">
        <x:v>2477</x:v>
      </x:c>
      <x:c r="M33" s="13" t="n">
        <x:v>5671</x:v>
      </x:c>
      <x:c r="N33" s="13" t="n">
        <x:v>6063</x:v>
      </x:c>
      <x:c r="O33" s="13" t="n">
        <x:v>910</x:v>
      </x:c>
      <x:c r="P33" s="14" t="n">
        <x:v>0.8629345299145299</x:v>
      </x:c>
      <x:c r="Q33" s="14" t="n">
        <x:v>0.8933338461538461</x:v>
      </x:c>
      <x:c r="R33" s="14" t="n">
        <x:v>0.9358984615384616</x:v>
      </x:c>
    </x:row>
    <x:row r="34">
      <x:c r="A34" s="12" t="str">
        <x:v>2026-09-15</x:v>
      </x:c>
      <x:c r="B34" s="12" t="str">
        <x:v>二</x:v>
      </x:c>
      <x:c r="C34" s="12" t="str">
        <x:v>完整日</x:v>
      </x:c>
      <x:c r="D34" s="13" t="n">
        <x:v>65</x:v>
      </x:c>
      <x:c r="E34" s="13" t="n">
        <x:v>20782</x:v>
      </x:c>
      <x:c r="F34" s="13" t="n">
        <x:v>874</x:v>
      </x:c>
      <x:c r="G34" s="13" t="n">
        <x:v>21656</x:v>
      </x:c>
      <x:c r="H34" s="13" t="n">
        <x:v>20322</x:v>
      </x:c>
      <x:c r="I34" s="13" t="n">
        <x:v>823</x:v>
      </x:c>
      <x:c r="J34" s="13" t="n">
        <x:v>21145</x:v>
      </x:c>
      <x:c r="K34" s="13" t="n">
        <x:v>21471</x:v>
      </x:c>
      <x:c r="L34" s="13" t="n">
        <x:v>2313</x:v>
      </x:c>
      <x:c r="M34" s="13" t="n">
        <x:v>5125</x:v>
      </x:c>
      <x:c r="N34" s="13" t="n">
        <x:v>8148</x:v>
      </x:c>
      <x:c r="O34" s="13" t="n">
        <x:v>1018</x:v>
      </x:c>
      <x:c r="P34" s="14" t="n">
        <x:v>0.8387184615384615</x:v>
      </x:c>
      <x:c r="Q34" s="14" t="n">
        <x:v>0.9152989743589743</x:v>
      </x:c>
      <x:c r="R34" s="14" t="n">
        <x:v>0.9038466666666667</x:v>
      </x:c>
    </x:row>
    <x:row r="35">
      <x:c r="A35" s="12" t="str">
        <x:v>2026-09-16</x:v>
      </x:c>
      <x:c r="B35" s="12" t="str">
        <x:v>三</x:v>
      </x:c>
      <x:c r="C35" s="12" t="str">
        <x:v>完整日</x:v>
      </x:c>
      <x:c r="D35" s="13" t="n">
        <x:v>65</x:v>
      </x:c>
      <x:c r="E35" s="13" t="n">
        <x:v>21294</x:v>
      </x:c>
      <x:c r="F35" s="13" t="n">
        <x:v>959</x:v>
      </x:c>
      <x:c r="G35" s="13" t="n">
        <x:v>22253</x:v>
      </x:c>
      <x:c r="H35" s="13" t="n">
        <x:v>20907</x:v>
      </x:c>
      <x:c r="I35" s="13" t="n">
        <x:v>935</x:v>
      </x:c>
      <x:c r="J35" s="13" t="n">
        <x:v>21842</x:v>
      </x:c>
      <x:c r="K35" s="13" t="n">
        <x:v>22048</x:v>
      </x:c>
      <x:c r="L35" s="13" t="n">
        <x:v>2614</x:v>
      </x:c>
      <x:c r="M35" s="13" t="n">
        <x:v>5889</x:v>
      </x:c>
      <x:c r="N35" s="13" t="n">
        <x:v>7841</x:v>
      </x:c>
      <x:c r="O35" s="13" t="n">
        <x:v>884</x:v>
      </x:c>
      <x:c r="P35" s="14" t="n">
        <x:v>0.8318376923076923</x:v>
      </x:c>
      <x:c r="Q35" s="14" t="n">
        <x:v>0.8911117948717949</x:v>
      </x:c>
      <x:c r="R35" s="14" t="n">
        <x:v>0.9482046153846154</x:v>
      </x:c>
    </x:row>
    <x:row r="36">
      <x:c r="A36" s="33" t="str">
        <x:v>2026-09-17</x:v>
      </x:c>
      <x:c r="B36" s="33" t="str">
        <x:v>四</x:v>
      </x:c>
      <x:c r="C36" s="33" t="str">
        <x:v>完整日</x:v>
      </x:c>
      <x:c r="D36" s="34" t="n">
        <x:v>65</x:v>
      </x:c>
      <x:c r="E36" s="34" t="n">
        <x:v>20299</x:v>
      </x:c>
      <x:c r="F36" s="34" t="n">
        <x:v>902</x:v>
      </x:c>
      <x:c r="G36" s="34" t="n">
        <x:v>21201</x:v>
      </x:c>
      <x:c r="H36" s="34" t="n">
        <x:v>19884</x:v>
      </x:c>
      <x:c r="I36" s="34" t="n">
        <x:v>894</x:v>
      </x:c>
      <x:c r="J36" s="34" t="n">
        <x:v>20778</x:v>
      </x:c>
      <x:c r="K36" s="34" t="n">
        <x:v>20933</x:v>
      </x:c>
      <x:c r="L36" s="34" t="n">
        <x:v>2482</x:v>
      </x:c>
      <x:c r="M36" s="34" t="n">
        <x:v>5465</x:v>
      </x:c>
      <x:c r="N36" s="34" t="n">
        <x:v>7392</x:v>
      </x:c>
      <x:c r="O36" s="34" t="n">
        <x:v>839</x:v>
      </x:c>
      <x:c r="P36" s="30" t="n">
        <x:v>0.8012536752136752</x:v>
      </x:c>
      <x:c r="Q36" s="30" t="n">
        <x:v>0.87846</x:v>
      </x:c>
      <x:c r="R36" s="30" t="n">
        <x:v>0.9552989743589744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e0f36759cb2345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逐日逐時用量與還量</x:v>
      </x:c>
      <x:c r="B1" s="3" t="str">
        <x:v>逐日逐時用量與還量</x:v>
      </x:c>
      <x:c r="C1" s="3" t="str">
        <x:v>逐日逐時用量與還量</x:v>
      </x:c>
      <x:c r="D1" s="3" t="str">
        <x:v>逐日逐時用量與還量</x:v>
      </x:c>
      <x:c r="E1" s="3" t="str">
        <x:v>逐日逐時用量與還量</x:v>
      </x:c>
      <x:c r="F1" s="3" t="str">
        <x:v>逐日逐時用量與還量</x:v>
      </x:c>
      <x:c r="G1" s="3" t="str">
        <x:v>逐日逐時用量與還量</x:v>
      </x:c>
      <x:c r="H1" s="3" t="str">
        <x:v>逐日逐時用量與還量</x:v>
      </x:c>
      <x:c r="I1" s="3" t="str">
        <x:v>逐日逐時用量與還量</x:v>
      </x:c>
      <x:c r="J1" s="3" t="str">
        <x:v>逐日逐時用量與還量</x:v>
      </x:c>
      <x:c r="K1" s="3" t="str">
        <x:v>逐日逐時用量與還量</x:v>
      </x:c>
      <x:c r="L1" s="3" t="str">
        <x:v>逐日逐時用量與還量</x:v>
      </x:c>
    </x:row>
    <x:row r="2" ht="34" customHeight="1">
      <x:c r="A2" s="9" t="str">
        <x:v>期間</x:v>
      </x:c>
      <x:c r="B2" s="9" t="str">
        <x:v>日期</x:v>
      </x:c>
      <x:c r="C2" s="9" t="str">
        <x:v>小時</x:v>
      </x:c>
      <x:c r="D2" s="9" t="str">
        <x:v>2.0用量</x:v>
      </x:c>
      <x:c r="E2" s="9" t="str">
        <x:v>2.0E用量</x:v>
      </x:c>
      <x:c r="F2" s="9" t="str">
        <x:v>用量合計</x:v>
      </x:c>
      <x:c r="G2" s="9" t="str">
        <x:v>2.0還量</x:v>
      </x:c>
      <x:c r="H2" s="9" t="str">
        <x:v>2.0E還量</x:v>
      </x:c>
      <x:c r="I2" s="9" t="str">
        <x:v>還量合計</x:v>
      </x:c>
      <x:c r="J2" s="9" t="str">
        <x:v>淨流量（還-借）</x:v>
      </x:c>
      <x:c r="K2" s="9" t="str">
        <x:v>佔當日用量</x:v>
      </x:c>
      <x:c r="L2" s="9" t="str">
        <x:v>時段</x:v>
      </x:c>
    </x:row>
    <x:row r="3">
      <x:c r="A3" s="12" t="str">
        <x:v>8月平日</x:v>
      </x:c>
      <x:c r="B3" s="12" t="str">
        <x:v>2026-08-03</x:v>
      </x:c>
      <x:c r="C3" s="12" t="str">
        <x:v>00:00</x:v>
      </x:c>
      <x:c r="D3" s="13" t="n">
        <x:v>54</x:v>
      </x:c>
      <x:c r="E3" s="13" t="n">
        <x:v>3</x:v>
      </x:c>
      <x:c r="F3" s="13" t="n">
        <x:v>57</x:v>
      </x:c>
      <x:c r="G3" s="13" t="n">
        <x:v>45</x:v>
      </x:c>
      <x:c r="H3" s="13" t="n">
        <x:v>1</x:v>
      </x:c>
      <x:c r="I3" s="13" t="n">
        <x:v>46</x:v>
      </x:c>
      <x:c r="J3" s="13" t="n">
        <x:v>-11</x:v>
      </x:c>
      <x:c r="K3" s="14" t="n">
        <x:f>IFERROR(F3/SUMIFS($F:$F,$B:$B,B3),0)</x:f>
        <x:v>0.005264616237184816</x:v>
      </x:c>
      <x:c r="L3" s="12" t="str">
        <x:v>00–05</x:v>
      </x:c>
    </x:row>
    <x:row r="4">
      <x:c r="A4" s="12" t="str">
        <x:v>8月平日</x:v>
      </x:c>
      <x:c r="B4" s="12" t="str">
        <x:v>2026-08-03</x:v>
      </x:c>
      <x:c r="C4" s="12" t="str">
        <x:v>01:00</x:v>
      </x:c>
      <x:c r="D4" s="13" t="n">
        <x:v>21</x:v>
      </x:c>
      <x:c r="E4" s="13" t="n">
        <x:v>0</x:v>
      </x:c>
      <x:c r="F4" s="13" t="n">
        <x:v>21</x:v>
      </x:c>
      <x:c r="G4" s="13" t="n">
        <x:v>27</x:v>
      </x:c>
      <x:c r="H4" s="13" t="n">
        <x:v>1</x:v>
      </x:c>
      <x:c r="I4" s="13" t="n">
        <x:v>28</x:v>
      </x:c>
      <x:c r="J4" s="13" t="n">
        <x:v>7</x:v>
      </x:c>
      <x:c r="K4" s="14" t="n">
        <x:f>IFERROR(F4/SUMIFS($F:$F,$B:$B,B4),0)</x:f>
        <x:v>0.0019395954558049321</x:v>
      </x:c>
      <x:c r="L4" s="12" t="str">
        <x:v>00–05</x:v>
      </x:c>
    </x:row>
    <x:row r="5">
      <x:c r="A5" s="12" t="str">
        <x:v>8月平日</x:v>
      </x:c>
      <x:c r="B5" s="12" t="str">
        <x:v>2026-08-03</x:v>
      </x:c>
      <x:c r="C5" s="12" t="str">
        <x:v>02:00</x:v>
      </x:c>
      <x:c r="D5" s="13" t="n">
        <x:v>14</x:v>
      </x:c>
      <x:c r="E5" s="13" t="n">
        <x:v>1</x:v>
      </x:c>
      <x:c r="F5" s="13" t="n">
        <x:v>15</x:v>
      </x:c>
      <x:c r="G5" s="13" t="n">
        <x:v>9</x:v>
      </x:c>
      <x:c r="H5" s="13" t="n">
        <x:v>0</x:v>
      </x:c>
      <x:c r="I5" s="13" t="n">
        <x:v>9</x:v>
      </x:c>
      <x:c r="J5" s="13" t="n">
        <x:v>-6</x:v>
      </x:c>
      <x:c r="K5" s="14" t="n">
        <x:f>IFERROR(F5/SUMIFS($F:$F,$B:$B,B5),0)</x:f>
        <x:v>0.0013854253255749516</x:v>
      </x:c>
      <x:c r="L5" s="12" t="str">
        <x:v>00–05</x:v>
      </x:c>
    </x:row>
    <x:row r="6">
      <x:c r="A6" s="12" t="str">
        <x:v>8月平日</x:v>
      </x:c>
      <x:c r="B6" s="12" t="str">
        <x:v>2026-08-03</x:v>
      </x:c>
      <x:c r="C6" s="12" t="str">
        <x:v>03:00</x:v>
      </x:c>
      <x:c r="D6" s="13" t="n">
        <x:v>13</x:v>
      </x:c>
      <x:c r="E6" s="13" t="n">
        <x:v>1</x:v>
      </x:c>
      <x:c r="F6" s="13" t="n">
        <x:v>14</x:v>
      </x:c>
      <x:c r="G6" s="13" t="n">
        <x:v>10</x:v>
      </x:c>
      <x:c r="H6" s="13" t="n">
        <x:v>0</x:v>
      </x:c>
      <x:c r="I6" s="13" t="n">
        <x:v>10</x:v>
      </x:c>
      <x:c r="J6" s="13" t="n">
        <x:v>-4</x:v>
      </x:c>
      <x:c r="K6" s="14" t="n">
        <x:f>IFERROR(F6/SUMIFS($F:$F,$B:$B,B6),0)</x:f>
        <x:v>0.001293063637203288</x:v>
      </x:c>
      <x:c r="L6" s="12" t="str">
        <x:v>00–05</x:v>
      </x:c>
    </x:row>
    <x:row r="7">
      <x:c r="A7" s="12" t="str">
        <x:v>8月平日</x:v>
      </x:c>
      <x:c r="B7" s="12" t="str">
        <x:v>2026-08-03</x:v>
      </x:c>
      <x:c r="C7" s="12" t="str">
        <x:v>04:00</x:v>
      </x:c>
      <x:c r="D7" s="13" t="n">
        <x:v>14</x:v>
      </x:c>
      <x:c r="E7" s="13" t="n">
        <x:v>0</x:v>
      </x:c>
      <x:c r="F7" s="13" t="n">
        <x:v>14</x:v>
      </x:c>
      <x:c r="G7" s="13" t="n">
        <x:v>8</x:v>
      </x:c>
      <x:c r="H7" s="13" t="n">
        <x:v>0</x:v>
      </x:c>
      <x:c r="I7" s="13" t="n">
        <x:v>8</x:v>
      </x:c>
      <x:c r="J7" s="13" t="n">
        <x:v>-6</x:v>
      </x:c>
      <x:c r="K7" s="14" t="n">
        <x:f>IFERROR(F7/SUMIFS($F:$F,$B:$B,B7),0)</x:f>
        <x:v>0.001293063637203288</x:v>
      </x:c>
      <x:c r="L7" s="12" t="str">
        <x:v>00–05</x:v>
      </x:c>
    </x:row>
    <x:row r="8">
      <x:c r="A8" s="12" t="str">
        <x:v>8月平日</x:v>
      </x:c>
      <x:c r="B8" s="12" t="str">
        <x:v>2026-08-03</x:v>
      </x:c>
      <x:c r="C8" s="12" t="str">
        <x:v>05:00</x:v>
      </x:c>
      <x:c r="D8" s="13" t="n">
        <x:v>31</x:v>
      </x:c>
      <x:c r="E8" s="13" t="n">
        <x:v>0</x:v>
      </x:c>
      <x:c r="F8" s="13" t="n">
        <x:v>31</x:v>
      </x:c>
      <x:c r="G8" s="13" t="n">
        <x:v>57</x:v>
      </x:c>
      <x:c r="H8" s="13" t="n">
        <x:v>2</x:v>
      </x:c>
      <x:c r="I8" s="13" t="n">
        <x:v>59</x:v>
      </x:c>
      <x:c r="J8" s="13" t="n">
        <x:v>28</x:v>
      </x:c>
      <x:c r="K8" s="14" t="n">
        <x:f>IFERROR(F8/SUMIFS($F:$F,$B:$B,B8),0)</x:f>
        <x:v>0.0028632123395215666</x:v>
      </x:c>
      <x:c r="L8" s="12" t="str">
        <x:v>00–05</x:v>
      </x:c>
    </x:row>
    <x:row r="9">
      <x:c r="A9" s="12" t="str">
        <x:v>8月平日</x:v>
      </x:c>
      <x:c r="B9" s="12" t="str">
        <x:v>2026-08-03</x:v>
      </x:c>
      <x:c r="C9" s="12" t="str">
        <x:v>06:00</x:v>
      </x:c>
      <x:c r="D9" s="13" t="n">
        <x:v>106</x:v>
      </x:c>
      <x:c r="E9" s="13" t="n">
        <x:v>3</x:v>
      </x:c>
      <x:c r="F9" s="13" t="n">
        <x:v>109</x:v>
      </x:c>
      <x:c r="G9" s="13" t="n">
        <x:v>136</x:v>
      </x:c>
      <x:c r="H9" s="13" t="n">
        <x:v>13</x:v>
      </x:c>
      <x:c r="I9" s="13" t="n">
        <x:v>149</x:v>
      </x:c>
      <x:c r="J9" s="13" t="n">
        <x:v>40</x:v>
      </x:c>
      <x:c r="K9" s="14" t="n">
        <x:f>IFERROR(F9/SUMIFS($F:$F,$B:$B,B9),0)</x:f>
        <x:v>0.010067424032511315</x:v>
      </x:c>
      <x:c r="L9" s="12" t="str">
        <x:v>06–09</x:v>
      </x:c>
    </x:row>
    <x:row r="10">
      <x:c r="A10" s="12" t="str">
        <x:v>8月平日</x:v>
      </x:c>
      <x:c r="B10" s="12" t="str">
        <x:v>2026-08-03</x:v>
      </x:c>
      <x:c r="C10" s="12" t="str">
        <x:v>07:00</x:v>
      </x:c>
      <x:c r="D10" s="13" t="n">
        <x:v>381</x:v>
      </x:c>
      <x:c r="E10" s="13" t="n">
        <x:v>5</x:v>
      </x:c>
      <x:c r="F10" s="13" t="n">
        <x:v>386</x:v>
      </x:c>
      <x:c r="G10" s="13" t="n">
        <x:v>440</x:v>
      </x:c>
      <x:c r="H10" s="13" t="n">
        <x:v>18</x:v>
      </x:c>
      <x:c r="I10" s="13" t="n">
        <x:v>458</x:v>
      </x:c>
      <x:c r="J10" s="13" t="n">
        <x:v>72</x:v>
      </x:c>
      <x:c r="K10" s="14" t="n">
        <x:f>IFERROR(F10/SUMIFS($F:$F,$B:$B,B10),0)</x:f>
        <x:v>0.03565161171146208</x:v>
      </x:c>
      <x:c r="L10" s="12" t="str">
        <x:v>06–09</x:v>
      </x:c>
    </x:row>
    <x:row r="11">
      <x:c r="A11" s="12" t="str">
        <x:v>8月平日</x:v>
      </x:c>
      <x:c r="B11" s="12" t="str">
        <x:v>2026-08-03</x:v>
      </x:c>
      <x:c r="C11" s="12" t="str">
        <x:v>08:00</x:v>
      </x:c>
      <x:c r="D11" s="13" t="n">
        <x:v>543</x:v>
      </x:c>
      <x:c r="E11" s="13" t="n">
        <x:v>28</x:v>
      </x:c>
      <x:c r="F11" s="13" t="n">
        <x:v>571</x:v>
      </x:c>
      <x:c r="G11" s="13" t="n">
        <x:v>769</x:v>
      </x:c>
      <x:c r="H11" s="13" t="n">
        <x:v>49</x:v>
      </x:c>
      <x:c r="I11" s="13" t="n">
        <x:v>818</x:v>
      </x:c>
      <x:c r="J11" s="13" t="n">
        <x:v>247</x:v>
      </x:c>
      <x:c r="K11" s="14" t="n">
        <x:f>IFERROR(F11/SUMIFS($F:$F,$B:$B,B11),0)</x:f>
        <x:v>0.052738524060219824</x:v>
      </x:c>
      <x:c r="L11" s="12" t="str">
        <x:v>06–09</x:v>
      </x:c>
    </x:row>
    <x:row r="12">
      <x:c r="A12" s="12" t="str">
        <x:v>8月平日</x:v>
      </x:c>
      <x:c r="B12" s="12" t="str">
        <x:v>2026-08-03</x:v>
      </x:c>
      <x:c r="C12" s="12" t="str">
        <x:v>09:00</x:v>
      </x:c>
      <x:c r="D12" s="13" t="n">
        <x:v>481</x:v>
      </x:c>
      <x:c r="E12" s="13" t="n">
        <x:v>34</x:v>
      </x:c>
      <x:c r="F12" s="13" t="n">
        <x:v>515</x:v>
      </x:c>
      <x:c r="G12" s="13" t="n">
        <x:v>746</x:v>
      </x:c>
      <x:c r="H12" s="13" t="n">
        <x:v>48</x:v>
      </x:c>
      <x:c r="I12" s="13" t="n">
        <x:v>794</x:v>
      </x:c>
      <x:c r="J12" s="13" t="n">
        <x:v>279</x:v>
      </x:c>
      <x:c r="K12" s="14" t="n">
        <x:f>IFERROR(F12/SUMIFS($F:$F,$B:$B,B12),0)</x:f>
        <x:v>0.04756626951140667</x:v>
      </x:c>
      <x:c r="L12" s="12" t="str">
        <x:v>06–09</x:v>
      </x:c>
    </x:row>
    <x:row r="13">
      <x:c r="A13" s="12" t="str">
        <x:v>8月平日</x:v>
      </x:c>
      <x:c r="B13" s="12" t="str">
        <x:v>2026-08-03</x:v>
      </x:c>
      <x:c r="C13" s="12" t="str">
        <x:v>10:00</x:v>
      </x:c>
      <x:c r="D13" s="13" t="n">
        <x:v>487</x:v>
      </x:c>
      <x:c r="E13" s="13" t="n">
        <x:v>22</x:v>
      </x:c>
      <x:c r="F13" s="13" t="n">
        <x:v>509</x:v>
      </x:c>
      <x:c r="G13" s="13" t="n">
        <x:v>644</x:v>
      </x:c>
      <x:c r="H13" s="13" t="n">
        <x:v>30</x:v>
      </x:c>
      <x:c r="I13" s="13" t="n">
        <x:v>674</x:v>
      </x:c>
      <x:c r="J13" s="13" t="n">
        <x:v>165</x:v>
      </x:c>
      <x:c r="K13" s="14" t="n">
        <x:f>IFERROR(F13/SUMIFS($F:$F,$B:$B,B13),0)</x:f>
        <x:v>0.04701209938117669</x:v>
      </x:c>
      <x:c r="L13" s="12" t="str">
        <x:v>10–13</x:v>
      </x:c>
    </x:row>
    <x:row r="14">
      <x:c r="A14" s="12" t="str">
        <x:v>8月平日</x:v>
      </x:c>
      <x:c r="B14" s="12" t="str">
        <x:v>2026-08-03</x:v>
      </x:c>
      <x:c r="C14" s="12" t="str">
        <x:v>11:00</x:v>
      </x:c>
      <x:c r="D14" s="13" t="n">
        <x:v>699</x:v>
      </x:c>
      <x:c r="E14" s="13" t="n">
        <x:v>24</x:v>
      </x:c>
      <x:c r="F14" s="13" t="n">
        <x:v>723</x:v>
      </x:c>
      <x:c r="G14" s="13" t="n">
        <x:v>611</x:v>
      </x:c>
      <x:c r="H14" s="13" t="n">
        <x:v>24</x:v>
      </x:c>
      <x:c r="I14" s="13" t="n">
        <x:v>635</x:v>
      </x:c>
      <x:c r="J14" s="13" t="n">
        <x:v>-88</x:v>
      </x:c>
      <x:c r="K14" s="14" t="n">
        <x:f>IFERROR(F14/SUMIFS($F:$F,$B:$B,B14),0)</x:f>
        <x:v>0.06677750069271267</x:v>
      </x:c>
      <x:c r="L14" s="12" t="str">
        <x:v>10–13</x:v>
      </x:c>
    </x:row>
    <x:row r="15">
      <x:c r="A15" s="12" t="str">
        <x:v>8月平日</x:v>
      </x:c>
      <x:c r="B15" s="12" t="str">
        <x:v>2026-08-03</x:v>
      </x:c>
      <x:c r="C15" s="12" t="str">
        <x:v>12:00</x:v>
      </x:c>
      <x:c r="D15" s="13" t="n">
        <x:v>903</x:v>
      </x:c>
      <x:c r="E15" s="13" t="n">
        <x:v>20</x:v>
      </x:c>
      <x:c r="F15" s="13" t="n">
        <x:v>923</x:v>
      </x:c>
      <x:c r="G15" s="13" t="n">
        <x:v>902</x:v>
      </x:c>
      <x:c r="H15" s="13" t="n">
        <x:v>31</x:v>
      </x:c>
      <x:c r="I15" s="13" t="n">
        <x:v>933</x:v>
      </x:c>
      <x:c r="J15" s="13" t="n">
        <x:v>10</x:v>
      </x:c>
      <x:c r="K15" s="14" t="n">
        <x:f>IFERROR(F15/SUMIFS($F:$F,$B:$B,B15),0)</x:f>
        <x:v>0.08524983836704535</x:v>
      </x:c>
      <x:c r="L15" s="12" t="str">
        <x:v>10–13</x:v>
      </x:c>
    </x:row>
    <x:row r="16">
      <x:c r="A16" s="12" t="str">
        <x:v>8月平日</x:v>
      </x:c>
      <x:c r="B16" s="12" t="str">
        <x:v>2026-08-03</x:v>
      </x:c>
      <x:c r="C16" s="12" t="str">
        <x:v>13:00</x:v>
      </x:c>
      <x:c r="D16" s="13" t="n">
        <x:v>683</x:v>
      </x:c>
      <x:c r="E16" s="13" t="n">
        <x:v>20</x:v>
      </x:c>
      <x:c r="F16" s="13" t="n">
        <x:v>703</x:v>
      </x:c>
      <x:c r="G16" s="13" t="n">
        <x:v>842</x:v>
      </x:c>
      <x:c r="H16" s="13" t="n">
        <x:v>17</x:v>
      </x:c>
      <x:c r="I16" s="13" t="n">
        <x:v>859</x:v>
      </x:c>
      <x:c r="J16" s="13" t="n">
        <x:v>156</x:v>
      </x:c>
      <x:c r="K16" s="14" t="n">
        <x:f>IFERROR(F16/SUMIFS($F:$F,$B:$B,B16),0)</x:f>
        <x:v>0.0649302669252794</x:v>
      </x:c>
      <x:c r="L16" s="12" t="str">
        <x:v>10–13</x:v>
      </x:c>
    </x:row>
    <x:row r="17">
      <x:c r="A17" s="12" t="str">
        <x:v>8月平日</x:v>
      </x:c>
      <x:c r="B17" s="12" t="str">
        <x:v>2026-08-03</x:v>
      </x:c>
      <x:c r="C17" s="12" t="str">
        <x:v>14:00</x:v>
      </x:c>
      <x:c r="D17" s="13" t="n">
        <x:v>631</x:v>
      </x:c>
      <x:c r="E17" s="13" t="n">
        <x:v>15</x:v>
      </x:c>
      <x:c r="F17" s="13" t="n">
        <x:v>646</x:v>
      </x:c>
      <x:c r="G17" s="13" t="n">
        <x:v>669</x:v>
      </x:c>
      <x:c r="H17" s="13" t="n">
        <x:v>18</x:v>
      </x:c>
      <x:c r="I17" s="13" t="n">
        <x:v>687</x:v>
      </x:c>
      <x:c r="J17" s="13" t="n">
        <x:v>41</x:v>
      </x:c>
      <x:c r="K17" s="14" t="n">
        <x:f>IFERROR(F17/SUMIFS($F:$F,$B:$B,B17),0)</x:f>
        <x:v>0.059665650688094575</x:v>
      </x:c>
      <x:c r="L17" s="12" t="str">
        <x:v>14–17</x:v>
      </x:c>
    </x:row>
    <x:row r="18">
      <x:c r="A18" s="12" t="str">
        <x:v>8月平日</x:v>
      </x:c>
      <x:c r="B18" s="12" t="str">
        <x:v>2026-08-03</x:v>
      </x:c>
      <x:c r="C18" s="12" t="str">
        <x:v>15:00</x:v>
      </x:c>
      <x:c r="D18" s="13" t="n">
        <x:v>665</x:v>
      </x:c>
      <x:c r="E18" s="13" t="n">
        <x:v>20</x:v>
      </x:c>
      <x:c r="F18" s="13" t="n">
        <x:v>685</x:v>
      </x:c>
      <x:c r="G18" s="13" t="n">
        <x:v>584</x:v>
      </x:c>
      <x:c r="H18" s="13" t="n">
        <x:v>16</x:v>
      </x:c>
      <x:c r="I18" s="13" t="n">
        <x:v>600</x:v>
      </x:c>
      <x:c r="J18" s="13" t="n">
        <x:v>-85</x:v>
      </x:c>
      <x:c r="K18" s="14" t="n">
        <x:f>IFERROR(F18/SUMIFS($F:$F,$B:$B,B18),0)</x:f>
        <x:v>0.06326775653458945</x:v>
      </x:c>
      <x:c r="L18" s="12" t="str">
        <x:v>14–17</x:v>
      </x:c>
    </x:row>
    <x:row r="19">
      <x:c r="A19" s="12" t="str">
        <x:v>8月平日</x:v>
      </x:c>
      <x:c r="B19" s="12" t="str">
        <x:v>2026-08-03</x:v>
      </x:c>
      <x:c r="C19" s="12" t="str">
        <x:v>16:00</x:v>
      </x:c>
      <x:c r="D19" s="13" t="n">
        <x:v>882</x:v>
      </x:c>
      <x:c r="E19" s="13" t="n">
        <x:v>36</x:v>
      </x:c>
      <x:c r="F19" s="13" t="n">
        <x:v>918</x:v>
      </x:c>
      <x:c r="G19" s="13" t="n">
        <x:v>670</x:v>
      </x:c>
      <x:c r="H19" s="13" t="n">
        <x:v>23</x:v>
      </x:c>
      <x:c r="I19" s="13" t="n">
        <x:v>693</x:v>
      </x:c>
      <x:c r="J19" s="13" t="n">
        <x:v>-225</x:v>
      </x:c>
      <x:c r="K19" s="14" t="n">
        <x:f>IFERROR(F19/SUMIFS($F:$F,$B:$B,B19),0)</x:f>
        <x:v>0.08478802992518704</x:v>
      </x:c>
      <x:c r="L19" s="12" t="str">
        <x:v>14–17</x:v>
      </x:c>
    </x:row>
    <x:row r="20">
      <x:c r="A20" s="12" t="str">
        <x:v>8月平日</x:v>
      </x:c>
      <x:c r="B20" s="12" t="str">
        <x:v>2026-08-03</x:v>
      </x:c>
      <x:c r="C20" s="12" t="str">
        <x:v>17:00</x:v>
      </x:c>
      <x:c r="D20" s="13" t="n">
        <x:v>1337</x:v>
      </x:c>
      <x:c r="E20" s="13" t="n">
        <x:v>44</x:v>
      </x:c>
      <x:c r="F20" s="13" t="n">
        <x:v>1381</x:v>
      </x:c>
      <x:c r="G20" s="13" t="n">
        <x:v>795</x:v>
      </x:c>
      <x:c r="H20" s="13" t="n">
        <x:v>17</x:v>
      </x:c>
      <x:c r="I20" s="13" t="n">
        <x:v>812</x:v>
      </x:c>
      <x:c r="J20" s="13" t="n">
        <x:v>-569</x:v>
      </x:c>
      <x:c r="K20" s="14" t="n">
        <x:f>IFERROR(F20/SUMIFS($F:$F,$B:$B,B20),0)</x:f>
        <x:v>0.1275514916412672</x:v>
      </x:c>
      <x:c r="L20" s="12" t="str">
        <x:v>14–17</x:v>
      </x:c>
    </x:row>
    <x:row r="21">
      <x:c r="A21" s="12" t="str">
        <x:v>8月平日</x:v>
      </x:c>
      <x:c r="B21" s="12" t="str">
        <x:v>2026-08-03</x:v>
      </x:c>
      <x:c r="C21" s="12" t="str">
        <x:v>18:00</x:v>
      </x:c>
      <x:c r="D21" s="13" t="n">
        <x:v>975</x:v>
      </x:c>
      <x:c r="E21" s="13" t="n">
        <x:v>44</x:v>
      </x:c>
      <x:c r="F21" s="13" t="n">
        <x:v>1019</x:v>
      </x:c>
      <x:c r="G21" s="13" t="n">
        <x:v>705</x:v>
      </x:c>
      <x:c r="H21" s="13" t="n">
        <x:v>32</x:v>
      </x:c>
      <x:c r="I21" s="13" t="n">
        <x:v>737</x:v>
      </x:c>
      <x:c r="J21" s="13" t="n">
        <x:v>-282</x:v>
      </x:c>
      <x:c r="K21" s="14" t="n">
        <x:f>IFERROR(F21/SUMIFS($F:$F,$B:$B,B21),0)</x:f>
        <x:v>0.09411656045072504</x:v>
      </x:c>
      <x:c r="L21" s="12" t="str">
        <x:v>18–21</x:v>
      </x:c>
    </x:row>
    <x:row r="22">
      <x:c r="A22" s="12" t="str">
        <x:v>8月平日</x:v>
      </x:c>
      <x:c r="B22" s="12" t="str">
        <x:v>2026-08-03</x:v>
      </x:c>
      <x:c r="C22" s="12" t="str">
        <x:v>19:00</x:v>
      </x:c>
      <x:c r="D22" s="13" t="n">
        <x:v>532</x:v>
      </x:c>
      <x:c r="E22" s="13" t="n">
        <x:v>23</x:v>
      </x:c>
      <x:c r="F22" s="13" t="n">
        <x:v>555</x:v>
      </x:c>
      <x:c r="G22" s="13" t="n">
        <x:v>441</x:v>
      </x:c>
      <x:c r="H22" s="13" t="n">
        <x:v>19</x:v>
      </x:c>
      <x:c r="I22" s="13" t="n">
        <x:v>460</x:v>
      </x:c>
      <x:c r="J22" s="13" t="n">
        <x:v>-95</x:v>
      </x:c>
      <x:c r="K22" s="14" t="n">
        <x:f>IFERROR(F22/SUMIFS($F:$F,$B:$B,B22),0)</x:f>
        <x:v>0.05126073704627321</x:v>
      </x:c>
      <x:c r="L22" s="12" t="str">
        <x:v>18–21</x:v>
      </x:c>
    </x:row>
    <x:row r="23">
      <x:c r="A23" s="12" t="str">
        <x:v>8月平日</x:v>
      </x:c>
      <x:c r="B23" s="12" t="str">
        <x:v>2026-08-03</x:v>
      </x:c>
      <x:c r="C23" s="12" t="str">
        <x:v>20:00</x:v>
      </x:c>
      <x:c r="D23" s="13" t="n">
        <x:v>422</x:v>
      </x:c>
      <x:c r="E23" s="13" t="n">
        <x:v>17</x:v>
      </x:c>
      <x:c r="F23" s="13" t="n">
        <x:v>439</x:v>
      </x:c>
      <x:c r="G23" s="13" t="n">
        <x:v>352</x:v>
      </x:c>
      <x:c r="H23" s="13" t="n">
        <x:v>5</x:v>
      </x:c>
      <x:c r="I23" s="13" t="n">
        <x:v>357</x:v>
      </x:c>
      <x:c r="J23" s="13" t="n">
        <x:v>-82</x:v>
      </x:c>
      <x:c r="K23" s="14" t="n">
        <x:f>IFERROR(F23/SUMIFS($F:$F,$B:$B,B23),0)</x:f>
        <x:v>0.040546781195160246</x:v>
      </x:c>
      <x:c r="L23" s="12" t="str">
        <x:v>18–21</x:v>
      </x:c>
    </x:row>
    <x:row r="24">
      <x:c r="A24" s="12" t="str">
        <x:v>8月平日</x:v>
      </x:c>
      <x:c r="B24" s="12" t="str">
        <x:v>2026-08-03</x:v>
      </x:c>
      <x:c r="C24" s="12" t="str">
        <x:v>21:00</x:v>
      </x:c>
      <x:c r="D24" s="13" t="n">
        <x:v>269</x:v>
      </x:c>
      <x:c r="E24" s="13" t="n">
        <x:v>17</x:v>
      </x:c>
      <x:c r="F24" s="13" t="n">
        <x:v>286</x:v>
      </x:c>
      <x:c r="G24" s="13" t="n">
        <x:v>229</x:v>
      </x:c>
      <x:c r="H24" s="13" t="n">
        <x:v>7</x:v>
      </x:c>
      <x:c r="I24" s="13" t="n">
        <x:v>236</x:v>
      </x:c>
      <x:c r="J24" s="13" t="n">
        <x:v>-50</x:v>
      </x:c>
      <x:c r="K24" s="14" t="n">
        <x:f>IFERROR(F24/SUMIFS($F:$F,$B:$B,B24),0)</x:f>
        <x:v>0.02641544287429574</x:v>
      </x:c>
      <x:c r="L24" s="12" t="str">
        <x:v>18–21</x:v>
      </x:c>
    </x:row>
    <x:row r="25">
      <x:c r="A25" s="12" t="str">
        <x:v>8月平日</x:v>
      </x:c>
      <x:c r="B25" s="12" t="str">
        <x:v>2026-08-03</x:v>
      </x:c>
      <x:c r="C25" s="12" t="str">
        <x:v>22:00</x:v>
      </x:c>
      <x:c r="D25" s="13" t="n">
        <x:v>189</x:v>
      </x:c>
      <x:c r="E25" s="13" t="n">
        <x:v>6</x:v>
      </x:c>
      <x:c r="F25" s="13" t="n">
        <x:v>195</x:v>
      </x:c>
      <x:c r="G25" s="13" t="n">
        <x:v>130</x:v>
      </x:c>
      <x:c r="H25" s="13" t="n">
        <x:v>3</x:v>
      </x:c>
      <x:c r="I25" s="13" t="n">
        <x:v>133</x:v>
      </x:c>
      <x:c r="J25" s="13" t="n">
        <x:v>-62</x:v>
      </x:c>
      <x:c r="K25" s="14" t="n">
        <x:f>IFERROR(F25/SUMIFS($F:$F,$B:$B,B25),0)</x:f>
        <x:v>0.01801052923247437</x:v>
      </x:c>
      <x:c r="L25" s="12" t="str">
        <x:v>22–23</x:v>
      </x:c>
    </x:row>
    <x:row r="26">
      <x:c r="A26" s="12" t="str">
        <x:v>8月平日</x:v>
      </x:c>
      <x:c r="B26" s="12" t="str">
        <x:v>2026-08-03</x:v>
      </x:c>
      <x:c r="C26" s="12" t="str">
        <x:v>23:00</x:v>
      </x:c>
      <x:c r="D26" s="13" t="n">
        <x:v>109</x:v>
      </x:c>
      <x:c r="E26" s="13" t="n">
        <x:v>3</x:v>
      </x:c>
      <x:c r="F26" s="13" t="n">
        <x:v>112</x:v>
      </x:c>
      <x:c r="G26" s="13" t="n">
        <x:v>87</x:v>
      </x:c>
      <x:c r="H26" s="13" t="n">
        <x:v>1</x:v>
      </x:c>
      <x:c r="I26" s="13" t="n">
        <x:v>88</x:v>
      </x:c>
      <x:c r="J26" s="13" t="n">
        <x:v>-24</x:v>
      </x:c>
      <x:c r="K26" s="14" t="n">
        <x:f>IFERROR(F26/SUMIFS($F:$F,$B:$B,B26),0)</x:f>
        <x:v>0.010344509097626305</x:v>
      </x:c>
      <x:c r="L26" s="12" t="str">
        <x:v>22–23</x:v>
      </x:c>
    </x:row>
    <x:row r="27">
      <x:c r="A27" s="12" t="str">
        <x:v>8月平日</x:v>
      </x:c>
      <x:c r="B27" s="12" t="str">
        <x:v>2026-08-04</x:v>
      </x:c>
      <x:c r="C27" s="12" t="str">
        <x:v>00:00</x:v>
      </x:c>
      <x:c r="D27" s="13" t="n">
        <x:v>66</x:v>
      </x:c>
      <x:c r="E27" s="13" t="n">
        <x:v>0</x:v>
      </x:c>
      <x:c r="F27" s="13" t="n">
        <x:v>66</x:v>
      </x:c>
      <x:c r="G27" s="13" t="n">
        <x:v>48</x:v>
      </x:c>
      <x:c r="H27" s="13" t="n">
        <x:v>1</x:v>
      </x:c>
      <x:c r="I27" s="13" t="n">
        <x:v>49</x:v>
      </x:c>
      <x:c r="J27" s="13" t="n">
        <x:v>-17</x:v>
      </x:c>
      <x:c r="K27" s="14" t="n">
        <x:f>IFERROR(F27/SUMIFS($F:$F,$B:$B,B27),0)</x:f>
        <x:v>0.005973391257127342</x:v>
      </x:c>
      <x:c r="L27" s="12" t="str">
        <x:v>00–05</x:v>
      </x:c>
    </x:row>
    <x:row r="28">
      <x:c r="A28" s="12" t="str">
        <x:v>8月平日</x:v>
      </x:c>
      <x:c r="B28" s="12" t="str">
        <x:v>2026-08-04</x:v>
      </x:c>
      <x:c r="C28" s="12" t="str">
        <x:v>01:00</x:v>
      </x:c>
      <x:c r="D28" s="13" t="n">
        <x:v>15</x:v>
      </x:c>
      <x:c r="E28" s="13" t="n">
        <x:v>1</x:v>
      </x:c>
      <x:c r="F28" s="13" t="n">
        <x:v>16</x:v>
      </x:c>
      <x:c r="G28" s="13" t="n">
        <x:v>14</x:v>
      </x:c>
      <x:c r="H28" s="13" t="n">
        <x:v>2</x:v>
      </x:c>
      <x:c r="I28" s="13" t="n">
        <x:v>16</x:v>
      </x:c>
      <x:c r="J28" s="13" t="n">
        <x:v>0</x:v>
      </x:c>
      <x:c r="K28" s="14" t="n">
        <x:f>IFERROR(F28/SUMIFS($F:$F,$B:$B,B28),0)</x:f>
        <x:v>0.001448094850212689</x:v>
      </x:c>
      <x:c r="L28" s="12" t="str">
        <x:v>00–05</x:v>
      </x:c>
    </x:row>
    <x:row r="29">
      <x:c r="A29" s="12" t="str">
        <x:v>8月平日</x:v>
      </x:c>
      <x:c r="B29" s="12" t="str">
        <x:v>2026-08-04</x:v>
      </x:c>
      <x:c r="C29" s="12" t="str">
        <x:v>02:00</x:v>
      </x:c>
      <x:c r="D29" s="13" t="n">
        <x:v>17</x:v>
      </x:c>
      <x:c r="E29" s="13" t="n">
        <x:v>2</x:v>
      </x:c>
      <x:c r="F29" s="13" t="n">
        <x:v>19</x:v>
      </x:c>
      <x:c r="G29" s="13" t="n">
        <x:v>24</x:v>
      </x:c>
      <x:c r="H29" s="13" t="n">
        <x:v>1</x:v>
      </x:c>
      <x:c r="I29" s="13" t="n">
        <x:v>25</x:v>
      </x:c>
      <x:c r="J29" s="13" t="n">
        <x:v>6</x:v>
      </x:c>
      <x:c r="K29" s="14" t="n">
        <x:f>IFERROR(F29/SUMIFS($F:$F,$B:$B,B29),0)</x:f>
        <x:v>0.001719612634627568</x:v>
      </x:c>
      <x:c r="L29" s="12" t="str">
        <x:v>00–05</x:v>
      </x:c>
    </x:row>
    <x:row r="30">
      <x:c r="A30" s="12" t="str">
        <x:v>8月平日</x:v>
      </x:c>
      <x:c r="B30" s="12" t="str">
        <x:v>2026-08-04</x:v>
      </x:c>
      <x:c r="C30" s="12" t="str">
        <x:v>03:00</x:v>
      </x:c>
      <x:c r="D30" s="13" t="n">
        <x:v>10</x:v>
      </x:c>
      <x:c r="E30" s="13" t="n">
        <x:v>1</x:v>
      </x:c>
      <x:c r="F30" s="13" t="n">
        <x:v>11</x:v>
      </x:c>
      <x:c r="G30" s="13" t="n">
        <x:v>11</x:v>
      </x:c>
      <x:c r="H30" s="13" t="n">
        <x:v>0</x:v>
      </x:c>
      <x:c r="I30" s="13" t="n">
        <x:v>11</x:v>
      </x:c>
      <x:c r="J30" s="13" t="n">
        <x:v>0</x:v>
      </x:c>
      <x:c r="K30" s="14" t="n">
        <x:f>IFERROR(F30/SUMIFS($F:$F,$B:$B,B30),0)</x:f>
        <x:v>0.0009955652095212236</x:v>
      </x:c>
      <x:c r="L30" s="12" t="str">
        <x:v>00–05</x:v>
      </x:c>
    </x:row>
    <x:row r="31">
      <x:c r="A31" s="12" t="str">
        <x:v>8月平日</x:v>
      </x:c>
      <x:c r="B31" s="12" t="str">
        <x:v>2026-08-04</x:v>
      </x:c>
      <x:c r="C31" s="12" t="str">
        <x:v>04:00</x:v>
      </x:c>
      <x:c r="D31" s="13" t="n">
        <x:v>14</x:v>
      </x:c>
      <x:c r="E31" s="13" t="n">
        <x:v>0</x:v>
      </x:c>
      <x:c r="F31" s="13" t="n">
        <x:v>14</x:v>
      </x:c>
      <x:c r="G31" s="13" t="n">
        <x:v>10</x:v>
      </x:c>
      <x:c r="H31" s="13" t="n">
        <x:v>1</x:v>
      </x:c>
      <x:c r="I31" s="13" t="n">
        <x:v>11</x:v>
      </x:c>
      <x:c r="J31" s="13" t="n">
        <x:v>-3</x:v>
      </x:c>
      <x:c r="K31" s="14" t="n">
        <x:f>IFERROR(F31/SUMIFS($F:$F,$B:$B,B31),0)</x:f>
        <x:v>0.0012670829939361028</x:v>
      </x:c>
      <x:c r="L31" s="12" t="str">
        <x:v>00–05</x:v>
      </x:c>
    </x:row>
    <x:row r="32">
      <x:c r="A32" s="12" t="str">
        <x:v>8月平日</x:v>
      </x:c>
      <x:c r="B32" s="12" t="str">
        <x:v>2026-08-04</x:v>
      </x:c>
      <x:c r="C32" s="12" t="str">
        <x:v>05:00</x:v>
      </x:c>
      <x:c r="D32" s="13" t="n">
        <x:v>37</x:v>
      </x:c>
      <x:c r="E32" s="13" t="n">
        <x:v>1</x:v>
      </x:c>
      <x:c r="F32" s="13" t="n">
        <x:v>38</x:v>
      </x:c>
      <x:c r="G32" s="13" t="n">
        <x:v>63</x:v>
      </x:c>
      <x:c r="H32" s="13" t="n">
        <x:v>4</x:v>
      </x:c>
      <x:c r="I32" s="13" t="n">
        <x:v>67</x:v>
      </x:c>
      <x:c r="J32" s="13" t="n">
        <x:v>29</x:v>
      </x:c>
      <x:c r="K32" s="14" t="n">
        <x:f>IFERROR(F32/SUMIFS($F:$F,$B:$B,B32),0)</x:f>
        <x:v>0.003439225269255136</x:v>
      </x:c>
      <x:c r="L32" s="12" t="str">
        <x:v>00–05</x:v>
      </x:c>
    </x:row>
    <x:row r="33">
      <x:c r="A33" s="12" t="str">
        <x:v>8月平日</x:v>
      </x:c>
      <x:c r="B33" s="12" t="str">
        <x:v>2026-08-04</x:v>
      </x:c>
      <x:c r="C33" s="12" t="str">
        <x:v>06:00</x:v>
      </x:c>
      <x:c r="D33" s="13" t="n">
        <x:v>113</x:v>
      </x:c>
      <x:c r="E33" s="13" t="n">
        <x:v>2</x:v>
      </x:c>
      <x:c r="F33" s="13" t="n">
        <x:v>115</x:v>
      </x:c>
      <x:c r="G33" s="13" t="n">
        <x:v>147</x:v>
      </x:c>
      <x:c r="H33" s="13" t="n">
        <x:v>6</x:v>
      </x:c>
      <x:c r="I33" s="13" t="n">
        <x:v>153</x:v>
      </x:c>
      <x:c r="J33" s="13" t="n">
        <x:v>38</x:v>
      </x:c>
      <x:c r="K33" s="14" t="n">
        <x:f>IFERROR(F33/SUMIFS($F:$F,$B:$B,B33),0)</x:f>
        <x:v>0.010408181735903702</x:v>
      </x:c>
      <x:c r="L33" s="12" t="str">
        <x:v>06–09</x:v>
      </x:c>
    </x:row>
    <x:row r="34">
      <x:c r="A34" s="12" t="str">
        <x:v>8月平日</x:v>
      </x:c>
      <x:c r="B34" s="12" t="str">
        <x:v>2026-08-04</x:v>
      </x:c>
      <x:c r="C34" s="12" t="str">
        <x:v>07:00</x:v>
      </x:c>
      <x:c r="D34" s="13" t="n">
        <x:v>419</x:v>
      </x:c>
      <x:c r="E34" s="13" t="n">
        <x:v>10</x:v>
      </x:c>
      <x:c r="F34" s="13" t="n">
        <x:v>429</x:v>
      </x:c>
      <x:c r="G34" s="13" t="n">
        <x:v>470</x:v>
      </x:c>
      <x:c r="H34" s="13" t="n">
        <x:v>18</x:v>
      </x:c>
      <x:c r="I34" s="13" t="n">
        <x:v>488</x:v>
      </x:c>
      <x:c r="J34" s="13" t="n">
        <x:v>59</x:v>
      </x:c>
      <x:c r="K34" s="14" t="n">
        <x:f>IFERROR(F34/SUMIFS($F:$F,$B:$B,B34),0)</x:f>
        <x:v>0.03882704317132772</x:v>
      </x:c>
      <x:c r="L34" s="12" t="str">
        <x:v>06–09</x:v>
      </x:c>
    </x:row>
    <x:row r="35">
      <x:c r="A35" s="12" t="str">
        <x:v>8月平日</x:v>
      </x:c>
      <x:c r="B35" s="12" t="str">
        <x:v>2026-08-04</x:v>
      </x:c>
      <x:c r="C35" s="12" t="str">
        <x:v>08:00</x:v>
      </x:c>
      <x:c r="D35" s="13" t="n">
        <x:v>583</x:v>
      </x:c>
      <x:c r="E35" s="13" t="n">
        <x:v>22</x:v>
      </x:c>
      <x:c r="F35" s="13" t="n">
        <x:v>605</x:v>
      </x:c>
      <x:c r="G35" s="13" t="n">
        <x:v>923</x:v>
      </x:c>
      <x:c r="H35" s="13" t="n">
        <x:v>55</x:v>
      </x:c>
      <x:c r="I35" s="13" t="n">
        <x:v>978</x:v>
      </x:c>
      <x:c r="J35" s="13" t="n">
        <x:v>373</x:v>
      </x:c>
      <x:c r="K35" s="14" t="n">
        <x:f>IFERROR(F35/SUMIFS($F:$F,$B:$B,B35),0)</x:f>
        <x:v>0.0547560865236673</x:v>
      </x:c>
      <x:c r="L35" s="12" t="str">
        <x:v>06–09</x:v>
      </x:c>
    </x:row>
    <x:row r="36">
      <x:c r="A36" s="12" t="str">
        <x:v>8月平日</x:v>
      </x:c>
      <x:c r="B36" s="12" t="str">
        <x:v>2026-08-04</x:v>
      </x:c>
      <x:c r="C36" s="12" t="str">
        <x:v>09:00</x:v>
      </x:c>
      <x:c r="D36" s="13" t="n">
        <x:v>525</x:v>
      </x:c>
      <x:c r="E36" s="13" t="n">
        <x:v>30</x:v>
      </x:c>
      <x:c r="F36" s="13" t="n">
        <x:v>555</x:v>
      </x:c>
      <x:c r="G36" s="13" t="n">
        <x:v>768</x:v>
      </x:c>
      <x:c r="H36" s="13" t="n">
        <x:v>40</x:v>
      </x:c>
      <x:c r="I36" s="13" t="n">
        <x:v>808</x:v>
      </x:c>
      <x:c r="J36" s="13" t="n">
        <x:v>253</x:v>
      </x:c>
      <x:c r="K36" s="14" t="n">
        <x:f>IFERROR(F36/SUMIFS($F:$F,$B:$B,B36),0)</x:f>
        <x:v>0.05023079011675265</x:v>
      </x:c>
      <x:c r="L36" s="12" t="str">
        <x:v>06–09</x:v>
      </x:c>
    </x:row>
    <x:row r="37">
      <x:c r="A37" s="12" t="str">
        <x:v>8月平日</x:v>
      </x:c>
      <x:c r="B37" s="12" t="str">
        <x:v>2026-08-04</x:v>
      </x:c>
      <x:c r="C37" s="12" t="str">
        <x:v>10:00</x:v>
      </x:c>
      <x:c r="D37" s="13" t="n">
        <x:v>465</x:v>
      </x:c>
      <x:c r="E37" s="13" t="n">
        <x:v>20</x:v>
      </x:c>
      <x:c r="F37" s="13" t="n">
        <x:v>485</x:v>
      </x:c>
      <x:c r="G37" s="13" t="n">
        <x:v>597</x:v>
      </x:c>
      <x:c r="H37" s="13" t="n">
        <x:v>32</x:v>
      </x:c>
      <x:c r="I37" s="13" t="n">
        <x:v>629</x:v>
      </x:c>
      <x:c r="J37" s="13" t="n">
        <x:v>144</x:v>
      </x:c>
      <x:c r="K37" s="14" t="n">
        <x:f>IFERROR(F37/SUMIFS($F:$F,$B:$B,B37),0)</x:f>
        <x:v>0.04389537514707213</x:v>
      </x:c>
      <x:c r="L37" s="12" t="str">
        <x:v>10–13</x:v>
      </x:c>
    </x:row>
    <x:row r="38">
      <x:c r="A38" s="12" t="str">
        <x:v>8月平日</x:v>
      </x:c>
      <x:c r="B38" s="12" t="str">
        <x:v>2026-08-04</x:v>
      </x:c>
      <x:c r="C38" s="12" t="str">
        <x:v>11:00</x:v>
      </x:c>
      <x:c r="D38" s="13" t="n">
        <x:v>692</x:v>
      </x:c>
      <x:c r="E38" s="13" t="n">
        <x:v>34</x:v>
      </x:c>
      <x:c r="F38" s="13" t="n">
        <x:v>726</x:v>
      </x:c>
      <x:c r="G38" s="13" t="n">
        <x:v>622</x:v>
      </x:c>
      <x:c r="H38" s="13" t="n">
        <x:v>22</x:v>
      </x:c>
      <x:c r="I38" s="13" t="n">
        <x:v>644</x:v>
      </x:c>
      <x:c r="J38" s="13" t="n">
        <x:v>-82</x:v>
      </x:c>
      <x:c r="K38" s="14" t="n">
        <x:f>IFERROR(F38/SUMIFS($F:$F,$B:$B,B38),0)</x:f>
        <x:v>0.06570730382840076</x:v>
      </x:c>
      <x:c r="L38" s="12" t="str">
        <x:v>10–13</x:v>
      </x:c>
    </x:row>
    <x:row r="39">
      <x:c r="A39" s="12" t="str">
        <x:v>8月平日</x:v>
      </x:c>
      <x:c r="B39" s="12" t="str">
        <x:v>2026-08-04</x:v>
      </x:c>
      <x:c r="C39" s="12" t="str">
        <x:v>12:00</x:v>
      </x:c>
      <x:c r="D39" s="13" t="n">
        <x:v>831</x:v>
      </x:c>
      <x:c r="E39" s="13" t="n">
        <x:v>24</x:v>
      </x:c>
      <x:c r="F39" s="13" t="n">
        <x:v>855</x:v>
      </x:c>
      <x:c r="G39" s="13" t="n">
        <x:v>891</x:v>
      </x:c>
      <x:c r="H39" s="13" t="n">
        <x:v>34</x:v>
      </x:c>
      <x:c r="I39" s="13" t="n">
        <x:v>925</x:v>
      </x:c>
      <x:c r="J39" s="13" t="n">
        <x:v>70</x:v>
      </x:c>
      <x:c r="K39" s="14" t="n">
        <x:f>IFERROR(F39/SUMIFS($F:$F,$B:$B,B39),0)</x:f>
        <x:v>0.07738256855824056</x:v>
      </x:c>
      <x:c r="L39" s="12" t="str">
        <x:v>10–13</x:v>
      </x:c>
    </x:row>
    <x:row r="40">
      <x:c r="A40" s="12" t="str">
        <x:v>8月平日</x:v>
      </x:c>
      <x:c r="B40" s="12" t="str">
        <x:v>2026-08-04</x:v>
      </x:c>
      <x:c r="C40" s="12" t="str">
        <x:v>13:00</x:v>
      </x:c>
      <x:c r="D40" s="13" t="n">
        <x:v>741</x:v>
      </x:c>
      <x:c r="E40" s="13" t="n">
        <x:v>22</x:v>
      </x:c>
      <x:c r="F40" s="13" t="n">
        <x:v>763</x:v>
      </x:c>
      <x:c r="G40" s="13" t="n">
        <x:v>846</x:v>
      </x:c>
      <x:c r="H40" s="13" t="n">
        <x:v>25</x:v>
      </x:c>
      <x:c r="I40" s="13" t="n">
        <x:v>871</x:v>
      </x:c>
      <x:c r="J40" s="13" t="n">
        <x:v>108</x:v>
      </x:c>
      <x:c r="K40" s="14" t="n">
        <x:f>IFERROR(F40/SUMIFS($F:$F,$B:$B,B40),0)</x:f>
        <x:v>0.0690560231695176</x:v>
      </x:c>
      <x:c r="L40" s="12" t="str">
        <x:v>10–13</x:v>
      </x:c>
    </x:row>
    <x:row r="41">
      <x:c r="A41" s="12" t="str">
        <x:v>8月平日</x:v>
      </x:c>
      <x:c r="B41" s="12" t="str">
        <x:v>2026-08-04</x:v>
      </x:c>
      <x:c r="C41" s="12" t="str">
        <x:v>14:00</x:v>
      </x:c>
      <x:c r="D41" s="13" t="n">
        <x:v>610</x:v>
      </x:c>
      <x:c r="E41" s="13" t="n">
        <x:v>14</x:v>
      </x:c>
      <x:c r="F41" s="13" t="n">
        <x:v>624</x:v>
      </x:c>
      <x:c r="G41" s="13" t="n">
        <x:v>659</x:v>
      </x:c>
      <x:c r="H41" s="13" t="n">
        <x:v>22</x:v>
      </x:c>
      <x:c r="I41" s="13" t="n">
        <x:v>681</x:v>
      </x:c>
      <x:c r="J41" s="13" t="n">
        <x:v>57</x:v>
      </x:c>
      <x:c r="K41" s="14" t="n">
        <x:f>IFERROR(F41/SUMIFS($F:$F,$B:$B,B41),0)</x:f>
        <x:v>0.05647569915829487</x:v>
      </x:c>
      <x:c r="L41" s="12" t="str">
        <x:v>14–17</x:v>
      </x:c>
    </x:row>
    <x:row r="42">
      <x:c r="A42" s="12" t="str">
        <x:v>8月平日</x:v>
      </x:c>
      <x:c r="B42" s="12" t="str">
        <x:v>2026-08-04</x:v>
      </x:c>
      <x:c r="C42" s="12" t="str">
        <x:v>15:00</x:v>
      </x:c>
      <x:c r="D42" s="13" t="n">
        <x:v>711</x:v>
      </x:c>
      <x:c r="E42" s="13" t="n">
        <x:v>25</x:v>
      </x:c>
      <x:c r="F42" s="13" t="n">
        <x:v>736</x:v>
      </x:c>
      <x:c r="G42" s="13" t="n">
        <x:v>635</x:v>
      </x:c>
      <x:c r="H42" s="13" t="n">
        <x:v>22</x:v>
      </x:c>
      <x:c r="I42" s="13" t="n">
        <x:v>657</x:v>
      </x:c>
      <x:c r="J42" s="13" t="n">
        <x:v>-79</x:v>
      </x:c>
      <x:c r="K42" s="14" t="n">
        <x:f>IFERROR(F42/SUMIFS($F:$F,$B:$B,B42),0)</x:f>
        <x:v>0.06661236310978369</x:v>
      </x:c>
      <x:c r="L42" s="12" t="str">
        <x:v>14–17</x:v>
      </x:c>
    </x:row>
    <x:row r="43">
      <x:c r="A43" s="12" t="str">
        <x:v>8月平日</x:v>
      </x:c>
      <x:c r="B43" s="12" t="str">
        <x:v>2026-08-04</x:v>
      </x:c>
      <x:c r="C43" s="12" t="str">
        <x:v>16:00</x:v>
      </x:c>
      <x:c r="D43" s="13" t="n">
        <x:v>878</x:v>
      </x:c>
      <x:c r="E43" s="13" t="n">
        <x:v>38</x:v>
      </x:c>
      <x:c r="F43" s="13" t="n">
        <x:v>916</x:v>
      </x:c>
      <x:c r="G43" s="13" t="n">
        <x:v>670</x:v>
      </x:c>
      <x:c r="H43" s="13" t="n">
        <x:v>20</x:v>
      </x:c>
      <x:c r="I43" s="13" t="n">
        <x:v>690</x:v>
      </x:c>
      <x:c r="J43" s="13" t="n">
        <x:v>-226</x:v>
      </x:c>
      <x:c r="K43" s="14" t="n">
        <x:f>IFERROR(F43/SUMIFS($F:$F,$B:$B,B43),0)</x:f>
        <x:v>0.08290343017467644</x:v>
      </x:c>
      <x:c r="L43" s="12" t="str">
        <x:v>14–17</x:v>
      </x:c>
    </x:row>
    <x:row r="44">
      <x:c r="A44" s="12" t="str">
        <x:v>8月平日</x:v>
      </x:c>
      <x:c r="B44" s="12" t="str">
        <x:v>2026-08-04</x:v>
      </x:c>
      <x:c r="C44" s="12" t="str">
        <x:v>17:00</x:v>
      </x:c>
      <x:c r="D44" s="13" t="n">
        <x:v>1343</x:v>
      </x:c>
      <x:c r="E44" s="13" t="n">
        <x:v>45</x:v>
      </x:c>
      <x:c r="F44" s="13" t="n">
        <x:v>1388</x:v>
      </x:c>
      <x:c r="G44" s="13" t="n">
        <x:v>808</x:v>
      </x:c>
      <x:c r="H44" s="13" t="n">
        <x:v>23</x:v>
      </x:c>
      <x:c r="I44" s="13" t="n">
        <x:v>831</x:v>
      </x:c>
      <x:c r="J44" s="13" t="n">
        <x:v>-557</x:v>
      </x:c>
      <x:c r="K44" s="14" t="n">
        <x:f>IFERROR(F44/SUMIFS($F:$F,$B:$B,B44),0)</x:f>
        <x:v>0.12562222825595076</x:v>
      </x:c>
      <x:c r="L44" s="12" t="str">
        <x:v>14–17</x:v>
      </x:c>
    </x:row>
    <x:row r="45">
      <x:c r="A45" s="12" t="str">
        <x:v>8月平日</x:v>
      </x:c>
      <x:c r="B45" s="12" t="str">
        <x:v>2026-08-04</x:v>
      </x:c>
      <x:c r="C45" s="12" t="str">
        <x:v>18:00</x:v>
      </x:c>
      <x:c r="D45" s="13" t="n">
        <x:v>935</x:v>
      </x:c>
      <x:c r="E45" s="13" t="n">
        <x:v>40</x:v>
      </x:c>
      <x:c r="F45" s="13" t="n">
        <x:v>975</x:v>
      </x:c>
      <x:c r="G45" s="13" t="n">
        <x:v>704</x:v>
      </x:c>
      <x:c r="H45" s="13" t="n">
        <x:v>24</x:v>
      </x:c>
      <x:c r="I45" s="13" t="n">
        <x:v>728</x:v>
      </x:c>
      <x:c r="J45" s="13" t="n">
        <x:v>-247</x:v>
      </x:c>
      <x:c r="K45" s="14" t="n">
        <x:f>IFERROR(F45/SUMIFS($F:$F,$B:$B,B45),0)</x:f>
        <x:v>0.08824327993483573</x:v>
      </x:c>
      <x:c r="L45" s="12" t="str">
        <x:v>18–21</x:v>
      </x:c>
    </x:row>
    <x:row r="46">
      <x:c r="A46" s="12" t="str">
        <x:v>8月平日</x:v>
      </x:c>
      <x:c r="B46" s="12" t="str">
        <x:v>2026-08-04</x:v>
      </x:c>
      <x:c r="C46" s="12" t="str">
        <x:v>19:00</x:v>
      </x:c>
      <x:c r="D46" s="13" t="n">
        <x:v>554</x:v>
      </x:c>
      <x:c r="E46" s="13" t="n">
        <x:v>21</x:v>
      </x:c>
      <x:c r="F46" s="13" t="n">
        <x:v>575</x:v>
      </x:c>
      <x:c r="G46" s="13" t="n">
        <x:v>497</x:v>
      </x:c>
      <x:c r="H46" s="13" t="n">
        <x:v>18</x:v>
      </x:c>
      <x:c r="I46" s="13" t="n">
        <x:v>515</x:v>
      </x:c>
      <x:c r="J46" s="13" t="n">
        <x:v>-60</x:v>
      </x:c>
      <x:c r="K46" s="14" t="n">
        <x:f>IFERROR(F46/SUMIFS($F:$F,$B:$B,B46),0)</x:f>
        <x:v>0.05204090867951851</x:v>
      </x:c>
      <x:c r="L46" s="12" t="str">
        <x:v>18–21</x:v>
      </x:c>
    </x:row>
    <x:row r="47">
      <x:c r="A47" s="12" t="str">
        <x:v>8月平日</x:v>
      </x:c>
      <x:c r="B47" s="12" t="str">
        <x:v>2026-08-04</x:v>
      </x:c>
      <x:c r="C47" s="12" t="str">
        <x:v>20:00</x:v>
      </x:c>
      <x:c r="D47" s="13" t="n">
        <x:v>440</x:v>
      </x:c>
      <x:c r="E47" s="13" t="n">
        <x:v>14</x:v>
      </x:c>
      <x:c r="F47" s="13" t="n">
        <x:v>454</x:v>
      </x:c>
      <x:c r="G47" s="13" t="n">
        <x:v>338</x:v>
      </x:c>
      <x:c r="H47" s="13" t="n">
        <x:v>10</x:v>
      </x:c>
      <x:c r="I47" s="13" t="n">
        <x:v>348</x:v>
      </x:c>
      <x:c r="J47" s="13" t="n">
        <x:v>-106</x:v>
      </x:c>
      <x:c r="K47" s="14" t="n">
        <x:f>IFERROR(F47/SUMIFS($F:$F,$B:$B,B47),0)</x:f>
        <x:v>0.04108969137478505</x:v>
      </x:c>
      <x:c r="L47" s="12" t="str">
        <x:v>18–21</x:v>
      </x:c>
    </x:row>
    <x:row r="48">
      <x:c r="A48" s="12" t="str">
        <x:v>8月平日</x:v>
      </x:c>
      <x:c r="B48" s="12" t="str">
        <x:v>2026-08-04</x:v>
      </x:c>
      <x:c r="C48" s="12" t="str">
        <x:v>21:00</x:v>
      </x:c>
      <x:c r="D48" s="13" t="n">
        <x:v>302</x:v>
      </x:c>
      <x:c r="E48" s="13" t="n">
        <x:v>30</x:v>
      </x:c>
      <x:c r="F48" s="13" t="n">
        <x:v>332</x:v>
      </x:c>
      <x:c r="G48" s="13" t="n">
        <x:v>256</x:v>
      </x:c>
      <x:c r="H48" s="13" t="n">
        <x:v>14</x:v>
      </x:c>
      <x:c r="I48" s="13" t="n">
        <x:v>270</x:v>
      </x:c>
      <x:c r="J48" s="13" t="n">
        <x:v>-62</x:v>
      </x:c>
      <x:c r="K48" s="14" t="n">
        <x:f>IFERROR(F48/SUMIFS($F:$F,$B:$B,B48),0)</x:f>
        <x:v>0.030047968141913295</x:v>
      </x:c>
      <x:c r="L48" s="12" t="str">
        <x:v>18–21</x:v>
      </x:c>
    </x:row>
    <x:row r="49">
      <x:c r="A49" s="12" t="str">
        <x:v>8月平日</x:v>
      </x:c>
      <x:c r="B49" s="12" t="str">
        <x:v>2026-08-04</x:v>
      </x:c>
      <x:c r="C49" s="12" t="str">
        <x:v>22:00</x:v>
      </x:c>
      <x:c r="D49" s="13" t="n">
        <x:v>206</x:v>
      </x:c>
      <x:c r="E49" s="13" t="n">
        <x:v>8</x:v>
      </x:c>
      <x:c r="F49" s="13" t="n">
        <x:v>214</x:v>
      </x:c>
      <x:c r="G49" s="13" t="n">
        <x:v>156</x:v>
      </x:c>
      <x:c r="H49" s="13" t="n">
        <x:v>9</x:v>
      </x:c>
      <x:c r="I49" s="13" t="n">
        <x:v>165</x:v>
      </x:c>
      <x:c r="J49" s="13" t="n">
        <x:v>-49</x:v>
      </x:c>
      <x:c r="K49" s="14" t="n">
        <x:f>IFERROR(F49/SUMIFS($F:$F,$B:$B,B49),0)</x:f>
        <x:v>0.019368268621594714</x:v>
      </x:c>
      <x:c r="L49" s="12" t="str">
        <x:v>22–23</x:v>
      </x:c>
    </x:row>
    <x:row r="50">
      <x:c r="A50" s="12" t="str">
        <x:v>8月平日</x:v>
      </x:c>
      <x:c r="B50" s="12" t="str">
        <x:v>2026-08-04</x:v>
      </x:c>
      <x:c r="C50" s="12" t="str">
        <x:v>23:00</x:v>
      </x:c>
      <x:c r="D50" s="13" t="n">
        <x:v>135</x:v>
      </x:c>
      <x:c r="E50" s="13" t="n">
        <x:v>3</x:v>
      </x:c>
      <x:c r="F50" s="13" t="n">
        <x:v>138</x:v>
      </x:c>
      <x:c r="G50" s="13" t="n">
        <x:v>90</x:v>
      </x:c>
      <x:c r="H50" s="13" t="n">
        <x:v>3</x:v>
      </x:c>
      <x:c r="I50" s="13" t="n">
        <x:v>93</x:v>
      </x:c>
      <x:c r="J50" s="13" t="n">
        <x:v>-45</x:v>
      </x:c>
      <x:c r="K50" s="14" t="n">
        <x:f>IFERROR(F50/SUMIFS($F:$F,$B:$B,B50),0)</x:f>
        <x:v>0.012489818083084442</x:v>
      </x:c>
      <x:c r="L50" s="12" t="str">
        <x:v>22–23</x:v>
      </x:c>
    </x:row>
    <x:row r="51">
      <x:c r="A51" s="12" t="str">
        <x:v>8月平日</x:v>
      </x:c>
      <x:c r="B51" s="12" t="str">
        <x:v>2026-08-05</x:v>
      </x:c>
      <x:c r="C51" s="12" t="str">
        <x:v>00:00</x:v>
      </x:c>
      <x:c r="D51" s="13" t="n">
        <x:v>90</x:v>
      </x:c>
      <x:c r="E51" s="13" t="n">
        <x:v>6</x:v>
      </x:c>
      <x:c r="F51" s="13" t="n">
        <x:v>96</x:v>
      </x:c>
      <x:c r="G51" s="13" t="n">
        <x:v>67</x:v>
      </x:c>
      <x:c r="H51" s="13" t="n">
        <x:v>2</x:v>
      </x:c>
      <x:c r="I51" s="13" t="n">
        <x:v>69</x:v>
      </x:c>
      <x:c r="J51" s="13" t="n">
        <x:v>-27</x:v>
      </x:c>
      <x:c r="K51" s="14" t="n">
        <x:f>IFERROR(F51/SUMIFS($F:$F,$B:$B,B51),0)</x:f>
        <x:v>0.008597528210639442</x:v>
      </x:c>
      <x:c r="L51" s="12" t="str">
        <x:v>00–05</x:v>
      </x:c>
    </x:row>
    <x:row r="52">
      <x:c r="A52" s="12" t="str">
        <x:v>8月平日</x:v>
      </x:c>
      <x:c r="B52" s="12" t="str">
        <x:v>2026-08-05</x:v>
      </x:c>
      <x:c r="C52" s="12" t="str">
        <x:v>01:00</x:v>
      </x:c>
      <x:c r="D52" s="13" t="n">
        <x:v>50</x:v>
      </x:c>
      <x:c r="E52" s="13" t="n">
        <x:v>1</x:v>
      </x:c>
      <x:c r="F52" s="13" t="n">
        <x:v>51</x:v>
      </x:c>
      <x:c r="G52" s="13" t="n">
        <x:v>31</x:v>
      </x:c>
      <x:c r="H52" s="13" t="n">
        <x:v>0</x:v>
      </x:c>
      <x:c r="I52" s="13" t="n">
        <x:v>31</x:v>
      </x:c>
      <x:c r="J52" s="13" t="n">
        <x:v>-20</x:v>
      </x:c>
      <x:c r="K52" s="14" t="n">
        <x:f>IFERROR(F52/SUMIFS($F:$F,$B:$B,B52),0)</x:f>
        <x:v>0.0045674368619022035</x:v>
      </x:c>
      <x:c r="L52" s="12" t="str">
        <x:v>00–05</x:v>
      </x:c>
    </x:row>
    <x:row r="53">
      <x:c r="A53" s="12" t="str">
        <x:v>8月平日</x:v>
      </x:c>
      <x:c r="B53" s="12" t="str">
        <x:v>2026-08-05</x:v>
      </x:c>
      <x:c r="C53" s="12" t="str">
        <x:v>02:00</x:v>
      </x:c>
      <x:c r="D53" s="13" t="n">
        <x:v>16</x:v>
      </x:c>
      <x:c r="E53" s="13" t="n">
        <x:v>4</x:v>
      </x:c>
      <x:c r="F53" s="13" t="n">
        <x:v>20</x:v>
      </x:c>
      <x:c r="G53" s="13" t="n">
        <x:v>13</x:v>
      </x:c>
      <x:c r="H53" s="13" t="n">
        <x:v>2</x:v>
      </x:c>
      <x:c r="I53" s="13" t="n">
        <x:v>15</x:v>
      </x:c>
      <x:c r="J53" s="13" t="n">
        <x:v>-5</x:v>
      </x:c>
      <x:c r="K53" s="14" t="n">
        <x:f>IFERROR(F53/SUMIFS($F:$F,$B:$B,B53),0)</x:f>
        <x:v>0.0017911517105498836</x:v>
      </x:c>
      <x:c r="L53" s="12" t="str">
        <x:v>00–05</x:v>
      </x:c>
    </x:row>
    <x:row r="54">
      <x:c r="A54" s="12" t="str">
        <x:v>8月平日</x:v>
      </x:c>
      <x:c r="B54" s="12" t="str">
        <x:v>2026-08-05</x:v>
      </x:c>
      <x:c r="C54" s="12" t="str">
        <x:v>03:00</x:v>
      </x:c>
      <x:c r="D54" s="13" t="n">
        <x:v>14</x:v>
      </x:c>
      <x:c r="E54" s="13" t="n">
        <x:v>0</x:v>
      </x:c>
      <x:c r="F54" s="13" t="n">
        <x:v>14</x:v>
      </x:c>
      <x:c r="G54" s="13" t="n">
        <x:v>9</x:v>
      </x:c>
      <x:c r="H54" s="13" t="n">
        <x:v>0</x:v>
      </x:c>
      <x:c r="I54" s="13" t="n">
        <x:v>9</x:v>
      </x:c>
      <x:c r="J54" s="13" t="n">
        <x:v>-5</x:v>
      </x:c>
      <x:c r="K54" s="14" t="n">
        <x:f>IFERROR(F54/SUMIFS($F:$F,$B:$B,B54),0)</x:f>
        <x:v>0.0012538061973849184</x:v>
      </x:c>
      <x:c r="L54" s="12" t="str">
        <x:v>00–05</x:v>
      </x:c>
    </x:row>
    <x:row r="55">
      <x:c r="A55" s="12" t="str">
        <x:v>8月平日</x:v>
      </x:c>
      <x:c r="B55" s="12" t="str">
        <x:v>2026-08-05</x:v>
      </x:c>
      <x:c r="C55" s="12" t="str">
        <x:v>04:00</x:v>
      </x:c>
      <x:c r="D55" s="13" t="n">
        <x:v>15</x:v>
      </x:c>
      <x:c r="E55" s="13" t="n">
        <x:v>0</x:v>
      </x:c>
      <x:c r="F55" s="13" t="n">
        <x:v>15</x:v>
      </x:c>
      <x:c r="G55" s="13" t="n">
        <x:v>15</x:v>
      </x:c>
      <x:c r="H55" s="13" t="n">
        <x:v>0</x:v>
      </x:c>
      <x:c r="I55" s="13" t="n">
        <x:v>15</x:v>
      </x:c>
      <x:c r="J55" s="13" t="n">
        <x:v>0</x:v>
      </x:c>
      <x:c r="K55" s="14" t="n">
        <x:f>IFERROR(F55/SUMIFS($F:$F,$B:$B,B55),0)</x:f>
        <x:v>0.0013433637829124126</x:v>
      </x:c>
      <x:c r="L55" s="12" t="str">
        <x:v>00–05</x:v>
      </x:c>
    </x:row>
    <x:row r="56">
      <x:c r="A56" s="12" t="str">
        <x:v>8月平日</x:v>
      </x:c>
      <x:c r="B56" s="12" t="str">
        <x:v>2026-08-05</x:v>
      </x:c>
      <x:c r="C56" s="12" t="str">
        <x:v>05:00</x:v>
      </x:c>
      <x:c r="D56" s="13" t="n">
        <x:v>43</x:v>
      </x:c>
      <x:c r="E56" s="13" t="n">
        <x:v>2</x:v>
      </x:c>
      <x:c r="F56" s="13" t="n">
        <x:v>45</x:v>
      </x:c>
      <x:c r="G56" s="13" t="n">
        <x:v>63</x:v>
      </x:c>
      <x:c r="H56" s="13" t="n">
        <x:v>4</x:v>
      </x:c>
      <x:c r="I56" s="13" t="n">
        <x:v>67</x:v>
      </x:c>
      <x:c r="J56" s="13" t="n">
        <x:v>22</x:v>
      </x:c>
      <x:c r="K56" s="14" t="n">
        <x:f>IFERROR(F56/SUMIFS($F:$F,$B:$B,B56),0)</x:f>
        <x:v>0.004030091348737238</x:v>
      </x:c>
      <x:c r="L56" s="12" t="str">
        <x:v>00–05</x:v>
      </x:c>
    </x:row>
    <x:row r="57">
      <x:c r="A57" s="12" t="str">
        <x:v>8月平日</x:v>
      </x:c>
      <x:c r="B57" s="12" t="str">
        <x:v>2026-08-05</x:v>
      </x:c>
      <x:c r="C57" s="12" t="str">
        <x:v>06:00</x:v>
      </x:c>
      <x:c r="D57" s="13" t="n">
        <x:v>129</x:v>
      </x:c>
      <x:c r="E57" s="13" t="n">
        <x:v>6</x:v>
      </x:c>
      <x:c r="F57" s="13" t="n">
        <x:v>135</x:v>
      </x:c>
      <x:c r="G57" s="13" t="n">
        <x:v>149</x:v>
      </x:c>
      <x:c r="H57" s="13" t="n">
        <x:v>10</x:v>
      </x:c>
      <x:c r="I57" s="13" t="n">
        <x:v>159</x:v>
      </x:c>
      <x:c r="J57" s="13" t="n">
        <x:v>24</x:v>
      </x:c>
      <x:c r="K57" s="14" t="n">
        <x:f>IFERROR(F57/SUMIFS($F:$F,$B:$B,B57),0)</x:f>
        <x:v>0.012090274046211715</x:v>
      </x:c>
      <x:c r="L57" s="12" t="str">
        <x:v>06–09</x:v>
      </x:c>
    </x:row>
    <x:row r="58">
      <x:c r="A58" s="12" t="str">
        <x:v>8月平日</x:v>
      </x:c>
      <x:c r="B58" s="12" t="str">
        <x:v>2026-08-05</x:v>
      </x:c>
      <x:c r="C58" s="12" t="str">
        <x:v>07:00</x:v>
      </x:c>
      <x:c r="D58" s="13" t="n">
        <x:v>395</x:v>
      </x:c>
      <x:c r="E58" s="13" t="n">
        <x:v>14</x:v>
      </x:c>
      <x:c r="F58" s="13" t="n">
        <x:v>409</x:v>
      </x:c>
      <x:c r="G58" s="13" t="n">
        <x:v>456</x:v>
      </x:c>
      <x:c r="H58" s="13" t="n">
        <x:v>21</x:v>
      </x:c>
      <x:c r="I58" s="13" t="n">
        <x:v>477</x:v>
      </x:c>
      <x:c r="J58" s="13" t="n">
        <x:v>68</x:v>
      </x:c>
      <x:c r="K58" s="14" t="n">
        <x:f>IFERROR(F58/SUMIFS($F:$F,$B:$B,B58),0)</x:f>
        <x:v>0.03662905248074512</x:v>
      </x:c>
      <x:c r="L58" s="12" t="str">
        <x:v>06–09</x:v>
      </x:c>
    </x:row>
    <x:row r="59">
      <x:c r="A59" s="12" t="str">
        <x:v>8月平日</x:v>
      </x:c>
      <x:c r="B59" s="12" t="str">
        <x:v>2026-08-05</x:v>
      </x:c>
      <x:c r="C59" s="12" t="str">
        <x:v>08:00</x:v>
      </x:c>
      <x:c r="D59" s="13" t="n">
        <x:v>606</x:v>
      </x:c>
      <x:c r="E59" s="13" t="n">
        <x:v>34</x:v>
      </x:c>
      <x:c r="F59" s="13" t="n">
        <x:v>640</x:v>
      </x:c>
      <x:c r="G59" s="13" t="n">
        <x:v>879</x:v>
      </x:c>
      <x:c r="H59" s="13" t="n">
        <x:v>59</x:v>
      </x:c>
      <x:c r="I59" s="13" t="n">
        <x:v>938</x:v>
      </x:c>
      <x:c r="J59" s="13" t="n">
        <x:v>298</x:v>
      </x:c>
      <x:c r="K59" s="14" t="n">
        <x:f>IFERROR(F59/SUMIFS($F:$F,$B:$B,B59),0)</x:f>
        <x:v>0.057316854737596276</x:v>
      </x:c>
      <x:c r="L59" s="12" t="str">
        <x:v>06–09</x:v>
      </x:c>
    </x:row>
    <x:row r="60">
      <x:c r="A60" s="12" t="str">
        <x:v>8月平日</x:v>
      </x:c>
      <x:c r="B60" s="12" t="str">
        <x:v>2026-08-05</x:v>
      </x:c>
      <x:c r="C60" s="12" t="str">
        <x:v>09:00</x:v>
      </x:c>
      <x:c r="D60" s="13" t="n">
        <x:v>484</x:v>
      </x:c>
      <x:c r="E60" s="13" t="n">
        <x:v>33</x:v>
      </x:c>
      <x:c r="F60" s="13" t="n">
        <x:v>517</x:v>
      </x:c>
      <x:c r="G60" s="13" t="n">
        <x:v>695</x:v>
      </x:c>
      <x:c r="H60" s="13" t="n">
        <x:v>46</x:v>
      </x:c>
      <x:c r="I60" s="13" t="n">
        <x:v>741</x:v>
      </x:c>
      <x:c r="J60" s="13" t="n">
        <x:v>224</x:v>
      </x:c>
      <x:c r="K60" s="14" t="n">
        <x:f>IFERROR(F60/SUMIFS($F:$F,$B:$B,B60),0)</x:f>
        <x:v>0.04630127171771449</x:v>
      </x:c>
      <x:c r="L60" s="12" t="str">
        <x:v>06–09</x:v>
      </x:c>
    </x:row>
    <x:row r="61">
      <x:c r="A61" s="12" t="str">
        <x:v>8月平日</x:v>
      </x:c>
      <x:c r="B61" s="12" t="str">
        <x:v>2026-08-05</x:v>
      </x:c>
      <x:c r="C61" s="12" t="str">
        <x:v>10:00</x:v>
      </x:c>
      <x:c r="D61" s="13" t="n">
        <x:v>511</x:v>
      </x:c>
      <x:c r="E61" s="13" t="n">
        <x:v>18</x:v>
      </x:c>
      <x:c r="F61" s="13" t="n">
        <x:v>529</x:v>
      </x:c>
      <x:c r="G61" s="13" t="n">
        <x:v>649</x:v>
      </x:c>
      <x:c r="H61" s="13" t="n">
        <x:v>32</x:v>
      </x:c>
      <x:c r="I61" s="13" t="n">
        <x:v>681</x:v>
      </x:c>
      <x:c r="J61" s="13" t="n">
        <x:v>152</x:v>
      </x:c>
      <x:c r="K61" s="14" t="n">
        <x:f>IFERROR(F61/SUMIFS($F:$F,$B:$B,B61),0)</x:f>
        <x:v>0.047375962744044424</x:v>
      </x:c>
      <x:c r="L61" s="12" t="str">
        <x:v>10–13</x:v>
      </x:c>
    </x:row>
    <x:row r="62">
      <x:c r="A62" s="12" t="str">
        <x:v>8月平日</x:v>
      </x:c>
      <x:c r="B62" s="12" t="str">
        <x:v>2026-08-05</x:v>
      </x:c>
      <x:c r="C62" s="12" t="str">
        <x:v>11:00</x:v>
      </x:c>
      <x:c r="D62" s="13" t="n">
        <x:v>726</x:v>
      </x:c>
      <x:c r="E62" s="13" t="n">
        <x:v>33</x:v>
      </x:c>
      <x:c r="F62" s="13" t="n">
        <x:v>759</x:v>
      </x:c>
      <x:c r="G62" s="13" t="n">
        <x:v>664</x:v>
      </x:c>
      <x:c r="H62" s="13" t="n">
        <x:v>25</x:v>
      </x:c>
      <x:c r="I62" s="13" t="n">
        <x:v>689</x:v>
      </x:c>
      <x:c r="J62" s="13" t="n">
        <x:v>-70</x:v>
      </x:c>
      <x:c r="K62" s="14" t="n">
        <x:f>IFERROR(F62/SUMIFS($F:$F,$B:$B,B62),0)</x:f>
        <x:v>0.06797420741536808</x:v>
      </x:c>
      <x:c r="L62" s="12" t="str">
        <x:v>10–13</x:v>
      </x:c>
    </x:row>
    <x:row r="63">
      <x:c r="A63" s="12" t="str">
        <x:v>8月平日</x:v>
      </x:c>
      <x:c r="B63" s="12" t="str">
        <x:v>2026-08-05</x:v>
      </x:c>
      <x:c r="C63" s="12" t="str">
        <x:v>12:00</x:v>
      </x:c>
      <x:c r="D63" s="13" t="n">
        <x:v>923</x:v>
      </x:c>
      <x:c r="E63" s="13" t="n">
        <x:v>22</x:v>
      </x:c>
      <x:c r="F63" s="13" t="n">
        <x:v>945</x:v>
      </x:c>
      <x:c r="G63" s="13" t="n">
        <x:v>936</x:v>
      </x:c>
      <x:c r="H63" s="13" t="n">
        <x:v>30</x:v>
      </x:c>
      <x:c r="I63" s="13" t="n">
        <x:v>966</x:v>
      </x:c>
      <x:c r="J63" s="13" t="n">
        <x:v>21</x:v>
      </x:c>
      <x:c r="K63" s="14" t="n">
        <x:f>IFERROR(F63/SUMIFS($F:$F,$B:$B,B63),0)</x:f>
        <x:v>0.084631918323482</x:v>
      </x:c>
      <x:c r="L63" s="12" t="str">
        <x:v>10–13</x:v>
      </x:c>
    </x:row>
    <x:row r="64">
      <x:c r="A64" s="12" t="str">
        <x:v>8月平日</x:v>
      </x:c>
      <x:c r="B64" s="12" t="str">
        <x:v>2026-08-05</x:v>
      </x:c>
      <x:c r="C64" s="12" t="str">
        <x:v>13:00</x:v>
      </x:c>
      <x:c r="D64" s="13" t="n">
        <x:v>715</x:v>
      </x:c>
      <x:c r="E64" s="13" t="n">
        <x:v>17</x:v>
      </x:c>
      <x:c r="F64" s="13" t="n">
        <x:v>732</x:v>
      </x:c>
      <x:c r="G64" s="13" t="n">
        <x:v>916</x:v>
      </x:c>
      <x:c r="H64" s="13" t="n">
        <x:v>22</x:v>
      </x:c>
      <x:c r="I64" s="13" t="n">
        <x:v>938</x:v>
      </x:c>
      <x:c r="J64" s="13" t="n">
        <x:v>206</x:v>
      </x:c>
      <x:c r="K64" s="14" t="n">
        <x:f>IFERROR(F64/SUMIFS($F:$F,$B:$B,B64),0)</x:f>
        <x:v>0.06555615260612574</x:v>
      </x:c>
      <x:c r="L64" s="12" t="str">
        <x:v>10–13</x:v>
      </x:c>
    </x:row>
    <x:row r="65">
      <x:c r="A65" s="12" t="str">
        <x:v>8月平日</x:v>
      </x:c>
      <x:c r="B65" s="12" t="str">
        <x:v>2026-08-05</x:v>
      </x:c>
      <x:c r="C65" s="12" t="str">
        <x:v>14:00</x:v>
      </x:c>
      <x:c r="D65" s="13" t="n">
        <x:v>597</x:v>
      </x:c>
      <x:c r="E65" s="13" t="n">
        <x:v>12</x:v>
      </x:c>
      <x:c r="F65" s="13" t="n">
        <x:v>609</x:v>
      </x:c>
      <x:c r="G65" s="13" t="n">
        <x:v>656</x:v>
      </x:c>
      <x:c r="H65" s="13" t="n">
        <x:v>15</x:v>
      </x:c>
      <x:c r="I65" s="13" t="n">
        <x:v>671</x:v>
      </x:c>
      <x:c r="J65" s="13" t="n">
        <x:v>62</x:v>
      </x:c>
      <x:c r="K65" s="14" t="n">
        <x:f>IFERROR(F65/SUMIFS($F:$F,$B:$B,B65),0)</x:f>
        <x:v>0.05454056958624395</x:v>
      </x:c>
      <x:c r="L65" s="12" t="str">
        <x:v>14–17</x:v>
      </x:c>
    </x:row>
    <x:row r="66">
      <x:c r="A66" s="12" t="str">
        <x:v>8月平日</x:v>
      </x:c>
      <x:c r="B66" s="12" t="str">
        <x:v>2026-08-05</x:v>
      </x:c>
      <x:c r="C66" s="12" t="str">
        <x:v>15:00</x:v>
      </x:c>
      <x:c r="D66" s="13" t="n">
        <x:v>704</x:v>
      </x:c>
      <x:c r="E66" s="13" t="n">
        <x:v>19</x:v>
      </x:c>
      <x:c r="F66" s="13" t="n">
        <x:v>723</x:v>
      </x:c>
      <x:c r="G66" s="13" t="n">
        <x:v>612</x:v>
      </x:c>
      <x:c r="H66" s="13" t="n">
        <x:v>17</x:v>
      </x:c>
      <x:c r="I66" s="13" t="n">
        <x:v>629</x:v>
      </x:c>
      <x:c r="J66" s="13" t="n">
        <x:v>-94</x:v>
      </x:c>
      <x:c r="K66" s="14" t="n">
        <x:f>IFERROR(F66/SUMIFS($F:$F,$B:$B,B66),0)</x:f>
        <x:v>0.06475013433637829</x:v>
      </x:c>
      <x:c r="L66" s="12" t="str">
        <x:v>14–17</x:v>
      </x:c>
    </x:row>
    <x:row r="67">
      <x:c r="A67" s="12" t="str">
        <x:v>8月平日</x:v>
      </x:c>
      <x:c r="B67" s="12" t="str">
        <x:v>2026-08-05</x:v>
      </x:c>
      <x:c r="C67" s="12" t="str">
        <x:v>16:00</x:v>
      </x:c>
      <x:c r="D67" s="13" t="n">
        <x:v>955</x:v>
      </x:c>
      <x:c r="E67" s="13" t="n">
        <x:v>32</x:v>
      </x:c>
      <x:c r="F67" s="13" t="n">
        <x:v>987</x:v>
      </x:c>
      <x:c r="G67" s="13" t="n">
        <x:v>678</x:v>
      </x:c>
      <x:c r="H67" s="13" t="n">
        <x:v>15</x:v>
      </x:c>
      <x:c r="I67" s="13" t="n">
        <x:v>693</x:v>
      </x:c>
      <x:c r="J67" s="13" t="n">
        <x:v>-294</x:v>
      </x:c>
      <x:c r="K67" s="14" t="n">
        <x:f>IFERROR(F67/SUMIFS($F:$F,$B:$B,B67),0)</x:f>
        <x:v>0.08839333691563675</x:v>
      </x:c>
      <x:c r="L67" s="12" t="str">
        <x:v>14–17</x:v>
      </x:c>
    </x:row>
    <x:row r="68">
      <x:c r="A68" s="12" t="str">
        <x:v>8月平日</x:v>
      </x:c>
      <x:c r="B68" s="12" t="str">
        <x:v>2026-08-05</x:v>
      </x:c>
      <x:c r="C68" s="12" t="str">
        <x:v>17:00</x:v>
      </x:c>
      <x:c r="D68" s="13" t="n">
        <x:v>1416</x:v>
      </x:c>
      <x:c r="E68" s="13" t="n">
        <x:v>59</x:v>
      </x:c>
      <x:c r="F68" s="13" t="n">
        <x:v>1475</x:v>
      </x:c>
      <x:c r="G68" s="13" t="n">
        <x:v>813</x:v>
      </x:c>
      <x:c r="H68" s="13" t="n">
        <x:v>20</x:v>
      </x:c>
      <x:c r="I68" s="13" t="n">
        <x:v>833</x:v>
      </x:c>
      <x:c r="J68" s="13" t="n">
        <x:v>-642</x:v>
      </x:c>
      <x:c r="K68" s="14" t="n">
        <x:f>IFERROR(F68/SUMIFS($F:$F,$B:$B,B68),0)</x:f>
        <x:v>0.1320974386530539</x:v>
      </x:c>
      <x:c r="L68" s="12" t="str">
        <x:v>14–17</x:v>
      </x:c>
    </x:row>
    <x:row r="69">
      <x:c r="A69" s="12" t="str">
        <x:v>8月平日</x:v>
      </x:c>
      <x:c r="B69" s="12" t="str">
        <x:v>2026-08-05</x:v>
      </x:c>
      <x:c r="C69" s="12" t="str">
        <x:v>18:00</x:v>
      </x:c>
      <x:c r="D69" s="13" t="n">
        <x:v>817</x:v>
      </x:c>
      <x:c r="E69" s="13" t="n">
        <x:v>35</x:v>
      </x:c>
      <x:c r="F69" s="13" t="n">
        <x:v>852</x:v>
      </x:c>
      <x:c r="G69" s="13" t="n">
        <x:v>650</x:v>
      </x:c>
      <x:c r="H69" s="13" t="n">
        <x:v>22</x:v>
      </x:c>
      <x:c r="I69" s="13" t="n">
        <x:v>672</x:v>
      </x:c>
      <x:c r="J69" s="13" t="n">
        <x:v>-180</x:v>
      </x:c>
      <x:c r="K69" s="14" t="n">
        <x:f>IFERROR(F69/SUMIFS($F:$F,$B:$B,B69),0)</x:f>
        <x:v>0.07630306286942504</x:v>
      </x:c>
      <x:c r="L69" s="12" t="str">
        <x:v>18–21</x:v>
      </x:c>
    </x:row>
    <x:row r="70">
      <x:c r="A70" s="12" t="str">
        <x:v>8月平日</x:v>
      </x:c>
      <x:c r="B70" s="12" t="str">
        <x:v>2026-08-05</x:v>
      </x:c>
      <x:c r="C70" s="12" t="str">
        <x:v>19:00</x:v>
      </x:c>
      <x:c r="D70" s="13" t="n">
        <x:v>536</x:v>
      </x:c>
      <x:c r="E70" s="13" t="n">
        <x:v>28</x:v>
      </x:c>
      <x:c r="F70" s="13" t="n">
        <x:v>564</x:v>
      </x:c>
      <x:c r="G70" s="13" t="n">
        <x:v>485</x:v>
      </x:c>
      <x:c r="H70" s="13" t="n">
        <x:v>16</x:v>
      </x:c>
      <x:c r="I70" s="13" t="n">
        <x:v>501</x:v>
      </x:c>
      <x:c r="J70" s="13" t="n">
        <x:v>-63</x:v>
      </x:c>
      <x:c r="K70" s="14" t="n">
        <x:f>IFERROR(F70/SUMIFS($F:$F,$B:$B,B70),0)</x:f>
        <x:v>0.05051047823750672</x:v>
      </x:c>
      <x:c r="L70" s="12" t="str">
        <x:v>18–21</x:v>
      </x:c>
    </x:row>
    <x:row r="71">
      <x:c r="A71" s="12" t="str">
        <x:v>8月平日</x:v>
      </x:c>
      <x:c r="B71" s="12" t="str">
        <x:v>2026-08-05</x:v>
      </x:c>
      <x:c r="C71" s="12" t="str">
        <x:v>20:00</x:v>
      </x:c>
      <x:c r="D71" s="13" t="n">
        <x:v>358</x:v>
      </x:c>
      <x:c r="E71" s="13" t="n">
        <x:v>17</x:v>
      </x:c>
      <x:c r="F71" s="13" t="n">
        <x:v>375</x:v>
      </x:c>
      <x:c r="G71" s="13" t="n">
        <x:v>324</x:v>
      </x:c>
      <x:c r="H71" s="13" t="n">
        <x:v>13</x:v>
      </x:c>
      <x:c r="I71" s="13" t="n">
        <x:v>337</x:v>
      </x:c>
      <x:c r="J71" s="13" t="n">
        <x:v>-38</x:v>
      </x:c>
      <x:c r="K71" s="14" t="n">
        <x:f>IFERROR(F71/SUMIFS($F:$F,$B:$B,B71),0)</x:f>
        <x:v>0.033584094572810315</x:v>
      </x:c>
      <x:c r="L71" s="12" t="str">
        <x:v>18–21</x:v>
      </x:c>
    </x:row>
    <x:row r="72">
      <x:c r="A72" s="12" t="str">
        <x:v>8月平日</x:v>
      </x:c>
      <x:c r="B72" s="12" t="str">
        <x:v>2026-08-05</x:v>
      </x:c>
      <x:c r="C72" s="12" t="str">
        <x:v>21:00</x:v>
      </x:c>
      <x:c r="D72" s="13" t="n">
        <x:v>306</x:v>
      </x:c>
      <x:c r="E72" s="13" t="n">
        <x:v>18</x:v>
      </x:c>
      <x:c r="F72" s="13" t="n">
        <x:v>324</x:v>
      </x:c>
      <x:c r="G72" s="13" t="n">
        <x:v>220</x:v>
      </x:c>
      <x:c r="H72" s="13" t="n">
        <x:v>11</x:v>
      </x:c>
      <x:c r="I72" s="13" t="n">
        <x:v>231</x:v>
      </x:c>
      <x:c r="J72" s="13" t="n">
        <x:v>-93</x:v>
      </x:c>
      <x:c r="K72" s="14" t="n">
        <x:f>IFERROR(F72/SUMIFS($F:$F,$B:$B,B72),0)</x:f>
        <x:v>0.029016657710908115</x:v>
      </x:c>
      <x:c r="L72" s="12" t="str">
        <x:v>18–21</x:v>
      </x:c>
    </x:row>
    <x:row r="73">
      <x:c r="A73" s="12" t="str">
        <x:v>8月平日</x:v>
      </x:c>
      <x:c r="B73" s="12" t="str">
        <x:v>2026-08-05</x:v>
      </x:c>
      <x:c r="C73" s="12" t="str">
        <x:v>22:00</x:v>
      </x:c>
      <x:c r="D73" s="13" t="n">
        <x:v>228</x:v>
      </x:c>
      <x:c r="E73" s="13" t="n">
        <x:v>6</x:v>
      </x:c>
      <x:c r="F73" s="13" t="n">
        <x:v>234</x:v>
      </x:c>
      <x:c r="G73" s="13" t="n">
        <x:v>194</x:v>
      </x:c>
      <x:c r="H73" s="13" t="n">
        <x:v>5</x:v>
      </x:c>
      <x:c r="I73" s="13" t="n">
        <x:v>199</x:v>
      </x:c>
      <x:c r="J73" s="13" t="n">
        <x:v>-35</x:v>
      </x:c>
      <x:c r="K73" s="14" t="n">
        <x:f>IFERROR(F73/SUMIFS($F:$F,$B:$B,B73),0)</x:f>
        <x:v>0.02095647501343364</x:v>
      </x:c>
      <x:c r="L73" s="12" t="str">
        <x:v>22–23</x:v>
      </x:c>
    </x:row>
    <x:row r="74">
      <x:c r="A74" s="12" t="str">
        <x:v>8月平日</x:v>
      </x:c>
      <x:c r="B74" s="12" t="str">
        <x:v>2026-08-05</x:v>
      </x:c>
      <x:c r="C74" s="12" t="str">
        <x:v>23:00</x:v>
      </x:c>
      <x:c r="D74" s="13" t="n">
        <x:v>108</x:v>
      </x:c>
      <x:c r="E74" s="13" t="n">
        <x:v>8</x:v>
      </x:c>
      <x:c r="F74" s="13" t="n">
        <x:v>116</x:v>
      </x:c>
      <x:c r="G74" s="13" t="n">
        <x:v>76</x:v>
      </x:c>
      <x:c r="H74" s="13" t="n">
        <x:v>3</x:v>
      </x:c>
      <x:c r="I74" s="13" t="n">
        <x:v>79</x:v>
      </x:c>
      <x:c r="J74" s="13" t="n">
        <x:v>-37</x:v>
      </x:c>
      <x:c r="K74" s="14" t="n">
        <x:f>IFERROR(F74/SUMIFS($F:$F,$B:$B,B74),0)</x:f>
        <x:v>0.010388679921189324</x:v>
      </x:c>
      <x:c r="L74" s="12" t="str">
        <x:v>22–23</x:v>
      </x:c>
    </x:row>
    <x:row r="75">
      <x:c r="A75" s="12" t="str">
        <x:v>8月平日</x:v>
      </x:c>
      <x:c r="B75" s="12" t="str">
        <x:v>2026-08-06</x:v>
      </x:c>
      <x:c r="C75" s="12" t="str">
        <x:v>00:00</x:v>
      </x:c>
      <x:c r="D75" s="13" t="n">
        <x:v>75</x:v>
      </x:c>
      <x:c r="E75" s="13" t="n">
        <x:v>2</x:v>
      </x:c>
      <x:c r="F75" s="13" t="n">
        <x:v>77</x:v>
      </x:c>
      <x:c r="G75" s="13" t="n">
        <x:v>66</x:v>
      </x:c>
      <x:c r="H75" s="13" t="n">
        <x:v>4</x:v>
      </x:c>
      <x:c r="I75" s="13" t="n">
        <x:v>70</x:v>
      </x:c>
      <x:c r="J75" s="13" t="n">
        <x:v>-7</x:v>
      </x:c>
      <x:c r="K75" s="14" t="n">
        <x:f>IFERROR(F75/SUMIFS($F:$F,$B:$B,B75),0)</x:f>
        <x:v>0.007286146858440575</x:v>
      </x:c>
      <x:c r="L75" s="12" t="str">
        <x:v>00–05</x:v>
      </x:c>
    </x:row>
    <x:row r="76">
      <x:c r="A76" s="12" t="str">
        <x:v>8月平日</x:v>
      </x:c>
      <x:c r="B76" s="12" t="str">
        <x:v>2026-08-06</x:v>
      </x:c>
      <x:c r="C76" s="12" t="str">
        <x:v>01:00</x:v>
      </x:c>
      <x:c r="D76" s="13" t="n">
        <x:v>25</x:v>
      </x:c>
      <x:c r="E76" s="13" t="n">
        <x:v>2</x:v>
      </x:c>
      <x:c r="F76" s="13" t="n">
        <x:v>27</x:v>
      </x:c>
      <x:c r="G76" s="13" t="n">
        <x:v>32</x:v>
      </x:c>
      <x:c r="H76" s="13" t="n">
        <x:v>0</x:v>
      </x:c>
      <x:c r="I76" s="13" t="n">
        <x:v>32</x:v>
      </x:c>
      <x:c r="J76" s="13" t="n">
        <x:v>5</x:v>
      </x:c>
      <x:c r="K76" s="14" t="n">
        <x:f>IFERROR(F76/SUMIFS($F:$F,$B:$B,B76),0)</x:f>
        <x:v>0.002554882664647994</x:v>
      </x:c>
      <x:c r="L76" s="12" t="str">
        <x:v>00–05</x:v>
      </x:c>
    </x:row>
    <x:row r="77">
      <x:c r="A77" s="12" t="str">
        <x:v>8月平日</x:v>
      </x:c>
      <x:c r="B77" s="12" t="str">
        <x:v>2026-08-06</x:v>
      </x:c>
      <x:c r="C77" s="12" t="str">
        <x:v>02:00</x:v>
      </x:c>
      <x:c r="D77" s="13" t="n">
        <x:v>8</x:v>
      </x:c>
      <x:c r="E77" s="13" t="n">
        <x:v>0</x:v>
      </x:c>
      <x:c r="F77" s="13" t="n">
        <x:v>8</x:v>
      </x:c>
      <x:c r="G77" s="13" t="n">
        <x:v>8</x:v>
      </x:c>
      <x:c r="H77" s="13" t="n">
        <x:v>2</x:v>
      </x:c>
      <x:c r="I77" s="13" t="n">
        <x:v>10</x:v>
      </x:c>
      <x:c r="J77" s="13" t="n">
        <x:v>2</x:v>
      </x:c>
      <x:c r="K77" s="14" t="n">
        <x:f>IFERROR(F77/SUMIFS($F:$F,$B:$B,B77),0)</x:f>
        <x:v>0.000757002271006813</x:v>
      </x:c>
      <x:c r="L77" s="12" t="str">
        <x:v>00–05</x:v>
      </x:c>
    </x:row>
    <x:row r="78">
      <x:c r="A78" s="12" t="str">
        <x:v>8月平日</x:v>
      </x:c>
      <x:c r="B78" s="12" t="str">
        <x:v>2026-08-06</x:v>
      </x:c>
      <x:c r="C78" s="12" t="str">
        <x:v>03:00</x:v>
      </x:c>
      <x:c r="D78" s="13" t="n">
        <x:v>15</x:v>
      </x:c>
      <x:c r="E78" s="13" t="n">
        <x:v>3</x:v>
      </x:c>
      <x:c r="F78" s="13" t="n">
        <x:v>18</x:v>
      </x:c>
      <x:c r="G78" s="13" t="n">
        <x:v>9</x:v>
      </x:c>
      <x:c r="H78" s="13" t="n">
        <x:v>1</x:v>
      </x:c>
      <x:c r="I78" s="13" t="n">
        <x:v>10</x:v>
      </x:c>
      <x:c r="J78" s="13" t="n">
        <x:v>-8</x:v>
      </x:c>
      <x:c r="K78" s="14" t="n">
        <x:f>IFERROR(F78/SUMIFS($F:$F,$B:$B,B78),0)</x:f>
        <x:v>0.0017032551097653293</x:v>
      </x:c>
      <x:c r="L78" s="12" t="str">
        <x:v>00–05</x:v>
      </x:c>
    </x:row>
    <x:row r="79">
      <x:c r="A79" s="12" t="str">
        <x:v>8月平日</x:v>
      </x:c>
      <x:c r="B79" s="12" t="str">
        <x:v>2026-08-06</x:v>
      </x:c>
      <x:c r="C79" s="12" t="str">
        <x:v>04:00</x:v>
      </x:c>
      <x:c r="D79" s="13" t="n">
        <x:v>17</x:v>
      </x:c>
      <x:c r="E79" s="13" t="n">
        <x:v>1</x:v>
      </x:c>
      <x:c r="F79" s="13" t="n">
        <x:v>18</x:v>
      </x:c>
      <x:c r="G79" s="13" t="n">
        <x:v>16</x:v>
      </x:c>
      <x:c r="H79" s="13" t="n">
        <x:v>3</x:v>
      </x:c>
      <x:c r="I79" s="13" t="n">
        <x:v>19</x:v>
      </x:c>
      <x:c r="J79" s="13" t="n">
        <x:v>1</x:v>
      </x:c>
      <x:c r="K79" s="14" t="n">
        <x:f>IFERROR(F79/SUMIFS($F:$F,$B:$B,B79),0)</x:f>
        <x:v>0.0017032551097653293</x:v>
      </x:c>
      <x:c r="L79" s="12" t="str">
        <x:v>00–05</x:v>
      </x:c>
    </x:row>
    <x:row r="80">
      <x:c r="A80" s="12" t="str">
        <x:v>8月平日</x:v>
      </x:c>
      <x:c r="B80" s="12" t="str">
        <x:v>2026-08-06</x:v>
      </x:c>
      <x:c r="C80" s="12" t="str">
        <x:v>05:00</x:v>
      </x:c>
      <x:c r="D80" s="13" t="n">
        <x:v>43</x:v>
      </x:c>
      <x:c r="E80" s="13" t="n">
        <x:v>1</x:v>
      </x:c>
      <x:c r="F80" s="13" t="n">
        <x:v>44</x:v>
      </x:c>
      <x:c r="G80" s="13" t="n">
        <x:v>59</x:v>
      </x:c>
      <x:c r="H80" s="13" t="n">
        <x:v>6</x:v>
      </x:c>
      <x:c r="I80" s="13" t="n">
        <x:v>65</x:v>
      </x:c>
      <x:c r="J80" s="13" t="n">
        <x:v>21</x:v>
      </x:c>
      <x:c r="K80" s="14" t="n">
        <x:f>IFERROR(F80/SUMIFS($F:$F,$B:$B,B80),0)</x:f>
        <x:v>0.004163512490537472</x:v>
      </x:c>
      <x:c r="L80" s="12" t="str">
        <x:v>00–05</x:v>
      </x:c>
    </x:row>
    <x:row r="81">
      <x:c r="A81" s="12" t="str">
        <x:v>8月平日</x:v>
      </x:c>
      <x:c r="B81" s="12" t="str">
        <x:v>2026-08-06</x:v>
      </x:c>
      <x:c r="C81" s="12" t="str">
        <x:v>06:00</x:v>
      </x:c>
      <x:c r="D81" s="13" t="n">
        <x:v>122</x:v>
      </x:c>
      <x:c r="E81" s="13" t="n">
        <x:v>8</x:v>
      </x:c>
      <x:c r="F81" s="13" t="n">
        <x:v>130</x:v>
      </x:c>
      <x:c r="G81" s="13" t="n">
        <x:v>138</x:v>
      </x:c>
      <x:c r="H81" s="13" t="n">
        <x:v>14</x:v>
      </x:c>
      <x:c r="I81" s="13" t="n">
        <x:v>152</x:v>
      </x:c>
      <x:c r="J81" s="13" t="n">
        <x:v>22</x:v>
      </x:c>
      <x:c r="K81" s="14" t="n">
        <x:f>IFERROR(F81/SUMIFS($F:$F,$B:$B,B81),0)</x:f>
        <x:v>0.012301286903860712</x:v>
      </x:c>
      <x:c r="L81" s="12" t="str">
        <x:v>06–09</x:v>
      </x:c>
    </x:row>
    <x:row r="82">
      <x:c r="A82" s="12" t="str">
        <x:v>8月平日</x:v>
      </x:c>
      <x:c r="B82" s="12" t="str">
        <x:v>2026-08-06</x:v>
      </x:c>
      <x:c r="C82" s="12" t="str">
        <x:v>07:00</x:v>
      </x:c>
      <x:c r="D82" s="13" t="n">
        <x:v>378</x:v>
      </x:c>
      <x:c r="E82" s="13" t="n">
        <x:v>12</x:v>
      </x:c>
      <x:c r="F82" s="13" t="n">
        <x:v>390</x:v>
      </x:c>
      <x:c r="G82" s="13" t="n">
        <x:v>453</x:v>
      </x:c>
      <x:c r="H82" s="13" t="n">
        <x:v>17</x:v>
      </x:c>
      <x:c r="I82" s="13" t="n">
        <x:v>470</x:v>
      </x:c>
      <x:c r="J82" s="13" t="n">
        <x:v>80</x:v>
      </x:c>
      <x:c r="K82" s="14" t="n">
        <x:f>IFERROR(F82/SUMIFS($F:$F,$B:$B,B82),0)</x:f>
        <x:v>0.03690386071158214</x:v>
      </x:c>
      <x:c r="L82" s="12" t="str">
        <x:v>06–09</x:v>
      </x:c>
    </x:row>
    <x:row r="83">
      <x:c r="A83" s="12" t="str">
        <x:v>8月平日</x:v>
      </x:c>
      <x:c r="B83" s="12" t="str">
        <x:v>2026-08-06</x:v>
      </x:c>
      <x:c r="C83" s="12" t="str">
        <x:v>08:00</x:v>
      </x:c>
      <x:c r="D83" s="13" t="n">
        <x:v>629</x:v>
      </x:c>
      <x:c r="E83" s="13" t="n">
        <x:v>35</x:v>
      </x:c>
      <x:c r="F83" s="13" t="n">
        <x:v>664</x:v>
      </x:c>
      <x:c r="G83" s="13" t="n">
        <x:v>898</x:v>
      </x:c>
      <x:c r="H83" s="13" t="n">
        <x:v>49</x:v>
      </x:c>
      <x:c r="I83" s="13" t="n">
        <x:v>947</x:v>
      </x:c>
      <x:c r="J83" s="13" t="n">
        <x:v>283</x:v>
      </x:c>
      <x:c r="K83" s="14" t="n">
        <x:f>IFERROR(F83/SUMIFS($F:$F,$B:$B,B83),0)</x:f>
        <x:v>0.06283118849356548</x:v>
      </x:c>
      <x:c r="L83" s="12" t="str">
        <x:v>06–09</x:v>
      </x:c>
    </x:row>
    <x:row r="84">
      <x:c r="A84" s="12" t="str">
        <x:v>8月平日</x:v>
      </x:c>
      <x:c r="B84" s="12" t="str">
        <x:v>2026-08-06</x:v>
      </x:c>
      <x:c r="C84" s="12" t="str">
        <x:v>09:00</x:v>
      </x:c>
      <x:c r="D84" s="13" t="n">
        <x:v>464</x:v>
      </x:c>
      <x:c r="E84" s="13" t="n">
        <x:v>33</x:v>
      </x:c>
      <x:c r="F84" s="13" t="n">
        <x:v>497</x:v>
      </x:c>
      <x:c r="G84" s="13" t="n">
        <x:v>701</x:v>
      </x:c>
      <x:c r="H84" s="13" t="n">
        <x:v>52</x:v>
      </x:c>
      <x:c r="I84" s="13" t="n">
        <x:v>753</x:v>
      </x:c>
      <x:c r="J84" s="13" t="n">
        <x:v>256</x:v>
      </x:c>
      <x:c r="K84" s="14" t="n">
        <x:f>IFERROR(F84/SUMIFS($F:$F,$B:$B,B84),0)</x:f>
        <x:v>0.04702876608629826</x:v>
      </x:c>
      <x:c r="L84" s="12" t="str">
        <x:v>06–09</x:v>
      </x:c>
    </x:row>
    <x:row r="85">
      <x:c r="A85" s="12" t="str">
        <x:v>8月平日</x:v>
      </x:c>
      <x:c r="B85" s="12" t="str">
        <x:v>2026-08-06</x:v>
      </x:c>
      <x:c r="C85" s="12" t="str">
        <x:v>10:00</x:v>
      </x:c>
      <x:c r="D85" s="13" t="n">
        <x:v>492</x:v>
      </x:c>
      <x:c r="E85" s="13" t="n">
        <x:v>29</x:v>
      </x:c>
      <x:c r="F85" s="13" t="n">
        <x:v>521</x:v>
      </x:c>
      <x:c r="G85" s="13" t="n">
        <x:v>652</x:v>
      </x:c>
      <x:c r="H85" s="13" t="n">
        <x:v>41</x:v>
      </x:c>
      <x:c r="I85" s="13" t="n">
        <x:v>693</x:v>
      </x:c>
      <x:c r="J85" s="13" t="n">
        <x:v>172</x:v>
      </x:c>
      <x:c r="K85" s="14" t="n">
        <x:f>IFERROR(F85/SUMIFS($F:$F,$B:$B,B85),0)</x:f>
        <x:v>0.049299772899318695</x:v>
      </x:c>
      <x:c r="L85" s="12" t="str">
        <x:v>10–13</x:v>
      </x:c>
    </x:row>
    <x:row r="86">
      <x:c r="A86" s="12" t="str">
        <x:v>8月平日</x:v>
      </x:c>
      <x:c r="B86" s="12" t="str">
        <x:v>2026-08-06</x:v>
      </x:c>
      <x:c r="C86" s="12" t="str">
        <x:v>11:00</x:v>
      </x:c>
      <x:c r="D86" s="13" t="n">
        <x:v>663</x:v>
      </x:c>
      <x:c r="E86" s="13" t="n">
        <x:v>35</x:v>
      </x:c>
      <x:c r="F86" s="13" t="n">
        <x:v>698</x:v>
      </x:c>
      <x:c r="G86" s="13" t="n">
        <x:v>630</x:v>
      </x:c>
      <x:c r="H86" s="13" t="n">
        <x:v>37</x:v>
      </x:c>
      <x:c r="I86" s="13" t="n">
        <x:v>667</x:v>
      </x:c>
      <x:c r="J86" s="13" t="n">
        <x:v>-31</x:v>
      </x:c>
      <x:c r="K86" s="14" t="n">
        <x:f>IFERROR(F86/SUMIFS($F:$F,$B:$B,B86),0)</x:f>
        <x:v>0.06604844814534444</x:v>
      </x:c>
      <x:c r="L86" s="12" t="str">
        <x:v>10–13</x:v>
      </x:c>
    </x:row>
    <x:row r="87">
      <x:c r="A87" s="12" t="str">
        <x:v>8月平日</x:v>
      </x:c>
      <x:c r="B87" s="12" t="str">
        <x:v>2026-08-06</x:v>
      </x:c>
      <x:c r="C87" s="12" t="str">
        <x:v>12:00</x:v>
      </x:c>
      <x:c r="D87" s="13" t="n">
        <x:v>798</x:v>
      </x:c>
      <x:c r="E87" s="13" t="n">
        <x:v>38</x:v>
      </x:c>
      <x:c r="F87" s="13" t="n">
        <x:v>836</x:v>
      </x:c>
      <x:c r="G87" s="13" t="n">
        <x:v>823</x:v>
      </x:c>
      <x:c r="H87" s="13" t="n">
        <x:v>32</x:v>
      </x:c>
      <x:c r="I87" s="13" t="n">
        <x:v>855</x:v>
      </x:c>
      <x:c r="J87" s="13" t="n">
        <x:v>19</x:v>
      </x:c>
      <x:c r="K87" s="14" t="n">
        <x:f>IFERROR(F87/SUMIFS($F:$F,$B:$B,B87),0)</x:f>
        <x:v>0.07910673732021196</x:v>
      </x:c>
      <x:c r="L87" s="12" t="str">
        <x:v>10–13</x:v>
      </x:c>
    </x:row>
    <x:row r="88">
      <x:c r="A88" s="12" t="str">
        <x:v>8月平日</x:v>
      </x:c>
      <x:c r="B88" s="12" t="str">
        <x:v>2026-08-06</x:v>
      </x:c>
      <x:c r="C88" s="12" t="str">
        <x:v>13:00</x:v>
      </x:c>
      <x:c r="D88" s="13" t="n">
        <x:v>721</x:v>
      </x:c>
      <x:c r="E88" s="13" t="n">
        <x:v>20</x:v>
      </x:c>
      <x:c r="F88" s="13" t="n">
        <x:v>741</x:v>
      </x:c>
      <x:c r="G88" s="13" t="n">
        <x:v>873</x:v>
      </x:c>
      <x:c r="H88" s="13" t="n">
        <x:v>33</x:v>
      </x:c>
      <x:c r="I88" s="13" t="n">
        <x:v>906</x:v>
      </x:c>
      <x:c r="J88" s="13" t="n">
        <x:v>165</x:v>
      </x:c>
      <x:c r="K88" s="14" t="n">
        <x:f>IFERROR(F88/SUMIFS($F:$F,$B:$B,B88),0)</x:f>
        <x:v>0.07011733535200605</x:v>
      </x:c>
      <x:c r="L88" s="12" t="str">
        <x:v>10–13</x:v>
      </x:c>
    </x:row>
    <x:row r="89">
      <x:c r="A89" s="12" t="str">
        <x:v>8月平日</x:v>
      </x:c>
      <x:c r="B89" s="12" t="str">
        <x:v>2026-08-06</x:v>
      </x:c>
      <x:c r="C89" s="12" t="str">
        <x:v>14:00</x:v>
      </x:c>
      <x:c r="D89" s="13" t="n">
        <x:v>515</x:v>
      </x:c>
      <x:c r="E89" s="13" t="n">
        <x:v>23</x:v>
      </x:c>
      <x:c r="F89" s="13" t="n">
        <x:v>538</x:v>
      </x:c>
      <x:c r="G89" s="13" t="n">
        <x:v>598</x:v>
      </x:c>
      <x:c r="H89" s="13" t="n">
        <x:v>17</x:v>
      </x:c>
      <x:c r="I89" s="13" t="n">
        <x:v>615</x:v>
      </x:c>
      <x:c r="J89" s="13" t="n">
        <x:v>77</x:v>
      </x:c>
      <x:c r="K89" s="14" t="n">
        <x:f>IFERROR(F89/SUMIFS($F:$F,$B:$B,B89),0)</x:f>
        <x:v>0.05090840272520818</x:v>
      </x:c>
      <x:c r="L89" s="12" t="str">
        <x:v>14–17</x:v>
      </x:c>
    </x:row>
    <x:row r="90">
      <x:c r="A90" s="12" t="str">
        <x:v>8月平日</x:v>
      </x:c>
      <x:c r="B90" s="12" t="str">
        <x:v>2026-08-06</x:v>
      </x:c>
      <x:c r="C90" s="12" t="str">
        <x:v>15:00</x:v>
      </x:c>
      <x:c r="D90" s="13" t="n">
        <x:v>577</x:v>
      </x:c>
      <x:c r="E90" s="13" t="n">
        <x:v>25</x:v>
      </x:c>
      <x:c r="F90" s="13" t="n">
        <x:v>602</x:v>
      </x:c>
      <x:c r="G90" s="13" t="n">
        <x:v>447</x:v>
      </x:c>
      <x:c r="H90" s="13" t="n">
        <x:v>18</x:v>
      </x:c>
      <x:c r="I90" s="13" t="n">
        <x:v>465</x:v>
      </x:c>
      <x:c r="J90" s="13" t="n">
        <x:v>-137</x:v>
      </x:c>
      <x:c r="K90" s="14" t="n">
        <x:f>IFERROR(F90/SUMIFS($F:$F,$B:$B,B90),0)</x:f>
        <x:v>0.05696442089326268</x:v>
      </x:c>
      <x:c r="L90" s="12" t="str">
        <x:v>14–17</x:v>
      </x:c>
    </x:row>
    <x:row r="91">
      <x:c r="A91" s="12" t="str">
        <x:v>8月平日</x:v>
      </x:c>
      <x:c r="B91" s="12" t="str">
        <x:v>2026-08-06</x:v>
      </x:c>
      <x:c r="C91" s="12" t="str">
        <x:v>16:00</x:v>
      </x:c>
      <x:c r="D91" s="13" t="n">
        <x:v>863</x:v>
      </x:c>
      <x:c r="E91" s="13" t="n">
        <x:v>29</x:v>
      </x:c>
      <x:c r="F91" s="13" t="n">
        <x:v>892</x:v>
      </x:c>
      <x:c r="G91" s="13" t="n">
        <x:v>646</x:v>
      </x:c>
      <x:c r="H91" s="13" t="n">
        <x:v>23</x:v>
      </x:c>
      <x:c r="I91" s="13" t="n">
        <x:v>669</x:v>
      </x:c>
      <x:c r="J91" s="13" t="n">
        <x:v>-223</x:v>
      </x:c>
      <x:c r="K91" s="14" t="n">
        <x:f>IFERROR(F91/SUMIFS($F:$F,$B:$B,B91),0)</x:f>
        <x:v>0.08440575321725965</x:v>
      </x:c>
      <x:c r="L91" s="12" t="str">
        <x:v>14–17</x:v>
      </x:c>
    </x:row>
    <x:row r="92">
      <x:c r="A92" s="12" t="str">
        <x:v>8月平日</x:v>
      </x:c>
      <x:c r="B92" s="12" t="str">
        <x:v>2026-08-06</x:v>
      </x:c>
      <x:c r="C92" s="12" t="str">
        <x:v>17:00</x:v>
      </x:c>
      <x:c r="D92" s="13" t="n">
        <x:v>1313</x:v>
      </x:c>
      <x:c r="E92" s="13" t="n">
        <x:v>69</x:v>
      </x:c>
      <x:c r="F92" s="13" t="n">
        <x:v>1382</x:v>
      </x:c>
      <x:c r="G92" s="13" t="n">
        <x:v>735</x:v>
      </x:c>
      <x:c r="H92" s="13" t="n">
        <x:v>30</x:v>
      </x:c>
      <x:c r="I92" s="13" t="n">
        <x:v>765</x:v>
      </x:c>
      <x:c r="J92" s="13" t="n">
        <x:v>-617</x:v>
      </x:c>
      <x:c r="K92" s="14" t="n">
        <x:f>IFERROR(F92/SUMIFS($F:$F,$B:$B,B92),0)</x:f>
        <x:v>0.13077214231642695</x:v>
      </x:c>
      <x:c r="L92" s="12" t="str">
        <x:v>14–17</x:v>
      </x:c>
    </x:row>
    <x:row r="93">
      <x:c r="A93" s="12" t="str">
        <x:v>8月平日</x:v>
      </x:c>
      <x:c r="B93" s="12" t="str">
        <x:v>2026-08-06</x:v>
      </x:c>
      <x:c r="C93" s="12" t="str">
        <x:v>18:00</x:v>
      </x:c>
      <x:c r="D93" s="13" t="n">
        <x:v>786</x:v>
      </x:c>
      <x:c r="E93" s="13" t="n">
        <x:v>49</x:v>
      </x:c>
      <x:c r="F93" s="13" t="n">
        <x:v>835</x:v>
      </x:c>
      <x:c r="G93" s="13" t="n">
        <x:v>611</x:v>
      </x:c>
      <x:c r="H93" s="13" t="n">
        <x:v>33</x:v>
      </x:c>
      <x:c r="I93" s="13" t="n">
        <x:v>644</x:v>
      </x:c>
      <x:c r="J93" s="13" t="n">
        <x:v>-191</x:v>
      </x:c>
      <x:c r="K93" s="14" t="n">
        <x:f>IFERROR(F93/SUMIFS($F:$F,$B:$B,B93),0)</x:f>
        <x:v>0.07901211203633611</x:v>
      </x:c>
      <x:c r="L93" s="12" t="str">
        <x:v>18–21</x:v>
      </x:c>
    </x:row>
    <x:row r="94">
      <x:c r="A94" s="12" t="str">
        <x:v>8月平日</x:v>
      </x:c>
      <x:c r="B94" s="12" t="str">
        <x:v>2026-08-06</x:v>
      </x:c>
      <x:c r="C94" s="12" t="str">
        <x:v>19:00</x:v>
      </x:c>
      <x:c r="D94" s="13" t="n">
        <x:v>494</x:v>
      </x:c>
      <x:c r="E94" s="13" t="n">
        <x:v>32</x:v>
      </x:c>
      <x:c r="F94" s="13" t="n">
        <x:v>526</x:v>
      </x:c>
      <x:c r="G94" s="13" t="n">
        <x:v>415</x:v>
      </x:c>
      <x:c r="H94" s="13" t="n">
        <x:v>14</x:v>
      </x:c>
      <x:c r="I94" s="13" t="n">
        <x:v>429</x:v>
      </x:c>
      <x:c r="J94" s="13" t="n">
        <x:v>-97</x:v>
      </x:c>
      <x:c r="K94" s="14" t="n">
        <x:f>IFERROR(F94/SUMIFS($F:$F,$B:$B,B94),0)</x:f>
        <x:v>0.04977289931869796</x:v>
      </x:c>
      <x:c r="L94" s="12" t="str">
        <x:v>18–21</x:v>
      </x:c>
    </x:row>
    <x:row r="95">
      <x:c r="A95" s="12" t="str">
        <x:v>8月平日</x:v>
      </x:c>
      <x:c r="B95" s="12" t="str">
        <x:v>2026-08-06</x:v>
      </x:c>
      <x:c r="C95" s="12" t="str">
        <x:v>20:00</x:v>
      </x:c>
      <x:c r="D95" s="13" t="n">
        <x:v>423</x:v>
      </x:c>
      <x:c r="E95" s="13" t="n">
        <x:v>23</x:v>
      </x:c>
      <x:c r="F95" s="13" t="n">
        <x:v>446</x:v>
      </x:c>
      <x:c r="G95" s="13" t="n">
        <x:v>354</x:v>
      </x:c>
      <x:c r="H95" s="13" t="n">
        <x:v>10</x:v>
      </x:c>
      <x:c r="I95" s="13" t="n">
        <x:v>364</x:v>
      </x:c>
      <x:c r="J95" s="13" t="n">
        <x:v>-82</x:v>
      </x:c>
      <x:c r="K95" s="14" t="n">
        <x:f>IFERROR(F95/SUMIFS($F:$F,$B:$B,B95),0)</x:f>
        <x:v>0.04220287660862983</x:v>
      </x:c>
      <x:c r="L95" s="12" t="str">
        <x:v>18–21</x:v>
      </x:c>
    </x:row>
    <x:row r="96">
      <x:c r="A96" s="12" t="str">
        <x:v>8月平日</x:v>
      </x:c>
      <x:c r="B96" s="12" t="str">
        <x:v>2026-08-06</x:v>
      </x:c>
      <x:c r="C96" s="12" t="str">
        <x:v>21:00</x:v>
      </x:c>
      <x:c r="D96" s="13" t="n">
        <x:v>282</x:v>
      </x:c>
      <x:c r="E96" s="13" t="n">
        <x:v>16</x:v>
      </x:c>
      <x:c r="F96" s="13" t="n">
        <x:v>298</x:v>
      </x:c>
      <x:c r="G96" s="13" t="n">
        <x:v>250</x:v>
      </x:c>
      <x:c r="H96" s="13" t="n">
        <x:v>17</x:v>
      </x:c>
      <x:c r="I96" s="13" t="n">
        <x:v>267</x:v>
      </x:c>
      <x:c r="J96" s="13" t="n">
        <x:v>-31</x:v>
      </x:c>
      <x:c r="K96" s="14" t="n">
        <x:f>IFERROR(F96/SUMIFS($F:$F,$B:$B,B96),0)</x:f>
        <x:v>0.028198334595003784</x:v>
      </x:c>
      <x:c r="L96" s="12" t="str">
        <x:v>18–21</x:v>
      </x:c>
    </x:row>
    <x:row r="97">
      <x:c r="A97" s="12" t="str">
        <x:v>8月平日</x:v>
      </x:c>
      <x:c r="B97" s="12" t="str">
        <x:v>2026-08-06</x:v>
      </x:c>
      <x:c r="C97" s="12" t="str">
        <x:v>22:00</x:v>
      </x:c>
      <x:c r="D97" s="13" t="n">
        <x:v>245</x:v>
      </x:c>
      <x:c r="E97" s="13" t="n">
        <x:v>9</x:v>
      </x:c>
      <x:c r="F97" s="13" t="n">
        <x:v>254</x:v>
      </x:c>
      <x:c r="G97" s="13" t="n">
        <x:v>202</x:v>
      </x:c>
      <x:c r="H97" s="13" t="n">
        <x:v>5</x:v>
      </x:c>
      <x:c r="I97" s="13" t="n">
        <x:v>207</x:v>
      </x:c>
      <x:c r="J97" s="13" t="n">
        <x:v>-47</x:v>
      </x:c>
      <x:c r="K97" s="14" t="n">
        <x:f>IFERROR(F97/SUMIFS($F:$F,$B:$B,B97),0)</x:f>
        <x:v>0.024034822104466315</x:v>
      </x:c>
      <x:c r="L97" s="12" t="str">
        <x:v>22–23</x:v>
      </x:c>
    </x:row>
    <x:row r="98">
      <x:c r="A98" s="12" t="str">
        <x:v>8月平日</x:v>
      </x:c>
      <x:c r="B98" s="12" t="str">
        <x:v>2026-08-06</x:v>
      </x:c>
      <x:c r="C98" s="12" t="str">
        <x:v>23:00</x:v>
      </x:c>
      <x:c r="D98" s="13" t="n">
        <x:v>120</x:v>
      </x:c>
      <x:c r="E98" s="13" t="n">
        <x:v>6</x:v>
      </x:c>
      <x:c r="F98" s="13" t="n">
        <x:v>126</x:v>
      </x:c>
      <x:c r="G98" s="13" t="n">
        <x:v>98</x:v>
      </x:c>
      <x:c r="H98" s="13" t="n">
        <x:v>4</x:v>
      </x:c>
      <x:c r="I98" s="13" t="n">
        <x:v>102</x:v>
      </x:c>
      <x:c r="J98" s="13" t="n">
        <x:v>-24</x:v>
      </x:c>
      <x:c r="K98" s="14" t="n">
        <x:f>IFERROR(F98/SUMIFS($F:$F,$B:$B,B98),0)</x:f>
        <x:v>0.011922785768357305</x:v>
      </x:c>
      <x:c r="L98" s="12" t="str">
        <x:v>22–23</x:v>
      </x:c>
    </x:row>
    <x:row r="99">
      <x:c r="A99" s="12" t="str">
        <x:v>8月平日</x:v>
      </x:c>
      <x:c r="B99" s="12" t="str">
        <x:v>2026-08-07</x:v>
      </x:c>
      <x:c r="C99" s="12" t="str">
        <x:v>00:00</x:v>
      </x:c>
      <x:c r="D99" s="13" t="n">
        <x:v>73</x:v>
      </x:c>
      <x:c r="E99" s="13" t="n">
        <x:v>2</x:v>
      </x:c>
      <x:c r="F99" s="13" t="n">
        <x:v>75</x:v>
      </x:c>
      <x:c r="G99" s="13" t="n">
        <x:v>60</x:v>
      </x:c>
      <x:c r="H99" s="13" t="n">
        <x:v>2</x:v>
      </x:c>
      <x:c r="I99" s="13" t="n">
        <x:v>62</x:v>
      </x:c>
      <x:c r="J99" s="13" t="n">
        <x:v>-13</x:v>
      </x:c>
      <x:c r="K99" s="14" t="n">
        <x:f>IFERROR(F99/SUMIFS($F:$F,$B:$B,B99),0)</x:f>
        <x:v>0.007551349174385823</x:v>
      </x:c>
      <x:c r="L99" s="12" t="str">
        <x:v>00–05</x:v>
      </x:c>
    </x:row>
    <x:row r="100">
      <x:c r="A100" s="12" t="str">
        <x:v>8月平日</x:v>
      </x:c>
      <x:c r="B100" s="12" t="str">
        <x:v>2026-08-07</x:v>
      </x:c>
      <x:c r="C100" s="12" t="str">
        <x:v>01:00</x:v>
      </x:c>
      <x:c r="D100" s="13" t="n">
        <x:v>17</x:v>
      </x:c>
      <x:c r="E100" s="13" t="n">
        <x:v>3</x:v>
      </x:c>
      <x:c r="F100" s="13" t="n">
        <x:v>20</x:v>
      </x:c>
      <x:c r="G100" s="13" t="n">
        <x:v>25</x:v>
      </x:c>
      <x:c r="H100" s="13" t="n">
        <x:v>1</x:v>
      </x:c>
      <x:c r="I100" s="13" t="n">
        <x:v>26</x:v>
      </x:c>
      <x:c r="J100" s="13" t="n">
        <x:v>6</x:v>
      </x:c>
      <x:c r="K100" s="14" t="n">
        <x:f>IFERROR(F100/SUMIFS($F:$F,$B:$B,B100),0)</x:f>
        <x:v>0.002013693113169553</x:v>
      </x:c>
      <x:c r="L100" s="12" t="str">
        <x:v>00–05</x:v>
      </x:c>
    </x:row>
    <x:row r="101">
      <x:c r="A101" s="12" t="str">
        <x:v>8月平日</x:v>
      </x:c>
      <x:c r="B101" s="12" t="str">
        <x:v>2026-08-07</x:v>
      </x:c>
      <x:c r="C101" s="12" t="str">
        <x:v>02:00</x:v>
      </x:c>
      <x:c r="D101" s="13" t="n">
        <x:v>22</x:v>
      </x:c>
      <x:c r="E101" s="13" t="n">
        <x:v>1</x:v>
      </x:c>
      <x:c r="F101" s="13" t="n">
        <x:v>23</x:v>
      </x:c>
      <x:c r="G101" s="13" t="n">
        <x:v>17</x:v>
      </x:c>
      <x:c r="H101" s="13" t="n">
        <x:v>0</x:v>
      </x:c>
      <x:c r="I101" s="13" t="n">
        <x:v>17</x:v>
      </x:c>
      <x:c r="J101" s="13" t="n">
        <x:v>-6</x:v>
      </x:c>
      <x:c r="K101" s="14" t="n">
        <x:f>IFERROR(F101/SUMIFS($F:$F,$B:$B,B101),0)</x:f>
        <x:v>0.002315747080144986</x:v>
      </x:c>
      <x:c r="L101" s="12" t="str">
        <x:v>00–05</x:v>
      </x:c>
    </x:row>
    <x:row r="102">
      <x:c r="A102" s="12" t="str">
        <x:v>8月平日</x:v>
      </x:c>
      <x:c r="B102" s="12" t="str">
        <x:v>2026-08-07</x:v>
      </x:c>
      <x:c r="C102" s="12" t="str">
        <x:v>03:00</x:v>
      </x:c>
      <x:c r="D102" s="13" t="n">
        <x:v>16</x:v>
      </x:c>
      <x:c r="E102" s="13" t="n">
        <x:v>2</x:v>
      </x:c>
      <x:c r="F102" s="13" t="n">
        <x:v>18</x:v>
      </x:c>
      <x:c r="G102" s="13" t="n">
        <x:v>9</x:v>
      </x:c>
      <x:c r="H102" s="13" t="n">
        <x:v>0</x:v>
      </x:c>
      <x:c r="I102" s="13" t="n">
        <x:v>9</x:v>
      </x:c>
      <x:c r="J102" s="13" t="n">
        <x:v>-9</x:v>
      </x:c>
      <x:c r="K102" s="14" t="n">
        <x:f>IFERROR(F102/SUMIFS($F:$F,$B:$B,B102),0)</x:f>
        <x:v>0.0018123238018525976</x:v>
      </x:c>
      <x:c r="L102" s="12" t="str">
        <x:v>00–05</x:v>
      </x:c>
    </x:row>
    <x:row r="103">
      <x:c r="A103" s="12" t="str">
        <x:v>8月平日</x:v>
      </x:c>
      <x:c r="B103" s="12" t="str">
        <x:v>2026-08-07</x:v>
      </x:c>
      <x:c r="C103" s="12" t="str">
        <x:v>04:00</x:v>
      </x:c>
      <x:c r="D103" s="13" t="n">
        <x:v>22</x:v>
      </x:c>
      <x:c r="E103" s="13" t="n">
        <x:v>0</x:v>
      </x:c>
      <x:c r="F103" s="13" t="n">
        <x:v>22</x:v>
      </x:c>
      <x:c r="G103" s="13" t="n">
        <x:v>22</x:v>
      </x:c>
      <x:c r="H103" s="13" t="n">
        <x:v>0</x:v>
      </x:c>
      <x:c r="I103" s="13" t="n">
        <x:v>22</x:v>
      </x:c>
      <x:c r="J103" s="13" t="n">
        <x:v>0</x:v>
      </x:c>
      <x:c r="K103" s="14" t="n">
        <x:f>IFERROR(F103/SUMIFS($F:$F,$B:$B,B103),0)</x:f>
        <x:v>0.0022150624244865083</x:v>
      </x:c>
      <x:c r="L103" s="12" t="str">
        <x:v>00–05</x:v>
      </x:c>
    </x:row>
    <x:row r="104">
      <x:c r="A104" s="12" t="str">
        <x:v>8月平日</x:v>
      </x:c>
      <x:c r="B104" s="12" t="str">
        <x:v>2026-08-07</x:v>
      </x:c>
      <x:c r="C104" s="12" t="str">
        <x:v>05:00</x:v>
      </x:c>
      <x:c r="D104" s="13" t="n">
        <x:v>30</x:v>
      </x:c>
      <x:c r="E104" s="13" t="n">
        <x:v>0</x:v>
      </x:c>
      <x:c r="F104" s="13" t="n">
        <x:v>30</x:v>
      </x:c>
      <x:c r="G104" s="13" t="n">
        <x:v>44</x:v>
      </x:c>
      <x:c r="H104" s="13" t="n">
        <x:v>2</x:v>
      </x:c>
      <x:c r="I104" s="13" t="n">
        <x:v>46</x:v>
      </x:c>
      <x:c r="J104" s="13" t="n">
        <x:v>16</x:v>
      </x:c>
      <x:c r="K104" s="14" t="n">
        <x:f>IFERROR(F104/SUMIFS($F:$F,$B:$B,B104),0)</x:f>
        <x:v>0.0030205396697543293</x:v>
      </x:c>
      <x:c r="L104" s="12" t="str">
        <x:v>00–05</x:v>
      </x:c>
    </x:row>
    <x:row r="105">
      <x:c r="A105" s="12" t="str">
        <x:v>8月平日</x:v>
      </x:c>
      <x:c r="B105" s="12" t="str">
        <x:v>2026-08-07</x:v>
      </x:c>
      <x:c r="C105" s="12" t="str">
        <x:v>06:00</x:v>
      </x:c>
      <x:c r="D105" s="13" t="n">
        <x:v>71</x:v>
      </x:c>
      <x:c r="E105" s="13" t="n">
        <x:v>2</x:v>
      </x:c>
      <x:c r="F105" s="13" t="n">
        <x:v>73</x:v>
      </x:c>
      <x:c r="G105" s="13" t="n">
        <x:v>112</x:v>
      </x:c>
      <x:c r="H105" s="13" t="n">
        <x:v>8</x:v>
      </x:c>
      <x:c r="I105" s="13" t="n">
        <x:v>120</x:v>
      </x:c>
      <x:c r="J105" s="13" t="n">
        <x:v>47</x:v>
      </x:c>
      <x:c r="K105" s="14" t="n">
        <x:f>IFERROR(F105/SUMIFS($F:$F,$B:$B,B105),0)</x:f>
        <x:v>0.0073499798630688685</x:v>
      </x:c>
      <x:c r="L105" s="12" t="str">
        <x:v>06–09</x:v>
      </x:c>
    </x:row>
    <x:row r="106">
      <x:c r="A106" s="12" t="str">
        <x:v>8月平日</x:v>
      </x:c>
      <x:c r="B106" s="12" t="str">
        <x:v>2026-08-07</x:v>
      </x:c>
      <x:c r="C106" s="12" t="str">
        <x:v>07:00</x:v>
      </x:c>
      <x:c r="D106" s="13" t="n">
        <x:v>293</x:v>
      </x:c>
      <x:c r="E106" s="13" t="n">
        <x:v>4</x:v>
      </x:c>
      <x:c r="F106" s="13" t="n">
        <x:v>297</x:v>
      </x:c>
      <x:c r="G106" s="13" t="n">
        <x:v>387</x:v>
      </x:c>
      <x:c r="H106" s="13" t="n">
        <x:v>15</x:v>
      </x:c>
      <x:c r="I106" s="13" t="n">
        <x:v>402</x:v>
      </x:c>
      <x:c r="J106" s="13" t="n">
        <x:v>105</x:v>
      </x:c>
      <x:c r="K106" s="14" t="n">
        <x:f>IFERROR(F106/SUMIFS($F:$F,$B:$B,B106),0)</x:f>
        <x:v>0.029903342730567863</x:v>
      </x:c>
      <x:c r="L106" s="12" t="str">
        <x:v>06–09</x:v>
      </x:c>
    </x:row>
    <x:row r="107">
      <x:c r="A107" s="12" t="str">
        <x:v>8月平日</x:v>
      </x:c>
      <x:c r="B107" s="12" t="str">
        <x:v>2026-08-07</x:v>
      </x:c>
      <x:c r="C107" s="12" t="str">
        <x:v>08:00</x:v>
      </x:c>
      <x:c r="D107" s="13" t="n">
        <x:v>605</x:v>
      </x:c>
      <x:c r="E107" s="13" t="n">
        <x:v>28</x:v>
      </x:c>
      <x:c r="F107" s="13" t="n">
        <x:v>633</x:v>
      </x:c>
      <x:c r="G107" s="13" t="n">
        <x:v>828</x:v>
      </x:c>
      <x:c r="H107" s="13" t="n">
        <x:v>53</x:v>
      </x:c>
      <x:c r="I107" s="13" t="n">
        <x:v>881</x:v>
      </x:c>
      <x:c r="J107" s="13" t="n">
        <x:v>248</x:v>
      </x:c>
      <x:c r="K107" s="14" t="n">
        <x:f>IFERROR(F107/SUMIFS($F:$F,$B:$B,B107),0)</x:f>
        <x:v>0.06373338703181636</x:v>
      </x:c>
      <x:c r="L107" s="12" t="str">
        <x:v>06–09</x:v>
      </x:c>
    </x:row>
    <x:row r="108">
      <x:c r="A108" s="12" t="str">
        <x:v>8月平日</x:v>
      </x:c>
      <x:c r="B108" s="12" t="str">
        <x:v>2026-08-07</x:v>
      </x:c>
      <x:c r="C108" s="12" t="str">
        <x:v>09:00</x:v>
      </x:c>
      <x:c r="D108" s="13" t="n">
        <x:v>429</x:v>
      </x:c>
      <x:c r="E108" s="13" t="n">
        <x:v>29</x:v>
      </x:c>
      <x:c r="F108" s="13" t="n">
        <x:v>458</x:v>
      </x:c>
      <x:c r="G108" s="13" t="n">
        <x:v>658</x:v>
      </x:c>
      <x:c r="H108" s="13" t="n">
        <x:v>54</x:v>
      </x:c>
      <x:c r="I108" s="13" t="n">
        <x:v>712</x:v>
      </x:c>
      <x:c r="J108" s="13" t="n">
        <x:v>254</x:v>
      </x:c>
      <x:c r="K108" s="14" t="n">
        <x:f>IFERROR(F108/SUMIFS($F:$F,$B:$B,B108),0)</x:f>
        <x:v>0.04611357229158276</x:v>
      </x:c>
      <x:c r="L108" s="12" t="str">
        <x:v>06–09</x:v>
      </x:c>
    </x:row>
    <x:row r="109">
      <x:c r="A109" s="12" t="str">
        <x:v>8月平日</x:v>
      </x:c>
      <x:c r="B109" s="12" t="str">
        <x:v>2026-08-07</x:v>
      </x:c>
      <x:c r="C109" s="12" t="str">
        <x:v>10:00</x:v>
      </x:c>
      <x:c r="D109" s="13" t="n">
        <x:v>497</x:v>
      </x:c>
      <x:c r="E109" s="13" t="n">
        <x:v>28</x:v>
      </x:c>
      <x:c r="F109" s="13" t="n">
        <x:v>525</x:v>
      </x:c>
      <x:c r="G109" s="13" t="n">
        <x:v>652</x:v>
      </x:c>
      <x:c r="H109" s="13" t="n">
        <x:v>35</x:v>
      </x:c>
      <x:c r="I109" s="13" t="n">
        <x:v>687</x:v>
      </x:c>
      <x:c r="J109" s="13" t="n">
        <x:v>162</x:v>
      </x:c>
      <x:c r="K109" s="14" t="n">
        <x:f>IFERROR(F109/SUMIFS($F:$F,$B:$B,B109),0)</x:f>
        <x:v>0.05285944422070077</x:v>
      </x:c>
      <x:c r="L109" s="12" t="str">
        <x:v>10–13</x:v>
      </x:c>
    </x:row>
    <x:row r="110">
      <x:c r="A110" s="12" t="str">
        <x:v>8月平日</x:v>
      </x:c>
      <x:c r="B110" s="12" t="str">
        <x:v>2026-08-07</x:v>
      </x:c>
      <x:c r="C110" s="12" t="str">
        <x:v>11:00</x:v>
      </x:c>
      <x:c r="D110" s="13" t="n">
        <x:v>738</x:v>
      </x:c>
      <x:c r="E110" s="13" t="n">
        <x:v>32</x:v>
      </x:c>
      <x:c r="F110" s="13" t="n">
        <x:v>770</x:v>
      </x:c>
      <x:c r="G110" s="13" t="n">
        <x:v>625</x:v>
      </x:c>
      <x:c r="H110" s="13" t="n">
        <x:v>29</x:v>
      </x:c>
      <x:c r="I110" s="13" t="n">
        <x:v>654</x:v>
      </x:c>
      <x:c r="J110" s="13" t="n">
        <x:v>-116</x:v>
      </x:c>
      <x:c r="K110" s="14" t="n">
        <x:f>IFERROR(F110/SUMIFS($F:$F,$B:$B,B110),0)</x:f>
        <x:v>0.0775271848570278</x:v>
      </x:c>
      <x:c r="L110" s="12" t="str">
        <x:v>10–13</x:v>
      </x:c>
    </x:row>
    <x:row r="111">
      <x:c r="A111" s="12" t="str">
        <x:v>8月平日</x:v>
      </x:c>
      <x:c r="B111" s="12" t="str">
        <x:v>2026-08-07</x:v>
      </x:c>
      <x:c r="C111" s="12" t="str">
        <x:v>12:00</x:v>
      </x:c>
      <x:c r="D111" s="13" t="n">
        <x:v>941</x:v>
      </x:c>
      <x:c r="E111" s="13" t="n">
        <x:v>22</x:v>
      </x:c>
      <x:c r="F111" s="13" t="n">
        <x:v>963</x:v>
      </x:c>
      <x:c r="G111" s="13" t="n">
        <x:v>900</x:v>
      </x:c>
      <x:c r="H111" s="13" t="n">
        <x:v>31</x:v>
      </x:c>
      <x:c r="I111" s="13" t="n">
        <x:v>931</x:v>
      </x:c>
      <x:c r="J111" s="13" t="n">
        <x:v>-32</x:v>
      </x:c>
      <x:c r="K111" s="14" t="n">
        <x:f>IFERROR(F111/SUMIFS($F:$F,$B:$B,B111),0)</x:f>
        <x:v>0.09695932339911398</x:v>
      </x:c>
      <x:c r="L111" s="12" t="str">
        <x:v>10–13</x:v>
      </x:c>
    </x:row>
    <x:row r="112">
      <x:c r="A112" s="12" t="str">
        <x:v>8月平日</x:v>
      </x:c>
      <x:c r="B112" s="12" t="str">
        <x:v>2026-08-07</x:v>
      </x:c>
      <x:c r="C112" s="12" t="str">
        <x:v>13:00</x:v>
      </x:c>
      <x:c r="D112" s="13" t="n">
        <x:v>718</x:v>
      </x:c>
      <x:c r="E112" s="13" t="n">
        <x:v>26</x:v>
      </x:c>
      <x:c r="F112" s="13" t="n">
        <x:v>744</x:v>
      </x:c>
      <x:c r="G112" s="13" t="n">
        <x:v>875</x:v>
      </x:c>
      <x:c r="H112" s="13" t="n">
        <x:v>28</x:v>
      </x:c>
      <x:c r="I112" s="13" t="n">
        <x:v>903</x:v>
      </x:c>
      <x:c r="J112" s="13" t="n">
        <x:v>159</x:v>
      </x:c>
      <x:c r="K112" s="14" t="n">
        <x:f>IFERROR(F112/SUMIFS($F:$F,$B:$B,B112),0)</x:f>
        <x:v>0.07490938380990737</x:v>
      </x:c>
      <x:c r="L112" s="12" t="str">
        <x:v>10–13</x:v>
      </x:c>
    </x:row>
    <x:row r="113">
      <x:c r="A113" s="12" t="str">
        <x:v>8月平日</x:v>
      </x:c>
      <x:c r="B113" s="12" t="str">
        <x:v>2026-08-07</x:v>
      </x:c>
      <x:c r="C113" s="12" t="str">
        <x:v>14:00</x:v>
      </x:c>
      <x:c r="D113" s="13" t="n">
        <x:v>641</x:v>
      </x:c>
      <x:c r="E113" s="13" t="n">
        <x:v>26</x:v>
      </x:c>
      <x:c r="F113" s="13" t="n">
        <x:v>667</x:v>
      </x:c>
      <x:c r="G113" s="13" t="n">
        <x:v>701</x:v>
      </x:c>
      <x:c r="H113" s="13" t="n">
        <x:v>29</x:v>
      </x:c>
      <x:c r="I113" s="13" t="n">
        <x:v>730</x:v>
      </x:c>
      <x:c r="J113" s="13" t="n">
        <x:v>63</x:v>
      </x:c>
      <x:c r="K113" s="14" t="n">
        <x:f>IFERROR(F113/SUMIFS($F:$F,$B:$B,B113),0)</x:f>
        <x:v>0.0671566653242046</x:v>
      </x:c>
      <x:c r="L113" s="12" t="str">
        <x:v>14–17</x:v>
      </x:c>
    </x:row>
    <x:row r="114">
      <x:c r="A114" s="12" t="str">
        <x:v>8月平日</x:v>
      </x:c>
      <x:c r="B114" s="12" t="str">
        <x:v>2026-08-07</x:v>
      </x:c>
      <x:c r="C114" s="12" t="str">
        <x:v>15:00</x:v>
      </x:c>
      <x:c r="D114" s="13" t="n">
        <x:v>643</x:v>
      </x:c>
      <x:c r="E114" s="13" t="n">
        <x:v>28</x:v>
      </x:c>
      <x:c r="F114" s="13" t="n">
        <x:v>671</x:v>
      </x:c>
      <x:c r="G114" s="13" t="n">
        <x:v>554</x:v>
      </x:c>
      <x:c r="H114" s="13" t="n">
        <x:v>18</x:v>
      </x:c>
      <x:c r="I114" s="13" t="n">
        <x:v>572</x:v>
      </x:c>
      <x:c r="J114" s="13" t="n">
        <x:v>-99</x:v>
      </x:c>
      <x:c r="K114" s="14" t="n">
        <x:f>IFERROR(F114/SUMIFS($F:$F,$B:$B,B114),0)</x:f>
        <x:v>0.0675594039468385</x:v>
      </x:c>
      <x:c r="L114" s="12" t="str">
        <x:v>14–17</x:v>
      </x:c>
    </x:row>
    <x:row r="115">
      <x:c r="A115" s="12" t="str">
        <x:v>8月平日</x:v>
      </x:c>
      <x:c r="B115" s="12" t="str">
        <x:v>2026-08-07</x:v>
      </x:c>
      <x:c r="C115" s="12" t="str">
        <x:v>16:00</x:v>
      </x:c>
      <x:c r="D115" s="13" t="n">
        <x:v>855</x:v>
      </x:c>
      <x:c r="E115" s="13" t="n">
        <x:v>36</x:v>
      </x:c>
      <x:c r="F115" s="13" t="n">
        <x:v>891</x:v>
      </x:c>
      <x:c r="G115" s="13" t="n">
        <x:v>639</x:v>
      </x:c>
      <x:c r="H115" s="13" t="n">
        <x:v>26</x:v>
      </x:c>
      <x:c r="I115" s="13" t="n">
        <x:v>665</x:v>
      </x:c>
      <x:c r="J115" s="13" t="n">
        <x:v>-226</x:v>
      </x:c>
      <x:c r="K115" s="14" t="n">
        <x:f>IFERROR(F115/SUMIFS($F:$F,$B:$B,B115),0)</x:f>
        <x:v>0.08971002819170358</x:v>
      </x:c>
      <x:c r="L115" s="12" t="str">
        <x:v>14–17</x:v>
      </x:c>
    </x:row>
    <x:row r="116">
      <x:c r="A116" s="12" t="str">
        <x:v>8月平日</x:v>
      </x:c>
      <x:c r="B116" s="12" t="str">
        <x:v>2026-08-07</x:v>
      </x:c>
      <x:c r="C116" s="12" t="str">
        <x:v>17:00</x:v>
      </x:c>
      <x:c r="D116" s="13" t="n">
        <x:v>1118</x:v>
      </x:c>
      <x:c r="E116" s="13" t="n">
        <x:v>84</x:v>
      </x:c>
      <x:c r="F116" s="13" t="n">
        <x:v>1202</x:v>
      </x:c>
      <x:c r="G116" s="13" t="n">
        <x:v>629</x:v>
      </x:c>
      <x:c r="H116" s="13" t="n">
        <x:v>29</x:v>
      </x:c>
      <x:c r="I116" s="13" t="n">
        <x:v>658</x:v>
      </x:c>
      <x:c r="J116" s="13" t="n">
        <x:v>-544</x:v>
      </x:c>
      <x:c r="K116" s="14" t="n">
        <x:f>IFERROR(F116/SUMIFS($F:$F,$B:$B,B116),0)</x:f>
        <x:v>0.12102295610149014</x:v>
      </x:c>
      <x:c r="L116" s="12" t="str">
        <x:v>14–17</x:v>
      </x:c>
    </x:row>
    <x:row r="117">
      <x:c r="A117" s="12" t="str">
        <x:v>8月平日</x:v>
      </x:c>
      <x:c r="B117" s="12" t="str">
        <x:v>2026-08-07</x:v>
      </x:c>
      <x:c r="C117" s="12" t="str">
        <x:v>18:00</x:v>
      </x:c>
      <x:c r="D117" s="13" t="n">
        <x:v>594</x:v>
      </x:c>
      <x:c r="E117" s="13" t="n">
        <x:v>46</x:v>
      </x:c>
      <x:c r="F117" s="13" t="n">
        <x:v>640</x:v>
      </x:c>
      <x:c r="G117" s="13" t="n">
        <x:v>418</x:v>
      </x:c>
      <x:c r="H117" s="13" t="n">
        <x:v>19</x:v>
      </x:c>
      <x:c r="I117" s="13" t="n">
        <x:v>437</x:v>
      </x:c>
      <x:c r="J117" s="13" t="n">
        <x:v>-203</x:v>
      </x:c>
      <x:c r="K117" s="14" t="n">
        <x:f>IFERROR(F117/SUMIFS($F:$F,$B:$B,B117),0)</x:f>
        <x:v>0.0644381796214257</x:v>
      </x:c>
      <x:c r="L117" s="12" t="str">
        <x:v>18–21</x:v>
      </x:c>
    </x:row>
    <x:row r="118">
      <x:c r="A118" s="12" t="str">
        <x:v>8月平日</x:v>
      </x:c>
      <x:c r="B118" s="12" t="str">
        <x:v>2026-08-07</x:v>
      </x:c>
      <x:c r="C118" s="12" t="str">
        <x:v>19:00</x:v>
      </x:c>
      <x:c r="D118" s="13" t="n">
        <x:v>396</x:v>
      </x:c>
      <x:c r="E118" s="13" t="n">
        <x:v>29</x:v>
      </x:c>
      <x:c r="F118" s="13" t="n">
        <x:v>425</x:v>
      </x:c>
      <x:c r="G118" s="13" t="n">
        <x:v>333</x:v>
      </x:c>
      <x:c r="H118" s="13" t="n">
        <x:v>23</x:v>
      </x:c>
      <x:c r="I118" s="13" t="n">
        <x:v>356</x:v>
      </x:c>
      <x:c r="J118" s="13" t="n">
        <x:v>-69</x:v>
      </x:c>
      <x:c r="K118" s="14" t="n">
        <x:f>IFERROR(F118/SUMIFS($F:$F,$B:$B,B118),0)</x:f>
        <x:v>0.042790978654853</x:v>
      </x:c>
      <x:c r="L118" s="12" t="str">
        <x:v>18–21</x:v>
      </x:c>
    </x:row>
    <x:row r="119">
      <x:c r="A119" s="12" t="str">
        <x:v>8月平日</x:v>
      </x:c>
      <x:c r="B119" s="12" t="str">
        <x:v>2026-08-07</x:v>
      </x:c>
      <x:c r="C119" s="12" t="str">
        <x:v>20:00</x:v>
      </x:c>
      <x:c r="D119" s="13" t="n">
        <x:v>300</x:v>
      </x:c>
      <x:c r="E119" s="13" t="n">
        <x:v>14</x:v>
      </x:c>
      <x:c r="F119" s="13" t="n">
        <x:v>314</x:v>
      </x:c>
      <x:c r="G119" s="13" t="n">
        <x:v>279</x:v>
      </x:c>
      <x:c r="H119" s="13" t="n">
        <x:v>9</x:v>
      </x:c>
      <x:c r="I119" s="13" t="n">
        <x:v>288</x:v>
      </x:c>
      <x:c r="J119" s="13" t="n">
        <x:v>-26</x:v>
      </x:c>
      <x:c r="K119" s="14" t="n">
        <x:f>IFERROR(F119/SUMIFS($F:$F,$B:$B,B119),0)</x:f>
        <x:v>0.03161498187676198</x:v>
      </x:c>
      <x:c r="L119" s="12" t="str">
        <x:v>18–21</x:v>
      </x:c>
    </x:row>
    <x:row r="120">
      <x:c r="A120" s="12" t="str">
        <x:v>8月平日</x:v>
      </x:c>
      <x:c r="B120" s="12" t="str">
        <x:v>2026-08-07</x:v>
      </x:c>
      <x:c r="C120" s="12" t="str">
        <x:v>21:00</x:v>
      </x:c>
      <x:c r="D120" s="13" t="n">
        <x:v>192</x:v>
      </x:c>
      <x:c r="E120" s="13" t="n">
        <x:v>8</x:v>
      </x:c>
      <x:c r="F120" s="13" t="n">
        <x:v>200</x:v>
      </x:c>
      <x:c r="G120" s="13" t="n">
        <x:v>158</x:v>
      </x:c>
      <x:c r="H120" s="13" t="n">
        <x:v>9</x:v>
      </x:c>
      <x:c r="I120" s="13" t="n">
        <x:v>167</x:v>
      </x:c>
      <x:c r="J120" s="13" t="n">
        <x:v>-33</x:v>
      </x:c>
      <x:c r="K120" s="14" t="n">
        <x:f>IFERROR(F120/SUMIFS($F:$F,$B:$B,B120),0)</x:f>
        <x:v>0.02013693113169553</x:v>
      </x:c>
      <x:c r="L120" s="12" t="str">
        <x:v>18–21</x:v>
      </x:c>
    </x:row>
    <x:row r="121">
      <x:c r="A121" s="12" t="str">
        <x:v>8月平日</x:v>
      </x:c>
      <x:c r="B121" s="12" t="str">
        <x:v>2026-08-07</x:v>
      </x:c>
      <x:c r="C121" s="12" t="str">
        <x:v>22:00</x:v>
      </x:c>
      <x:c r="D121" s="13" t="n">
        <x:v>157</x:v>
      </x:c>
      <x:c r="E121" s="13" t="n">
        <x:v>4</x:v>
      </x:c>
      <x:c r="F121" s="13" t="n">
        <x:v>161</x:v>
      </x:c>
      <x:c r="G121" s="13" t="n">
        <x:v>139</x:v>
      </x:c>
      <x:c r="H121" s="13" t="n">
        <x:v>4</x:v>
      </x:c>
      <x:c r="I121" s="13" t="n">
        <x:v>143</x:v>
      </x:c>
      <x:c r="J121" s="13" t="n">
        <x:v>-18</x:v>
      </x:c>
      <x:c r="K121" s="14" t="n">
        <x:f>IFERROR(F121/SUMIFS($F:$F,$B:$B,B121),0)</x:f>
        <x:v>0.0162102295610149</x:v>
      </x:c>
      <x:c r="L121" s="12" t="str">
        <x:v>22–23</x:v>
      </x:c>
    </x:row>
    <x:row r="122">
      <x:c r="A122" s="12" t="str">
        <x:v>8月平日</x:v>
      </x:c>
      <x:c r="B122" s="12" t="str">
        <x:v>2026-08-07</x:v>
      </x:c>
      <x:c r="C122" s="12" t="str">
        <x:v>23:00</x:v>
      </x:c>
      <x:c r="D122" s="13" t="n">
        <x:v>106</x:v>
      </x:c>
      <x:c r="E122" s="13" t="n">
        <x:v>4</x:v>
      </x:c>
      <x:c r="F122" s="13" t="n">
        <x:v>110</x:v>
      </x:c>
      <x:c r="G122" s="13" t="n">
        <x:v>89</x:v>
      </x:c>
      <x:c r="H122" s="13" t="n">
        <x:v>2</x:v>
      </x:c>
      <x:c r="I122" s="13" t="n">
        <x:v>91</x:v>
      </x:c>
      <x:c r="J122" s="13" t="n">
        <x:v>-19</x:v>
      </x:c>
      <x:c r="K122" s="14" t="n">
        <x:f>IFERROR(F122/SUMIFS($F:$F,$B:$B,B122),0)</x:f>
        <x:v>0.011075312122432542</x:v>
      </x:c>
      <x:c r="L122" s="12" t="str">
        <x:v>22–23</x:v>
      </x:c>
    </x:row>
    <x:row r="123">
      <x:c r="A123" s="12" t="str">
        <x:v>8月平日</x:v>
      </x:c>
      <x:c r="B123" s="12" t="str">
        <x:v>2026-08-10</x:v>
      </x:c>
      <x:c r="C123" s="12" t="str">
        <x:v>00:00</x:v>
      </x:c>
      <x:c r="D123" s="13" t="n">
        <x:v>59</x:v>
      </x:c>
      <x:c r="E123" s="13" t="n">
        <x:v>1</x:v>
      </x:c>
      <x:c r="F123" s="13" t="n">
        <x:v>60</x:v>
      </x:c>
      <x:c r="G123" s="13" t="n">
        <x:v>37</x:v>
      </x:c>
      <x:c r="H123" s="13" t="n">
        <x:v>0</x:v>
      </x:c>
      <x:c r="I123" s="13" t="n">
        <x:v>37</x:v>
      </x:c>
      <x:c r="J123" s="13" t="n">
        <x:v>-23</x:v>
      </x:c>
      <x:c r="K123" s="14" t="n">
        <x:f>IFERROR(F123/SUMIFS($F:$F,$B:$B,B123),0)</x:f>
        <x:v>0.006039863096436481</x:v>
      </x:c>
      <x:c r="L123" s="12" t="str">
        <x:v>00–05</x:v>
      </x:c>
    </x:row>
    <x:row r="124">
      <x:c r="A124" s="12" t="str">
        <x:v>8月平日</x:v>
      </x:c>
      <x:c r="B124" s="12" t="str">
        <x:v>2026-08-10</x:v>
      </x:c>
      <x:c r="C124" s="12" t="str">
        <x:v>01:00</x:v>
      </x:c>
      <x:c r="D124" s="13" t="n">
        <x:v>31</x:v>
      </x:c>
      <x:c r="E124" s="13" t="n">
        <x:v>3</x:v>
      </x:c>
      <x:c r="F124" s="13" t="n">
        <x:v>34</x:v>
      </x:c>
      <x:c r="G124" s="13" t="n">
        <x:v>28</x:v>
      </x:c>
      <x:c r="H124" s="13" t="n">
        <x:v>3</x:v>
      </x:c>
      <x:c r="I124" s="13" t="n">
        <x:v>31</x:v>
      </x:c>
      <x:c r="J124" s="13" t="n">
        <x:v>-3</x:v>
      </x:c>
      <x:c r="K124" s="14" t="n">
        <x:f>IFERROR(F124/SUMIFS($F:$F,$B:$B,B124),0)</x:f>
        <x:v>0.0034225890879806724</x:v>
      </x:c>
      <x:c r="L124" s="12" t="str">
        <x:v>00–05</x:v>
      </x:c>
    </x:row>
    <x:row r="125">
      <x:c r="A125" s="12" t="str">
        <x:v>8月平日</x:v>
      </x:c>
      <x:c r="B125" s="12" t="str">
        <x:v>2026-08-10</x:v>
      </x:c>
      <x:c r="C125" s="12" t="str">
        <x:v>02:00</x:v>
      </x:c>
      <x:c r="D125" s="13" t="n">
        <x:v>12</x:v>
      </x:c>
      <x:c r="E125" s="13" t="n">
        <x:v>0</x:v>
      </x:c>
      <x:c r="F125" s="13" t="n">
        <x:v>12</x:v>
      </x:c>
      <x:c r="G125" s="13" t="n">
        <x:v>8</x:v>
      </x:c>
      <x:c r="H125" s="13" t="n">
        <x:v>0</x:v>
      </x:c>
      <x:c r="I125" s="13" t="n">
        <x:v>8</x:v>
      </x:c>
      <x:c r="J125" s="13" t="n">
        <x:v>-4</x:v>
      </x:c>
      <x:c r="K125" s="14" t="n">
        <x:f>IFERROR(F125/SUMIFS($F:$F,$B:$B,B125),0)</x:f>
        <x:v>0.0012079726192872962</x:v>
      </x:c>
      <x:c r="L125" s="12" t="str">
        <x:v>00–05</x:v>
      </x:c>
    </x:row>
    <x:row r="126">
      <x:c r="A126" s="12" t="str">
        <x:v>8月平日</x:v>
      </x:c>
      <x:c r="B126" s="12" t="str">
        <x:v>2026-08-10</x:v>
      </x:c>
      <x:c r="C126" s="12" t="str">
        <x:v>03:00</x:v>
      </x:c>
      <x:c r="D126" s="13" t="n">
        <x:v>11</x:v>
      </x:c>
      <x:c r="E126" s="13" t="n">
        <x:v>1</x:v>
      </x:c>
      <x:c r="F126" s="13" t="n">
        <x:v>12</x:v>
      </x:c>
      <x:c r="G126" s="13" t="n">
        <x:v>7</x:v>
      </x:c>
      <x:c r="H126" s="13" t="n">
        <x:v>0</x:v>
      </x:c>
      <x:c r="I126" s="13" t="n">
        <x:v>7</x:v>
      </x:c>
      <x:c r="J126" s="13" t="n">
        <x:v>-5</x:v>
      </x:c>
      <x:c r="K126" s="14" t="n">
        <x:f>IFERROR(F126/SUMIFS($F:$F,$B:$B,B126),0)</x:f>
        <x:v>0.0012079726192872962</x:v>
      </x:c>
      <x:c r="L126" s="12" t="str">
        <x:v>00–05</x:v>
      </x:c>
    </x:row>
    <x:row r="127">
      <x:c r="A127" s="12" t="str">
        <x:v>8月平日</x:v>
      </x:c>
      <x:c r="B127" s="12" t="str">
        <x:v>2026-08-10</x:v>
      </x:c>
      <x:c r="C127" s="12" t="str">
        <x:v>04:00</x:v>
      </x:c>
      <x:c r="D127" s="13" t="n">
        <x:v>16</x:v>
      </x:c>
      <x:c r="E127" s="13" t="n">
        <x:v>2</x:v>
      </x:c>
      <x:c r="F127" s="13" t="n">
        <x:v>18</x:v>
      </x:c>
      <x:c r="G127" s="13" t="n">
        <x:v>10</x:v>
      </x:c>
      <x:c r="H127" s="13" t="n">
        <x:v>2</x:v>
      </x:c>
      <x:c r="I127" s="13" t="n">
        <x:v>12</x:v>
      </x:c>
      <x:c r="J127" s="13" t="n">
        <x:v>-6</x:v>
      </x:c>
      <x:c r="K127" s="14" t="n">
        <x:f>IFERROR(F127/SUMIFS($F:$F,$B:$B,B127),0)</x:f>
        <x:v>0.0018119589289309443</x:v>
      </x:c>
      <x:c r="L127" s="12" t="str">
        <x:v>00–05</x:v>
      </x:c>
    </x:row>
    <x:row r="128">
      <x:c r="A128" s="12" t="str">
        <x:v>8月平日</x:v>
      </x:c>
      <x:c r="B128" s="12" t="str">
        <x:v>2026-08-10</x:v>
      </x:c>
      <x:c r="C128" s="12" t="str">
        <x:v>05:00</x:v>
      </x:c>
      <x:c r="D128" s="13" t="n">
        <x:v>35</x:v>
      </x:c>
      <x:c r="E128" s="13" t="n">
        <x:v>2</x:v>
      </x:c>
      <x:c r="F128" s="13" t="n">
        <x:v>37</x:v>
      </x:c>
      <x:c r="G128" s="13" t="n">
        <x:v>47</x:v>
      </x:c>
      <x:c r="H128" s="13" t="n">
        <x:v>5</x:v>
      </x:c>
      <x:c r="I128" s="13" t="n">
        <x:v>52</x:v>
      </x:c>
      <x:c r="J128" s="13" t="n">
        <x:v>15</x:v>
      </x:c>
      <x:c r="K128" s="14" t="n">
        <x:f>IFERROR(F128/SUMIFS($F:$F,$B:$B,B128),0)</x:f>
        <x:v>0.0037245822428024966</x:v>
      </x:c>
      <x:c r="L128" s="12" t="str">
        <x:v>00–05</x:v>
      </x:c>
    </x:row>
    <x:row r="129">
      <x:c r="A129" s="12" t="str">
        <x:v>8月平日</x:v>
      </x:c>
      <x:c r="B129" s="12" t="str">
        <x:v>2026-08-10</x:v>
      </x:c>
      <x:c r="C129" s="12" t="str">
        <x:v>06:00</x:v>
      </x:c>
      <x:c r="D129" s="13" t="n">
        <x:v>82</x:v>
      </x:c>
      <x:c r="E129" s="13" t="n">
        <x:v>5</x:v>
      </x:c>
      <x:c r="F129" s="13" t="n">
        <x:v>87</x:v>
      </x:c>
      <x:c r="G129" s="13" t="n">
        <x:v>117</x:v>
      </x:c>
      <x:c r="H129" s="13" t="n">
        <x:v>17</x:v>
      </x:c>
      <x:c r="I129" s="13" t="n">
        <x:v>134</x:v>
      </x:c>
      <x:c r="J129" s="13" t="n">
        <x:v>47</x:v>
      </x:c>
      <x:c r="K129" s="14" t="n">
        <x:f>IFERROR(F129/SUMIFS($F:$F,$B:$B,B129),0)</x:f>
        <x:v>0.008757801489832897</x:v>
      </x:c>
      <x:c r="L129" s="12" t="str">
        <x:v>06–09</x:v>
      </x:c>
    </x:row>
    <x:row r="130">
      <x:c r="A130" s="12" t="str">
        <x:v>8月平日</x:v>
      </x:c>
      <x:c r="B130" s="12" t="str">
        <x:v>2026-08-10</x:v>
      </x:c>
      <x:c r="C130" s="12" t="str">
        <x:v>07:00</x:v>
      </x:c>
      <x:c r="D130" s="13" t="n">
        <x:v>362</x:v>
      </x:c>
      <x:c r="E130" s="13" t="n">
        <x:v>8</x:v>
      </x:c>
      <x:c r="F130" s="13" t="n">
        <x:v>370</x:v>
      </x:c>
      <x:c r="G130" s="13" t="n">
        <x:v>385</x:v>
      </x:c>
      <x:c r="H130" s="13" t="n">
        <x:v>15</x:v>
      </x:c>
      <x:c r="I130" s="13" t="n">
        <x:v>400</x:v>
      </x:c>
      <x:c r="J130" s="13" t="n">
        <x:v>30</x:v>
      </x:c>
      <x:c r="K130" s="14" t="n">
        <x:f>IFERROR(F130/SUMIFS($F:$F,$B:$B,B130),0)</x:f>
        <x:v>0.03724582242802497</x:v>
      </x:c>
      <x:c r="L130" s="12" t="str">
        <x:v>06–09</x:v>
      </x:c>
    </x:row>
    <x:row r="131">
      <x:c r="A131" s="12" t="str">
        <x:v>8月平日</x:v>
      </x:c>
      <x:c r="B131" s="12" t="str">
        <x:v>2026-08-10</x:v>
      </x:c>
      <x:c r="C131" s="12" t="str">
        <x:v>08:00</x:v>
      </x:c>
      <x:c r="D131" s="13" t="n">
        <x:v>525</x:v>
      </x:c>
      <x:c r="E131" s="13" t="n">
        <x:v>32</x:v>
      </x:c>
      <x:c r="F131" s="13" t="n">
        <x:v>557</x:v>
      </x:c>
      <x:c r="G131" s="13" t="n">
        <x:v>729</x:v>
      </x:c>
      <x:c r="H131" s="13" t="n">
        <x:v>41</x:v>
      </x:c>
      <x:c r="I131" s="13" t="n">
        <x:v>770</x:v>
      </x:c>
      <x:c r="J131" s="13" t="n">
        <x:v>213</x:v>
      </x:c>
      <x:c r="K131" s="14" t="n">
        <x:f>IFERROR(F131/SUMIFS($F:$F,$B:$B,B131),0)</x:f>
        <x:v>0.05607006241191866</x:v>
      </x:c>
      <x:c r="L131" s="12" t="str">
        <x:v>06–09</x:v>
      </x:c>
    </x:row>
    <x:row r="132">
      <x:c r="A132" s="12" t="str">
        <x:v>8月平日</x:v>
      </x:c>
      <x:c r="B132" s="12" t="str">
        <x:v>2026-08-10</x:v>
      </x:c>
      <x:c r="C132" s="12" t="str">
        <x:v>09:00</x:v>
      </x:c>
      <x:c r="D132" s="13" t="n">
        <x:v>507</x:v>
      </x:c>
      <x:c r="E132" s="13" t="n">
        <x:v>26</x:v>
      </x:c>
      <x:c r="F132" s="13" t="n">
        <x:v>533</x:v>
      </x:c>
      <x:c r="G132" s="13" t="n">
        <x:v>756</x:v>
      </x:c>
      <x:c r="H132" s="13" t="n">
        <x:v>51</x:v>
      </x:c>
      <x:c r="I132" s="13" t="n">
        <x:v>807</x:v>
      </x:c>
      <x:c r="J132" s="13" t="n">
        <x:v>274</x:v>
      </x:c>
      <x:c r="K132" s="14" t="n">
        <x:f>IFERROR(F132/SUMIFS($F:$F,$B:$B,B132),0)</x:f>
        <x:v>0.05365411717334407</x:v>
      </x:c>
      <x:c r="L132" s="12" t="str">
        <x:v>06–09</x:v>
      </x:c>
    </x:row>
    <x:row r="133">
      <x:c r="A133" s="12" t="str">
        <x:v>8月平日</x:v>
      </x:c>
      <x:c r="B133" s="12" t="str">
        <x:v>2026-08-10</x:v>
      </x:c>
      <x:c r="C133" s="12" t="str">
        <x:v>10:00</x:v>
      </x:c>
      <x:c r="D133" s="13" t="n">
        <x:v>543</x:v>
      </x:c>
      <x:c r="E133" s="13" t="n">
        <x:v>15</x:v>
      </x:c>
      <x:c r="F133" s="13" t="n">
        <x:v>558</x:v>
      </x:c>
      <x:c r="G133" s="13" t="n">
        <x:v>696</x:v>
      </x:c>
      <x:c r="H133" s="13" t="n">
        <x:v>26</x:v>
      </x:c>
      <x:c r="I133" s="13" t="n">
        <x:v>722</x:v>
      </x:c>
      <x:c r="J133" s="13" t="n">
        <x:v>164</x:v>
      </x:c>
      <x:c r="K133" s="14" t="n">
        <x:f>IFERROR(F133/SUMIFS($F:$F,$B:$B,B133),0)</x:f>
        <x:v>0.05617072679685927</x:v>
      </x:c>
      <x:c r="L133" s="12" t="str">
        <x:v>10–13</x:v>
      </x:c>
    </x:row>
    <x:row r="134">
      <x:c r="A134" s="12" t="str">
        <x:v>8月平日</x:v>
      </x:c>
      <x:c r="B134" s="12" t="str">
        <x:v>2026-08-10</x:v>
      </x:c>
      <x:c r="C134" s="12" t="str">
        <x:v>11:00</x:v>
      </x:c>
      <x:c r="D134" s="13" t="n">
        <x:v>754</x:v>
      </x:c>
      <x:c r="E134" s="13" t="n">
        <x:v>21</x:v>
      </x:c>
      <x:c r="F134" s="13" t="n">
        <x:v>775</x:v>
      </x:c>
      <x:c r="G134" s="13" t="n">
        <x:v>738</x:v>
      </x:c>
      <x:c r="H134" s="13" t="n">
        <x:v>28</x:v>
      </x:c>
      <x:c r="I134" s="13" t="n">
        <x:v>766</x:v>
      </x:c>
      <x:c r="J134" s="13" t="n">
        <x:v>-9</x:v>
      </x:c>
      <x:c r="K134" s="14" t="n">
        <x:f>IFERROR(F134/SUMIFS($F:$F,$B:$B,B134),0)</x:f>
        <x:v>0.07801489832897121</x:v>
      </x:c>
      <x:c r="L134" s="12" t="str">
        <x:v>10–13</x:v>
      </x:c>
    </x:row>
    <x:row r="135">
      <x:c r="A135" s="12" t="str">
        <x:v>8月平日</x:v>
      </x:c>
      <x:c r="B135" s="12" t="str">
        <x:v>2026-08-10</x:v>
      </x:c>
      <x:c r="C135" s="12" t="str">
        <x:v>12:00</x:v>
      </x:c>
      <x:c r="D135" s="13" t="n">
        <x:v>914</x:v>
      </x:c>
      <x:c r="E135" s="13" t="n">
        <x:v>34</x:v>
      </x:c>
      <x:c r="F135" s="13" t="n">
        <x:v>948</x:v>
      </x:c>
      <x:c r="G135" s="13" t="n">
        <x:v>939</x:v>
      </x:c>
      <x:c r="H135" s="13" t="n">
        <x:v>34</x:v>
      </x:c>
      <x:c r="I135" s="13" t="n">
        <x:v>973</x:v>
      </x:c>
      <x:c r="J135" s="13" t="n">
        <x:v>25</x:v>
      </x:c>
      <x:c r="K135" s="14" t="n">
        <x:f>IFERROR(F135/SUMIFS($F:$F,$B:$B,B135),0)</x:f>
        <x:v>0.0954298369236964</x:v>
      </x:c>
      <x:c r="L135" s="12" t="str">
        <x:v>10–13</x:v>
      </x:c>
    </x:row>
    <x:row r="136">
      <x:c r="A136" s="12" t="str">
        <x:v>8月平日</x:v>
      </x:c>
      <x:c r="B136" s="12" t="str">
        <x:v>2026-08-10</x:v>
      </x:c>
      <x:c r="C136" s="12" t="str">
        <x:v>13:00</x:v>
      </x:c>
      <x:c r="D136" s="13" t="n">
        <x:v>735</x:v>
      </x:c>
      <x:c r="E136" s="13" t="n">
        <x:v>34</x:v>
      </x:c>
      <x:c r="F136" s="13" t="n">
        <x:v>769</x:v>
      </x:c>
      <x:c r="G136" s="13" t="n">
        <x:v>869</x:v>
      </x:c>
      <x:c r="H136" s="13" t="n">
        <x:v>34</x:v>
      </x:c>
      <x:c r="I136" s="13" t="n">
        <x:v>903</x:v>
      </x:c>
      <x:c r="J136" s="13" t="n">
        <x:v>134</x:v>
      </x:c>
      <x:c r="K136" s="14" t="n">
        <x:f>IFERROR(F136/SUMIFS($F:$F,$B:$B,B136),0)</x:f>
        <x:v>0.07741091201932757</x:v>
      </x:c>
      <x:c r="L136" s="12" t="str">
        <x:v>10–13</x:v>
      </x:c>
    </x:row>
    <x:row r="137">
      <x:c r="A137" s="12" t="str">
        <x:v>8月平日</x:v>
      </x:c>
      <x:c r="B137" s="12" t="str">
        <x:v>2026-08-10</x:v>
      </x:c>
      <x:c r="C137" s="12" t="str">
        <x:v>14:00</x:v>
      </x:c>
      <x:c r="D137" s="13" t="n">
        <x:v>698</x:v>
      </x:c>
      <x:c r="E137" s="13" t="n">
        <x:v>22</x:v>
      </x:c>
      <x:c r="F137" s="13" t="n">
        <x:v>720</x:v>
      </x:c>
      <x:c r="G137" s="13" t="n">
        <x:v>745</x:v>
      </x:c>
      <x:c r="H137" s="13" t="n">
        <x:v>27</x:v>
      </x:c>
      <x:c r="I137" s="13" t="n">
        <x:v>772</x:v>
      </x:c>
      <x:c r="J137" s="13" t="n">
        <x:v>52</x:v>
      </x:c>
      <x:c r="K137" s="14" t="n">
        <x:f>IFERROR(F137/SUMIFS($F:$F,$B:$B,B137),0)</x:f>
        <x:v>0.07247835715723777</x:v>
      </x:c>
      <x:c r="L137" s="12" t="str">
        <x:v>14–17</x:v>
      </x:c>
    </x:row>
    <x:row r="138">
      <x:c r="A138" s="12" t="str">
        <x:v>8月平日</x:v>
      </x:c>
      <x:c r="B138" s="12" t="str">
        <x:v>2026-08-10</x:v>
      </x:c>
      <x:c r="C138" s="12" t="str">
        <x:v>15:00</x:v>
      </x:c>
      <x:c r="D138" s="13" t="n">
        <x:v>669</x:v>
      </x:c>
      <x:c r="E138" s="13" t="n">
        <x:v>17</x:v>
      </x:c>
      <x:c r="F138" s="13" t="n">
        <x:v>686</x:v>
      </x:c>
      <x:c r="G138" s="13" t="n">
        <x:v>624</x:v>
      </x:c>
      <x:c r="H138" s="13" t="n">
        <x:v>20</x:v>
      </x:c>
      <x:c r="I138" s="13" t="n">
        <x:v>644</x:v>
      </x:c>
      <x:c r="J138" s="13" t="n">
        <x:v>-42</x:v>
      </x:c>
      <x:c r="K138" s="14" t="n">
        <x:f>IFERROR(F138/SUMIFS($F:$F,$B:$B,B138),0)</x:f>
        <x:v>0.0690557680692571</x:v>
      </x:c>
      <x:c r="L138" s="12" t="str">
        <x:v>14–17</x:v>
      </x:c>
    </x:row>
    <x:row r="139">
      <x:c r="A139" s="12" t="str">
        <x:v>8月平日</x:v>
      </x:c>
      <x:c r="B139" s="12" t="str">
        <x:v>2026-08-10</x:v>
      </x:c>
      <x:c r="C139" s="12" t="str">
        <x:v>16:00</x:v>
      </x:c>
      <x:c r="D139" s="13" t="n">
        <x:v>892</x:v>
      </x:c>
      <x:c r="E139" s="13" t="n">
        <x:v>32</x:v>
      </x:c>
      <x:c r="F139" s="13" t="n">
        <x:v>924</x:v>
      </x:c>
      <x:c r="G139" s="13" t="n">
        <x:v>718</x:v>
      </x:c>
      <x:c r="H139" s="13" t="n">
        <x:v>23</x:v>
      </x:c>
      <x:c r="I139" s="13" t="n">
        <x:v>741</x:v>
      </x:c>
      <x:c r="J139" s="13" t="n">
        <x:v>-183</x:v>
      </x:c>
      <x:c r="K139" s="14" t="n">
        <x:f>IFERROR(F139/SUMIFS($F:$F,$B:$B,B139),0)</x:f>
        <x:v>0.09301389168512181</x:v>
      </x:c>
      <x:c r="L139" s="12" t="str">
        <x:v>14–17</x:v>
      </x:c>
    </x:row>
    <x:row r="140">
      <x:c r="A140" s="12" t="str">
        <x:v>8月平日</x:v>
      </x:c>
      <x:c r="B140" s="12" t="str">
        <x:v>2026-08-10</x:v>
      </x:c>
      <x:c r="C140" s="12" t="str">
        <x:v>17:00</x:v>
      </x:c>
      <x:c r="D140" s="13" t="n">
        <x:v>1223</x:v>
      </x:c>
      <x:c r="E140" s="13" t="n">
        <x:v>51</x:v>
      </x:c>
      <x:c r="F140" s="13" t="n">
        <x:v>1274</x:v>
      </x:c>
      <x:c r="G140" s="13" t="n">
        <x:v>699</x:v>
      </x:c>
      <x:c r="H140" s="13" t="n">
        <x:v>24</x:v>
      </x:c>
      <x:c r="I140" s="13" t="n">
        <x:v>723</x:v>
      </x:c>
      <x:c r="J140" s="13" t="n">
        <x:v>-551</x:v>
      </x:c>
      <x:c r="K140" s="14" t="n">
        <x:f>IFERROR(F140/SUMIFS($F:$F,$B:$B,B140),0)</x:f>
        <x:v>0.12824642641433462</x:v>
      </x:c>
      <x:c r="L140" s="12" t="str">
        <x:v>14–17</x:v>
      </x:c>
    </x:row>
    <x:row r="141">
      <x:c r="A141" s="12" t="str">
        <x:v>8月平日</x:v>
      </x:c>
      <x:c r="B141" s="12" t="str">
        <x:v>2026-08-10</x:v>
      </x:c>
      <x:c r="C141" s="12" t="str">
        <x:v>18:00</x:v>
      </x:c>
      <x:c r="D141" s="13" t="n">
        <x:v>446</x:v>
      </x:c>
      <x:c r="E141" s="13" t="n">
        <x:v>16</x:v>
      </x:c>
      <x:c r="F141" s="13" t="n">
        <x:v>462</x:v>
      </x:c>
      <x:c r="G141" s="13" t="n">
        <x:v>331</x:v>
      </x:c>
      <x:c r="H141" s="13" t="n">
        <x:v>8</x:v>
      </x:c>
      <x:c r="I141" s="13" t="n">
        <x:v>339</x:v>
      </x:c>
      <x:c r="J141" s="13" t="n">
        <x:v>-123</x:v>
      </x:c>
      <x:c r="K141" s="14" t="n">
        <x:f>IFERROR(F141/SUMIFS($F:$F,$B:$B,B141),0)</x:f>
        <x:v>0.046506945842560904</x:v>
      </x:c>
      <x:c r="L141" s="12" t="str">
        <x:v>18–21</x:v>
      </x:c>
    </x:row>
    <x:row r="142">
      <x:c r="A142" s="12" t="str">
        <x:v>8月平日</x:v>
      </x:c>
      <x:c r="B142" s="12" t="str">
        <x:v>2026-08-10</x:v>
      </x:c>
      <x:c r="C142" s="12" t="str">
        <x:v>19:00</x:v>
      </x:c>
      <x:c r="D142" s="13" t="n">
        <x:v>319</x:v>
      </x:c>
      <x:c r="E142" s="13" t="n">
        <x:v>25</x:v>
      </x:c>
      <x:c r="F142" s="13" t="n">
        <x:v>344</x:v>
      </x:c>
      <x:c r="G142" s="13" t="n">
        <x:v>223</x:v>
      </x:c>
      <x:c r="H142" s="13" t="n">
        <x:v>19</x:v>
      </x:c>
      <x:c r="I142" s="13" t="n">
        <x:v>242</x:v>
      </x:c>
      <x:c r="J142" s="13" t="n">
        <x:v>-102</x:v>
      </x:c>
      <x:c r="K142" s="14" t="n">
        <x:f>IFERROR(F142/SUMIFS($F:$F,$B:$B,B142),0)</x:f>
        <x:v>0.03462854841956916</x:v>
      </x:c>
      <x:c r="L142" s="12" t="str">
        <x:v>18–21</x:v>
      </x:c>
    </x:row>
    <x:row r="143">
      <x:c r="A143" s="12" t="str">
        <x:v>8月平日</x:v>
      </x:c>
      <x:c r="B143" s="12" t="str">
        <x:v>2026-08-10</x:v>
      </x:c>
      <x:c r="C143" s="12" t="str">
        <x:v>20:00</x:v>
      </x:c>
      <x:c r="D143" s="13" t="n">
        <x:v>289</x:v>
      </x:c>
      <x:c r="E143" s="13" t="n">
        <x:v>6</x:v>
      </x:c>
      <x:c r="F143" s="13" t="n">
        <x:v>295</x:v>
      </x:c>
      <x:c r="G143" s="13" t="n">
        <x:v>226</x:v>
      </x:c>
      <x:c r="H143" s="13" t="n">
        <x:v>6</x:v>
      </x:c>
      <x:c r="I143" s="13" t="n">
        <x:v>232</x:v>
      </x:c>
      <x:c r="J143" s="13" t="n">
        <x:v>-63</x:v>
      </x:c>
      <x:c r="K143" s="14" t="n">
        <x:f>IFERROR(F143/SUMIFS($F:$F,$B:$B,B143),0)</x:f>
        <x:v>0.029695993557479365</x:v>
      </x:c>
      <x:c r="L143" s="12" t="str">
        <x:v>18–21</x:v>
      </x:c>
    </x:row>
    <x:row r="144">
      <x:c r="A144" s="12" t="str">
        <x:v>8月平日</x:v>
      </x:c>
      <x:c r="B144" s="12" t="str">
        <x:v>2026-08-10</x:v>
      </x:c>
      <x:c r="C144" s="12" t="str">
        <x:v>21:00</x:v>
      </x:c>
      <x:c r="D144" s="13" t="n">
        <x:v>195</x:v>
      </x:c>
      <x:c r="E144" s="13" t="n">
        <x:v>13</x:v>
      </x:c>
      <x:c r="F144" s="13" t="n">
        <x:v>208</x:v>
      </x:c>
      <x:c r="G144" s="13" t="n">
        <x:v>157</x:v>
      </x:c>
      <x:c r="H144" s="13" t="n">
        <x:v>14</x:v>
      </x:c>
      <x:c r="I144" s="13" t="n">
        <x:v>171</x:v>
      </x:c>
      <x:c r="J144" s="13" t="n">
        <x:v>-37</x:v>
      </x:c>
      <x:c r="K144" s="14" t="n">
        <x:f>IFERROR(F144/SUMIFS($F:$F,$B:$B,B144),0)</x:f>
        <x:v>0.020938192067646466</x:v>
      </x:c>
      <x:c r="L144" s="12" t="str">
        <x:v>18–21</x:v>
      </x:c>
    </x:row>
    <x:row r="145">
      <x:c r="A145" s="12" t="str">
        <x:v>8月平日</x:v>
      </x:c>
      <x:c r="B145" s="12" t="str">
        <x:v>2026-08-10</x:v>
      </x:c>
      <x:c r="C145" s="12" t="str">
        <x:v>22:00</x:v>
      </x:c>
      <x:c r="D145" s="13" t="n">
        <x:v>144</x:v>
      </x:c>
      <x:c r="E145" s="13" t="n">
        <x:v>14</x:v>
      </x:c>
      <x:c r="F145" s="13" t="n">
        <x:v>158</x:v>
      </x:c>
      <x:c r="G145" s="13" t="n">
        <x:v>118</x:v>
      </x:c>
      <x:c r="H145" s="13" t="n">
        <x:v>8</x:v>
      </x:c>
      <x:c r="I145" s="13" t="n">
        <x:v>126</x:v>
      </x:c>
      <x:c r="J145" s="13" t="n">
        <x:v>-32</x:v>
      </x:c>
      <x:c r="K145" s="14" t="n">
        <x:f>IFERROR(F145/SUMIFS($F:$F,$B:$B,B145),0)</x:f>
        <x:v>0.015904972820616065</x:v>
      </x:c>
      <x:c r="L145" s="12" t="str">
        <x:v>22–23</x:v>
      </x:c>
    </x:row>
    <x:row r="146">
      <x:c r="A146" s="12" t="str">
        <x:v>8月平日</x:v>
      </x:c>
      <x:c r="B146" s="12" t="str">
        <x:v>2026-08-10</x:v>
      </x:c>
      <x:c r="C146" s="12" t="str">
        <x:v>23:00</x:v>
      </x:c>
      <x:c r="D146" s="13" t="n">
        <x:v>89</x:v>
      </x:c>
      <x:c r="E146" s="13" t="n">
        <x:v>4</x:v>
      </x:c>
      <x:c r="F146" s="13" t="n">
        <x:v>93</x:v>
      </x:c>
      <x:c r="G146" s="13" t="n">
        <x:v>75</x:v>
      </x:c>
      <x:c r="H146" s="13" t="n">
        <x:v>4</x:v>
      </x:c>
      <x:c r="I146" s="13" t="n">
        <x:v>79</x:v>
      </x:c>
      <x:c r="J146" s="13" t="n">
        <x:v>-14</x:v>
      </x:c>
      <x:c r="K146" s="14" t="n">
        <x:f>IFERROR(F146/SUMIFS($F:$F,$B:$B,B146),0)</x:f>
        <x:v>0.009361787799476546</x:v>
      </x:c>
      <x:c r="L146" s="12" t="str">
        <x:v>22–23</x:v>
      </x:c>
    </x:row>
    <x:row r="147">
      <x:c r="A147" s="12" t="str">
        <x:v>8月平日</x:v>
      </x:c>
      <x:c r="B147" s="12" t="str">
        <x:v>2026-08-11</x:v>
      </x:c>
      <x:c r="C147" s="12" t="str">
        <x:v>00:00</x:v>
      </x:c>
      <x:c r="D147" s="13" t="n">
        <x:v>60</x:v>
      </x:c>
      <x:c r="E147" s="13" t="n">
        <x:v>6</x:v>
      </x:c>
      <x:c r="F147" s="13" t="n">
        <x:v>66</x:v>
      </x:c>
      <x:c r="G147" s="13" t="n">
        <x:v>58</x:v>
      </x:c>
      <x:c r="H147" s="13" t="n">
        <x:v>7</x:v>
      </x:c>
      <x:c r="I147" s="13" t="n">
        <x:v>65</x:v>
      </x:c>
      <x:c r="J147" s="13" t="n">
        <x:v>-1</x:v>
      </x:c>
      <x:c r="K147" s="14" t="n">
        <x:f>IFERROR(F147/SUMIFS($F:$F,$B:$B,B147),0)</x:f>
        <x:v>0.005880256593014968</x:v>
      </x:c>
      <x:c r="L147" s="12" t="str">
        <x:v>00–05</x:v>
      </x:c>
    </x:row>
    <x:row r="148">
      <x:c r="A148" s="12" t="str">
        <x:v>8月平日</x:v>
      </x:c>
      <x:c r="B148" s="12" t="str">
        <x:v>2026-08-11</x:v>
      </x:c>
      <x:c r="C148" s="12" t="str">
        <x:v>01:00</x:v>
      </x:c>
      <x:c r="D148" s="13" t="n">
        <x:v>33</x:v>
      </x:c>
      <x:c r="E148" s="13" t="n">
        <x:v>2</x:v>
      </x:c>
      <x:c r="F148" s="13" t="n">
        <x:v>35</x:v>
      </x:c>
      <x:c r="G148" s="13" t="n">
        <x:v>18</x:v>
      </x:c>
      <x:c r="H148" s="13" t="n">
        <x:v>2</x:v>
      </x:c>
      <x:c r="I148" s="13" t="n">
        <x:v>20</x:v>
      </x:c>
      <x:c r="J148" s="13" t="n">
        <x:v>-15</x:v>
      </x:c>
      <x:c r="K148" s="14" t="n">
        <x:f>IFERROR(F148/SUMIFS($F:$F,$B:$B,B148),0)</x:f>
        <x:v>0.0031183178902352104</x:v>
      </x:c>
      <x:c r="L148" s="12" t="str">
        <x:v>00–05</x:v>
      </x:c>
    </x:row>
    <x:row r="149">
      <x:c r="A149" s="12" t="str">
        <x:v>8月平日</x:v>
      </x:c>
      <x:c r="B149" s="12" t="str">
        <x:v>2026-08-11</x:v>
      </x:c>
      <x:c r="C149" s="12" t="str">
        <x:v>02:00</x:v>
      </x:c>
      <x:c r="D149" s="13" t="n">
        <x:v>22</x:v>
      </x:c>
      <x:c r="E149" s="13" t="n">
        <x:v>1</x:v>
      </x:c>
      <x:c r="F149" s="13" t="n">
        <x:v>23</x:v>
      </x:c>
      <x:c r="G149" s="13" t="n">
        <x:v>19</x:v>
      </x:c>
      <x:c r="H149" s="13" t="n">
        <x:v>1</x:v>
      </x:c>
      <x:c r="I149" s="13" t="n">
        <x:v>20</x:v>
      </x:c>
      <x:c r="J149" s="13" t="n">
        <x:v>-3</x:v>
      </x:c>
      <x:c r="K149" s="14" t="n">
        <x:f>IFERROR(F149/SUMIFS($F:$F,$B:$B,B149),0)</x:f>
        <x:v>0.0020491803278688526</x:v>
      </x:c>
      <x:c r="L149" s="12" t="str">
        <x:v>00–05</x:v>
      </x:c>
    </x:row>
    <x:row r="150">
      <x:c r="A150" s="12" t="str">
        <x:v>8月平日</x:v>
      </x:c>
      <x:c r="B150" s="12" t="str">
        <x:v>2026-08-11</x:v>
      </x:c>
      <x:c r="C150" s="12" t="str">
        <x:v>03:00</x:v>
      </x:c>
      <x:c r="D150" s="13" t="n">
        <x:v>16</x:v>
      </x:c>
      <x:c r="E150" s="13" t="n">
        <x:v>2</x:v>
      </x:c>
      <x:c r="F150" s="13" t="n">
        <x:v>18</x:v>
      </x:c>
      <x:c r="G150" s="13" t="n">
        <x:v>15</x:v>
      </x:c>
      <x:c r="H150" s="13" t="n">
        <x:v>0</x:v>
      </x:c>
      <x:c r="I150" s="13" t="n">
        <x:v>15</x:v>
      </x:c>
      <x:c r="J150" s="13" t="n">
        <x:v>-3</x:v>
      </x:c>
      <x:c r="K150" s="14" t="n">
        <x:f>IFERROR(F150/SUMIFS($F:$F,$B:$B,B150),0)</x:f>
        <x:v>0.0016037063435495368</x:v>
      </x:c>
      <x:c r="L150" s="12" t="str">
        <x:v>00–05</x:v>
      </x:c>
    </x:row>
    <x:row r="151">
      <x:c r="A151" s="12" t="str">
        <x:v>8月平日</x:v>
      </x:c>
      <x:c r="B151" s="12" t="str">
        <x:v>2026-08-11</x:v>
      </x:c>
      <x:c r="C151" s="12" t="str">
        <x:v>04:00</x:v>
      </x:c>
      <x:c r="D151" s="13" t="n">
        <x:v>7</x:v>
      </x:c>
      <x:c r="E151" s="13" t="n">
        <x:v>3</x:v>
      </x:c>
      <x:c r="F151" s="13" t="n">
        <x:v>10</x:v>
      </x:c>
      <x:c r="G151" s="13" t="n">
        <x:v>5</x:v>
      </x:c>
      <x:c r="H151" s="13" t="n">
        <x:v>2</x:v>
      </x:c>
      <x:c r="I151" s="13" t="n">
        <x:v>7</x:v>
      </x:c>
      <x:c r="J151" s="13" t="n">
        <x:v>-3</x:v>
      </x:c>
      <x:c r="K151" s="14" t="n">
        <x:f>IFERROR(F151/SUMIFS($F:$F,$B:$B,B151),0)</x:f>
        <x:v>0.0008909479686386316</x:v>
      </x:c>
      <x:c r="L151" s="12" t="str">
        <x:v>00–05</x:v>
      </x:c>
    </x:row>
    <x:row r="152">
      <x:c r="A152" s="12" t="str">
        <x:v>8月平日</x:v>
      </x:c>
      <x:c r="B152" s="12" t="str">
        <x:v>2026-08-11</x:v>
      </x:c>
      <x:c r="C152" s="12" t="str">
        <x:v>05:00</x:v>
      </x:c>
      <x:c r="D152" s="13" t="n">
        <x:v>28</x:v>
      </x:c>
      <x:c r="E152" s="13" t="n">
        <x:v>2</x:v>
      </x:c>
      <x:c r="F152" s="13" t="n">
        <x:v>30</x:v>
      </x:c>
      <x:c r="G152" s="13" t="n">
        <x:v>60</x:v>
      </x:c>
      <x:c r="H152" s="13" t="n">
        <x:v>4</x:v>
      </x:c>
      <x:c r="I152" s="13" t="n">
        <x:v>64</x:v>
      </x:c>
      <x:c r="J152" s="13" t="n">
        <x:v>34</x:v>
      </x:c>
      <x:c r="K152" s="14" t="n">
        <x:f>IFERROR(F152/SUMIFS($F:$F,$B:$B,B152),0)</x:f>
        <x:v>0.0026728439059158947</x:v>
      </x:c>
      <x:c r="L152" s="12" t="str">
        <x:v>00–05</x:v>
      </x:c>
    </x:row>
    <x:row r="153">
      <x:c r="A153" s="12" t="str">
        <x:v>8月平日</x:v>
      </x:c>
      <x:c r="B153" s="12" t="str">
        <x:v>2026-08-11</x:v>
      </x:c>
      <x:c r="C153" s="12" t="str">
        <x:v>06:00</x:v>
      </x:c>
      <x:c r="D153" s="13" t="n">
        <x:v>90</x:v>
      </x:c>
      <x:c r="E153" s="13" t="n">
        <x:v>4</x:v>
      </x:c>
      <x:c r="F153" s="13" t="n">
        <x:v>94</x:v>
      </x:c>
      <x:c r="G153" s="13" t="n">
        <x:v>109</x:v>
      </x:c>
      <x:c r="H153" s="13" t="n">
        <x:v>9</x:v>
      </x:c>
      <x:c r="I153" s="13" t="n">
        <x:v>118</x:v>
      </x:c>
      <x:c r="J153" s="13" t="n">
        <x:v>24</x:v>
      </x:c>
      <x:c r="K153" s="14" t="n">
        <x:f>IFERROR(F153/SUMIFS($F:$F,$B:$B,B153),0)</x:f>
        <x:v>0.008374910905203136</x:v>
      </x:c>
      <x:c r="L153" s="12" t="str">
        <x:v>06–09</x:v>
      </x:c>
    </x:row>
    <x:row r="154">
      <x:c r="A154" s="12" t="str">
        <x:v>8月平日</x:v>
      </x:c>
      <x:c r="B154" s="12" t="str">
        <x:v>2026-08-11</x:v>
      </x:c>
      <x:c r="C154" s="12" t="str">
        <x:v>07:00</x:v>
      </x:c>
      <x:c r="D154" s="13" t="n">
        <x:v>396</x:v>
      </x:c>
      <x:c r="E154" s="13" t="n">
        <x:v>9</x:v>
      </x:c>
      <x:c r="F154" s="13" t="n">
        <x:v>405</x:v>
      </x:c>
      <x:c r="G154" s="13" t="n">
        <x:v>487</x:v>
      </x:c>
      <x:c r="H154" s="13" t="n">
        <x:v>26</x:v>
      </x:c>
      <x:c r="I154" s="13" t="n">
        <x:v>513</x:v>
      </x:c>
      <x:c r="J154" s="13" t="n">
        <x:v>108</x:v>
      </x:c>
      <x:c r="K154" s="14" t="n">
        <x:f>IFERROR(F154/SUMIFS($F:$F,$B:$B,B154),0)</x:f>
        <x:v>0.03608339272986458</x:v>
      </x:c>
      <x:c r="L154" s="12" t="str">
        <x:v>06–09</x:v>
      </x:c>
    </x:row>
    <x:row r="155">
      <x:c r="A155" s="12" t="str">
        <x:v>8月平日</x:v>
      </x:c>
      <x:c r="B155" s="12" t="str">
        <x:v>2026-08-11</x:v>
      </x:c>
      <x:c r="C155" s="12" t="str">
        <x:v>08:00</x:v>
      </x:c>
      <x:c r="D155" s="13" t="n">
        <x:v>577</x:v>
      </x:c>
      <x:c r="E155" s="13" t="n">
        <x:v>29</x:v>
      </x:c>
      <x:c r="F155" s="13" t="n">
        <x:v>606</x:v>
      </x:c>
      <x:c r="G155" s="13" t="n">
        <x:v>855</x:v>
      </x:c>
      <x:c r="H155" s="13" t="n">
        <x:v>46</x:v>
      </x:c>
      <x:c r="I155" s="13" t="n">
        <x:v>901</x:v>
      </x:c>
      <x:c r="J155" s="13" t="n">
        <x:v>295</x:v>
      </x:c>
      <x:c r="K155" s="14" t="n">
        <x:f>IFERROR(F155/SUMIFS($F:$F,$B:$B,B155),0)</x:f>
        <x:v>0.05399144689950107</x:v>
      </x:c>
      <x:c r="L155" s="12" t="str">
        <x:v>06–09</x:v>
      </x:c>
    </x:row>
    <x:row r="156">
      <x:c r="A156" s="12" t="str">
        <x:v>8月平日</x:v>
      </x:c>
      <x:c r="B156" s="12" t="str">
        <x:v>2026-08-11</x:v>
      </x:c>
      <x:c r="C156" s="12" t="str">
        <x:v>09:00</x:v>
      </x:c>
      <x:c r="D156" s="13" t="n">
        <x:v>549</x:v>
      </x:c>
      <x:c r="E156" s="13" t="n">
        <x:v>34</x:v>
      </x:c>
      <x:c r="F156" s="13" t="n">
        <x:v>583</x:v>
      </x:c>
      <x:c r="G156" s="13" t="n">
        <x:v>815</x:v>
      </x:c>
      <x:c r="H156" s="13" t="n">
        <x:v>56</x:v>
      </x:c>
      <x:c r="I156" s="13" t="n">
        <x:v>871</x:v>
      </x:c>
      <x:c r="J156" s="13" t="n">
        <x:v>288</x:v>
      </x:c>
      <x:c r="K156" s="14" t="n">
        <x:f>IFERROR(F156/SUMIFS($F:$F,$B:$B,B156),0)</x:f>
        <x:v>0.051942266571632215</x:v>
      </x:c>
      <x:c r="L156" s="12" t="str">
        <x:v>06–09</x:v>
      </x:c>
    </x:row>
    <x:row r="157">
      <x:c r="A157" s="12" t="str">
        <x:v>8月平日</x:v>
      </x:c>
      <x:c r="B157" s="12" t="str">
        <x:v>2026-08-11</x:v>
      </x:c>
      <x:c r="C157" s="12" t="str">
        <x:v>10:00</x:v>
      </x:c>
      <x:c r="D157" s="13" t="n">
        <x:v>492</x:v>
      </x:c>
      <x:c r="E157" s="13" t="n">
        <x:v>24</x:v>
      </x:c>
      <x:c r="F157" s="13" t="n">
        <x:v>516</x:v>
      </x:c>
      <x:c r="G157" s="13" t="n">
        <x:v>669</x:v>
      </x:c>
      <x:c r="H157" s="13" t="n">
        <x:v>40</x:v>
      </x:c>
      <x:c r="I157" s="13" t="n">
        <x:v>709</x:v>
      </x:c>
      <x:c r="J157" s="13" t="n">
        <x:v>193</x:v>
      </x:c>
      <x:c r="K157" s="14" t="n">
        <x:f>IFERROR(F157/SUMIFS($F:$F,$B:$B,B157),0)</x:f>
        <x:v>0.045972915181753386</x:v>
      </x:c>
      <x:c r="L157" s="12" t="str">
        <x:v>10–13</x:v>
      </x:c>
    </x:row>
    <x:row r="158">
      <x:c r="A158" s="12" t="str">
        <x:v>8月平日</x:v>
      </x:c>
      <x:c r="B158" s="12" t="str">
        <x:v>2026-08-11</x:v>
      </x:c>
      <x:c r="C158" s="12" t="str">
        <x:v>11:00</x:v>
      </x:c>
      <x:c r="D158" s="13" t="n">
        <x:v>736</x:v>
      </x:c>
      <x:c r="E158" s="13" t="n">
        <x:v>36</x:v>
      </x:c>
      <x:c r="F158" s="13" t="n">
        <x:v>772</x:v>
      </x:c>
      <x:c r="G158" s="13" t="n">
        <x:v>709</x:v>
      </x:c>
      <x:c r="H158" s="13" t="n">
        <x:v>29</x:v>
      </x:c>
      <x:c r="I158" s="13" t="n">
        <x:v>738</x:v>
      </x:c>
      <x:c r="J158" s="13" t="n">
        <x:v>-34</x:v>
      </x:c>
      <x:c r="K158" s="14" t="n">
        <x:f>IFERROR(F158/SUMIFS($F:$F,$B:$B,B158),0)</x:f>
        <x:v>0.06878118317890235</x:v>
      </x:c>
      <x:c r="L158" s="12" t="str">
        <x:v>10–13</x:v>
      </x:c>
    </x:row>
    <x:row r="159">
      <x:c r="A159" s="12" t="str">
        <x:v>8月平日</x:v>
      </x:c>
      <x:c r="B159" s="12" t="str">
        <x:v>2026-08-11</x:v>
      </x:c>
      <x:c r="C159" s="12" t="str">
        <x:v>12:00</x:v>
      </x:c>
      <x:c r="D159" s="13" t="n">
        <x:v>936</x:v>
      </x:c>
      <x:c r="E159" s="13" t="n">
        <x:v>27</x:v>
      </x:c>
      <x:c r="F159" s="13" t="n">
        <x:v>963</x:v>
      </x:c>
      <x:c r="G159" s="13" t="n">
        <x:v>913</x:v>
      </x:c>
      <x:c r="H159" s="13" t="n">
        <x:v>38</x:v>
      </x:c>
      <x:c r="I159" s="13" t="n">
        <x:v>951</x:v>
      </x:c>
      <x:c r="J159" s="13" t="n">
        <x:v>-12</x:v>
      </x:c>
      <x:c r="K159" s="14" t="n">
        <x:f>IFERROR(F159/SUMIFS($F:$F,$B:$B,B159),0)</x:f>
        <x:v>0.08579828937990021</x:v>
      </x:c>
      <x:c r="L159" s="12" t="str">
        <x:v>10–13</x:v>
      </x:c>
    </x:row>
    <x:row r="160">
      <x:c r="A160" s="12" t="str">
        <x:v>8月平日</x:v>
      </x:c>
      <x:c r="B160" s="12" t="str">
        <x:v>2026-08-11</x:v>
      </x:c>
      <x:c r="C160" s="12" t="str">
        <x:v>13:00</x:v>
      </x:c>
      <x:c r="D160" s="13" t="n">
        <x:v>743</x:v>
      </x:c>
      <x:c r="E160" s="13" t="n">
        <x:v>30</x:v>
      </x:c>
      <x:c r="F160" s="13" t="n">
        <x:v>773</x:v>
      </x:c>
      <x:c r="G160" s="13" t="n">
        <x:v>918</x:v>
      </x:c>
      <x:c r="H160" s="13" t="n">
        <x:v>31</x:v>
      </x:c>
      <x:c r="I160" s="13" t="n">
        <x:v>949</x:v>
      </x:c>
      <x:c r="J160" s="13" t="n">
        <x:v>176</x:v>
      </x:c>
      <x:c r="K160" s="14" t="n">
        <x:f>IFERROR(F160/SUMIFS($F:$F,$B:$B,B160),0)</x:f>
        <x:v>0.06887027797576621</x:v>
      </x:c>
      <x:c r="L160" s="12" t="str">
        <x:v>10–13</x:v>
      </x:c>
    </x:row>
    <x:row r="161">
      <x:c r="A161" s="12" t="str">
        <x:v>8月平日</x:v>
      </x:c>
      <x:c r="B161" s="12" t="str">
        <x:v>2026-08-11</x:v>
      </x:c>
      <x:c r="C161" s="12" t="str">
        <x:v>14:00</x:v>
      </x:c>
      <x:c r="D161" s="13" t="n">
        <x:v>656</x:v>
      </x:c>
      <x:c r="E161" s="13" t="n">
        <x:v>30</x:v>
      </x:c>
      <x:c r="F161" s="13" t="n">
        <x:v>686</x:v>
      </x:c>
      <x:c r="G161" s="13" t="n">
        <x:v>682</x:v>
      </x:c>
      <x:c r="H161" s="13" t="n">
        <x:v>29</x:v>
      </x:c>
      <x:c r="I161" s="13" t="n">
        <x:v>711</x:v>
      </x:c>
      <x:c r="J161" s="13" t="n">
        <x:v>25</x:v>
      </x:c>
      <x:c r="K161" s="14" t="n">
        <x:f>IFERROR(F161/SUMIFS($F:$F,$B:$B,B161),0)</x:f>
        <x:v>0.06111903064861012</x:v>
      </x:c>
      <x:c r="L161" s="12" t="str">
        <x:v>14–17</x:v>
      </x:c>
    </x:row>
    <x:row r="162">
      <x:c r="A162" s="12" t="str">
        <x:v>8月平日</x:v>
      </x:c>
      <x:c r="B162" s="12" t="str">
        <x:v>2026-08-11</x:v>
      </x:c>
      <x:c r="C162" s="12" t="str">
        <x:v>15:00</x:v>
      </x:c>
      <x:c r="D162" s="13" t="n">
        <x:v>588</x:v>
      </x:c>
      <x:c r="E162" s="13" t="n">
        <x:v>27</x:v>
      </x:c>
      <x:c r="F162" s="13" t="n">
        <x:v>615</x:v>
      </x:c>
      <x:c r="G162" s="13" t="n">
        <x:v>589</x:v>
      </x:c>
      <x:c r="H162" s="13" t="n">
        <x:v>21</x:v>
      </x:c>
      <x:c r="I162" s="13" t="n">
        <x:v>610</x:v>
      </x:c>
      <x:c r="J162" s="13" t="n">
        <x:v>-5</x:v>
      </x:c>
      <x:c r="K162" s="14" t="n">
        <x:f>IFERROR(F162/SUMIFS($F:$F,$B:$B,B162),0)</x:f>
        <x:v>0.054793300071275836</x:v>
      </x:c>
      <x:c r="L162" s="12" t="str">
        <x:v>14–17</x:v>
      </x:c>
    </x:row>
    <x:row r="163">
      <x:c r="A163" s="12" t="str">
        <x:v>8月平日</x:v>
      </x:c>
      <x:c r="B163" s="12" t="str">
        <x:v>2026-08-11</x:v>
      </x:c>
      <x:c r="C163" s="12" t="str">
        <x:v>16:00</x:v>
      </x:c>
      <x:c r="D163" s="13" t="n">
        <x:v>988</x:v>
      </x:c>
      <x:c r="E163" s="13" t="n">
        <x:v>47</x:v>
      </x:c>
      <x:c r="F163" s="13" t="n">
        <x:v>1035</x:v>
      </x:c>
      <x:c r="G163" s="13" t="n">
        <x:v>726</x:v>
      </x:c>
      <x:c r="H163" s="13" t="n">
        <x:v>25</x:v>
      </x:c>
      <x:c r="I163" s="13" t="n">
        <x:v>751</x:v>
      </x:c>
      <x:c r="J163" s="13" t="n">
        <x:v>-284</x:v>
      </x:c>
      <x:c r="K163" s="14" t="n">
        <x:f>IFERROR(F163/SUMIFS($F:$F,$B:$B,B163),0)</x:f>
        <x:v>0.09221311475409837</x:v>
      </x:c>
      <x:c r="L163" s="12" t="str">
        <x:v>14–17</x:v>
      </x:c>
    </x:row>
    <x:row r="164">
      <x:c r="A164" s="12" t="str">
        <x:v>8月平日</x:v>
      </x:c>
      <x:c r="B164" s="12" t="str">
        <x:v>2026-08-11</x:v>
      </x:c>
      <x:c r="C164" s="12" t="str">
        <x:v>17:00</x:v>
      </x:c>
      <x:c r="D164" s="13" t="n">
        <x:v>1435</x:v>
      </x:c>
      <x:c r="E164" s="13" t="n">
        <x:v>69</x:v>
      </x:c>
      <x:c r="F164" s="13" t="n">
        <x:v>1504</x:v>
      </x:c>
      <x:c r="G164" s="13" t="n">
        <x:v>861</x:v>
      </x:c>
      <x:c r="H164" s="13" t="n">
        <x:v>32</x:v>
      </x:c>
      <x:c r="I164" s="13" t="n">
        <x:v>893</x:v>
      </x:c>
      <x:c r="J164" s="13" t="n">
        <x:v>-611</x:v>
      </x:c>
      <x:c r="K164" s="14" t="n">
        <x:f>IFERROR(F164/SUMIFS($F:$F,$B:$B,B164),0)</x:f>
        <x:v>0.13399857448325017</x:v>
      </x:c>
      <x:c r="L164" s="12" t="str">
        <x:v>14–17</x:v>
      </x:c>
    </x:row>
    <x:row r="165">
      <x:c r="A165" s="12" t="str">
        <x:v>8月平日</x:v>
      </x:c>
      <x:c r="B165" s="12" t="str">
        <x:v>2026-08-11</x:v>
      </x:c>
      <x:c r="C165" s="12" t="str">
        <x:v>18:00</x:v>
      </x:c>
      <x:c r="D165" s="13" t="n">
        <x:v>783</x:v>
      </x:c>
      <x:c r="E165" s="13" t="n">
        <x:v>47</x:v>
      </x:c>
      <x:c r="F165" s="13" t="n">
        <x:v>830</x:v>
      </x:c>
      <x:c r="G165" s="13" t="n">
        <x:v>581</x:v>
      </x:c>
      <x:c r="H165" s="13" t="n">
        <x:v>21</x:v>
      </x:c>
      <x:c r="I165" s="13" t="n">
        <x:v>602</x:v>
      </x:c>
      <x:c r="J165" s="13" t="n">
        <x:v>-228</x:v>
      </x:c>
      <x:c r="K165" s="14" t="n">
        <x:f>IFERROR(F165/SUMIFS($F:$F,$B:$B,B165),0)</x:f>
        <x:v>0.07394868139700642</x:v>
      </x:c>
      <x:c r="L165" s="12" t="str">
        <x:v>18–21</x:v>
      </x:c>
    </x:row>
    <x:row r="166">
      <x:c r="A166" s="12" t="str">
        <x:v>8月平日</x:v>
      </x:c>
      <x:c r="B166" s="12" t="str">
        <x:v>2026-08-11</x:v>
      </x:c>
      <x:c r="C166" s="12" t="str">
        <x:v>19:00</x:v>
      </x:c>
      <x:c r="D166" s="13" t="n">
        <x:v>553</x:v>
      </x:c>
      <x:c r="E166" s="13" t="n">
        <x:v>18</x:v>
      </x:c>
      <x:c r="F166" s="13" t="n">
        <x:v>571</x:v>
      </x:c>
      <x:c r="G166" s="13" t="n">
        <x:v>484</x:v>
      </x:c>
      <x:c r="H166" s="13" t="n">
        <x:v>20</x:v>
      </x:c>
      <x:c r="I166" s="13" t="n">
        <x:v>504</x:v>
      </x:c>
      <x:c r="J166" s="13" t="n">
        <x:v>-67</x:v>
      </x:c>
      <x:c r="K166" s="14" t="n">
        <x:f>IFERROR(F166/SUMIFS($F:$F,$B:$B,B166),0)</x:f>
        <x:v>0.05087312900926586</x:v>
      </x:c>
      <x:c r="L166" s="12" t="str">
        <x:v>18–21</x:v>
      </x:c>
    </x:row>
    <x:row r="167">
      <x:c r="A167" s="12" t="str">
        <x:v>8月平日</x:v>
      </x:c>
      <x:c r="B167" s="12" t="str">
        <x:v>2026-08-11</x:v>
      </x:c>
      <x:c r="C167" s="12" t="str">
        <x:v>20:00</x:v>
      </x:c>
      <x:c r="D167" s="13" t="n">
        <x:v>386</x:v>
      </x:c>
      <x:c r="E167" s="13" t="n">
        <x:v>18</x:v>
      </x:c>
      <x:c r="F167" s="13" t="n">
        <x:v>404</x:v>
      </x:c>
      <x:c r="G167" s="13" t="n">
        <x:v>338</x:v>
      </x:c>
      <x:c r="H167" s="13" t="n">
        <x:v>10</x:v>
      </x:c>
      <x:c r="I167" s="13" t="n">
        <x:v>348</x:v>
      </x:c>
      <x:c r="J167" s="13" t="n">
        <x:v>-56</x:v>
      </x:c>
      <x:c r="K167" s="14" t="n">
        <x:f>IFERROR(F167/SUMIFS($F:$F,$B:$B,B167),0)</x:f>
        <x:v>0.03599429793300071</x:v>
      </x:c>
      <x:c r="L167" s="12" t="str">
        <x:v>18–21</x:v>
      </x:c>
    </x:row>
    <x:row r="168">
      <x:c r="A168" s="12" t="str">
        <x:v>8月平日</x:v>
      </x:c>
      <x:c r="B168" s="12" t="str">
        <x:v>2026-08-11</x:v>
      </x:c>
      <x:c r="C168" s="12" t="str">
        <x:v>21:00</x:v>
      </x:c>
      <x:c r="D168" s="13" t="n">
        <x:v>292</x:v>
      </x:c>
      <x:c r="E168" s="13" t="n">
        <x:v>26</x:v>
      </x:c>
      <x:c r="F168" s="13" t="n">
        <x:v>318</x:v>
      </x:c>
      <x:c r="G168" s="13" t="n">
        <x:v>242</x:v>
      </x:c>
      <x:c r="H168" s="13" t="n">
        <x:v>9</x:v>
      </x:c>
      <x:c r="I168" s="13" t="n">
        <x:v>251</x:v>
      </x:c>
      <x:c r="J168" s="13" t="n">
        <x:v>-67</x:v>
      </x:c>
      <x:c r="K168" s="14" t="n">
        <x:f>IFERROR(F168/SUMIFS($F:$F,$B:$B,B168),0)</x:f>
        <x:v>0.02833214540270848</x:v>
      </x:c>
      <x:c r="L168" s="12" t="str">
        <x:v>18–21</x:v>
      </x:c>
    </x:row>
    <x:row r="169">
      <x:c r="A169" s="12" t="str">
        <x:v>8月平日</x:v>
      </x:c>
      <x:c r="B169" s="12" t="str">
        <x:v>2026-08-11</x:v>
      </x:c>
      <x:c r="C169" s="12" t="str">
        <x:v>22:00</x:v>
      </x:c>
      <x:c r="D169" s="13" t="n">
        <x:v>209</x:v>
      </x:c>
      <x:c r="E169" s="13" t="n">
        <x:v>9</x:v>
      </x:c>
      <x:c r="F169" s="13" t="n">
        <x:v>218</x:v>
      </x:c>
      <x:c r="G169" s="13" t="n">
        <x:v>157</x:v>
      </x:c>
      <x:c r="H169" s="13" t="n">
        <x:v>9</x:v>
      </x:c>
      <x:c r="I169" s="13" t="n">
        <x:v>166</x:v>
      </x:c>
      <x:c r="J169" s="13" t="n">
        <x:v>-52</x:v>
      </x:c>
      <x:c r="K169" s="14" t="n">
        <x:f>IFERROR(F169/SUMIFS($F:$F,$B:$B,B169),0)</x:f>
        <x:v>0.019422665716322167</x:v>
      </x:c>
      <x:c r="L169" s="12" t="str">
        <x:v>22–23</x:v>
      </x:c>
    </x:row>
    <x:row r="170">
      <x:c r="A170" s="12" t="str">
        <x:v>8月平日</x:v>
      </x:c>
      <x:c r="B170" s="12" t="str">
        <x:v>2026-08-11</x:v>
      </x:c>
      <x:c r="C170" s="12" t="str">
        <x:v>23:00</x:v>
      </x:c>
      <x:c r="D170" s="13" t="n">
        <x:v>141</x:v>
      </x:c>
      <x:c r="E170" s="13" t="n">
        <x:v>8</x:v>
      </x:c>
      <x:c r="F170" s="13" t="n">
        <x:v>149</x:v>
      </x:c>
      <x:c r="G170" s="13" t="n">
        <x:v>96</x:v>
      </x:c>
      <x:c r="H170" s="13" t="n">
        <x:v>5</x:v>
      </x:c>
      <x:c r="I170" s="13" t="n">
        <x:v>101</x:v>
      </x:c>
      <x:c r="J170" s="13" t="n">
        <x:v>-48</x:v>
      </x:c>
      <x:c r="K170" s="14" t="n">
        <x:f>IFERROR(F170/SUMIFS($F:$F,$B:$B,B170),0)</x:f>
        <x:v>0.01327512473271561</x:v>
      </x:c>
      <x:c r="L170" s="12" t="str">
        <x:v>22–23</x:v>
      </x:c>
    </x:row>
    <x:row r="171">
      <x:c r="A171" s="12" t="str">
        <x:v>8月平日</x:v>
      </x:c>
      <x:c r="B171" s="12" t="str">
        <x:v>2026-08-12</x:v>
      </x:c>
      <x:c r="C171" s="12" t="str">
        <x:v>00:00</x:v>
      </x:c>
      <x:c r="D171" s="13" t="n">
        <x:v>86</x:v>
      </x:c>
      <x:c r="E171" s="13" t="n">
        <x:v>6</x:v>
      </x:c>
      <x:c r="F171" s="13" t="n">
        <x:v>92</x:v>
      </x:c>
      <x:c r="G171" s="13" t="n">
        <x:v>61</x:v>
      </x:c>
      <x:c r="H171" s="13" t="n">
        <x:v>4</x:v>
      </x:c>
      <x:c r="I171" s="13" t="n">
        <x:v>65</x:v>
      </x:c>
      <x:c r="J171" s="13" t="n">
        <x:v>-27</x:v>
      </x:c>
      <x:c r="K171" s="14" t="n">
        <x:f>IFERROR(F171/SUMIFS($F:$F,$B:$B,B171),0)</x:f>
        <x:v>0.00819161250111299</x:v>
      </x:c>
      <x:c r="L171" s="12" t="str">
        <x:v>00–05</x:v>
      </x:c>
    </x:row>
    <x:row r="172">
      <x:c r="A172" s="12" t="str">
        <x:v>8月平日</x:v>
      </x:c>
      <x:c r="B172" s="12" t="str">
        <x:v>2026-08-12</x:v>
      </x:c>
      <x:c r="C172" s="12" t="str">
        <x:v>01:00</x:v>
      </x:c>
      <x:c r="D172" s="13" t="n">
        <x:v>38</x:v>
      </x:c>
      <x:c r="E172" s="13" t="n">
        <x:v>1</x:v>
      </x:c>
      <x:c r="F172" s="13" t="n">
        <x:v>39</x:v>
      </x:c>
      <x:c r="G172" s="13" t="n">
        <x:v>39</x:v>
      </x:c>
      <x:c r="H172" s="13" t="n">
        <x:v>3</x:v>
      </x:c>
      <x:c r="I172" s="13" t="n">
        <x:v>42</x:v>
      </x:c>
      <x:c r="J172" s="13" t="n">
        <x:v>3</x:v>
      </x:c>
      <x:c r="K172" s="14" t="n">
        <x:f>IFERROR(F172/SUMIFS($F:$F,$B:$B,B172),0)</x:f>
        <x:v>0.0034725313863413765</x:v>
      </x:c>
      <x:c r="L172" s="12" t="str">
        <x:v>00–05</x:v>
      </x:c>
    </x:row>
    <x:row r="173">
      <x:c r="A173" s="12" t="str">
        <x:v>8月平日</x:v>
      </x:c>
      <x:c r="B173" s="12" t="str">
        <x:v>2026-08-12</x:v>
      </x:c>
      <x:c r="C173" s="12" t="str">
        <x:v>02:00</x:v>
      </x:c>
      <x:c r="D173" s="13" t="n">
        <x:v>16</x:v>
      </x:c>
      <x:c r="E173" s="13" t="n">
        <x:v>1</x:v>
      </x:c>
      <x:c r="F173" s="13" t="n">
        <x:v>17</x:v>
      </x:c>
      <x:c r="G173" s="13" t="n">
        <x:v>14</x:v>
      </x:c>
      <x:c r="H173" s="13" t="n">
        <x:v>1</x:v>
      </x:c>
      <x:c r="I173" s="13" t="n">
        <x:v>15</x:v>
      </x:c>
      <x:c r="J173" s="13" t="n">
        <x:v>-2</x:v>
      </x:c>
      <x:c r="K173" s="14" t="n">
        <x:f>IFERROR(F173/SUMIFS($F:$F,$B:$B,B173),0)</x:f>
        <x:v>0.0015136675273795745</x:v>
      </x:c>
      <x:c r="L173" s="12" t="str">
        <x:v>00–05</x:v>
      </x:c>
    </x:row>
    <x:row r="174">
      <x:c r="A174" s="12" t="str">
        <x:v>8月平日</x:v>
      </x:c>
      <x:c r="B174" s="12" t="str">
        <x:v>2026-08-12</x:v>
      </x:c>
      <x:c r="C174" s="12" t="str">
        <x:v>03:00</x:v>
      </x:c>
      <x:c r="D174" s="13" t="n">
        <x:v>16</x:v>
      </x:c>
      <x:c r="E174" s="13" t="n">
        <x:v>1</x:v>
      </x:c>
      <x:c r="F174" s="13" t="n">
        <x:v>17</x:v>
      </x:c>
      <x:c r="G174" s="13" t="n">
        <x:v>11</x:v>
      </x:c>
      <x:c r="H174" s="13" t="n">
        <x:v>1</x:v>
      </x:c>
      <x:c r="I174" s="13" t="n">
        <x:v>12</x:v>
      </x:c>
      <x:c r="J174" s="13" t="n">
        <x:v>-5</x:v>
      </x:c>
      <x:c r="K174" s="14" t="n">
        <x:f>IFERROR(F174/SUMIFS($F:$F,$B:$B,B174),0)</x:f>
        <x:v>0.0015136675273795745</x:v>
      </x:c>
      <x:c r="L174" s="12" t="str">
        <x:v>00–05</x:v>
      </x:c>
    </x:row>
    <x:row r="175">
      <x:c r="A175" s="12" t="str">
        <x:v>8月平日</x:v>
      </x:c>
      <x:c r="B175" s="12" t="str">
        <x:v>2026-08-12</x:v>
      </x:c>
      <x:c r="C175" s="12" t="str">
        <x:v>04:00</x:v>
      </x:c>
      <x:c r="D175" s="13" t="n">
        <x:v>14</x:v>
      </x:c>
      <x:c r="E175" s="13" t="n">
        <x:v>1</x:v>
      </x:c>
      <x:c r="F175" s="13" t="n">
        <x:v>15</x:v>
      </x:c>
      <x:c r="G175" s="13" t="n">
        <x:v>6</x:v>
      </x:c>
      <x:c r="H175" s="13" t="n">
        <x:v>1</x:v>
      </x:c>
      <x:c r="I175" s="13" t="n">
        <x:v>7</x:v>
      </x:c>
      <x:c r="J175" s="13" t="n">
        <x:v>-8</x:v>
      </x:c>
      <x:c r="K175" s="14" t="n">
        <x:f>IFERROR(F175/SUMIFS($F:$F,$B:$B,B175),0)</x:f>
        <x:v>0.0013355889947466832</x:v>
      </x:c>
      <x:c r="L175" s="12" t="str">
        <x:v>00–05</x:v>
      </x:c>
    </x:row>
    <x:row r="176">
      <x:c r="A176" s="12" t="str">
        <x:v>8月平日</x:v>
      </x:c>
      <x:c r="B176" s="12" t="str">
        <x:v>2026-08-12</x:v>
      </x:c>
      <x:c r="C176" s="12" t="str">
        <x:v>05:00</x:v>
      </x:c>
      <x:c r="D176" s="13" t="n">
        <x:v>25</x:v>
      </x:c>
      <x:c r="E176" s="13" t="n">
        <x:v>1</x:v>
      </x:c>
      <x:c r="F176" s="13" t="n">
        <x:v>26</x:v>
      </x:c>
      <x:c r="G176" s="13" t="n">
        <x:v>50</x:v>
      </x:c>
      <x:c r="H176" s="13" t="n">
        <x:v>7</x:v>
      </x:c>
      <x:c r="I176" s="13" t="n">
        <x:v>57</x:v>
      </x:c>
      <x:c r="J176" s="13" t="n">
        <x:v>31</x:v>
      </x:c>
      <x:c r="K176" s="14" t="n">
        <x:f>IFERROR(F176/SUMIFS($F:$F,$B:$B,B176),0)</x:f>
        <x:v>0.0023150209242275843</x:v>
      </x:c>
      <x:c r="L176" s="12" t="str">
        <x:v>00–05</x:v>
      </x:c>
    </x:row>
    <x:row r="177">
      <x:c r="A177" s="12" t="str">
        <x:v>8月平日</x:v>
      </x:c>
      <x:c r="B177" s="12" t="str">
        <x:v>2026-08-12</x:v>
      </x:c>
      <x:c r="C177" s="12" t="str">
        <x:v>06:00</x:v>
      </x:c>
      <x:c r="D177" s="13" t="n">
        <x:v>97</x:v>
      </x:c>
      <x:c r="E177" s="13" t="n">
        <x:v>5</x:v>
      </x:c>
      <x:c r="F177" s="13" t="n">
        <x:v>102</x:v>
      </x:c>
      <x:c r="G177" s="13" t="n">
        <x:v>128</x:v>
      </x:c>
      <x:c r="H177" s="13" t="n">
        <x:v>12</x:v>
      </x:c>
      <x:c r="I177" s="13" t="n">
        <x:v>140</x:v>
      </x:c>
      <x:c r="J177" s="13" t="n">
        <x:v>38</x:v>
      </x:c>
      <x:c r="K177" s="14" t="n">
        <x:f>IFERROR(F177/SUMIFS($F:$F,$B:$B,B177),0)</x:f>
        <x:v>0.009082005164277446</x:v>
      </x:c>
      <x:c r="L177" s="12" t="str">
        <x:v>06–09</x:v>
      </x:c>
    </x:row>
    <x:row r="178">
      <x:c r="A178" s="12" t="str">
        <x:v>8月平日</x:v>
      </x:c>
      <x:c r="B178" s="12" t="str">
        <x:v>2026-08-12</x:v>
      </x:c>
      <x:c r="C178" s="12" t="str">
        <x:v>07:00</x:v>
      </x:c>
      <x:c r="D178" s="13" t="n">
        <x:v>366</x:v>
      </x:c>
      <x:c r="E178" s="13" t="n">
        <x:v>9</x:v>
      </x:c>
      <x:c r="F178" s="13" t="n">
        <x:v>375</x:v>
      </x:c>
      <x:c r="G178" s="13" t="n">
        <x:v>450</x:v>
      </x:c>
      <x:c r="H178" s="13" t="n">
        <x:v>14</x:v>
      </x:c>
      <x:c r="I178" s="13" t="n">
        <x:v>464</x:v>
      </x:c>
      <x:c r="J178" s="13" t="n">
        <x:v>89</x:v>
      </x:c>
      <x:c r="K178" s="14" t="n">
        <x:f>IFERROR(F178/SUMIFS($F:$F,$B:$B,B178),0)</x:f>
        <x:v>0.033389724868667085</x:v>
      </x:c>
      <x:c r="L178" s="12" t="str">
        <x:v>06–09</x:v>
      </x:c>
    </x:row>
    <x:row r="179">
      <x:c r="A179" s="12" t="str">
        <x:v>8月平日</x:v>
      </x:c>
      <x:c r="B179" s="12" t="str">
        <x:v>2026-08-12</x:v>
      </x:c>
      <x:c r="C179" s="12" t="str">
        <x:v>08:00</x:v>
      </x:c>
      <x:c r="D179" s="13" t="n">
        <x:v>617</x:v>
      </x:c>
      <x:c r="E179" s="13" t="n">
        <x:v>44</x:v>
      </x:c>
      <x:c r="F179" s="13" t="n">
        <x:v>661</x:v>
      </x:c>
      <x:c r="G179" s="13" t="n">
        <x:v>865</x:v>
      </x:c>
      <x:c r="H179" s="13" t="n">
        <x:v>60</x:v>
      </x:c>
      <x:c r="I179" s="13" t="n">
        <x:v>925</x:v>
      </x:c>
      <x:c r="J179" s="13" t="n">
        <x:v>264</x:v>
      </x:c>
      <x:c r="K179" s="14" t="n">
        <x:f>IFERROR(F179/SUMIFS($F:$F,$B:$B,B179),0)</x:f>
        <x:v>0.05885495503517051</x:v>
      </x:c>
      <x:c r="L179" s="12" t="str">
        <x:v>06–09</x:v>
      </x:c>
    </x:row>
    <x:row r="180">
      <x:c r="A180" s="12" t="str">
        <x:v>8月平日</x:v>
      </x:c>
      <x:c r="B180" s="12" t="str">
        <x:v>2026-08-12</x:v>
      </x:c>
      <x:c r="C180" s="12" t="str">
        <x:v>09:00</x:v>
      </x:c>
      <x:c r="D180" s="13" t="n">
        <x:v>572</x:v>
      </x:c>
      <x:c r="E180" s="13" t="n">
        <x:v>34</x:v>
      </x:c>
      <x:c r="F180" s="13" t="n">
        <x:v>606</x:v>
      </x:c>
      <x:c r="G180" s="13" t="n">
        <x:v>801</x:v>
      </x:c>
      <x:c r="H180" s="13" t="n">
        <x:v>52</x:v>
      </x:c>
      <x:c r="I180" s="13" t="n">
        <x:v>853</x:v>
      </x:c>
      <x:c r="J180" s="13" t="n">
        <x:v>247</x:v>
      </x:c>
      <x:c r="K180" s="14" t="n">
        <x:f>IFERROR(F180/SUMIFS($F:$F,$B:$B,B180),0)</x:f>
        <x:v>0.053957795387766</x:v>
      </x:c>
      <x:c r="L180" s="12" t="str">
        <x:v>06–09</x:v>
      </x:c>
    </x:row>
    <x:row r="181">
      <x:c r="A181" s="12" t="str">
        <x:v>8月平日</x:v>
      </x:c>
      <x:c r="B181" s="12" t="str">
        <x:v>2026-08-12</x:v>
      </x:c>
      <x:c r="C181" s="12" t="str">
        <x:v>10:00</x:v>
      </x:c>
      <x:c r="D181" s="13" t="n">
        <x:v>521</x:v>
      </x:c>
      <x:c r="E181" s="13" t="n">
        <x:v>24</x:v>
      </x:c>
      <x:c r="F181" s="13" t="n">
        <x:v>545</x:v>
      </x:c>
      <x:c r="G181" s="13" t="n">
        <x:v>693</x:v>
      </x:c>
      <x:c r="H181" s="13" t="n">
        <x:v>35</x:v>
      </x:c>
      <x:c r="I181" s="13" t="n">
        <x:v>728</x:v>
      </x:c>
      <x:c r="J181" s="13" t="n">
        <x:v>183</x:v>
      </x:c>
      <x:c r="K181" s="14" t="n">
        <x:f>IFERROR(F181/SUMIFS($F:$F,$B:$B,B181),0)</x:f>
        <x:v>0.048526400142462824</x:v>
      </x:c>
      <x:c r="L181" s="12" t="str">
        <x:v>10–13</x:v>
      </x:c>
    </x:row>
    <x:row r="182">
      <x:c r="A182" s="12" t="str">
        <x:v>8月平日</x:v>
      </x:c>
      <x:c r="B182" s="12" t="str">
        <x:v>2026-08-12</x:v>
      </x:c>
      <x:c r="C182" s="12" t="str">
        <x:v>11:00</x:v>
      </x:c>
      <x:c r="D182" s="13" t="n">
        <x:v>782</x:v>
      </x:c>
      <x:c r="E182" s="13" t="n">
        <x:v>23</x:v>
      </x:c>
      <x:c r="F182" s="13" t="n">
        <x:v>805</x:v>
      </x:c>
      <x:c r="G182" s="13" t="n">
        <x:v>702</x:v>
      </x:c>
      <x:c r="H182" s="13" t="n">
        <x:v>19</x:v>
      </x:c>
      <x:c r="I182" s="13" t="n">
        <x:v>721</x:v>
      </x:c>
      <x:c r="J182" s="13" t="n">
        <x:v>-84</x:v>
      </x:c>
      <x:c r="K182" s="14" t="n">
        <x:f>IFERROR(F182/SUMIFS($F:$F,$B:$B,B182),0)</x:f>
        <x:v>0.07167660938473867</x:v>
      </x:c>
      <x:c r="L182" s="12" t="str">
        <x:v>10–13</x:v>
      </x:c>
    </x:row>
    <x:row r="183">
      <x:c r="A183" s="12" t="str">
        <x:v>8月平日</x:v>
      </x:c>
      <x:c r="B183" s="12" t="str">
        <x:v>2026-08-12</x:v>
      </x:c>
      <x:c r="C183" s="12" t="str">
        <x:v>12:00</x:v>
      </x:c>
      <x:c r="D183" s="13" t="n">
        <x:v>987</x:v>
      </x:c>
      <x:c r="E183" s="13" t="n">
        <x:v>27</x:v>
      </x:c>
      <x:c r="F183" s="13" t="n">
        <x:v>1014</x:v>
      </x:c>
      <x:c r="G183" s="13" t="n">
        <x:v>988</x:v>
      </x:c>
      <x:c r="H183" s="13" t="n">
        <x:v>26</x:v>
      </x:c>
      <x:c r="I183" s="13" t="n">
        <x:v>1014</x:v>
      </x:c>
      <x:c r="J183" s="13" t="n">
        <x:v>0</x:v>
      </x:c>
      <x:c r="K183" s="14" t="n">
        <x:f>IFERROR(F183/SUMIFS($F:$F,$B:$B,B183),0)</x:f>
        <x:v>0.09028581604487579</x:v>
      </x:c>
      <x:c r="L183" s="12" t="str">
        <x:v>10–13</x:v>
      </x:c>
    </x:row>
    <x:row r="184">
      <x:c r="A184" s="12" t="str">
        <x:v>8月平日</x:v>
      </x:c>
      <x:c r="B184" s="12" t="str">
        <x:v>2026-08-12</x:v>
      </x:c>
      <x:c r="C184" s="12" t="str">
        <x:v>13:00</x:v>
      </x:c>
      <x:c r="D184" s="13" t="n">
        <x:v>780</x:v>
      </x:c>
      <x:c r="E184" s="13" t="n">
        <x:v>25</x:v>
      </x:c>
      <x:c r="F184" s="13" t="n">
        <x:v>805</x:v>
      </x:c>
      <x:c r="G184" s="13" t="n">
        <x:v>950</x:v>
      </x:c>
      <x:c r="H184" s="13" t="n">
        <x:v>36</x:v>
      </x:c>
      <x:c r="I184" s="13" t="n">
        <x:v>986</x:v>
      </x:c>
      <x:c r="J184" s="13" t="n">
        <x:v>181</x:v>
      </x:c>
      <x:c r="K184" s="14" t="n">
        <x:f>IFERROR(F184/SUMIFS($F:$F,$B:$B,B184),0)</x:f>
        <x:v>0.07167660938473867</x:v>
      </x:c>
      <x:c r="L184" s="12" t="str">
        <x:v>10–13</x:v>
      </x:c>
    </x:row>
    <x:row r="185">
      <x:c r="A185" s="12" t="str">
        <x:v>8月平日</x:v>
      </x:c>
      <x:c r="B185" s="12" t="str">
        <x:v>2026-08-12</x:v>
      </x:c>
      <x:c r="C185" s="12" t="str">
        <x:v>14:00</x:v>
      </x:c>
      <x:c r="D185" s="13" t="n">
        <x:v>633</x:v>
      </x:c>
      <x:c r="E185" s="13" t="n">
        <x:v>18</x:v>
      </x:c>
      <x:c r="F185" s="13" t="n">
        <x:v>651</x:v>
      </x:c>
      <x:c r="G185" s="13" t="n">
        <x:v>757</x:v>
      </x:c>
      <x:c r="H185" s="13" t="n">
        <x:v>18</x:v>
      </x:c>
      <x:c r="I185" s="13" t="n">
        <x:v>775</x:v>
      </x:c>
      <x:c r="J185" s="13" t="n">
        <x:v>124</x:v>
      </x:c>
      <x:c r="K185" s="14" t="n">
        <x:f>IFERROR(F185/SUMIFS($F:$F,$B:$B,B185),0)</x:f>
        <x:v>0.057964562372006055</x:v>
      </x:c>
      <x:c r="L185" s="12" t="str">
        <x:v>14–17</x:v>
      </x:c>
    </x:row>
    <x:row r="186">
      <x:c r="A186" s="12" t="str">
        <x:v>8月平日</x:v>
      </x:c>
      <x:c r="B186" s="12" t="str">
        <x:v>2026-08-12</x:v>
      </x:c>
      <x:c r="C186" s="12" t="str">
        <x:v>15:00</x:v>
      </x:c>
      <x:c r="D186" s="13" t="n">
        <x:v>471</x:v>
      </x:c>
      <x:c r="E186" s="13" t="n">
        <x:v>14</x:v>
      </x:c>
      <x:c r="F186" s="13" t="n">
        <x:v>485</x:v>
      </x:c>
      <x:c r="G186" s="13" t="n">
        <x:v>420</x:v>
      </x:c>
      <x:c r="H186" s="13" t="n">
        <x:v>4</x:v>
      </x:c>
      <x:c r="I186" s="13" t="n">
        <x:v>424</x:v>
      </x:c>
      <x:c r="J186" s="13" t="n">
        <x:v>-61</x:v>
      </x:c>
      <x:c r="K186" s="14" t="n">
        <x:f>IFERROR(F186/SUMIFS($F:$F,$B:$B,B186),0)</x:f>
        <x:v>0.04318404416347609</x:v>
      </x:c>
      <x:c r="L186" s="12" t="str">
        <x:v>14–17</x:v>
      </x:c>
    </x:row>
    <x:row r="187">
      <x:c r="A187" s="12" t="str">
        <x:v>8月平日</x:v>
      </x:c>
      <x:c r="B187" s="12" t="str">
        <x:v>2026-08-12</x:v>
      </x:c>
      <x:c r="C187" s="12" t="str">
        <x:v>16:00</x:v>
      </x:c>
      <x:c r="D187" s="13" t="n">
        <x:v>720</x:v>
      </x:c>
      <x:c r="E187" s="13" t="n">
        <x:v>25</x:v>
      </x:c>
      <x:c r="F187" s="13" t="n">
        <x:v>745</x:v>
      </x:c>
      <x:c r="G187" s="13" t="n">
        <x:v>568</x:v>
      </x:c>
      <x:c r="H187" s="13" t="n">
        <x:v>17</x:v>
      </x:c>
      <x:c r="I187" s="13" t="n">
        <x:v>585</x:v>
      </x:c>
      <x:c r="J187" s="13" t="n">
        <x:v>-160</x:v>
      </x:c>
      <x:c r="K187" s="14" t="n">
        <x:f>IFERROR(F187/SUMIFS($F:$F,$B:$B,B187),0)</x:f>
        <x:v>0.06633425340575194</x:v>
      </x:c>
      <x:c r="L187" s="12" t="str">
        <x:v>14–17</x:v>
      </x:c>
    </x:row>
    <x:row r="188">
      <x:c r="A188" s="12" t="str">
        <x:v>8月平日</x:v>
      </x:c>
      <x:c r="B188" s="12" t="str">
        <x:v>2026-08-12</x:v>
      </x:c>
      <x:c r="C188" s="12" t="str">
        <x:v>17:00</x:v>
      </x:c>
      <x:c r="D188" s="13" t="n">
        <x:v>1342</x:v>
      </x:c>
      <x:c r="E188" s="13" t="n">
        <x:v>47</x:v>
      </x:c>
      <x:c r="F188" s="13" t="n">
        <x:v>1389</x:v>
      </x:c>
      <x:c r="G188" s="13" t="n">
        <x:v>782</x:v>
      </x:c>
      <x:c r="H188" s="13" t="n">
        <x:v>21</x:v>
      </x:c>
      <x:c r="I188" s="13" t="n">
        <x:v>803</x:v>
      </x:c>
      <x:c r="J188" s="13" t="n">
        <x:v>-586</x:v>
      </x:c>
      <x:c r="K188" s="14" t="n">
        <x:f>IFERROR(F188/SUMIFS($F:$F,$B:$B,B188),0)</x:f>
        <x:v>0.12367554091354287</x:v>
      </x:c>
      <x:c r="L188" s="12" t="str">
        <x:v>14–17</x:v>
      </x:c>
    </x:row>
    <x:row r="189">
      <x:c r="A189" s="12" t="str">
        <x:v>8月平日</x:v>
      </x:c>
      <x:c r="B189" s="12" t="str">
        <x:v>2026-08-12</x:v>
      </x:c>
      <x:c r="C189" s="12" t="str">
        <x:v>18:00</x:v>
      </x:c>
      <x:c r="D189" s="13" t="n">
        <x:v>926</x:v>
      </x:c>
      <x:c r="E189" s="13" t="n">
        <x:v>39</x:v>
      </x:c>
      <x:c r="F189" s="13" t="n">
        <x:v>965</x:v>
      </x:c>
      <x:c r="G189" s="13" t="n">
        <x:v>694</x:v>
      </x:c>
      <x:c r="H189" s="13" t="n">
        <x:v>23</x:v>
      </x:c>
      <x:c r="I189" s="13" t="n">
        <x:v>717</x:v>
      </x:c>
      <x:c r="J189" s="13" t="n">
        <x:v>-248</x:v>
      </x:c>
      <x:c r="K189" s="14" t="n">
        <x:f>IFERROR(F189/SUMIFS($F:$F,$B:$B,B189),0)</x:f>
        <x:v>0.08592289199536995</x:v>
      </x:c>
      <x:c r="L189" s="12" t="str">
        <x:v>18–21</x:v>
      </x:c>
    </x:row>
    <x:row r="190">
      <x:c r="A190" s="12" t="str">
        <x:v>8月平日</x:v>
      </x:c>
      <x:c r="B190" s="12" t="str">
        <x:v>2026-08-12</x:v>
      </x:c>
      <x:c r="C190" s="12" t="str">
        <x:v>19:00</x:v>
      </x:c>
      <x:c r="D190" s="13" t="n">
        <x:v>590</x:v>
      </x:c>
      <x:c r="E190" s="13" t="n">
        <x:v>19</x:v>
      </x:c>
      <x:c r="F190" s="13" t="n">
        <x:v>609</x:v>
      </x:c>
      <x:c r="G190" s="13" t="n">
        <x:v>532</x:v>
      </x:c>
      <x:c r="H190" s="13" t="n">
        <x:v>23</x:v>
      </x:c>
      <x:c r="I190" s="13" t="n">
        <x:v>555</x:v>
      </x:c>
      <x:c r="J190" s="13" t="n">
        <x:v>-54</x:v>
      </x:c>
      <x:c r="K190" s="14" t="n">
        <x:f>IFERROR(F190/SUMIFS($F:$F,$B:$B,B190),0)</x:f>
        <x:v>0.054224913186715344</x:v>
      </x:c>
      <x:c r="L190" s="12" t="str">
        <x:v>18–21</x:v>
      </x:c>
    </x:row>
    <x:row r="191">
      <x:c r="A191" s="12" t="str">
        <x:v>8月平日</x:v>
      </x:c>
      <x:c r="B191" s="12" t="str">
        <x:v>2026-08-12</x:v>
      </x:c>
      <x:c r="C191" s="12" t="str">
        <x:v>20:00</x:v>
      </x:c>
      <x:c r="D191" s="13" t="n">
        <x:v>462</x:v>
      </x:c>
      <x:c r="E191" s="13" t="n">
        <x:v>14</x:v>
      </x:c>
      <x:c r="F191" s="13" t="n">
        <x:v>476</x:v>
      </x:c>
      <x:c r="G191" s="13" t="n">
        <x:v>422</x:v>
      </x:c>
      <x:c r="H191" s="13" t="n">
        <x:v>12</x:v>
      </x:c>
      <x:c r="I191" s="13" t="n">
        <x:v>434</x:v>
      </x:c>
      <x:c r="J191" s="13" t="n">
        <x:v>-42</x:v>
      </x:c>
      <x:c r="K191" s="14" t="n">
        <x:f>IFERROR(F191/SUMIFS($F:$F,$B:$B,B191),0)</x:f>
        <x:v>0.04238269076662808</x:v>
      </x:c>
      <x:c r="L191" s="12" t="str">
        <x:v>18–21</x:v>
      </x:c>
    </x:row>
    <x:row r="192">
      <x:c r="A192" s="12" t="str">
        <x:v>8月平日</x:v>
      </x:c>
      <x:c r="B192" s="12" t="str">
        <x:v>2026-08-12</x:v>
      </x:c>
      <x:c r="C192" s="12" t="str">
        <x:v>21:00</x:v>
      </x:c>
      <x:c r="D192" s="13" t="n">
        <x:v>375</x:v>
      </x:c>
      <x:c r="E192" s="13" t="n">
        <x:v>16</x:v>
      </x:c>
      <x:c r="F192" s="13" t="n">
        <x:v>391</x:v>
      </x:c>
      <x:c r="G192" s="13" t="n">
        <x:v>238</x:v>
      </x:c>
      <x:c r="H192" s="13" t="n">
        <x:v>11</x:v>
      </x:c>
      <x:c r="I192" s="13" t="n">
        <x:v>249</x:v>
      </x:c>
      <x:c r="J192" s="13" t="n">
        <x:v>-142</x:v>
      </x:c>
      <x:c r="K192" s="14" t="n">
        <x:f>IFERROR(F192/SUMIFS($F:$F,$B:$B,B192),0)</x:f>
        <x:v>0.03481435312973021</x:v>
      </x:c>
      <x:c r="L192" s="12" t="str">
        <x:v>18–21</x:v>
      </x:c>
    </x:row>
    <x:row r="193">
      <x:c r="A193" s="12" t="str">
        <x:v>8月平日</x:v>
      </x:c>
      <x:c r="B193" s="12" t="str">
        <x:v>2026-08-12</x:v>
      </x:c>
      <x:c r="C193" s="12" t="str">
        <x:v>22:00</x:v>
      </x:c>
      <x:c r="D193" s="13" t="n">
        <x:v>245</x:v>
      </x:c>
      <x:c r="E193" s="13" t="n">
        <x:v>24</x:v>
      </x:c>
      <x:c r="F193" s="13" t="n">
        <x:v>269</x:v>
      </x:c>
      <x:c r="G193" s="13" t="n">
        <x:v>158</x:v>
      </x:c>
      <x:c r="H193" s="13" t="n">
        <x:v>12</x:v>
      </x:c>
      <x:c r="I193" s="13" t="n">
        <x:v>170</x:v>
      </x:c>
      <x:c r="J193" s="13" t="n">
        <x:v>-99</x:v>
      </x:c>
      <x:c r="K193" s="14" t="n">
        <x:f>IFERROR(F193/SUMIFS($F:$F,$B:$B,B193),0)</x:f>
        <x:v>0.023951562639123854</x:v>
      </x:c>
      <x:c r="L193" s="12" t="str">
        <x:v>22–23</x:v>
      </x:c>
    </x:row>
    <x:row r="194">
      <x:c r="A194" s="12" t="str">
        <x:v>8月平日</x:v>
      </x:c>
      <x:c r="B194" s="12" t="str">
        <x:v>2026-08-12</x:v>
      </x:c>
      <x:c r="C194" s="12" t="str">
        <x:v>23:00</x:v>
      </x:c>
      <x:c r="D194" s="13" t="n">
        <x:v>125</x:v>
      </x:c>
      <x:c r="E194" s="13" t="n">
        <x:v>7</x:v>
      </x:c>
      <x:c r="F194" s="13" t="n">
        <x:v>132</x:v>
      </x:c>
      <x:c r="G194" s="13" t="n">
        <x:v>100</x:v>
      </x:c>
      <x:c r="H194" s="13" t="n">
        <x:v>5</x:v>
      </x:c>
      <x:c r="I194" s="13" t="n">
        <x:v>105</x:v>
      </x:c>
      <x:c r="J194" s="13" t="n">
        <x:v>-27</x:v>
      </x:c>
      <x:c r="K194" s="14" t="n">
        <x:f>IFERROR(F194/SUMIFS($F:$F,$B:$B,B194),0)</x:f>
        <x:v>0.011753183153770812</x:v>
      </x:c>
      <x:c r="L194" s="12" t="str">
        <x:v>22–23</x:v>
      </x:c>
    </x:row>
    <x:row r="195">
      <x:c r="A195" s="12" t="str">
        <x:v>8月平日</x:v>
      </x:c>
      <x:c r="B195" s="12" t="str">
        <x:v>2026-08-13</x:v>
      </x:c>
      <x:c r="C195" s="12" t="str">
        <x:v>00:00</x:v>
      </x:c>
      <x:c r="D195" s="13" t="n">
        <x:v>65</x:v>
      </x:c>
      <x:c r="E195" s="13" t="n">
        <x:v>4</x:v>
      </x:c>
      <x:c r="F195" s="13" t="n">
        <x:v>69</x:v>
      </x:c>
      <x:c r="G195" s="13" t="n">
        <x:v>55</x:v>
      </x:c>
      <x:c r="H195" s="13" t="n">
        <x:v>2</x:v>
      </x:c>
      <x:c r="I195" s="13" t="n">
        <x:v>57</x:v>
      </x:c>
      <x:c r="J195" s="13" t="n">
        <x:v>-12</x:v>
      </x:c>
      <x:c r="K195" s="14" t="n">
        <x:f>IFERROR(F195/SUMIFS($F:$F,$B:$B,B195),0)</x:f>
        <x:v>0.00668734250823803</x:v>
      </x:c>
      <x:c r="L195" s="12" t="str">
        <x:v>00–05</x:v>
      </x:c>
    </x:row>
    <x:row r="196">
      <x:c r="A196" s="12" t="str">
        <x:v>8月平日</x:v>
      </x:c>
      <x:c r="B196" s="12" t="str">
        <x:v>2026-08-13</x:v>
      </x:c>
      <x:c r="C196" s="12" t="str">
        <x:v>01:00</x:v>
      </x:c>
      <x:c r="D196" s="13" t="n">
        <x:v>36</x:v>
      </x:c>
      <x:c r="E196" s="13" t="n">
        <x:v>6</x:v>
      </x:c>
      <x:c r="F196" s="13" t="n">
        <x:v>42</x:v>
      </x:c>
      <x:c r="G196" s="13" t="n">
        <x:v>24</x:v>
      </x:c>
      <x:c r="H196" s="13" t="n">
        <x:v>2</x:v>
      </x:c>
      <x:c r="I196" s="13" t="n">
        <x:v>26</x:v>
      </x:c>
      <x:c r="J196" s="13" t="n">
        <x:v>-16</x:v>
      </x:c>
      <x:c r="K196" s="14" t="n">
        <x:f>IFERROR(F196/SUMIFS($F:$F,$B:$B,B196),0)</x:f>
        <x:v>0.004070556309362279</x:v>
      </x:c>
      <x:c r="L196" s="12" t="str">
        <x:v>00–05</x:v>
      </x:c>
    </x:row>
    <x:row r="197">
      <x:c r="A197" s="12" t="str">
        <x:v>8月平日</x:v>
      </x:c>
      <x:c r="B197" s="12" t="str">
        <x:v>2026-08-13</x:v>
      </x:c>
      <x:c r="C197" s="12" t="str">
        <x:v>02:00</x:v>
      </x:c>
      <x:c r="D197" s="13" t="n">
        <x:v>32</x:v>
      </x:c>
      <x:c r="E197" s="13" t="n">
        <x:v>0</x:v>
      </x:c>
      <x:c r="F197" s="13" t="n">
        <x:v>32</x:v>
      </x:c>
      <x:c r="G197" s="13" t="n">
        <x:v>26</x:v>
      </x:c>
      <x:c r="H197" s="13" t="n">
        <x:v>0</x:v>
      </x:c>
      <x:c r="I197" s="13" t="n">
        <x:v>26</x:v>
      </x:c>
      <x:c r="J197" s="13" t="n">
        <x:v>-6</x:v>
      </x:c>
      <x:c r="K197" s="14" t="n">
        <x:f>IFERROR(F197/SUMIFS($F:$F,$B:$B,B197),0)</x:f>
        <x:v>0.0031013762357045937</x:v>
      </x:c>
      <x:c r="L197" s="12" t="str">
        <x:v>00–05</x:v>
      </x:c>
    </x:row>
    <x:row r="198">
      <x:c r="A198" s="12" t="str">
        <x:v>8月平日</x:v>
      </x:c>
      <x:c r="B198" s="12" t="str">
        <x:v>2026-08-13</x:v>
      </x:c>
      <x:c r="C198" s="12" t="str">
        <x:v>03:00</x:v>
      </x:c>
      <x:c r="D198" s="13" t="n">
        <x:v>15</x:v>
      </x:c>
      <x:c r="E198" s="13" t="n">
        <x:v>0</x:v>
      </x:c>
      <x:c r="F198" s="13" t="n">
        <x:v>15</x:v>
      </x:c>
      <x:c r="G198" s="13" t="n">
        <x:v>15</x:v>
      </x:c>
      <x:c r="H198" s="13" t="n">
        <x:v>0</x:v>
      </x:c>
      <x:c r="I198" s="13" t="n">
        <x:v>15</x:v>
      </x:c>
      <x:c r="J198" s="13" t="n">
        <x:v>0</x:v>
      </x:c>
      <x:c r="K198" s="14" t="n">
        <x:f>IFERROR(F198/SUMIFS($F:$F,$B:$B,B198),0)</x:f>
        <x:v>0.0014537701104865284</x:v>
      </x:c>
      <x:c r="L198" s="12" t="str">
        <x:v>00–05</x:v>
      </x:c>
    </x:row>
    <x:row r="199">
      <x:c r="A199" s="12" t="str">
        <x:v>8月平日</x:v>
      </x:c>
      <x:c r="B199" s="12" t="str">
        <x:v>2026-08-13</x:v>
      </x:c>
      <x:c r="C199" s="12" t="str">
        <x:v>04:00</x:v>
      </x:c>
      <x:c r="D199" s="13" t="n">
        <x:v>13</x:v>
      </x:c>
      <x:c r="E199" s="13" t="n">
        <x:v>2</x:v>
      </x:c>
      <x:c r="F199" s="13" t="n">
        <x:v>15</x:v>
      </x:c>
      <x:c r="G199" s="13" t="n">
        <x:v>12</x:v>
      </x:c>
      <x:c r="H199" s="13" t="n">
        <x:v>1</x:v>
      </x:c>
      <x:c r="I199" s="13" t="n">
        <x:v>13</x:v>
      </x:c>
      <x:c r="J199" s="13" t="n">
        <x:v>-2</x:v>
      </x:c>
      <x:c r="K199" s="14" t="n">
        <x:f>IFERROR(F199/SUMIFS($F:$F,$B:$B,B199),0)</x:f>
        <x:v>0.0014537701104865284</x:v>
      </x:c>
      <x:c r="L199" s="12" t="str">
        <x:v>00–05</x:v>
      </x:c>
    </x:row>
    <x:row r="200">
      <x:c r="A200" s="12" t="str">
        <x:v>8月平日</x:v>
      </x:c>
      <x:c r="B200" s="12" t="str">
        <x:v>2026-08-13</x:v>
      </x:c>
      <x:c r="C200" s="12" t="str">
        <x:v>05:00</x:v>
      </x:c>
      <x:c r="D200" s="13" t="n">
        <x:v>34</x:v>
      </x:c>
      <x:c r="E200" s="13" t="n">
        <x:v>1</x:v>
      </x:c>
      <x:c r="F200" s="13" t="n">
        <x:v>35</x:v>
      </x:c>
      <x:c r="G200" s="13" t="n">
        <x:v>62</x:v>
      </x:c>
      <x:c r="H200" s="13" t="n">
        <x:v>2</x:v>
      </x:c>
      <x:c r="I200" s="13" t="n">
        <x:v>64</x:v>
      </x:c>
      <x:c r="J200" s="13" t="n">
        <x:v>29</x:v>
      </x:c>
      <x:c r="K200" s="14" t="n">
        <x:f>IFERROR(F200/SUMIFS($F:$F,$B:$B,B200),0)</x:f>
        <x:v>0.0033921302578018998</x:v>
      </x:c>
      <x:c r="L200" s="12" t="str">
        <x:v>00–05</x:v>
      </x:c>
    </x:row>
    <x:row r="201">
      <x:c r="A201" s="12" t="str">
        <x:v>8月平日</x:v>
      </x:c>
      <x:c r="B201" s="12" t="str">
        <x:v>2026-08-13</x:v>
      </x:c>
      <x:c r="C201" s="12" t="str">
        <x:v>06:00</x:v>
      </x:c>
      <x:c r="D201" s="13" t="n">
        <x:v>108</x:v>
      </x:c>
      <x:c r="E201" s="13" t="n">
        <x:v>3</x:v>
      </x:c>
      <x:c r="F201" s="13" t="n">
        <x:v>111</x:v>
      </x:c>
      <x:c r="G201" s="13" t="n">
        <x:v>123</x:v>
      </x:c>
      <x:c r="H201" s="13" t="n">
        <x:v>8</x:v>
      </x:c>
      <x:c r="I201" s="13" t="n">
        <x:v>131</x:v>
      </x:c>
      <x:c r="J201" s="13" t="n">
        <x:v>20</x:v>
      </x:c>
      <x:c r="K201" s="14" t="n">
        <x:f>IFERROR(F201/SUMIFS($F:$F,$B:$B,B201),0)</x:f>
        <x:v>0.01075789881760031</x:v>
      </x:c>
      <x:c r="L201" s="12" t="str">
        <x:v>06–09</x:v>
      </x:c>
    </x:row>
    <x:row r="202">
      <x:c r="A202" s="12" t="str">
        <x:v>8月平日</x:v>
      </x:c>
      <x:c r="B202" s="12" t="str">
        <x:v>2026-08-13</x:v>
      </x:c>
      <x:c r="C202" s="12" t="str">
        <x:v>07:00</x:v>
      </x:c>
      <x:c r="D202" s="13" t="n">
        <x:v>364</x:v>
      </x:c>
      <x:c r="E202" s="13" t="n">
        <x:v>2</x:v>
      </x:c>
      <x:c r="F202" s="13" t="n">
        <x:v>366</x:v>
      </x:c>
      <x:c r="G202" s="13" t="n">
        <x:v>442</x:v>
      </x:c>
      <x:c r="H202" s="13" t="n">
        <x:v>20</x:v>
      </x:c>
      <x:c r="I202" s="13" t="n">
        <x:v>462</x:v>
      </x:c>
      <x:c r="J202" s="13" t="n">
        <x:v>96</x:v>
      </x:c>
      <x:c r="K202" s="14" t="n">
        <x:f>IFERROR(F202/SUMIFS($F:$F,$B:$B,B202),0)</x:f>
        <x:v>0.03547199069587129</x:v>
      </x:c>
      <x:c r="L202" s="12" t="str">
        <x:v>06–09</x:v>
      </x:c>
    </x:row>
    <x:row r="203">
      <x:c r="A203" s="12" t="str">
        <x:v>8月平日</x:v>
      </x:c>
      <x:c r="B203" s="12" t="str">
        <x:v>2026-08-13</x:v>
      </x:c>
      <x:c r="C203" s="12" t="str">
        <x:v>08:00</x:v>
      </x:c>
      <x:c r="D203" s="13" t="n">
        <x:v>550</x:v>
      </x:c>
      <x:c r="E203" s="13" t="n">
        <x:v>34</x:v>
      </x:c>
      <x:c r="F203" s="13" t="n">
        <x:v>584</x:v>
      </x:c>
      <x:c r="G203" s="13" t="n">
        <x:v>849</x:v>
      </x:c>
      <x:c r="H203" s="13" t="n">
        <x:v>52</x:v>
      </x:c>
      <x:c r="I203" s="13" t="n">
        <x:v>901</x:v>
      </x:c>
      <x:c r="J203" s="13" t="n">
        <x:v>317</x:v>
      </x:c>
      <x:c r="K203" s="14" t="n">
        <x:f>IFERROR(F203/SUMIFS($F:$F,$B:$B,B203),0)</x:f>
        <x:v>0.05660011630160884</x:v>
      </x:c>
      <x:c r="L203" s="12" t="str">
        <x:v>06–09</x:v>
      </x:c>
    </x:row>
    <x:row r="204">
      <x:c r="A204" s="12" t="str">
        <x:v>8月平日</x:v>
      </x:c>
      <x:c r="B204" s="12" t="str">
        <x:v>2026-08-13</x:v>
      </x:c>
      <x:c r="C204" s="12" t="str">
        <x:v>09:00</x:v>
      </x:c>
      <x:c r="D204" s="13" t="n">
        <x:v>565</x:v>
      </x:c>
      <x:c r="E204" s="13" t="n">
        <x:v>28</x:v>
      </x:c>
      <x:c r="F204" s="13" t="n">
        <x:v>593</x:v>
      </x:c>
      <x:c r="G204" s="13" t="n">
        <x:v>848</x:v>
      </x:c>
      <x:c r="H204" s="13" t="n">
        <x:v>49</x:v>
      </x:c>
      <x:c r="I204" s="13" t="n">
        <x:v>897</x:v>
      </x:c>
      <x:c r="J204" s="13" t="n">
        <x:v>304</x:v>
      </x:c>
      <x:c r="K204" s="14" t="n">
        <x:f>IFERROR(F204/SUMIFS($F:$F,$B:$B,B204),0)</x:f>
        <x:v>0.057472378367900756</x:v>
      </x:c>
      <x:c r="L204" s="12" t="str">
        <x:v>06–09</x:v>
      </x:c>
    </x:row>
    <x:row r="205">
      <x:c r="A205" s="12" t="str">
        <x:v>8月平日</x:v>
      </x:c>
      <x:c r="B205" s="12" t="str">
        <x:v>2026-08-13</x:v>
      </x:c>
      <x:c r="C205" s="12" t="str">
        <x:v>10:00</x:v>
      </x:c>
      <x:c r="D205" s="13" t="n">
        <x:v>536</x:v>
      </x:c>
      <x:c r="E205" s="13" t="n">
        <x:v>34</x:v>
      </x:c>
      <x:c r="F205" s="13" t="n">
        <x:v>570</x:v>
      </x:c>
      <x:c r="G205" s="13" t="n">
        <x:v>717</x:v>
      </x:c>
      <x:c r="H205" s="13" t="n">
        <x:v>40</x:v>
      </x:c>
      <x:c r="I205" s="13" t="n">
        <x:v>757</x:v>
      </x:c>
      <x:c r="J205" s="13" t="n">
        <x:v>187</x:v>
      </x:c>
      <x:c r="K205" s="14" t="n">
        <x:f>IFERROR(F205/SUMIFS($F:$F,$B:$B,B205),0)</x:f>
        <x:v>0.05524326419848808</x:v>
      </x:c>
      <x:c r="L205" s="12" t="str">
        <x:v>10–13</x:v>
      </x:c>
    </x:row>
    <x:row r="206">
      <x:c r="A206" s="12" t="str">
        <x:v>8月平日</x:v>
      </x:c>
      <x:c r="B206" s="12" t="str">
        <x:v>2026-08-13</x:v>
      </x:c>
      <x:c r="C206" s="12" t="str">
        <x:v>11:00</x:v>
      </x:c>
      <x:c r="D206" s="13" t="n">
        <x:v>758</x:v>
      </x:c>
      <x:c r="E206" s="13" t="n">
        <x:v>24</x:v>
      </x:c>
      <x:c r="F206" s="13" t="n">
        <x:v>782</x:v>
      </x:c>
      <x:c r="G206" s="13" t="n">
        <x:v>722</x:v>
      </x:c>
      <x:c r="H206" s="13" t="n">
        <x:v>41</x:v>
      </x:c>
      <x:c r="I206" s="13" t="n">
        <x:v>763</x:v>
      </x:c>
      <x:c r="J206" s="13" t="n">
        <x:v>-19</x:v>
      </x:c>
      <x:c r="K206" s="14" t="n">
        <x:f>IFERROR(F206/SUMIFS($F:$F,$B:$B,B206),0)</x:f>
        <x:v>0.07578988176003101</x:v>
      </x:c>
      <x:c r="L206" s="12" t="str">
        <x:v>10–13</x:v>
      </x:c>
    </x:row>
    <x:row r="207">
      <x:c r="A207" s="12" t="str">
        <x:v>8月平日</x:v>
      </x:c>
      <x:c r="B207" s="12" t="str">
        <x:v>2026-08-13</x:v>
      </x:c>
      <x:c r="C207" s="12" t="str">
        <x:v>12:00</x:v>
      </x:c>
      <x:c r="D207" s="13" t="n">
        <x:v>940</x:v>
      </x:c>
      <x:c r="E207" s="13" t="n">
        <x:v>35</x:v>
      </x:c>
      <x:c r="F207" s="13" t="n">
        <x:v>975</x:v>
      </x:c>
      <x:c r="G207" s="13" t="n">
        <x:v>927</x:v>
      </x:c>
      <x:c r="H207" s="13" t="n">
        <x:v>29</x:v>
      </x:c>
      <x:c r="I207" s="13" t="n">
        <x:v>956</x:v>
      </x:c>
      <x:c r="J207" s="13" t="n">
        <x:v>-19</x:v>
      </x:c>
      <x:c r="K207" s="14" t="n">
        <x:f>IFERROR(F207/SUMIFS($F:$F,$B:$B,B207),0)</x:f>
        <x:v>0.09449505718162435</x:v>
      </x:c>
      <x:c r="L207" s="12" t="str">
        <x:v>10–13</x:v>
      </x:c>
    </x:row>
    <x:row r="208">
      <x:c r="A208" s="12" t="str">
        <x:v>8月平日</x:v>
      </x:c>
      <x:c r="B208" s="12" t="str">
        <x:v>2026-08-13</x:v>
      </x:c>
      <x:c r="C208" s="12" t="str">
        <x:v>13:00</x:v>
      </x:c>
      <x:c r="D208" s="13" t="n">
        <x:v>772</x:v>
      </x:c>
      <x:c r="E208" s="13" t="n">
        <x:v>23</x:v>
      </x:c>
      <x:c r="F208" s="13" t="n">
        <x:v>795</x:v>
      </x:c>
      <x:c r="G208" s="13" t="n">
        <x:v>962</x:v>
      </x:c>
      <x:c r="H208" s="13" t="n">
        <x:v>41</x:v>
      </x:c>
      <x:c r="I208" s="13" t="n">
        <x:v>1003</x:v>
      </x:c>
      <x:c r="J208" s="13" t="n">
        <x:v>208</x:v>
      </x:c>
      <x:c r="K208" s="14" t="n">
        <x:f>IFERROR(F208/SUMIFS($F:$F,$B:$B,B208),0)</x:f>
        <x:v>0.077049815855786</x:v>
      </x:c>
      <x:c r="L208" s="12" t="str">
        <x:v>10–13</x:v>
      </x:c>
    </x:row>
    <x:row r="209">
      <x:c r="A209" s="12" t="str">
        <x:v>8月平日</x:v>
      </x:c>
      <x:c r="B209" s="12" t="str">
        <x:v>2026-08-13</x:v>
      </x:c>
      <x:c r="C209" s="12" t="str">
        <x:v>14:00</x:v>
      </x:c>
      <x:c r="D209" s="13" t="n">
        <x:v>145</x:v>
      </x:c>
      <x:c r="E209" s="13" t="n">
        <x:v>5</x:v>
      </x:c>
      <x:c r="F209" s="13" t="n">
        <x:v>150</x:v>
      </x:c>
      <x:c r="G209" s="13" t="n">
        <x:v>218</x:v>
      </x:c>
      <x:c r="H209" s="13" t="n">
        <x:v>14</x:v>
      </x:c>
      <x:c r="I209" s="13" t="n">
        <x:v>232</x:v>
      </x:c>
      <x:c r="J209" s="13" t="n">
        <x:v>82</x:v>
      </x:c>
      <x:c r="K209" s="14" t="n">
        <x:f>IFERROR(F209/SUMIFS($F:$F,$B:$B,B209),0)</x:f>
        <x:v>0.014537701104865283</x:v>
      </x:c>
      <x:c r="L209" s="12" t="str">
        <x:v>14–17</x:v>
      </x:c>
    </x:row>
    <x:row r="210">
      <x:c r="A210" s="12" t="str">
        <x:v>8月平日</x:v>
      </x:c>
      <x:c r="B210" s="12" t="str">
        <x:v>2026-08-13</x:v>
      </x:c>
      <x:c r="C210" s="12" t="str">
        <x:v>15:00</x:v>
      </x:c>
      <x:c r="D210" s="13" t="n">
        <x:v>388</x:v>
      </x:c>
      <x:c r="E210" s="13" t="n">
        <x:v>16</x:v>
      </x:c>
      <x:c r="F210" s="13" t="n">
        <x:v>404</x:v>
      </x:c>
      <x:c r="G210" s="13" t="n">
        <x:v>284</x:v>
      </x:c>
      <x:c r="H210" s="13" t="n">
        <x:v>9</x:v>
      </x:c>
      <x:c r="I210" s="13" t="n">
        <x:v>293</x:v>
      </x:c>
      <x:c r="J210" s="13" t="n">
        <x:v>-111</x:v>
      </x:c>
      <x:c r="K210" s="14" t="n">
        <x:f>IFERROR(F210/SUMIFS($F:$F,$B:$B,B210),0)</x:f>
        <x:v>0.0391548749757705</x:v>
      </x:c>
      <x:c r="L210" s="12" t="str">
        <x:v>14–17</x:v>
      </x:c>
    </x:row>
    <x:row r="211">
      <x:c r="A211" s="12" t="str">
        <x:v>8月平日</x:v>
      </x:c>
      <x:c r="B211" s="12" t="str">
        <x:v>2026-08-13</x:v>
      </x:c>
      <x:c r="C211" s="12" t="str">
        <x:v>16:00</x:v>
      </x:c>
      <x:c r="D211" s="13" t="n">
        <x:v>823</x:v>
      </x:c>
      <x:c r="E211" s="13" t="n">
        <x:v>30</x:v>
      </x:c>
      <x:c r="F211" s="13" t="n">
        <x:v>853</x:v>
      </x:c>
      <x:c r="G211" s="13" t="n">
        <x:v>595</x:v>
      </x:c>
      <x:c r="H211" s="13" t="n">
        <x:v>17</x:v>
      </x:c>
      <x:c r="I211" s="13" t="n">
        <x:v>612</x:v>
      </x:c>
      <x:c r="J211" s="13" t="n">
        <x:v>-241</x:v>
      </x:c>
      <x:c r="K211" s="14" t="n">
        <x:f>IFERROR(F211/SUMIFS($F:$F,$B:$B,B211),0)</x:f>
        <x:v>0.08267106028300059</x:v>
      </x:c>
      <x:c r="L211" s="12" t="str">
        <x:v>14–17</x:v>
      </x:c>
    </x:row>
    <x:row r="212">
      <x:c r="A212" s="12" t="str">
        <x:v>8月平日</x:v>
      </x:c>
      <x:c r="B212" s="12" t="str">
        <x:v>2026-08-13</x:v>
      </x:c>
      <x:c r="C212" s="12" t="str">
        <x:v>17:00</x:v>
      </x:c>
      <x:c r="D212" s="13" t="n">
        <x:v>1346</x:v>
      </x:c>
      <x:c r="E212" s="13" t="n">
        <x:v>52</x:v>
      </x:c>
      <x:c r="F212" s="13" t="n">
        <x:v>1398</x:v>
      </x:c>
      <x:c r="G212" s="13" t="n">
        <x:v>750</x:v>
      </x:c>
      <x:c r="H212" s="13" t="n">
        <x:v>22</x:v>
      </x:c>
      <x:c r="I212" s="13" t="n">
        <x:v>772</x:v>
      </x:c>
      <x:c r="J212" s="13" t="n">
        <x:v>-626</x:v>
      </x:c>
      <x:c r="K212" s="14" t="n">
        <x:f>IFERROR(F212/SUMIFS($F:$F,$B:$B,B212),0)</x:f>
        <x:v>0.13549137429734445</x:v>
      </x:c>
      <x:c r="L212" s="12" t="str">
        <x:v>14–17</x:v>
      </x:c>
    </x:row>
    <x:row r="213">
      <x:c r="A213" s="12" t="str">
        <x:v>8月平日</x:v>
      </x:c>
      <x:c r="B213" s="12" t="str">
        <x:v>2026-08-13</x:v>
      </x:c>
      <x:c r="C213" s="12" t="str">
        <x:v>18:00</x:v>
      </x:c>
      <x:c r="D213" s="13" t="n">
        <x:v>899</x:v>
      </x:c>
      <x:c r="E213" s="13" t="n">
        <x:v>49</x:v>
      </x:c>
      <x:c r="F213" s="13" t="n">
        <x:v>948</x:v>
      </x:c>
      <x:c r="G213" s="13" t="n">
        <x:v>648</x:v>
      </x:c>
      <x:c r="H213" s="13" t="n">
        <x:v>19</x:v>
      </x:c>
      <x:c r="I213" s="13" t="n">
        <x:v>667</x:v>
      </x:c>
      <x:c r="J213" s="13" t="n">
        <x:v>-281</x:v>
      </x:c>
      <x:c r="K213" s="14" t="n">
        <x:f>IFERROR(F213/SUMIFS($F:$F,$B:$B,B213),0)</x:f>
        <x:v>0.09187827098274859</x:v>
      </x:c>
      <x:c r="L213" s="12" t="str">
        <x:v>18–21</x:v>
      </x:c>
    </x:row>
    <x:row r="214">
      <x:c r="A214" s="12" t="str">
        <x:v>8月平日</x:v>
      </x:c>
      <x:c r="B214" s="12" t="str">
        <x:v>2026-08-13</x:v>
      </x:c>
      <x:c r="C214" s="12" t="str">
        <x:v>19:00</x:v>
      </x:c>
      <x:c r="D214" s="13" t="n">
        <x:v>445</x:v>
      </x:c>
      <x:c r="E214" s="13" t="n">
        <x:v>16</x:v>
      </x:c>
      <x:c r="F214" s="13" t="n">
        <x:v>461</x:v>
      </x:c>
      <x:c r="G214" s="13" t="n">
        <x:v>437</x:v>
      </x:c>
      <x:c r="H214" s="13" t="n">
        <x:v>17</x:v>
      </x:c>
      <x:c r="I214" s="13" t="n">
        <x:v>454</x:v>
      </x:c>
      <x:c r="J214" s="13" t="n">
        <x:v>-7</x:v>
      </x:c>
      <x:c r="K214" s="14" t="n">
        <x:f>IFERROR(F214/SUMIFS($F:$F,$B:$B,B214),0)</x:f>
        <x:v>0.0446792013956193</x:v>
      </x:c>
      <x:c r="L214" s="12" t="str">
        <x:v>18–21</x:v>
      </x:c>
    </x:row>
    <x:row r="215">
      <x:c r="A215" s="12" t="str">
        <x:v>8月平日</x:v>
      </x:c>
      <x:c r="B215" s="12" t="str">
        <x:v>2026-08-13</x:v>
      </x:c>
      <x:c r="C215" s="12" t="str">
        <x:v>20:00</x:v>
      </x:c>
      <x:c r="D215" s="13" t="n">
        <x:v>396</x:v>
      </x:c>
      <x:c r="E215" s="13" t="n">
        <x:v>18</x:v>
      </x:c>
      <x:c r="F215" s="13" t="n">
        <x:v>414</x:v>
      </x:c>
      <x:c r="G215" s="13" t="n">
        <x:v>368</x:v>
      </x:c>
      <x:c r="H215" s="13" t="n">
        <x:v>11</x:v>
      </x:c>
      <x:c r="I215" s="13" t="n">
        <x:v>379</x:v>
      </x:c>
      <x:c r="J215" s="13" t="n">
        <x:v>-35</x:v>
      </x:c>
      <x:c r="K215" s="14" t="n">
        <x:f>IFERROR(F215/SUMIFS($F:$F,$B:$B,B215),0)</x:f>
        <x:v>0.04012405504942818</x:v>
      </x:c>
      <x:c r="L215" s="12" t="str">
        <x:v>18–21</x:v>
      </x:c>
    </x:row>
    <x:row r="216">
      <x:c r="A216" s="12" t="str">
        <x:v>8月平日</x:v>
      </x:c>
      <x:c r="B216" s="12" t="str">
        <x:v>2026-08-13</x:v>
      </x:c>
      <x:c r="C216" s="12" t="str">
        <x:v>21:00</x:v>
      </x:c>
      <x:c r="D216" s="13" t="n">
        <x:v>320</x:v>
      </x:c>
      <x:c r="E216" s="13" t="n">
        <x:v>23</x:v>
      </x:c>
      <x:c r="F216" s="13" t="n">
        <x:v>343</x:v>
      </x:c>
      <x:c r="G216" s="13" t="n">
        <x:v>221</x:v>
      </x:c>
      <x:c r="H216" s="13" t="n">
        <x:v>3</x:v>
      </x:c>
      <x:c r="I216" s="13" t="n">
        <x:v>224</x:v>
      </x:c>
      <x:c r="J216" s="13" t="n">
        <x:v>-119</x:v>
      </x:c>
      <x:c r="K216" s="14" t="n">
        <x:f>IFERROR(F216/SUMIFS($F:$F,$B:$B,B216),0)</x:f>
        <x:v>0.03324287652645862</x:v>
      </x:c>
      <x:c r="L216" s="12" t="str">
        <x:v>18–21</x:v>
      </x:c>
    </x:row>
    <x:row r="217">
      <x:c r="A217" s="12" t="str">
        <x:v>8月平日</x:v>
      </x:c>
      <x:c r="B217" s="12" t="str">
        <x:v>2026-08-13</x:v>
      </x:c>
      <x:c r="C217" s="12" t="str">
        <x:v>22:00</x:v>
      </x:c>
      <x:c r="D217" s="13" t="n">
        <x:v>220</x:v>
      </x:c>
      <x:c r="E217" s="13" t="n">
        <x:v>9</x:v>
      </x:c>
      <x:c r="F217" s="13" t="n">
        <x:v>229</x:v>
      </x:c>
      <x:c r="G217" s="13" t="n">
        <x:v>166</x:v>
      </x:c>
      <x:c r="H217" s="13" t="n">
        <x:v>6</x:v>
      </x:c>
      <x:c r="I217" s="13" t="n">
        <x:v>172</x:v>
      </x:c>
      <x:c r="J217" s="13" t="n">
        <x:v>-57</x:v>
      </x:c>
      <x:c r="K217" s="14" t="n">
        <x:f>IFERROR(F217/SUMIFS($F:$F,$B:$B,B217),0)</x:f>
        <x:v>0.022194223686761</x:v>
      </x:c>
      <x:c r="L217" s="12" t="str">
        <x:v>22–23</x:v>
      </x:c>
    </x:row>
    <x:row r="218">
      <x:c r="A218" s="12" t="str">
        <x:v>8月平日</x:v>
      </x:c>
      <x:c r="B218" s="12" t="str">
        <x:v>2026-08-13</x:v>
      </x:c>
      <x:c r="C218" s="12" t="str">
        <x:v>23:00</x:v>
      </x:c>
      <x:c r="D218" s="13" t="n">
        <x:v>130</x:v>
      </x:c>
      <x:c r="E218" s="13" t="n">
        <x:v>4</x:v>
      </x:c>
      <x:c r="F218" s="13" t="n">
        <x:v>134</x:v>
      </x:c>
      <x:c r="G218" s="13" t="n">
        <x:v>102</x:v>
      </x:c>
      <x:c r="H218" s="13" t="n">
        <x:v>3</x:v>
      </x:c>
      <x:c r="I218" s="13" t="n">
        <x:v>105</x:v>
      </x:c>
      <x:c r="J218" s="13" t="n">
        <x:v>-29</x:v>
      </x:c>
      <x:c r="K218" s="14" t="n">
        <x:f>IFERROR(F218/SUMIFS($F:$F,$B:$B,B218),0)</x:f>
        <x:v>0.012987012987012988</x:v>
      </x:c>
      <x:c r="L218" s="12" t="str">
        <x:v>22–23</x:v>
      </x:c>
    </x:row>
    <x:row r="219">
      <x:c r="A219" s="12" t="str">
        <x:v>8月平日</x:v>
      </x:c>
      <x:c r="B219" s="12" t="str">
        <x:v>2026-08-14</x:v>
      </x:c>
      <x:c r="C219" s="12" t="str">
        <x:v>00:00</x:v>
      </x:c>
      <x:c r="D219" s="13" t="n">
        <x:v>76</x:v>
      </x:c>
      <x:c r="E219" s="13" t="n">
        <x:v>2</x:v>
      </x:c>
      <x:c r="F219" s="13" t="n">
        <x:v>78</x:v>
      </x:c>
      <x:c r="G219" s="13" t="n">
        <x:v>52</x:v>
      </x:c>
      <x:c r="H219" s="13" t="n">
        <x:v>1</x:v>
      </x:c>
      <x:c r="I219" s="13" t="n">
        <x:v>53</x:v>
      </x:c>
      <x:c r="J219" s="13" t="n">
        <x:v>-25</x:v>
      </x:c>
      <x:c r="K219" s="14" t="n">
        <x:f>IFERROR(F219/SUMIFS($F:$F,$B:$B,B219),0)</x:f>
        <x:v>0.008103054228132142</x:v>
      </x:c>
      <x:c r="L219" s="12" t="str">
        <x:v>00–05</x:v>
      </x:c>
    </x:row>
    <x:row r="220">
      <x:c r="A220" s="12" t="str">
        <x:v>8月平日</x:v>
      </x:c>
      <x:c r="B220" s="12" t="str">
        <x:v>2026-08-14</x:v>
      </x:c>
      <x:c r="C220" s="12" t="str">
        <x:v>01:00</x:v>
      </x:c>
      <x:c r="D220" s="13" t="n">
        <x:v>26</x:v>
      </x:c>
      <x:c r="E220" s="13" t="n">
        <x:v>4</x:v>
      </x:c>
      <x:c r="F220" s="13" t="n">
        <x:v>30</x:v>
      </x:c>
      <x:c r="G220" s="13" t="n">
        <x:v>35</x:v>
      </x:c>
      <x:c r="H220" s="13" t="n">
        <x:v>2</x:v>
      </x:c>
      <x:c r="I220" s="13" t="n">
        <x:v>37</x:v>
      </x:c>
      <x:c r="J220" s="13" t="n">
        <x:v>7</x:v>
      </x:c>
      <x:c r="K220" s="14" t="n">
        <x:f>IFERROR(F220/SUMIFS($F:$F,$B:$B,B220),0)</x:f>
        <x:v>0.0031165593185123624</x:v>
      </x:c>
      <x:c r="L220" s="12" t="str">
        <x:v>00–05</x:v>
      </x:c>
    </x:row>
    <x:row r="221">
      <x:c r="A221" s="12" t="str">
        <x:v>8月平日</x:v>
      </x:c>
      <x:c r="B221" s="12" t="str">
        <x:v>2026-08-14</x:v>
      </x:c>
      <x:c r="C221" s="12" t="str">
        <x:v>02:00</x:v>
      </x:c>
      <x:c r="D221" s="13" t="n">
        <x:v>21</x:v>
      </x:c>
      <x:c r="E221" s="13" t="n">
        <x:v>0</x:v>
      </x:c>
      <x:c r="F221" s="13" t="n">
        <x:v>21</x:v>
      </x:c>
      <x:c r="G221" s="13" t="n">
        <x:v>17</x:v>
      </x:c>
      <x:c r="H221" s="13" t="n">
        <x:v>1</x:v>
      </x:c>
      <x:c r="I221" s="13" t="n">
        <x:v>18</x:v>
      </x:c>
      <x:c r="J221" s="13" t="n">
        <x:v>-3</x:v>
      </x:c>
      <x:c r="K221" s="14" t="n">
        <x:f>IFERROR(F221/SUMIFS($F:$F,$B:$B,B221),0)</x:f>
        <x:v>0.0021815915229586535</x:v>
      </x:c>
      <x:c r="L221" s="12" t="str">
        <x:v>00–05</x:v>
      </x:c>
    </x:row>
    <x:row r="222">
      <x:c r="A222" s="12" t="str">
        <x:v>8月平日</x:v>
      </x:c>
      <x:c r="B222" s="12" t="str">
        <x:v>2026-08-14</x:v>
      </x:c>
      <x:c r="C222" s="12" t="str">
        <x:v>03:00</x:v>
      </x:c>
      <x:c r="D222" s="13" t="n">
        <x:v>16</x:v>
      </x:c>
      <x:c r="E222" s="13" t="n">
        <x:v>1</x:v>
      </x:c>
      <x:c r="F222" s="13" t="n">
        <x:v>17</x:v>
      </x:c>
      <x:c r="G222" s="13" t="n">
        <x:v>17</x:v>
      </x:c>
      <x:c r="H222" s="13" t="n">
        <x:v>0</x:v>
      </x:c>
      <x:c r="I222" s="13" t="n">
        <x:v>17</x:v>
      </x:c>
      <x:c r="J222" s="13" t="n">
        <x:v>0</x:v>
      </x:c>
      <x:c r="K222" s="14" t="n">
        <x:f>IFERROR(F222/SUMIFS($F:$F,$B:$B,B222),0)</x:f>
        <x:v>0.0017660502804903388</x:v>
      </x:c>
      <x:c r="L222" s="12" t="str">
        <x:v>00–05</x:v>
      </x:c>
    </x:row>
    <x:row r="223">
      <x:c r="A223" s="12" t="str">
        <x:v>8月平日</x:v>
      </x:c>
      <x:c r="B223" s="12" t="str">
        <x:v>2026-08-14</x:v>
      </x:c>
      <x:c r="C223" s="12" t="str">
        <x:v>04:00</x:v>
      </x:c>
      <x:c r="D223" s="13" t="n">
        <x:v>7</x:v>
      </x:c>
      <x:c r="E223" s="13" t="n">
        <x:v>1</x:v>
      </x:c>
      <x:c r="F223" s="13" t="n">
        <x:v>8</x:v>
      </x:c>
      <x:c r="G223" s="13" t="n">
        <x:v>7</x:v>
      </x:c>
      <x:c r="H223" s="13" t="n">
        <x:v>1</x:v>
      </x:c>
      <x:c r="I223" s="13" t="n">
        <x:v>8</x:v>
      </x:c>
      <x:c r="J223" s="13" t="n">
        <x:v>0</x:v>
      </x:c>
      <x:c r="K223" s="14" t="n">
        <x:f>IFERROR(F223/SUMIFS($F:$F,$B:$B,B223),0)</x:f>
        <x:v>0.0008310824849366299</x:v>
      </x:c>
      <x:c r="L223" s="12" t="str">
        <x:v>00–05</x:v>
      </x:c>
    </x:row>
    <x:row r="224">
      <x:c r="A224" s="12" t="str">
        <x:v>8月平日</x:v>
      </x:c>
      <x:c r="B224" s="12" t="str">
        <x:v>2026-08-14</x:v>
      </x:c>
      <x:c r="C224" s="12" t="str">
        <x:v>05:00</x:v>
      </x:c>
      <x:c r="D224" s="13" t="n">
        <x:v>29</x:v>
      </x:c>
      <x:c r="E224" s="13" t="n">
        <x:v>1</x:v>
      </x:c>
      <x:c r="F224" s="13" t="n">
        <x:v>30</x:v>
      </x:c>
      <x:c r="G224" s="13" t="n">
        <x:v>45</x:v>
      </x:c>
      <x:c r="H224" s="13" t="n">
        <x:v>2</x:v>
      </x:c>
      <x:c r="I224" s="13" t="n">
        <x:v>47</x:v>
      </x:c>
      <x:c r="J224" s="13" t="n">
        <x:v>17</x:v>
      </x:c>
      <x:c r="K224" s="14" t="n">
        <x:f>IFERROR(F224/SUMIFS($F:$F,$B:$B,B224),0)</x:f>
        <x:v>0.0031165593185123624</x:v>
      </x:c>
      <x:c r="L224" s="12" t="str">
        <x:v>00–05</x:v>
      </x:c>
    </x:row>
    <x:row r="225">
      <x:c r="A225" s="12" t="str">
        <x:v>8月平日</x:v>
      </x:c>
      <x:c r="B225" s="12" t="str">
        <x:v>2026-08-14</x:v>
      </x:c>
      <x:c r="C225" s="12" t="str">
        <x:v>06:00</x:v>
      </x:c>
      <x:c r="D225" s="13" t="n">
        <x:v>115</x:v>
      </x:c>
      <x:c r="E225" s="13" t="n">
        <x:v>3</x:v>
      </x:c>
      <x:c r="F225" s="13" t="n">
        <x:v>118</x:v>
      </x:c>
      <x:c r="G225" s="13" t="n">
        <x:v>114</x:v>
      </x:c>
      <x:c r="H225" s="13" t="n">
        <x:v>11</x:v>
      </x:c>
      <x:c r="I225" s="13" t="n">
        <x:v>125</x:v>
      </x:c>
      <x:c r="J225" s="13" t="n">
        <x:v>7</x:v>
      </x:c>
      <x:c r="K225" s="14" t="n">
        <x:f>IFERROR(F225/SUMIFS($F:$F,$B:$B,B225),0)</x:f>
        <x:v>0.012258466652815292</x:v>
      </x:c>
      <x:c r="L225" s="12" t="str">
        <x:v>06–09</x:v>
      </x:c>
    </x:row>
    <x:row r="226">
      <x:c r="A226" s="12" t="str">
        <x:v>8月平日</x:v>
      </x:c>
      <x:c r="B226" s="12" t="str">
        <x:v>2026-08-14</x:v>
      </x:c>
      <x:c r="C226" s="12" t="str">
        <x:v>07:00</x:v>
      </x:c>
      <x:c r="D226" s="13" t="n">
        <x:v>382</x:v>
      </x:c>
      <x:c r="E226" s="13" t="n">
        <x:v>3</x:v>
      </x:c>
      <x:c r="F226" s="13" t="n">
        <x:v>385</x:v>
      </x:c>
      <x:c r="G226" s="13" t="n">
        <x:v>488</x:v>
      </x:c>
      <x:c r="H226" s="13" t="n">
        <x:v>13</x:v>
      </x:c>
      <x:c r="I226" s="13" t="n">
        <x:v>501</x:v>
      </x:c>
      <x:c r="J226" s="13" t="n">
        <x:v>116</x:v>
      </x:c>
      <x:c r="K226" s="14" t="n">
        <x:f>IFERROR(F226/SUMIFS($F:$F,$B:$B,B226),0)</x:f>
        <x:v>0.03999584458757532</x:v>
      </x:c>
      <x:c r="L226" s="12" t="str">
        <x:v>06–09</x:v>
      </x:c>
    </x:row>
    <x:row r="227">
      <x:c r="A227" s="12" t="str">
        <x:v>8月平日</x:v>
      </x:c>
      <x:c r="B227" s="12" t="str">
        <x:v>2026-08-14</x:v>
      </x:c>
      <x:c r="C227" s="12" t="str">
        <x:v>08:00</x:v>
      </x:c>
      <x:c r="D227" s="13" t="n">
        <x:v>530</x:v>
      </x:c>
      <x:c r="E227" s="13" t="n">
        <x:v>23</x:v>
      </x:c>
      <x:c r="F227" s="13" t="n">
        <x:v>553</x:v>
      </x:c>
      <x:c r="G227" s="13" t="n">
        <x:v>856</x:v>
      </x:c>
      <x:c r="H227" s="13" t="n">
        <x:v>41</x:v>
      </x:c>
      <x:c r="I227" s="13" t="n">
        <x:v>897</x:v>
      </x:c>
      <x:c r="J227" s="13" t="n">
        <x:v>344</x:v>
      </x:c>
      <x:c r="K227" s="14" t="n">
        <x:f>IFERROR(F227/SUMIFS($F:$F,$B:$B,B227),0)</x:f>
        <x:v>0.05744857677124455</x:v>
      </x:c>
      <x:c r="L227" s="12" t="str">
        <x:v>06–09</x:v>
      </x:c>
    </x:row>
    <x:row r="228">
      <x:c r="A228" s="12" t="str">
        <x:v>8月平日</x:v>
      </x:c>
      <x:c r="B228" s="12" t="str">
        <x:v>2026-08-14</x:v>
      </x:c>
      <x:c r="C228" s="12" t="str">
        <x:v>09:00</x:v>
      </x:c>
      <x:c r="D228" s="13" t="n">
        <x:v>539</x:v>
      </x:c>
      <x:c r="E228" s="13" t="n">
        <x:v>24</x:v>
      </x:c>
      <x:c r="F228" s="13" t="n">
        <x:v>563</x:v>
      </x:c>
      <x:c r="G228" s="13" t="n">
        <x:v>805</x:v>
      </x:c>
      <x:c r="H228" s="13" t="n">
        <x:v>42</x:v>
      </x:c>
      <x:c r="I228" s="13" t="n">
        <x:v>847</x:v>
      </x:c>
      <x:c r="J228" s="13" t="n">
        <x:v>284</x:v>
      </x:c>
      <x:c r="K228" s="14" t="n">
        <x:f>IFERROR(F228/SUMIFS($F:$F,$B:$B,B228),0)</x:f>
        <x:v>0.058487429877415335</x:v>
      </x:c>
      <x:c r="L228" s="12" t="str">
        <x:v>06–09</x:v>
      </x:c>
    </x:row>
    <x:row r="229">
      <x:c r="A229" s="12" t="str">
        <x:v>8月平日</x:v>
      </x:c>
      <x:c r="B229" s="12" t="str">
        <x:v>2026-08-14</x:v>
      </x:c>
      <x:c r="C229" s="12" t="str">
        <x:v>10:00</x:v>
      </x:c>
      <x:c r="D229" s="13" t="n">
        <x:v>528</x:v>
      </x:c>
      <x:c r="E229" s="13" t="n">
        <x:v>24</x:v>
      </x:c>
      <x:c r="F229" s="13" t="n">
        <x:v>552</x:v>
      </x:c>
      <x:c r="G229" s="13" t="n">
        <x:v>714</x:v>
      </x:c>
      <x:c r="H229" s="13" t="n">
        <x:v>40</x:v>
      </x:c>
      <x:c r="I229" s="13" t="n">
        <x:v>754</x:v>
      </x:c>
      <x:c r="J229" s="13" t="n">
        <x:v>202</x:v>
      </x:c>
      <x:c r="K229" s="14" t="n">
        <x:f>IFERROR(F229/SUMIFS($F:$F,$B:$B,B229),0)</x:f>
        <x:v>0.05734469146062747</x:v>
      </x:c>
      <x:c r="L229" s="12" t="str">
        <x:v>10–13</x:v>
      </x:c>
    </x:row>
    <x:row r="230">
      <x:c r="A230" s="12" t="str">
        <x:v>8月平日</x:v>
      </x:c>
      <x:c r="B230" s="12" t="str">
        <x:v>2026-08-14</x:v>
      </x:c>
      <x:c r="C230" s="12" t="str">
        <x:v>11:00</x:v>
      </x:c>
      <x:c r="D230" s="13" t="n">
        <x:v>770</x:v>
      </x:c>
      <x:c r="E230" s="13" t="n">
        <x:v>34</x:v>
      </x:c>
      <x:c r="F230" s="13" t="n">
        <x:v>804</x:v>
      </x:c>
      <x:c r="G230" s="13" t="n">
        <x:v>676</x:v>
      </x:c>
      <x:c r="H230" s="13" t="n">
        <x:v>34</x:v>
      </x:c>
      <x:c r="I230" s="13" t="n">
        <x:v>710</x:v>
      </x:c>
      <x:c r="J230" s="13" t="n">
        <x:v>-94</x:v>
      </x:c>
      <x:c r="K230" s="14" t="n">
        <x:f>IFERROR(F230/SUMIFS($F:$F,$B:$B,B230),0)</x:f>
        <x:v>0.08352378973613131</x:v>
      </x:c>
      <x:c r="L230" s="12" t="str">
        <x:v>10–13</x:v>
      </x:c>
    </x:row>
    <x:row r="231">
      <x:c r="A231" s="12" t="str">
        <x:v>8月平日</x:v>
      </x:c>
      <x:c r="B231" s="12" t="str">
        <x:v>2026-08-14</x:v>
      </x:c>
      <x:c r="C231" s="12" t="str">
        <x:v>12:00</x:v>
      </x:c>
      <x:c r="D231" s="13" t="n">
        <x:v>1015</x:v>
      </x:c>
      <x:c r="E231" s="13" t="n">
        <x:v>33</x:v>
      </x:c>
      <x:c r="F231" s="13" t="n">
        <x:v>1048</x:v>
      </x:c>
      <x:c r="G231" s="13" t="n">
        <x:v>973</x:v>
      </x:c>
      <x:c r="H231" s="13" t="n">
        <x:v>34</x:v>
      </x:c>
      <x:c r="I231" s="13" t="n">
        <x:v>1007</x:v>
      </x:c>
      <x:c r="J231" s="13" t="n">
        <x:v>-41</x:v>
      </x:c>
      <x:c r="K231" s="14" t="n">
        <x:f>IFERROR(F231/SUMIFS($F:$F,$B:$B,B231),0)</x:f>
        <x:v>0.10887180552669852</x:v>
      </x:c>
      <x:c r="L231" s="12" t="str">
        <x:v>10–13</x:v>
      </x:c>
    </x:row>
    <x:row r="232">
      <x:c r="A232" s="12" t="str">
        <x:v>8月平日</x:v>
      </x:c>
      <x:c r="B232" s="12" t="str">
        <x:v>2026-08-14</x:v>
      </x:c>
      <x:c r="C232" s="12" t="str">
        <x:v>13:00</x:v>
      </x:c>
      <x:c r="D232" s="13" t="n">
        <x:v>827</x:v>
      </x:c>
      <x:c r="E232" s="13" t="n">
        <x:v>32</x:v>
      </x:c>
      <x:c r="F232" s="13" t="n">
        <x:v>859</x:v>
      </x:c>
      <x:c r="G232" s="13" t="n">
        <x:v>979</x:v>
      </x:c>
      <x:c r="H232" s="13" t="n">
        <x:v>42</x:v>
      </x:c>
      <x:c r="I232" s="13" t="n">
        <x:v>1021</x:v>
      </x:c>
      <x:c r="J232" s="13" t="n">
        <x:v>162</x:v>
      </x:c>
      <x:c r="K232" s="14" t="n">
        <x:f>IFERROR(F232/SUMIFS($F:$F,$B:$B,B232),0)</x:f>
        <x:v>0.08923748182007064</x:v>
      </x:c>
      <x:c r="L232" s="12" t="str">
        <x:v>10–13</x:v>
      </x:c>
    </x:row>
    <x:row r="233">
      <x:c r="A233" s="12" t="str">
        <x:v>8月平日</x:v>
      </x:c>
      <x:c r="B233" s="12" t="str">
        <x:v>2026-08-14</x:v>
      </x:c>
      <x:c r="C233" s="12" t="str">
        <x:v>14:00</x:v>
      </x:c>
      <x:c r="D233" s="13" t="n">
        <x:v>442</x:v>
      </x:c>
      <x:c r="E233" s="13" t="n">
        <x:v>13</x:v>
      </x:c>
      <x:c r="F233" s="13" t="n">
        <x:v>455</x:v>
      </x:c>
      <x:c r="G233" s="13" t="n">
        <x:v>586</x:v>
      </x:c>
      <x:c r="H233" s="13" t="n">
        <x:v>16</x:v>
      </x:c>
      <x:c r="I233" s="13" t="n">
        <x:v>602</x:v>
      </x:c>
      <x:c r="J233" s="13" t="n">
        <x:v>147</x:v>
      </x:c>
      <x:c r="K233" s="14" t="n">
        <x:f>IFERROR(F233/SUMIFS($F:$F,$B:$B,B233),0)</x:f>
        <x:v>0.04726781633077083</x:v>
      </x:c>
      <x:c r="L233" s="12" t="str">
        <x:v>14–17</x:v>
      </x:c>
    </x:row>
    <x:row r="234">
      <x:c r="A234" s="12" t="str">
        <x:v>8月平日</x:v>
      </x:c>
      <x:c r="B234" s="12" t="str">
        <x:v>2026-08-14</x:v>
      </x:c>
      <x:c r="C234" s="12" t="str">
        <x:v>15:00</x:v>
      </x:c>
      <x:c r="D234" s="13" t="n">
        <x:v>91</x:v>
      </x:c>
      <x:c r="E234" s="13" t="n">
        <x:v>2</x:v>
      </x:c>
      <x:c r="F234" s="13" t="n">
        <x:v>93</x:v>
      </x:c>
      <x:c r="G234" s="13" t="n">
        <x:v>90</x:v>
      </x:c>
      <x:c r="H234" s="13" t="n">
        <x:v>3</x:v>
      </x:c>
      <x:c r="I234" s="13" t="n">
        <x:v>93</x:v>
      </x:c>
      <x:c r="J234" s="13" t="n">
        <x:v>0</x:v>
      </x:c>
      <x:c r="K234" s="14" t="n">
        <x:f>IFERROR(F234/SUMIFS($F:$F,$B:$B,B234),0)</x:f>
        <x:v>0.009661333887388324</x:v>
      </x:c>
      <x:c r="L234" s="12" t="str">
        <x:v>14–17</x:v>
      </x:c>
    </x:row>
    <x:row r="235">
      <x:c r="A235" s="12" t="str">
        <x:v>8月平日</x:v>
      </x:c>
      <x:c r="B235" s="12" t="str">
        <x:v>2026-08-14</x:v>
      </x:c>
      <x:c r="C235" s="12" t="str">
        <x:v>16:00</x:v>
      </x:c>
      <x:c r="D235" s="13" t="n">
        <x:v>405</x:v>
      </x:c>
      <x:c r="E235" s="13" t="n">
        <x:v>13</x:v>
      </x:c>
      <x:c r="F235" s="13" t="n">
        <x:v>418</x:v>
      </x:c>
      <x:c r="G235" s="13" t="n">
        <x:v>209</x:v>
      </x:c>
      <x:c r="H235" s="13" t="n">
        <x:v>11</x:v>
      </x:c>
      <x:c r="I235" s="13" t="n">
        <x:v>220</x:v>
      </x:c>
      <x:c r="J235" s="13" t="n">
        <x:v>-198</x:v>
      </x:c>
      <x:c r="K235" s="14" t="n">
        <x:f>IFERROR(F235/SUMIFS($F:$F,$B:$B,B235),0)</x:f>
        <x:v>0.043424059837938914</x:v>
      </x:c>
      <x:c r="L235" s="12" t="str">
        <x:v>14–17</x:v>
      </x:c>
    </x:row>
    <x:row r="236">
      <x:c r="A236" s="12" t="str">
        <x:v>8月平日</x:v>
      </x:c>
      <x:c r="B236" s="12" t="str">
        <x:v>2026-08-14</x:v>
      </x:c>
      <x:c r="C236" s="12" t="str">
        <x:v>17:00</x:v>
      </x:c>
      <x:c r="D236" s="13" t="n">
        <x:v>1119</x:v>
      </x:c>
      <x:c r="E236" s="13" t="n">
        <x:v>43</x:v>
      </x:c>
      <x:c r="F236" s="13" t="n">
        <x:v>1162</x:v>
      </x:c>
      <x:c r="G236" s="13" t="n">
        <x:v>598</x:v>
      </x:c>
      <x:c r="H236" s="13" t="n">
        <x:v>21</x:v>
      </x:c>
      <x:c r="I236" s="13" t="n">
        <x:v>619</x:v>
      </x:c>
      <x:c r="J236" s="13" t="n">
        <x:v>-543</x:v>
      </x:c>
      <x:c r="K236" s="14" t="n">
        <x:f>IFERROR(F236/SUMIFS($F:$F,$B:$B,B236),0)</x:f>
        <x:v>0.1207147309370455</x:v>
      </x:c>
      <x:c r="L236" s="12" t="str">
        <x:v>14–17</x:v>
      </x:c>
    </x:row>
    <x:row r="237">
      <x:c r="A237" s="12" t="str">
        <x:v>8月平日</x:v>
      </x:c>
      <x:c r="B237" s="12" t="str">
        <x:v>2026-08-14</x:v>
      </x:c>
      <x:c r="C237" s="12" t="str">
        <x:v>18:00</x:v>
      </x:c>
      <x:c r="D237" s="13" t="n">
        <x:v>834</x:v>
      </x:c>
      <x:c r="E237" s="13" t="n">
        <x:v>36</x:v>
      </x:c>
      <x:c r="F237" s="13" t="n">
        <x:v>870</x:v>
      </x:c>
      <x:c r="G237" s="13" t="n">
        <x:v>562</x:v>
      </x:c>
      <x:c r="H237" s="13" t="n">
        <x:v>17</x:v>
      </x:c>
      <x:c r="I237" s="13" t="n">
        <x:v>579</x:v>
      </x:c>
      <x:c r="J237" s="13" t="n">
        <x:v>-291</x:v>
      </x:c>
      <x:c r="K237" s="14" t="n">
        <x:f>IFERROR(F237/SUMIFS($F:$F,$B:$B,B237),0)</x:f>
        <x:v>0.0903802202368585</x:v>
      </x:c>
      <x:c r="L237" s="12" t="str">
        <x:v>18–21</x:v>
      </x:c>
    </x:row>
    <x:row r="238">
      <x:c r="A238" s="12" t="str">
        <x:v>8月平日</x:v>
      </x:c>
      <x:c r="B238" s="12" t="str">
        <x:v>2026-08-14</x:v>
      </x:c>
      <x:c r="C238" s="12" t="str">
        <x:v>19:00</x:v>
      </x:c>
      <x:c r="D238" s="13" t="n">
        <x:v>474</x:v>
      </x:c>
      <x:c r="E238" s="13" t="n">
        <x:v>27</x:v>
      </x:c>
      <x:c r="F238" s="13" t="n">
        <x:v>501</x:v>
      </x:c>
      <x:c r="G238" s="13" t="n">
        <x:v>385</x:v>
      </x:c>
      <x:c r="H238" s="13" t="n">
        <x:v>8</x:v>
      </x:c>
      <x:c r="I238" s="13" t="n">
        <x:v>393</x:v>
      </x:c>
      <x:c r="J238" s="13" t="n">
        <x:v>-108</x:v>
      </x:c>
      <x:c r="K238" s="14" t="n">
        <x:f>IFERROR(F238/SUMIFS($F:$F,$B:$B,B238),0)</x:f>
        <x:v>0.05204654061915645</x:v>
      </x:c>
      <x:c r="L238" s="12" t="str">
        <x:v>18–21</x:v>
      </x:c>
    </x:row>
    <x:row r="239">
      <x:c r="A239" s="12" t="str">
        <x:v>8月平日</x:v>
      </x:c>
      <x:c r="B239" s="12" t="str">
        <x:v>2026-08-14</x:v>
      </x:c>
      <x:c r="C239" s="12" t="str">
        <x:v>20:00</x:v>
      </x:c>
      <x:c r="D239" s="13" t="n">
        <x:v>361</x:v>
      </x:c>
      <x:c r="E239" s="13" t="n">
        <x:v>19</x:v>
      </x:c>
      <x:c r="F239" s="13" t="n">
        <x:v>380</x:v>
      </x:c>
      <x:c r="G239" s="13" t="n">
        <x:v>311</x:v>
      </x:c>
      <x:c r="H239" s="13" t="n">
        <x:v>8</x:v>
      </x:c>
      <x:c r="I239" s="13" t="n">
        <x:v>319</x:v>
      </x:c>
      <x:c r="J239" s="13" t="n">
        <x:v>-61</x:v>
      </x:c>
      <x:c r="K239" s="14" t="n">
        <x:f>IFERROR(F239/SUMIFS($F:$F,$B:$B,B239),0)</x:f>
        <x:v>0.039476418034489924</x:v>
      </x:c>
      <x:c r="L239" s="12" t="str">
        <x:v>18–21</x:v>
      </x:c>
    </x:row>
    <x:row r="240">
      <x:c r="A240" s="12" t="str">
        <x:v>8月平日</x:v>
      </x:c>
      <x:c r="B240" s="12" t="str">
        <x:v>2026-08-14</x:v>
      </x:c>
      <x:c r="C240" s="12" t="str">
        <x:v>21:00</x:v>
      </x:c>
      <x:c r="D240" s="13" t="n">
        <x:v>311</x:v>
      </x:c>
      <x:c r="E240" s="13" t="n">
        <x:v>7</x:v>
      </x:c>
      <x:c r="F240" s="13" t="n">
        <x:v>318</x:v>
      </x:c>
      <x:c r="G240" s="13" t="n">
        <x:v>227</x:v>
      </x:c>
      <x:c r="H240" s="13" t="n">
        <x:v>2</x:v>
      </x:c>
      <x:c r="I240" s="13" t="n">
        <x:v>229</x:v>
      </x:c>
      <x:c r="J240" s="13" t="n">
        <x:v>-89</x:v>
      </x:c>
      <x:c r="K240" s="14" t="n">
        <x:f>IFERROR(F240/SUMIFS($F:$F,$B:$B,B240),0)</x:f>
        <x:v>0.03303552877623104</x:v>
      </x:c>
      <x:c r="L240" s="12" t="str">
        <x:v>18–21</x:v>
      </x:c>
    </x:row>
    <x:row r="241">
      <x:c r="A241" s="12" t="str">
        <x:v>8月平日</x:v>
      </x:c>
      <x:c r="B241" s="12" t="str">
        <x:v>2026-08-14</x:v>
      </x:c>
      <x:c r="C241" s="12" t="str">
        <x:v>22:00</x:v>
      </x:c>
      <x:c r="D241" s="13" t="n">
        <x:v>203</x:v>
      </x:c>
      <x:c r="E241" s="13" t="n">
        <x:v>6</x:v>
      </x:c>
      <x:c r="F241" s="13" t="n">
        <x:v>209</x:v>
      </x:c>
      <x:c r="G241" s="13" t="n">
        <x:v>203</x:v>
      </x:c>
      <x:c r="H241" s="13" t="n">
        <x:v>5</x:v>
      </x:c>
      <x:c r="I241" s="13" t="n">
        <x:v>208</x:v>
      </x:c>
      <x:c r="J241" s="13" t="n">
        <x:v>-1</x:v>
      </x:c>
      <x:c r="K241" s="14" t="n">
        <x:f>IFERROR(F241/SUMIFS($F:$F,$B:$B,B241),0)</x:f>
        <x:v>0.021712029918969457</x:v>
      </x:c>
      <x:c r="L241" s="12" t="str">
        <x:v>22–23</x:v>
      </x:c>
    </x:row>
    <x:row r="242">
      <x:c r="A242" s="12" t="str">
        <x:v>8月平日</x:v>
      </x:c>
      <x:c r="B242" s="12" t="str">
        <x:v>2026-08-14</x:v>
      </x:c>
      <x:c r="C242" s="12" t="str">
        <x:v>23:00</x:v>
      </x:c>
      <x:c r="D242" s="13" t="n">
        <x:v>146</x:v>
      </x:c>
      <x:c r="E242" s="13" t="n">
        <x:v>8</x:v>
      </x:c>
      <x:c r="F242" s="13" t="n">
        <x:v>154</x:v>
      </x:c>
      <x:c r="G242" s="13" t="n">
        <x:v>107</x:v>
      </x:c>
      <x:c r="H242" s="13" t="n">
        <x:v>2</x:v>
      </x:c>
      <x:c r="I242" s="13" t="n">
        <x:v>109</x:v>
      </x:c>
      <x:c r="J242" s="13" t="n">
        <x:v>-45</x:v>
      </x:c>
      <x:c r="K242" s="14" t="n">
        <x:f>IFERROR(F242/SUMIFS($F:$F,$B:$B,B242),0)</x:f>
        <x:v>0.015998337835030126</x:v>
      </x:c>
      <x:c r="L242" s="12" t="str">
        <x:v>22–23</x:v>
      </x:c>
    </x:row>
    <x:row r="243">
      <x:c r="A243" s="12" t="str">
        <x:v>8月平日</x:v>
      </x:c>
      <x:c r="B243" s="12" t="str">
        <x:v>2026-08-17</x:v>
      </x:c>
      <x:c r="C243" s="12" t="str">
        <x:v>00:00</x:v>
      </x:c>
      <x:c r="D243" s="13" t="n">
        <x:v>62</x:v>
      </x:c>
      <x:c r="E243" s="13" t="n">
        <x:v>2</x:v>
      </x:c>
      <x:c r="F243" s="13" t="n">
        <x:v>64</x:v>
      </x:c>
      <x:c r="G243" s="13" t="n">
        <x:v>55</x:v>
      </x:c>
      <x:c r="H243" s="13" t="n">
        <x:v>0</x:v>
      </x:c>
      <x:c r="I243" s="13" t="n">
        <x:v>55</x:v>
      </x:c>
      <x:c r="J243" s="13" t="n">
        <x:v>-9</x:v>
      </x:c>
      <x:c r="K243" s="14" t="n">
        <x:f>IFERROR(F243/SUMIFS($F:$F,$B:$B,B243),0)</x:f>
        <x:v>0.005644236705176824</x:v>
      </x:c>
      <x:c r="L243" s="12" t="str">
        <x:v>00–05</x:v>
      </x:c>
    </x:row>
    <x:row r="244">
      <x:c r="A244" s="12" t="str">
        <x:v>8月平日</x:v>
      </x:c>
      <x:c r="B244" s="12" t="str">
        <x:v>2026-08-17</x:v>
      </x:c>
      <x:c r="C244" s="12" t="str">
        <x:v>01:00</x:v>
      </x:c>
      <x:c r="D244" s="13" t="n">
        <x:v>20</x:v>
      </x:c>
      <x:c r="E244" s="13" t="n">
        <x:v>2</x:v>
      </x:c>
      <x:c r="F244" s="13" t="n">
        <x:v>22</x:v>
      </x:c>
      <x:c r="G244" s="13" t="n">
        <x:v>19</x:v>
      </x:c>
      <x:c r="H244" s="13" t="n">
        <x:v>3</x:v>
      </x:c>
      <x:c r="I244" s="13" t="n">
        <x:v>22</x:v>
      </x:c>
      <x:c r="J244" s="13" t="n">
        <x:v>0</x:v>
      </x:c>
      <x:c r="K244" s="14" t="n">
        <x:f>IFERROR(F244/SUMIFS($F:$F,$B:$B,B244),0)</x:f>
        <x:v>0.001940206367404533</x:v>
      </x:c>
      <x:c r="L244" s="12" t="str">
        <x:v>00–05</x:v>
      </x:c>
    </x:row>
    <x:row r="245">
      <x:c r="A245" s="12" t="str">
        <x:v>8月平日</x:v>
      </x:c>
      <x:c r="B245" s="12" t="str">
        <x:v>2026-08-17</x:v>
      </x:c>
      <x:c r="C245" s="12" t="str">
        <x:v>02:00</x:v>
      </x:c>
      <x:c r="D245" s="13" t="n">
        <x:v>23</x:v>
      </x:c>
      <x:c r="E245" s="13" t="n">
        <x:v>3</x:v>
      </x:c>
      <x:c r="F245" s="13" t="n">
        <x:v>26</x:v>
      </x:c>
      <x:c r="G245" s="13" t="n">
        <x:v>14</x:v>
      </x:c>
      <x:c r="H245" s="13" t="n">
        <x:v>0</x:v>
      </x:c>
      <x:c r="I245" s="13" t="n">
        <x:v>14</x:v>
      </x:c>
      <x:c r="J245" s="13" t="n">
        <x:v>-12</x:v>
      </x:c>
      <x:c r="K245" s="14" t="n">
        <x:f>IFERROR(F245/SUMIFS($F:$F,$B:$B,B245),0)</x:f>
        <x:v>0.0022929711614780844</x:v>
      </x:c>
      <x:c r="L245" s="12" t="str">
        <x:v>00–05</x:v>
      </x:c>
    </x:row>
    <x:row r="246">
      <x:c r="A246" s="12" t="str">
        <x:v>8月平日</x:v>
      </x:c>
      <x:c r="B246" s="12" t="str">
        <x:v>2026-08-17</x:v>
      </x:c>
      <x:c r="C246" s="12" t="str">
        <x:v>03:00</x:v>
      </x:c>
      <x:c r="D246" s="13" t="n">
        <x:v>16</x:v>
      </x:c>
      <x:c r="E246" s="13" t="n">
        <x:v>0</x:v>
      </x:c>
      <x:c r="F246" s="13" t="n">
        <x:v>16</x:v>
      </x:c>
      <x:c r="G246" s="13" t="n">
        <x:v>10</x:v>
      </x:c>
      <x:c r="H246" s="13" t="n">
        <x:v>1</x:v>
      </x:c>
      <x:c r="I246" s="13" t="n">
        <x:v>11</x:v>
      </x:c>
      <x:c r="J246" s="13" t="n">
        <x:v>-5</x:v>
      </x:c>
      <x:c r="K246" s="14" t="n">
        <x:f>IFERROR(F246/SUMIFS($F:$F,$B:$B,B246),0)</x:f>
        <x:v>0.001411059176294206</x:v>
      </x:c>
      <x:c r="L246" s="12" t="str">
        <x:v>00–05</x:v>
      </x:c>
    </x:row>
    <x:row r="247">
      <x:c r="A247" s="12" t="str">
        <x:v>8月平日</x:v>
      </x:c>
      <x:c r="B247" s="12" t="str">
        <x:v>2026-08-17</x:v>
      </x:c>
      <x:c r="C247" s="12" t="str">
        <x:v>04:00</x:v>
      </x:c>
      <x:c r="D247" s="13" t="n">
        <x:v>18</x:v>
      </x:c>
      <x:c r="E247" s="13" t="n">
        <x:v>1</x:v>
      </x:c>
      <x:c r="F247" s="13" t="n">
        <x:v>19</x:v>
      </x:c>
      <x:c r="G247" s="13" t="n">
        <x:v>16</x:v>
      </x:c>
      <x:c r="H247" s="13" t="n">
        <x:v>0</x:v>
      </x:c>
      <x:c r="I247" s="13" t="n">
        <x:v>16</x:v>
      </x:c>
      <x:c r="J247" s="13" t="n">
        <x:v>-3</x:v>
      </x:c>
      <x:c r="K247" s="14" t="n">
        <x:f>IFERROR(F247/SUMIFS($F:$F,$B:$B,B247),0)</x:f>
        <x:v>0.0016756327718493694</x:v>
      </x:c>
      <x:c r="L247" s="12" t="str">
        <x:v>00–05</x:v>
      </x:c>
    </x:row>
    <x:row r="248">
      <x:c r="A248" s="12" t="str">
        <x:v>8月平日</x:v>
      </x:c>
      <x:c r="B248" s="12" t="str">
        <x:v>2026-08-17</x:v>
      </x:c>
      <x:c r="C248" s="12" t="str">
        <x:v>05:00</x:v>
      </x:c>
      <x:c r="D248" s="13" t="n">
        <x:v>50</x:v>
      </x:c>
      <x:c r="E248" s="13" t="n">
        <x:v>0</x:v>
      </x:c>
      <x:c r="F248" s="13" t="n">
        <x:v>50</x:v>
      </x:c>
      <x:c r="G248" s="13" t="n">
        <x:v>46</x:v>
      </x:c>
      <x:c r="H248" s="13" t="n">
        <x:v>8</x:v>
      </x:c>
      <x:c r="I248" s="13" t="n">
        <x:v>54</x:v>
      </x:c>
      <x:c r="J248" s="13" t="n">
        <x:v>4</x:v>
      </x:c>
      <x:c r="K248" s="14" t="n">
        <x:f>IFERROR(F248/SUMIFS($F:$F,$B:$B,B248),0)</x:f>
        <x:v>0.004409559925919394</x:v>
      </x:c>
      <x:c r="L248" s="12" t="str">
        <x:v>00–05</x:v>
      </x:c>
    </x:row>
    <x:row r="249">
      <x:c r="A249" s="12" t="str">
        <x:v>8月平日</x:v>
      </x:c>
      <x:c r="B249" s="12" t="str">
        <x:v>2026-08-17</x:v>
      </x:c>
      <x:c r="C249" s="12" t="str">
        <x:v>06:00</x:v>
      </x:c>
      <x:c r="D249" s="13" t="n">
        <x:v>105</x:v>
      </x:c>
      <x:c r="E249" s="13" t="n">
        <x:v>3</x:v>
      </x:c>
      <x:c r="F249" s="13" t="n">
        <x:v>108</x:v>
      </x:c>
      <x:c r="G249" s="13" t="n">
        <x:v>130</x:v>
      </x:c>
      <x:c r="H249" s="13" t="n">
        <x:v>14</x:v>
      </x:c>
      <x:c r="I249" s="13" t="n">
        <x:v>144</x:v>
      </x:c>
      <x:c r="J249" s="13" t="n">
        <x:v>36</x:v>
      </x:c>
      <x:c r="K249" s="14" t="n">
        <x:f>IFERROR(F249/SUMIFS($F:$F,$B:$B,B249),0)</x:f>
        <x:v>0.00952464943998589</x:v>
      </x:c>
      <x:c r="L249" s="12" t="str">
        <x:v>06–09</x:v>
      </x:c>
    </x:row>
    <x:row r="250">
      <x:c r="A250" s="12" t="str">
        <x:v>8月平日</x:v>
      </x:c>
      <x:c r="B250" s="12" t="str">
        <x:v>2026-08-17</x:v>
      </x:c>
      <x:c r="C250" s="12" t="str">
        <x:v>07:00</x:v>
      </x:c>
      <x:c r="D250" s="13" t="n">
        <x:v>334</x:v>
      </x:c>
      <x:c r="E250" s="13" t="n">
        <x:v>12</x:v>
      </x:c>
      <x:c r="F250" s="13" t="n">
        <x:v>346</x:v>
      </x:c>
      <x:c r="G250" s="13" t="n">
        <x:v>426</x:v>
      </x:c>
      <x:c r="H250" s="13" t="n">
        <x:v>20</x:v>
      </x:c>
      <x:c r="I250" s="13" t="n">
        <x:v>446</x:v>
      </x:c>
      <x:c r="J250" s="13" t="n">
        <x:v>100</x:v>
      </x:c>
      <x:c r="K250" s="14" t="n">
        <x:f>IFERROR(F250/SUMIFS($F:$F,$B:$B,B250),0)</x:f>
        <x:v>0.0305141546873622</x:v>
      </x:c>
      <x:c r="L250" s="12" t="str">
        <x:v>06–09</x:v>
      </x:c>
    </x:row>
    <x:row r="251">
      <x:c r="A251" s="12" t="str">
        <x:v>8月平日</x:v>
      </x:c>
      <x:c r="B251" s="12" t="str">
        <x:v>2026-08-17</x:v>
      </x:c>
      <x:c r="C251" s="12" t="str">
        <x:v>08:00</x:v>
      </x:c>
      <x:c r="D251" s="13" t="n">
        <x:v>618</x:v>
      </x:c>
      <x:c r="E251" s="13" t="n">
        <x:v>27</x:v>
      </x:c>
      <x:c r="F251" s="13" t="n">
        <x:v>645</x:v>
      </x:c>
      <x:c r="G251" s="13" t="n">
        <x:v>847</x:v>
      </x:c>
      <x:c r="H251" s="13" t="n">
        <x:v>38</x:v>
      </x:c>
      <x:c r="I251" s="13" t="n">
        <x:v>885</x:v>
      </x:c>
      <x:c r="J251" s="13" t="n">
        <x:v>240</x:v>
      </x:c>
      <x:c r="K251" s="14" t="n">
        <x:f>IFERROR(F251/SUMIFS($F:$F,$B:$B,B251),0)</x:f>
        <x:v>0.056883323044360175</x:v>
      </x:c>
      <x:c r="L251" s="12" t="str">
        <x:v>06–09</x:v>
      </x:c>
    </x:row>
    <x:row r="252">
      <x:c r="A252" s="12" t="str">
        <x:v>8月平日</x:v>
      </x:c>
      <x:c r="B252" s="12" t="str">
        <x:v>2026-08-17</x:v>
      </x:c>
      <x:c r="C252" s="12" t="str">
        <x:v>09:00</x:v>
      </x:c>
      <x:c r="D252" s="13" t="n">
        <x:v>503</x:v>
      </x:c>
      <x:c r="E252" s="13" t="n">
        <x:v>29</x:v>
      </x:c>
      <x:c r="F252" s="13" t="n">
        <x:v>532</x:v>
      </x:c>
      <x:c r="G252" s="13" t="n">
        <x:v>809</x:v>
      </x:c>
      <x:c r="H252" s="13" t="n">
        <x:v>48</x:v>
      </x:c>
      <x:c r="I252" s="13" t="n">
        <x:v>857</x:v>
      </x:c>
      <x:c r="J252" s="13" t="n">
        <x:v>325</x:v>
      </x:c>
      <x:c r="K252" s="14" t="n">
        <x:f>IFERROR(F252/SUMIFS($F:$F,$B:$B,B252),0)</x:f>
        <x:v>0.046917717611782345</x:v>
      </x:c>
      <x:c r="L252" s="12" t="str">
        <x:v>06–09</x:v>
      </x:c>
    </x:row>
    <x:row r="253">
      <x:c r="A253" s="12" t="str">
        <x:v>8月平日</x:v>
      </x:c>
      <x:c r="B253" s="12" t="str">
        <x:v>2026-08-17</x:v>
      </x:c>
      <x:c r="C253" s="12" t="str">
        <x:v>10:00</x:v>
      </x:c>
      <x:c r="D253" s="13" t="n">
        <x:v>560</x:v>
      </x:c>
      <x:c r="E253" s="13" t="n">
        <x:v>22</x:v>
      </x:c>
      <x:c r="F253" s="13" t="n">
        <x:v>582</x:v>
      </x:c>
      <x:c r="G253" s="13" t="n">
        <x:v>700</x:v>
      </x:c>
      <x:c r="H253" s="13" t="n">
        <x:v>34</x:v>
      </x:c>
      <x:c r="I253" s="13" t="n">
        <x:v>734</x:v>
      </x:c>
      <x:c r="J253" s="13" t="n">
        <x:v>152</x:v>
      </x:c>
      <x:c r="K253" s="14" t="n">
        <x:f>IFERROR(F253/SUMIFS($F:$F,$B:$B,B253),0)</x:f>
        <x:v>0.051327277537701735</x:v>
      </x:c>
      <x:c r="L253" s="12" t="str">
        <x:v>10–13</x:v>
      </x:c>
    </x:row>
    <x:row r="254">
      <x:c r="A254" s="12" t="str">
        <x:v>8月平日</x:v>
      </x:c>
      <x:c r="B254" s="12" t="str">
        <x:v>2026-08-17</x:v>
      </x:c>
      <x:c r="C254" s="12" t="str">
        <x:v>11:00</x:v>
      </x:c>
      <x:c r="D254" s="13" t="n">
        <x:v>732</x:v>
      </x:c>
      <x:c r="E254" s="13" t="n">
        <x:v>32</x:v>
      </x:c>
      <x:c r="F254" s="13" t="n">
        <x:v>764</x:v>
      </x:c>
      <x:c r="G254" s="13" t="n">
        <x:v>738</x:v>
      </x:c>
      <x:c r="H254" s="13" t="n">
        <x:v>33</x:v>
      </x:c>
      <x:c r="I254" s="13" t="n">
        <x:v>771</x:v>
      </x:c>
      <x:c r="J254" s="13" t="n">
        <x:v>7</x:v>
      </x:c>
      <x:c r="K254" s="14" t="n">
        <x:f>IFERROR(F254/SUMIFS($F:$F,$B:$B,B254),0)</x:f>
        <x:v>0.06737807566804833</x:v>
      </x:c>
      <x:c r="L254" s="12" t="str">
        <x:v>10–13</x:v>
      </x:c>
    </x:row>
    <x:row r="255">
      <x:c r="A255" s="12" t="str">
        <x:v>8月平日</x:v>
      </x:c>
      <x:c r="B255" s="12" t="str">
        <x:v>2026-08-17</x:v>
      </x:c>
      <x:c r="C255" s="12" t="str">
        <x:v>12:00</x:v>
      </x:c>
      <x:c r="D255" s="13" t="n">
        <x:v>932</x:v>
      </x:c>
      <x:c r="E255" s="13" t="n">
        <x:v>26</x:v>
      </x:c>
      <x:c r="F255" s="13" t="n">
        <x:v>958</x:v>
      </x:c>
      <x:c r="G255" s="13" t="n">
        <x:v>917</x:v>
      </x:c>
      <x:c r="H255" s="13" t="n">
        <x:v>24</x:v>
      </x:c>
      <x:c r="I255" s="13" t="n">
        <x:v>941</x:v>
      </x:c>
      <x:c r="J255" s="13" t="n">
        <x:v>-17</x:v>
      </x:c>
      <x:c r="K255" s="14" t="n">
        <x:f>IFERROR(F255/SUMIFS($F:$F,$B:$B,B255),0)</x:f>
        <x:v>0.08448716818061558</x:v>
      </x:c>
      <x:c r="L255" s="12" t="str">
        <x:v>10–13</x:v>
      </x:c>
    </x:row>
    <x:row r="256">
      <x:c r="A256" s="12" t="str">
        <x:v>8月平日</x:v>
      </x:c>
      <x:c r="B256" s="12" t="str">
        <x:v>2026-08-17</x:v>
      </x:c>
      <x:c r="C256" s="12" t="str">
        <x:v>13:00</x:v>
      </x:c>
      <x:c r="D256" s="13" t="n">
        <x:v>741</x:v>
      </x:c>
      <x:c r="E256" s="13" t="n">
        <x:v>22</x:v>
      </x:c>
      <x:c r="F256" s="13" t="n">
        <x:v>763</x:v>
      </x:c>
      <x:c r="G256" s="13" t="n">
        <x:v>856</x:v>
      </x:c>
      <x:c r="H256" s="13" t="n">
        <x:v>29</x:v>
      </x:c>
      <x:c r="I256" s="13" t="n">
        <x:v>885</x:v>
      </x:c>
      <x:c r="J256" s="13" t="n">
        <x:v>122</x:v>
      </x:c>
      <x:c r="K256" s="14" t="n">
        <x:f>IFERROR(F256/SUMIFS($F:$F,$B:$B,B256),0)</x:f>
        <x:v>0.06728988446952994</x:v>
      </x:c>
      <x:c r="L256" s="12" t="str">
        <x:v>10–13</x:v>
      </x:c>
    </x:row>
    <x:row r="257">
      <x:c r="A257" s="12" t="str">
        <x:v>8月平日</x:v>
      </x:c>
      <x:c r="B257" s="12" t="str">
        <x:v>2026-08-17</x:v>
      </x:c>
      <x:c r="C257" s="12" t="str">
        <x:v>14:00</x:v>
      </x:c>
      <x:c r="D257" s="13" t="n">
        <x:v>682</x:v>
      </x:c>
      <x:c r="E257" s="13" t="n">
        <x:v>22</x:v>
      </x:c>
      <x:c r="F257" s="13" t="n">
        <x:v>704</x:v>
      </x:c>
      <x:c r="G257" s="13" t="n">
        <x:v>740</x:v>
      </x:c>
      <x:c r="H257" s="13" t="n">
        <x:v>15</x:v>
      </x:c>
      <x:c r="I257" s="13" t="n">
        <x:v>755</x:v>
      </x:c>
      <x:c r="J257" s="13" t="n">
        <x:v>51</x:v>
      </x:c>
      <x:c r="K257" s="14" t="n">
        <x:f>IFERROR(F257/SUMIFS($F:$F,$B:$B,B257),0)</x:f>
        <x:v>0.06208660375694506</x:v>
      </x:c>
      <x:c r="L257" s="12" t="str">
        <x:v>14–17</x:v>
      </x:c>
    </x:row>
    <x:row r="258">
      <x:c r="A258" s="12" t="str">
        <x:v>8月平日</x:v>
      </x:c>
      <x:c r="B258" s="12" t="str">
        <x:v>2026-08-17</x:v>
      </x:c>
      <x:c r="C258" s="12" t="str">
        <x:v>15:00</x:v>
      </x:c>
      <x:c r="D258" s="13" t="n">
        <x:v>679</x:v>
      </x:c>
      <x:c r="E258" s="13" t="n">
        <x:v>28</x:v>
      </x:c>
      <x:c r="F258" s="13" t="n">
        <x:v>707</x:v>
      </x:c>
      <x:c r="G258" s="13" t="n">
        <x:v>668</x:v>
      </x:c>
      <x:c r="H258" s="13" t="n">
        <x:v>21</x:v>
      </x:c>
      <x:c r="I258" s="13" t="n">
        <x:v>689</x:v>
      </x:c>
      <x:c r="J258" s="13" t="n">
        <x:v>-18</x:v>
      </x:c>
      <x:c r="K258" s="14" t="n">
        <x:f>IFERROR(F258/SUMIFS($F:$F,$B:$B,B258),0)</x:f>
        <x:v>0.06235117735250022</x:v>
      </x:c>
      <x:c r="L258" s="12" t="str">
        <x:v>14–17</x:v>
      </x:c>
    </x:row>
    <x:row r="259">
      <x:c r="A259" s="12" t="str">
        <x:v>8月平日</x:v>
      </x:c>
      <x:c r="B259" s="12" t="str">
        <x:v>2026-08-17</x:v>
      </x:c>
      <x:c r="C259" s="12" t="str">
        <x:v>16:00</x:v>
      </x:c>
      <x:c r="D259" s="13" t="n">
        <x:v>940</x:v>
      </x:c>
      <x:c r="E259" s="13" t="n">
        <x:v>36</x:v>
      </x:c>
      <x:c r="F259" s="13" t="n">
        <x:v>976</x:v>
      </x:c>
      <x:c r="G259" s="13" t="n">
        <x:v>760</x:v>
      </x:c>
      <x:c r="H259" s="13" t="n">
        <x:v>25</x:v>
      </x:c>
      <x:c r="I259" s="13" t="n">
        <x:v>785</x:v>
      </x:c>
      <x:c r="J259" s="13" t="n">
        <x:v>-191</x:v>
      </x:c>
      <x:c r="K259" s="14" t="n">
        <x:f>IFERROR(F259/SUMIFS($F:$F,$B:$B,B259),0)</x:f>
        <x:v>0.08607460975394655</x:v>
      </x:c>
      <x:c r="L259" s="12" t="str">
        <x:v>14–17</x:v>
      </x:c>
    </x:row>
    <x:row r="260">
      <x:c r="A260" s="12" t="str">
        <x:v>8月平日</x:v>
      </x:c>
      <x:c r="B260" s="12" t="str">
        <x:v>2026-08-17</x:v>
      </x:c>
      <x:c r="C260" s="12" t="str">
        <x:v>17:00</x:v>
      </x:c>
      <x:c r="D260" s="13" t="n">
        <x:v>1403</x:v>
      </x:c>
      <x:c r="E260" s="13" t="n">
        <x:v>62</x:v>
      </x:c>
      <x:c r="F260" s="13" t="n">
        <x:v>1465</x:v>
      </x:c>
      <x:c r="G260" s="13" t="n">
        <x:v>820</x:v>
      </x:c>
      <x:c r="H260" s="13" t="n">
        <x:v>29</x:v>
      </x:c>
      <x:c r="I260" s="13" t="n">
        <x:v>849</x:v>
      </x:c>
      <x:c r="J260" s="13" t="n">
        <x:v>-616</x:v>
      </x:c>
      <x:c r="K260" s="14" t="n">
        <x:f>IFERROR(F260/SUMIFS($F:$F,$B:$B,B260),0)</x:f>
        <x:v>0.12920010582943822</x:v>
      </x:c>
      <x:c r="L260" s="12" t="str">
        <x:v>14–17</x:v>
      </x:c>
    </x:row>
    <x:row r="261">
      <x:c r="A261" s="12" t="str">
        <x:v>8月平日</x:v>
      </x:c>
      <x:c r="B261" s="12" t="str">
        <x:v>2026-08-17</x:v>
      </x:c>
      <x:c r="C261" s="12" t="str">
        <x:v>18:00</x:v>
      </x:c>
      <x:c r="D261" s="13" t="n">
        <x:v>954</x:v>
      </x:c>
      <x:c r="E261" s="13" t="n">
        <x:v>45</x:v>
      </x:c>
      <x:c r="F261" s="13" t="n">
        <x:v>999</x:v>
      </x:c>
      <x:c r="G261" s="13" t="n">
        <x:v>643</x:v>
      </x:c>
      <x:c r="H261" s="13" t="n">
        <x:v>30</x:v>
      </x:c>
      <x:c r="I261" s="13" t="n">
        <x:v>673</x:v>
      </x:c>
      <x:c r="J261" s="13" t="n">
        <x:v>-326</x:v>
      </x:c>
      <x:c r="K261" s="14" t="n">
        <x:f>IFERROR(F261/SUMIFS($F:$F,$B:$B,B261),0)</x:f>
        <x:v>0.08810300731986948</x:v>
      </x:c>
      <x:c r="L261" s="12" t="str">
        <x:v>18–21</x:v>
      </x:c>
    </x:row>
    <x:row r="262">
      <x:c r="A262" s="12" t="str">
        <x:v>8月平日</x:v>
      </x:c>
      <x:c r="B262" s="12" t="str">
        <x:v>2026-08-17</x:v>
      </x:c>
      <x:c r="C262" s="12" t="str">
        <x:v>19:00</x:v>
      </x:c>
      <x:c r="D262" s="13" t="n">
        <x:v>522</x:v>
      </x:c>
      <x:c r="E262" s="13" t="n">
        <x:v>19</x:v>
      </x:c>
      <x:c r="F262" s="13" t="n">
        <x:v>541</x:v>
      </x:c>
      <x:c r="G262" s="13" t="n">
        <x:v>445</x:v>
      </x:c>
      <x:c r="H262" s="13" t="n">
        <x:v>10</x:v>
      </x:c>
      <x:c r="I262" s="13" t="n">
        <x:v>455</x:v>
      </x:c>
      <x:c r="J262" s="13" t="n">
        <x:v>-86</x:v>
      </x:c>
      <x:c r="K262" s="14" t="n">
        <x:f>IFERROR(F262/SUMIFS($F:$F,$B:$B,B262),0)</x:f>
        <x:v>0.04771143839844783</x:v>
      </x:c>
      <x:c r="L262" s="12" t="str">
        <x:v>18–21</x:v>
      </x:c>
    </x:row>
    <x:row r="263">
      <x:c r="A263" s="12" t="str">
        <x:v>8月平日</x:v>
      </x:c>
      <x:c r="B263" s="12" t="str">
        <x:v>2026-08-17</x:v>
      </x:c>
      <x:c r="C263" s="12" t="str">
        <x:v>20:00</x:v>
      </x:c>
      <x:c r="D263" s="13" t="n">
        <x:v>386</x:v>
      </x:c>
      <x:c r="E263" s="13" t="n">
        <x:v>22</x:v>
      </x:c>
      <x:c r="F263" s="13" t="n">
        <x:v>408</x:v>
      </x:c>
      <x:c r="G263" s="13" t="n">
        <x:v>304</x:v>
      </x:c>
      <x:c r="H263" s="13" t="n">
        <x:v>15</x:v>
      </x:c>
      <x:c r="I263" s="13" t="n">
        <x:v>319</x:v>
      </x:c>
      <x:c r="J263" s="13" t="n">
        <x:v>-89</x:v>
      </x:c>
      <x:c r="K263" s="14" t="n">
        <x:f>IFERROR(F263/SUMIFS($F:$F,$B:$B,B263),0)</x:f>
        <x:v>0.035982008995502246</x:v>
      </x:c>
      <x:c r="L263" s="12" t="str">
        <x:v>18–21</x:v>
      </x:c>
    </x:row>
    <x:row r="264">
      <x:c r="A264" s="12" t="str">
        <x:v>8月平日</x:v>
      </x:c>
      <x:c r="B264" s="12" t="str">
        <x:v>2026-08-17</x:v>
      </x:c>
      <x:c r="C264" s="12" t="str">
        <x:v>21:00</x:v>
      </x:c>
      <x:c r="D264" s="13" t="n">
        <x:v>286</x:v>
      </x:c>
      <x:c r="E264" s="13" t="n">
        <x:v>17</x:v>
      </x:c>
      <x:c r="F264" s="13" t="n">
        <x:v>303</x:v>
      </x:c>
      <x:c r="G264" s="13" t="n">
        <x:v>215</x:v>
      </x:c>
      <x:c r="H264" s="13" t="n">
        <x:v>8</x:v>
      </x:c>
      <x:c r="I264" s="13" t="n">
        <x:v>223</x:v>
      </x:c>
      <x:c r="J264" s="13" t="n">
        <x:v>-80</x:v>
      </x:c>
      <x:c r="K264" s="14" t="n">
        <x:f>IFERROR(F264/SUMIFS($F:$F,$B:$B,B264),0)</x:f>
        <x:v>0.026721933151071523</x:v>
      </x:c>
      <x:c r="L264" s="12" t="str">
        <x:v>18–21</x:v>
      </x:c>
    </x:row>
    <x:row r="265">
      <x:c r="A265" s="12" t="str">
        <x:v>8月平日</x:v>
      </x:c>
      <x:c r="B265" s="12" t="str">
        <x:v>2026-08-17</x:v>
      </x:c>
      <x:c r="C265" s="12" t="str">
        <x:v>22:00</x:v>
      </x:c>
      <x:c r="D265" s="13" t="n">
        <x:v>184</x:v>
      </x:c>
      <x:c r="E265" s="13" t="n">
        <x:v>9</x:v>
      </x:c>
      <x:c r="F265" s="13" t="n">
        <x:v>193</x:v>
      </x:c>
      <x:c r="G265" s="13" t="n">
        <x:v>177</x:v>
      </x:c>
      <x:c r="H265" s="13" t="n">
        <x:v>4</x:v>
      </x:c>
      <x:c r="I265" s="13" t="n">
        <x:v>181</x:v>
      </x:c>
      <x:c r="J265" s="13" t="n">
        <x:v>-12</x:v>
      </x:c>
      <x:c r="K265" s="14" t="n">
        <x:f>IFERROR(F265/SUMIFS($F:$F,$B:$B,B265),0)</x:f>
        <x:v>0.017020901314048858</x:v>
      </x:c>
      <x:c r="L265" s="12" t="str">
        <x:v>22–23</x:v>
      </x:c>
    </x:row>
    <x:row r="266">
      <x:c r="A266" s="12" t="str">
        <x:v>8月平日</x:v>
      </x:c>
      <x:c r="B266" s="12" t="str">
        <x:v>2026-08-17</x:v>
      </x:c>
      <x:c r="C266" s="12" t="str">
        <x:v>23:00</x:v>
      </x:c>
      <x:c r="D266" s="13" t="n">
        <x:v>144</x:v>
      </x:c>
      <x:c r="E266" s="13" t="n">
        <x:v>4</x:v>
      </x:c>
      <x:c r="F266" s="13" t="n">
        <x:v>148</x:v>
      </x:c>
      <x:c r="G266" s="13" t="n">
        <x:v>95</x:v>
      </x:c>
      <x:c r="H266" s="13" t="n">
        <x:v>1</x:v>
      </x:c>
      <x:c r="I266" s="13" t="n">
        <x:v>96</x:v>
      </x:c>
      <x:c r="J266" s="13" t="n">
        <x:v>-52</x:v>
      </x:c>
      <x:c r="K266" s="14" t="n">
        <x:f>IFERROR(F266/SUMIFS($F:$F,$B:$B,B266),0)</x:f>
        <x:v>0.013052297380721403</x:v>
      </x:c>
      <x:c r="L266" s="12" t="str">
        <x:v>22–23</x:v>
      </x:c>
    </x:row>
    <x:row r="267">
      <x:c r="A267" s="12" t="str">
        <x:v>8月平日</x:v>
      </x:c>
      <x:c r="B267" s="12" t="str">
        <x:v>2026-08-18</x:v>
      </x:c>
      <x:c r="C267" s="12" t="str">
        <x:v>00:00</x:v>
      </x:c>
      <x:c r="D267" s="13" t="n">
        <x:v>83</x:v>
      </x:c>
      <x:c r="E267" s="13" t="n">
        <x:v>3</x:v>
      </x:c>
      <x:c r="F267" s="13" t="n">
        <x:v>86</x:v>
      </x:c>
      <x:c r="G267" s="13" t="n">
        <x:v>55</x:v>
      </x:c>
      <x:c r="H267" s="13" t="n">
        <x:v>1</x:v>
      </x:c>
      <x:c r="I267" s="13" t="n">
        <x:v>56</x:v>
      </x:c>
      <x:c r="J267" s="13" t="n">
        <x:v>-30</x:v>
      </x:c>
      <x:c r="K267" s="14" t="n">
        <x:f>IFERROR(F267/SUMIFS($F:$F,$B:$B,B267),0)</x:f>
        <x:v>0.00784599945260469</x:v>
      </x:c>
      <x:c r="L267" s="12" t="str">
        <x:v>00–05</x:v>
      </x:c>
    </x:row>
    <x:row r="268">
      <x:c r="A268" s="12" t="str">
        <x:v>8月平日</x:v>
      </x:c>
      <x:c r="B268" s="12" t="str">
        <x:v>2026-08-18</x:v>
      </x:c>
      <x:c r="C268" s="12" t="str">
        <x:v>01:00</x:v>
      </x:c>
      <x:c r="D268" s="13" t="n">
        <x:v>32</x:v>
      </x:c>
      <x:c r="E268" s="13" t="n">
        <x:v>0</x:v>
      </x:c>
      <x:c r="F268" s="13" t="n">
        <x:v>32</x:v>
      </x:c>
      <x:c r="G268" s="13" t="n">
        <x:v>27</x:v>
      </x:c>
      <x:c r="H268" s="13" t="n">
        <x:v>1</x:v>
      </x:c>
      <x:c r="I268" s="13" t="n">
        <x:v>28</x:v>
      </x:c>
      <x:c r="J268" s="13" t="n">
        <x:v>-4</x:v>
      </x:c>
      <x:c r="K268" s="14" t="n">
        <x:f>IFERROR(F268/SUMIFS($F:$F,$B:$B,B268),0)</x:f>
        <x:v>0.00291944165678314</x:v>
      </x:c>
      <x:c r="L268" s="12" t="str">
        <x:v>00–05</x:v>
      </x:c>
    </x:row>
    <x:row r="269">
      <x:c r="A269" s="12" t="str">
        <x:v>8月平日</x:v>
      </x:c>
      <x:c r="B269" s="12" t="str">
        <x:v>2026-08-18</x:v>
      </x:c>
      <x:c r="C269" s="12" t="str">
        <x:v>02:00</x:v>
      </x:c>
      <x:c r="D269" s="13" t="n">
        <x:v>11</x:v>
      </x:c>
      <x:c r="E269" s="13" t="n">
        <x:v>2</x:v>
      </x:c>
      <x:c r="F269" s="13" t="n">
        <x:v>13</x:v>
      </x:c>
      <x:c r="G269" s="13" t="n">
        <x:v>9</x:v>
      </x:c>
      <x:c r="H269" s="13" t="n">
        <x:v>0</x:v>
      </x:c>
      <x:c r="I269" s="13" t="n">
        <x:v>9</x:v>
      </x:c>
      <x:c r="J269" s="13" t="n">
        <x:v>-4</x:v>
      </x:c>
      <x:c r="K269" s="14" t="n">
        <x:f>IFERROR(F269/SUMIFS($F:$F,$B:$B,B269),0)</x:f>
        <x:v>0.0011860231730681508</x:v>
      </x:c>
      <x:c r="L269" s="12" t="str">
        <x:v>00–05</x:v>
      </x:c>
    </x:row>
    <x:row r="270">
      <x:c r="A270" s="12" t="str">
        <x:v>8月平日</x:v>
      </x:c>
      <x:c r="B270" s="12" t="str">
        <x:v>2026-08-18</x:v>
      </x:c>
      <x:c r="C270" s="12" t="str">
        <x:v>03:00</x:v>
      </x:c>
      <x:c r="D270" s="13" t="n">
        <x:v>11</x:v>
      </x:c>
      <x:c r="E270" s="13" t="n">
        <x:v>1</x:v>
      </x:c>
      <x:c r="F270" s="13" t="n">
        <x:v>12</x:v>
      </x:c>
      <x:c r="G270" s="13" t="n">
        <x:v>11</x:v>
      </x:c>
      <x:c r="H270" s="13" t="n">
        <x:v>0</x:v>
      </x:c>
      <x:c r="I270" s="13" t="n">
        <x:v>11</x:v>
      </x:c>
      <x:c r="J270" s="13" t="n">
        <x:v>-1</x:v>
      </x:c>
      <x:c r="K270" s="14" t="n">
        <x:f>IFERROR(F270/SUMIFS($F:$F,$B:$B,B270),0)</x:f>
        <x:v>0.0010947906212936775</x:v>
      </x:c>
      <x:c r="L270" s="12" t="str">
        <x:v>00–05</x:v>
      </x:c>
    </x:row>
    <x:row r="271">
      <x:c r="A271" s="12" t="str">
        <x:v>8月平日</x:v>
      </x:c>
      <x:c r="B271" s="12" t="str">
        <x:v>2026-08-18</x:v>
      </x:c>
      <x:c r="C271" s="12" t="str">
        <x:v>04:00</x:v>
      </x:c>
      <x:c r="D271" s="13" t="n">
        <x:v>4</x:v>
      </x:c>
      <x:c r="E271" s="13" t="n">
        <x:v>0</x:v>
      </x:c>
      <x:c r="F271" s="13" t="n">
        <x:v>4</x:v>
      </x:c>
      <x:c r="G271" s="13" t="n">
        <x:v>4</x:v>
      </x:c>
      <x:c r="H271" s="13" t="n">
        <x:v>1</x:v>
      </x:c>
      <x:c r="I271" s="13" t="n">
        <x:v>5</x:v>
      </x:c>
      <x:c r="J271" s="13" t="n">
        <x:v>1</x:v>
      </x:c>
      <x:c r="K271" s="14" t="n">
        <x:f>IFERROR(F271/SUMIFS($F:$F,$B:$B,B271),0)</x:f>
        <x:v>0.0003649302070978925</x:v>
      </x:c>
      <x:c r="L271" s="12" t="str">
        <x:v>00–05</x:v>
      </x:c>
    </x:row>
    <x:row r="272">
      <x:c r="A272" s="12" t="str">
        <x:v>8月平日</x:v>
      </x:c>
      <x:c r="B272" s="12" t="str">
        <x:v>2026-08-18</x:v>
      </x:c>
      <x:c r="C272" s="12" t="str">
        <x:v>05:00</x:v>
      </x:c>
      <x:c r="D272" s="13" t="n">
        <x:v>9</x:v>
      </x:c>
      <x:c r="E272" s="13" t="n">
        <x:v>1</x:v>
      </x:c>
      <x:c r="F272" s="13" t="n">
        <x:v>10</x:v>
      </x:c>
      <x:c r="G272" s="13" t="n">
        <x:v>8</x:v>
      </x:c>
      <x:c r="H272" s="13" t="n">
        <x:v>3</x:v>
      </x:c>
      <x:c r="I272" s="13" t="n">
        <x:v>11</x:v>
      </x:c>
      <x:c r="J272" s="13" t="n">
        <x:v>1</x:v>
      </x:c>
      <x:c r="K272" s="14" t="n">
        <x:f>IFERROR(F272/SUMIFS($F:$F,$B:$B,B272),0)</x:f>
        <x:v>0.0009123255177447313</x:v>
      </x:c>
      <x:c r="L272" s="12" t="str">
        <x:v>00–05</x:v>
      </x:c>
    </x:row>
    <x:row r="273">
      <x:c r="A273" s="12" t="str">
        <x:v>8月平日</x:v>
      </x:c>
      <x:c r="B273" s="12" t="str">
        <x:v>2026-08-18</x:v>
      </x:c>
      <x:c r="C273" s="12" t="str">
        <x:v>06:00</x:v>
      </x:c>
      <x:c r="D273" s="13" t="n">
        <x:v>46</x:v>
      </x:c>
      <x:c r="E273" s="13" t="n">
        <x:v>2</x:v>
      </x:c>
      <x:c r="F273" s="13" t="n">
        <x:v>48</x:v>
      </x:c>
      <x:c r="G273" s="13" t="n">
        <x:v>44</x:v>
      </x:c>
      <x:c r="H273" s="13" t="n">
        <x:v>8</x:v>
      </x:c>
      <x:c r="I273" s="13" t="n">
        <x:v>52</x:v>
      </x:c>
      <x:c r="J273" s="13" t="n">
        <x:v>4</x:v>
      </x:c>
      <x:c r="K273" s="14" t="n">
        <x:f>IFERROR(F273/SUMIFS($F:$F,$B:$B,B273),0)</x:f>
        <x:v>0.00437916248517471</x:v>
      </x:c>
      <x:c r="L273" s="12" t="str">
        <x:v>06–09</x:v>
      </x:c>
    </x:row>
    <x:row r="274">
      <x:c r="A274" s="12" t="str">
        <x:v>8月平日</x:v>
      </x:c>
      <x:c r="B274" s="12" t="str">
        <x:v>2026-08-18</x:v>
      </x:c>
      <x:c r="C274" s="12" t="str">
        <x:v>07:00</x:v>
      </x:c>
      <x:c r="D274" s="13" t="n">
        <x:v>306</x:v>
      </x:c>
      <x:c r="E274" s="13" t="n">
        <x:v>5</x:v>
      </x:c>
      <x:c r="F274" s="13" t="n">
        <x:v>311</x:v>
      </x:c>
      <x:c r="G274" s="13" t="n">
        <x:v>405</x:v>
      </x:c>
      <x:c r="H274" s="13" t="n">
        <x:v>11</x:v>
      </x:c>
      <x:c r="I274" s="13" t="n">
        <x:v>416</x:v>
      </x:c>
      <x:c r="J274" s="13" t="n">
        <x:v>105</x:v>
      </x:c>
      <x:c r="K274" s="14" t="n">
        <x:f>IFERROR(F274/SUMIFS($F:$F,$B:$B,B274),0)</x:f>
        <x:v>0.028373323601861143</x:v>
      </x:c>
      <x:c r="L274" s="12" t="str">
        <x:v>06–09</x:v>
      </x:c>
    </x:row>
    <x:row r="275">
      <x:c r="A275" s="12" t="str">
        <x:v>8月平日</x:v>
      </x:c>
      <x:c r="B275" s="12" t="str">
        <x:v>2026-08-18</x:v>
      </x:c>
      <x:c r="C275" s="12" t="str">
        <x:v>08:00</x:v>
      </x:c>
      <x:c r="D275" s="13" t="n">
        <x:v>450</x:v>
      </x:c>
      <x:c r="E275" s="13" t="n">
        <x:v>18</x:v>
      </x:c>
      <x:c r="F275" s="13" t="n">
        <x:v>468</x:v>
      </x:c>
      <x:c r="G275" s="13" t="n">
        <x:v>690</x:v>
      </x:c>
      <x:c r="H275" s="13" t="n">
        <x:v>28</x:v>
      </x:c>
      <x:c r="I275" s="13" t="n">
        <x:v>718</x:v>
      </x:c>
      <x:c r="J275" s="13" t="n">
        <x:v>250</x:v>
      </x:c>
      <x:c r="K275" s="14" t="n">
        <x:f>IFERROR(F275/SUMIFS($F:$F,$B:$B,B275),0)</x:f>
        <x:v>0.04269683423045342</x:v>
      </x:c>
      <x:c r="L275" s="12" t="str">
        <x:v>06–09</x:v>
      </x:c>
    </x:row>
    <x:row r="276">
      <x:c r="A276" s="12" t="str">
        <x:v>8月平日</x:v>
      </x:c>
      <x:c r="B276" s="12" t="str">
        <x:v>2026-08-18</x:v>
      </x:c>
      <x:c r="C276" s="12" t="str">
        <x:v>09:00</x:v>
      </x:c>
      <x:c r="D276" s="13" t="n">
        <x:v>485</x:v>
      </x:c>
      <x:c r="E276" s="13" t="n">
        <x:v>25</x:v>
      </x:c>
      <x:c r="F276" s="13" t="n">
        <x:v>510</x:v>
      </x:c>
      <x:c r="G276" s="13" t="n">
        <x:v>770</x:v>
      </x:c>
      <x:c r="H276" s="13" t="n">
        <x:v>47</x:v>
      </x:c>
      <x:c r="I276" s="13" t="n">
        <x:v>817</x:v>
      </x:c>
      <x:c r="J276" s="13" t="n">
        <x:v>307</x:v>
      </x:c>
      <x:c r="K276" s="14" t="n">
        <x:f>IFERROR(F276/SUMIFS($F:$F,$B:$B,B276),0)</x:f>
        <x:v>0.046528601404981294</x:v>
      </x:c>
      <x:c r="L276" s="12" t="str">
        <x:v>06–09</x:v>
      </x:c>
    </x:row>
    <x:row r="277">
      <x:c r="A277" s="12" t="str">
        <x:v>8月平日</x:v>
      </x:c>
      <x:c r="B277" s="12" t="str">
        <x:v>2026-08-18</x:v>
      </x:c>
      <x:c r="C277" s="12" t="str">
        <x:v>10:00</x:v>
      </x:c>
      <x:c r="D277" s="13" t="n">
        <x:v>512</x:v>
      </x:c>
      <x:c r="E277" s="13" t="n">
        <x:v>13</x:v>
      </x:c>
      <x:c r="F277" s="13" t="n">
        <x:v>525</x:v>
      </x:c>
      <x:c r="G277" s="13" t="n">
        <x:v>650</x:v>
      </x:c>
      <x:c r="H277" s="13" t="n">
        <x:v>25</x:v>
      </x:c>
      <x:c r="I277" s="13" t="n">
        <x:v>675</x:v>
      </x:c>
      <x:c r="J277" s="13" t="n">
        <x:v>150</x:v>
      </x:c>
      <x:c r="K277" s="14" t="n">
        <x:f>IFERROR(F277/SUMIFS($F:$F,$B:$B,B277),0)</x:f>
        <x:v>0.04789708968159839</x:v>
      </x:c>
      <x:c r="L277" s="12" t="str">
        <x:v>10–13</x:v>
      </x:c>
    </x:row>
    <x:row r="278">
      <x:c r="A278" s="12" t="str">
        <x:v>8月平日</x:v>
      </x:c>
      <x:c r="B278" s="12" t="str">
        <x:v>2026-08-18</x:v>
      </x:c>
      <x:c r="C278" s="12" t="str">
        <x:v>11:00</x:v>
      </x:c>
      <x:c r="D278" s="13" t="n">
        <x:v>673</x:v>
      </x:c>
      <x:c r="E278" s="13" t="n">
        <x:v>19</x:v>
      </x:c>
      <x:c r="F278" s="13" t="n">
        <x:v>692</x:v>
      </x:c>
      <x:c r="G278" s="13" t="n">
        <x:v>666</x:v>
      </x:c>
      <x:c r="H278" s="13" t="n">
        <x:v>23</x:v>
      </x:c>
      <x:c r="I278" s="13" t="n">
        <x:v>689</x:v>
      </x:c>
      <x:c r="J278" s="13" t="n">
        <x:v>-3</x:v>
      </x:c>
      <x:c r="K278" s="14" t="n">
        <x:f>IFERROR(F278/SUMIFS($F:$F,$B:$B,B278),0)</x:f>
        <x:v>0.06313292582793541</x:v>
      </x:c>
      <x:c r="L278" s="12" t="str">
        <x:v>10–13</x:v>
      </x:c>
    </x:row>
    <x:row r="279">
      <x:c r="A279" s="12" t="str">
        <x:v>8月平日</x:v>
      </x:c>
      <x:c r="B279" s="12" t="str">
        <x:v>2026-08-18</x:v>
      </x:c>
      <x:c r="C279" s="12" t="str">
        <x:v>12:00</x:v>
      </x:c>
      <x:c r="D279" s="13" t="n">
        <x:v>980</x:v>
      </x:c>
      <x:c r="E279" s="13" t="n">
        <x:v>24</x:v>
      </x:c>
      <x:c r="F279" s="13" t="n">
        <x:v>1004</x:v>
      </x:c>
      <x:c r="G279" s="13" t="n">
        <x:v>911</x:v>
      </x:c>
      <x:c r="H279" s="13" t="n">
        <x:v>26</x:v>
      </x:c>
      <x:c r="I279" s="13" t="n">
        <x:v>937</x:v>
      </x:c>
      <x:c r="J279" s="13" t="n">
        <x:v>-67</x:v>
      </x:c>
      <x:c r="K279" s="14" t="n">
        <x:f>IFERROR(F279/SUMIFS($F:$F,$B:$B,B279),0)</x:f>
        <x:v>0.09159748198157103</x:v>
      </x:c>
      <x:c r="L279" s="12" t="str">
        <x:v>10–13</x:v>
      </x:c>
    </x:row>
    <x:row r="280">
      <x:c r="A280" s="12" t="str">
        <x:v>8月平日</x:v>
      </x:c>
      <x:c r="B280" s="12" t="str">
        <x:v>2026-08-18</x:v>
      </x:c>
      <x:c r="C280" s="12" t="str">
        <x:v>13:00</x:v>
      </x:c>
      <x:c r="D280" s="13" t="n">
        <x:v>787</x:v>
      </x:c>
      <x:c r="E280" s="13" t="n">
        <x:v>30</x:v>
      </x:c>
      <x:c r="F280" s="13" t="n">
        <x:v>817</x:v>
      </x:c>
      <x:c r="G280" s="13" t="n">
        <x:v>966</x:v>
      </x:c>
      <x:c r="H280" s="13" t="n">
        <x:v>40</x:v>
      </x:c>
      <x:c r="I280" s="13" t="n">
        <x:v>1006</x:v>
      </x:c>
      <x:c r="J280" s="13" t="n">
        <x:v>189</x:v>
      </x:c>
      <x:c r="K280" s="14" t="n">
        <x:f>IFERROR(F280/SUMIFS($F:$F,$B:$B,B280),0)</x:f>
        <x:v>0.07453699479974454</x:v>
      </x:c>
      <x:c r="L280" s="12" t="str">
        <x:v>10–13</x:v>
      </x:c>
    </x:row>
    <x:row r="281">
      <x:c r="A281" s="12" t="str">
        <x:v>8月平日</x:v>
      </x:c>
      <x:c r="B281" s="12" t="str">
        <x:v>2026-08-18</x:v>
      </x:c>
      <x:c r="C281" s="12" t="str">
        <x:v>14:00</x:v>
      </x:c>
      <x:c r="D281" s="13" t="n">
        <x:v>700</x:v>
      </x:c>
      <x:c r="E281" s="13" t="n">
        <x:v>21</x:v>
      </x:c>
      <x:c r="F281" s="13" t="n">
        <x:v>721</x:v>
      </x:c>
      <x:c r="G281" s="13" t="n">
        <x:v>750</x:v>
      </x:c>
      <x:c r="H281" s="13" t="n">
        <x:v>23</x:v>
      </x:c>
      <x:c r="I281" s="13" t="n">
        <x:v>773</x:v>
      </x:c>
      <x:c r="J281" s="13" t="n">
        <x:v>52</x:v>
      </x:c>
      <x:c r="K281" s="14" t="n">
        <x:f>IFERROR(F281/SUMIFS($F:$F,$B:$B,B281),0)</x:f>
        <x:v>0.06577866982939513</x:v>
      </x:c>
      <x:c r="L281" s="12" t="str">
        <x:v>14–17</x:v>
      </x:c>
    </x:row>
    <x:row r="282">
      <x:c r="A282" s="12" t="str">
        <x:v>8月平日</x:v>
      </x:c>
      <x:c r="B282" s="12" t="str">
        <x:v>2026-08-18</x:v>
      </x:c>
      <x:c r="C282" s="12" t="str">
        <x:v>15:00</x:v>
      </x:c>
      <x:c r="D282" s="13" t="n">
        <x:v>699</x:v>
      </x:c>
      <x:c r="E282" s="13" t="n">
        <x:v>23</x:v>
      </x:c>
      <x:c r="F282" s="13" t="n">
        <x:v>722</x:v>
      </x:c>
      <x:c r="G282" s="13" t="n">
        <x:v>656</x:v>
      </x:c>
      <x:c r="H282" s="13" t="n">
        <x:v>29</x:v>
      </x:c>
      <x:c r="I282" s="13" t="n">
        <x:v>685</x:v>
      </x:c>
      <x:c r="J282" s="13" t="n">
        <x:v>-37</x:v>
      </x:c>
      <x:c r="K282" s="14" t="n">
        <x:f>IFERROR(F282/SUMIFS($F:$F,$B:$B,B282),0)</x:f>
        <x:v>0.0658699023811696</x:v>
      </x:c>
      <x:c r="L282" s="12" t="str">
        <x:v>14–17</x:v>
      </x:c>
    </x:row>
    <x:row r="283">
      <x:c r="A283" s="12" t="str">
        <x:v>8月平日</x:v>
      </x:c>
      <x:c r="B283" s="12" t="str">
        <x:v>2026-08-18</x:v>
      </x:c>
      <x:c r="C283" s="12" t="str">
        <x:v>16:00</x:v>
      </x:c>
      <x:c r="D283" s="13" t="n">
        <x:v>888</x:v>
      </x:c>
      <x:c r="E283" s="13" t="n">
        <x:v>45</x:v>
      </x:c>
      <x:c r="F283" s="13" t="n">
        <x:v>933</x:v>
      </x:c>
      <x:c r="G283" s="13" t="n">
        <x:v>703</x:v>
      </x:c>
      <x:c r="H283" s="13" t="n">
        <x:v>21</x:v>
      </x:c>
      <x:c r="I283" s="13" t="n">
        <x:v>724</x:v>
      </x:c>
      <x:c r="J283" s="13" t="n">
        <x:v>-209</x:v>
      </x:c>
      <x:c r="K283" s="14" t="n">
        <x:f>IFERROR(F283/SUMIFS($F:$F,$B:$B,B283),0)</x:f>
        <x:v>0.08511997080558344</x:v>
      </x:c>
      <x:c r="L283" s="12" t="str">
        <x:v>14–17</x:v>
      </x:c>
    </x:row>
    <x:row r="284">
      <x:c r="A284" s="12" t="str">
        <x:v>8月平日</x:v>
      </x:c>
      <x:c r="B284" s="12" t="str">
        <x:v>2026-08-18</x:v>
      </x:c>
      <x:c r="C284" s="12" t="str">
        <x:v>17:00</x:v>
      </x:c>
      <x:c r="D284" s="13" t="n">
        <x:v>1388</x:v>
      </x:c>
      <x:c r="E284" s="13" t="n">
        <x:v>59</x:v>
      </x:c>
      <x:c r="F284" s="13" t="n">
        <x:v>1447</x:v>
      </x:c>
      <x:c r="G284" s="13" t="n">
        <x:v>760</x:v>
      </x:c>
      <x:c r="H284" s="13" t="n">
        <x:v>33</x:v>
      </x:c>
      <x:c r="I284" s="13" t="n">
        <x:v>793</x:v>
      </x:c>
      <x:c r="J284" s="13" t="n">
        <x:v>-654</x:v>
      </x:c>
      <x:c r="K284" s="14" t="n">
        <x:f>IFERROR(F284/SUMIFS($F:$F,$B:$B,B284),0)</x:f>
        <x:v>0.13201350241766263</x:v>
      </x:c>
      <x:c r="L284" s="12" t="str">
        <x:v>14–17</x:v>
      </x:c>
    </x:row>
    <x:row r="285">
      <x:c r="A285" s="12" t="str">
        <x:v>8月平日</x:v>
      </x:c>
      <x:c r="B285" s="12" t="str">
        <x:v>2026-08-18</x:v>
      </x:c>
      <x:c r="C285" s="12" t="str">
        <x:v>18:00</x:v>
      </x:c>
      <x:c r="D285" s="13" t="n">
        <x:v>925</x:v>
      </x:c>
      <x:c r="E285" s="13" t="n">
        <x:v>39</x:v>
      </x:c>
      <x:c r="F285" s="13" t="n">
        <x:v>964</x:v>
      </x:c>
      <x:c r="G285" s="13" t="n">
        <x:v>722</x:v>
      </x:c>
      <x:c r="H285" s="13" t="n">
        <x:v>31</x:v>
      </x:c>
      <x:c r="I285" s="13" t="n">
        <x:v>753</x:v>
      </x:c>
      <x:c r="J285" s="13" t="n">
        <x:v>-211</x:v>
      </x:c>
      <x:c r="K285" s="14" t="n">
        <x:f>IFERROR(F285/SUMIFS($F:$F,$B:$B,B285),0)</x:f>
        <x:v>0.0879481799105921</x:v>
      </x:c>
      <x:c r="L285" s="12" t="str">
        <x:v>18–21</x:v>
      </x:c>
    </x:row>
    <x:row r="286">
      <x:c r="A286" s="12" t="str">
        <x:v>8月平日</x:v>
      </x:c>
      <x:c r="B286" s="12" t="str">
        <x:v>2026-08-18</x:v>
      </x:c>
      <x:c r="C286" s="12" t="str">
        <x:v>19:00</x:v>
      </x:c>
      <x:c r="D286" s="13" t="n">
        <x:v>595</x:v>
      </x:c>
      <x:c r="E286" s="13" t="n">
        <x:v>17</x:v>
      </x:c>
      <x:c r="F286" s="13" t="n">
        <x:v>612</x:v>
      </x:c>
      <x:c r="G286" s="13" t="n">
        <x:v>504</x:v>
      </x:c>
      <x:c r="H286" s="13" t="n">
        <x:v>10</x:v>
      </x:c>
      <x:c r="I286" s="13" t="n">
        <x:v>514</x:v>
      </x:c>
      <x:c r="J286" s="13" t="n">
        <x:v>-98</x:v>
      </x:c>
      <x:c r="K286" s="14" t="n">
        <x:f>IFERROR(F286/SUMIFS($F:$F,$B:$B,B286),0)</x:f>
        <x:v>0.05583432168597756</x:v>
      </x:c>
      <x:c r="L286" s="12" t="str">
        <x:v>18–21</x:v>
      </x:c>
    </x:row>
    <x:row r="287">
      <x:c r="A287" s="12" t="str">
        <x:v>8月平日</x:v>
      </x:c>
      <x:c r="B287" s="12" t="str">
        <x:v>2026-08-18</x:v>
      </x:c>
      <x:c r="C287" s="12" t="str">
        <x:v>20:00</x:v>
      </x:c>
      <x:c r="D287" s="13" t="n">
        <x:v>379</x:v>
      </x:c>
      <x:c r="E287" s="13" t="n">
        <x:v>19</x:v>
      </x:c>
      <x:c r="F287" s="13" t="n">
        <x:v>398</x:v>
      </x:c>
      <x:c r="G287" s="13" t="n">
        <x:v>321</x:v>
      </x:c>
      <x:c r="H287" s="13" t="n">
        <x:v>8</x:v>
      </x:c>
      <x:c r="I287" s="13" t="n">
        <x:v>329</x:v>
      </x:c>
      <x:c r="J287" s="13" t="n">
        <x:v>-69</x:v>
      </x:c>
      <x:c r="K287" s="14" t="n">
        <x:f>IFERROR(F287/SUMIFS($F:$F,$B:$B,B287),0)</x:f>
        <x:v>0.03631055560624031</x:v>
      </x:c>
      <x:c r="L287" s="12" t="str">
        <x:v>18–21</x:v>
      </x:c>
    </x:row>
    <x:row r="288">
      <x:c r="A288" s="12" t="str">
        <x:v>8月平日</x:v>
      </x:c>
      <x:c r="B288" s="12" t="str">
        <x:v>2026-08-18</x:v>
      </x:c>
      <x:c r="C288" s="12" t="str">
        <x:v>21:00</x:v>
      </x:c>
      <x:c r="D288" s="13" t="n">
        <x:v>266</x:v>
      </x:c>
      <x:c r="E288" s="13" t="n">
        <x:v>21</x:v>
      </x:c>
      <x:c r="F288" s="13" t="n">
        <x:v>287</x:v>
      </x:c>
      <x:c r="G288" s="13" t="n">
        <x:v>196</x:v>
      </x:c>
      <x:c r="H288" s="13" t="n">
        <x:v>12</x:v>
      </x:c>
      <x:c r="I288" s="13" t="n">
        <x:v>208</x:v>
      </x:c>
      <x:c r="J288" s="13" t="n">
        <x:v>-79</x:v>
      </x:c>
      <x:c r="K288" s="14" t="n">
        <x:f>IFERROR(F288/SUMIFS($F:$F,$B:$B,B288),0)</x:f>
        <x:v>0.026183742359273787</x:v>
      </x:c>
      <x:c r="L288" s="12" t="str">
        <x:v>18–21</x:v>
      </x:c>
    </x:row>
    <x:row r="289">
      <x:c r="A289" s="12" t="str">
        <x:v>8月平日</x:v>
      </x:c>
      <x:c r="B289" s="12" t="str">
        <x:v>2026-08-18</x:v>
      </x:c>
      <x:c r="C289" s="12" t="str">
        <x:v>22:00</x:v>
      </x:c>
      <x:c r="D289" s="13" t="n">
        <x:v>189</x:v>
      </x:c>
      <x:c r="E289" s="13" t="n">
        <x:v>12</x:v>
      </x:c>
      <x:c r="F289" s="13" t="n">
        <x:v>201</x:v>
      </x:c>
      <x:c r="G289" s="13" t="n">
        <x:v>147</x:v>
      </x:c>
      <x:c r="H289" s="13" t="n">
        <x:v>4</x:v>
      </x:c>
      <x:c r="I289" s="13" t="n">
        <x:v>151</x:v>
      </x:c>
      <x:c r="J289" s="13" t="n">
        <x:v>-50</x:v>
      </x:c>
      <x:c r="K289" s="14" t="n">
        <x:f>IFERROR(F289/SUMIFS($F:$F,$B:$B,B289),0)</x:f>
        <x:v>0.018337742906669098</x:v>
      </x:c>
      <x:c r="L289" s="12" t="str">
        <x:v>22–23</x:v>
      </x:c>
    </x:row>
    <x:row r="290">
      <x:c r="A290" s="12" t="str">
        <x:v>8月平日</x:v>
      </x:c>
      <x:c r="B290" s="12" t="str">
        <x:v>2026-08-18</x:v>
      </x:c>
      <x:c r="C290" s="12" t="str">
        <x:v>23:00</x:v>
      </x:c>
      <x:c r="D290" s="13" t="n">
        <x:v>131</x:v>
      </x:c>
      <x:c r="E290" s="13" t="n">
        <x:v>13</x:v>
      </x:c>
      <x:c r="F290" s="13" t="n">
        <x:v>144</x:v>
      </x:c>
      <x:c r="G290" s="13" t="n">
        <x:v>87</x:v>
      </x:c>
      <x:c r="H290" s="13" t="n">
        <x:v>8</x:v>
      </x:c>
      <x:c r="I290" s="13" t="n">
        <x:v>95</x:v>
      </x:c>
      <x:c r="J290" s="13" t="n">
        <x:v>-49</x:v>
      </x:c>
      <x:c r="K290" s="14" t="n">
        <x:f>IFERROR(F290/SUMIFS($F:$F,$B:$B,B290),0)</x:f>
        <x:v>0.01313748745552413</x:v>
      </x:c>
      <x:c r="L290" s="12" t="str">
        <x:v>22–23</x:v>
      </x:c>
    </x:row>
    <x:row r="291">
      <x:c r="A291" s="12" t="str">
        <x:v>8月平日</x:v>
      </x:c>
      <x:c r="B291" s="12" t="str">
        <x:v>2026-08-19</x:v>
      </x:c>
      <x:c r="C291" s="12" t="str">
        <x:v>00:00</x:v>
      </x:c>
      <x:c r="D291" s="13" t="n">
        <x:v>71</x:v>
      </x:c>
      <x:c r="E291" s="13" t="n">
        <x:v>3</x:v>
      </x:c>
      <x:c r="F291" s="13" t="n">
        <x:v>74</x:v>
      </x:c>
      <x:c r="G291" s="13" t="n">
        <x:v>55</x:v>
      </x:c>
      <x:c r="H291" s="13" t="n">
        <x:v>1</x:v>
      </x:c>
      <x:c r="I291" s="13" t="n">
        <x:v>56</x:v>
      </x:c>
      <x:c r="J291" s="13" t="n">
        <x:v>-18</x:v>
      </x:c>
      <x:c r="K291" s="14" t="n">
        <x:f>IFERROR(F291/SUMIFS($F:$F,$B:$B,B291),0)</x:f>
        <x:v>0.00855095909406055</x:v>
      </x:c>
      <x:c r="L291" s="12" t="str">
        <x:v>00–05</x:v>
      </x:c>
    </x:row>
    <x:row r="292">
      <x:c r="A292" s="12" t="str">
        <x:v>8月平日</x:v>
      </x:c>
      <x:c r="B292" s="12" t="str">
        <x:v>2026-08-19</x:v>
      </x:c>
      <x:c r="C292" s="12" t="str">
        <x:v>01:00</x:v>
      </x:c>
      <x:c r="D292" s="13" t="n">
        <x:v>41</x:v>
      </x:c>
      <x:c r="E292" s="13" t="n">
        <x:v>2</x:v>
      </x:c>
      <x:c r="F292" s="13" t="n">
        <x:v>43</x:v>
      </x:c>
      <x:c r="G292" s="13" t="n">
        <x:v>31</x:v>
      </x:c>
      <x:c r="H292" s="13" t="n">
        <x:v>1</x:v>
      </x:c>
      <x:c r="I292" s="13" t="n">
        <x:v>32</x:v>
      </x:c>
      <x:c r="J292" s="13" t="n">
        <x:v>-11</x:v>
      </x:c>
      <x:c r="K292" s="14" t="n">
        <x:f>IFERROR(F292/SUMIFS($F:$F,$B:$B,B292),0)</x:f>
        <x:v>0.004968800554656806</x:v>
      </x:c>
      <x:c r="L292" s="12" t="str">
        <x:v>00–05</x:v>
      </x:c>
    </x:row>
    <x:row r="293">
      <x:c r="A293" s="12" t="str">
        <x:v>8月平日</x:v>
      </x:c>
      <x:c r="B293" s="12" t="str">
        <x:v>2026-08-19</x:v>
      </x:c>
      <x:c r="C293" s="12" t="str">
        <x:v>02:00</x:v>
      </x:c>
      <x:c r="D293" s="13" t="n">
        <x:v>17</x:v>
      </x:c>
      <x:c r="E293" s="13" t="n">
        <x:v>0</x:v>
      </x:c>
      <x:c r="F293" s="13" t="n">
        <x:v>17</x:v>
      </x:c>
      <x:c r="G293" s="13" t="n">
        <x:v>14</x:v>
      </x:c>
      <x:c r="H293" s="13" t="n">
        <x:v>0</x:v>
      </x:c>
      <x:c r="I293" s="13" t="n">
        <x:v>14</x:v>
      </x:c>
      <x:c r="J293" s="13" t="n">
        <x:v>-3</x:v>
      </x:c>
      <x:c r="K293" s="14" t="n">
        <x:f>IFERROR(F293/SUMIFS($F:$F,$B:$B,B293),0)</x:f>
        <x:v>0.001964409521608505</x:v>
      </x:c>
      <x:c r="L293" s="12" t="str">
        <x:v>00–05</x:v>
      </x:c>
    </x:row>
    <x:row r="294">
      <x:c r="A294" s="12" t="str">
        <x:v>8月平日</x:v>
      </x:c>
      <x:c r="B294" s="12" t="str">
        <x:v>2026-08-19</x:v>
      </x:c>
      <x:c r="C294" s="12" t="str">
        <x:v>03:00</x:v>
      </x:c>
      <x:c r="D294" s="13" t="n">
        <x:v>18</x:v>
      </x:c>
      <x:c r="E294" s="13" t="n">
        <x:v>0</x:v>
      </x:c>
      <x:c r="F294" s="13" t="n">
        <x:v>18</x:v>
      </x:c>
      <x:c r="G294" s="13" t="n">
        <x:v>11</x:v>
      </x:c>
      <x:c r="H294" s="13" t="n">
        <x:v>0</x:v>
      </x:c>
      <x:c r="I294" s="13" t="n">
        <x:v>11</x:v>
      </x:c>
      <x:c r="J294" s="13" t="n">
        <x:v>-7</x:v>
      </x:c>
      <x:c r="K294" s="14" t="n">
        <x:f>IFERROR(F294/SUMIFS($F:$F,$B:$B,B294),0)</x:f>
        <x:v>0.0020799630228795934</x:v>
      </x:c>
      <x:c r="L294" s="12" t="str">
        <x:v>00–05</x:v>
      </x:c>
    </x:row>
    <x:row r="295">
      <x:c r="A295" s="12" t="str">
        <x:v>8月平日</x:v>
      </x:c>
      <x:c r="B295" s="12" t="str">
        <x:v>2026-08-19</x:v>
      </x:c>
      <x:c r="C295" s="12" t="str">
        <x:v>04:00</x:v>
      </x:c>
      <x:c r="D295" s="13" t="n">
        <x:v>10</x:v>
      </x:c>
      <x:c r="E295" s="13" t="n">
        <x:v>1</x:v>
      </x:c>
      <x:c r="F295" s="13" t="n">
        <x:v>11</x:v>
      </x:c>
      <x:c r="G295" s="13" t="n">
        <x:v>11</x:v>
      </x:c>
      <x:c r="H295" s="13" t="n">
        <x:v>1</x:v>
      </x:c>
      <x:c r="I295" s="13" t="n">
        <x:v>12</x:v>
      </x:c>
      <x:c r="J295" s="13" t="n">
        <x:v>1</x:v>
      </x:c>
      <x:c r="K295" s="14" t="n">
        <x:f>IFERROR(F295/SUMIFS($F:$F,$B:$B,B295),0)</x:f>
        <x:v>0.0012710885139819736</x:v>
      </x:c>
      <x:c r="L295" s="12" t="str">
        <x:v>00–05</x:v>
      </x:c>
    </x:row>
    <x:row r="296">
      <x:c r="A296" s="12" t="str">
        <x:v>8月平日</x:v>
      </x:c>
      <x:c r="B296" s="12" t="str">
        <x:v>2026-08-19</x:v>
      </x:c>
      <x:c r="C296" s="12" t="str">
        <x:v>05:00</x:v>
      </x:c>
      <x:c r="D296" s="13" t="n">
        <x:v>42</x:v>
      </x:c>
      <x:c r="E296" s="13" t="n">
        <x:v>0</x:v>
      </x:c>
      <x:c r="F296" s="13" t="n">
        <x:v>42</x:v>
      </x:c>
      <x:c r="G296" s="13" t="n">
        <x:v>52</x:v>
      </x:c>
      <x:c r="H296" s="13" t="n">
        <x:v>5</x:v>
      </x:c>
      <x:c r="I296" s="13" t="n">
        <x:v>57</x:v>
      </x:c>
      <x:c r="J296" s="13" t="n">
        <x:v>15</x:v>
      </x:c>
      <x:c r="K296" s="14" t="n">
        <x:f>IFERROR(F296/SUMIFS($F:$F,$B:$B,B296),0)</x:f>
        <x:v>0.0048532470533857175</x:v>
      </x:c>
      <x:c r="L296" s="12" t="str">
        <x:v>00–05</x:v>
      </x:c>
    </x:row>
    <x:row r="297">
      <x:c r="A297" s="12" t="str">
        <x:v>8月平日</x:v>
      </x:c>
      <x:c r="B297" s="12" t="str">
        <x:v>2026-08-19</x:v>
      </x:c>
      <x:c r="C297" s="12" t="str">
        <x:v>06:00</x:v>
      </x:c>
      <x:c r="D297" s="13" t="n">
        <x:v>104</x:v>
      </x:c>
      <x:c r="E297" s="13" t="n">
        <x:v>8</x:v>
      </x:c>
      <x:c r="F297" s="13" t="n">
        <x:v>112</x:v>
      </x:c>
      <x:c r="G297" s="13" t="n">
        <x:v>131</x:v>
      </x:c>
      <x:c r="H297" s="13" t="n">
        <x:v>12</x:v>
      </x:c>
      <x:c r="I297" s="13" t="n">
        <x:v>143</x:v>
      </x:c>
      <x:c r="J297" s="13" t="n">
        <x:v>31</x:v>
      </x:c>
      <x:c r="K297" s="14" t="n">
        <x:f>IFERROR(F297/SUMIFS($F:$F,$B:$B,B297),0)</x:f>
        <x:v>0.012941992142361913</x:v>
      </x:c>
      <x:c r="L297" s="12" t="str">
        <x:v>06–09</x:v>
      </x:c>
    </x:row>
    <x:row r="298">
      <x:c r="A298" s="12" t="str">
        <x:v>8月平日</x:v>
      </x:c>
      <x:c r="B298" s="12" t="str">
        <x:v>2026-08-19</x:v>
      </x:c>
      <x:c r="C298" s="12" t="str">
        <x:v>07:00</x:v>
      </x:c>
      <x:c r="D298" s="13" t="n">
        <x:v>391</x:v>
      </x:c>
      <x:c r="E298" s="13" t="n">
        <x:v>12</x:v>
      </x:c>
      <x:c r="F298" s="13" t="n">
        <x:v>403</x:v>
      </x:c>
      <x:c r="G298" s="13" t="n">
        <x:v>486</x:v>
      </x:c>
      <x:c r="H298" s="13" t="n">
        <x:v>15</x:v>
      </x:c>
      <x:c r="I298" s="13" t="n">
        <x:v>501</x:v>
      </x:c>
      <x:c r="J298" s="13" t="n">
        <x:v>98</x:v>
      </x:c>
      <x:c r="K298" s="14" t="n">
        <x:f>IFERROR(F298/SUMIFS($F:$F,$B:$B,B298),0)</x:f>
        <x:v>0.04656806101224867</x:v>
      </x:c>
      <x:c r="L298" s="12" t="str">
        <x:v>06–09</x:v>
      </x:c>
    </x:row>
    <x:row r="299">
      <x:c r="A299" s="12" t="str">
        <x:v>8月平日</x:v>
      </x:c>
      <x:c r="B299" s="12" t="str">
        <x:v>2026-08-19</x:v>
      </x:c>
      <x:c r="C299" s="12" t="str">
        <x:v>08:00</x:v>
      </x:c>
      <x:c r="D299" s="13" t="n">
        <x:v>592</x:v>
      </x:c>
      <x:c r="E299" s="13" t="n">
        <x:v>22</x:v>
      </x:c>
      <x:c r="F299" s="13" t="n">
        <x:v>614</x:v>
      </x:c>
      <x:c r="G299" s="13" t="n">
        <x:v>861</x:v>
      </x:c>
      <x:c r="H299" s="13" t="n">
        <x:v>53</x:v>
      </x:c>
      <x:c r="I299" s="13" t="n">
        <x:v>914</x:v>
      </x:c>
      <x:c r="J299" s="13" t="n">
        <x:v>300</x:v>
      </x:c>
      <x:c r="K299" s="14" t="n">
        <x:f>IFERROR(F299/SUMIFS($F:$F,$B:$B,B299),0)</x:f>
        <x:v>0.07094984978044835</x:v>
      </x:c>
      <x:c r="L299" s="12" t="str">
        <x:v>06–09</x:v>
      </x:c>
    </x:row>
    <x:row r="300">
      <x:c r="A300" s="12" t="str">
        <x:v>8月平日</x:v>
      </x:c>
      <x:c r="B300" s="12" t="str">
        <x:v>2026-08-19</x:v>
      </x:c>
      <x:c r="C300" s="12" t="str">
        <x:v>09:00</x:v>
      </x:c>
      <x:c r="D300" s="13" t="n">
        <x:v>464</x:v>
      </x:c>
      <x:c r="E300" s="13" t="n">
        <x:v>28</x:v>
      </x:c>
      <x:c r="F300" s="13" t="n">
        <x:v>492</x:v>
      </x:c>
      <x:c r="G300" s="13" t="n">
        <x:v>705</x:v>
      </x:c>
      <x:c r="H300" s="13" t="n">
        <x:v>41</x:v>
      </x:c>
      <x:c r="I300" s="13" t="n">
        <x:v>746</x:v>
      </x:c>
      <x:c r="J300" s="13" t="n">
        <x:v>254</x:v>
      </x:c>
      <x:c r="K300" s="14" t="n">
        <x:f>IFERROR(F300/SUMIFS($F:$F,$B:$B,B300),0)</x:f>
        <x:v>0.05685232262537555</x:v>
      </x:c>
      <x:c r="L300" s="12" t="str">
        <x:v>06–09</x:v>
      </x:c>
    </x:row>
    <x:row r="301">
      <x:c r="A301" s="12" t="str">
        <x:v>8月平日</x:v>
      </x:c>
      <x:c r="B301" s="12" t="str">
        <x:v>2026-08-19</x:v>
      </x:c>
      <x:c r="C301" s="12" t="str">
        <x:v>10:00</x:v>
      </x:c>
      <x:c r="D301" s="13" t="n">
        <x:v>500</x:v>
      </x:c>
      <x:c r="E301" s="13" t="n">
        <x:v>24</x:v>
      </x:c>
      <x:c r="F301" s="13" t="n">
        <x:v>524</x:v>
      </x:c>
      <x:c r="G301" s="13" t="n">
        <x:v>620</x:v>
      </x:c>
      <x:c r="H301" s="13" t="n">
        <x:v>36</x:v>
      </x:c>
      <x:c r="I301" s="13" t="n">
        <x:v>656</x:v>
      </x:c>
      <x:c r="J301" s="13" t="n">
        <x:v>132</x:v>
      </x:c>
      <x:c r="K301" s="14" t="n">
        <x:f>IFERROR(F301/SUMIFS($F:$F,$B:$B,B301),0)</x:f>
        <x:v>0.060550034666050384</x:v>
      </x:c>
      <x:c r="L301" s="12" t="str">
        <x:v>10–13</x:v>
      </x:c>
    </x:row>
    <x:row r="302">
      <x:c r="A302" s="12" t="str">
        <x:v>8月平日</x:v>
      </x:c>
      <x:c r="B302" s="12" t="str">
        <x:v>2026-08-19</x:v>
      </x:c>
      <x:c r="C302" s="12" t="str">
        <x:v>11:00</x:v>
      </x:c>
      <x:c r="D302" s="13" t="n">
        <x:v>452</x:v>
      </x:c>
      <x:c r="E302" s="13" t="n">
        <x:v>20</x:v>
      </x:c>
      <x:c r="F302" s="13" t="n">
        <x:v>472</x:v>
      </x:c>
      <x:c r="G302" s="13" t="n">
        <x:v>483</x:v>
      </x:c>
      <x:c r="H302" s="13" t="n">
        <x:v>15</x:v>
      </x:c>
      <x:c r="I302" s="13" t="n">
        <x:v>498</x:v>
      </x:c>
      <x:c r="J302" s="13" t="n">
        <x:v>26</x:v>
      </x:c>
      <x:c r="K302" s="14" t="n">
        <x:f>IFERROR(F302/SUMIFS($F:$F,$B:$B,B302),0)</x:f>
        <x:v>0.05454125259995378</x:v>
      </x:c>
      <x:c r="L302" s="12" t="str">
        <x:v>10–13</x:v>
      </x:c>
    </x:row>
    <x:row r="303">
      <x:c r="A303" s="12" t="str">
        <x:v>8月平日</x:v>
      </x:c>
      <x:c r="B303" s="12" t="str">
        <x:v>2026-08-19</x:v>
      </x:c>
      <x:c r="C303" s="12" t="str">
        <x:v>12:00</x:v>
      </x:c>
      <x:c r="D303" s="13" t="n">
        <x:v>553</x:v>
      </x:c>
      <x:c r="E303" s="13" t="n">
        <x:v>16</x:v>
      </x:c>
      <x:c r="F303" s="13" t="n">
        <x:v>569</x:v>
      </x:c>
      <x:c r="G303" s="13" t="n">
        <x:v>561</x:v>
      </x:c>
      <x:c r="H303" s="13" t="n">
        <x:v>26</x:v>
      </x:c>
      <x:c r="I303" s="13" t="n">
        <x:v>587</x:v>
      </x:c>
      <x:c r="J303" s="13" t="n">
        <x:v>18</x:v>
      </x:c>
      <x:c r="K303" s="14" t="n">
        <x:f>IFERROR(F303/SUMIFS($F:$F,$B:$B,B303),0)</x:f>
        <x:v>0.06574994222324937</x:v>
      </x:c>
      <x:c r="L303" s="12" t="str">
        <x:v>10–13</x:v>
      </x:c>
    </x:row>
    <x:row r="304">
      <x:c r="A304" s="12" t="str">
        <x:v>8月平日</x:v>
      </x:c>
      <x:c r="B304" s="12" t="str">
        <x:v>2026-08-19</x:v>
      </x:c>
      <x:c r="C304" s="12" t="str">
        <x:v>13:00</x:v>
      </x:c>
      <x:c r="D304" s="13" t="n">
        <x:v>690</x:v>
      </x:c>
      <x:c r="E304" s="13" t="n">
        <x:v>20</x:v>
      </x:c>
      <x:c r="F304" s="13" t="n">
        <x:v>710</x:v>
      </x:c>
      <x:c r="G304" s="13" t="n">
        <x:v>822</x:v>
      </x:c>
      <x:c r="H304" s="13" t="n">
        <x:v>27</x:v>
      </x:c>
      <x:c r="I304" s="13" t="n">
        <x:v>849</x:v>
      </x:c>
      <x:c r="J304" s="13" t="n">
        <x:v>139</x:v>
      </x:c>
      <x:c r="K304" s="14" t="n">
        <x:f>IFERROR(F304/SUMIFS($F:$F,$B:$B,B304),0)</x:f>
        <x:v>0.08204298590247285</x:v>
      </x:c>
      <x:c r="L304" s="12" t="str">
        <x:v>10–13</x:v>
      </x:c>
    </x:row>
    <x:row r="305">
      <x:c r="A305" s="12" t="str">
        <x:v>8月平日</x:v>
      </x:c>
      <x:c r="B305" s="12" t="str">
        <x:v>2026-08-19</x:v>
      </x:c>
      <x:c r="C305" s="12" t="str">
        <x:v>14:00</x:v>
      </x:c>
      <x:c r="D305" s="13" t="n">
        <x:v>663</x:v>
      </x:c>
      <x:c r="E305" s="13" t="n">
        <x:v>17</x:v>
      </x:c>
      <x:c r="F305" s="13" t="n">
        <x:v>680</x:v>
      </x:c>
      <x:c r="G305" s="13" t="n">
        <x:v>663</x:v>
      </x:c>
      <x:c r="H305" s="13" t="n">
        <x:v>19</x:v>
      </x:c>
      <x:c r="I305" s="13" t="n">
        <x:v>682</x:v>
      </x:c>
      <x:c r="J305" s="13" t="n">
        <x:v>2</x:v>
      </x:c>
      <x:c r="K305" s="14" t="n">
        <x:f>IFERROR(F305/SUMIFS($F:$F,$B:$B,B305),0)</x:f>
        <x:v>0.07857638086434018</x:v>
      </x:c>
      <x:c r="L305" s="12" t="str">
        <x:v>14–17</x:v>
      </x:c>
    </x:row>
    <x:row r="306">
      <x:c r="A306" s="12" t="str">
        <x:v>8月平日</x:v>
      </x:c>
      <x:c r="B306" s="12" t="str">
        <x:v>2026-08-19</x:v>
      </x:c>
      <x:c r="C306" s="12" t="str">
        <x:v>15:00</x:v>
      </x:c>
      <x:c r="D306" s="13" t="n">
        <x:v>636</x:v>
      </x:c>
      <x:c r="E306" s="13" t="n">
        <x:v>35</x:v>
      </x:c>
      <x:c r="F306" s="13" t="n">
        <x:v>671</x:v>
      </x:c>
      <x:c r="G306" s="13" t="n">
        <x:v>577</x:v>
      </x:c>
      <x:c r="H306" s="13" t="n">
        <x:v>24</x:v>
      </x:c>
      <x:c r="I306" s="13" t="n">
        <x:v>601</x:v>
      </x:c>
      <x:c r="J306" s="13" t="n">
        <x:v>-70</x:v>
      </x:c>
      <x:c r="K306" s="14" t="n">
        <x:f>IFERROR(F306/SUMIFS($F:$F,$B:$B,B306),0)</x:f>
        <x:v>0.0775363993529004</x:v>
      </x:c>
      <x:c r="L306" s="12" t="str">
        <x:v>14–17</x:v>
      </x:c>
    </x:row>
    <x:row r="307">
      <x:c r="A307" s="12" t="str">
        <x:v>8月平日</x:v>
      </x:c>
      <x:c r="B307" s="12" t="str">
        <x:v>2026-08-19</x:v>
      </x:c>
      <x:c r="C307" s="12" t="str">
        <x:v>16:00</x:v>
      </x:c>
      <x:c r="D307" s="13" t="n">
        <x:v>528</x:v>
      </x:c>
      <x:c r="E307" s="13" t="n">
        <x:v>16</x:v>
      </x:c>
      <x:c r="F307" s="13" t="n">
        <x:v>544</x:v>
      </x:c>
      <x:c r="G307" s="13" t="n">
        <x:v>419</x:v>
      </x:c>
      <x:c r="H307" s="13" t="n">
        <x:v>14</x:v>
      </x:c>
      <x:c r="I307" s="13" t="n">
        <x:v>433</x:v>
      </x:c>
      <x:c r="J307" s="13" t="n">
        <x:v>-111</x:v>
      </x:c>
      <x:c r="K307" s="14" t="n">
        <x:f>IFERROR(F307/SUMIFS($F:$F,$B:$B,B307),0)</x:f>
        <x:v>0.06286110469147216</x:v>
      </x:c>
      <x:c r="L307" s="12" t="str">
        <x:v>14–17</x:v>
      </x:c>
    </x:row>
    <x:row r="308">
      <x:c r="A308" s="12" t="str">
        <x:v>8月平日</x:v>
      </x:c>
      <x:c r="B308" s="12" t="str">
        <x:v>2026-08-19</x:v>
      </x:c>
      <x:c r="C308" s="12" t="str">
        <x:v>17:00</x:v>
      </x:c>
      <x:c r="D308" s="13" t="n">
        <x:v>937</x:v>
      </x:c>
      <x:c r="E308" s="13" t="n">
        <x:v>28</x:v>
      </x:c>
      <x:c r="F308" s="13" t="n">
        <x:v>965</x:v>
      </x:c>
      <x:c r="G308" s="13" t="n">
        <x:v>488</x:v>
      </x:c>
      <x:c r="H308" s="13" t="n">
        <x:v>7</x:v>
      </x:c>
      <x:c r="I308" s="13" t="n">
        <x:v>495</x:v>
      </x:c>
      <x:c r="J308" s="13" t="n">
        <x:v>-470</x:v>
      </x:c>
      <x:c r="K308" s="14" t="n">
        <x:f>IFERROR(F308/SUMIFS($F:$F,$B:$B,B308),0)</x:f>
        <x:v>0.11150912872660042</x:v>
      </x:c>
      <x:c r="L308" s="12" t="str">
        <x:v>14–17</x:v>
      </x:c>
    </x:row>
    <x:row r="309">
      <x:c r="A309" s="12" t="str">
        <x:v>8月平日</x:v>
      </x:c>
      <x:c r="B309" s="12" t="str">
        <x:v>2026-08-19</x:v>
      </x:c>
      <x:c r="C309" s="12" t="str">
        <x:v>18:00</x:v>
      </x:c>
      <x:c r="D309" s="13" t="n">
        <x:v>570</x:v>
      </x:c>
      <x:c r="E309" s="13" t="n">
        <x:v>22</x:v>
      </x:c>
      <x:c r="F309" s="13" t="n">
        <x:v>592</x:v>
      </x:c>
      <x:c r="G309" s="13" t="n">
        <x:v>428</x:v>
      </x:c>
      <x:c r="H309" s="13" t="n">
        <x:v>8</x:v>
      </x:c>
      <x:c r="I309" s="13" t="n">
        <x:v>436</x:v>
      </x:c>
      <x:c r="J309" s="13" t="n">
        <x:v>-156</x:v>
      </x:c>
      <x:c r="K309" s="14" t="n">
        <x:f>IFERROR(F309/SUMIFS($F:$F,$B:$B,B309),0)</x:f>
        <x:v>0.0684076727524844</x:v>
      </x:c>
      <x:c r="L309" s="12" t="str">
        <x:v>18–21</x:v>
      </x:c>
    </x:row>
    <x:row r="310">
      <x:c r="A310" s="12" t="str">
        <x:v>8月平日</x:v>
      </x:c>
      <x:c r="B310" s="12" t="str">
        <x:v>2026-08-19</x:v>
      </x:c>
      <x:c r="C310" s="12" t="str">
        <x:v>19:00</x:v>
      </x:c>
      <x:c r="D310" s="13" t="n">
        <x:v>277</x:v>
      </x:c>
      <x:c r="E310" s="13" t="n">
        <x:v>3</x:v>
      </x:c>
      <x:c r="F310" s="13" t="n">
        <x:v>280</x:v>
      </x:c>
      <x:c r="G310" s="13" t="n">
        <x:v>178</x:v>
      </x:c>
      <x:c r="H310" s="13" t="n">
        <x:v>6</x:v>
      </x:c>
      <x:c r="I310" s="13" t="n">
        <x:v>184</x:v>
      </x:c>
      <x:c r="J310" s="13" t="n">
        <x:v>-96</x:v>
      </x:c>
      <x:c r="K310" s="14" t="n">
        <x:f>IFERROR(F310/SUMIFS($F:$F,$B:$B,B310),0)</x:f>
        <x:v>0.03235498035590478</x:v>
      </x:c>
      <x:c r="L310" s="12" t="str">
        <x:v>18–21</x:v>
      </x:c>
    </x:row>
    <x:row r="311">
      <x:c r="A311" s="12" t="str">
        <x:v>8月平日</x:v>
      </x:c>
      <x:c r="B311" s="12" t="str">
        <x:v>2026-08-19</x:v>
      </x:c>
      <x:c r="C311" s="12" t="str">
        <x:v>20:00</x:v>
      </x:c>
      <x:c r="D311" s="13" t="n">
        <x:v>305</x:v>
      </x:c>
      <x:c r="E311" s="13" t="n">
        <x:v>9</x:v>
      </x:c>
      <x:c r="F311" s="13" t="n">
        <x:v>314</x:v>
      </x:c>
      <x:c r="G311" s="13" t="n">
        <x:v>233</x:v>
      </x:c>
      <x:c r="H311" s="13" t="n">
        <x:v>2</x:v>
      </x:c>
      <x:c r="I311" s="13" t="n">
        <x:v>235</x:v>
      </x:c>
      <x:c r="J311" s="13" t="n">
        <x:v>-79</x:v>
      </x:c>
      <x:c r="K311" s="14" t="n">
        <x:f>IFERROR(F311/SUMIFS($F:$F,$B:$B,B311),0)</x:f>
        <x:v>0.0362837993991218</x:v>
      </x:c>
      <x:c r="L311" s="12" t="str">
        <x:v>18–21</x:v>
      </x:c>
    </x:row>
    <x:row r="312">
      <x:c r="A312" s="12" t="str">
        <x:v>8月平日</x:v>
      </x:c>
      <x:c r="B312" s="12" t="str">
        <x:v>2026-08-19</x:v>
      </x:c>
      <x:c r="C312" s="12" t="str">
        <x:v>21:00</x:v>
      </x:c>
      <x:c r="D312" s="13" t="n">
        <x:v>248</x:v>
      </x:c>
      <x:c r="E312" s="13" t="n">
        <x:v>11</x:v>
      </x:c>
      <x:c r="F312" s="13" t="n">
        <x:v>259</x:v>
      </x:c>
      <x:c r="G312" s="13" t="n">
        <x:v>189</x:v>
      </x:c>
      <x:c r="H312" s="13" t="n">
        <x:v>7</x:v>
      </x:c>
      <x:c r="I312" s="13" t="n">
        <x:v>196</x:v>
      </x:c>
      <x:c r="J312" s="13" t="n">
        <x:v>-63</x:v>
      </x:c>
      <x:c r="K312" s="14" t="n">
        <x:f>IFERROR(F312/SUMIFS($F:$F,$B:$B,B312),0)</x:f>
        <x:v>0.029928356829211925</x:v>
      </x:c>
      <x:c r="L312" s="12" t="str">
        <x:v>18–21</x:v>
      </x:c>
    </x:row>
    <x:row r="313">
      <x:c r="A313" s="12" t="str">
        <x:v>8月平日</x:v>
      </x:c>
      <x:c r="B313" s="12" t="str">
        <x:v>2026-08-19</x:v>
      </x:c>
      <x:c r="C313" s="12" t="str">
        <x:v>22:00</x:v>
      </x:c>
      <x:c r="D313" s="13" t="n">
        <x:v>150</x:v>
      </x:c>
      <x:c r="E313" s="13" t="n">
        <x:v>8</x:v>
      </x:c>
      <x:c r="F313" s="13" t="n">
        <x:v>158</x:v>
      </x:c>
      <x:c r="G313" s="13" t="n">
        <x:v>103</x:v>
      </x:c>
      <x:c r="H313" s="13" t="n">
        <x:v>7</x:v>
      </x:c>
      <x:c r="I313" s="13" t="n">
        <x:v>110</x:v>
      </x:c>
      <x:c r="J313" s="13" t="n">
        <x:v>-48</x:v>
      </x:c>
      <x:c r="K313" s="14" t="n">
        <x:f>IFERROR(F313/SUMIFS($F:$F,$B:$B,B313),0)</x:f>
        <x:v>0.018257453200831986</x:v>
      </x:c>
      <x:c r="L313" s="12" t="str">
        <x:v>22–23</x:v>
      </x:c>
    </x:row>
    <x:row r="314">
      <x:c r="A314" s="12" t="str">
        <x:v>8月平日</x:v>
      </x:c>
      <x:c r="B314" s="12" t="str">
        <x:v>2026-08-19</x:v>
      </x:c>
      <x:c r="C314" s="12" t="str">
        <x:v>23:00</x:v>
      </x:c>
      <x:c r="D314" s="13" t="n">
        <x:v>85</x:v>
      </x:c>
      <x:c r="E314" s="13" t="n">
        <x:v>5</x:v>
      </x:c>
      <x:c r="F314" s="13" t="n">
        <x:v>90</x:v>
      </x:c>
      <x:c r="G314" s="13" t="n">
        <x:v>57</x:v>
      </x:c>
      <x:c r="H314" s="13" t="n">
        <x:v>3</x:v>
      </x:c>
      <x:c r="I314" s="13" t="n">
        <x:v>60</x:v>
      </x:c>
      <x:c r="J314" s="13" t="n">
        <x:v>-30</x:v>
      </x:c>
      <x:c r="K314" s="14" t="n">
        <x:f>IFERROR(F314/SUMIFS($F:$F,$B:$B,B314),0)</x:f>
        <x:v>0.010399815114397967</x:v>
      </x:c>
      <x:c r="L314" s="12" t="str">
        <x:v>22–23</x:v>
      </x:c>
    </x:row>
    <x:row r="315">
      <x:c r="A315" s="12" t="str">
        <x:v>8月平日</x:v>
      </x:c>
      <x:c r="B315" s="12" t="str">
        <x:v>2026-08-20</x:v>
      </x:c>
      <x:c r="C315" s="12" t="str">
        <x:v>00:00</x:v>
      </x:c>
      <x:c r="D315" s="13" t="n">
        <x:v>41</x:v>
      </x:c>
      <x:c r="E315" s="13" t="n">
        <x:v>2</x:v>
      </x:c>
      <x:c r="F315" s="13" t="n">
        <x:v>43</x:v>
      </x:c>
      <x:c r="G315" s="13" t="n">
        <x:v>54</x:v>
      </x:c>
      <x:c r="H315" s="13" t="n">
        <x:v>1</x:v>
      </x:c>
      <x:c r="I315" s="13" t="n">
        <x:v>55</x:v>
      </x:c>
      <x:c r="J315" s="13" t="n">
        <x:v>12</x:v>
      </x:c>
      <x:c r="K315" s="14" t="n">
        <x:f>IFERROR(F315/SUMIFS($F:$F,$B:$B,B315),0)</x:f>
        <x:v>0.00644581022335482</x:v>
      </x:c>
      <x:c r="L315" s="12" t="str">
        <x:v>00–05</x:v>
      </x:c>
    </x:row>
    <x:row r="316">
      <x:c r="A316" s="12" t="str">
        <x:v>8月平日</x:v>
      </x:c>
      <x:c r="B316" s="12" t="str">
        <x:v>2026-08-20</x:v>
      </x:c>
      <x:c r="C316" s="12" t="str">
        <x:v>01:00</x:v>
      </x:c>
      <x:c r="D316" s="13" t="n">
        <x:v>18</x:v>
      </x:c>
      <x:c r="E316" s="13" t="n">
        <x:v>1</x:v>
      </x:c>
      <x:c r="F316" s="13" t="n">
        <x:v>19</x:v>
      </x:c>
      <x:c r="G316" s="13" t="n">
        <x:v>25</x:v>
      </x:c>
      <x:c r="H316" s="13" t="n">
        <x:v>4</x:v>
      </x:c>
      <x:c r="I316" s="13" t="n">
        <x:v>29</x:v>
      </x:c>
      <x:c r="J316" s="13" t="n">
        <x:v>10</x:v>
      </x:c>
      <x:c r="K316" s="14" t="n">
        <x:f>IFERROR(F316/SUMIFS($F:$F,$B:$B,B316),0)</x:f>
        <x:v>0.002848148703342827</x:v>
      </x:c>
      <x:c r="L316" s="12" t="str">
        <x:v>00–05</x:v>
      </x:c>
    </x:row>
    <x:row r="317">
      <x:c r="A317" s="12" t="str">
        <x:v>8月平日</x:v>
      </x:c>
      <x:c r="B317" s="12" t="str">
        <x:v>2026-08-20</x:v>
      </x:c>
      <x:c r="C317" s="12" t="str">
        <x:v>02:00</x:v>
      </x:c>
      <x:c r="D317" s="13" t="n">
        <x:v>14</x:v>
      </x:c>
      <x:c r="E317" s="13" t="n">
        <x:v>1</x:v>
      </x:c>
      <x:c r="F317" s="13" t="n">
        <x:v>15</x:v>
      </x:c>
      <x:c r="G317" s="13" t="n">
        <x:v>13</x:v>
      </x:c>
      <x:c r="H317" s="13" t="n">
        <x:v>0</x:v>
      </x:c>
      <x:c r="I317" s="13" t="n">
        <x:v>13</x:v>
      </x:c>
      <x:c r="J317" s="13" t="n">
        <x:v>-2</x:v>
      </x:c>
      <x:c r="K317" s="14" t="n">
        <x:f>IFERROR(F317/SUMIFS($F:$F,$B:$B,B317),0)</x:f>
        <x:v>0.0022485384500074953</x:v>
      </x:c>
      <x:c r="L317" s="12" t="str">
        <x:v>00–05</x:v>
      </x:c>
    </x:row>
    <x:row r="318">
      <x:c r="A318" s="12" t="str">
        <x:v>8月平日</x:v>
      </x:c>
      <x:c r="B318" s="12" t="str">
        <x:v>2026-08-20</x:v>
      </x:c>
      <x:c r="C318" s="12" t="str">
        <x:v>03:00</x:v>
      </x:c>
      <x:c r="D318" s="13" t="n">
        <x:v>5</x:v>
      </x:c>
      <x:c r="E318" s="13" t="n">
        <x:v>0</x:v>
      </x:c>
      <x:c r="F318" s="13" t="n">
        <x:v>5</x:v>
      </x:c>
      <x:c r="G318" s="13" t="n">
        <x:v>9</x:v>
      </x:c>
      <x:c r="H318" s="13" t="n">
        <x:v>0</x:v>
      </x:c>
      <x:c r="I318" s="13" t="n">
        <x:v>9</x:v>
      </x:c>
      <x:c r="J318" s="13" t="n">
        <x:v>4</x:v>
      </x:c>
      <x:c r="K318" s="14" t="n">
        <x:f>IFERROR(F318/SUMIFS($F:$F,$B:$B,B318),0)</x:f>
        <x:v>0.000749512816669165</x:v>
      </x:c>
      <x:c r="L318" s="12" t="str">
        <x:v>00–05</x:v>
      </x:c>
    </x:row>
    <x:row r="319">
      <x:c r="A319" s="12" t="str">
        <x:v>8月平日</x:v>
      </x:c>
      <x:c r="B319" s="12" t="str">
        <x:v>2026-08-20</x:v>
      </x:c>
      <x:c r="C319" s="12" t="str">
        <x:v>04:00</x:v>
      </x:c>
      <x:c r="D319" s="13" t="n">
        <x:v>2</x:v>
      </x:c>
      <x:c r="E319" s="13" t="n">
        <x:v>0</x:v>
      </x:c>
      <x:c r="F319" s="13" t="n">
        <x:v>2</x:v>
      </x:c>
      <x:c r="G319" s="13" t="n">
        <x:v>2</x:v>
      </x:c>
      <x:c r="H319" s="13" t="n">
        <x:v>1</x:v>
      </x:c>
      <x:c r="I319" s="13" t="n">
        <x:v>3</x:v>
      </x:c>
      <x:c r="J319" s="13" t="n">
        <x:v>1</x:v>
      </x:c>
      <x:c r="K319" s="14" t="n">
        <x:f>IFERROR(F319/SUMIFS($F:$F,$B:$B,B319),0)</x:f>
        <x:v>0.00029980512666766604</x:v>
      </x:c>
      <x:c r="L319" s="12" t="str">
        <x:v>00–05</x:v>
      </x:c>
    </x:row>
    <x:row r="320">
      <x:c r="A320" s="12" t="str">
        <x:v>8月平日</x:v>
      </x:c>
      <x:c r="B320" s="12" t="str">
        <x:v>2026-08-20</x:v>
      </x:c>
      <x:c r="C320" s="12" t="str">
        <x:v>05:00</x:v>
      </x:c>
      <x:c r="D320" s="13" t="n">
        <x:v>13</x:v>
      </x:c>
      <x:c r="E320" s="13" t="n">
        <x:v>0</x:v>
      </x:c>
      <x:c r="F320" s="13" t="n">
        <x:v>13</x:v>
      </x:c>
      <x:c r="G320" s="13" t="n">
        <x:v>24</x:v>
      </x:c>
      <x:c r="H320" s="13" t="n">
        <x:v>3</x:v>
      </x:c>
      <x:c r="I320" s="13" t="n">
        <x:v>27</x:v>
      </x:c>
      <x:c r="J320" s="13" t="n">
        <x:v>14</x:v>
      </x:c>
      <x:c r="K320" s="14" t="n">
        <x:f>IFERROR(F320/SUMIFS($F:$F,$B:$B,B320),0)</x:f>
        <x:v>0.001948733323339829</x:v>
      </x:c>
      <x:c r="L320" s="12" t="str">
        <x:v>00–05</x:v>
      </x:c>
    </x:row>
    <x:row r="321">
      <x:c r="A321" s="12" t="str">
        <x:v>8月平日</x:v>
      </x:c>
      <x:c r="B321" s="12" t="str">
        <x:v>2026-08-20</x:v>
      </x:c>
      <x:c r="C321" s="12" t="str">
        <x:v>06:00</x:v>
      </x:c>
      <x:c r="D321" s="13" t="n">
        <x:v>60</x:v>
      </x:c>
      <x:c r="E321" s="13" t="n">
        <x:v>7</x:v>
      </x:c>
      <x:c r="F321" s="13" t="n">
        <x:v>67</x:v>
      </x:c>
      <x:c r="G321" s="13" t="n">
        <x:v>87</x:v>
      </x:c>
      <x:c r="H321" s="13" t="n">
        <x:v>11</x:v>
      </x:c>
      <x:c r="I321" s="13" t="n">
        <x:v>98</x:v>
      </x:c>
      <x:c r="J321" s="13" t="n">
        <x:v>31</x:v>
      </x:c>
      <x:c r="K321" s="14" t="n">
        <x:f>IFERROR(F321/SUMIFS($F:$F,$B:$B,B321),0)</x:f>
        <x:v>0.01004347174336681</x:v>
      </x:c>
      <x:c r="L321" s="12" t="str">
        <x:v>06–09</x:v>
      </x:c>
    </x:row>
    <x:row r="322">
      <x:c r="A322" s="12" t="str">
        <x:v>8月平日</x:v>
      </x:c>
      <x:c r="B322" s="12" t="str">
        <x:v>2026-08-20</x:v>
      </x:c>
      <x:c r="C322" s="12" t="str">
        <x:v>07:00</x:v>
      </x:c>
      <x:c r="D322" s="13" t="n">
        <x:v>307</x:v>
      </x:c>
      <x:c r="E322" s="13" t="n">
        <x:v>9</x:v>
      </x:c>
      <x:c r="F322" s="13" t="n">
        <x:v>316</x:v>
      </x:c>
      <x:c r="G322" s="13" t="n">
        <x:v>415</x:v>
      </x:c>
      <x:c r="H322" s="13" t="n">
        <x:v>16</x:v>
      </x:c>
      <x:c r="I322" s="13" t="n">
        <x:v>431</x:v>
      </x:c>
      <x:c r="J322" s="13" t="n">
        <x:v>115</x:v>
      </x:c>
      <x:c r="K322" s="14" t="n">
        <x:f>IFERROR(F322/SUMIFS($F:$F,$B:$B,B322),0)</x:f>
        <x:v>0.04736921001349123</x:v>
      </x:c>
      <x:c r="L322" s="12" t="str">
        <x:v>06–09</x:v>
      </x:c>
    </x:row>
    <x:row r="323">
      <x:c r="A323" s="12" t="str">
        <x:v>8月平日</x:v>
      </x:c>
      <x:c r="B323" s="12" t="str">
        <x:v>2026-08-20</x:v>
      </x:c>
      <x:c r="C323" s="12" t="str">
        <x:v>08:00</x:v>
      </x:c>
      <x:c r="D323" s="13" t="n">
        <x:v>568</x:v>
      </x:c>
      <x:c r="E323" s="13" t="n">
        <x:v>27</x:v>
      </x:c>
      <x:c r="F323" s="13" t="n">
        <x:v>595</x:v>
      </x:c>
      <x:c r="G323" s="13" t="n">
        <x:v>887</x:v>
      </x:c>
      <x:c r="H323" s="13" t="n">
        <x:v>46</x:v>
      </x:c>
      <x:c r="I323" s="13" t="n">
        <x:v>933</x:v>
      </x:c>
      <x:c r="J323" s="13" t="n">
        <x:v>338</x:v>
      </x:c>
      <x:c r="K323" s="14" t="n">
        <x:f>IFERROR(F323/SUMIFS($F:$F,$B:$B,B323),0)</x:f>
        <x:v>0.08919202518363065</x:v>
      </x:c>
      <x:c r="L323" s="12" t="str">
        <x:v>06–09</x:v>
      </x:c>
    </x:row>
    <x:row r="324">
      <x:c r="A324" s="12" t="str">
        <x:v>8月平日</x:v>
      </x:c>
      <x:c r="B324" s="12" t="str">
        <x:v>2026-08-20</x:v>
      </x:c>
      <x:c r="C324" s="12" t="str">
        <x:v>09:00</x:v>
      </x:c>
      <x:c r="D324" s="13" t="n">
        <x:v>503</x:v>
      </x:c>
      <x:c r="E324" s="13" t="n">
        <x:v>19</x:v>
      </x:c>
      <x:c r="F324" s="13" t="n">
        <x:v>522</x:v>
      </x:c>
      <x:c r="G324" s="13" t="n">
        <x:v>767</x:v>
      </x:c>
      <x:c r="H324" s="13" t="n">
        <x:v>45</x:v>
      </x:c>
      <x:c r="I324" s="13" t="n">
        <x:v>812</x:v>
      </x:c>
      <x:c r="J324" s="13" t="n">
        <x:v>290</x:v>
      </x:c>
      <x:c r="K324" s="14" t="n">
        <x:f>IFERROR(F324/SUMIFS($F:$F,$B:$B,B324),0)</x:f>
        <x:v>0.07824913806026083</x:v>
      </x:c>
      <x:c r="L324" s="12" t="str">
        <x:v>06–09</x:v>
      </x:c>
    </x:row>
    <x:row r="325">
      <x:c r="A325" s="12" t="str">
        <x:v>8月平日</x:v>
      </x:c>
      <x:c r="B325" s="12" t="str">
        <x:v>2026-08-20</x:v>
      </x:c>
      <x:c r="C325" s="12" t="str">
        <x:v>10:00</x:v>
      </x:c>
      <x:c r="D325" s="13" t="n">
        <x:v>483</x:v>
      </x:c>
      <x:c r="E325" s="13" t="n">
        <x:v>28</x:v>
      </x:c>
      <x:c r="F325" s="13" t="n">
        <x:v>511</x:v>
      </x:c>
      <x:c r="G325" s="13" t="n">
        <x:v>659</x:v>
      </x:c>
      <x:c r="H325" s="13" t="n">
        <x:v>37</x:v>
      </x:c>
      <x:c r="I325" s="13" t="n">
        <x:v>696</x:v>
      </x:c>
      <x:c r="J325" s="13" t="n">
        <x:v>185</x:v>
      </x:c>
      <x:c r="K325" s="14" t="n">
        <x:f>IFERROR(F325/SUMIFS($F:$F,$B:$B,B325),0)</x:f>
        <x:v>0.07660020986358866</x:v>
      </x:c>
      <x:c r="L325" s="12" t="str">
        <x:v>10–13</x:v>
      </x:c>
    </x:row>
    <x:row r="326">
      <x:c r="A326" s="12" t="str">
        <x:v>8月平日</x:v>
      </x:c>
      <x:c r="B326" s="12" t="str">
        <x:v>2026-08-20</x:v>
      </x:c>
      <x:c r="C326" s="12" t="str">
        <x:v>11:00</x:v>
      </x:c>
      <x:c r="D326" s="13" t="n">
        <x:v>288</x:v>
      </x:c>
      <x:c r="E326" s="13" t="n">
        <x:v>14</x:v>
      </x:c>
      <x:c r="F326" s="13" t="n">
        <x:v>302</x:v>
      </x:c>
      <x:c r="G326" s="13" t="n">
        <x:v>396</x:v>
      </x:c>
      <x:c r="H326" s="13" t="n">
        <x:v>31</x:v>
      </x:c>
      <x:c r="I326" s="13" t="n">
        <x:v>427</x:v>
      </x:c>
      <x:c r="J326" s="13" t="n">
        <x:v>125</x:v>
      </x:c>
      <x:c r="K326" s="14" t="n">
        <x:f>IFERROR(F326/SUMIFS($F:$F,$B:$B,B326),0)</x:f>
        <x:v>0.04527057412681757</x:v>
      </x:c>
      <x:c r="L326" s="12" t="str">
        <x:v>10–13</x:v>
      </x:c>
    </x:row>
    <x:row r="327">
      <x:c r="A327" s="12" t="str">
        <x:v>8月平日</x:v>
      </x:c>
      <x:c r="B327" s="12" t="str">
        <x:v>2026-08-20</x:v>
      </x:c>
      <x:c r="C327" s="12" t="str">
        <x:v>12:00</x:v>
      </x:c>
      <x:c r="D327" s="13" t="n">
        <x:v>343</x:v>
      </x:c>
      <x:c r="E327" s="13" t="n">
        <x:v>18</x:v>
      </x:c>
      <x:c r="F327" s="13" t="n">
        <x:v>361</x:v>
      </x:c>
      <x:c r="G327" s="13" t="n">
        <x:v>302</x:v>
      </x:c>
      <x:c r="H327" s="13" t="n">
        <x:v>11</x:v>
      </x:c>
      <x:c r="I327" s="13" t="n">
        <x:v>313</x:v>
      </x:c>
      <x:c r="J327" s="13" t="n">
        <x:v>-48</x:v>
      </x:c>
      <x:c r="K327" s="14" t="n">
        <x:f>IFERROR(F327/SUMIFS($F:$F,$B:$B,B327),0)</x:f>
        <x:v>0.05411482536351372</x:v>
      </x:c>
      <x:c r="L327" s="12" t="str">
        <x:v>10–13</x:v>
      </x:c>
    </x:row>
    <x:row r="328">
      <x:c r="A328" s="12" t="str">
        <x:v>8月平日</x:v>
      </x:c>
      <x:c r="B328" s="12" t="str">
        <x:v>2026-08-20</x:v>
      </x:c>
      <x:c r="C328" s="12" t="str">
        <x:v>13:00</x:v>
      </x:c>
      <x:c r="D328" s="13" t="n">
        <x:v>677</x:v>
      </x:c>
      <x:c r="E328" s="13" t="n">
        <x:v>17</x:v>
      </x:c>
      <x:c r="F328" s="13" t="n">
        <x:v>694</x:v>
      </x:c>
      <x:c r="G328" s="13" t="n">
        <x:v>689</x:v>
      </x:c>
      <x:c r="H328" s="13" t="n">
        <x:v>22</x:v>
      </x:c>
      <x:c r="I328" s="13" t="n">
        <x:v>711</x:v>
      </x:c>
      <x:c r="J328" s="13" t="n">
        <x:v>17</x:v>
      </x:c>
      <x:c r="K328" s="14" t="n">
        <x:f>IFERROR(F328/SUMIFS($F:$F,$B:$B,B328),0)</x:f>
        <x:v>0.1040323789536801</x:v>
      </x:c>
      <x:c r="L328" s="12" t="str">
        <x:v>10–13</x:v>
      </x:c>
    </x:row>
    <x:row r="329">
      <x:c r="A329" s="12" t="str">
        <x:v>8月平日</x:v>
      </x:c>
      <x:c r="B329" s="12" t="str">
        <x:v>2026-08-20</x:v>
      </x:c>
      <x:c r="C329" s="12" t="str">
        <x:v>14:00</x:v>
      </x:c>
      <x:c r="D329" s="13" t="n">
        <x:v>651</x:v>
      </x:c>
      <x:c r="E329" s="13" t="n">
        <x:v>20</x:v>
      </x:c>
      <x:c r="F329" s="13" t="n">
        <x:v>671</x:v>
      </x:c>
      <x:c r="G329" s="13" t="n">
        <x:v>680</x:v>
      </x:c>
      <x:c r="H329" s="13" t="n">
        <x:v>17</x:v>
      </x:c>
      <x:c r="I329" s="13" t="n">
        <x:v>697</x:v>
      </x:c>
      <x:c r="J329" s="13" t="n">
        <x:v>26</x:v>
      </x:c>
      <x:c r="K329" s="14" t="n">
        <x:f>IFERROR(F329/SUMIFS($F:$F,$B:$B,B329),0)</x:f>
        <x:v>0.10058461999700195</x:v>
      </x:c>
      <x:c r="L329" s="12" t="str">
        <x:v>14–17</x:v>
      </x:c>
    </x:row>
    <x:row r="330">
      <x:c r="A330" s="12" t="str">
        <x:v>8月平日</x:v>
      </x:c>
      <x:c r="B330" s="12" t="str">
        <x:v>2026-08-20</x:v>
      </x:c>
      <x:c r="C330" s="12" t="str">
        <x:v>15:00</x:v>
      </x:c>
      <x:c r="D330" s="13" t="n">
        <x:v>509</x:v>
      </x:c>
      <x:c r="E330" s="13" t="n">
        <x:v>17</x:v>
      </x:c>
      <x:c r="F330" s="13" t="n">
        <x:v>526</x:v>
      </x:c>
      <x:c r="G330" s="13" t="n">
        <x:v>522</x:v>
      </x:c>
      <x:c r="H330" s="13" t="n">
        <x:v>17</x:v>
      </x:c>
      <x:c r="I330" s="13" t="n">
        <x:v>539</x:v>
      </x:c>
      <x:c r="J330" s="13" t="n">
        <x:v>13</x:v>
      </x:c>
      <x:c r="K330" s="14" t="n">
        <x:f>IFERROR(F330/SUMIFS($F:$F,$B:$B,B330),0)</x:f>
        <x:v>0.07884874831359616</x:v>
      </x:c>
      <x:c r="L330" s="12" t="str">
        <x:v>14–17</x:v>
      </x:c>
    </x:row>
    <x:row r="331">
      <x:c r="A331" s="12" t="str">
        <x:v>8月平日</x:v>
      </x:c>
      <x:c r="B331" s="12" t="str">
        <x:v>2026-08-20</x:v>
      </x:c>
      <x:c r="C331" s="12" t="str">
        <x:v>16:00</x:v>
      </x:c>
      <x:c r="D331" s="13" t="n">
        <x:v>277</x:v>
      </x:c>
      <x:c r="E331" s="13" t="n">
        <x:v>12</x:v>
      </x:c>
      <x:c r="F331" s="13" t="n">
        <x:v>289</x:v>
      </x:c>
      <x:c r="G331" s="13" t="n">
        <x:v>276</x:v>
      </x:c>
      <x:c r="H331" s="13" t="n">
        <x:v>11</x:v>
      </x:c>
      <x:c r="I331" s="13" t="n">
        <x:v>287</x:v>
      </x:c>
      <x:c r="J331" s="13" t="n">
        <x:v>-2</x:v>
      </x:c>
      <x:c r="K331" s="14" t="n">
        <x:f>IFERROR(F331/SUMIFS($F:$F,$B:$B,B331),0)</x:f>
        <x:v>0.043321840803477736</x:v>
      </x:c>
      <x:c r="L331" s="12" t="str">
        <x:v>14–17</x:v>
      </x:c>
    </x:row>
    <x:row r="332">
      <x:c r="A332" s="12" t="str">
        <x:v>8月平日</x:v>
      </x:c>
      <x:c r="B332" s="12" t="str">
        <x:v>2026-08-20</x:v>
      </x:c>
      <x:c r="C332" s="12" t="str">
        <x:v>17:00</x:v>
      </x:c>
      <x:c r="D332" s="13" t="n">
        <x:v>305</x:v>
      </x:c>
      <x:c r="E332" s="13" t="n">
        <x:v>13</x:v>
      </x:c>
      <x:c r="F332" s="13" t="n">
        <x:v>318</x:v>
      </x:c>
      <x:c r="G332" s="13" t="n">
        <x:v>216</x:v>
      </x:c>
      <x:c r="H332" s="13" t="n">
        <x:v>9</x:v>
      </x:c>
      <x:c r="I332" s="13" t="n">
        <x:v>225</x:v>
      </x:c>
      <x:c r="J332" s="13" t="n">
        <x:v>-93</x:v>
      </x:c>
      <x:c r="K332" s="14" t="n">
        <x:f>IFERROR(F332/SUMIFS($F:$F,$B:$B,B332),0)</x:f>
        <x:v>0.047669015140158894</x:v>
      </x:c>
      <x:c r="L332" s="12" t="str">
        <x:v>14–17</x:v>
      </x:c>
    </x:row>
    <x:row r="333">
      <x:c r="A333" s="12" t="str">
        <x:v>8月平日</x:v>
      </x:c>
      <x:c r="B333" s="12" t="str">
        <x:v>2026-08-20</x:v>
      </x:c>
      <x:c r="C333" s="12" t="str">
        <x:v>18:00</x:v>
      </x:c>
      <x:c r="D333" s="13" t="n">
        <x:v>233</x:v>
      </x:c>
      <x:c r="E333" s="13" t="n">
        <x:v>6</x:v>
      </x:c>
      <x:c r="F333" s="13" t="n">
        <x:v>239</x:v>
      </x:c>
      <x:c r="G333" s="13" t="n">
        <x:v>155</x:v>
      </x:c>
      <x:c r="H333" s="13" t="n">
        <x:v>8</x:v>
      </x:c>
      <x:c r="I333" s="13" t="n">
        <x:v>163</x:v>
      </x:c>
      <x:c r="J333" s="13" t="n">
        <x:v>-76</x:v>
      </x:c>
      <x:c r="K333" s="14" t="n">
        <x:f>IFERROR(F333/SUMIFS($F:$F,$B:$B,B333),0)</x:f>
        <x:v>0.035826712636786086</x:v>
      </x:c>
      <x:c r="L333" s="12" t="str">
        <x:v>18–21</x:v>
      </x:c>
    </x:row>
    <x:row r="334">
      <x:c r="A334" s="12" t="str">
        <x:v>8月平日</x:v>
      </x:c>
      <x:c r="B334" s="12" t="str">
        <x:v>2026-08-20</x:v>
      </x:c>
      <x:c r="C334" s="12" t="str">
        <x:v>19:00</x:v>
      </x:c>
      <x:c r="D334" s="13" t="n">
        <x:v>218</x:v>
      </x:c>
      <x:c r="E334" s="13" t="n">
        <x:v>6</x:v>
      </x:c>
      <x:c r="F334" s="13" t="n">
        <x:v>224</x:v>
      </x:c>
      <x:c r="G334" s="13" t="n">
        <x:v>152</x:v>
      </x:c>
      <x:c r="H334" s="13" t="n">
        <x:v>1</x:v>
      </x:c>
      <x:c r="I334" s="13" t="n">
        <x:v>153</x:v>
      </x:c>
      <x:c r="J334" s="13" t="n">
        <x:v>-71</x:v>
      </x:c>
      <x:c r="K334" s="14" t="n">
        <x:f>IFERROR(F334/SUMIFS($F:$F,$B:$B,B334),0)</x:f>
        <x:v>0.033578174186778595</x:v>
      </x:c>
      <x:c r="L334" s="12" t="str">
        <x:v>18–21</x:v>
      </x:c>
    </x:row>
    <x:row r="335">
      <x:c r="A335" s="12" t="str">
        <x:v>8月平日</x:v>
      </x:c>
      <x:c r="B335" s="12" t="str">
        <x:v>2026-08-20</x:v>
      </x:c>
      <x:c r="C335" s="12" t="str">
        <x:v>20:00</x:v>
      </x:c>
      <x:c r="D335" s="13" t="n">
        <x:v>291</x:v>
      </x:c>
      <x:c r="E335" s="13" t="n">
        <x:v>11</x:v>
      </x:c>
      <x:c r="F335" s="13" t="n">
        <x:v>302</x:v>
      </x:c>
      <x:c r="G335" s="13" t="n">
        <x:v>186</x:v>
      </x:c>
      <x:c r="H335" s="13" t="n">
        <x:v>2</x:v>
      </x:c>
      <x:c r="I335" s="13" t="n">
        <x:v>188</x:v>
      </x:c>
      <x:c r="J335" s="13" t="n">
        <x:v>-114</x:v>
      </x:c>
      <x:c r="K335" s="14" t="n">
        <x:f>IFERROR(F335/SUMIFS($F:$F,$B:$B,B335),0)</x:f>
        <x:v>0.04527057412681757</x:v>
      </x:c>
      <x:c r="L335" s="12" t="str">
        <x:v>18–21</x:v>
      </x:c>
    </x:row>
    <x:row r="336">
      <x:c r="A336" s="12" t="str">
        <x:v>8月平日</x:v>
      </x:c>
      <x:c r="B336" s="12" t="str">
        <x:v>2026-08-20</x:v>
      </x:c>
      <x:c r="C336" s="12" t="str">
        <x:v>21:00</x:v>
      </x:c>
      <x:c r="D336" s="13" t="n">
        <x:v>314</x:v>
      </x:c>
      <x:c r="E336" s="13" t="n">
        <x:v>4</x:v>
      </x:c>
      <x:c r="F336" s="13" t="n">
        <x:v>318</x:v>
      </x:c>
      <x:c r="G336" s="13" t="n">
        <x:v>222</x:v>
      </x:c>
      <x:c r="H336" s="13" t="n">
        <x:v>3</x:v>
      </x:c>
      <x:c r="I336" s="13" t="n">
        <x:v>225</x:v>
      </x:c>
      <x:c r="J336" s="13" t="n">
        <x:v>-93</x:v>
      </x:c>
      <x:c r="K336" s="14" t="n">
        <x:f>IFERROR(F336/SUMIFS($F:$F,$B:$B,B336),0)</x:f>
        <x:v>0.047669015140158894</x:v>
      </x:c>
      <x:c r="L336" s="12" t="str">
        <x:v>18–21</x:v>
      </x:c>
    </x:row>
    <x:row r="337">
      <x:c r="A337" s="12" t="str">
        <x:v>8月平日</x:v>
      </x:c>
      <x:c r="B337" s="12" t="str">
        <x:v>2026-08-20</x:v>
      </x:c>
      <x:c r="C337" s="12" t="str">
        <x:v>22:00</x:v>
      </x:c>
      <x:c r="D337" s="13" t="n">
        <x:v>172</x:v>
      </x:c>
      <x:c r="E337" s="13" t="n">
        <x:v>12</x:v>
      </x:c>
      <x:c r="F337" s="13" t="n">
        <x:v>184</x:v>
      </x:c>
      <x:c r="G337" s="13" t="n">
        <x:v>160</x:v>
      </x:c>
      <x:c r="H337" s="13" t="n">
        <x:v>5</x:v>
      </x:c>
      <x:c r="I337" s="13" t="n">
        <x:v>165</x:v>
      </x:c>
      <x:c r="J337" s="13" t="n">
        <x:v>-19</x:v>
      </x:c>
      <x:c r="K337" s="14" t="n">
        <x:f>IFERROR(F337/SUMIFS($F:$F,$B:$B,B337),0)</x:f>
        <x:v>0.027582071653425272</x:v>
      </x:c>
      <x:c r="L337" s="12" t="str">
        <x:v>22–23</x:v>
      </x:c>
    </x:row>
    <x:row r="338">
      <x:c r="A338" s="12" t="str">
        <x:v>8月平日</x:v>
      </x:c>
      <x:c r="B338" s="12" t="str">
        <x:v>2026-08-20</x:v>
      </x:c>
      <x:c r="C338" s="12" t="str">
        <x:v>23:00</x:v>
      </x:c>
      <x:c r="D338" s="13" t="n">
        <x:v>130</x:v>
      </x:c>
      <x:c r="E338" s="13" t="n">
        <x:v>5</x:v>
      </x:c>
      <x:c r="F338" s="13" t="n">
        <x:v>135</x:v>
      </x:c>
      <x:c r="G338" s="13" t="n">
        <x:v>91</x:v>
      </x:c>
      <x:c r="H338" s="13" t="n">
        <x:v>3</x:v>
      </x:c>
      <x:c r="I338" s="13" t="n">
        <x:v>94</x:v>
      </x:c>
      <x:c r="J338" s="13" t="n">
        <x:v>-41</x:v>
      </x:c>
      <x:c r="K338" s="14" t="n">
        <x:f>IFERROR(F338/SUMIFS($F:$F,$B:$B,B338),0)</x:f>
        <x:v>0.020236846050067456</x:v>
      </x:c>
      <x:c r="L338" s="12" t="str">
        <x:v>22–23</x:v>
      </x:c>
    </x:row>
    <x:row r="339">
      <x:c r="A339" s="12" t="str">
        <x:v>8月平日</x:v>
      </x:c>
      <x:c r="B339" s="12" t="str">
        <x:v>2026-08-21</x:v>
      </x:c>
      <x:c r="C339" s="12" t="str">
        <x:v>00:00</x:v>
      </x:c>
      <x:c r="D339" s="13" t="n">
        <x:v>74</x:v>
      </x:c>
      <x:c r="E339" s="13" t="n">
        <x:v>4</x:v>
      </x:c>
      <x:c r="F339" s="13" t="n">
        <x:v>78</x:v>
      </x:c>
      <x:c r="G339" s="13" t="n">
        <x:v>82</x:v>
      </x:c>
      <x:c r="H339" s="13" t="n">
        <x:v>5</x:v>
      </x:c>
      <x:c r="I339" s="13" t="n">
        <x:v>87</x:v>
      </x:c>
      <x:c r="J339" s="13" t="n">
        <x:v>9</x:v>
      </x:c>
      <x:c r="K339" s="14" t="n">
        <x:f>IFERROR(F339/SUMIFS($F:$F,$B:$B,B339),0)</x:f>
        <x:v>0.01125054089138901</x:v>
      </x:c>
      <x:c r="L339" s="12" t="str">
        <x:v>00–05</x:v>
      </x:c>
    </x:row>
    <x:row r="340">
      <x:c r="A340" s="12" t="str">
        <x:v>8月平日</x:v>
      </x:c>
      <x:c r="B340" s="12" t="str">
        <x:v>2026-08-21</x:v>
      </x:c>
      <x:c r="C340" s="12" t="str">
        <x:v>01:00</x:v>
      </x:c>
      <x:c r="D340" s="13" t="n">
        <x:v>37</x:v>
      </x:c>
      <x:c r="E340" s="13" t="n">
        <x:v>3</x:v>
      </x:c>
      <x:c r="F340" s="13" t="n">
        <x:v>40</x:v>
      </x:c>
      <x:c r="G340" s="13" t="n">
        <x:v>28</x:v>
      </x:c>
      <x:c r="H340" s="13" t="n">
        <x:v>1</x:v>
      </x:c>
      <x:c r="I340" s="13" t="n">
        <x:v>29</x:v>
      </x:c>
      <x:c r="J340" s="13" t="n">
        <x:v>-11</x:v>
      </x:c>
      <x:c r="K340" s="14" t="n">
        <x:f>IFERROR(F340/SUMIFS($F:$F,$B:$B,B340),0)</x:f>
        <x:v>0.005769508149430261</x:v>
      </x:c>
      <x:c r="L340" s="12" t="str">
        <x:v>00–05</x:v>
      </x:c>
    </x:row>
    <x:row r="341">
      <x:c r="A341" s="12" t="str">
        <x:v>8月平日</x:v>
      </x:c>
      <x:c r="B341" s="12" t="str">
        <x:v>2026-08-21</x:v>
      </x:c>
      <x:c r="C341" s="12" t="str">
        <x:v>02:00</x:v>
      </x:c>
      <x:c r="D341" s="13" t="n">
        <x:v>21</x:v>
      </x:c>
      <x:c r="E341" s="13" t="n">
        <x:v>2</x:v>
      </x:c>
      <x:c r="F341" s="13" t="n">
        <x:v>23</x:v>
      </x:c>
      <x:c r="G341" s="13" t="n">
        <x:v>23</x:v>
      </x:c>
      <x:c r="H341" s="13" t="n">
        <x:v>0</x:v>
      </x:c>
      <x:c r="I341" s="13" t="n">
        <x:v>23</x:v>
      </x:c>
      <x:c r="J341" s="13" t="n">
        <x:v>0</x:v>
      </x:c>
      <x:c r="K341" s="14" t="n">
        <x:f>IFERROR(F341/SUMIFS($F:$F,$B:$B,B341),0)</x:f>
        <x:v>0.0033174671859224</x:v>
      </x:c>
      <x:c r="L341" s="12" t="str">
        <x:v>00–05</x:v>
      </x:c>
    </x:row>
    <x:row r="342">
      <x:c r="A342" s="12" t="str">
        <x:v>8月平日</x:v>
      </x:c>
      <x:c r="B342" s="12" t="str">
        <x:v>2026-08-21</x:v>
      </x:c>
      <x:c r="C342" s="12" t="str">
        <x:v>03:00</x:v>
      </x:c>
      <x:c r="D342" s="13" t="n">
        <x:v>11</x:v>
      </x:c>
      <x:c r="E342" s="13" t="n">
        <x:v>0</x:v>
      </x:c>
      <x:c r="F342" s="13" t="n">
        <x:v>11</x:v>
      </x:c>
      <x:c r="G342" s="13" t="n">
        <x:v>9</x:v>
      </x:c>
      <x:c r="H342" s="13" t="n">
        <x:v>0</x:v>
      </x:c>
      <x:c r="I342" s="13" t="n">
        <x:v>9</x:v>
      </x:c>
      <x:c r="J342" s="13" t="n">
        <x:v>-2</x:v>
      </x:c>
      <x:c r="K342" s="14" t="n">
        <x:f>IFERROR(F342/SUMIFS($F:$F,$B:$B,B342),0)</x:f>
        <x:v>0.0015866147410933218</x:v>
      </x:c>
      <x:c r="L342" s="12" t="str">
        <x:v>00–05</x:v>
      </x:c>
    </x:row>
    <x:row r="343">
      <x:c r="A343" s="12" t="str">
        <x:v>8月平日</x:v>
      </x:c>
      <x:c r="B343" s="12" t="str">
        <x:v>2026-08-21</x:v>
      </x:c>
      <x:c r="C343" s="12" t="str">
        <x:v>04:00</x:v>
      </x:c>
      <x:c r="D343" s="13" t="n">
        <x:v>15</x:v>
      </x:c>
      <x:c r="E343" s="13" t="n">
        <x:v>1</x:v>
      </x:c>
      <x:c r="F343" s="13" t="n">
        <x:v>16</x:v>
      </x:c>
      <x:c r="G343" s="13" t="n">
        <x:v>12</x:v>
      </x:c>
      <x:c r="H343" s="13" t="n">
        <x:v>1</x:v>
      </x:c>
      <x:c r="I343" s="13" t="n">
        <x:v>13</x:v>
      </x:c>
      <x:c r="J343" s="13" t="n">
        <x:v>-3</x:v>
      </x:c>
      <x:c r="K343" s="14" t="n">
        <x:f>IFERROR(F343/SUMIFS($F:$F,$B:$B,B343),0)</x:f>
        <x:v>0.0023078032597721046</x:v>
      </x:c>
      <x:c r="L343" s="12" t="str">
        <x:v>00–05</x:v>
      </x:c>
    </x:row>
    <x:row r="344">
      <x:c r="A344" s="12" t="str">
        <x:v>8月平日</x:v>
      </x:c>
      <x:c r="B344" s="12" t="str">
        <x:v>2026-08-21</x:v>
      </x:c>
      <x:c r="C344" s="12" t="str">
        <x:v>05:00</x:v>
      </x:c>
      <x:c r="D344" s="13" t="n">
        <x:v>36</x:v>
      </x:c>
      <x:c r="E344" s="13" t="n">
        <x:v>0</x:v>
      </x:c>
      <x:c r="F344" s="13" t="n">
        <x:v>36</x:v>
      </x:c>
      <x:c r="G344" s="13" t="n">
        <x:v>43</x:v>
      </x:c>
      <x:c r="H344" s="13" t="n">
        <x:v>1</x:v>
      </x:c>
      <x:c r="I344" s="13" t="n">
        <x:v>44</x:v>
      </x:c>
      <x:c r="J344" s="13" t="n">
        <x:v>8</x:v>
      </x:c>
      <x:c r="K344" s="14" t="n">
        <x:f>IFERROR(F344/SUMIFS($F:$F,$B:$B,B344),0)</x:f>
        <x:v>0.005192557334487235</x:v>
      </x:c>
      <x:c r="L344" s="12" t="str">
        <x:v>00–05</x:v>
      </x:c>
    </x:row>
    <x:row r="345">
      <x:c r="A345" s="12" t="str">
        <x:v>8月平日</x:v>
      </x:c>
      <x:c r="B345" s="12" t="str">
        <x:v>2026-08-21</x:v>
      </x:c>
      <x:c r="C345" s="12" t="str">
        <x:v>06:00</x:v>
      </x:c>
      <x:c r="D345" s="13" t="n">
        <x:v>117</x:v>
      </x:c>
      <x:c r="E345" s="13" t="n">
        <x:v>1</x:v>
      </x:c>
      <x:c r="F345" s="13" t="n">
        <x:v>118</x:v>
      </x:c>
      <x:c r="G345" s="13" t="n">
        <x:v>121</x:v>
      </x:c>
      <x:c r="H345" s="13" t="n">
        <x:v>13</x:v>
      </x:c>
      <x:c r="I345" s="13" t="n">
        <x:v>134</x:v>
      </x:c>
      <x:c r="J345" s="13" t="n">
        <x:v>16</x:v>
      </x:c>
      <x:c r="K345" s="14" t="n">
        <x:f>IFERROR(F345/SUMIFS($F:$F,$B:$B,B345),0)</x:f>
        <x:v>0.01702004904081927</x:v>
      </x:c>
      <x:c r="L345" s="12" t="str">
        <x:v>06–09</x:v>
      </x:c>
    </x:row>
    <x:row r="346">
      <x:c r="A346" s="12" t="str">
        <x:v>8月平日</x:v>
      </x:c>
      <x:c r="B346" s="12" t="str">
        <x:v>2026-08-21</x:v>
      </x:c>
      <x:c r="C346" s="12" t="str">
        <x:v>07:00</x:v>
      </x:c>
      <x:c r="D346" s="13" t="n">
        <x:v>323</x:v>
      </x:c>
      <x:c r="E346" s="13" t="n">
        <x:v>13</x:v>
      </x:c>
      <x:c r="F346" s="13" t="n">
        <x:v>336</x:v>
      </x:c>
      <x:c r="G346" s="13" t="n">
        <x:v>414</x:v>
      </x:c>
      <x:c r="H346" s="13" t="n">
        <x:v>15</x:v>
      </x:c>
      <x:c r="I346" s="13" t="n">
        <x:v>429</x:v>
      </x:c>
      <x:c r="J346" s="13" t="n">
        <x:v>93</x:v>
      </x:c>
      <x:c r="K346" s="14" t="n">
        <x:f>IFERROR(F346/SUMIFS($F:$F,$B:$B,B346),0)</x:f>
        <x:v>0.04846386845521419</x:v>
      </x:c>
      <x:c r="L346" s="12" t="str">
        <x:v>06–09</x:v>
      </x:c>
    </x:row>
    <x:row r="347">
      <x:c r="A347" s="12" t="str">
        <x:v>8月平日</x:v>
      </x:c>
      <x:c r="B347" s="12" t="str">
        <x:v>2026-08-21</x:v>
      </x:c>
      <x:c r="C347" s="12" t="str">
        <x:v>08:00</x:v>
      </x:c>
      <x:c r="D347" s="13" t="n">
        <x:v>594</x:v>
      </x:c>
      <x:c r="E347" s="13" t="n">
        <x:v>27</x:v>
      </x:c>
      <x:c r="F347" s="13" t="n">
        <x:v>621</x:v>
      </x:c>
      <x:c r="G347" s="13" t="n">
        <x:v>855</x:v>
      </x:c>
      <x:c r="H347" s="13" t="n">
        <x:v>44</x:v>
      </x:c>
      <x:c r="I347" s="13" t="n">
        <x:v>899</x:v>
      </x:c>
      <x:c r="J347" s="13" t="n">
        <x:v>278</x:v>
      </x:c>
      <x:c r="K347" s="14" t="n">
        <x:f>IFERROR(F347/SUMIFS($F:$F,$B:$B,B347),0)</x:f>
        <x:v>0.08957161401990481</x:v>
      </x:c>
      <x:c r="L347" s="12" t="str">
        <x:v>06–09</x:v>
      </x:c>
    </x:row>
    <x:row r="348">
      <x:c r="A348" s="12" t="str">
        <x:v>8月平日</x:v>
      </x:c>
      <x:c r="B348" s="12" t="str">
        <x:v>2026-08-21</x:v>
      </x:c>
      <x:c r="C348" s="12" t="str">
        <x:v>09:00</x:v>
      </x:c>
      <x:c r="D348" s="13" t="n">
        <x:v>548</x:v>
      </x:c>
      <x:c r="E348" s="13" t="n">
        <x:v>18</x:v>
      </x:c>
      <x:c r="F348" s="13" t="n">
        <x:v>566</x:v>
      </x:c>
      <x:c r="G348" s="13" t="n">
        <x:v>799</x:v>
      </x:c>
      <x:c r="H348" s="13" t="n">
        <x:v>33</x:v>
      </x:c>
      <x:c r="I348" s="13" t="n">
        <x:v>832</x:v>
      </x:c>
      <x:c r="J348" s="13" t="n">
        <x:v>266</x:v>
      </x:c>
      <x:c r="K348" s="14" t="n">
        <x:f>IFERROR(F348/SUMIFS($F:$F,$B:$B,B348),0)</x:f>
        <x:v>0.0816385403144382</x:v>
      </x:c>
      <x:c r="L348" s="12" t="str">
        <x:v>06–09</x:v>
      </x:c>
    </x:row>
    <x:row r="349">
      <x:c r="A349" s="12" t="str">
        <x:v>8月平日</x:v>
      </x:c>
      <x:c r="B349" s="12" t="str">
        <x:v>2026-08-21</x:v>
      </x:c>
      <x:c r="C349" s="12" t="str">
        <x:v>10:00</x:v>
      </x:c>
      <x:c r="D349" s="13" t="n">
        <x:v>516</x:v>
      </x:c>
      <x:c r="E349" s="13" t="n">
        <x:v>21</x:v>
      </x:c>
      <x:c r="F349" s="13" t="n">
        <x:v>537</x:v>
      </x:c>
      <x:c r="G349" s="13" t="n">
        <x:v>696</x:v>
      </x:c>
      <x:c r="H349" s="13" t="n">
        <x:v>36</x:v>
      </x:c>
      <x:c r="I349" s="13" t="n">
        <x:v>732</x:v>
      </x:c>
      <x:c r="J349" s="13" t="n">
        <x:v>195</x:v>
      </x:c>
      <x:c r="K349" s="14" t="n">
        <x:f>IFERROR(F349/SUMIFS($F:$F,$B:$B,B349),0)</x:f>
        <x:v>0.07745564690610125</x:v>
      </x:c>
      <x:c r="L349" s="12" t="str">
        <x:v>10–13</x:v>
      </x:c>
    </x:row>
    <x:row r="350">
      <x:c r="A350" s="12" t="str">
        <x:v>8月平日</x:v>
      </x:c>
      <x:c r="B350" s="12" t="str">
        <x:v>2026-08-21</x:v>
      </x:c>
      <x:c r="C350" s="12" t="str">
        <x:v>11:00</x:v>
      </x:c>
      <x:c r="D350" s="13" t="n">
        <x:v>764</x:v>
      </x:c>
      <x:c r="E350" s="13" t="n">
        <x:v>39</x:v>
      </x:c>
      <x:c r="F350" s="13" t="n">
        <x:v>803</x:v>
      </x:c>
      <x:c r="G350" s="13" t="n">
        <x:v>690</x:v>
      </x:c>
      <x:c r="H350" s="13" t="n">
        <x:v>32</x:v>
      </x:c>
      <x:c r="I350" s="13" t="n">
        <x:v>722</x:v>
      </x:c>
      <x:c r="J350" s="13" t="n">
        <x:v>-81</x:v>
      </x:c>
      <x:c r="K350" s="14" t="n">
        <x:f>IFERROR(F350/SUMIFS($F:$F,$B:$B,B350),0)</x:f>
        <x:v>0.1158228760998125</x:v>
      </x:c>
      <x:c r="L350" s="12" t="str">
        <x:v>10–13</x:v>
      </x:c>
    </x:row>
    <x:row r="351">
      <x:c r="A351" s="12" t="str">
        <x:v>8月平日</x:v>
      </x:c>
      <x:c r="B351" s="12" t="str">
        <x:v>2026-08-21</x:v>
      </x:c>
      <x:c r="C351" s="12" t="str">
        <x:v>12:00</x:v>
      </x:c>
      <x:c r="D351" s="13" t="n">
        <x:v>960</x:v>
      </x:c>
      <x:c r="E351" s="13" t="n">
        <x:v>27</x:v>
      </x:c>
      <x:c r="F351" s="13" t="n">
        <x:v>987</x:v>
      </x:c>
      <x:c r="G351" s="13" t="n">
        <x:v>922</x:v>
      </x:c>
      <x:c r="H351" s="13" t="n">
        <x:v>39</x:v>
      </x:c>
      <x:c r="I351" s="13" t="n">
        <x:v>961</x:v>
      </x:c>
      <x:c r="J351" s="13" t="n">
        <x:v>-26</x:v>
      </x:c>
      <x:c r="K351" s="14" t="n">
        <x:f>IFERROR(F351/SUMIFS($F:$F,$B:$B,B351),0)</x:f>
        <x:v>0.14236261358719168</x:v>
      </x:c>
      <x:c r="L351" s="12" t="str">
        <x:v>10–13</x:v>
      </x:c>
    </x:row>
    <x:row r="352">
      <x:c r="A352" s="12" t="str">
        <x:v>8月平日</x:v>
      </x:c>
      <x:c r="B352" s="12" t="str">
        <x:v>2026-08-21</x:v>
      </x:c>
      <x:c r="C352" s="12" t="str">
        <x:v>13:00</x:v>
      </x:c>
      <x:c r="D352" s="13" t="n">
        <x:v>593</x:v>
      </x:c>
      <x:c r="E352" s="13" t="n">
        <x:v>20</x:v>
      </x:c>
      <x:c r="F352" s="13" t="n">
        <x:v>613</x:v>
      </x:c>
      <x:c r="G352" s="13" t="n">
        <x:v>799</x:v>
      </x:c>
      <x:c r="H352" s="13" t="n">
        <x:v>25</x:v>
      </x:c>
      <x:c r="I352" s="13" t="n">
        <x:v>824</x:v>
      </x:c>
      <x:c r="J352" s="13" t="n">
        <x:v>211</x:v>
      </x:c>
      <x:c r="K352" s="14" t="n">
        <x:f>IFERROR(F352/SUMIFS($F:$F,$B:$B,B352),0)</x:f>
        <x:v>0.08841771239001875</x:v>
      </x:c>
      <x:c r="L352" s="12" t="str">
        <x:v>10–13</x:v>
      </x:c>
    </x:row>
    <x:row r="353">
      <x:c r="A353" s="12" t="str">
        <x:v>8月平日</x:v>
      </x:c>
      <x:c r="B353" s="12" t="str">
        <x:v>2026-08-21</x:v>
      </x:c>
      <x:c r="C353" s="12" t="str">
        <x:v>14:00</x:v>
      </x:c>
      <x:c r="D353" s="13" t="n">
        <x:v>663</x:v>
      </x:c>
      <x:c r="E353" s="13" t="n">
        <x:v>23</x:v>
      </x:c>
      <x:c r="F353" s="13" t="n">
        <x:v>686</x:v>
      </x:c>
      <x:c r="G353" s="13" t="n">
        <x:v>692</x:v>
      </x:c>
      <x:c r="H353" s="13" t="n">
        <x:v>24</x:v>
      </x:c>
      <x:c r="I353" s="13" t="n">
        <x:v>716</x:v>
      </x:c>
      <x:c r="J353" s="13" t="n">
        <x:v>30</x:v>
      </x:c>
      <x:c r="K353" s="14" t="n">
        <x:f>IFERROR(F353/SUMIFS($F:$F,$B:$B,B353),0)</x:f>
        <x:v>0.09894706476272898</x:v>
      </x:c>
      <x:c r="L353" s="12" t="str">
        <x:v>14–17</x:v>
      </x:c>
    </x:row>
    <x:row r="354">
      <x:c r="A354" s="12" t="str">
        <x:v>8月平日</x:v>
      </x:c>
      <x:c r="B354" s="12" t="str">
        <x:v>2026-08-21</x:v>
      </x:c>
      <x:c r="C354" s="12" t="str">
        <x:v>15:00</x:v>
      </x:c>
      <x:c r="D354" s="13" t="n">
        <x:v>388</x:v>
      </x:c>
      <x:c r="E354" s="13" t="n">
        <x:v>16</x:v>
      </x:c>
      <x:c r="F354" s="13" t="n">
        <x:v>404</x:v>
      </x:c>
      <x:c r="G354" s="13" t="n">
        <x:v>442</x:v>
      </x:c>
      <x:c r="H354" s="13" t="n">
        <x:v>15</x:v>
      </x:c>
      <x:c r="I354" s="13" t="n">
        <x:v>457</x:v>
      </x:c>
      <x:c r="J354" s="13" t="n">
        <x:v>53</x:v>
      </x:c>
      <x:c r="K354" s="14" t="n">
        <x:f>IFERROR(F354/SUMIFS($F:$F,$B:$B,B354),0)</x:f>
        <x:v>0.05827203230924564</x:v>
      </x:c>
      <x:c r="L354" s="12" t="str">
        <x:v>14–17</x:v>
      </x:c>
    </x:row>
    <x:row r="355">
      <x:c r="A355" s="12" t="str">
        <x:v>8月平日</x:v>
      </x:c>
      <x:c r="B355" s="12" t="str">
        <x:v>2026-08-21</x:v>
      </x:c>
      <x:c r="C355" s="12" t="str">
        <x:v>16:00</x:v>
      </x:c>
      <x:c r="D355" s="13" t="n">
        <x:v>101</x:v>
      </x:c>
      <x:c r="E355" s="13" t="n">
        <x:v>5</x:v>
      </x:c>
      <x:c r="F355" s="13" t="n">
        <x:v>106</x:v>
      </x:c>
      <x:c r="G355" s="13" t="n">
        <x:v>64</x:v>
      </x:c>
      <x:c r="H355" s="13" t="n">
        <x:v>5</x:v>
      </x:c>
      <x:c r="I355" s="13" t="n">
        <x:v>69</x:v>
      </x:c>
      <x:c r="J355" s="13" t="n">
        <x:v>-37</x:v>
      </x:c>
      <x:c r="K355" s="14" t="n">
        <x:f>IFERROR(F355/SUMIFS($F:$F,$B:$B,B355),0)</x:f>
        <x:v>0.015289196595990193</x:v>
      </x:c>
      <x:c r="L355" s="12" t="str">
        <x:v>14–17</x:v>
      </x:c>
    </x:row>
    <x:row r="356">
      <x:c r="A356" s="12" t="str">
        <x:v>8月平日</x:v>
      </x:c>
      <x:c r="B356" s="12" t="str">
        <x:v>2026-08-21</x:v>
      </x:c>
      <x:c r="C356" s="12" t="str">
        <x:v>17:00</x:v>
      </x:c>
      <x:c r="D356" s="13" t="n">
        <x:v>106</x:v>
      </x:c>
      <x:c r="E356" s="13" t="n">
        <x:v>12</x:v>
      </x:c>
      <x:c r="F356" s="13" t="n">
        <x:v>118</x:v>
      </x:c>
      <x:c r="G356" s="13" t="n">
        <x:v>77</x:v>
      </x:c>
      <x:c r="H356" s="13" t="n">
        <x:v>7</x:v>
      </x:c>
      <x:c r="I356" s="13" t="n">
        <x:v>84</x:v>
      </x:c>
      <x:c r="J356" s="13" t="n">
        <x:v>-34</x:v>
      </x:c>
      <x:c r="K356" s="14" t="n">
        <x:f>IFERROR(F356/SUMIFS($F:$F,$B:$B,B356),0)</x:f>
        <x:v>0.01702004904081927</x:v>
      </x:c>
      <x:c r="L356" s="12" t="str">
        <x:v>14–17</x:v>
      </x:c>
    </x:row>
    <x:row r="357">
      <x:c r="A357" s="12" t="str">
        <x:v>8月平日</x:v>
      </x:c>
      <x:c r="B357" s="12" t="str">
        <x:v>2026-08-21</x:v>
      </x:c>
      <x:c r="C357" s="12" t="str">
        <x:v>18:00</x:v>
      </x:c>
      <x:c r="D357" s="13" t="n">
        <x:v>205</x:v>
      </x:c>
      <x:c r="E357" s="13" t="n">
        <x:v>14</x:v>
      </x:c>
      <x:c r="F357" s="13" t="n">
        <x:v>219</x:v>
      </x:c>
      <x:c r="G357" s="13" t="n">
        <x:v>127</x:v>
      </x:c>
      <x:c r="H357" s="13" t="n">
        <x:v>3</x:v>
      </x:c>
      <x:c r="I357" s="13" t="n">
        <x:v>130</x:v>
      </x:c>
      <x:c r="J357" s="13" t="n">
        <x:v>-89</x:v>
      </x:c>
      <x:c r="K357" s="14" t="n">
        <x:f>IFERROR(F357/SUMIFS($F:$F,$B:$B,B357),0)</x:f>
        <x:v>0.03158805711813068</x:v>
      </x:c>
      <x:c r="L357" s="12" t="str">
        <x:v>18–21</x:v>
      </x:c>
    </x:row>
    <x:row r="358">
      <x:c r="A358" s="12" t="str">
        <x:v>8月平日</x:v>
      </x:c>
      <x:c r="B358" s="12" t="str">
        <x:v>2026-08-21</x:v>
      </x:c>
      <x:c r="C358" s="12" t="str">
        <x:v>19:00</x:v>
      </x:c>
      <x:c r="D358" s="13" t="n">
        <x:v>159</x:v>
      </x:c>
      <x:c r="E358" s="13" t="n">
        <x:v>5</x:v>
      </x:c>
      <x:c r="F358" s="13" t="n">
        <x:v>164</x:v>
      </x:c>
      <x:c r="G358" s="13" t="n">
        <x:v>103</x:v>
      </x:c>
      <x:c r="H358" s="13" t="n">
        <x:v>3</x:v>
      </x:c>
      <x:c r="I358" s="13" t="n">
        <x:v>106</x:v>
      </x:c>
      <x:c r="J358" s="13" t="n">
        <x:v>-58</x:v>
      </x:c>
      <x:c r="K358" s="14" t="n">
        <x:f>IFERROR(F358/SUMIFS($F:$F,$B:$B,B358),0)</x:f>
        <x:v>0.02365498341266407</x:v>
      </x:c>
      <x:c r="L358" s="12" t="str">
        <x:v>18–21</x:v>
      </x:c>
    </x:row>
    <x:row r="359">
      <x:c r="A359" s="12" t="str">
        <x:v>8月平日</x:v>
      </x:c>
      <x:c r="B359" s="12" t="str">
        <x:v>2026-08-21</x:v>
      </x:c>
      <x:c r="C359" s="12" t="str">
        <x:v>20:00</x:v>
      </x:c>
      <x:c r="D359" s="13" t="n">
        <x:v>97</x:v>
      </x:c>
      <x:c r="E359" s="13" t="n">
        <x:v>2</x:v>
      </x:c>
      <x:c r="F359" s="13" t="n">
        <x:v>99</x:v>
      </x:c>
      <x:c r="G359" s="13" t="n">
        <x:v>66</x:v>
      </x:c>
      <x:c r="H359" s="13" t="n">
        <x:v>0</x:v>
      </x:c>
      <x:c r="I359" s="13" t="n">
        <x:v>66</x:v>
      </x:c>
      <x:c r="J359" s="13" t="n">
        <x:v>-33</x:v>
      </x:c>
      <x:c r="K359" s="14" t="n">
        <x:f>IFERROR(F359/SUMIFS($F:$F,$B:$B,B359),0)</x:f>
        <x:v>0.014279532669839896</x:v>
      </x:c>
      <x:c r="L359" s="12" t="str">
        <x:v>18–21</x:v>
      </x:c>
    </x:row>
    <x:row r="360">
      <x:c r="A360" s="12" t="str">
        <x:v>8月平日</x:v>
      </x:c>
      <x:c r="B360" s="12" t="str">
        <x:v>2026-08-21</x:v>
      </x:c>
      <x:c r="C360" s="12" t="str">
        <x:v>21:00</x:v>
      </x:c>
      <x:c r="D360" s="13" t="n">
        <x:v>104</x:v>
      </x:c>
      <x:c r="E360" s="13" t="n">
        <x:v>3</x:v>
      </x:c>
      <x:c r="F360" s="13" t="n">
        <x:v>107</x:v>
      </x:c>
      <x:c r="G360" s="13" t="n">
        <x:v>71</x:v>
      </x:c>
      <x:c r="H360" s="13" t="n">
        <x:v>0</x:v>
      </x:c>
      <x:c r="I360" s="13" t="n">
        <x:v>71</x:v>
      </x:c>
      <x:c r="J360" s="13" t="n">
        <x:v>-36</x:v>
      </x:c>
      <x:c r="K360" s="14" t="n">
        <x:f>IFERROR(F360/SUMIFS($F:$F,$B:$B,B360),0)</x:f>
        <x:v>0.015433434299725948</x:v>
      </x:c>
      <x:c r="L360" s="12" t="str">
        <x:v>18–21</x:v>
      </x:c>
    </x:row>
    <x:row r="361">
      <x:c r="A361" s="12" t="str">
        <x:v>8月平日</x:v>
      </x:c>
      <x:c r="B361" s="12" t="str">
        <x:v>2026-08-21</x:v>
      </x:c>
      <x:c r="C361" s="12" t="str">
        <x:v>22:00</x:v>
      </x:c>
      <x:c r="D361" s="13" t="n">
        <x:v>131</x:v>
      </x:c>
      <x:c r="E361" s="13" t="n">
        <x:v>2</x:v>
      </x:c>
      <x:c r="F361" s="13" t="n">
        <x:v>133</x:v>
      </x:c>
      <x:c r="G361" s="13" t="n">
        <x:v>103</x:v>
      </x:c>
      <x:c r="H361" s="13" t="n">
        <x:v>1</x:v>
      </x:c>
      <x:c r="I361" s="13" t="n">
        <x:v>104</x:v>
      </x:c>
      <x:c r="J361" s="13" t="n">
        <x:v>-29</x:v>
      </x:c>
      <x:c r="K361" s="14" t="n">
        <x:f>IFERROR(F361/SUMIFS($F:$F,$B:$B,B361),0)</x:f>
        <x:v>0.01918361459685562</x:v>
      </x:c>
      <x:c r="L361" s="12" t="str">
        <x:v>22–23</x:v>
      </x:c>
    </x:row>
    <x:row r="362">
      <x:c r="A362" s="12" t="str">
        <x:v>8月平日</x:v>
      </x:c>
      <x:c r="B362" s="12" t="str">
        <x:v>2026-08-21</x:v>
      </x:c>
      <x:c r="C362" s="12" t="str">
        <x:v>23:00</x:v>
      </x:c>
      <x:c r="D362" s="13" t="n">
        <x:v>109</x:v>
      </x:c>
      <x:c r="E362" s="13" t="n">
        <x:v>3</x:v>
      </x:c>
      <x:c r="F362" s="13" t="n">
        <x:v>112</x:v>
      </x:c>
      <x:c r="G362" s="13" t="n">
        <x:v>71</x:v>
      </x:c>
      <x:c r="H362" s="13" t="n">
        <x:v>4</x:v>
      </x:c>
      <x:c r="I362" s="13" t="n">
        <x:v>75</x:v>
      </x:c>
      <x:c r="J362" s="13" t="n">
        <x:v>-37</x:v>
      </x:c>
      <x:c r="K362" s="14" t="n">
        <x:f>IFERROR(F362/SUMIFS($F:$F,$B:$B,B362),0)</x:f>
        <x:v>0.01615462281840473</x:v>
      </x:c>
      <x:c r="L362" s="12" t="str">
        <x:v>22–23</x:v>
      </x:c>
    </x:row>
    <x:row r="363">
      <x:c r="A363" s="12" t="str">
        <x:v>8月平日</x:v>
      </x:c>
      <x:c r="B363" s="12" t="str">
        <x:v>2026-08-24</x:v>
      </x:c>
      <x:c r="C363" s="12" t="str">
        <x:v>00:00</x:v>
      </x:c>
      <x:c r="D363" s="13" t="n">
        <x:v>56</x:v>
      </x:c>
      <x:c r="E363" s="13" t="n">
        <x:v>4</x:v>
      </x:c>
      <x:c r="F363" s="13" t="n">
        <x:v>60</x:v>
      </x:c>
      <x:c r="G363" s="13" t="n">
        <x:v>69</x:v>
      </x:c>
      <x:c r="H363" s="13" t="n">
        <x:v>1</x:v>
      </x:c>
      <x:c r="I363" s="13" t="n">
        <x:v>70</x:v>
      </x:c>
      <x:c r="J363" s="13" t="n">
        <x:v>10</x:v>
      </x:c>
      <x:c r="K363" s="14" t="n">
        <x:f>IFERROR(F363/SUMIFS($F:$F,$B:$B,B363),0)</x:f>
        <x:v>0.01098901098901099</x:v>
      </x:c>
      <x:c r="L363" s="12" t="str">
        <x:v>00–05</x:v>
      </x:c>
    </x:row>
    <x:row r="364">
      <x:c r="A364" s="12" t="str">
        <x:v>8月平日</x:v>
      </x:c>
      <x:c r="B364" s="12" t="str">
        <x:v>2026-08-24</x:v>
      </x:c>
      <x:c r="C364" s="12" t="str">
        <x:v>01:00</x:v>
      </x:c>
      <x:c r="D364" s="13" t="n">
        <x:v>19</x:v>
      </x:c>
      <x:c r="E364" s="13" t="n">
        <x:v>1</x:v>
      </x:c>
      <x:c r="F364" s="13" t="n">
        <x:v>20</x:v>
      </x:c>
      <x:c r="G364" s="13" t="n">
        <x:v>25</x:v>
      </x:c>
      <x:c r="H364" s="13" t="n">
        <x:v>2</x:v>
      </x:c>
      <x:c r="I364" s="13" t="n">
        <x:v>27</x:v>
      </x:c>
      <x:c r="J364" s="13" t="n">
        <x:v>7</x:v>
      </x:c>
      <x:c r="K364" s="14" t="n">
        <x:f>IFERROR(F364/SUMIFS($F:$F,$B:$B,B364),0)</x:f>
        <x:v>0.003663003663003663</x:v>
      </x:c>
      <x:c r="L364" s="12" t="str">
        <x:v>00–05</x:v>
      </x:c>
    </x:row>
    <x:row r="365">
      <x:c r="A365" s="12" t="str">
        <x:v>8月平日</x:v>
      </x:c>
      <x:c r="B365" s="12" t="str">
        <x:v>2026-08-24</x:v>
      </x:c>
      <x:c r="C365" s="12" t="str">
        <x:v>02:00</x:v>
      </x:c>
      <x:c r="D365" s="13" t="n">
        <x:v>22</x:v>
      </x:c>
      <x:c r="E365" s="13" t="n">
        <x:v>1</x:v>
      </x:c>
      <x:c r="F365" s="13" t="n">
        <x:v>23</x:v>
      </x:c>
      <x:c r="G365" s="13" t="n">
        <x:v>24</x:v>
      </x:c>
      <x:c r="H365" s="13" t="n">
        <x:v>1</x:v>
      </x:c>
      <x:c r="I365" s="13" t="n">
        <x:v>25</x:v>
      </x:c>
      <x:c r="J365" s="13" t="n">
        <x:v>2</x:v>
      </x:c>
      <x:c r="K365" s="14" t="n">
        <x:f>IFERROR(F365/SUMIFS($F:$F,$B:$B,B365),0)</x:f>
        <x:v>0.004212454212454212</x:v>
      </x:c>
      <x:c r="L365" s="12" t="str">
        <x:v>00–05</x:v>
      </x:c>
    </x:row>
    <x:row r="366">
      <x:c r="A366" s="12" t="str">
        <x:v>8月平日</x:v>
      </x:c>
      <x:c r="B366" s="12" t="str">
        <x:v>2026-08-24</x:v>
      </x:c>
      <x:c r="C366" s="12" t="str">
        <x:v>03:00</x:v>
      </x:c>
      <x:c r="D366" s="13" t="n">
        <x:v>13</x:v>
      </x:c>
      <x:c r="E366" s="13" t="n">
        <x:v>1</x:v>
      </x:c>
      <x:c r="F366" s="13" t="n">
        <x:v>14</x:v>
      </x:c>
      <x:c r="G366" s="13" t="n">
        <x:v>11</x:v>
      </x:c>
      <x:c r="H366" s="13" t="n">
        <x:v>0</x:v>
      </x:c>
      <x:c r="I366" s="13" t="n">
        <x:v>11</x:v>
      </x:c>
      <x:c r="J366" s="13" t="n">
        <x:v>-3</x:v>
      </x:c>
      <x:c r="K366" s="14" t="n">
        <x:f>IFERROR(F366/SUMIFS($F:$F,$B:$B,B366),0)</x:f>
        <x:v>0.002564102564102564</x:v>
      </x:c>
      <x:c r="L366" s="12" t="str">
        <x:v>00–05</x:v>
      </x:c>
    </x:row>
    <x:row r="367">
      <x:c r="A367" s="12" t="str">
        <x:v>8月平日</x:v>
      </x:c>
      <x:c r="B367" s="12" t="str">
        <x:v>2026-08-24</x:v>
      </x:c>
      <x:c r="C367" s="12" t="str">
        <x:v>04:00</x:v>
      </x:c>
      <x:c r="D367" s="13" t="n">
        <x:v>10</x:v>
      </x:c>
      <x:c r="E367" s="13" t="n">
        <x:v>1</x:v>
      </x:c>
      <x:c r="F367" s="13" t="n">
        <x:v>11</x:v>
      </x:c>
      <x:c r="G367" s="13" t="n">
        <x:v>6</x:v>
      </x:c>
      <x:c r="H367" s="13" t="n">
        <x:v>0</x:v>
      </x:c>
      <x:c r="I367" s="13" t="n">
        <x:v>6</x:v>
      </x:c>
      <x:c r="J367" s="13" t="n">
        <x:v>-5</x:v>
      </x:c>
      <x:c r="K367" s="14" t="n">
        <x:f>IFERROR(F367/SUMIFS($F:$F,$B:$B,B367),0)</x:f>
        <x:v>0.002014652014652015</x:v>
      </x:c>
      <x:c r="L367" s="12" t="str">
        <x:v>00–05</x:v>
      </x:c>
    </x:row>
    <x:row r="368">
      <x:c r="A368" s="12" t="str">
        <x:v>8月平日</x:v>
      </x:c>
      <x:c r="B368" s="12" t="str">
        <x:v>2026-08-24</x:v>
      </x:c>
      <x:c r="C368" s="12" t="str">
        <x:v>05:00</x:v>
      </x:c>
      <x:c r="D368" s="13" t="n">
        <x:v>29</x:v>
      </x:c>
      <x:c r="E368" s="13" t="n">
        <x:v>1</x:v>
      </x:c>
      <x:c r="F368" s="13" t="n">
        <x:v>30</x:v>
      </x:c>
      <x:c r="G368" s="13" t="n">
        <x:v>36</x:v>
      </x:c>
      <x:c r="H368" s="13" t="n">
        <x:v>3</x:v>
      </x:c>
      <x:c r="I368" s="13" t="n">
        <x:v>39</x:v>
      </x:c>
      <x:c r="J368" s="13" t="n">
        <x:v>9</x:v>
      </x:c>
      <x:c r="K368" s="14" t="n">
        <x:f>IFERROR(F368/SUMIFS($F:$F,$B:$B,B368),0)</x:f>
        <x:v>0.005494505494505495</x:v>
      </x:c>
      <x:c r="L368" s="12" t="str">
        <x:v>00–05</x:v>
      </x:c>
    </x:row>
    <x:row r="369">
      <x:c r="A369" s="12" t="str">
        <x:v>8月平日</x:v>
      </x:c>
      <x:c r="B369" s="12" t="str">
        <x:v>2026-08-24</x:v>
      </x:c>
      <x:c r="C369" s="12" t="str">
        <x:v>06:00</x:v>
      </x:c>
      <x:c r="D369" s="13" t="n">
        <x:v>93</x:v>
      </x:c>
      <x:c r="E369" s="13" t="n">
        <x:v>6</x:v>
      </x:c>
      <x:c r="F369" s="13" t="n">
        <x:v>99</x:v>
      </x:c>
      <x:c r="G369" s="13" t="n">
        <x:v>111</x:v>
      </x:c>
      <x:c r="H369" s="13" t="n">
        <x:v>7</x:v>
      </x:c>
      <x:c r="I369" s="13" t="n">
        <x:v>118</x:v>
      </x:c>
      <x:c r="J369" s="13" t="n">
        <x:v>19</x:v>
      </x:c>
      <x:c r="K369" s="14" t="n">
        <x:f>IFERROR(F369/SUMIFS($F:$F,$B:$B,B369),0)</x:f>
        <x:v>0.018131868131868133</x:v>
      </x:c>
      <x:c r="L369" s="12" t="str">
        <x:v>06–09</x:v>
      </x:c>
    </x:row>
    <x:row r="370">
      <x:c r="A370" s="12" t="str">
        <x:v>8月平日</x:v>
      </x:c>
      <x:c r="B370" s="12" t="str">
        <x:v>2026-08-24</x:v>
      </x:c>
      <x:c r="C370" s="12" t="str">
        <x:v>07:00</x:v>
      </x:c>
      <x:c r="D370" s="13" t="n">
        <x:v>313</x:v>
      </x:c>
      <x:c r="E370" s="13" t="n">
        <x:v>14</x:v>
      </x:c>
      <x:c r="F370" s="13" t="n">
        <x:v>327</x:v>
      </x:c>
      <x:c r="G370" s="13" t="n">
        <x:v>357</x:v>
      </x:c>
      <x:c r="H370" s="13" t="n">
        <x:v>12</x:v>
      </x:c>
      <x:c r="I370" s="13" t="n">
        <x:v>369</x:v>
      </x:c>
      <x:c r="J370" s="13" t="n">
        <x:v>42</x:v>
      </x:c>
      <x:c r="K370" s="14" t="n">
        <x:f>IFERROR(F370/SUMIFS($F:$F,$B:$B,B370),0)</x:f>
        <x:v>0.05989010989010989</x:v>
      </x:c>
      <x:c r="L370" s="12" t="str">
        <x:v>06–09</x:v>
      </x:c>
    </x:row>
    <x:row r="371">
      <x:c r="A371" s="12" t="str">
        <x:v>8月平日</x:v>
      </x:c>
      <x:c r="B371" s="12" t="str">
        <x:v>2026-08-24</x:v>
      </x:c>
      <x:c r="C371" s="12" t="str">
        <x:v>08:00</x:v>
      </x:c>
      <x:c r="D371" s="13" t="n">
        <x:v>569</x:v>
      </x:c>
      <x:c r="E371" s="13" t="n">
        <x:v>33</x:v>
      </x:c>
      <x:c r="F371" s="13" t="n">
        <x:v>602</x:v>
      </x:c>
      <x:c r="G371" s="13" t="n">
        <x:v>815</x:v>
      </x:c>
      <x:c r="H371" s="13" t="n">
        <x:v>46</x:v>
      </x:c>
      <x:c r="I371" s="13" t="n">
        <x:v>861</x:v>
      </x:c>
      <x:c r="J371" s="13" t="n">
        <x:v>259</x:v>
      </x:c>
      <x:c r="K371" s="14" t="n">
        <x:f>IFERROR(F371/SUMIFS($F:$F,$B:$B,B371),0)</x:f>
        <x:v>0.11025641025641025</x:v>
      </x:c>
      <x:c r="L371" s="12" t="str">
        <x:v>06–09</x:v>
      </x:c>
    </x:row>
    <x:row r="372">
      <x:c r="A372" s="12" t="str">
        <x:v>8月平日</x:v>
      </x:c>
      <x:c r="B372" s="12" t="str">
        <x:v>2026-08-24</x:v>
      </x:c>
      <x:c r="C372" s="12" t="str">
        <x:v>09:00</x:v>
      </x:c>
      <x:c r="D372" s="13" t="n">
        <x:v>461</x:v>
      </x:c>
      <x:c r="E372" s="13" t="n">
        <x:v>23</x:v>
      </x:c>
      <x:c r="F372" s="13" t="n">
        <x:v>484</x:v>
      </x:c>
      <x:c r="G372" s="13" t="n">
        <x:v>687</x:v>
      </x:c>
      <x:c r="H372" s="13" t="n">
        <x:v>43</x:v>
      </x:c>
      <x:c r="I372" s="13" t="n">
        <x:v>730</x:v>
      </x:c>
      <x:c r="J372" s="13" t="n">
        <x:v>246</x:v>
      </x:c>
      <x:c r="K372" s="14" t="n">
        <x:f>IFERROR(F372/SUMIFS($F:$F,$B:$B,B372),0)</x:f>
        <x:v>0.08864468864468865</x:v>
      </x:c>
      <x:c r="L372" s="12" t="str">
        <x:v>06–09</x:v>
      </x:c>
    </x:row>
    <x:row r="373">
      <x:c r="A373" s="12" t="str">
        <x:v>8月平日</x:v>
      </x:c>
      <x:c r="B373" s="12" t="str">
        <x:v>2026-08-24</x:v>
      </x:c>
      <x:c r="C373" s="12" t="str">
        <x:v>10:00</x:v>
      </x:c>
      <x:c r="D373" s="13" t="n">
        <x:v>432</x:v>
      </x:c>
      <x:c r="E373" s="13" t="n">
        <x:v>21</x:v>
      </x:c>
      <x:c r="F373" s="13" t="n">
        <x:v>453</x:v>
      </x:c>
      <x:c r="G373" s="13" t="n">
        <x:v>579</x:v>
      </x:c>
      <x:c r="H373" s="13" t="n">
        <x:v>36</x:v>
      </x:c>
      <x:c r="I373" s="13" t="n">
        <x:v>615</x:v>
      </x:c>
      <x:c r="J373" s="13" t="n">
        <x:v>162</x:v>
      </x:c>
      <x:c r="K373" s="14" t="n">
        <x:f>IFERROR(F373/SUMIFS($F:$F,$B:$B,B373),0)</x:f>
        <x:v>0.08296703296703296</x:v>
      </x:c>
      <x:c r="L373" s="12" t="str">
        <x:v>10–13</x:v>
      </x:c>
    </x:row>
    <x:row r="374">
      <x:c r="A374" s="12" t="str">
        <x:v>8月平日</x:v>
      </x:c>
      <x:c r="B374" s="12" t="str">
        <x:v>2026-08-24</x:v>
      </x:c>
      <x:c r="C374" s="12" t="str">
        <x:v>11:00</x:v>
      </x:c>
      <x:c r="D374" s="13" t="n">
        <x:v>307</x:v>
      </x:c>
      <x:c r="E374" s="13" t="n">
        <x:v>13</x:v>
      </x:c>
      <x:c r="F374" s="13" t="n">
        <x:v>320</x:v>
      </x:c>
      <x:c r="G374" s="13" t="n">
        <x:v>314</x:v>
      </x:c>
      <x:c r="H374" s="13" t="n">
        <x:v>18</x:v>
      </x:c>
      <x:c r="I374" s="13" t="n">
        <x:v>332</x:v>
      </x:c>
      <x:c r="J374" s="13" t="n">
        <x:v>12</x:v>
      </x:c>
      <x:c r="K374" s="14" t="n">
        <x:f>IFERROR(F374/SUMIFS($F:$F,$B:$B,B374),0)</x:f>
        <x:v>0.05860805860805861</x:v>
      </x:c>
      <x:c r="L374" s="12" t="str">
        <x:v>10–13</x:v>
      </x:c>
    </x:row>
    <x:row r="375">
      <x:c r="A375" s="12" t="str">
        <x:v>8月平日</x:v>
      </x:c>
      <x:c r="B375" s="12" t="str">
        <x:v>2026-08-24</x:v>
      </x:c>
      <x:c r="C375" s="12" t="str">
        <x:v>12:00</x:v>
      </x:c>
      <x:c r="D375" s="13" t="n">
        <x:v>356</x:v>
      </x:c>
      <x:c r="E375" s="13" t="n">
        <x:v>9</x:v>
      </x:c>
      <x:c r="F375" s="13" t="n">
        <x:v>365</x:v>
      </x:c>
      <x:c r="G375" s="13" t="n">
        <x:v>383</x:v>
      </x:c>
      <x:c r="H375" s="13" t="n">
        <x:v>5</x:v>
      </x:c>
      <x:c r="I375" s="13" t="n">
        <x:v>388</x:v>
      </x:c>
      <x:c r="J375" s="13" t="n">
        <x:v>23</x:v>
      </x:c>
      <x:c r="K375" s="14" t="n">
        <x:f>IFERROR(F375/SUMIFS($F:$F,$B:$B,B375),0)</x:f>
        <x:v>0.06684981684981685</x:v>
      </x:c>
      <x:c r="L375" s="12" t="str">
        <x:v>10–13</x:v>
      </x:c>
    </x:row>
    <x:row r="376">
      <x:c r="A376" s="12" t="str">
        <x:v>8月平日</x:v>
      </x:c>
      <x:c r="B376" s="12" t="str">
        <x:v>2026-08-24</x:v>
      </x:c>
      <x:c r="C376" s="12" t="str">
        <x:v>13:00</x:v>
      </x:c>
      <x:c r="D376" s="13" t="n">
        <x:v>214</x:v>
      </x:c>
      <x:c r="E376" s="13" t="n">
        <x:v>5</x:v>
      </x:c>
      <x:c r="F376" s="13" t="n">
        <x:v>219</x:v>
      </x:c>
      <x:c r="G376" s="13" t="n">
        <x:v>297</x:v>
      </x:c>
      <x:c r="H376" s="13" t="n">
        <x:v>9</x:v>
      </x:c>
      <x:c r="I376" s="13" t="n">
        <x:v>306</x:v>
      </x:c>
      <x:c r="J376" s="13" t="n">
        <x:v>87</x:v>
      </x:c>
      <x:c r="K376" s="14" t="n">
        <x:f>IFERROR(F376/SUMIFS($F:$F,$B:$B,B376),0)</x:f>
        <x:v>0.04010989010989011</x:v>
      </x:c>
      <x:c r="L376" s="12" t="str">
        <x:v>10–13</x:v>
      </x:c>
    </x:row>
    <x:row r="377">
      <x:c r="A377" s="12" t="str">
        <x:v>8月平日</x:v>
      </x:c>
      <x:c r="B377" s="12" t="str">
        <x:v>2026-08-24</x:v>
      </x:c>
      <x:c r="C377" s="12" t="str">
        <x:v>14:00</x:v>
      </x:c>
      <x:c r="D377" s="13" t="n">
        <x:v>204</x:v>
      </x:c>
      <x:c r="E377" s="13" t="n">
        <x:v>6</x:v>
      </x:c>
      <x:c r="F377" s="13" t="n">
        <x:v>210</x:v>
      </x:c>
      <x:c r="G377" s="13" t="n">
        <x:v>195</x:v>
      </x:c>
      <x:c r="H377" s="13" t="n">
        <x:v>7</x:v>
      </x:c>
      <x:c r="I377" s="13" t="n">
        <x:v>202</x:v>
      </x:c>
      <x:c r="J377" s="13" t="n">
        <x:v>-8</x:v>
      </x:c>
      <x:c r="K377" s="14" t="n">
        <x:f>IFERROR(F377/SUMIFS($F:$F,$B:$B,B377),0)</x:f>
        <x:v>0.038461538461538464</x:v>
      </x:c>
      <x:c r="L377" s="12" t="str">
        <x:v>14–17</x:v>
      </x:c>
    </x:row>
    <x:row r="378">
      <x:c r="A378" s="12" t="str">
        <x:v>8月平日</x:v>
      </x:c>
      <x:c r="B378" s="12" t="str">
        <x:v>2026-08-24</x:v>
      </x:c>
      <x:c r="C378" s="12" t="str">
        <x:v>15:00</x:v>
      </x:c>
      <x:c r="D378" s="13" t="n">
        <x:v>245</x:v>
      </x:c>
      <x:c r="E378" s="13" t="n">
        <x:v>10</x:v>
      </x:c>
      <x:c r="F378" s="13" t="n">
        <x:v>255</x:v>
      </x:c>
      <x:c r="G378" s="13" t="n">
        <x:v>228</x:v>
      </x:c>
      <x:c r="H378" s="13" t="n">
        <x:v>8</x:v>
      </x:c>
      <x:c r="I378" s="13" t="n">
        <x:v>236</x:v>
      </x:c>
      <x:c r="J378" s="13" t="n">
        <x:v>-19</x:v>
      </x:c>
      <x:c r="K378" s="14" t="n">
        <x:f>IFERROR(F378/SUMIFS($F:$F,$B:$B,B378),0)</x:f>
        <x:v>0.046703296703296704</x:v>
      </x:c>
      <x:c r="L378" s="12" t="str">
        <x:v>14–17</x:v>
      </x:c>
    </x:row>
    <x:row r="379">
      <x:c r="A379" s="12" t="str">
        <x:v>8月平日</x:v>
      </x:c>
      <x:c r="B379" s="12" t="str">
        <x:v>2026-08-24</x:v>
      </x:c>
      <x:c r="C379" s="12" t="str">
        <x:v>16:00</x:v>
      </x:c>
      <x:c r="D379" s="13" t="n">
        <x:v>271</x:v>
      </x:c>
      <x:c r="E379" s="13" t="n">
        <x:v>8</x:v>
      </x:c>
      <x:c r="F379" s="13" t="n">
        <x:v>279</x:v>
      </x:c>
      <x:c r="G379" s="13" t="n">
        <x:v>223</x:v>
      </x:c>
      <x:c r="H379" s="13" t="n">
        <x:v>4</x:v>
      </x:c>
      <x:c r="I379" s="13" t="n">
        <x:v>227</x:v>
      </x:c>
      <x:c r="J379" s="13" t="n">
        <x:v>-52</x:v>
      </x:c>
      <x:c r="K379" s="14" t="n">
        <x:f>IFERROR(F379/SUMIFS($F:$F,$B:$B,B379),0)</x:f>
        <x:v>0.0510989010989011</x:v>
      </x:c>
      <x:c r="L379" s="12" t="str">
        <x:v>14–17</x:v>
      </x:c>
    </x:row>
    <x:row r="380">
      <x:c r="A380" s="12" t="str">
        <x:v>8月平日</x:v>
      </x:c>
      <x:c r="B380" s="12" t="str">
        <x:v>2026-08-24</x:v>
      </x:c>
      <x:c r="C380" s="12" t="str">
        <x:v>17:00</x:v>
      </x:c>
      <x:c r="D380" s="13" t="n">
        <x:v>432</x:v>
      </x:c>
      <x:c r="E380" s="13" t="n">
        <x:v>16</x:v>
      </x:c>
      <x:c r="F380" s="13" t="n">
        <x:v>448</x:v>
      </x:c>
      <x:c r="G380" s="13" t="n">
        <x:v>256</x:v>
      </x:c>
      <x:c r="H380" s="13" t="n">
        <x:v>7</x:v>
      </x:c>
      <x:c r="I380" s="13" t="n">
        <x:v>263</x:v>
      </x:c>
      <x:c r="J380" s="13" t="n">
        <x:v>-185</x:v>
      </x:c>
      <x:c r="K380" s="14" t="n">
        <x:f>IFERROR(F380/SUMIFS($F:$F,$B:$B,B380),0)</x:f>
        <x:v>0.08205128205128205</x:v>
      </x:c>
      <x:c r="L380" s="12" t="str">
        <x:v>14–17</x:v>
      </x:c>
    </x:row>
    <x:row r="381">
      <x:c r="A381" s="12" t="str">
        <x:v>8月平日</x:v>
      </x:c>
      <x:c r="B381" s="12" t="str">
        <x:v>2026-08-24</x:v>
      </x:c>
      <x:c r="C381" s="12" t="str">
        <x:v>18:00</x:v>
      </x:c>
      <x:c r="D381" s="13" t="n">
        <x:v>396</x:v>
      </x:c>
      <x:c r="E381" s="13" t="n">
        <x:v>12</x:v>
      </x:c>
      <x:c r="F381" s="13" t="n">
        <x:v>408</x:v>
      </x:c>
      <x:c r="G381" s="13" t="n">
        <x:v>247</x:v>
      </x:c>
      <x:c r="H381" s="13" t="n">
        <x:v>3</x:v>
      </x:c>
      <x:c r="I381" s="13" t="n">
        <x:v>250</x:v>
      </x:c>
      <x:c r="J381" s="13" t="n">
        <x:v>-158</x:v>
      </x:c>
      <x:c r="K381" s="14" t="n">
        <x:f>IFERROR(F381/SUMIFS($F:$F,$B:$B,B381),0)</x:f>
        <x:v>0.07472527472527472</x:v>
      </x:c>
      <x:c r="L381" s="12" t="str">
        <x:v>18–21</x:v>
      </x:c>
    </x:row>
    <x:row r="382">
      <x:c r="A382" s="12" t="str">
        <x:v>8月平日</x:v>
      </x:c>
      <x:c r="B382" s="12" t="str">
        <x:v>2026-08-24</x:v>
      </x:c>
      <x:c r="C382" s="12" t="str">
        <x:v>19:00</x:v>
      </x:c>
      <x:c r="D382" s="13" t="n">
        <x:v>180</x:v>
      </x:c>
      <x:c r="E382" s="13" t="n">
        <x:v>3</x:v>
      </x:c>
      <x:c r="F382" s="13" t="n">
        <x:v>183</x:v>
      </x:c>
      <x:c r="G382" s="13" t="n">
        <x:v>138</x:v>
      </x:c>
      <x:c r="H382" s="13" t="n">
        <x:v>3</x:v>
      </x:c>
      <x:c r="I382" s="13" t="n">
        <x:v>141</x:v>
      </x:c>
      <x:c r="J382" s="13" t="n">
        <x:v>-42</x:v>
      </x:c>
      <x:c r="K382" s="14" t="n">
        <x:f>IFERROR(F382/SUMIFS($F:$F,$B:$B,B382),0)</x:f>
        <x:v>0.033516483516483515</x:v>
      </x:c>
      <x:c r="L382" s="12" t="str">
        <x:v>18–21</x:v>
      </x:c>
    </x:row>
    <x:row r="383">
      <x:c r="A383" s="12" t="str">
        <x:v>8月平日</x:v>
      </x:c>
      <x:c r="B383" s="12" t="str">
        <x:v>2026-08-24</x:v>
      </x:c>
      <x:c r="C383" s="12" t="str">
        <x:v>20:00</x:v>
      </x:c>
      <x:c r="D383" s="13" t="n">
        <x:v>142</x:v>
      </x:c>
      <x:c r="E383" s="13" t="n">
        <x:v>6</x:v>
      </x:c>
      <x:c r="F383" s="13" t="n">
        <x:v>148</x:v>
      </x:c>
      <x:c r="G383" s="13" t="n">
        <x:v>98</x:v>
      </x:c>
      <x:c r="H383" s="13" t="n">
        <x:v>4</x:v>
      </x:c>
      <x:c r="I383" s="13" t="n">
        <x:v>102</x:v>
      </x:c>
      <x:c r="J383" s="13" t="n">
        <x:v>-46</x:v>
      </x:c>
      <x:c r="K383" s="14" t="n">
        <x:f>IFERROR(F383/SUMIFS($F:$F,$B:$B,B383),0)</x:f>
        <x:v>0.027106227106227107</x:v>
      </x:c>
      <x:c r="L383" s="12" t="str">
        <x:v>18–21</x:v>
      </x:c>
    </x:row>
    <x:row r="384">
      <x:c r="A384" s="12" t="str">
        <x:v>8月平日</x:v>
      </x:c>
      <x:c r="B384" s="12" t="str">
        <x:v>2026-08-24</x:v>
      </x:c>
      <x:c r="C384" s="12" t="str">
        <x:v>21:00</x:v>
      </x:c>
      <x:c r="D384" s="13" t="n">
        <x:v>186</x:v>
      </x:c>
      <x:c r="E384" s="13" t="n">
        <x:v>6</x:v>
      </x:c>
      <x:c r="F384" s="13" t="n">
        <x:v>192</x:v>
      </x:c>
      <x:c r="G384" s="13" t="n">
        <x:v>102</x:v>
      </x:c>
      <x:c r="H384" s="13" t="n">
        <x:v>1</x:v>
      </x:c>
      <x:c r="I384" s="13" t="n">
        <x:v>103</x:v>
      </x:c>
      <x:c r="J384" s="13" t="n">
        <x:v>-89</x:v>
      </x:c>
      <x:c r="K384" s="14" t="n">
        <x:f>IFERROR(F384/SUMIFS($F:$F,$B:$B,B384),0)</x:f>
        <x:v>0.035164835164835165</x:v>
      </x:c>
      <x:c r="L384" s="12" t="str">
        <x:v>18–21</x:v>
      </x:c>
    </x:row>
    <x:row r="385">
      <x:c r="A385" s="12" t="str">
        <x:v>8月平日</x:v>
      </x:c>
      <x:c r="B385" s="12" t="str">
        <x:v>2026-08-24</x:v>
      </x:c>
      <x:c r="C385" s="12" t="str">
        <x:v>22:00</x:v>
      </x:c>
      <x:c r="D385" s="13" t="n">
        <x:v>180</x:v>
      </x:c>
      <x:c r="E385" s="13" t="n">
        <x:v>2</x:v>
      </x:c>
      <x:c r="F385" s="13" t="n">
        <x:v>182</x:v>
      </x:c>
      <x:c r="G385" s="13" t="n">
        <x:v>124</x:v>
      </x:c>
      <x:c r="H385" s="13" t="n">
        <x:v>0</x:v>
      </x:c>
      <x:c r="I385" s="13" t="n">
        <x:v>124</x:v>
      </x:c>
      <x:c r="J385" s="13" t="n">
        <x:v>-58</x:v>
      </x:c>
      <x:c r="K385" s="14" t="n">
        <x:f>IFERROR(F385/SUMIFS($F:$F,$B:$B,B385),0)</x:f>
        <x:v>0.03333333333333333</x:v>
      </x:c>
      <x:c r="L385" s="12" t="str">
        <x:v>22–23</x:v>
      </x:c>
    </x:row>
    <x:row r="386">
      <x:c r="A386" s="12" t="str">
        <x:v>8月平日</x:v>
      </x:c>
      <x:c r="B386" s="12" t="str">
        <x:v>2026-08-24</x:v>
      </x:c>
      <x:c r="C386" s="12" t="str">
        <x:v>23:00</x:v>
      </x:c>
      <x:c r="D386" s="13" t="n">
        <x:v>125</x:v>
      </x:c>
      <x:c r="E386" s="13" t="n">
        <x:v>3</x:v>
      </x:c>
      <x:c r="F386" s="13" t="n">
        <x:v>128</x:v>
      </x:c>
      <x:c r="G386" s="13" t="n">
        <x:v>71</x:v>
      </x:c>
      <x:c r="H386" s="13" t="n">
        <x:v>3</x:v>
      </x:c>
      <x:c r="I386" s="13" t="n">
        <x:v>74</x:v>
      </x:c>
      <x:c r="J386" s="13" t="n">
        <x:v>-54</x:v>
      </x:c>
      <x:c r="K386" s="14" t="n">
        <x:f>IFERROR(F386/SUMIFS($F:$F,$B:$B,B386),0)</x:f>
        <x:v>0.023443223443223443</x:v>
      </x:c>
      <x:c r="L386" s="12" t="str">
        <x:v>22–23</x:v>
      </x:c>
    </x:row>
    <x:row r="387">
      <x:c r="A387" s="12" t="str">
        <x:v>8月平日</x:v>
      </x:c>
      <x:c r="B387" s="12" t="str">
        <x:v>2026-08-25</x:v>
      </x:c>
      <x:c r="C387" s="12" t="str">
        <x:v>00:00</x:v>
      </x:c>
      <x:c r="D387" s="13" t="n">
        <x:v>67</x:v>
      </x:c>
      <x:c r="E387" s="13" t="n">
        <x:v>1</x:v>
      </x:c>
      <x:c r="F387" s="13" t="n">
        <x:v>68</x:v>
      </x:c>
      <x:c r="G387" s="13" t="n">
        <x:v>63</x:v>
      </x:c>
      <x:c r="H387" s="13" t="n">
        <x:v>1</x:v>
      </x:c>
      <x:c r="I387" s="13" t="n">
        <x:v>64</x:v>
      </x:c>
      <x:c r="J387" s="13" t="n">
        <x:v>-4</x:v>
      </x:c>
      <x:c r="K387" s="14" t="n">
        <x:f>IFERROR(F387/SUMIFS($F:$F,$B:$B,B387),0)</x:f>
        <x:v>0.009505171931786413</x:v>
      </x:c>
      <x:c r="L387" s="12" t="str">
        <x:v>00–05</x:v>
      </x:c>
    </x:row>
    <x:row r="388">
      <x:c r="A388" s="12" t="str">
        <x:v>8月平日</x:v>
      </x:c>
      <x:c r="B388" s="12" t="str">
        <x:v>2026-08-25</x:v>
      </x:c>
      <x:c r="C388" s="12" t="str">
        <x:v>01:00</x:v>
      </x:c>
      <x:c r="D388" s="13" t="n">
        <x:v>19</x:v>
      </x:c>
      <x:c r="E388" s="13" t="n">
        <x:v>3</x:v>
      </x:c>
      <x:c r="F388" s="13" t="n">
        <x:v>22</x:v>
      </x:c>
      <x:c r="G388" s="13" t="n">
        <x:v>31</x:v>
      </x:c>
      <x:c r="H388" s="13" t="n">
        <x:v>3</x:v>
      </x:c>
      <x:c r="I388" s="13" t="n">
        <x:v>34</x:v>
      </x:c>
      <x:c r="J388" s="13" t="n">
        <x:v>12</x:v>
      </x:c>
      <x:c r="K388" s="14" t="n">
        <x:f>IFERROR(F388/SUMIFS($F:$F,$B:$B,B388),0)</x:f>
        <x:v>0.0030752026838132512</x:v>
      </x:c>
      <x:c r="L388" s="12" t="str">
        <x:v>00–05</x:v>
      </x:c>
    </x:row>
    <x:row r="389">
      <x:c r="A389" s="12" t="str">
        <x:v>8月平日</x:v>
      </x:c>
      <x:c r="B389" s="12" t="str">
        <x:v>2026-08-25</x:v>
      </x:c>
      <x:c r="C389" s="12" t="str">
        <x:v>02:00</x:v>
      </x:c>
      <x:c r="D389" s="13" t="n">
        <x:v>21</x:v>
      </x:c>
      <x:c r="E389" s="13" t="n">
        <x:v>2</x:v>
      </x:c>
      <x:c r="F389" s="13" t="n">
        <x:v>23</x:v>
      </x:c>
      <x:c r="G389" s="13" t="n">
        <x:v>19</x:v>
      </x:c>
      <x:c r="H389" s="13" t="n">
        <x:v>0</x:v>
      </x:c>
      <x:c r="I389" s="13" t="n">
        <x:v>19</x:v>
      </x:c>
      <x:c r="J389" s="13" t="n">
        <x:v>-4</x:v>
      </x:c>
      <x:c r="K389" s="14" t="n">
        <x:f>IFERROR(F389/SUMIFS($F:$F,$B:$B,B389),0)</x:f>
        <x:v>0.003214984623986581</x:v>
      </x:c>
      <x:c r="L389" s="12" t="str">
        <x:v>00–05</x:v>
      </x:c>
    </x:row>
    <x:row r="390">
      <x:c r="A390" s="12" t="str">
        <x:v>8月平日</x:v>
      </x:c>
      <x:c r="B390" s="12" t="str">
        <x:v>2026-08-25</x:v>
      </x:c>
      <x:c r="C390" s="12" t="str">
        <x:v>03:00</x:v>
      </x:c>
      <x:c r="D390" s="13" t="n">
        <x:v>5</x:v>
      </x:c>
      <x:c r="E390" s="13" t="n">
        <x:v>0</x:v>
      </x:c>
      <x:c r="F390" s="13" t="n">
        <x:v>5</x:v>
      </x:c>
      <x:c r="G390" s="13" t="n">
        <x:v>6</x:v>
      </x:c>
      <x:c r="H390" s="13" t="n">
        <x:v>0</x:v>
      </x:c>
      <x:c r="I390" s="13" t="n">
        <x:v>6</x:v>
      </x:c>
      <x:c r="J390" s="13" t="n">
        <x:v>1</x:v>
      </x:c>
      <x:c r="K390" s="14" t="n">
        <x:f>IFERROR(F390/SUMIFS($F:$F,$B:$B,B390),0)</x:f>
        <x:v>0.0006989097008666481</x:v>
      </x:c>
      <x:c r="L390" s="12" t="str">
        <x:v>00–05</x:v>
      </x:c>
    </x:row>
    <x:row r="391">
      <x:c r="A391" s="12" t="str">
        <x:v>8月平日</x:v>
      </x:c>
      <x:c r="B391" s="12" t="str">
        <x:v>2026-08-25</x:v>
      </x:c>
      <x:c r="C391" s="12" t="str">
        <x:v>04:00</x:v>
      </x:c>
      <x:c r="D391" s="13" t="n">
        <x:v>11</x:v>
      </x:c>
      <x:c r="E391" s="13" t="n">
        <x:v>2</x:v>
      </x:c>
      <x:c r="F391" s="13" t="n">
        <x:v>13</x:v>
      </x:c>
      <x:c r="G391" s="13" t="n">
        <x:v>6</x:v>
      </x:c>
      <x:c r="H391" s="13" t="n">
        <x:v>0</x:v>
      </x:c>
      <x:c r="I391" s="13" t="n">
        <x:v>6</x:v>
      </x:c>
      <x:c r="J391" s="13" t="n">
        <x:v>-7</x:v>
      </x:c>
      <x:c r="K391" s="14" t="n">
        <x:f>IFERROR(F391/SUMIFS($F:$F,$B:$B,B391),0)</x:f>
        <x:v>0.001817165222253285</x:v>
      </x:c>
      <x:c r="L391" s="12" t="str">
        <x:v>00–05</x:v>
      </x:c>
    </x:row>
    <x:row r="392">
      <x:c r="A392" s="12" t="str">
        <x:v>8月平日</x:v>
      </x:c>
      <x:c r="B392" s="12" t="str">
        <x:v>2026-08-25</x:v>
      </x:c>
      <x:c r="C392" s="12" t="str">
        <x:v>05:00</x:v>
      </x:c>
      <x:c r="D392" s="13" t="n">
        <x:v>30</x:v>
      </x:c>
      <x:c r="E392" s="13" t="n">
        <x:v>1</x:v>
      </x:c>
      <x:c r="F392" s="13" t="n">
        <x:v>31</x:v>
      </x:c>
      <x:c r="G392" s="13" t="n">
        <x:v>39</x:v>
      </x:c>
      <x:c r="H392" s="13" t="n">
        <x:v>2</x:v>
      </x:c>
      <x:c r="I392" s="13" t="n">
        <x:v>41</x:v>
      </x:c>
      <x:c r="J392" s="13" t="n">
        <x:v>10</x:v>
      </x:c>
      <x:c r="K392" s="14" t="n">
        <x:f>IFERROR(F392/SUMIFS($F:$F,$B:$B,B392),0)</x:f>
        <x:v>0.004333240145373218</x:v>
      </x:c>
      <x:c r="L392" s="12" t="str">
        <x:v>00–05</x:v>
      </x:c>
    </x:row>
    <x:row r="393">
      <x:c r="A393" s="12" t="str">
        <x:v>8月平日</x:v>
      </x:c>
      <x:c r="B393" s="12" t="str">
        <x:v>2026-08-25</x:v>
      </x:c>
      <x:c r="C393" s="12" t="str">
        <x:v>06:00</x:v>
      </x:c>
      <x:c r="D393" s="13" t="n">
        <x:v>107</x:v>
      </x:c>
      <x:c r="E393" s="13" t="n">
        <x:v>3</x:v>
      </x:c>
      <x:c r="F393" s="13" t="n">
        <x:v>110</x:v>
      </x:c>
      <x:c r="G393" s="13" t="n">
        <x:v>130</x:v>
      </x:c>
      <x:c r="H393" s="13" t="n">
        <x:v>13</x:v>
      </x:c>
      <x:c r="I393" s="13" t="n">
        <x:v>143</x:v>
      </x:c>
      <x:c r="J393" s="13" t="n">
        <x:v>33</x:v>
      </x:c>
      <x:c r="K393" s="14" t="n">
        <x:f>IFERROR(F393/SUMIFS($F:$F,$B:$B,B393),0)</x:f>
        <x:v>0.015376013419066257</x:v>
      </x:c>
      <x:c r="L393" s="12" t="str">
        <x:v>06–09</x:v>
      </x:c>
    </x:row>
    <x:row r="394">
      <x:c r="A394" s="12" t="str">
        <x:v>8月平日</x:v>
      </x:c>
      <x:c r="B394" s="12" t="str">
        <x:v>2026-08-25</x:v>
      </x:c>
      <x:c r="C394" s="12" t="str">
        <x:v>07:00</x:v>
      </x:c>
      <x:c r="D394" s="13" t="n">
        <x:v>329</x:v>
      </x:c>
      <x:c r="E394" s="13" t="n">
        <x:v>10</x:v>
      </x:c>
      <x:c r="F394" s="13" t="n">
        <x:v>339</x:v>
      </x:c>
      <x:c r="G394" s="13" t="n">
        <x:v>404</x:v>
      </x:c>
      <x:c r="H394" s="13" t="n">
        <x:v>17</x:v>
      </x:c>
      <x:c r="I394" s="13" t="n">
        <x:v>421</x:v>
      </x:c>
      <x:c r="J394" s="13" t="n">
        <x:v>82</x:v>
      </x:c>
      <x:c r="K394" s="14" t="n">
        <x:f>IFERROR(F394/SUMIFS($F:$F,$B:$B,B394),0)</x:f>
        <x:v>0.04738607771875874</x:v>
      </x:c>
      <x:c r="L394" s="12" t="str">
        <x:v>06–09</x:v>
      </x:c>
    </x:row>
    <x:row r="395">
      <x:c r="A395" s="12" t="str">
        <x:v>8月平日</x:v>
      </x:c>
      <x:c r="B395" s="12" t="str">
        <x:v>2026-08-25</x:v>
      </x:c>
      <x:c r="C395" s="12" t="str">
        <x:v>08:00</x:v>
      </x:c>
      <x:c r="D395" s="13" t="n">
        <x:v>532</x:v>
      </x:c>
      <x:c r="E395" s="13" t="n">
        <x:v>19</x:v>
      </x:c>
      <x:c r="F395" s="13" t="n">
        <x:v>551</x:v>
      </x:c>
      <x:c r="G395" s="13" t="n">
        <x:v>834</x:v>
      </x:c>
      <x:c r="H395" s="13" t="n">
        <x:v>37</x:v>
      </x:c>
      <x:c r="I395" s="13" t="n">
        <x:v>871</x:v>
      </x:c>
      <x:c r="J395" s="13" t="n">
        <x:v>320</x:v>
      </x:c>
      <x:c r="K395" s="14" t="n">
        <x:f>IFERROR(F395/SUMIFS($F:$F,$B:$B,B395),0)</x:f>
        <x:v>0.07701984903550461</x:v>
      </x:c>
      <x:c r="L395" s="12" t="str">
        <x:v>06–09</x:v>
      </x:c>
    </x:row>
    <x:row r="396">
      <x:c r="A396" s="12" t="str">
        <x:v>8月平日</x:v>
      </x:c>
      <x:c r="B396" s="12" t="str">
        <x:v>2026-08-25</x:v>
      </x:c>
      <x:c r="C396" s="12" t="str">
        <x:v>09:00</x:v>
      </x:c>
      <x:c r="D396" s="13" t="n">
        <x:v>508</x:v>
      </x:c>
      <x:c r="E396" s="13" t="n">
        <x:v>26</x:v>
      </x:c>
      <x:c r="F396" s="13" t="n">
        <x:v>534</x:v>
      </x:c>
      <x:c r="G396" s="13" t="n">
        <x:v>779</x:v>
      </x:c>
      <x:c r="H396" s="13" t="n">
        <x:v>32</x:v>
      </x:c>
      <x:c r="I396" s="13" t="n">
        <x:v>811</x:v>
      </x:c>
      <x:c r="J396" s="13" t="n">
        <x:v>277</x:v>
      </x:c>
      <x:c r="K396" s="14" t="n">
        <x:f>IFERROR(F396/SUMIFS($F:$F,$B:$B,B396),0)</x:f>
        <x:v>0.07464355605255801</x:v>
      </x:c>
      <x:c r="L396" s="12" t="str">
        <x:v>06–09</x:v>
      </x:c>
    </x:row>
    <x:row r="397">
      <x:c r="A397" s="12" t="str">
        <x:v>8月平日</x:v>
      </x:c>
      <x:c r="B397" s="12" t="str">
        <x:v>2026-08-25</x:v>
      </x:c>
      <x:c r="C397" s="12" t="str">
        <x:v>10:00</x:v>
      </x:c>
      <x:c r="D397" s="13" t="n">
        <x:v>527</x:v>
      </x:c>
      <x:c r="E397" s="13" t="n">
        <x:v>16</x:v>
      </x:c>
      <x:c r="F397" s="13" t="n">
        <x:v>543</x:v>
      </x:c>
      <x:c r="G397" s="13" t="n">
        <x:v>683</x:v>
      </x:c>
      <x:c r="H397" s="13" t="n">
        <x:v>21</x:v>
      </x:c>
      <x:c r="I397" s="13" t="n">
        <x:v>704</x:v>
      </x:c>
      <x:c r="J397" s="13" t="n">
        <x:v>161</x:v>
      </x:c>
      <x:c r="K397" s="14" t="n">
        <x:f>IFERROR(F397/SUMIFS($F:$F,$B:$B,B397),0)</x:f>
        <x:v>0.07590159351411797</x:v>
      </x:c>
      <x:c r="L397" s="12" t="str">
        <x:v>10–13</x:v>
      </x:c>
    </x:row>
    <x:row r="398">
      <x:c r="A398" s="12" t="str">
        <x:v>8月平日</x:v>
      </x:c>
      <x:c r="B398" s="12" t="str">
        <x:v>2026-08-25</x:v>
      </x:c>
      <x:c r="C398" s="12" t="str">
        <x:v>11:00</x:v>
      </x:c>
      <x:c r="D398" s="13" t="n">
        <x:v>632</x:v>
      </x:c>
      <x:c r="E398" s="13" t="n">
        <x:v>32</x:v>
      </x:c>
      <x:c r="F398" s="13" t="n">
        <x:v>664</x:v>
      </x:c>
      <x:c r="G398" s="13" t="n">
        <x:v>641</x:v>
      </x:c>
      <x:c r="H398" s="13" t="n">
        <x:v>27</x:v>
      </x:c>
      <x:c r="I398" s="13" t="n">
        <x:v>668</x:v>
      </x:c>
      <x:c r="J398" s="13" t="n">
        <x:v>4</x:v>
      </x:c>
      <x:c r="K398" s="14" t="n">
        <x:f>IFERROR(F398/SUMIFS($F:$F,$B:$B,B398),0)</x:f>
        <x:v>0.09281520827509086</x:v>
      </x:c>
      <x:c r="L398" s="12" t="str">
        <x:v>10–13</x:v>
      </x:c>
    </x:row>
    <x:row r="399">
      <x:c r="A399" s="12" t="str">
        <x:v>8月平日</x:v>
      </x:c>
      <x:c r="B399" s="12" t="str">
        <x:v>2026-08-25</x:v>
      </x:c>
      <x:c r="C399" s="12" t="str">
        <x:v>12:00</x:v>
      </x:c>
      <x:c r="D399" s="13" t="n">
        <x:v>563</x:v>
      </x:c>
      <x:c r="E399" s="13" t="n">
        <x:v>12</x:v>
      </x:c>
      <x:c r="F399" s="13" t="n">
        <x:v>575</x:v>
      </x:c>
      <x:c r="G399" s="13" t="n">
        <x:v>633</x:v>
      </x:c>
      <x:c r="H399" s="13" t="n">
        <x:v>17</x:v>
      </x:c>
      <x:c r="I399" s="13" t="n">
        <x:v>650</x:v>
      </x:c>
      <x:c r="J399" s="13" t="n">
        <x:v>75</x:v>
      </x:c>
      <x:c r="K399" s="14" t="n">
        <x:f>IFERROR(F399/SUMIFS($F:$F,$B:$B,B399),0)</x:f>
        <x:v>0.08037461559966452</x:v>
      </x:c>
      <x:c r="L399" s="12" t="str">
        <x:v>10–13</x:v>
      </x:c>
    </x:row>
    <x:row r="400">
      <x:c r="A400" s="12" t="str">
        <x:v>8月平日</x:v>
      </x:c>
      <x:c r="B400" s="12" t="str">
        <x:v>2026-08-25</x:v>
      </x:c>
      <x:c r="C400" s="12" t="str">
        <x:v>13:00</x:v>
      </x:c>
      <x:c r="D400" s="13" t="n">
        <x:v>425</x:v>
      </x:c>
      <x:c r="E400" s="13" t="n">
        <x:v>9</x:v>
      </x:c>
      <x:c r="F400" s="13" t="n">
        <x:v>434</x:v>
      </x:c>
      <x:c r="G400" s="13" t="n">
        <x:v>506</x:v>
      </x:c>
      <x:c r="H400" s="13" t="n">
        <x:v>13</x:v>
      </x:c>
      <x:c r="I400" s="13" t="n">
        <x:v>519</x:v>
      </x:c>
      <x:c r="J400" s="13" t="n">
        <x:v>85</x:v>
      </x:c>
      <x:c r="K400" s="14" t="n">
        <x:f>IFERROR(F400/SUMIFS($F:$F,$B:$B,B400),0)</x:f>
        <x:v>0.060665362035225046</x:v>
      </x:c>
      <x:c r="L400" s="12" t="str">
        <x:v>10–13</x:v>
      </x:c>
    </x:row>
    <x:row r="401">
      <x:c r="A401" s="12" t="str">
        <x:v>8月平日</x:v>
      </x:c>
      <x:c r="B401" s="12" t="str">
        <x:v>2026-08-25</x:v>
      </x:c>
      <x:c r="C401" s="12" t="str">
        <x:v>14:00</x:v>
      </x:c>
      <x:c r="D401" s="13" t="n">
        <x:v>366</x:v>
      </x:c>
      <x:c r="E401" s="13" t="n">
        <x:v>15</x:v>
      </x:c>
      <x:c r="F401" s="13" t="n">
        <x:v>381</x:v>
      </x:c>
      <x:c r="G401" s="13" t="n">
        <x:v>366</x:v>
      </x:c>
      <x:c r="H401" s="13" t="n">
        <x:v>12</x:v>
      </x:c>
      <x:c r="I401" s="13" t="n">
        <x:v>378</x:v>
      </x:c>
      <x:c r="J401" s="13" t="n">
        <x:v>-3</x:v>
      </x:c>
      <x:c r="K401" s="14" t="n">
        <x:f>IFERROR(F401/SUMIFS($F:$F,$B:$B,B401),0)</x:f>
        <x:v>0.05325691920603858</x:v>
      </x:c>
      <x:c r="L401" s="12" t="str">
        <x:v>14–17</x:v>
      </x:c>
    </x:row>
    <x:row r="402">
      <x:c r="A402" s="12" t="str">
        <x:v>8月平日</x:v>
      </x:c>
      <x:c r="B402" s="12" t="str">
        <x:v>2026-08-25</x:v>
      </x:c>
      <x:c r="C402" s="12" t="str">
        <x:v>15:00</x:v>
      </x:c>
      <x:c r="D402" s="13" t="n">
        <x:v>326</x:v>
      </x:c>
      <x:c r="E402" s="13" t="n">
        <x:v>12</x:v>
      </x:c>
      <x:c r="F402" s="13" t="n">
        <x:v>338</x:v>
      </x:c>
      <x:c r="G402" s="13" t="n">
        <x:v>325</x:v>
      </x:c>
      <x:c r="H402" s="13" t="n">
        <x:v>6</x:v>
      </x:c>
      <x:c r="I402" s="13" t="n">
        <x:v>331</x:v>
      </x:c>
      <x:c r="J402" s="13" t="n">
        <x:v>-7</x:v>
      </x:c>
      <x:c r="K402" s="14" t="n">
        <x:f>IFERROR(F402/SUMIFS($F:$F,$B:$B,B402),0)</x:f>
        <x:v>0.047246295778585405</x:v>
      </x:c>
      <x:c r="L402" s="12" t="str">
        <x:v>14–17</x:v>
      </x:c>
    </x:row>
    <x:row r="403">
      <x:c r="A403" s="12" t="str">
        <x:v>8月平日</x:v>
      </x:c>
      <x:c r="B403" s="12" t="str">
        <x:v>2026-08-25</x:v>
      </x:c>
      <x:c r="C403" s="12" t="str">
        <x:v>16:00</x:v>
      </x:c>
      <x:c r="D403" s="13" t="n">
        <x:v>270</x:v>
      </x:c>
      <x:c r="E403" s="13" t="n">
        <x:v>11</x:v>
      </x:c>
      <x:c r="F403" s="13" t="n">
        <x:v>281</x:v>
      </x:c>
      <x:c r="G403" s="13" t="n">
        <x:v>227</x:v>
      </x:c>
      <x:c r="H403" s="13" t="n">
        <x:v>9</x:v>
      </x:c>
      <x:c r="I403" s="13" t="n">
        <x:v>236</x:v>
      </x:c>
      <x:c r="J403" s="13" t="n">
        <x:v>-45</x:v>
      </x:c>
      <x:c r="K403" s="14" t="n">
        <x:f>IFERROR(F403/SUMIFS($F:$F,$B:$B,B403),0)</x:f>
        <x:v>0.03927872518870562</x:v>
      </x:c>
      <x:c r="L403" s="12" t="str">
        <x:v>14–17</x:v>
      </x:c>
    </x:row>
    <x:row r="404">
      <x:c r="A404" s="12" t="str">
        <x:v>8月平日</x:v>
      </x:c>
      <x:c r="B404" s="12" t="str">
        <x:v>2026-08-25</x:v>
      </x:c>
      <x:c r="C404" s="12" t="str">
        <x:v>17:00</x:v>
      </x:c>
      <x:c r="D404" s="13" t="n">
        <x:v>470</x:v>
      </x:c>
      <x:c r="E404" s="13" t="n">
        <x:v>22</x:v>
      </x:c>
      <x:c r="F404" s="13" t="n">
        <x:v>492</x:v>
      </x:c>
      <x:c r="G404" s="13" t="n">
        <x:v>286</x:v>
      </x:c>
      <x:c r="H404" s="13" t="n">
        <x:v>9</x:v>
      </x:c>
      <x:c r="I404" s="13" t="n">
        <x:v>295</x:v>
      </x:c>
      <x:c r="J404" s="13" t="n">
        <x:v>-197</x:v>
      </x:c>
      <x:c r="K404" s="14" t="n">
        <x:f>IFERROR(F404/SUMIFS($F:$F,$B:$B,B404),0)</x:f>
        <x:v>0.06877271456527817</x:v>
      </x:c>
      <x:c r="L404" s="12" t="str">
        <x:v>14–17</x:v>
      </x:c>
    </x:row>
    <x:row r="405">
      <x:c r="A405" s="12" t="str">
        <x:v>8月平日</x:v>
      </x:c>
      <x:c r="B405" s="12" t="str">
        <x:v>2026-08-25</x:v>
      </x:c>
      <x:c r="C405" s="12" t="str">
        <x:v>18:00</x:v>
      </x:c>
      <x:c r="D405" s="13" t="n">
        <x:v>413</x:v>
      </x:c>
      <x:c r="E405" s="13" t="n">
        <x:v>10</x:v>
      </x:c>
      <x:c r="F405" s="13" t="n">
        <x:v>423</x:v>
      </x:c>
      <x:c r="G405" s="13" t="n">
        <x:v>282</x:v>
      </x:c>
      <x:c r="H405" s="13" t="n">
        <x:v>7</x:v>
      </x:c>
      <x:c r="I405" s="13" t="n">
        <x:v>289</x:v>
      </x:c>
      <x:c r="J405" s="13" t="n">
        <x:v>-134</x:v>
      </x:c>
      <x:c r="K405" s="14" t="n">
        <x:f>IFERROR(F405/SUMIFS($F:$F,$B:$B,B405),0)</x:f>
        <x:v>0.059127760693318425</x:v>
      </x:c>
      <x:c r="L405" s="12" t="str">
        <x:v>18–21</x:v>
      </x:c>
    </x:row>
    <x:row r="406">
      <x:c r="A406" s="12" t="str">
        <x:v>8月平日</x:v>
      </x:c>
      <x:c r="B406" s="12" t="str">
        <x:v>2026-08-25</x:v>
      </x:c>
      <x:c r="C406" s="12" t="str">
        <x:v>19:00</x:v>
      </x:c>
      <x:c r="D406" s="13" t="n">
        <x:v>350</x:v>
      </x:c>
      <x:c r="E406" s="13" t="n">
        <x:v>8</x:v>
      </x:c>
      <x:c r="F406" s="13" t="n">
        <x:v>358</x:v>
      </x:c>
      <x:c r="G406" s="13" t="n">
        <x:v>247</x:v>
      </x:c>
      <x:c r="H406" s="13" t="n">
        <x:v>4</x:v>
      </x:c>
      <x:c r="I406" s="13" t="n">
        <x:v>251</x:v>
      </x:c>
      <x:c r="J406" s="13" t="n">
        <x:v>-107</x:v>
      </x:c>
      <x:c r="K406" s="14" t="n">
        <x:f>IFERROR(F406/SUMIFS($F:$F,$B:$B,B406),0)</x:f>
        <x:v>0.050041934582052</x:v>
      </x:c>
      <x:c r="L406" s="12" t="str">
        <x:v>18–21</x:v>
      </x:c>
    </x:row>
    <x:row r="407">
      <x:c r="A407" s="12" t="str">
        <x:v>8月平日</x:v>
      </x:c>
      <x:c r="B407" s="12" t="str">
        <x:v>2026-08-25</x:v>
      </x:c>
      <x:c r="C407" s="12" t="str">
        <x:v>20:00</x:v>
      </x:c>
      <x:c r="D407" s="13" t="n">
        <x:v>349</x:v>
      </x:c>
      <x:c r="E407" s="13" t="n">
        <x:v>7</x:v>
      </x:c>
      <x:c r="F407" s="13" t="n">
        <x:v>356</x:v>
      </x:c>
      <x:c r="G407" s="13" t="n">
        <x:v>289</x:v>
      </x:c>
      <x:c r="H407" s="13" t="n">
        <x:v>2</x:v>
      </x:c>
      <x:c r="I407" s="13" t="n">
        <x:v>291</x:v>
      </x:c>
      <x:c r="J407" s="13" t="n">
        <x:v>-65</x:v>
      </x:c>
      <x:c r="K407" s="14" t="n">
        <x:f>IFERROR(F407/SUMIFS($F:$F,$B:$B,B407),0)</x:f>
        <x:v>0.04976237070170534</x:v>
      </x:c>
      <x:c r="L407" s="12" t="str">
        <x:v>18–21</x:v>
      </x:c>
    </x:row>
    <x:row r="408">
      <x:c r="A408" s="12" t="str">
        <x:v>8月平日</x:v>
      </x:c>
      <x:c r="B408" s="12" t="str">
        <x:v>2026-08-25</x:v>
      </x:c>
      <x:c r="C408" s="12" t="str">
        <x:v>21:00</x:v>
      </x:c>
      <x:c r="D408" s="13" t="n">
        <x:v>300</x:v>
      </x:c>
      <x:c r="E408" s="13" t="n">
        <x:v>3</x:v>
      </x:c>
      <x:c r="F408" s="13" t="n">
        <x:v>303</x:v>
      </x:c>
      <x:c r="G408" s="13" t="n">
        <x:v>186</x:v>
      </x:c>
      <x:c r="H408" s="13" t="n">
        <x:v>2</x:v>
      </x:c>
      <x:c r="I408" s="13" t="n">
        <x:v>188</x:v>
      </x:c>
      <x:c r="J408" s="13" t="n">
        <x:v>-115</x:v>
      </x:c>
      <x:c r="K408" s="14" t="n">
        <x:f>IFERROR(F408/SUMIFS($F:$F,$B:$B,B408),0)</x:f>
        <x:v>0.04235392787251887</x:v>
      </x:c>
      <x:c r="L408" s="12" t="str">
        <x:v>18–21</x:v>
      </x:c>
    </x:row>
    <x:row r="409">
      <x:c r="A409" s="12" t="str">
        <x:v>8月平日</x:v>
      </x:c>
      <x:c r="B409" s="12" t="str">
        <x:v>2026-08-25</x:v>
      </x:c>
      <x:c r="C409" s="12" t="str">
        <x:v>22:00</x:v>
      </x:c>
      <x:c r="D409" s="13" t="n">
        <x:v>196</x:v>
      </x:c>
      <x:c r="E409" s="13" t="n">
        <x:v>7</x:v>
      </x:c>
      <x:c r="F409" s="13" t="n">
        <x:v>203</x:v>
      </x:c>
      <x:c r="G409" s="13" t="n">
        <x:v>124</x:v>
      </x:c>
      <x:c r="H409" s="13" t="n">
        <x:v>2</x:v>
      </x:c>
      <x:c r="I409" s="13" t="n">
        <x:v>126</x:v>
      </x:c>
      <x:c r="J409" s="13" t="n">
        <x:v>-77</x:v>
      </x:c>
      <x:c r="K409" s="14" t="n">
        <x:f>IFERROR(F409/SUMIFS($F:$F,$B:$B,B409),0)</x:f>
        <x:v>0.02837573385518591</x:v>
      </x:c>
      <x:c r="L409" s="12" t="str">
        <x:v>22–23</x:v>
      </x:c>
    </x:row>
    <x:row r="410">
      <x:c r="A410" s="12" t="str">
        <x:v>8月平日</x:v>
      </x:c>
      <x:c r="B410" s="12" t="str">
        <x:v>2026-08-25</x:v>
      </x:c>
      <x:c r="C410" s="12" t="str">
        <x:v>23:00</x:v>
      </x:c>
      <x:c r="D410" s="13" t="n">
        <x:v>100</x:v>
      </x:c>
      <x:c r="E410" s="13" t="n">
        <x:v>7</x:v>
      </x:c>
      <x:c r="F410" s="13" t="n">
        <x:v>107</x:v>
      </x:c>
      <x:c r="G410" s="13" t="n">
        <x:v>68</x:v>
      </x:c>
      <x:c r="H410" s="13" t="n">
        <x:v>2</x:v>
      </x:c>
      <x:c r="I410" s="13" t="n">
        <x:v>70</x:v>
      </x:c>
      <x:c r="J410" s="13" t="n">
        <x:v>-37</x:v>
      </x:c>
      <x:c r="K410" s="14" t="n">
        <x:f>IFERROR(F410/SUMIFS($F:$F,$B:$B,B410),0)</x:f>
        <x:v>0.014956667598546268</x:v>
      </x:c>
      <x:c r="L410" s="12" t="str">
        <x:v>22–23</x:v>
      </x:c>
    </x:row>
    <x:row r="411">
      <x:c r="A411" s="12" t="str">
        <x:v>8月平日</x:v>
      </x:c>
      <x:c r="B411" s="12" t="str">
        <x:v>2026-08-26</x:v>
      </x:c>
      <x:c r="C411" s="12" t="str">
        <x:v>00:00</x:v>
      </x:c>
      <x:c r="D411" s="13" t="n">
        <x:v>67</x:v>
      </x:c>
      <x:c r="E411" s="13" t="n">
        <x:v>7</x:v>
      </x:c>
      <x:c r="F411" s="13" t="n">
        <x:v>74</x:v>
      </x:c>
      <x:c r="G411" s="13" t="n">
        <x:v>55</x:v>
      </x:c>
      <x:c r="H411" s="13" t="n">
        <x:v>4</x:v>
      </x:c>
      <x:c r="I411" s="13" t="n">
        <x:v>59</x:v>
      </x:c>
      <x:c r="J411" s="13" t="n">
        <x:v>-15</x:v>
      </x:c>
      <x:c r="K411" s="14" t="n">
        <x:f>IFERROR(F411/SUMIFS($F:$F,$B:$B,B411),0)</x:f>
        <x:v>0.006581873165525215</x:v>
      </x:c>
      <x:c r="L411" s="12" t="str">
        <x:v>00–05</x:v>
      </x:c>
    </x:row>
    <x:row r="412">
      <x:c r="A412" s="12" t="str">
        <x:v>8月平日</x:v>
      </x:c>
      <x:c r="B412" s="12" t="str">
        <x:v>2026-08-26</x:v>
      </x:c>
      <x:c r="C412" s="12" t="str">
        <x:v>01:00</x:v>
      </x:c>
      <x:c r="D412" s="13" t="n">
        <x:v>31</x:v>
      </x:c>
      <x:c r="E412" s="13" t="n">
        <x:v>1</x:v>
      </x:c>
      <x:c r="F412" s="13" t="n">
        <x:v>32</x:v>
      </x:c>
      <x:c r="G412" s="13" t="n">
        <x:v>27</x:v>
      </x:c>
      <x:c r="H412" s="13" t="n">
        <x:v>6</x:v>
      </x:c>
      <x:c r="I412" s="13" t="n">
        <x:v>33</x:v>
      </x:c>
      <x:c r="J412" s="13" t="n">
        <x:v>1</x:v>
      </x:c>
      <x:c r="K412" s="14" t="n">
        <x:f>IFERROR(F412/SUMIFS($F:$F,$B:$B,B412),0)</x:f>
        <x:v>0.002846215422929823</x:v>
      </x:c>
      <x:c r="L412" s="12" t="str">
        <x:v>00–05</x:v>
      </x:c>
    </x:row>
    <x:row r="413">
      <x:c r="A413" s="12" t="str">
        <x:v>8月平日</x:v>
      </x:c>
      <x:c r="B413" s="12" t="str">
        <x:v>2026-08-26</x:v>
      </x:c>
      <x:c r="C413" s="12" t="str">
        <x:v>02:00</x:v>
      </x:c>
      <x:c r="D413" s="13" t="n">
        <x:v>21</x:v>
      </x:c>
      <x:c r="E413" s="13" t="n">
        <x:v>0</x:v>
      </x:c>
      <x:c r="F413" s="13" t="n">
        <x:v>21</x:v>
      </x:c>
      <x:c r="G413" s="13" t="n">
        <x:v>14</x:v>
      </x:c>
      <x:c r="H413" s="13" t="n">
        <x:v>0</x:v>
      </x:c>
      <x:c r="I413" s="13" t="n">
        <x:v>14</x:v>
      </x:c>
      <x:c r="J413" s="13" t="n">
        <x:v>-7</x:v>
      </x:c>
      <x:c r="K413" s="14" t="n">
        <x:f>IFERROR(F413/SUMIFS($F:$F,$B:$B,B413),0)</x:f>
        <x:v>0.0018678288712976963</x:v>
      </x:c>
      <x:c r="L413" s="12" t="str">
        <x:v>00–05</x:v>
      </x:c>
    </x:row>
    <x:row r="414">
      <x:c r="A414" s="12" t="str">
        <x:v>8月平日</x:v>
      </x:c>
      <x:c r="B414" s="12" t="str">
        <x:v>2026-08-26</x:v>
      </x:c>
      <x:c r="C414" s="12" t="str">
        <x:v>03:00</x:v>
      </x:c>
      <x:c r="D414" s="13" t="n">
        <x:v>12</x:v>
      </x:c>
      <x:c r="E414" s="13" t="n">
        <x:v>1</x:v>
      </x:c>
      <x:c r="F414" s="13" t="n">
        <x:v>13</x:v>
      </x:c>
      <x:c r="G414" s="13" t="n">
        <x:v>10</x:v>
      </x:c>
      <x:c r="H414" s="13" t="n">
        <x:v>1</x:v>
      </x:c>
      <x:c r="I414" s="13" t="n">
        <x:v>11</x:v>
      </x:c>
      <x:c r="J414" s="13" t="n">
        <x:v>-2</x:v>
      </x:c>
      <x:c r="K414" s="14" t="n">
        <x:f>IFERROR(F414/SUMIFS($F:$F,$B:$B,B414),0)</x:f>
        <x:v>0.0011562750155652405</x:v>
      </x:c>
      <x:c r="L414" s="12" t="str">
        <x:v>00–05</x:v>
      </x:c>
    </x:row>
    <x:row r="415">
      <x:c r="A415" s="12" t="str">
        <x:v>8月平日</x:v>
      </x:c>
      <x:c r="B415" s="12" t="str">
        <x:v>2026-08-26</x:v>
      </x:c>
      <x:c r="C415" s="12" t="str">
        <x:v>04:00</x:v>
      </x:c>
      <x:c r="D415" s="13" t="n">
        <x:v>11</x:v>
      </x:c>
      <x:c r="E415" s="13" t="n">
        <x:v>4</x:v>
      </x:c>
      <x:c r="F415" s="13" t="n">
        <x:v>15</x:v>
      </x:c>
      <x:c r="G415" s="13" t="n">
        <x:v>10</x:v>
      </x:c>
      <x:c r="H415" s="13" t="n">
        <x:v>4</x:v>
      </x:c>
      <x:c r="I415" s="13" t="n">
        <x:v>14</x:v>
      </x:c>
      <x:c r="J415" s="13" t="n">
        <x:v>-1</x:v>
      </x:c>
      <x:c r="K415" s="14" t="n">
        <x:f>IFERROR(F415/SUMIFS($F:$F,$B:$B,B415),0)</x:f>
        <x:v>0.0013341634794983546</x:v>
      </x:c>
      <x:c r="L415" s="12" t="str">
        <x:v>00–05</x:v>
      </x:c>
    </x:row>
    <x:row r="416">
      <x:c r="A416" s="12" t="str">
        <x:v>8月平日</x:v>
      </x:c>
      <x:c r="B416" s="12" t="str">
        <x:v>2026-08-26</x:v>
      </x:c>
      <x:c r="C416" s="12" t="str">
        <x:v>05:00</x:v>
      </x:c>
      <x:c r="D416" s="13" t="n">
        <x:v>37</x:v>
      </x:c>
      <x:c r="E416" s="13" t="n">
        <x:v>3</x:v>
      </x:c>
      <x:c r="F416" s="13" t="n">
        <x:v>40</x:v>
      </x:c>
      <x:c r="G416" s="13" t="n">
        <x:v>43</x:v>
      </x:c>
      <x:c r="H416" s="13" t="n">
        <x:v>4</x:v>
      </x:c>
      <x:c r="I416" s="13" t="n">
        <x:v>47</x:v>
      </x:c>
      <x:c r="J416" s="13" t="n">
        <x:v>7</x:v>
      </x:c>
      <x:c r="K416" s="14" t="n">
        <x:f>IFERROR(F416/SUMIFS($F:$F,$B:$B,B416),0)</x:f>
        <x:v>0.0035577692786622787</x:v>
      </x:c>
      <x:c r="L416" s="12" t="str">
        <x:v>00–05</x:v>
      </x:c>
    </x:row>
    <x:row r="417">
      <x:c r="A417" s="12" t="str">
        <x:v>8月平日</x:v>
      </x:c>
      <x:c r="B417" s="12" t="str">
        <x:v>2026-08-26</x:v>
      </x:c>
      <x:c r="C417" s="12" t="str">
        <x:v>06:00</x:v>
      </x:c>
      <x:c r="D417" s="13" t="n">
        <x:v>103</x:v>
      </x:c>
      <x:c r="E417" s="13" t="n">
        <x:v>6</x:v>
      </x:c>
      <x:c r="F417" s="13" t="n">
        <x:v>109</x:v>
      </x:c>
      <x:c r="G417" s="13" t="n">
        <x:v>142</x:v>
      </x:c>
      <x:c r="H417" s="13" t="n">
        <x:v>10</x:v>
      </x:c>
      <x:c r="I417" s="13" t="n">
        <x:v>152</x:v>
      </x:c>
      <x:c r="J417" s="13" t="n">
        <x:v>43</x:v>
      </x:c>
      <x:c r="K417" s="14" t="n">
        <x:f>IFERROR(F417/SUMIFS($F:$F,$B:$B,B417),0)</x:f>
        <x:v>0.00969492128435471</x:v>
      </x:c>
      <x:c r="L417" s="12" t="str">
        <x:v>06–09</x:v>
      </x:c>
    </x:row>
    <x:row r="418">
      <x:c r="A418" s="12" t="str">
        <x:v>8月平日</x:v>
      </x:c>
      <x:c r="B418" s="12" t="str">
        <x:v>2026-08-26</x:v>
      </x:c>
      <x:c r="C418" s="12" t="str">
        <x:v>07:00</x:v>
      </x:c>
      <x:c r="D418" s="13" t="n">
        <x:v>345</x:v>
      </x:c>
      <x:c r="E418" s="13" t="n">
        <x:v>9</x:v>
      </x:c>
      <x:c r="F418" s="13" t="n">
        <x:v>354</x:v>
      </x:c>
      <x:c r="G418" s="13" t="n">
        <x:v>413</x:v>
      </x:c>
      <x:c r="H418" s="13" t="n">
        <x:v>13</x:v>
      </x:c>
      <x:c r="I418" s="13" t="n">
        <x:v>426</x:v>
      </x:c>
      <x:c r="J418" s="13" t="n">
        <x:v>72</x:v>
      </x:c>
      <x:c r="K418" s="14" t="n">
        <x:f>IFERROR(F418/SUMIFS($F:$F,$B:$B,B418),0)</x:f>
        <x:v>0.03148625811616117</x:v>
      </x:c>
      <x:c r="L418" s="12" t="str">
        <x:v>06–09</x:v>
      </x:c>
    </x:row>
    <x:row r="419">
      <x:c r="A419" s="12" t="str">
        <x:v>8月平日</x:v>
      </x:c>
      <x:c r="B419" s="12" t="str">
        <x:v>2026-08-26</x:v>
      </x:c>
      <x:c r="C419" s="12" t="str">
        <x:v>08:00</x:v>
      </x:c>
      <x:c r="D419" s="13" t="n">
        <x:v>603</x:v>
      </x:c>
      <x:c r="E419" s="13" t="n">
        <x:v>27</x:v>
      </x:c>
      <x:c r="F419" s="13" t="n">
        <x:v>630</x:v>
      </x:c>
      <x:c r="G419" s="13" t="n">
        <x:v>864</x:v>
      </x:c>
      <x:c r="H419" s="13" t="n">
        <x:v>34</x:v>
      </x:c>
      <x:c r="I419" s="13" t="n">
        <x:v>898</x:v>
      </x:c>
      <x:c r="J419" s="13" t="n">
        <x:v>268</x:v>
      </x:c>
      <x:c r="K419" s="14" t="n">
        <x:f>IFERROR(F419/SUMIFS($F:$F,$B:$B,B419),0)</x:f>
        <x:v>0.05603486613893089</x:v>
      </x:c>
      <x:c r="L419" s="12" t="str">
        <x:v>06–09</x:v>
      </x:c>
    </x:row>
    <x:row r="420">
      <x:c r="A420" s="12" t="str">
        <x:v>8月平日</x:v>
      </x:c>
      <x:c r="B420" s="12" t="str">
        <x:v>2026-08-26</x:v>
      </x:c>
      <x:c r="C420" s="12" t="str">
        <x:v>09:00</x:v>
      </x:c>
      <x:c r="D420" s="13" t="n">
        <x:v>521</x:v>
      </x:c>
      <x:c r="E420" s="13" t="n">
        <x:v>30</x:v>
      </x:c>
      <x:c r="F420" s="13" t="n">
        <x:v>551</x:v>
      </x:c>
      <x:c r="G420" s="13" t="n">
        <x:v>744</x:v>
      </x:c>
      <x:c r="H420" s="13" t="n">
        <x:v>38</x:v>
      </x:c>
      <x:c r="I420" s="13" t="n">
        <x:v>782</x:v>
      </x:c>
      <x:c r="J420" s="13" t="n">
        <x:v>231</x:v>
      </x:c>
      <x:c r="K420" s="14" t="n">
        <x:f>IFERROR(F420/SUMIFS($F:$F,$B:$B,B420),0)</x:f>
        <x:v>0.04900827181357289</x:v>
      </x:c>
      <x:c r="L420" s="12" t="str">
        <x:v>06–09</x:v>
      </x:c>
    </x:row>
    <x:row r="421">
      <x:c r="A421" s="12" t="str">
        <x:v>8月平日</x:v>
      </x:c>
      <x:c r="B421" s="12" t="str">
        <x:v>2026-08-26</x:v>
      </x:c>
      <x:c r="C421" s="12" t="str">
        <x:v>10:00</x:v>
      </x:c>
      <x:c r="D421" s="13" t="n">
        <x:v>521</x:v>
      </x:c>
      <x:c r="E421" s="13" t="n">
        <x:v>34</x:v>
      </x:c>
      <x:c r="F421" s="13" t="n">
        <x:v>555</x:v>
      </x:c>
      <x:c r="G421" s="13" t="n">
        <x:v>658</x:v>
      </x:c>
      <x:c r="H421" s="13" t="n">
        <x:v>31</x:v>
      </x:c>
      <x:c r="I421" s="13" t="n">
        <x:v>689</x:v>
      </x:c>
      <x:c r="J421" s="13" t="n">
        <x:v>134</x:v>
      </x:c>
      <x:c r="K421" s="14" t="n">
        <x:f>IFERROR(F421/SUMIFS($F:$F,$B:$B,B421),0)</x:f>
        <x:v>0.04936404874143912</x:v>
      </x:c>
      <x:c r="L421" s="12" t="str">
        <x:v>10–13</x:v>
      </x:c>
    </x:row>
    <x:row r="422">
      <x:c r="A422" s="12" t="str">
        <x:v>8月平日</x:v>
      </x:c>
      <x:c r="B422" s="12" t="str">
        <x:v>2026-08-26</x:v>
      </x:c>
      <x:c r="C422" s="12" t="str">
        <x:v>11:00</x:v>
      </x:c>
      <x:c r="D422" s="13" t="n">
        <x:v>711</x:v>
      </x:c>
      <x:c r="E422" s="13" t="n">
        <x:v>31</x:v>
      </x:c>
      <x:c r="F422" s="13" t="n">
        <x:v>742</x:v>
      </x:c>
      <x:c r="G422" s="13" t="n">
        <x:v>655</x:v>
      </x:c>
      <x:c r="H422" s="13" t="n">
        <x:v>35</x:v>
      </x:c>
      <x:c r="I422" s="13" t="n">
        <x:v>690</x:v>
      </x:c>
      <x:c r="J422" s="13" t="n">
        <x:v>-52</x:v>
      </x:c>
      <x:c r="K422" s="14" t="n">
        <x:f>IFERROR(F422/SUMIFS($F:$F,$B:$B,B422),0)</x:f>
        <x:v>0.06599662011918526</x:v>
      </x:c>
      <x:c r="L422" s="12" t="str">
        <x:v>10–13</x:v>
      </x:c>
    </x:row>
    <x:row r="423">
      <x:c r="A423" s="12" t="str">
        <x:v>8月平日</x:v>
      </x:c>
      <x:c r="B423" s="12" t="str">
        <x:v>2026-08-26</x:v>
      </x:c>
      <x:c r="C423" s="12" t="str">
        <x:v>12:00</x:v>
      </x:c>
      <x:c r="D423" s="13" t="n">
        <x:v>883</x:v>
      </x:c>
      <x:c r="E423" s="13" t="n">
        <x:v>41</x:v>
      </x:c>
      <x:c r="F423" s="13" t="n">
        <x:v>924</x:v>
      </x:c>
      <x:c r="G423" s="13" t="n">
        <x:v>893</x:v>
      </x:c>
      <x:c r="H423" s="13" t="n">
        <x:v>42</x:v>
      </x:c>
      <x:c r="I423" s="13" t="n">
        <x:v>935</x:v>
      </x:c>
      <x:c r="J423" s="13" t="n">
        <x:v>11</x:v>
      </x:c>
      <x:c r="K423" s="14" t="n">
        <x:f>IFERROR(F423/SUMIFS($F:$F,$B:$B,B423),0)</x:f>
        <x:v>0.08218447033709864</x:v>
      </x:c>
      <x:c r="L423" s="12" t="str">
        <x:v>10–13</x:v>
      </x:c>
    </x:row>
    <x:row r="424">
      <x:c r="A424" s="12" t="str">
        <x:v>8月平日</x:v>
      </x:c>
      <x:c r="B424" s="12" t="str">
        <x:v>2026-08-26</x:v>
      </x:c>
      <x:c r="C424" s="12" t="str">
        <x:v>13:00</x:v>
      </x:c>
      <x:c r="D424" s="13" t="n">
        <x:v>739</x:v>
      </x:c>
      <x:c r="E424" s="13" t="n">
        <x:v>24</x:v>
      </x:c>
      <x:c r="F424" s="13" t="n">
        <x:v>763</x:v>
      </x:c>
      <x:c r="G424" s="13" t="n">
        <x:v>821</x:v>
      </x:c>
      <x:c r="H424" s="13" t="n">
        <x:v>30</x:v>
      </x:c>
      <x:c r="I424" s="13" t="n">
        <x:v>851</x:v>
      </x:c>
      <x:c r="J424" s="13" t="n">
        <x:v>88</x:v>
      </x:c>
      <x:c r="K424" s="14" t="n">
        <x:f>IFERROR(F424/SUMIFS($F:$F,$B:$B,B424),0)</x:f>
        <x:v>0.06786444899048297</x:v>
      </x:c>
      <x:c r="L424" s="12" t="str">
        <x:v>10–13</x:v>
      </x:c>
    </x:row>
    <x:row r="425">
      <x:c r="A425" s="12" t="str">
        <x:v>8月平日</x:v>
      </x:c>
      <x:c r="B425" s="12" t="str">
        <x:v>2026-08-26</x:v>
      </x:c>
      <x:c r="C425" s="12" t="str">
        <x:v>14:00</x:v>
      </x:c>
      <x:c r="D425" s="13" t="n">
        <x:v>661</x:v>
      </x:c>
      <x:c r="E425" s="13" t="n">
        <x:v>20</x:v>
      </x:c>
      <x:c r="F425" s="13" t="n">
        <x:v>681</x:v>
      </x:c>
      <x:c r="G425" s="13" t="n">
        <x:v>720</x:v>
      </x:c>
      <x:c r="H425" s="13" t="n">
        <x:v>16</x:v>
      </x:c>
      <x:c r="I425" s="13" t="n">
        <x:v>736</x:v>
      </x:c>
      <x:c r="J425" s="13" t="n">
        <x:v>55</x:v>
      </x:c>
      <x:c r="K425" s="14" t="n">
        <x:f>IFERROR(F425/SUMIFS($F:$F,$B:$B,B425),0)</x:f>
        <x:v>0.06057102196922529</x:v>
      </x:c>
      <x:c r="L425" s="12" t="str">
        <x:v>14–17</x:v>
      </x:c>
    </x:row>
    <x:row r="426">
      <x:c r="A426" s="12" t="str">
        <x:v>8月平日</x:v>
      </x:c>
      <x:c r="B426" s="12" t="str">
        <x:v>2026-08-26</x:v>
      </x:c>
      <x:c r="C426" s="12" t="str">
        <x:v>15:00</x:v>
      </x:c>
      <x:c r="D426" s="13" t="n">
        <x:v>656</x:v>
      </x:c>
      <x:c r="E426" s="13" t="n">
        <x:v>15</x:v>
      </x:c>
      <x:c r="F426" s="13" t="n">
        <x:v>671</x:v>
      </x:c>
      <x:c r="G426" s="13" t="n">
        <x:v>561</x:v>
      </x:c>
      <x:c r="H426" s="13" t="n">
        <x:v>20</x:v>
      </x:c>
      <x:c r="I426" s="13" t="n">
        <x:v>581</x:v>
      </x:c>
      <x:c r="J426" s="13" t="n">
        <x:v>-90</x:v>
      </x:c>
      <x:c r="K426" s="14" t="n">
        <x:f>IFERROR(F426/SUMIFS($F:$F,$B:$B,B426),0)</x:f>
        <x:v>0.059681579649559724</x:v>
      </x:c>
      <x:c r="L426" s="12" t="str">
        <x:v>14–17</x:v>
      </x:c>
    </x:row>
    <x:row r="427">
      <x:c r="A427" s="12" t="str">
        <x:v>8月平日</x:v>
      </x:c>
      <x:c r="B427" s="12" t="str">
        <x:v>2026-08-26</x:v>
      </x:c>
      <x:c r="C427" s="12" t="str">
        <x:v>16:00</x:v>
      </x:c>
      <x:c r="D427" s="13" t="n">
        <x:v>785</x:v>
      </x:c>
      <x:c r="E427" s="13" t="n">
        <x:v>35</x:v>
      </x:c>
      <x:c r="F427" s="13" t="n">
        <x:v>820</x:v>
      </x:c>
      <x:c r="G427" s="13" t="n">
        <x:v>674</x:v>
      </x:c>
      <x:c r="H427" s="13" t="n">
        <x:v>25</x:v>
      </x:c>
      <x:c r="I427" s="13" t="n">
        <x:v>699</x:v>
      </x:c>
      <x:c r="J427" s="13" t="n">
        <x:v>-121</x:v>
      </x:c>
      <x:c r="K427" s="14" t="n">
        <x:f>IFERROR(F427/SUMIFS($F:$F,$B:$B,B427),0)</x:f>
        <x:v>0.07293427021257672</x:v>
      </x:c>
      <x:c r="L427" s="12" t="str">
        <x:v>14–17</x:v>
      </x:c>
    </x:row>
    <x:row r="428">
      <x:c r="A428" s="12" t="str">
        <x:v>8月平日</x:v>
      </x:c>
      <x:c r="B428" s="12" t="str">
        <x:v>2026-08-26</x:v>
      </x:c>
      <x:c r="C428" s="12" t="str">
        <x:v>17:00</x:v>
      </x:c>
      <x:c r="D428" s="13" t="n">
        <x:v>1319</x:v>
      </x:c>
      <x:c r="E428" s="13" t="n">
        <x:v>61</x:v>
      </x:c>
      <x:c r="F428" s="13" t="n">
        <x:v>1380</x:v>
      </x:c>
      <x:c r="G428" s="13" t="n">
        <x:v>787</x:v>
      </x:c>
      <x:c r="H428" s="13" t="n">
        <x:v>32</x:v>
      </x:c>
      <x:c r="I428" s="13" t="n">
        <x:v>819</x:v>
      </x:c>
      <x:c r="J428" s="13" t="n">
        <x:v>-561</x:v>
      </x:c>
      <x:c r="K428" s="14" t="n">
        <x:f>IFERROR(F428/SUMIFS($F:$F,$B:$B,B428),0)</x:f>
        <x:v>0.12274304011384862</x:v>
      </x:c>
      <x:c r="L428" s="12" t="str">
        <x:v>14–17</x:v>
      </x:c>
    </x:row>
    <x:row r="429">
      <x:c r="A429" s="12" t="str">
        <x:v>8月平日</x:v>
      </x:c>
      <x:c r="B429" s="12" t="str">
        <x:v>2026-08-26</x:v>
      </x:c>
      <x:c r="C429" s="12" t="str">
        <x:v>18:00</x:v>
      </x:c>
      <x:c r="D429" s="13" t="n">
        <x:v>1009</x:v>
      </x:c>
      <x:c r="E429" s="13" t="n">
        <x:v>35</x:v>
      </x:c>
      <x:c r="F429" s="13" t="n">
        <x:v>1044</x:v>
      </x:c>
      <x:c r="G429" s="13" t="n">
        <x:v>684</x:v>
      </x:c>
      <x:c r="H429" s="13" t="n">
        <x:v>18</x:v>
      </x:c>
      <x:c r="I429" s="13" t="n">
        <x:v>702</x:v>
      </x:c>
      <x:c r="J429" s="13" t="n">
        <x:v>-342</x:v>
      </x:c>
      <x:c r="K429" s="14" t="n">
        <x:f>IFERROR(F429/SUMIFS($F:$F,$B:$B,B429),0)</x:f>
        <x:v>0.09285777817308548</x:v>
      </x:c>
      <x:c r="L429" s="12" t="str">
        <x:v>18–21</x:v>
      </x:c>
    </x:row>
    <x:row r="430">
      <x:c r="A430" s="12" t="str">
        <x:v>8月平日</x:v>
      </x:c>
      <x:c r="B430" s="12" t="str">
        <x:v>2026-08-26</x:v>
      </x:c>
      <x:c r="C430" s="12" t="str">
        <x:v>19:00</x:v>
      </x:c>
      <x:c r="D430" s="13" t="n">
        <x:v>541</x:v>
      </x:c>
      <x:c r="E430" s="13" t="n">
        <x:v>22</x:v>
      </x:c>
      <x:c r="F430" s="13" t="n">
        <x:v>563</x:v>
      </x:c>
      <x:c r="G430" s="13" t="n">
        <x:v>480</x:v>
      </x:c>
      <x:c r="H430" s="13" t="n">
        <x:v>18</x:v>
      </x:c>
      <x:c r="I430" s="13" t="n">
        <x:v>498</x:v>
      </x:c>
      <x:c r="J430" s="13" t="n">
        <x:v>-65</x:v>
      </x:c>
      <x:c r="K430" s="14" t="n">
        <x:f>IFERROR(F430/SUMIFS($F:$F,$B:$B,B430),0)</x:f>
        <x:v>0.05007560259717157</x:v>
      </x:c>
      <x:c r="L430" s="12" t="str">
        <x:v>18–21</x:v>
      </x:c>
    </x:row>
    <x:row r="431">
      <x:c r="A431" s="12" t="str">
        <x:v>8月平日</x:v>
      </x:c>
      <x:c r="B431" s="12" t="str">
        <x:v>2026-08-26</x:v>
      </x:c>
      <x:c r="C431" s="12" t="str">
        <x:v>20:00</x:v>
      </x:c>
      <x:c r="D431" s="13" t="n">
        <x:v>406</x:v>
      </x:c>
      <x:c r="E431" s="13" t="n">
        <x:v>6</x:v>
      </x:c>
      <x:c r="F431" s="13" t="n">
        <x:v>412</x:v>
      </x:c>
      <x:c r="G431" s="13" t="n">
        <x:v>332</x:v>
      </x:c>
      <x:c r="H431" s="13" t="n">
        <x:v>7</x:v>
      </x:c>
      <x:c r="I431" s="13" t="n">
        <x:v>339</x:v>
      </x:c>
      <x:c r="J431" s="13" t="n">
        <x:v>-73</x:v>
      </x:c>
      <x:c r="K431" s="14" t="n">
        <x:f>IFERROR(F431/SUMIFS($F:$F,$B:$B,B431),0)</x:f>
        <x:v>0.03664502357022147</x:v>
      </x:c>
      <x:c r="L431" s="12" t="str">
        <x:v>18–21</x:v>
      </x:c>
    </x:row>
    <x:row r="432">
      <x:c r="A432" s="12" t="str">
        <x:v>8月平日</x:v>
      </x:c>
      <x:c r="B432" s="12" t="str">
        <x:v>2026-08-26</x:v>
      </x:c>
      <x:c r="C432" s="12" t="str">
        <x:v>21:00</x:v>
      </x:c>
      <x:c r="D432" s="13" t="n">
        <x:v>380</x:v>
      </x:c>
      <x:c r="E432" s="13" t="n">
        <x:v>15</x:v>
      </x:c>
      <x:c r="F432" s="13" t="n">
        <x:v>395</x:v>
      </x:c>
      <x:c r="G432" s="13" t="n">
        <x:v>258</x:v>
      </x:c>
      <x:c r="H432" s="13" t="n">
        <x:v>7</x:v>
      </x:c>
      <x:c r="I432" s="13" t="n">
        <x:v>265</x:v>
      </x:c>
      <x:c r="J432" s="13" t="n">
        <x:v>-130</x:v>
      </x:c>
      <x:c r="K432" s="14" t="n">
        <x:f>IFERROR(F432/SUMIFS($F:$F,$B:$B,B432),0)</x:f>
        <x:v>0.03513297162679</x:v>
      </x:c>
      <x:c r="L432" s="12" t="str">
        <x:v>18–21</x:v>
      </x:c>
    </x:row>
    <x:row r="433">
      <x:c r="A433" s="12" t="str">
        <x:v>8月平日</x:v>
      </x:c>
      <x:c r="B433" s="12" t="str">
        <x:v>2026-08-26</x:v>
      </x:c>
      <x:c r="C433" s="12" t="str">
        <x:v>22:00</x:v>
      </x:c>
      <x:c r="D433" s="13" t="n">
        <x:v>286</x:v>
      </x:c>
      <x:c r="E433" s="13" t="n">
        <x:v>21</x:v>
      </x:c>
      <x:c r="F433" s="13" t="n">
        <x:v>307</x:v>
      </x:c>
      <x:c r="G433" s="13" t="n">
        <x:v>172</x:v>
      </x:c>
      <x:c r="H433" s="13" t="n">
        <x:v>5</x:v>
      </x:c>
      <x:c r="I433" s="13" t="n">
        <x:v>177</x:v>
      </x:c>
      <x:c r="J433" s="13" t="n">
        <x:v>-130</x:v>
      </x:c>
      <x:c r="K433" s="14" t="n">
        <x:f>IFERROR(F433/SUMIFS($F:$F,$B:$B,B433),0)</x:f>
        <x:v>0.027305879213732988</x:v>
      </x:c>
      <x:c r="L433" s="12" t="str">
        <x:v>22–23</x:v>
      </x:c>
    </x:row>
    <x:row r="434">
      <x:c r="A434" s="12" t="str">
        <x:v>8月平日</x:v>
      </x:c>
      <x:c r="B434" s="12" t="str">
        <x:v>2026-08-26</x:v>
      </x:c>
      <x:c r="C434" s="12" t="str">
        <x:v>23:00</x:v>
      </x:c>
      <x:c r="D434" s="13" t="n">
        <x:v>141</x:v>
      </x:c>
      <x:c r="E434" s="13" t="n">
        <x:v>6</x:v>
      </x:c>
      <x:c r="F434" s="13" t="n">
        <x:v>147</x:v>
      </x:c>
      <x:c r="G434" s="13" t="n">
        <x:v>116</x:v>
      </x:c>
      <x:c r="H434" s="13" t="n">
        <x:v>7</x:v>
      </x:c>
      <x:c r="I434" s="13" t="n">
        <x:v>123</x:v>
      </x:c>
      <x:c r="J434" s="13" t="n">
        <x:v>-24</x:v>
      </x:c>
      <x:c r="K434" s="14" t="n">
        <x:f>IFERROR(F434/SUMIFS($F:$F,$B:$B,B434),0)</x:f>
        <x:v>0.013074802099083875</x:v>
      </x:c>
      <x:c r="L434" s="12" t="str">
        <x:v>22–23</x:v>
      </x:c>
    </x:row>
    <x:row r="435">
      <x:c r="A435" s="12" t="str">
        <x:v>8月平日</x:v>
      </x:c>
      <x:c r="B435" s="12" t="str">
        <x:v>2026-08-27</x:v>
      </x:c>
      <x:c r="C435" s="12" t="str">
        <x:v>00:00</x:v>
      </x:c>
      <x:c r="D435" s="13" t="n">
        <x:v>74</x:v>
      </x:c>
      <x:c r="E435" s="13" t="n">
        <x:v>6</x:v>
      </x:c>
      <x:c r="F435" s="13" t="n">
        <x:v>80</x:v>
      </x:c>
      <x:c r="G435" s="13" t="n">
        <x:v>58</x:v>
      </x:c>
      <x:c r="H435" s="13" t="n">
        <x:v>2</x:v>
      </x:c>
      <x:c r="I435" s="13" t="n">
        <x:v>60</x:v>
      </x:c>
      <x:c r="J435" s="13" t="n">
        <x:v>-20</x:v>
      </x:c>
      <x:c r="K435" s="14" t="n">
        <x:f>IFERROR(F435/SUMIFS($F:$F,$B:$B,B435),0)</x:f>
        <x:v>0.007329363261566651</x:v>
      </x:c>
      <x:c r="L435" s="12" t="str">
        <x:v>00–05</x:v>
      </x:c>
    </x:row>
    <x:row r="436">
      <x:c r="A436" s="12" t="str">
        <x:v>8月平日</x:v>
      </x:c>
      <x:c r="B436" s="12" t="str">
        <x:v>2026-08-27</x:v>
      </x:c>
      <x:c r="C436" s="12" t="str">
        <x:v>01:00</x:v>
      </x:c>
      <x:c r="D436" s="13" t="n">
        <x:v>29</x:v>
      </x:c>
      <x:c r="E436" s="13" t="n">
        <x:v>3</x:v>
      </x:c>
      <x:c r="F436" s="13" t="n">
        <x:v>32</x:v>
      </x:c>
      <x:c r="G436" s="13" t="n">
        <x:v>25</x:v>
      </x:c>
      <x:c r="H436" s="13" t="n">
        <x:v>2</x:v>
      </x:c>
      <x:c r="I436" s="13" t="n">
        <x:v>27</x:v>
      </x:c>
      <x:c r="J436" s="13" t="n">
        <x:v>-5</x:v>
      </x:c>
      <x:c r="K436" s="14" t="n">
        <x:f>IFERROR(F436/SUMIFS($F:$F,$B:$B,B436),0)</x:f>
        <x:v>0.0029317453046266606</x:v>
      </x:c>
      <x:c r="L436" s="12" t="str">
        <x:v>00–05</x:v>
      </x:c>
    </x:row>
    <x:row r="437">
      <x:c r="A437" s="12" t="str">
        <x:v>8月平日</x:v>
      </x:c>
      <x:c r="B437" s="12" t="str">
        <x:v>2026-08-27</x:v>
      </x:c>
      <x:c r="C437" s="12" t="str">
        <x:v>02:00</x:v>
      </x:c>
      <x:c r="D437" s="13" t="n">
        <x:v>27</x:v>
      </x:c>
      <x:c r="E437" s="13" t="n">
        <x:v>2</x:v>
      </x:c>
      <x:c r="F437" s="13" t="n">
        <x:v>29</x:v>
      </x:c>
      <x:c r="G437" s="13" t="n">
        <x:v>20</x:v>
      </x:c>
      <x:c r="H437" s="13" t="n">
        <x:v>0</x:v>
      </x:c>
      <x:c r="I437" s="13" t="n">
        <x:v>20</x:v>
      </x:c>
      <x:c r="J437" s="13" t="n">
        <x:v>-9</x:v>
      </x:c>
      <x:c r="K437" s="14" t="n">
        <x:f>IFERROR(F437/SUMIFS($F:$F,$B:$B,B437),0)</x:f>
        <x:v>0.002656894182317911</x:v>
      </x:c>
      <x:c r="L437" s="12" t="str">
        <x:v>00–05</x:v>
      </x:c>
    </x:row>
    <x:row r="438">
      <x:c r="A438" s="12" t="str">
        <x:v>8月平日</x:v>
      </x:c>
      <x:c r="B438" s="12" t="str">
        <x:v>2026-08-27</x:v>
      </x:c>
      <x:c r="C438" s="12" t="str">
        <x:v>03:00</x:v>
      </x:c>
      <x:c r="D438" s="13" t="n">
        <x:v>14</x:v>
      </x:c>
      <x:c r="E438" s="13" t="n">
        <x:v>4</x:v>
      </x:c>
      <x:c r="F438" s="13" t="n">
        <x:v>18</x:v>
      </x:c>
      <x:c r="G438" s="13" t="n">
        <x:v>15</x:v>
      </x:c>
      <x:c r="H438" s="13" t="n">
        <x:v>1</x:v>
      </x:c>
      <x:c r="I438" s="13" t="n">
        <x:v>16</x:v>
      </x:c>
      <x:c r="J438" s="13" t="n">
        <x:v>-2</x:v>
      </x:c>
      <x:c r="K438" s="14" t="n">
        <x:f>IFERROR(F438/SUMIFS($F:$F,$B:$B,B438),0)</x:f>
        <x:v>0.0016491067338524966</x:v>
      </x:c>
      <x:c r="L438" s="12" t="str">
        <x:v>00–05</x:v>
      </x:c>
    </x:row>
    <x:row r="439">
      <x:c r="A439" s="12" t="str">
        <x:v>8月平日</x:v>
      </x:c>
      <x:c r="B439" s="12" t="str">
        <x:v>2026-08-27</x:v>
      </x:c>
      <x:c r="C439" s="12" t="str">
        <x:v>04:00</x:v>
      </x:c>
      <x:c r="D439" s="13" t="n">
        <x:v>14</x:v>
      </x:c>
      <x:c r="E439" s="13" t="n">
        <x:v>2</x:v>
      </x:c>
      <x:c r="F439" s="13" t="n">
        <x:v>16</x:v>
      </x:c>
      <x:c r="G439" s="13" t="n">
        <x:v>12</x:v>
      </x:c>
      <x:c r="H439" s="13" t="n">
        <x:v>1</x:v>
      </x:c>
      <x:c r="I439" s="13" t="n">
        <x:v>13</x:v>
      </x:c>
      <x:c r="J439" s="13" t="n">
        <x:v>-3</x:v>
      </x:c>
      <x:c r="K439" s="14" t="n">
        <x:f>IFERROR(F439/SUMIFS($F:$F,$B:$B,B439),0)</x:f>
        <x:v>0.0014658726523133303</x:v>
      </x:c>
      <x:c r="L439" s="12" t="str">
        <x:v>00–05</x:v>
      </x:c>
    </x:row>
    <x:row r="440">
      <x:c r="A440" s="12" t="str">
        <x:v>8月平日</x:v>
      </x:c>
      <x:c r="B440" s="12" t="str">
        <x:v>2026-08-27</x:v>
      </x:c>
      <x:c r="C440" s="12" t="str">
        <x:v>05:00</x:v>
      </x:c>
      <x:c r="D440" s="13" t="n">
        <x:v>21</x:v>
      </x:c>
      <x:c r="E440" s="13" t="n">
        <x:v>3</x:v>
      </x:c>
      <x:c r="F440" s="13" t="n">
        <x:v>24</x:v>
      </x:c>
      <x:c r="G440" s="13" t="n">
        <x:v>34</x:v>
      </x:c>
      <x:c r="H440" s="13" t="n">
        <x:v>3</x:v>
      </x:c>
      <x:c r="I440" s="13" t="n">
        <x:v>37</x:v>
      </x:c>
      <x:c r="J440" s="13" t="n">
        <x:v>13</x:v>
      </x:c>
      <x:c r="K440" s="14" t="n">
        <x:f>IFERROR(F440/SUMIFS($F:$F,$B:$B,B440),0)</x:f>
        <x:v>0.0021988089784699956</x:v>
      </x:c>
      <x:c r="L440" s="12" t="str">
        <x:v>00–05</x:v>
      </x:c>
    </x:row>
    <x:row r="441">
      <x:c r="A441" s="12" t="str">
        <x:v>8月平日</x:v>
      </x:c>
      <x:c r="B441" s="12" t="str">
        <x:v>2026-08-27</x:v>
      </x:c>
      <x:c r="C441" s="12" t="str">
        <x:v>06:00</x:v>
      </x:c>
      <x:c r="D441" s="13" t="n">
        <x:v>119</x:v>
      </x:c>
      <x:c r="E441" s="13" t="n">
        <x:v>5</x:v>
      </x:c>
      <x:c r="F441" s="13" t="n">
        <x:v>124</x:v>
      </x:c>
      <x:c r="G441" s="13" t="n">
        <x:v>134</x:v>
      </x:c>
      <x:c r="H441" s="13" t="n">
        <x:v>13</x:v>
      </x:c>
      <x:c r="I441" s="13" t="n">
        <x:v>147</x:v>
      </x:c>
      <x:c r="J441" s="13" t="n">
        <x:v>23</x:v>
      </x:c>
      <x:c r="K441" s="14" t="n">
        <x:f>IFERROR(F441/SUMIFS($F:$F,$B:$B,B441),0)</x:f>
        <x:v>0.01136051305542831</x:v>
      </x:c>
      <x:c r="L441" s="12" t="str">
        <x:v>06–09</x:v>
      </x:c>
    </x:row>
    <x:row r="442">
      <x:c r="A442" s="12" t="str">
        <x:v>8月平日</x:v>
      </x:c>
      <x:c r="B442" s="12" t="str">
        <x:v>2026-08-27</x:v>
      </x:c>
      <x:c r="C442" s="12" t="str">
        <x:v>07:00</x:v>
      </x:c>
      <x:c r="D442" s="13" t="n">
        <x:v>328</x:v>
      </x:c>
      <x:c r="E442" s="13" t="n">
        <x:v>9</x:v>
      </x:c>
      <x:c r="F442" s="13" t="n">
        <x:v>337</x:v>
      </x:c>
      <x:c r="G442" s="13" t="n">
        <x:v>417</x:v>
      </x:c>
      <x:c r="H442" s="13" t="n">
        <x:v>18</x:v>
      </x:c>
      <x:c r="I442" s="13" t="n">
        <x:v>435</x:v>
      </x:c>
      <x:c r="J442" s="13" t="n">
        <x:v>98</x:v>
      </x:c>
      <x:c r="K442" s="14" t="n">
        <x:f>IFERROR(F442/SUMIFS($F:$F,$B:$B,B442),0)</x:f>
        <x:v>0.030874942739349518</x:v>
      </x:c>
      <x:c r="L442" s="12" t="str">
        <x:v>06–09</x:v>
      </x:c>
    </x:row>
    <x:row r="443">
      <x:c r="A443" s="12" t="str">
        <x:v>8月平日</x:v>
      </x:c>
      <x:c r="B443" s="12" t="str">
        <x:v>2026-08-27</x:v>
      </x:c>
      <x:c r="C443" s="12" t="str">
        <x:v>08:00</x:v>
      </x:c>
      <x:c r="D443" s="13" t="n">
        <x:v>507</x:v>
      </x:c>
      <x:c r="E443" s="13" t="n">
        <x:v>22</x:v>
      </x:c>
      <x:c r="F443" s="13" t="n">
        <x:v>529</x:v>
      </x:c>
      <x:c r="G443" s="13" t="n">
        <x:v>875</x:v>
      </x:c>
      <x:c r="H443" s="13" t="n">
        <x:v>44</x:v>
      </x:c>
      <x:c r="I443" s="13" t="n">
        <x:v>919</x:v>
      </x:c>
      <x:c r="J443" s="13" t="n">
        <x:v>390</x:v>
      </x:c>
      <x:c r="K443" s="14" t="n">
        <x:f>IFERROR(F443/SUMIFS($F:$F,$B:$B,B443),0)</x:f>
        <x:v>0.04846541456710948</x:v>
      </x:c>
      <x:c r="L443" s="12" t="str">
        <x:v>06–09</x:v>
      </x:c>
    </x:row>
    <x:row r="444">
      <x:c r="A444" s="12" t="str">
        <x:v>8月平日</x:v>
      </x:c>
      <x:c r="B444" s="12" t="str">
        <x:v>2026-08-27</x:v>
      </x:c>
      <x:c r="C444" s="12" t="str">
        <x:v>09:00</x:v>
      </x:c>
      <x:c r="D444" s="13" t="n">
        <x:v>447</x:v>
      </x:c>
      <x:c r="E444" s="13" t="n">
        <x:v>22</x:v>
      </x:c>
      <x:c r="F444" s="13" t="n">
        <x:v>469</x:v>
      </x:c>
      <x:c r="G444" s="13" t="n">
        <x:v>773</x:v>
      </x:c>
      <x:c r="H444" s="13" t="n">
        <x:v>45</x:v>
      </x:c>
      <x:c r="I444" s="13" t="n">
        <x:v>818</x:v>
      </x:c>
      <x:c r="J444" s="13" t="n">
        <x:v>349</x:v>
      </x:c>
      <x:c r="K444" s="14" t="n">
        <x:f>IFERROR(F444/SUMIFS($F:$F,$B:$B,B444),0)</x:f>
        <x:v>0.04296839212093449</x:v>
      </x:c>
      <x:c r="L444" s="12" t="str">
        <x:v>06–09</x:v>
      </x:c>
    </x:row>
    <x:row r="445">
      <x:c r="A445" s="12" t="str">
        <x:v>8月平日</x:v>
      </x:c>
      <x:c r="B445" s="12" t="str">
        <x:v>2026-08-27</x:v>
      </x:c>
      <x:c r="C445" s="12" t="str">
        <x:v>10:00</x:v>
      </x:c>
      <x:c r="D445" s="13" t="n">
        <x:v>525</x:v>
      </x:c>
      <x:c r="E445" s="13" t="n">
        <x:v>27</x:v>
      </x:c>
      <x:c r="F445" s="13" t="n">
        <x:v>552</x:v>
      </x:c>
      <x:c r="G445" s="13" t="n">
        <x:v>662</x:v>
      </x:c>
      <x:c r="H445" s="13" t="n">
        <x:v>32</x:v>
      </x:c>
      <x:c r="I445" s="13" t="n">
        <x:v>694</x:v>
      </x:c>
      <x:c r="J445" s="13" t="n">
        <x:v>142</x:v>
      </x:c>
      <x:c r="K445" s="14" t="n">
        <x:f>IFERROR(F445/SUMIFS($F:$F,$B:$B,B445),0)</x:f>
        <x:v>0.050572606504809894</x:v>
      </x:c>
      <x:c r="L445" s="12" t="str">
        <x:v>10–13</x:v>
      </x:c>
    </x:row>
    <x:row r="446">
      <x:c r="A446" s="12" t="str">
        <x:v>8月平日</x:v>
      </x:c>
      <x:c r="B446" s="12" t="str">
        <x:v>2026-08-27</x:v>
      </x:c>
      <x:c r="C446" s="12" t="str">
        <x:v>11:00</x:v>
      </x:c>
      <x:c r="D446" s="13" t="n">
        <x:v>726</x:v>
      </x:c>
      <x:c r="E446" s="13" t="n">
        <x:v>32</x:v>
      </x:c>
      <x:c r="F446" s="13" t="n">
        <x:v>758</x:v>
      </x:c>
      <x:c r="G446" s="13" t="n">
        <x:v>698</x:v>
      </x:c>
      <x:c r="H446" s="13" t="n">
        <x:v>30</x:v>
      </x:c>
      <x:c r="I446" s="13" t="n">
        <x:v>728</x:v>
      </x:c>
      <x:c r="J446" s="13" t="n">
        <x:v>-30</x:v>
      </x:c>
      <x:c r="K446" s="14" t="n">
        <x:f>IFERROR(F446/SUMIFS($F:$F,$B:$B,B446),0)</x:f>
        <x:v>0.06944571690334402</x:v>
      </x:c>
      <x:c r="L446" s="12" t="str">
        <x:v>10–13</x:v>
      </x:c>
    </x:row>
    <x:row r="447">
      <x:c r="A447" s="12" t="str">
        <x:v>8月平日</x:v>
      </x:c>
      <x:c r="B447" s="12" t="str">
        <x:v>2026-08-27</x:v>
      </x:c>
      <x:c r="C447" s="12" t="str">
        <x:v>12:00</x:v>
      </x:c>
      <x:c r="D447" s="13" t="n">
        <x:v>901</x:v>
      </x:c>
      <x:c r="E447" s="13" t="n">
        <x:v>29</x:v>
      </x:c>
      <x:c r="F447" s="13" t="n">
        <x:v>930</x:v>
      </x:c>
      <x:c r="G447" s="13" t="n">
        <x:v>947</x:v>
      </x:c>
      <x:c r="H447" s="13" t="n">
        <x:v>21</x:v>
      </x:c>
      <x:c r="I447" s="13" t="n">
        <x:v>968</x:v>
      </x:c>
      <x:c r="J447" s="13" t="n">
        <x:v>38</x:v>
      </x:c>
      <x:c r="K447" s="14" t="n">
        <x:f>IFERROR(F447/SUMIFS($F:$F,$B:$B,B447),0)</x:f>
        <x:v>0.08520384791571232</x:v>
      </x:c>
      <x:c r="L447" s="12" t="str">
        <x:v>10–13</x:v>
      </x:c>
    </x:row>
    <x:row r="448">
      <x:c r="A448" s="12" t="str">
        <x:v>8月平日</x:v>
      </x:c>
      <x:c r="B448" s="12" t="str">
        <x:v>2026-08-27</x:v>
      </x:c>
      <x:c r="C448" s="12" t="str">
        <x:v>13:00</x:v>
      </x:c>
      <x:c r="D448" s="13" t="n">
        <x:v>747</x:v>
      </x:c>
      <x:c r="E448" s="13" t="n">
        <x:v>26</x:v>
      </x:c>
      <x:c r="F448" s="13" t="n">
        <x:v>773</x:v>
      </x:c>
      <x:c r="G448" s="13" t="n">
        <x:v>859</x:v>
      </x:c>
      <x:c r="H448" s="13" t="n">
        <x:v>34</x:v>
      </x:c>
      <x:c r="I448" s="13" t="n">
        <x:v>893</x:v>
      </x:c>
      <x:c r="J448" s="13" t="n">
        <x:v>120</x:v>
      </x:c>
      <x:c r="K448" s="14" t="n">
        <x:f>IFERROR(F448/SUMIFS($F:$F,$B:$B,B448),0)</x:f>
        <x:v>0.07081997251488777</x:v>
      </x:c>
      <x:c r="L448" s="12" t="str">
        <x:v>10–13</x:v>
      </x:c>
    </x:row>
    <x:row r="449">
      <x:c r="A449" s="12" t="str">
        <x:v>8月平日</x:v>
      </x:c>
      <x:c r="B449" s="12" t="str">
        <x:v>2026-08-27</x:v>
      </x:c>
      <x:c r="C449" s="12" t="str">
        <x:v>14:00</x:v>
      </x:c>
      <x:c r="D449" s="13" t="n">
        <x:v>644</x:v>
      </x:c>
      <x:c r="E449" s="13" t="n">
        <x:v>22</x:v>
      </x:c>
      <x:c r="F449" s="13" t="n">
        <x:v>666</x:v>
      </x:c>
      <x:c r="G449" s="13" t="n">
        <x:v>693</x:v>
      </x:c>
      <x:c r="H449" s="13" t="n">
        <x:v>22</x:v>
      </x:c>
      <x:c r="I449" s="13" t="n">
        <x:v>715</x:v>
      </x:c>
      <x:c r="J449" s="13" t="n">
        <x:v>49</x:v>
      </x:c>
      <x:c r="K449" s="14" t="n">
        <x:f>IFERROR(F449/SUMIFS($F:$F,$B:$B,B449),0)</x:f>
        <x:v>0.061016949152542375</x:v>
      </x:c>
      <x:c r="L449" s="12" t="str">
        <x:v>14–17</x:v>
      </x:c>
    </x:row>
    <x:row r="450">
      <x:c r="A450" s="12" t="str">
        <x:v>8月平日</x:v>
      </x:c>
      <x:c r="B450" s="12" t="str">
        <x:v>2026-08-27</x:v>
      </x:c>
      <x:c r="C450" s="12" t="str">
        <x:v>15:00</x:v>
      </x:c>
      <x:c r="D450" s="13" t="n">
        <x:v>635</x:v>
      </x:c>
      <x:c r="E450" s="13" t="n">
        <x:v>20</x:v>
      </x:c>
      <x:c r="F450" s="13" t="n">
        <x:v>655</x:v>
      </x:c>
      <x:c r="G450" s="13" t="n">
        <x:v>595</x:v>
      </x:c>
      <x:c r="H450" s="13" t="n">
        <x:v>16</x:v>
      </x:c>
      <x:c r="I450" s="13" t="n">
        <x:v>611</x:v>
      </x:c>
      <x:c r="J450" s="13" t="n">
        <x:v>-44</x:v>
      </x:c>
      <x:c r="K450" s="14" t="n">
        <x:f>IFERROR(F450/SUMIFS($F:$F,$B:$B,B450),0)</x:f>
        <x:v>0.06000916170407696</x:v>
      </x:c>
      <x:c r="L450" s="12" t="str">
        <x:v>14–17</x:v>
      </x:c>
    </x:row>
    <x:row r="451">
      <x:c r="A451" s="12" t="str">
        <x:v>8月平日</x:v>
      </x:c>
      <x:c r="B451" s="12" t="str">
        <x:v>2026-08-27</x:v>
      </x:c>
      <x:c r="C451" s="12" t="str">
        <x:v>16:00</x:v>
      </x:c>
      <x:c r="D451" s="13" t="n">
        <x:v>858</x:v>
      </x:c>
      <x:c r="E451" s="13" t="n">
        <x:v>35</x:v>
      </x:c>
      <x:c r="F451" s="13" t="n">
        <x:v>893</x:v>
      </x:c>
      <x:c r="G451" s="13" t="n">
        <x:v>668</x:v>
      </x:c>
      <x:c r="H451" s="13" t="n">
        <x:v>35</x:v>
      </x:c>
      <x:c r="I451" s="13" t="n">
        <x:v>703</x:v>
      </x:c>
      <x:c r="J451" s="13" t="n">
        <x:v>-190</x:v>
      </x:c>
      <x:c r="K451" s="14" t="n">
        <x:f>IFERROR(F451/SUMIFS($F:$F,$B:$B,B451),0)</x:f>
        <x:v>0.08181401740723775</x:v>
      </x:c>
      <x:c r="L451" s="12" t="str">
        <x:v>14–17</x:v>
      </x:c>
    </x:row>
    <x:row r="452">
      <x:c r="A452" s="12" t="str">
        <x:v>8月平日</x:v>
      </x:c>
      <x:c r="B452" s="12" t="str">
        <x:v>2026-08-27</x:v>
      </x:c>
      <x:c r="C452" s="12" t="str">
        <x:v>17:00</x:v>
      </x:c>
      <x:c r="D452" s="13" t="n">
        <x:v>1300</x:v>
      </x:c>
      <x:c r="E452" s="13" t="n">
        <x:v>47</x:v>
      </x:c>
      <x:c r="F452" s="13" t="n">
        <x:v>1347</x:v>
      </x:c>
      <x:c r="G452" s="13" t="n">
        <x:v>786</x:v>
      </x:c>
      <x:c r="H452" s="13" t="n">
        <x:v>16</x:v>
      </x:c>
      <x:c r="I452" s="13" t="n">
        <x:v>802</x:v>
      </x:c>
      <x:c r="J452" s="13" t="n">
        <x:v>-545</x:v>
      </x:c>
      <x:c r="K452" s="14" t="n">
        <x:f>IFERROR(F452/SUMIFS($F:$F,$B:$B,B452),0)</x:f>
        <x:v>0.12340815391662849</x:v>
      </x:c>
      <x:c r="L452" s="12" t="str">
        <x:v>14–17</x:v>
      </x:c>
    </x:row>
    <x:row r="453">
      <x:c r="A453" s="12" t="str">
        <x:v>8月平日</x:v>
      </x:c>
      <x:c r="B453" s="12" t="str">
        <x:v>2026-08-27</x:v>
      </x:c>
      <x:c r="C453" s="12" t="str">
        <x:v>18:00</x:v>
      </x:c>
      <x:c r="D453" s="13" t="n">
        <x:v>946</x:v>
      </x:c>
      <x:c r="E453" s="13" t="n">
        <x:v>36</x:v>
      </x:c>
      <x:c r="F453" s="13" t="n">
        <x:v>982</x:v>
      </x:c>
      <x:c r="G453" s="13" t="n">
        <x:v>648</x:v>
      </x:c>
      <x:c r="H453" s="13" t="n">
        <x:v>27</x:v>
      </x:c>
      <x:c r="I453" s="13" t="n">
        <x:v>675</x:v>
      </x:c>
      <x:c r="J453" s="13" t="n">
        <x:v>-307</x:v>
      </x:c>
      <x:c r="K453" s="14" t="n">
        <x:f>IFERROR(F453/SUMIFS($F:$F,$B:$B,B453),0)</x:f>
        <x:v>0.08996793403573064</x:v>
      </x:c>
      <x:c r="L453" s="12" t="str">
        <x:v>18–21</x:v>
      </x:c>
    </x:row>
    <x:row r="454">
      <x:c r="A454" s="12" t="str">
        <x:v>8月平日</x:v>
      </x:c>
      <x:c r="B454" s="12" t="str">
        <x:v>2026-08-27</x:v>
      </x:c>
      <x:c r="C454" s="12" t="str">
        <x:v>19:00</x:v>
      </x:c>
      <x:c r="D454" s="13" t="n">
        <x:v>553</x:v>
      </x:c>
      <x:c r="E454" s="13" t="n">
        <x:v>11</x:v>
      </x:c>
      <x:c r="F454" s="13" t="n">
        <x:v>564</x:v>
      </x:c>
      <x:c r="G454" s="13" t="n">
        <x:v>476</x:v>
      </x:c>
      <x:c r="H454" s="13" t="n">
        <x:v>10</x:v>
      </x:c>
      <x:c r="I454" s="13" t="n">
        <x:v>486</x:v>
      </x:c>
      <x:c r="J454" s="13" t="n">
        <x:v>-78</x:v>
      </x:c>
      <x:c r="K454" s="14" t="n">
        <x:f>IFERROR(F454/SUMIFS($F:$F,$B:$B,B454),0)</x:f>
        <x:v>0.05167201099404489</x:v>
      </x:c>
      <x:c r="L454" s="12" t="str">
        <x:v>18–21</x:v>
      </x:c>
    </x:row>
    <x:row r="455">
      <x:c r="A455" s="12" t="str">
        <x:v>8月平日</x:v>
      </x:c>
      <x:c r="B455" s="12" t="str">
        <x:v>2026-08-27</x:v>
      </x:c>
      <x:c r="C455" s="12" t="str">
        <x:v>20:00</x:v>
      </x:c>
      <x:c r="D455" s="13" t="n">
        <x:v>422</x:v>
      </x:c>
      <x:c r="E455" s="13" t="n">
        <x:v>23</x:v>
      </x:c>
      <x:c r="F455" s="13" t="n">
        <x:v>445</x:v>
      </x:c>
      <x:c r="G455" s="13" t="n">
        <x:v>320</x:v>
      </x:c>
      <x:c r="H455" s="13" t="n">
        <x:v>10</x:v>
      </x:c>
      <x:c r="I455" s="13" t="n">
        <x:v>330</x:v>
      </x:c>
      <x:c r="J455" s="13" t="n">
        <x:v>-115</x:v>
      </x:c>
      <x:c r="K455" s="14" t="n">
        <x:f>IFERROR(F455/SUMIFS($F:$F,$B:$B,B455),0)</x:f>
        <x:v>0.0407695831424645</x:v>
      </x:c>
      <x:c r="L455" s="12" t="str">
        <x:v>18–21</x:v>
      </x:c>
    </x:row>
    <x:row r="456">
      <x:c r="A456" s="12" t="str">
        <x:v>8月平日</x:v>
      </x:c>
      <x:c r="B456" s="12" t="str">
        <x:v>2026-08-27</x:v>
      </x:c>
      <x:c r="C456" s="12" t="str">
        <x:v>21:00</x:v>
      </x:c>
      <x:c r="D456" s="13" t="n">
        <x:v>343</x:v>
      </x:c>
      <x:c r="E456" s="13" t="n">
        <x:v>16</x:v>
      </x:c>
      <x:c r="F456" s="13" t="n">
        <x:v>359</x:v>
      </x:c>
      <x:c r="G456" s="13" t="n">
        <x:v>217</x:v>
      </x:c>
      <x:c r="H456" s="13" t="n">
        <x:v>14</x:v>
      </x:c>
      <x:c r="I456" s="13" t="n">
        <x:v>231</x:v>
      </x:c>
      <x:c r="J456" s="13" t="n">
        <x:v>-128</x:v>
      </x:c>
      <x:c r="K456" s="14" t="n">
        <x:f>IFERROR(F456/SUMIFS($F:$F,$B:$B,B456),0)</x:f>
        <x:v>0.03289051763628035</x:v>
      </x:c>
      <x:c r="L456" s="12" t="str">
        <x:v>18–21</x:v>
      </x:c>
    </x:row>
    <x:row r="457">
      <x:c r="A457" s="12" t="str">
        <x:v>8月平日</x:v>
      </x:c>
      <x:c r="B457" s="12" t="str">
        <x:v>2026-08-27</x:v>
      </x:c>
      <x:c r="C457" s="12" t="str">
        <x:v>22:00</x:v>
      </x:c>
      <x:c r="D457" s="13" t="n">
        <x:v>203</x:v>
      </x:c>
      <x:c r="E457" s="13" t="n">
        <x:v>12</x:v>
      </x:c>
      <x:c r="F457" s="13" t="n">
        <x:v>215</x:v>
      </x:c>
      <x:c r="G457" s="13" t="n">
        <x:v>152</x:v>
      </x:c>
      <x:c r="H457" s="13" t="n">
        <x:v>4</x:v>
      </x:c>
      <x:c r="I457" s="13" t="n">
        <x:v>156</x:v>
      </x:c>
      <x:c r="J457" s="13" t="n">
        <x:v>-59</x:v>
      </x:c>
      <x:c r="K457" s="14" t="n">
        <x:f>IFERROR(F457/SUMIFS($F:$F,$B:$B,B457),0)</x:f>
        <x:v>0.019697663765460376</x:v>
      </x:c>
      <x:c r="L457" s="12" t="str">
        <x:v>22–23</x:v>
      </x:c>
    </x:row>
    <x:row r="458">
      <x:c r="A458" s="12" t="str">
        <x:v>8月平日</x:v>
      </x:c>
      <x:c r="B458" s="12" t="str">
        <x:v>2026-08-27</x:v>
      </x:c>
      <x:c r="C458" s="12" t="str">
        <x:v>23:00</x:v>
      </x:c>
      <x:c r="D458" s="13" t="n">
        <x:v>111</x:v>
      </x:c>
      <x:c r="E458" s="13" t="n">
        <x:v>7</x:v>
      </x:c>
      <x:c r="F458" s="13" t="n">
        <x:v>118</x:v>
      </x:c>
      <x:c r="G458" s="13" t="n">
        <x:v>93</x:v>
      </x:c>
      <x:c r="H458" s="13" t="n">
        <x:v>4</x:v>
      </x:c>
      <x:c r="I458" s="13" t="n">
        <x:v>97</x:v>
      </x:c>
      <x:c r="J458" s="13" t="n">
        <x:v>-21</x:v>
      </x:c>
      <x:c r="K458" s="14" t="n">
        <x:f>IFERROR(F458/SUMIFS($F:$F,$B:$B,B458),0)</x:f>
        <x:v>0.010810810810810811</x:v>
      </x:c>
      <x:c r="L458" s="12" t="str">
        <x:v>22–23</x:v>
      </x:c>
    </x:row>
    <x:row r="459">
      <x:c r="A459" s="12" t="str">
        <x:v>8月平日</x:v>
      </x:c>
      <x:c r="B459" s="12" t="str">
        <x:v>2026-08-28</x:v>
      </x:c>
      <x:c r="C459" s="12" t="str">
        <x:v>00:00</x:v>
      </x:c>
      <x:c r="D459" s="13" t="n">
        <x:v>89</x:v>
      </x:c>
      <x:c r="E459" s="13" t="n">
        <x:v>5</x:v>
      </x:c>
      <x:c r="F459" s="13" t="n">
        <x:v>94</x:v>
      </x:c>
      <x:c r="G459" s="13" t="n">
        <x:v>55</x:v>
      </x:c>
      <x:c r="H459" s="13" t="n">
        <x:v>0</x:v>
      </x:c>
      <x:c r="I459" s="13" t="n">
        <x:v>55</x:v>
      </x:c>
      <x:c r="J459" s="13" t="n">
        <x:v>-39</x:v>
      </x:c>
      <x:c r="K459" s="14" t="n">
        <x:f>IFERROR(F459/SUMIFS($F:$F,$B:$B,B459),0)</x:f>
        <x:v>0.00852530382731725</x:v>
      </x:c>
      <x:c r="L459" s="12" t="str">
        <x:v>00–05</x:v>
      </x:c>
    </x:row>
    <x:row r="460">
      <x:c r="A460" s="12" t="str">
        <x:v>8月平日</x:v>
      </x:c>
      <x:c r="B460" s="12" t="str">
        <x:v>2026-08-28</x:v>
      </x:c>
      <x:c r="C460" s="12" t="str">
        <x:v>01:00</x:v>
      </x:c>
      <x:c r="D460" s="13" t="n">
        <x:v>34</x:v>
      </x:c>
      <x:c r="E460" s="13" t="n">
        <x:v>1</x:v>
      </x:c>
      <x:c r="F460" s="13" t="n">
        <x:v>35</x:v>
      </x:c>
      <x:c r="G460" s="13" t="n">
        <x:v>32</x:v>
      </x:c>
      <x:c r="H460" s="13" t="n">
        <x:v>1</x:v>
      </x:c>
      <x:c r="I460" s="13" t="n">
        <x:v>33</x:v>
      </x:c>
      <x:c r="J460" s="13" t="n">
        <x:v>-2</x:v>
      </x:c>
      <x:c r="K460" s="14" t="n">
        <x:f>IFERROR(F460/SUMIFS($F:$F,$B:$B,B460),0)</x:f>
        <x:v>0.0031743152548521676</x:v>
      </x:c>
      <x:c r="L460" s="12" t="str">
        <x:v>00–05</x:v>
      </x:c>
    </x:row>
    <x:row r="461">
      <x:c r="A461" s="12" t="str">
        <x:v>8月平日</x:v>
      </x:c>
      <x:c r="B461" s="12" t="str">
        <x:v>2026-08-28</x:v>
      </x:c>
      <x:c r="C461" s="12" t="str">
        <x:v>02:00</x:v>
      </x:c>
      <x:c r="D461" s="13" t="n">
        <x:v>25</x:v>
      </x:c>
      <x:c r="E461" s="13" t="n">
        <x:v>3</x:v>
      </x:c>
      <x:c r="F461" s="13" t="n">
        <x:v>28</x:v>
      </x:c>
      <x:c r="G461" s="13" t="n">
        <x:v>18</x:v>
      </x:c>
      <x:c r="H461" s="13" t="n">
        <x:v>1</x:v>
      </x:c>
      <x:c r="I461" s="13" t="n">
        <x:v>19</x:v>
      </x:c>
      <x:c r="J461" s="13" t="n">
        <x:v>-9</x:v>
      </x:c>
      <x:c r="K461" s="14" t="n">
        <x:f>IFERROR(F461/SUMIFS($F:$F,$B:$B,B461),0)</x:f>
        <x:v>0.002539452203881734</x:v>
      </x:c>
      <x:c r="L461" s="12" t="str">
        <x:v>00–05</x:v>
      </x:c>
    </x:row>
    <x:row r="462">
      <x:c r="A462" s="12" t="str">
        <x:v>8月平日</x:v>
      </x:c>
      <x:c r="B462" s="12" t="str">
        <x:v>2026-08-28</x:v>
      </x:c>
      <x:c r="C462" s="12" t="str">
        <x:v>03:00</x:v>
      </x:c>
      <x:c r="D462" s="13" t="n">
        <x:v>9</x:v>
      </x:c>
      <x:c r="E462" s="13" t="n">
        <x:v>0</x:v>
      </x:c>
      <x:c r="F462" s="13" t="n">
        <x:v>9</x:v>
      </x:c>
      <x:c r="G462" s="13" t="n">
        <x:v>7</x:v>
      </x:c>
      <x:c r="H462" s="13" t="n">
        <x:v>1</x:v>
      </x:c>
      <x:c r="I462" s="13" t="n">
        <x:v>8</x:v>
      </x:c>
      <x:c r="J462" s="13" t="n">
        <x:v>-1</x:v>
      </x:c>
      <x:c r="K462" s="14" t="n">
        <x:f>IFERROR(F462/SUMIFS($F:$F,$B:$B,B462),0)</x:f>
        <x:v>0.0008162524941048431</x:v>
      </x:c>
      <x:c r="L462" s="12" t="str">
        <x:v>00–05</x:v>
      </x:c>
    </x:row>
    <x:row r="463">
      <x:c r="A463" s="12" t="str">
        <x:v>8月平日</x:v>
      </x:c>
      <x:c r="B463" s="12" t="str">
        <x:v>2026-08-28</x:v>
      </x:c>
      <x:c r="C463" s="12" t="str">
        <x:v>04:00</x:v>
      </x:c>
      <x:c r="D463" s="13" t="n">
        <x:v>11</x:v>
      </x:c>
      <x:c r="E463" s="13" t="n">
        <x:v>1</x:v>
      </x:c>
      <x:c r="F463" s="13" t="n">
        <x:v>12</x:v>
      </x:c>
      <x:c r="G463" s="13" t="n">
        <x:v>7</x:v>
      </x:c>
      <x:c r="H463" s="13" t="n">
        <x:v>1</x:v>
      </x:c>
      <x:c r="I463" s="13" t="n">
        <x:v>8</x:v>
      </x:c>
      <x:c r="J463" s="13" t="n">
        <x:v>-4</x:v>
      </x:c>
      <x:c r="K463" s="14" t="n">
        <x:f>IFERROR(F463/SUMIFS($F:$F,$B:$B,B463),0)</x:f>
        <x:v>0.0010883366588064574</x:v>
      </x:c>
      <x:c r="L463" s="12" t="str">
        <x:v>00–05</x:v>
      </x:c>
    </x:row>
    <x:row r="464">
      <x:c r="A464" s="12" t="str">
        <x:v>8月平日</x:v>
      </x:c>
      <x:c r="B464" s="12" t="str">
        <x:v>2026-08-28</x:v>
      </x:c>
      <x:c r="C464" s="12" t="str">
        <x:v>05:00</x:v>
      </x:c>
      <x:c r="D464" s="13" t="n">
        <x:v>34</x:v>
      </x:c>
      <x:c r="E464" s="13" t="n">
        <x:v>1</x:v>
      </x:c>
      <x:c r="F464" s="13" t="n">
        <x:v>35</x:v>
      </x:c>
      <x:c r="G464" s="13" t="n">
        <x:v>40</x:v>
      </x:c>
      <x:c r="H464" s="13" t="n">
        <x:v>4</x:v>
      </x:c>
      <x:c r="I464" s="13" t="n">
        <x:v>44</x:v>
      </x:c>
      <x:c r="J464" s="13" t="n">
        <x:v>9</x:v>
      </x:c>
      <x:c r="K464" s="14" t="n">
        <x:f>IFERROR(F464/SUMIFS($F:$F,$B:$B,B464),0)</x:f>
        <x:v>0.0031743152548521676</x:v>
      </x:c>
      <x:c r="L464" s="12" t="str">
        <x:v>00–05</x:v>
      </x:c>
    </x:row>
    <x:row r="465">
      <x:c r="A465" s="12" t="str">
        <x:v>8月平日</x:v>
      </x:c>
      <x:c r="B465" s="12" t="str">
        <x:v>2026-08-28</x:v>
      </x:c>
      <x:c r="C465" s="12" t="str">
        <x:v>06:00</x:v>
      </x:c>
      <x:c r="D465" s="13" t="n">
        <x:v>106</x:v>
      </x:c>
      <x:c r="E465" s="13" t="n">
        <x:v>3</x:v>
      </x:c>
      <x:c r="F465" s="13" t="n">
        <x:v>109</x:v>
      </x:c>
      <x:c r="G465" s="13" t="n">
        <x:v>136</x:v>
      </x:c>
      <x:c r="H465" s="13" t="n">
        <x:v>13</x:v>
      </x:c>
      <x:c r="I465" s="13" t="n">
        <x:v>149</x:v>
      </x:c>
      <x:c r="J465" s="13" t="n">
        <x:v>40</x:v>
      </x:c>
      <x:c r="K465" s="14" t="n">
        <x:f>IFERROR(F465/SUMIFS($F:$F,$B:$B,B465),0)</x:f>
        <x:v>0.009885724650825323</x:v>
      </x:c>
      <x:c r="L465" s="12" t="str">
        <x:v>06–09</x:v>
      </x:c>
    </x:row>
    <x:row r="466">
      <x:c r="A466" s="12" t="str">
        <x:v>8月平日</x:v>
      </x:c>
      <x:c r="B466" s="12" t="str">
        <x:v>2026-08-28</x:v>
      </x:c>
      <x:c r="C466" s="12" t="str">
        <x:v>07:00</x:v>
      </x:c>
      <x:c r="D466" s="13" t="n">
        <x:v>344</x:v>
      </x:c>
      <x:c r="E466" s="13" t="n">
        <x:v>8</x:v>
      </x:c>
      <x:c r="F466" s="13" t="n">
        <x:v>352</x:v>
      </x:c>
      <x:c r="G466" s="13" t="n">
        <x:v>419</x:v>
      </x:c>
      <x:c r="H466" s="13" t="n">
        <x:v>12</x:v>
      </x:c>
      <x:c r="I466" s="13" t="n">
        <x:v>431</x:v>
      </x:c>
      <x:c r="J466" s="13" t="n">
        <x:v>79</x:v>
      </x:c>
      <x:c r="K466" s="14" t="n">
        <x:f>IFERROR(F466/SUMIFS($F:$F,$B:$B,B466),0)</x:f>
        <x:v>0.031924541991656084</x:v>
      </x:c>
      <x:c r="L466" s="12" t="str">
        <x:v>06–09</x:v>
      </x:c>
    </x:row>
    <x:row r="467">
      <x:c r="A467" s="12" t="str">
        <x:v>8月平日</x:v>
      </x:c>
      <x:c r="B467" s="12" t="str">
        <x:v>2026-08-28</x:v>
      </x:c>
      <x:c r="C467" s="12" t="str">
        <x:v>08:00</x:v>
      </x:c>
      <x:c r="D467" s="13" t="n">
        <x:v>483</x:v>
      </x:c>
      <x:c r="E467" s="13" t="n">
        <x:v>23</x:v>
      </x:c>
      <x:c r="F467" s="13" t="n">
        <x:v>506</x:v>
      </x:c>
      <x:c r="G467" s="13" t="n">
        <x:v>774</x:v>
      </x:c>
      <x:c r="H467" s="13" t="n">
        <x:v>45</x:v>
      </x:c>
      <x:c r="I467" s="13" t="n">
        <x:v>819</x:v>
      </x:c>
      <x:c r="J467" s="13" t="n">
        <x:v>313</x:v>
      </x:c>
      <x:c r="K467" s="14" t="n">
        <x:f>IFERROR(F467/SUMIFS($F:$F,$B:$B,B467),0)</x:f>
        <x:v>0.045891529113005626</x:v>
      </x:c>
      <x:c r="L467" s="12" t="str">
        <x:v>06–09</x:v>
      </x:c>
    </x:row>
    <x:row r="468">
      <x:c r="A468" s="12" t="str">
        <x:v>8月平日</x:v>
      </x:c>
      <x:c r="B468" s="12" t="str">
        <x:v>2026-08-28</x:v>
      </x:c>
      <x:c r="C468" s="12" t="str">
        <x:v>09:00</x:v>
      </x:c>
      <x:c r="D468" s="13" t="n">
        <x:v>532</x:v>
      </x:c>
      <x:c r="E468" s="13" t="n">
        <x:v>23</x:v>
      </x:c>
      <x:c r="F468" s="13" t="n">
        <x:v>555</x:v>
      </x:c>
      <x:c r="G468" s="13" t="n">
        <x:v>805</x:v>
      </x:c>
      <x:c r="H468" s="13" t="n">
        <x:v>45</x:v>
      </x:c>
      <x:c r="I468" s="13" t="n">
        <x:v>850</x:v>
      </x:c>
      <x:c r="J468" s="13" t="n">
        <x:v>295</x:v>
      </x:c>
      <x:c r="K468" s="14" t="n">
        <x:f>IFERROR(F468/SUMIFS($F:$F,$B:$B,B468),0)</x:f>
        <x:v>0.050335570469798654</x:v>
      </x:c>
      <x:c r="L468" s="12" t="str">
        <x:v>06–09</x:v>
      </x:c>
    </x:row>
    <x:row r="469">
      <x:c r="A469" s="12" t="str">
        <x:v>8月平日</x:v>
      </x:c>
      <x:c r="B469" s="12" t="str">
        <x:v>2026-08-28</x:v>
      </x:c>
      <x:c r="C469" s="12" t="str">
        <x:v>10:00</x:v>
      </x:c>
      <x:c r="D469" s="13" t="n">
        <x:v>501</x:v>
      </x:c>
      <x:c r="E469" s="13" t="n">
        <x:v>16</x:v>
      </x:c>
      <x:c r="F469" s="13" t="n">
        <x:v>517</x:v>
      </x:c>
      <x:c r="G469" s="13" t="n">
        <x:v>680</x:v>
      </x:c>
      <x:c r="H469" s="13" t="n">
        <x:v>25</x:v>
      </x:c>
      <x:c r="I469" s="13" t="n">
        <x:v>705</x:v>
      </x:c>
      <x:c r="J469" s="13" t="n">
        <x:v>188</x:v>
      </x:c>
      <x:c r="K469" s="14" t="n">
        <x:f>IFERROR(F469/SUMIFS($F:$F,$B:$B,B469),0)</x:f>
        <x:v>0.04688917105024488</x:v>
      </x:c>
      <x:c r="L469" s="12" t="str">
        <x:v>10–13</x:v>
      </x:c>
    </x:row>
    <x:row r="470">
      <x:c r="A470" s="12" t="str">
        <x:v>8月平日</x:v>
      </x:c>
      <x:c r="B470" s="12" t="str">
        <x:v>2026-08-28</x:v>
      </x:c>
      <x:c r="C470" s="12" t="str">
        <x:v>11:00</x:v>
      </x:c>
      <x:c r="D470" s="13" t="n">
        <x:v>759</x:v>
      </x:c>
      <x:c r="E470" s="13" t="n">
        <x:v>32</x:v>
      </x:c>
      <x:c r="F470" s="13" t="n">
        <x:v>791</x:v>
      </x:c>
      <x:c r="G470" s="13" t="n">
        <x:v>667</x:v>
      </x:c>
      <x:c r="H470" s="13" t="n">
        <x:v>21</x:v>
      </x:c>
      <x:c r="I470" s="13" t="n">
        <x:v>688</x:v>
      </x:c>
      <x:c r="J470" s="13" t="n">
        <x:v>-103</x:v>
      </x:c>
      <x:c r="K470" s="14" t="n">
        <x:f>IFERROR(F470/SUMIFS($F:$F,$B:$B,B470),0)</x:f>
        <x:v>0.07173952475965899</x:v>
      </x:c>
      <x:c r="L470" s="12" t="str">
        <x:v>10–13</x:v>
      </x:c>
    </x:row>
    <x:row r="471">
      <x:c r="A471" s="12" t="str">
        <x:v>8月平日</x:v>
      </x:c>
      <x:c r="B471" s="12" t="str">
        <x:v>2026-08-28</x:v>
      </x:c>
      <x:c r="C471" s="12" t="str">
        <x:v>12:00</x:v>
      </x:c>
      <x:c r="D471" s="13" t="n">
        <x:v>929</x:v>
      </x:c>
      <x:c r="E471" s="13" t="n">
        <x:v>41</x:v>
      </x:c>
      <x:c r="F471" s="13" t="n">
        <x:v>970</x:v>
      </x:c>
      <x:c r="G471" s="13" t="n">
        <x:v>957</x:v>
      </x:c>
      <x:c r="H471" s="13" t="n">
        <x:v>37</x:v>
      </x:c>
      <x:c r="I471" s="13" t="n">
        <x:v>994</x:v>
      </x:c>
      <x:c r="J471" s="13" t="n">
        <x:v>24</x:v>
      </x:c>
      <x:c r="K471" s="14" t="n">
        <x:f>IFERROR(F471/SUMIFS($F:$F,$B:$B,B471),0)</x:f>
        <x:v>0.08797387992018864</x:v>
      </x:c>
      <x:c r="L471" s="12" t="str">
        <x:v>10–13</x:v>
      </x:c>
    </x:row>
    <x:row r="472">
      <x:c r="A472" s="12" t="str">
        <x:v>8月平日</x:v>
      </x:c>
      <x:c r="B472" s="12" t="str">
        <x:v>2026-08-28</x:v>
      </x:c>
      <x:c r="C472" s="12" t="str">
        <x:v>13:00</x:v>
      </x:c>
      <x:c r="D472" s="13" t="n">
        <x:v>809</x:v>
      </x:c>
      <x:c r="E472" s="13" t="n">
        <x:v>30</x:v>
      </x:c>
      <x:c r="F472" s="13" t="n">
        <x:v>839</x:v>
      </x:c>
      <x:c r="G472" s="13" t="n">
        <x:v>1044</x:v>
      </x:c>
      <x:c r="H472" s="13" t="n">
        <x:v>43</x:v>
      </x:c>
      <x:c r="I472" s="13" t="n">
        <x:v>1087</x:v>
      </x:c>
      <x:c r="J472" s="13" t="n">
        <x:v>248</x:v>
      </x:c>
      <x:c r="K472" s="14" t="n">
        <x:f>IFERROR(F472/SUMIFS($F:$F,$B:$B,B472),0)</x:f>
        <x:v>0.07609287139488481</x:v>
      </x:c>
      <x:c r="L472" s="12" t="str">
        <x:v>10–13</x:v>
      </x:c>
    </x:row>
    <x:row r="473">
      <x:c r="A473" s="12" t="str">
        <x:v>8月平日</x:v>
      </x:c>
      <x:c r="B473" s="12" t="str">
        <x:v>2026-08-28</x:v>
      </x:c>
      <x:c r="C473" s="12" t="str">
        <x:v>14:00</x:v>
      </x:c>
      <x:c r="D473" s="13" t="n">
        <x:v>741</x:v>
      </x:c>
      <x:c r="E473" s="13" t="n">
        <x:v>32</x:v>
      </x:c>
      <x:c r="F473" s="13" t="n">
        <x:v>773</x:v>
      </x:c>
      <x:c r="G473" s="13" t="n">
        <x:v>715</x:v>
      </x:c>
      <x:c r="H473" s="13" t="n">
        <x:v>30</x:v>
      </x:c>
      <x:c r="I473" s="13" t="n">
        <x:v>745</x:v>
      </x:c>
      <x:c r="J473" s="13" t="n">
        <x:v>-28</x:v>
      </x:c>
      <x:c r="K473" s="14" t="n">
        <x:f>IFERROR(F473/SUMIFS($F:$F,$B:$B,B473),0)</x:f>
        <x:v>0.0701070197714493</x:v>
      </x:c>
      <x:c r="L473" s="12" t="str">
        <x:v>14–17</x:v>
      </x:c>
    </x:row>
    <x:row r="474">
      <x:c r="A474" s="12" t="str">
        <x:v>8月平日</x:v>
      </x:c>
      <x:c r="B474" s="12" t="str">
        <x:v>2026-08-28</x:v>
      </x:c>
      <x:c r="C474" s="12" t="str">
        <x:v>15:00</x:v>
      </x:c>
      <x:c r="D474" s="13" t="n">
        <x:v>800</x:v>
      </x:c>
      <x:c r="E474" s="13" t="n">
        <x:v>26</x:v>
      </x:c>
      <x:c r="F474" s="13" t="n">
        <x:v>826</x:v>
      </x:c>
      <x:c r="G474" s="13" t="n">
        <x:v>751</x:v>
      </x:c>
      <x:c r="H474" s="13" t="n">
        <x:v>23</x:v>
      </x:c>
      <x:c r="I474" s="13" t="n">
        <x:v>774</x:v>
      </x:c>
      <x:c r="J474" s="13" t="n">
        <x:v>-52</x:v>
      </x:c>
      <x:c r="K474" s="14" t="n">
        <x:f>IFERROR(F474/SUMIFS($F:$F,$B:$B,B474),0)</x:f>
        <x:v>0.07491384001451115</x:v>
      </x:c>
      <x:c r="L474" s="12" t="str">
        <x:v>14–17</x:v>
      </x:c>
    </x:row>
    <x:row r="475">
      <x:c r="A475" s="12" t="str">
        <x:v>8月平日</x:v>
      </x:c>
      <x:c r="B475" s="12" t="str">
        <x:v>2026-08-28</x:v>
      </x:c>
      <x:c r="C475" s="12" t="str">
        <x:v>16:00</x:v>
      </x:c>
      <x:c r="D475" s="13" t="n">
        <x:v>824</x:v>
      </x:c>
      <x:c r="E475" s="13" t="n">
        <x:v>38</x:v>
      </x:c>
      <x:c r="F475" s="13" t="n">
        <x:v>862</x:v>
      </x:c>
      <x:c r="G475" s="13" t="n">
        <x:v>648</x:v>
      </x:c>
      <x:c r="H475" s="13" t="n">
        <x:v>29</x:v>
      </x:c>
      <x:c r="I475" s="13" t="n">
        <x:v>677</x:v>
      </x:c>
      <x:c r="J475" s="13" t="n">
        <x:v>-185</x:v>
      </x:c>
      <x:c r="K475" s="14" t="n">
        <x:f>IFERROR(F475/SUMIFS($F:$F,$B:$B,B475),0)</x:f>
        <x:v>0.07817884999093053</x:v>
      </x:c>
      <x:c r="L475" s="12" t="str">
        <x:v>14–17</x:v>
      </x:c>
    </x:row>
    <x:row r="476">
      <x:c r="A476" s="12" t="str">
        <x:v>8月平日</x:v>
      </x:c>
      <x:c r="B476" s="12" t="str">
        <x:v>2026-08-28</x:v>
      </x:c>
      <x:c r="C476" s="12" t="str">
        <x:v>17:00</x:v>
      </x:c>
      <x:c r="D476" s="13" t="n">
        <x:v>1253</x:v>
      </x:c>
      <x:c r="E476" s="13" t="n">
        <x:v>66</x:v>
      </x:c>
      <x:c r="F476" s="13" t="n">
        <x:v>1319</x:v>
      </x:c>
      <x:c r="G476" s="13" t="n">
        <x:v>740</x:v>
      </x:c>
      <x:c r="H476" s="13" t="n">
        <x:v>25</x:v>
      </x:c>
      <x:c r="I476" s="13" t="n">
        <x:v>765</x:v>
      </x:c>
      <x:c r="J476" s="13" t="n">
        <x:v>-554</x:v>
      </x:c>
      <x:c r="K476" s="14" t="n">
        <x:f>IFERROR(F476/SUMIFS($F:$F,$B:$B,B476),0)</x:f>
        <x:v>0.11962633774714311</x:v>
      </x:c>
      <x:c r="L476" s="12" t="str">
        <x:v>14–17</x:v>
      </x:c>
    </x:row>
    <x:row r="477">
      <x:c r="A477" s="12" t="str">
        <x:v>8月平日</x:v>
      </x:c>
      <x:c r="B477" s="12" t="str">
        <x:v>2026-08-28</x:v>
      </x:c>
      <x:c r="C477" s="12" t="str">
        <x:v>18:00</x:v>
      </x:c>
      <x:c r="D477" s="13" t="n">
        <x:v>806</x:v>
      </x:c>
      <x:c r="E477" s="13" t="n">
        <x:v>43</x:v>
      </x:c>
      <x:c r="F477" s="13" t="n">
        <x:v>849</x:v>
      </x:c>
      <x:c r="G477" s="13" t="n">
        <x:v>508</x:v>
      </x:c>
      <x:c r="H477" s="13" t="n">
        <x:v>17</x:v>
      </x:c>
      <x:c r="I477" s="13" t="n">
        <x:v>525</x:v>
      </x:c>
      <x:c r="J477" s="13" t="n">
        <x:v>-324</x:v>
      </x:c>
      <x:c r="K477" s="14" t="n">
        <x:f>IFERROR(F477/SUMIFS($F:$F,$B:$B,B477),0)</x:f>
        <x:v>0.07699981861055687</x:v>
      </x:c>
      <x:c r="L477" s="12" t="str">
        <x:v>18–21</x:v>
      </x:c>
    </x:row>
    <x:row r="478">
      <x:c r="A478" s="12" t="str">
        <x:v>8月平日</x:v>
      </x:c>
      <x:c r="B478" s="12" t="str">
        <x:v>2026-08-28</x:v>
      </x:c>
      <x:c r="C478" s="12" t="str">
        <x:v>19:00</x:v>
      </x:c>
      <x:c r="D478" s="13" t="n">
        <x:v>490</x:v>
      </x:c>
      <x:c r="E478" s="13" t="n">
        <x:v>16</x:v>
      </x:c>
      <x:c r="F478" s="13" t="n">
        <x:v>506</x:v>
      </x:c>
      <x:c r="G478" s="13" t="n">
        <x:v>439</x:v>
      </x:c>
      <x:c r="H478" s="13" t="n">
        <x:v>16</x:v>
      </x:c>
      <x:c r="I478" s="13" t="n">
        <x:v>455</x:v>
      </x:c>
      <x:c r="J478" s="13" t="n">
        <x:v>-51</x:v>
      </x:c>
      <x:c r="K478" s="14" t="n">
        <x:f>IFERROR(F478/SUMIFS($F:$F,$B:$B,B478),0)</x:f>
        <x:v>0.045891529113005626</x:v>
      </x:c>
      <x:c r="L478" s="12" t="str">
        <x:v>18–21</x:v>
      </x:c>
    </x:row>
    <x:row r="479">
      <x:c r="A479" s="12" t="str">
        <x:v>8月平日</x:v>
      </x:c>
      <x:c r="B479" s="12" t="str">
        <x:v>2026-08-28</x:v>
      </x:c>
      <x:c r="C479" s="12" t="str">
        <x:v>20:00</x:v>
      </x:c>
      <x:c r="D479" s="13" t="n">
        <x:v>332</x:v>
      </x:c>
      <x:c r="E479" s="13" t="n">
        <x:v>17</x:v>
      </x:c>
      <x:c r="F479" s="13" t="n">
        <x:v>349</x:v>
      </x:c>
      <x:c r="G479" s="13" t="n">
        <x:v>275</x:v>
      </x:c>
      <x:c r="H479" s="13" t="n">
        <x:v>10</x:v>
      </x:c>
      <x:c r="I479" s="13" t="n">
        <x:v>285</x:v>
      </x:c>
      <x:c r="J479" s="13" t="n">
        <x:v>-64</x:v>
      </x:c>
      <x:c r="K479" s="14" t="n">
        <x:f>IFERROR(F479/SUMIFS($F:$F,$B:$B,B479),0)</x:f>
        <x:v>0.03165245782695447</x:v>
      </x:c>
      <x:c r="L479" s="12" t="str">
        <x:v>18–21</x:v>
      </x:c>
    </x:row>
    <x:row r="480">
      <x:c r="A480" s="12" t="str">
        <x:v>8月平日</x:v>
      </x:c>
      <x:c r="B480" s="12" t="str">
        <x:v>2026-08-28</x:v>
      </x:c>
      <x:c r="C480" s="12" t="str">
        <x:v>21:00</x:v>
      </x:c>
      <x:c r="D480" s="13" t="n">
        <x:v>314</x:v>
      </x:c>
      <x:c r="E480" s="13" t="n">
        <x:v>18</x:v>
      </x:c>
      <x:c r="F480" s="13" t="n">
        <x:v>332</x:v>
      </x:c>
      <x:c r="G480" s="13" t="n">
        <x:v>206</x:v>
      </x:c>
      <x:c r="H480" s="13" t="n">
        <x:v>8</x:v>
      </x:c>
      <x:c r="I480" s="13" t="n">
        <x:v>214</x:v>
      </x:c>
      <x:c r="J480" s="13" t="n">
        <x:v>-118</x:v>
      </x:c>
      <x:c r="K480" s="14" t="n">
        <x:f>IFERROR(F480/SUMIFS($F:$F,$B:$B,B480),0)</x:f>
        <x:v>0.03011064756031199</x:v>
      </x:c>
      <x:c r="L480" s="12" t="str">
        <x:v>18–21</x:v>
      </x:c>
    </x:row>
    <x:row r="481">
      <x:c r="A481" s="12" t="str">
        <x:v>8月平日</x:v>
      </x:c>
      <x:c r="B481" s="12" t="str">
        <x:v>2026-08-28</x:v>
      </x:c>
      <x:c r="C481" s="12" t="str">
        <x:v>22:00</x:v>
      </x:c>
      <x:c r="D481" s="13" t="n">
        <x:v>233</x:v>
      </x:c>
      <x:c r="E481" s="13" t="n">
        <x:v>12</x:v>
      </x:c>
      <x:c r="F481" s="13" t="n">
        <x:v>245</x:v>
      </x:c>
      <x:c r="G481" s="13" t="n">
        <x:v>201</x:v>
      </x:c>
      <x:c r="H481" s="13" t="n">
        <x:v>3</x:v>
      </x:c>
      <x:c r="I481" s="13" t="n">
        <x:v>204</x:v>
      </x:c>
      <x:c r="J481" s="13" t="n">
        <x:v>-41</x:v>
      </x:c>
      <x:c r="K481" s="14" t="n">
        <x:f>IFERROR(F481/SUMIFS($F:$F,$B:$B,B481),0)</x:f>
        <x:v>0.022220206783965173</x:v>
      </x:c>
      <x:c r="L481" s="12" t="str">
        <x:v>22–23</x:v>
      </x:c>
    </x:row>
    <x:row r="482">
      <x:c r="A482" s="12" t="str">
        <x:v>8月平日</x:v>
      </x:c>
      <x:c r="B482" s="12" t="str">
        <x:v>2026-08-28</x:v>
      </x:c>
      <x:c r="C482" s="12" t="str">
        <x:v>23:00</x:v>
      </x:c>
      <x:c r="D482" s="13" t="n">
        <x:v>109</x:v>
      </x:c>
      <x:c r="E482" s="13" t="n">
        <x:v>4</x:v>
      </x:c>
      <x:c r="F482" s="13" t="n">
        <x:v>113</x:v>
      </x:c>
      <x:c r="G482" s="13" t="n">
        <x:v>99</x:v>
      </x:c>
      <x:c r="H482" s="13" t="n">
        <x:v>1</x:v>
      </x:c>
      <x:c r="I482" s="13" t="n">
        <x:v>100</x:v>
      </x:c>
      <x:c r="J482" s="13" t="n">
        <x:v>-13</x:v>
      </x:c>
      <x:c r="K482" s="14" t="n">
        <x:f>IFERROR(F482/SUMIFS($F:$F,$B:$B,B482),0)</x:f>
        <x:v>0.01024850353709414</x:v>
      </x:c>
      <x:c r="L482" s="12" t="str">
        <x:v>22–23</x:v>
      </x:c>
    </x:row>
    <x:row r="483">
      <x:c r="A483" s="12" t="str">
        <x:v>8月平日</x:v>
      </x:c>
      <x:c r="B483" s="12" t="str">
        <x:v>2026-08-31</x:v>
      </x:c>
      <x:c r="C483" s="12" t="str">
        <x:v>00:00</x:v>
      </x:c>
      <x:c r="D483" s="13" t="n">
        <x:v>66</x:v>
      </x:c>
      <x:c r="E483" s="13" t="n">
        <x:v>3</x:v>
      </x:c>
      <x:c r="F483" s="13" t="n">
        <x:v>69</x:v>
      </x:c>
      <x:c r="G483" s="13" t="n">
        <x:v>48</x:v>
      </x:c>
      <x:c r="H483" s="13" t="n">
        <x:v>0</x:v>
      </x:c>
      <x:c r="I483" s="13" t="n">
        <x:v>48</x:v>
      </x:c>
      <x:c r="J483" s="13" t="n">
        <x:v>-21</x:v>
      </x:c>
      <x:c r="K483" s="14" t="n">
        <x:f>IFERROR(F483/SUMIFS($F:$F,$B:$B,B483),0)</x:f>
        <x:v>0.005856888209829387</x:v>
      </x:c>
      <x:c r="L483" s="12" t="str">
        <x:v>00–05</x:v>
      </x:c>
    </x:row>
    <x:row r="484">
      <x:c r="A484" s="12" t="str">
        <x:v>8月平日</x:v>
      </x:c>
      <x:c r="B484" s="12" t="str">
        <x:v>2026-08-31</x:v>
      </x:c>
      <x:c r="C484" s="12" t="str">
        <x:v>01:00</x:v>
      </x:c>
      <x:c r="D484" s="13" t="n">
        <x:v>34</x:v>
      </x:c>
      <x:c r="E484" s="13" t="n">
        <x:v>0</x:v>
      </x:c>
      <x:c r="F484" s="13" t="n">
        <x:v>34</x:v>
      </x:c>
      <x:c r="G484" s="13" t="n">
        <x:v>30</x:v>
      </x:c>
      <x:c r="H484" s="13" t="n">
        <x:v>0</x:v>
      </x:c>
      <x:c r="I484" s="13" t="n">
        <x:v>30</x:v>
      </x:c>
      <x:c r="J484" s="13" t="n">
        <x:v>-4</x:v>
      </x:c>
      <x:c r="K484" s="14" t="n">
        <x:f>IFERROR(F484/SUMIFS($F:$F,$B:$B,B484),0)</x:f>
        <x:v>0.002886002886002886</x:v>
      </x:c>
      <x:c r="L484" s="12" t="str">
        <x:v>00–05</x:v>
      </x:c>
    </x:row>
    <x:row r="485">
      <x:c r="A485" s="12" t="str">
        <x:v>8月平日</x:v>
      </x:c>
      <x:c r="B485" s="12" t="str">
        <x:v>2026-08-31</x:v>
      </x:c>
      <x:c r="C485" s="12" t="str">
        <x:v>02:00</x:v>
      </x:c>
      <x:c r="D485" s="13" t="n">
        <x:v>27</x:v>
      </x:c>
      <x:c r="E485" s="13" t="n">
        <x:v>3</x:v>
      </x:c>
      <x:c r="F485" s="13" t="n">
        <x:v>30</x:v>
      </x:c>
      <x:c r="G485" s="13" t="n">
        <x:v>18</x:v>
      </x:c>
      <x:c r="H485" s="13" t="n">
        <x:v>1</x:v>
      </x:c>
      <x:c r="I485" s="13" t="n">
        <x:v>19</x:v>
      </x:c>
      <x:c r="J485" s="13" t="n">
        <x:v>-11</x:v>
      </x:c>
      <x:c r="K485" s="14" t="n">
        <x:f>IFERROR(F485/SUMIFS($F:$F,$B:$B,B485),0)</x:f>
        <x:v>0.002546473134708429</x:v>
      </x:c>
      <x:c r="L485" s="12" t="str">
        <x:v>00–05</x:v>
      </x:c>
    </x:row>
    <x:row r="486">
      <x:c r="A486" s="12" t="str">
        <x:v>8月平日</x:v>
      </x:c>
      <x:c r="B486" s="12" t="str">
        <x:v>2026-08-31</x:v>
      </x:c>
      <x:c r="C486" s="12" t="str">
        <x:v>03:00</x:v>
      </x:c>
      <x:c r="D486" s="13" t="n">
        <x:v>9</x:v>
      </x:c>
      <x:c r="E486" s="13" t="n">
        <x:v>1</x:v>
      </x:c>
      <x:c r="F486" s="13" t="n">
        <x:v>10</x:v>
      </x:c>
      <x:c r="G486" s="13" t="n">
        <x:v>7</x:v>
      </x:c>
      <x:c r="H486" s="13" t="n">
        <x:v>0</x:v>
      </x:c>
      <x:c r="I486" s="13" t="n">
        <x:v>7</x:v>
      </x:c>
      <x:c r="J486" s="13" t="n">
        <x:v>-3</x:v>
      </x:c>
      <x:c r="K486" s="14" t="n">
        <x:f>IFERROR(F486/SUMIFS($F:$F,$B:$B,B486),0)</x:f>
        <x:v>0.0008488243782361429</x:v>
      </x:c>
      <x:c r="L486" s="12" t="str">
        <x:v>00–05</x:v>
      </x:c>
    </x:row>
    <x:row r="487">
      <x:c r="A487" s="12" t="str">
        <x:v>8月平日</x:v>
      </x:c>
      <x:c r="B487" s="12" t="str">
        <x:v>2026-08-31</x:v>
      </x:c>
      <x:c r="C487" s="12" t="str">
        <x:v>04:00</x:v>
      </x:c>
      <x:c r="D487" s="13" t="n">
        <x:v>14</x:v>
      </x:c>
      <x:c r="E487" s="13" t="n">
        <x:v>0</x:v>
      </x:c>
      <x:c r="F487" s="13" t="n">
        <x:v>14</x:v>
      </x:c>
      <x:c r="G487" s="13" t="n">
        <x:v>10</x:v>
      </x:c>
      <x:c r="H487" s="13" t="n">
        <x:v>1</x:v>
      </x:c>
      <x:c r="I487" s="13" t="n">
        <x:v>11</x:v>
      </x:c>
      <x:c r="J487" s="13" t="n">
        <x:v>-3</x:v>
      </x:c>
      <x:c r="K487" s="14" t="n">
        <x:f>IFERROR(F487/SUMIFS($F:$F,$B:$B,B487),0)</x:f>
        <x:v>0.0011883541295306002</x:v>
      </x:c>
      <x:c r="L487" s="12" t="str">
        <x:v>00–05</x:v>
      </x:c>
    </x:row>
    <x:row r="488">
      <x:c r="A488" s="12" t="str">
        <x:v>8月平日</x:v>
      </x:c>
      <x:c r="B488" s="12" t="str">
        <x:v>2026-08-31</x:v>
      </x:c>
      <x:c r="C488" s="12" t="str">
        <x:v>05:00</x:v>
      </x:c>
      <x:c r="D488" s="13" t="n">
        <x:v>15</x:v>
      </x:c>
      <x:c r="E488" s="13" t="n">
        <x:v>4</x:v>
      </x:c>
      <x:c r="F488" s="13" t="n">
        <x:v>19</x:v>
      </x:c>
      <x:c r="G488" s="13" t="n">
        <x:v>31</x:v>
      </x:c>
      <x:c r="H488" s="13" t="n">
        <x:v>4</x:v>
      </x:c>
      <x:c r="I488" s="13" t="n">
        <x:v>35</x:v>
      </x:c>
      <x:c r="J488" s="13" t="n">
        <x:v>16</x:v>
      </x:c>
      <x:c r="K488" s="14" t="n">
        <x:f>IFERROR(F488/SUMIFS($F:$F,$B:$B,B488),0)</x:f>
        <x:v>0.0016127663186486715</x:v>
      </x:c>
      <x:c r="L488" s="12" t="str">
        <x:v>00–05</x:v>
      </x:c>
    </x:row>
    <x:row r="489">
      <x:c r="A489" s="12" t="str">
        <x:v>8月平日</x:v>
      </x:c>
      <x:c r="B489" s="12" t="str">
        <x:v>2026-08-31</x:v>
      </x:c>
      <x:c r="C489" s="12" t="str">
        <x:v>06:00</x:v>
      </x:c>
      <x:c r="D489" s="13" t="n">
        <x:v>112</x:v>
      </x:c>
      <x:c r="E489" s="13" t="n">
        <x:v>3</x:v>
      </x:c>
      <x:c r="F489" s="13" t="n">
        <x:v>115</x:v>
      </x:c>
      <x:c r="G489" s="13" t="n">
        <x:v>141</x:v>
      </x:c>
      <x:c r="H489" s="13" t="n">
        <x:v>12</x:v>
      </x:c>
      <x:c r="I489" s="13" t="n">
        <x:v>153</x:v>
      </x:c>
      <x:c r="J489" s="13" t="n">
        <x:v>38</x:v>
      </x:c>
      <x:c r="K489" s="14" t="n">
        <x:f>IFERROR(F489/SUMIFS($F:$F,$B:$B,B489),0)</x:f>
        <x:v>0.009761480349715643</x:v>
      </x:c>
      <x:c r="L489" s="12" t="str">
        <x:v>06–09</x:v>
      </x:c>
    </x:row>
    <x:row r="490">
      <x:c r="A490" s="12" t="str">
        <x:v>8月平日</x:v>
      </x:c>
      <x:c r="B490" s="12" t="str">
        <x:v>2026-08-31</x:v>
      </x:c>
      <x:c r="C490" s="12" t="str">
        <x:v>07:00</x:v>
      </x:c>
      <x:c r="D490" s="13" t="n">
        <x:v>340</x:v>
      </x:c>
      <x:c r="E490" s="13" t="n">
        <x:v>5</x:v>
      </x:c>
      <x:c r="F490" s="13" t="n">
        <x:v>345</x:v>
      </x:c>
      <x:c r="G490" s="13" t="n">
        <x:v>408</x:v>
      </x:c>
      <x:c r="H490" s="13" t="n">
        <x:v>16</x:v>
      </x:c>
      <x:c r="I490" s="13" t="n">
        <x:v>424</x:v>
      </x:c>
      <x:c r="J490" s="13" t="n">
        <x:v>79</x:v>
      </x:c>
      <x:c r="K490" s="14" t="n">
        <x:f>IFERROR(F490/SUMIFS($F:$F,$B:$B,B490),0)</x:f>
        <x:v>0.02928444104914693</x:v>
      </x:c>
      <x:c r="L490" s="12" t="str">
        <x:v>06–09</x:v>
      </x:c>
    </x:row>
    <x:row r="491">
      <x:c r="A491" s="12" t="str">
        <x:v>8月平日</x:v>
      </x:c>
      <x:c r="B491" s="12" t="str">
        <x:v>2026-08-31</x:v>
      </x:c>
      <x:c r="C491" s="12" t="str">
        <x:v>08:00</x:v>
      </x:c>
      <x:c r="D491" s="13" t="n">
        <x:v>562</x:v>
      </x:c>
      <x:c r="E491" s="13" t="n">
        <x:v>29</x:v>
      </x:c>
      <x:c r="F491" s="13" t="n">
        <x:v>591</x:v>
      </x:c>
      <x:c r="G491" s="13" t="n">
        <x:v>868</x:v>
      </x:c>
      <x:c r="H491" s="13" t="n">
        <x:v>43</x:v>
      </x:c>
      <x:c r="I491" s="13" t="n">
        <x:v>911</x:v>
      </x:c>
      <x:c r="J491" s="13" t="n">
        <x:v>320</x:v>
      </x:c>
      <x:c r="K491" s="14" t="n">
        <x:f>IFERROR(F491/SUMIFS($F:$F,$B:$B,B491),0)</x:f>
        <x:v>0.05016552075375605</x:v>
      </x:c>
      <x:c r="L491" s="12" t="str">
        <x:v>06–09</x:v>
      </x:c>
    </x:row>
    <x:row r="492">
      <x:c r="A492" s="12" t="str">
        <x:v>8月平日</x:v>
      </x:c>
      <x:c r="B492" s="12" t="str">
        <x:v>2026-08-31</x:v>
      </x:c>
      <x:c r="C492" s="12" t="str">
        <x:v>09:00</x:v>
      </x:c>
      <x:c r="D492" s="13" t="n">
        <x:v>509</x:v>
      </x:c>
      <x:c r="E492" s="13" t="n">
        <x:v>25</x:v>
      </x:c>
      <x:c r="F492" s="13" t="n">
        <x:v>534</x:v>
      </x:c>
      <x:c r="G492" s="13" t="n">
        <x:v>754</x:v>
      </x:c>
      <x:c r="H492" s="13" t="n">
        <x:v>41</x:v>
      </x:c>
      <x:c r="I492" s="13" t="n">
        <x:v>795</x:v>
      </x:c>
      <x:c r="J492" s="13" t="n">
        <x:v>261</x:v>
      </x:c>
      <x:c r="K492" s="14" t="n">
        <x:f>IFERROR(F492/SUMIFS($F:$F,$B:$B,B492),0)</x:f>
        <x:v>0.045327221797810034</x:v>
      </x:c>
      <x:c r="L492" s="12" t="str">
        <x:v>06–09</x:v>
      </x:c>
    </x:row>
    <x:row r="493">
      <x:c r="A493" s="12" t="str">
        <x:v>8月平日</x:v>
      </x:c>
      <x:c r="B493" s="12" t="str">
        <x:v>2026-08-31</x:v>
      </x:c>
      <x:c r="C493" s="12" t="str">
        <x:v>10:00</x:v>
      </x:c>
      <x:c r="D493" s="13" t="n">
        <x:v>624</x:v>
      </x:c>
      <x:c r="E493" s="13" t="n">
        <x:v>32</x:v>
      </x:c>
      <x:c r="F493" s="13" t="n">
        <x:v>656</x:v>
      </x:c>
      <x:c r="G493" s="13" t="n">
        <x:v>786</x:v>
      </x:c>
      <x:c r="H493" s="13" t="n">
        <x:v>44</x:v>
      </x:c>
      <x:c r="I493" s="13" t="n">
        <x:v>830</x:v>
      </x:c>
      <x:c r="J493" s="13" t="n">
        <x:v>174</x:v>
      </x:c>
      <x:c r="K493" s="14" t="n">
        <x:f>IFERROR(F493/SUMIFS($F:$F,$B:$B,B493),0)</x:f>
        <x:v>0.055682879212290974</x:v>
      </x:c>
      <x:c r="L493" s="12" t="str">
        <x:v>10–13</x:v>
      </x:c>
    </x:row>
    <x:row r="494">
      <x:c r="A494" s="12" t="str">
        <x:v>8月平日</x:v>
      </x:c>
      <x:c r="B494" s="12" t="str">
        <x:v>2026-08-31</x:v>
      </x:c>
      <x:c r="C494" s="12" t="str">
        <x:v>11:00</x:v>
      </x:c>
      <x:c r="D494" s="13" t="n">
        <x:v>877</x:v>
      </x:c>
      <x:c r="E494" s="13" t="n">
        <x:v>30</x:v>
      </x:c>
      <x:c r="F494" s="13" t="n">
        <x:v>907</x:v>
      </x:c>
      <x:c r="G494" s="13" t="n">
        <x:v>841</x:v>
      </x:c>
      <x:c r="H494" s="13" t="n">
        <x:v>42</x:v>
      </x:c>
      <x:c r="I494" s="13" t="n">
        <x:v>883</x:v>
      </x:c>
      <x:c r="J494" s="13" t="n">
        <x:v>-24</x:v>
      </x:c>
      <x:c r="K494" s="14" t="n">
        <x:f>IFERROR(F494/SUMIFS($F:$F,$B:$B,B494),0)</x:f>
        <x:v>0.07698837110601817</x:v>
      </x:c>
      <x:c r="L494" s="12" t="str">
        <x:v>10–13</x:v>
      </x:c>
    </x:row>
    <x:row r="495">
      <x:c r="A495" s="12" t="str">
        <x:v>8月平日</x:v>
      </x:c>
      <x:c r="B495" s="12" t="str">
        <x:v>2026-08-31</x:v>
      </x:c>
      <x:c r="C495" s="12" t="str">
        <x:v>12:00</x:v>
      </x:c>
      <x:c r="D495" s="13" t="n">
        <x:v>882</x:v>
      </x:c>
      <x:c r="E495" s="13" t="n">
        <x:v>44</x:v>
      </x:c>
      <x:c r="F495" s="13" t="n">
        <x:v>926</x:v>
      </x:c>
      <x:c r="G495" s="13" t="n">
        <x:v>943</x:v>
      </x:c>
      <x:c r="H495" s="13" t="n">
        <x:v>40</x:v>
      </x:c>
      <x:c r="I495" s="13" t="n">
        <x:v>983</x:v>
      </x:c>
      <x:c r="J495" s="13" t="n">
        <x:v>57</x:v>
      </x:c>
      <x:c r="K495" s="14" t="n">
        <x:f>IFERROR(F495/SUMIFS($F:$F,$B:$B,B495),0)</x:f>
        <x:v>0.07860113742466683</x:v>
      </x:c>
      <x:c r="L495" s="12" t="str">
        <x:v>10–13</x:v>
      </x:c>
    </x:row>
    <x:row r="496">
      <x:c r="A496" s="12" t="str">
        <x:v>8月平日</x:v>
      </x:c>
      <x:c r="B496" s="12" t="str">
        <x:v>2026-08-31</x:v>
      </x:c>
      <x:c r="C496" s="12" t="str">
        <x:v>13:00</x:v>
      </x:c>
      <x:c r="D496" s="13" t="n">
        <x:v>859</x:v>
      </x:c>
      <x:c r="E496" s="13" t="n">
        <x:v>29</x:v>
      </x:c>
      <x:c r="F496" s="13" t="n">
        <x:v>888</x:v>
      </x:c>
      <x:c r="G496" s="13" t="n">
        <x:v>1010</x:v>
      </x:c>
      <x:c r="H496" s="13" t="n">
        <x:v>28</x:v>
      </x:c>
      <x:c r="I496" s="13" t="n">
        <x:v>1038</x:v>
      </x:c>
      <x:c r="J496" s="13" t="n">
        <x:v>150</x:v>
      </x:c>
      <x:c r="K496" s="14" t="n">
        <x:f>IFERROR(F496/SUMIFS($F:$F,$B:$B,B496),0)</x:f>
        <x:v>0.07537560478736949</x:v>
      </x:c>
      <x:c r="L496" s="12" t="str">
        <x:v>10–13</x:v>
      </x:c>
    </x:row>
    <x:row r="497">
      <x:c r="A497" s="12" t="str">
        <x:v>8月平日</x:v>
      </x:c>
      <x:c r="B497" s="12" t="str">
        <x:v>2026-08-31</x:v>
      </x:c>
      <x:c r="C497" s="12" t="str">
        <x:v>14:00</x:v>
      </x:c>
      <x:c r="D497" s="13" t="n">
        <x:v>806</x:v>
      </x:c>
      <x:c r="E497" s="13" t="n">
        <x:v>29</x:v>
      </x:c>
      <x:c r="F497" s="13" t="n">
        <x:v>835</x:v>
      </x:c>
      <x:c r="G497" s="13" t="n">
        <x:v>831</x:v>
      </x:c>
      <x:c r="H497" s="13" t="n">
        <x:v>29</x:v>
      </x:c>
      <x:c r="I497" s="13" t="n">
        <x:v>860</x:v>
      </x:c>
      <x:c r="J497" s="13" t="n">
        <x:v>25</x:v>
      </x:c>
      <x:c r="K497" s="14" t="n">
        <x:f>IFERROR(F497/SUMIFS($F:$F,$B:$B,B497),0)</x:f>
        <x:v>0.07087683558271794</x:v>
      </x:c>
      <x:c r="L497" s="12" t="str">
        <x:v>14–17</x:v>
      </x:c>
    </x:row>
    <x:row r="498">
      <x:c r="A498" s="12" t="str">
        <x:v>8月平日</x:v>
      </x:c>
      <x:c r="B498" s="12" t="str">
        <x:v>2026-08-31</x:v>
      </x:c>
      <x:c r="C498" s="12" t="str">
        <x:v>15:00</x:v>
      </x:c>
      <x:c r="D498" s="13" t="n">
        <x:v>824</x:v>
      </x:c>
      <x:c r="E498" s="13" t="n">
        <x:v>30</x:v>
      </x:c>
      <x:c r="F498" s="13" t="n">
        <x:v>854</x:v>
      </x:c>
      <x:c r="G498" s="13" t="n">
        <x:v>718</x:v>
      </x:c>
      <x:c r="H498" s="13" t="n">
        <x:v>33</x:v>
      </x:c>
      <x:c r="I498" s="13" t="n">
        <x:v>751</x:v>
      </x:c>
      <x:c r="J498" s="13" t="n">
        <x:v>-103</x:v>
      </x:c>
      <x:c r="K498" s="14" t="n">
        <x:f>IFERROR(F498/SUMIFS($F:$F,$B:$B,B498),0)</x:f>
        <x:v>0.07248960190136661</x:v>
      </x:c>
      <x:c r="L498" s="12" t="str">
        <x:v>14–17</x:v>
      </x:c>
    </x:row>
    <x:row r="499">
      <x:c r="A499" s="12" t="str">
        <x:v>8月平日</x:v>
      </x:c>
      <x:c r="B499" s="12" t="str">
        <x:v>2026-08-31</x:v>
      </x:c>
      <x:c r="C499" s="12" t="str">
        <x:v>16:00</x:v>
      </x:c>
      <x:c r="D499" s="13" t="n">
        <x:v>995</x:v>
      </x:c>
      <x:c r="E499" s="13" t="n">
        <x:v>36</x:v>
      </x:c>
      <x:c r="F499" s="13" t="n">
        <x:v>1031</x:v>
      </x:c>
      <x:c r="G499" s="13" t="n">
        <x:v>775</x:v>
      </x:c>
      <x:c r="H499" s="13" t="n">
        <x:v>33</x:v>
      </x:c>
      <x:c r="I499" s="13" t="n">
        <x:v>808</x:v>
      </x:c>
      <x:c r="J499" s="13" t="n">
        <x:v>-223</x:v>
      </x:c>
      <x:c r="K499" s="14" t="n">
        <x:f>IFERROR(F499/SUMIFS($F:$F,$B:$B,B499),0)</x:f>
        <x:v>0.08751379339614633</x:v>
      </x:c>
      <x:c r="L499" s="12" t="str">
        <x:v>14–17</x:v>
      </x:c>
    </x:row>
    <x:row r="500">
      <x:c r="A500" s="12" t="str">
        <x:v>8月平日</x:v>
      </x:c>
      <x:c r="B500" s="12" t="str">
        <x:v>2026-08-31</x:v>
      </x:c>
      <x:c r="C500" s="12" t="str">
        <x:v>17:00</x:v>
      </x:c>
      <x:c r="D500" s="13" t="n">
        <x:v>1363</x:v>
      </x:c>
      <x:c r="E500" s="13" t="n">
        <x:v>50</x:v>
      </x:c>
      <x:c r="F500" s="13" t="n">
        <x:v>1413</x:v>
      </x:c>
      <x:c r="G500" s="13" t="n">
        <x:v>909</x:v>
      </x:c>
      <x:c r="H500" s="13" t="n">
        <x:v>27</x:v>
      </x:c>
      <x:c r="I500" s="13" t="n">
        <x:v>936</x:v>
      </x:c>
      <x:c r="J500" s="13" t="n">
        <x:v>-477</x:v>
      </x:c>
      <x:c r="K500" s="14" t="n">
        <x:f>IFERROR(F500/SUMIFS($F:$F,$B:$B,B500),0)</x:f>
        <x:v>0.119938884644767</x:v>
      </x:c>
      <x:c r="L500" s="12" t="str">
        <x:v>14–17</x:v>
      </x:c>
    </x:row>
    <x:row r="501">
      <x:c r="A501" s="12" t="str">
        <x:v>8月平日</x:v>
      </x:c>
      <x:c r="B501" s="12" t="str">
        <x:v>2026-08-31</x:v>
      </x:c>
      <x:c r="C501" s="12" t="str">
        <x:v>18:00</x:v>
      </x:c>
      <x:c r="D501" s="13" t="n">
        <x:v>959</x:v>
      </x:c>
      <x:c r="E501" s="13" t="n">
        <x:v>61</x:v>
      </x:c>
      <x:c r="F501" s="13" t="n">
        <x:v>1020</x:v>
      </x:c>
      <x:c r="G501" s="13" t="n">
        <x:v>666</x:v>
      </x:c>
      <x:c r="H501" s="13" t="n">
        <x:v>31</x:v>
      </x:c>
      <x:c r="I501" s="13" t="n">
        <x:v>697</x:v>
      </x:c>
      <x:c r="J501" s="13" t="n">
        <x:v>-323</x:v>
      </x:c>
      <x:c r="K501" s="14" t="n">
        <x:f>IFERROR(F501/SUMIFS($F:$F,$B:$B,B501),0)</x:f>
        <x:v>0.08658008658008658</x:v>
      </x:c>
      <x:c r="L501" s="12" t="str">
        <x:v>18–21</x:v>
      </x:c>
    </x:row>
    <x:row r="502">
      <x:c r="A502" s="12" t="str">
        <x:v>8月平日</x:v>
      </x:c>
      <x:c r="B502" s="12" t="str">
        <x:v>2026-08-31</x:v>
      </x:c>
      <x:c r="C502" s="12" t="str">
        <x:v>19:00</x:v>
      </x:c>
      <x:c r="D502" s="13" t="n">
        <x:v>479</x:v>
      </x:c>
      <x:c r="E502" s="13" t="n">
        <x:v>28</x:v>
      </x:c>
      <x:c r="F502" s="13" t="n">
        <x:v>507</x:v>
      </x:c>
      <x:c r="G502" s="13" t="n">
        <x:v>410</x:v>
      </x:c>
      <x:c r="H502" s="13" t="n">
        <x:v>20</x:v>
      </x:c>
      <x:c r="I502" s="13" t="n">
        <x:v>430</x:v>
      </x:c>
      <x:c r="J502" s="13" t="n">
        <x:v>-77</x:v>
      </x:c>
      <x:c r="K502" s="14" t="n">
        <x:f>IFERROR(F502/SUMIFS($F:$F,$B:$B,B502),0)</x:f>
        <x:v>0.043035395976572445</x:v>
      </x:c>
      <x:c r="L502" s="12" t="str">
        <x:v>18–21</x:v>
      </x:c>
    </x:row>
    <x:row r="503">
      <x:c r="A503" s="12" t="str">
        <x:v>8月平日</x:v>
      </x:c>
      <x:c r="B503" s="12" t="str">
        <x:v>2026-08-31</x:v>
      </x:c>
      <x:c r="C503" s="12" t="str">
        <x:v>20:00</x:v>
      </x:c>
      <x:c r="D503" s="13" t="n">
        <x:v>397</x:v>
      </x:c>
      <x:c r="E503" s="13" t="n">
        <x:v>23</x:v>
      </x:c>
      <x:c r="F503" s="13" t="n">
        <x:v>420</x:v>
      </x:c>
      <x:c r="G503" s="13" t="n">
        <x:v>322</x:v>
      </x:c>
      <x:c r="H503" s="13" t="n">
        <x:v>9</x:v>
      </x:c>
      <x:c r="I503" s="13" t="n">
        <x:v>331</x:v>
      </x:c>
      <x:c r="J503" s="13" t="n">
        <x:v>-89</x:v>
      </x:c>
      <x:c r="K503" s="14" t="n">
        <x:f>IFERROR(F503/SUMIFS($F:$F,$B:$B,B503),0)</x:f>
        <x:v>0.035650623885918005</x:v>
      </x:c>
      <x:c r="L503" s="12" t="str">
        <x:v>18–21</x:v>
      </x:c>
    </x:row>
    <x:row r="504">
      <x:c r="A504" s="12" t="str">
        <x:v>8月平日</x:v>
      </x:c>
      <x:c r="B504" s="12" t="str">
        <x:v>2026-08-31</x:v>
      </x:c>
      <x:c r="C504" s="12" t="str">
        <x:v>21:00</x:v>
      </x:c>
      <x:c r="D504" s="13" t="n">
        <x:v>241</x:v>
      </x:c>
      <x:c r="E504" s="13" t="n">
        <x:v>24</x:v>
      </x:c>
      <x:c r="F504" s="13" t="n">
        <x:v>265</x:v>
      </x:c>
      <x:c r="G504" s="13" t="n">
        <x:v>202</x:v>
      </x:c>
      <x:c r="H504" s="13" t="n">
        <x:v>13</x:v>
      </x:c>
      <x:c r="I504" s="13" t="n">
        <x:v>215</x:v>
      </x:c>
      <x:c r="J504" s="13" t="n">
        <x:v>-50</x:v>
      </x:c>
      <x:c r="K504" s="14" t="n">
        <x:f>IFERROR(F504/SUMIFS($F:$F,$B:$B,B504),0)</x:f>
        <x:v>0.02249384602325779</x:v>
      </x:c>
      <x:c r="L504" s="12" t="str">
        <x:v>18–21</x:v>
      </x:c>
    </x:row>
    <x:row r="505">
      <x:c r="A505" s="12" t="str">
        <x:v>8月平日</x:v>
      </x:c>
      <x:c r="B505" s="12" t="str">
        <x:v>2026-08-31</x:v>
      </x:c>
      <x:c r="C505" s="12" t="str">
        <x:v>22:00</x:v>
      </x:c>
      <x:c r="D505" s="13" t="n">
        <x:v>170</x:v>
      </x:c>
      <x:c r="E505" s="13" t="n">
        <x:v>16</x:v>
      </x:c>
      <x:c r="F505" s="13" t="n">
        <x:v>186</x:v>
      </x:c>
      <x:c r="G505" s="13" t="n">
        <x:v>154</x:v>
      </x:c>
      <x:c r="H505" s="13" t="n">
        <x:v>4</x:v>
      </x:c>
      <x:c r="I505" s="13" t="n">
        <x:v>158</x:v>
      </x:c>
      <x:c r="J505" s="13" t="n">
        <x:v>-28</x:v>
      </x:c>
      <x:c r="K505" s="14" t="n">
        <x:f>IFERROR(F505/SUMIFS($F:$F,$B:$B,B505),0)</x:f>
        <x:v>0.01578813343519226</x:v>
      </x:c>
      <x:c r="L505" s="12" t="str">
        <x:v>22–23</x:v>
      </x:c>
    </x:row>
    <x:row r="506">
      <x:c r="A506" s="12" t="str">
        <x:v>8月平日</x:v>
      </x:c>
      <x:c r="B506" s="12" t="str">
        <x:v>2026-08-31</x:v>
      </x:c>
      <x:c r="C506" s="12" t="str">
        <x:v>23:00</x:v>
      </x:c>
      <x:c r="D506" s="13" t="n">
        <x:v>106</x:v>
      </x:c>
      <x:c r="E506" s="13" t="n">
        <x:v>6</x:v>
      </x:c>
      <x:c r="F506" s="13" t="n">
        <x:v>112</x:v>
      </x:c>
      <x:c r="G506" s="13" t="n">
        <x:v>113</x:v>
      </x:c>
      <x:c r="H506" s="13" t="n">
        <x:v>1</x:v>
      </x:c>
      <x:c r="I506" s="13" t="n">
        <x:v>114</x:v>
      </x:c>
      <x:c r="J506" s="13" t="n">
        <x:v>2</x:v>
      </x:c>
      <x:c r="K506" s="14" t="n">
        <x:f>IFERROR(F506/SUMIFS($F:$F,$B:$B,B506),0)</x:f>
        <x:v>0.009506833036244802</x:v>
      </x:c>
      <x:c r="L506" s="12" t="str">
        <x:v>22–23</x:v>
      </x:c>
    </x:row>
    <x:row r="507">
      <x:c r="A507" s="12" t="str">
        <x:v>9/1–9/17平日</x:v>
      </x:c>
      <x:c r="B507" s="12" t="str">
        <x:v>2026-09-01</x:v>
      </x:c>
      <x:c r="C507" s="12" t="str">
        <x:v>00:00</x:v>
      </x:c>
      <x:c r="D507" s="13" t="n">
        <x:v>73</x:v>
      </x:c>
      <x:c r="E507" s="13" t="n">
        <x:v>6</x:v>
      </x:c>
      <x:c r="F507" s="13" t="n">
        <x:v>79</x:v>
      </x:c>
      <x:c r="G507" s="13" t="n">
        <x:v>59</x:v>
      </x:c>
      <x:c r="H507" s="13" t="n">
        <x:v>3</x:v>
      </x:c>
      <x:c r="I507" s="13" t="n">
        <x:v>62</x:v>
      </x:c>
      <x:c r="J507" s="13" t="n">
        <x:v>-17</x:v>
      </x:c>
      <x:c r="K507" s="14" t="n">
        <x:f>IFERROR(F507/SUMIFS($F:$F,$B:$B,B507),0)</x:f>
        <x:v>0.010360655737704918</x:v>
      </x:c>
      <x:c r="L507" s="12" t="str">
        <x:v>00–05</x:v>
      </x:c>
    </x:row>
    <x:row r="508">
      <x:c r="A508" s="12" t="str">
        <x:v>9/1–9/17平日</x:v>
      </x:c>
      <x:c r="B508" s="12" t="str">
        <x:v>2026-09-01</x:v>
      </x:c>
      <x:c r="C508" s="12" t="str">
        <x:v>01:00</x:v>
      </x:c>
      <x:c r="D508" s="13" t="n">
        <x:v>25</x:v>
      </x:c>
      <x:c r="E508" s="13" t="n">
        <x:v>1</x:v>
      </x:c>
      <x:c r="F508" s="13" t="n">
        <x:v>26</x:v>
      </x:c>
      <x:c r="G508" s="13" t="n">
        <x:v>18</x:v>
      </x:c>
      <x:c r="H508" s="13" t="n">
        <x:v>1</x:v>
      </x:c>
      <x:c r="I508" s="13" t="n">
        <x:v>19</x:v>
      </x:c>
      <x:c r="J508" s="13" t="n">
        <x:v>-7</x:v>
      </x:c>
      <x:c r="K508" s="14" t="n">
        <x:f>IFERROR(F508/SUMIFS($F:$F,$B:$B,B508),0)</x:f>
        <x:v>0.0034098360655737707</x:v>
      </x:c>
      <x:c r="L508" s="12" t="str">
        <x:v>00–05</x:v>
      </x:c>
    </x:row>
    <x:row r="509">
      <x:c r="A509" s="12" t="str">
        <x:v>9/1–9/17平日</x:v>
      </x:c>
      <x:c r="B509" s="12" t="str">
        <x:v>2026-09-01</x:v>
      </x:c>
      <x:c r="C509" s="12" t="str">
        <x:v>02:00</x:v>
      </x:c>
      <x:c r="D509" s="13" t="n">
        <x:v>34</x:v>
      </x:c>
      <x:c r="E509" s="13" t="n">
        <x:v>1</x:v>
      </x:c>
      <x:c r="F509" s="13" t="n">
        <x:v>35</x:v>
      </x:c>
      <x:c r="G509" s="13" t="n">
        <x:v>21</x:v>
      </x:c>
      <x:c r="H509" s="13" t="n">
        <x:v>2</x:v>
      </x:c>
      <x:c r="I509" s="13" t="n">
        <x:v>23</x:v>
      </x:c>
      <x:c r="J509" s="13" t="n">
        <x:v>-12</x:v>
      </x:c>
      <x:c r="K509" s="14" t="n">
        <x:f>IFERROR(F509/SUMIFS($F:$F,$B:$B,B509),0)</x:f>
        <x:v>0.0045901639344262295</x:v>
      </x:c>
      <x:c r="L509" s="12" t="str">
        <x:v>00–05</x:v>
      </x:c>
    </x:row>
    <x:row r="510">
      <x:c r="A510" s="12" t="str">
        <x:v>9/1–9/17平日</x:v>
      </x:c>
      <x:c r="B510" s="12" t="str">
        <x:v>2026-09-01</x:v>
      </x:c>
      <x:c r="C510" s="12" t="str">
        <x:v>03:00</x:v>
      </x:c>
      <x:c r="D510" s="13" t="n">
        <x:v>12</x:v>
      </x:c>
      <x:c r="E510" s="13" t="n">
        <x:v>1</x:v>
      </x:c>
      <x:c r="F510" s="13" t="n">
        <x:v>13</x:v>
      </x:c>
      <x:c r="G510" s="13" t="n">
        <x:v>13</x:v>
      </x:c>
      <x:c r="H510" s="13" t="n">
        <x:v>1</x:v>
      </x:c>
      <x:c r="I510" s="13" t="n">
        <x:v>14</x:v>
      </x:c>
      <x:c r="J510" s="13" t="n">
        <x:v>1</x:v>
      </x:c>
      <x:c r="K510" s="14" t="n">
        <x:f>IFERROR(F510/SUMIFS($F:$F,$B:$B,B510),0)</x:f>
        <x:v>0.0017049180327868853</x:v>
      </x:c>
      <x:c r="L510" s="12" t="str">
        <x:v>00–05</x:v>
      </x:c>
    </x:row>
    <x:row r="511">
      <x:c r="A511" s="12" t="str">
        <x:v>9/1–9/17平日</x:v>
      </x:c>
      <x:c r="B511" s="12" t="str">
        <x:v>2026-09-01</x:v>
      </x:c>
      <x:c r="C511" s="12" t="str">
        <x:v>04:00</x:v>
      </x:c>
      <x:c r="D511" s="13" t="n">
        <x:v>14</x:v>
      </x:c>
      <x:c r="E511" s="13" t="n">
        <x:v>1</x:v>
      </x:c>
      <x:c r="F511" s="13" t="n">
        <x:v>15</x:v>
      </x:c>
      <x:c r="G511" s="13" t="n">
        <x:v>9</x:v>
      </x:c>
      <x:c r="H511" s="13" t="n">
        <x:v>0</x:v>
      </x:c>
      <x:c r="I511" s="13" t="n">
        <x:v>9</x:v>
      </x:c>
      <x:c r="J511" s="13" t="n">
        <x:v>-6</x:v>
      </x:c>
      <x:c r="K511" s="14" t="n">
        <x:f>IFERROR(F511/SUMIFS($F:$F,$B:$B,B511),0)</x:f>
        <x:v>0.0019672131147540984</x:v>
      </x:c>
      <x:c r="L511" s="12" t="str">
        <x:v>00–05</x:v>
      </x:c>
    </x:row>
    <x:row r="512">
      <x:c r="A512" s="12" t="str">
        <x:v>9/1–9/17平日</x:v>
      </x:c>
      <x:c r="B512" s="12" t="str">
        <x:v>2026-09-01</x:v>
      </x:c>
      <x:c r="C512" s="12" t="str">
        <x:v>05:00</x:v>
      </x:c>
      <x:c r="D512" s="13" t="n">
        <x:v>40</x:v>
      </x:c>
      <x:c r="E512" s="13" t="n">
        <x:v>3</x:v>
      </x:c>
      <x:c r="F512" s="13" t="n">
        <x:v>43</x:v>
      </x:c>
      <x:c r="G512" s="13" t="n">
        <x:v>51</x:v>
      </x:c>
      <x:c r="H512" s="13" t="n">
        <x:v>3</x:v>
      </x:c>
      <x:c r="I512" s="13" t="n">
        <x:v>54</x:v>
      </x:c>
      <x:c r="J512" s="13" t="n">
        <x:v>11</x:v>
      </x:c>
      <x:c r="K512" s="14" t="n">
        <x:f>IFERROR(F512/SUMIFS($F:$F,$B:$B,B512),0)</x:f>
        <x:v>0.005639344262295082</x:v>
      </x:c>
      <x:c r="L512" s="12" t="str">
        <x:v>00–05</x:v>
      </x:c>
    </x:row>
    <x:row r="513">
      <x:c r="A513" s="12" t="str">
        <x:v>9/1–9/17平日</x:v>
      </x:c>
      <x:c r="B513" s="12" t="str">
        <x:v>2026-09-01</x:v>
      </x:c>
      <x:c r="C513" s="12" t="str">
        <x:v>06:00</x:v>
      </x:c>
      <x:c r="D513" s="13" t="n">
        <x:v>99</x:v>
      </x:c>
      <x:c r="E513" s="13" t="n">
        <x:v>7</x:v>
      </x:c>
      <x:c r="F513" s="13" t="n">
        <x:v>106</x:v>
      </x:c>
      <x:c r="G513" s="13" t="n">
        <x:v>152</x:v>
      </x:c>
      <x:c r="H513" s="13" t="n">
        <x:v>11</x:v>
      </x:c>
      <x:c r="I513" s="13" t="n">
        <x:v>163</x:v>
      </x:c>
      <x:c r="J513" s="13" t="n">
        <x:v>57</x:v>
      </x:c>
      <x:c r="K513" s="14" t="n">
        <x:f>IFERROR(F513/SUMIFS($F:$F,$B:$B,B513),0)</x:f>
        <x:v>0.013901639344262294</x:v>
      </x:c>
      <x:c r="L513" s="12" t="str">
        <x:v>06–09</x:v>
      </x:c>
    </x:row>
    <x:row r="514">
      <x:c r="A514" s="12" t="str">
        <x:v>9/1–9/17平日</x:v>
      </x:c>
      <x:c r="B514" s="12" t="str">
        <x:v>2026-09-01</x:v>
      </x:c>
      <x:c r="C514" s="12" t="str">
        <x:v>07:00</x:v>
      </x:c>
      <x:c r="D514" s="13" t="n">
        <x:v>373</x:v>
      </x:c>
      <x:c r="E514" s="13" t="n">
        <x:v>14</x:v>
      </x:c>
      <x:c r="F514" s="13" t="n">
        <x:v>387</x:v>
      </x:c>
      <x:c r="G514" s="13" t="n">
        <x:v>408</x:v>
      </x:c>
      <x:c r="H514" s="13" t="n">
        <x:v>20</x:v>
      </x:c>
      <x:c r="I514" s="13" t="n">
        <x:v>428</x:v>
      </x:c>
      <x:c r="J514" s="13" t="n">
        <x:v>41</x:v>
      </x:c>
      <x:c r="K514" s="14" t="n">
        <x:f>IFERROR(F514/SUMIFS($F:$F,$B:$B,B514),0)</x:f>
        <x:v>0.05075409836065574</x:v>
      </x:c>
      <x:c r="L514" s="12" t="str">
        <x:v>06–09</x:v>
      </x:c>
    </x:row>
    <x:row r="515">
      <x:c r="A515" s="12" t="str">
        <x:v>9/1–9/17平日</x:v>
      </x:c>
      <x:c r="B515" s="12" t="str">
        <x:v>2026-09-01</x:v>
      </x:c>
      <x:c r="C515" s="12" t="str">
        <x:v>08:00</x:v>
      </x:c>
      <x:c r="D515" s="13" t="n">
        <x:v>614</x:v>
      </x:c>
      <x:c r="E515" s="13" t="n">
        <x:v>26</x:v>
      </x:c>
      <x:c r="F515" s="13" t="n">
        <x:v>640</x:v>
      </x:c>
      <x:c r="G515" s="13" t="n">
        <x:v>941</x:v>
      </x:c>
      <x:c r="H515" s="13" t="n">
        <x:v>41</x:v>
      </x:c>
      <x:c r="I515" s="13" t="n">
        <x:v>982</x:v>
      </x:c>
      <x:c r="J515" s="13" t="n">
        <x:v>342</x:v>
      </x:c>
      <x:c r="K515" s="14" t="n">
        <x:f>IFERROR(F515/SUMIFS($F:$F,$B:$B,B515),0)</x:f>
        <x:v>0.0839344262295082</x:v>
      </x:c>
      <x:c r="L515" s="12" t="str">
        <x:v>06–09</x:v>
      </x:c>
    </x:row>
    <x:row r="516">
      <x:c r="A516" s="12" t="str">
        <x:v>9/1–9/17平日</x:v>
      </x:c>
      <x:c r="B516" s="12" t="str">
        <x:v>2026-09-01</x:v>
      </x:c>
      <x:c r="C516" s="12" t="str">
        <x:v>09:00</x:v>
      </x:c>
      <x:c r="D516" s="13" t="n">
        <x:v>596</x:v>
      </x:c>
      <x:c r="E516" s="13" t="n">
        <x:v>30</x:v>
      </x:c>
      <x:c r="F516" s="13" t="n">
        <x:v>626</x:v>
      </x:c>
      <x:c r="G516" s="13" t="n">
        <x:v>821</x:v>
      </x:c>
      <x:c r="H516" s="13" t="n">
        <x:v>48</x:v>
      </x:c>
      <x:c r="I516" s="13" t="n">
        <x:v>869</x:v>
      </x:c>
      <x:c r="J516" s="13" t="n">
        <x:v>243</x:v>
      </x:c>
      <x:c r="K516" s="14" t="n">
        <x:f>IFERROR(F516/SUMIFS($F:$F,$B:$B,B516),0)</x:f>
        <x:v>0.08209836065573771</x:v>
      </x:c>
      <x:c r="L516" s="12" t="str">
        <x:v>06–09</x:v>
      </x:c>
    </x:row>
    <x:row r="517">
      <x:c r="A517" s="12" t="str">
        <x:v>9/1–9/17平日</x:v>
      </x:c>
      <x:c r="B517" s="12" t="str">
        <x:v>2026-09-01</x:v>
      </x:c>
      <x:c r="C517" s="12" t="str">
        <x:v>10:00</x:v>
      </x:c>
      <x:c r="D517" s="13" t="n">
        <x:v>640</x:v>
      </x:c>
      <x:c r="E517" s="13" t="n">
        <x:v>12</x:v>
      </x:c>
      <x:c r="F517" s="13" t="n">
        <x:v>652</x:v>
      </x:c>
      <x:c r="G517" s="13" t="n">
        <x:v>746</x:v>
      </x:c>
      <x:c r="H517" s="13" t="n">
        <x:v>29</x:v>
      </x:c>
      <x:c r="I517" s="13" t="n">
        <x:v>775</x:v>
      </x:c>
      <x:c r="J517" s="13" t="n">
        <x:v>123</x:v>
      </x:c>
      <x:c r="K517" s="14" t="n">
        <x:f>IFERROR(F517/SUMIFS($F:$F,$B:$B,B517),0)</x:f>
        <x:v>0.08550819672131148</x:v>
      </x:c>
      <x:c r="L517" s="12" t="str">
        <x:v>10–13</x:v>
      </x:c>
    </x:row>
    <x:row r="518">
      <x:c r="A518" s="12" t="str">
        <x:v>9/1–9/17平日</x:v>
      </x:c>
      <x:c r="B518" s="12" t="str">
        <x:v>2026-09-01</x:v>
      </x:c>
      <x:c r="C518" s="12" t="str">
        <x:v>11:00</x:v>
      </x:c>
      <x:c r="D518" s="13" t="n">
        <x:v>829</x:v>
      </x:c>
      <x:c r="E518" s="13" t="n">
        <x:v>24</x:v>
      </x:c>
      <x:c r="F518" s="13" t="n">
        <x:v>853</x:v>
      </x:c>
      <x:c r="G518" s="13" t="n">
        <x:v>807</x:v>
      </x:c>
      <x:c r="H518" s="13" t="n">
        <x:v>27</x:v>
      </x:c>
      <x:c r="I518" s="13" t="n">
        <x:v>834</x:v>
      </x:c>
      <x:c r="J518" s="13" t="n">
        <x:v>-19</x:v>
      </x:c>
      <x:c r="K518" s="14" t="n">
        <x:f>IFERROR(F518/SUMIFS($F:$F,$B:$B,B518),0)</x:f>
        <x:v>0.1118688524590164</x:v>
      </x:c>
      <x:c r="L518" s="12" t="str">
        <x:v>10–13</x:v>
      </x:c>
    </x:row>
    <x:row r="519">
      <x:c r="A519" s="12" t="str">
        <x:v>9/1–9/17平日</x:v>
      </x:c>
      <x:c r="B519" s="12" t="str">
        <x:v>2026-09-01</x:v>
      </x:c>
      <x:c r="C519" s="12" t="str">
        <x:v>12:00</x:v>
      </x:c>
      <x:c r="D519" s="13" t="n">
        <x:v>895</x:v>
      </x:c>
      <x:c r="E519" s="13" t="n">
        <x:v>24</x:v>
      </x:c>
      <x:c r="F519" s="13" t="n">
        <x:v>919</x:v>
      </x:c>
      <x:c r="G519" s="13" t="n">
        <x:v>950</x:v>
      </x:c>
      <x:c r="H519" s="13" t="n">
        <x:v>32</x:v>
      </x:c>
      <x:c r="I519" s="13" t="n">
        <x:v>982</x:v>
      </x:c>
      <x:c r="J519" s="13" t="n">
        <x:v>63</x:v>
      </x:c>
      <x:c r="K519" s="14" t="n">
        <x:f>IFERROR(F519/SUMIFS($F:$F,$B:$B,B519),0)</x:f>
        <x:v>0.12052459016393442</x:v>
      </x:c>
      <x:c r="L519" s="12" t="str">
        <x:v>10–13</x:v>
      </x:c>
    </x:row>
    <x:row r="520">
      <x:c r="A520" s="12" t="str">
        <x:v>9/1–9/17平日</x:v>
      </x:c>
      <x:c r="B520" s="12" t="str">
        <x:v>2026-09-01</x:v>
      </x:c>
      <x:c r="C520" s="12" t="str">
        <x:v>13:00</x:v>
      </x:c>
      <x:c r="D520" s="13" t="n">
        <x:v>563</x:v>
      </x:c>
      <x:c r="E520" s="13" t="n">
        <x:v>20</x:v>
      </x:c>
      <x:c r="F520" s="13" t="n">
        <x:v>583</x:v>
      </x:c>
      <x:c r="G520" s="13" t="n">
        <x:v>645</x:v>
      </x:c>
      <x:c r="H520" s="13" t="n">
        <x:v>20</x:v>
      </x:c>
      <x:c r="I520" s="13" t="n">
        <x:v>665</x:v>
      </x:c>
      <x:c r="J520" s="13" t="n">
        <x:v>82</x:v>
      </x:c>
      <x:c r="K520" s="14" t="n">
        <x:f>IFERROR(F520/SUMIFS($F:$F,$B:$B,B520),0)</x:f>
        <x:v>0.07645901639344262</x:v>
      </x:c>
      <x:c r="L520" s="12" t="str">
        <x:v>10–13</x:v>
      </x:c>
    </x:row>
    <x:row r="521">
      <x:c r="A521" s="12" t="str">
        <x:v>9/1–9/17平日</x:v>
      </x:c>
      <x:c r="B521" s="12" t="str">
        <x:v>2026-09-01</x:v>
      </x:c>
      <x:c r="C521" s="12" t="str">
        <x:v>14:00</x:v>
      </x:c>
      <x:c r="D521" s="13" t="n">
        <x:v>735</x:v>
      </x:c>
      <x:c r="E521" s="13" t="n">
        <x:v>31</x:v>
      </x:c>
      <x:c r="F521" s="13" t="n">
        <x:v>766</x:v>
      </x:c>
      <x:c r="G521" s="13" t="n">
        <x:v>701</x:v>
      </x:c>
      <x:c r="H521" s="13" t="n">
        <x:v>30</x:v>
      </x:c>
      <x:c r="I521" s="13" t="n">
        <x:v>731</x:v>
      </x:c>
      <x:c r="J521" s="13" t="n">
        <x:v>-35</x:v>
      </x:c>
      <x:c r="K521" s="14" t="n">
        <x:f>IFERROR(F521/SUMIFS($F:$F,$B:$B,B521),0)</x:f>
        <x:v>0.10045901639344262</x:v>
      </x:c>
      <x:c r="L521" s="12" t="str">
        <x:v>14–17</x:v>
      </x:c>
    </x:row>
    <x:row r="522">
      <x:c r="A522" s="12" t="str">
        <x:v>9/1–9/17平日</x:v>
      </x:c>
      <x:c r="B522" s="12" t="str">
        <x:v>2026-09-01</x:v>
      </x:c>
      <x:c r="C522" s="12" t="str">
        <x:v>15:00</x:v>
      </x:c>
      <x:c r="D522" s="13" t="n">
        <x:v>301</x:v>
      </x:c>
      <x:c r="E522" s="13" t="n">
        <x:v>14</x:v>
      </x:c>
      <x:c r="F522" s="13" t="n">
        <x:v>315</x:v>
      </x:c>
      <x:c r="G522" s="13" t="n">
        <x:v>333</x:v>
      </x:c>
      <x:c r="H522" s="13" t="n">
        <x:v>13</x:v>
      </x:c>
      <x:c r="I522" s="13" t="n">
        <x:v>346</x:v>
      </x:c>
      <x:c r="J522" s="13" t="n">
        <x:v>31</x:v>
      </x:c>
      <x:c r="K522" s="14" t="n">
        <x:f>IFERROR(F522/SUMIFS($F:$F,$B:$B,B522),0)</x:f>
        <x:v>0.04131147540983607</x:v>
      </x:c>
      <x:c r="L522" s="12" t="str">
        <x:v>14–17</x:v>
      </x:c>
    </x:row>
    <x:row r="523">
      <x:c r="A523" s="12" t="str">
        <x:v>9/1–9/17平日</x:v>
      </x:c>
      <x:c r="B523" s="12" t="str">
        <x:v>2026-09-01</x:v>
      </x:c>
      <x:c r="C523" s="12" t="str">
        <x:v>16:00</x:v>
      </x:c>
      <x:c r="D523" s="13" t="n">
        <x:v>437</x:v>
      </x:c>
      <x:c r="E523" s="13" t="n">
        <x:v>14</x:v>
      </x:c>
      <x:c r="F523" s="13" t="n">
        <x:v>451</x:v>
      </x:c>
      <x:c r="G523" s="13" t="n">
        <x:v>318</x:v>
      </x:c>
      <x:c r="H523" s="13" t="n">
        <x:v>8</x:v>
      </x:c>
      <x:c r="I523" s="13" t="n">
        <x:v>326</x:v>
      </x:c>
      <x:c r="J523" s="13" t="n">
        <x:v>-125</x:v>
      </x:c>
      <x:c r="K523" s="14" t="n">
        <x:f>IFERROR(F523/SUMIFS($F:$F,$B:$B,B523),0)</x:f>
        <x:v>0.059147540983606556</x:v>
      </x:c>
      <x:c r="L523" s="12" t="str">
        <x:v>14–17</x:v>
      </x:c>
    </x:row>
    <x:row r="524">
      <x:c r="A524" s="12" t="str">
        <x:v>9/1–9/17平日</x:v>
      </x:c>
      <x:c r="B524" s="12" t="str">
        <x:v>2026-09-01</x:v>
      </x:c>
      <x:c r="C524" s="12" t="str">
        <x:v>17:00</x:v>
      </x:c>
      <x:c r="D524" s="13" t="n">
        <x:v>189</x:v>
      </x:c>
      <x:c r="E524" s="13" t="n">
        <x:v>4</x:v>
      </x:c>
      <x:c r="F524" s="13" t="n">
        <x:v>193</x:v>
      </x:c>
      <x:c r="G524" s="13" t="n">
        <x:v>164</x:v>
      </x:c>
      <x:c r="H524" s="13" t="n">
        <x:v>4</x:v>
      </x:c>
      <x:c r="I524" s="13" t="n">
        <x:v>168</x:v>
      </x:c>
      <x:c r="J524" s="13" t="n">
        <x:v>-25</x:v>
      </x:c>
      <x:c r="K524" s="14" t="n">
        <x:f>IFERROR(F524/SUMIFS($F:$F,$B:$B,B524),0)</x:f>
        <x:v>0.025311475409836064</x:v>
      </x:c>
      <x:c r="L524" s="12" t="str">
        <x:v>14–17</x:v>
      </x:c>
    </x:row>
    <x:row r="525">
      <x:c r="A525" s="12" t="str">
        <x:v>9/1–9/17平日</x:v>
      </x:c>
      <x:c r="B525" s="12" t="str">
        <x:v>2026-09-01</x:v>
      </x:c>
      <x:c r="C525" s="12" t="str">
        <x:v>18:00</x:v>
      </x:c>
      <x:c r="D525" s="13" t="n">
        <x:v>220</x:v>
      </x:c>
      <x:c r="E525" s="13" t="n">
        <x:v>4</x:v>
      </x:c>
      <x:c r="F525" s="13" t="n">
        <x:v>224</x:v>
      </x:c>
      <x:c r="G525" s="13" t="n">
        <x:v>108</x:v>
      </x:c>
      <x:c r="H525" s="13" t="n">
        <x:v>2</x:v>
      </x:c>
      <x:c r="I525" s="13" t="n">
        <x:v>110</x:v>
      </x:c>
      <x:c r="J525" s="13" t="n">
        <x:v>-114</x:v>
      </x:c>
      <x:c r="K525" s="14" t="n">
        <x:f>IFERROR(F525/SUMIFS($F:$F,$B:$B,B525),0)</x:f>
        <x:v>0.02937704918032787</x:v>
      </x:c>
      <x:c r="L525" s="12" t="str">
        <x:v>18–21</x:v>
      </x:c>
    </x:row>
    <x:row r="526">
      <x:c r="A526" s="12" t="str">
        <x:v>9/1–9/17平日</x:v>
      </x:c>
      <x:c r="B526" s="12" t="str">
        <x:v>2026-09-01</x:v>
      </x:c>
      <x:c r="C526" s="12" t="str">
        <x:v>19:00</x:v>
      </x:c>
      <x:c r="D526" s="13" t="n">
        <x:v>155</x:v>
      </x:c>
      <x:c r="E526" s="13" t="n">
        <x:v>6</x:v>
      </x:c>
      <x:c r="F526" s="13" t="n">
        <x:v>161</x:v>
      </x:c>
      <x:c r="G526" s="13" t="n">
        <x:v>109</x:v>
      </x:c>
      <x:c r="H526" s="13" t="n">
        <x:v>3</x:v>
      </x:c>
      <x:c r="I526" s="13" t="n">
        <x:v>112</x:v>
      </x:c>
      <x:c r="J526" s="13" t="n">
        <x:v>-49</x:v>
      </x:c>
      <x:c r="K526" s="14" t="n">
        <x:f>IFERROR(F526/SUMIFS($F:$F,$B:$B,B526),0)</x:f>
        <x:v>0.021114754098360656</x:v>
      </x:c>
      <x:c r="L526" s="12" t="str">
        <x:v>18–21</x:v>
      </x:c>
    </x:row>
    <x:row r="527">
      <x:c r="A527" s="12" t="str">
        <x:v>9/1–9/17平日</x:v>
      </x:c>
      <x:c r="B527" s="12" t="str">
        <x:v>2026-09-01</x:v>
      </x:c>
      <x:c r="C527" s="12" t="str">
        <x:v>20:00</x:v>
      </x:c>
      <x:c r="D527" s="13" t="n">
        <x:v>95</x:v>
      </x:c>
      <x:c r="E527" s="13" t="n">
        <x:v>5</x:v>
      </x:c>
      <x:c r="F527" s="13" t="n">
        <x:v>100</x:v>
      </x:c>
      <x:c r="G527" s="13" t="n">
        <x:v>68</x:v>
      </x:c>
      <x:c r="H527" s="13" t="n">
        <x:v>5</x:v>
      </x:c>
      <x:c r="I527" s="13" t="n">
        <x:v>73</x:v>
      </x:c>
      <x:c r="J527" s="13" t="n">
        <x:v>-27</x:v>
      </x:c>
      <x:c r="K527" s="14" t="n">
        <x:f>IFERROR(F527/SUMIFS($F:$F,$B:$B,B527),0)</x:f>
        <x:v>0.013114754098360656</x:v>
      </x:c>
      <x:c r="L527" s="12" t="str">
        <x:v>18–21</x:v>
      </x:c>
    </x:row>
    <x:row r="528">
      <x:c r="A528" s="12" t="str">
        <x:v>9/1–9/17平日</x:v>
      </x:c>
      <x:c r="B528" s="12" t="str">
        <x:v>2026-09-01</x:v>
      </x:c>
      <x:c r="C528" s="12" t="str">
        <x:v>21:00</x:v>
      </x:c>
      <x:c r="D528" s="13" t="n">
        <x:v>156</x:v>
      </x:c>
      <x:c r="E528" s="13" t="n">
        <x:v>2</x:v>
      </x:c>
      <x:c r="F528" s="13" t="n">
        <x:v>158</x:v>
      </x:c>
      <x:c r="G528" s="13" t="n">
        <x:v>100</x:v>
      </x:c>
      <x:c r="H528" s="13" t="n">
        <x:v>0</x:v>
      </x:c>
      <x:c r="I528" s="13" t="n">
        <x:v>100</x:v>
      </x:c>
      <x:c r="J528" s="13" t="n">
        <x:v>-58</x:v>
      </x:c>
      <x:c r="K528" s="14" t="n">
        <x:f>IFERROR(F528/SUMIFS($F:$F,$B:$B,B528),0)</x:f>
        <x:v>0.020721311475409836</x:v>
      </x:c>
      <x:c r="L528" s="12" t="str">
        <x:v>18–21</x:v>
      </x:c>
    </x:row>
    <x:row r="529">
      <x:c r="A529" s="12" t="str">
        <x:v>9/1–9/17平日</x:v>
      </x:c>
      <x:c r="B529" s="12" t="str">
        <x:v>2026-09-01</x:v>
      </x:c>
      <x:c r="C529" s="12" t="str">
        <x:v>22:00</x:v>
      </x:c>
      <x:c r="D529" s="13" t="n">
        <x:v>174</x:v>
      </x:c>
      <x:c r="E529" s="13" t="n">
        <x:v>6</x:v>
      </x:c>
      <x:c r="F529" s="13" t="n">
        <x:v>180</x:v>
      </x:c>
      <x:c r="G529" s="13" t="n">
        <x:v>111</x:v>
      </x:c>
      <x:c r="H529" s="13" t="n">
        <x:v>1</x:v>
      </x:c>
      <x:c r="I529" s="13" t="n">
        <x:v>112</x:v>
      </x:c>
      <x:c r="J529" s="13" t="n">
        <x:v>-68</x:v>
      </x:c>
      <x:c r="K529" s="14" t="n">
        <x:f>IFERROR(F529/SUMIFS($F:$F,$B:$B,B529),0)</x:f>
        <x:v>0.02360655737704918</x:v>
      </x:c>
      <x:c r="L529" s="12" t="str">
        <x:v>22–23</x:v>
      </x:c>
    </x:row>
    <x:row r="530">
      <x:c r="A530" s="12" t="str">
        <x:v>9/1–9/17平日</x:v>
      </x:c>
      <x:c r="B530" s="12" t="str">
        <x:v>2026-09-01</x:v>
      </x:c>
      <x:c r="C530" s="12" t="str">
        <x:v>23:00</x:v>
      </x:c>
      <x:c r="D530" s="13" t="n">
        <x:v>97</x:v>
      </x:c>
      <x:c r="E530" s="13" t="n">
        <x:v>3</x:v>
      </x:c>
      <x:c r="F530" s="13" t="n">
        <x:v>100</x:v>
      </x:c>
      <x:c r="G530" s="13" t="n">
        <x:v>79</x:v>
      </x:c>
      <x:c r="H530" s="13" t="n">
        <x:v>3</x:v>
      </x:c>
      <x:c r="I530" s="13" t="n">
        <x:v>82</x:v>
      </x:c>
      <x:c r="J530" s="13" t="n">
        <x:v>-18</x:v>
      </x:c>
      <x:c r="K530" s="14" t="n">
        <x:f>IFERROR(F530/SUMIFS($F:$F,$B:$B,B530),0)</x:f>
        <x:v>0.013114754098360656</x:v>
      </x:c>
      <x:c r="L530" s="12" t="str">
        <x:v>22–23</x:v>
      </x:c>
    </x:row>
    <x:row r="531">
      <x:c r="A531" s="12" t="str">
        <x:v>9/1–9/17平日</x:v>
      </x:c>
      <x:c r="B531" s="12" t="str">
        <x:v>2026-09-02</x:v>
      </x:c>
      <x:c r="C531" s="12" t="str">
        <x:v>00:00</x:v>
      </x:c>
      <x:c r="D531" s="13" t="n">
        <x:v>71</x:v>
      </x:c>
      <x:c r="E531" s="13" t="n">
        <x:v>1</x:v>
      </x:c>
      <x:c r="F531" s="13" t="n">
        <x:v>72</x:v>
      </x:c>
      <x:c r="G531" s="13" t="n">
        <x:v>71</x:v>
      </x:c>
      <x:c r="H531" s="13" t="n">
        <x:v>1</x:v>
      </x:c>
      <x:c r="I531" s="13" t="n">
        <x:v>72</x:v>
      </x:c>
      <x:c r="J531" s="13" t="n">
        <x:v>0</x:v>
      </x:c>
      <x:c r="K531" s="14" t="n">
        <x:f>IFERROR(F531/SUMIFS($F:$F,$B:$B,B531),0)</x:f>
        <x:v>0.005460750853242321</x:v>
      </x:c>
      <x:c r="L531" s="12" t="str">
        <x:v>00–05</x:v>
      </x:c>
    </x:row>
    <x:row r="532">
      <x:c r="A532" s="12" t="str">
        <x:v>9/1–9/17平日</x:v>
      </x:c>
      <x:c r="B532" s="12" t="str">
        <x:v>2026-09-02</x:v>
      </x:c>
      <x:c r="C532" s="12" t="str">
        <x:v>01:00</x:v>
      </x:c>
      <x:c r="D532" s="13" t="n">
        <x:v>31</x:v>
      </x:c>
      <x:c r="E532" s="13" t="n">
        <x:v>1</x:v>
      </x:c>
      <x:c r="F532" s="13" t="n">
        <x:v>32</x:v>
      </x:c>
      <x:c r="G532" s="13" t="n">
        <x:v>27</x:v>
      </x:c>
      <x:c r="H532" s="13" t="n">
        <x:v>2</x:v>
      </x:c>
      <x:c r="I532" s="13" t="n">
        <x:v>29</x:v>
      </x:c>
      <x:c r="J532" s="13" t="n">
        <x:v>-3</x:v>
      </x:c>
      <x:c r="K532" s="14" t="n">
        <x:f>IFERROR(F532/SUMIFS($F:$F,$B:$B,B532),0)</x:f>
        <x:v>0.002427000379218809</x:v>
      </x:c>
      <x:c r="L532" s="12" t="str">
        <x:v>00–05</x:v>
      </x:c>
    </x:row>
    <x:row r="533">
      <x:c r="A533" s="12" t="str">
        <x:v>9/1–9/17平日</x:v>
      </x:c>
      <x:c r="B533" s="12" t="str">
        <x:v>2026-09-02</x:v>
      </x:c>
      <x:c r="C533" s="12" t="str">
        <x:v>02:00</x:v>
      </x:c>
      <x:c r="D533" s="13" t="n">
        <x:v>15</x:v>
      </x:c>
      <x:c r="E533" s="13" t="n">
        <x:v>1</x:v>
      </x:c>
      <x:c r="F533" s="13" t="n">
        <x:v>16</x:v>
      </x:c>
      <x:c r="G533" s="13" t="n">
        <x:v>22</x:v>
      </x:c>
      <x:c r="H533" s="13" t="n">
        <x:v>0</x:v>
      </x:c>
      <x:c r="I533" s="13" t="n">
        <x:v>22</x:v>
      </x:c>
      <x:c r="J533" s="13" t="n">
        <x:v>6</x:v>
      </x:c>
      <x:c r="K533" s="14" t="n">
        <x:f>IFERROR(F533/SUMIFS($F:$F,$B:$B,B533),0)</x:f>
        <x:v>0.0012135001896094045</x:v>
      </x:c>
      <x:c r="L533" s="12" t="str">
        <x:v>00–05</x:v>
      </x:c>
    </x:row>
    <x:row r="534">
      <x:c r="A534" s="12" t="str">
        <x:v>9/1–9/17平日</x:v>
      </x:c>
      <x:c r="B534" s="12" t="str">
        <x:v>2026-09-02</x:v>
      </x:c>
      <x:c r="C534" s="12" t="str">
        <x:v>03:00</x:v>
      </x:c>
      <x:c r="D534" s="13" t="n">
        <x:v>9</x:v>
      </x:c>
      <x:c r="E534" s="13" t="n">
        <x:v>0</x:v>
      </x:c>
      <x:c r="F534" s="13" t="n">
        <x:v>9</x:v>
      </x:c>
      <x:c r="G534" s="13" t="n">
        <x:v>7</x:v>
      </x:c>
      <x:c r="H534" s="13" t="n">
        <x:v>0</x:v>
      </x:c>
      <x:c r="I534" s="13" t="n">
        <x:v>7</x:v>
      </x:c>
      <x:c r="J534" s="13" t="n">
        <x:v>-2</x:v>
      </x:c>
      <x:c r="K534" s="14" t="n">
        <x:f>IFERROR(F534/SUMIFS($F:$F,$B:$B,B534),0)</x:f>
        <x:v>0.0006825938566552901</x:v>
      </x:c>
      <x:c r="L534" s="12" t="str">
        <x:v>00–05</x:v>
      </x:c>
    </x:row>
    <x:row r="535">
      <x:c r="A535" s="12" t="str">
        <x:v>9/1–9/17平日</x:v>
      </x:c>
      <x:c r="B535" s="12" t="str">
        <x:v>2026-09-02</x:v>
      </x:c>
      <x:c r="C535" s="12" t="str">
        <x:v>04:00</x:v>
      </x:c>
      <x:c r="D535" s="13" t="n">
        <x:v>9</x:v>
      </x:c>
      <x:c r="E535" s="13" t="n">
        <x:v>1</x:v>
      </x:c>
      <x:c r="F535" s="13" t="n">
        <x:v>10</x:v>
      </x:c>
      <x:c r="G535" s="13" t="n">
        <x:v>5</x:v>
      </x:c>
      <x:c r="H535" s="13" t="n">
        <x:v>0</x:v>
      </x:c>
      <x:c r="I535" s="13" t="n">
        <x:v>5</x:v>
      </x:c>
      <x:c r="J535" s="13" t="n">
        <x:v>-5</x:v>
      </x:c>
      <x:c r="K535" s="14" t="n">
        <x:f>IFERROR(F535/SUMIFS($F:$F,$B:$B,B535),0)</x:f>
        <x:v>0.0007584376185058779</x:v>
      </x:c>
      <x:c r="L535" s="12" t="str">
        <x:v>00–05</x:v>
      </x:c>
    </x:row>
    <x:row r="536">
      <x:c r="A536" s="12" t="str">
        <x:v>9/1–9/17平日</x:v>
      </x:c>
      <x:c r="B536" s="12" t="str">
        <x:v>2026-09-02</x:v>
      </x:c>
      <x:c r="C536" s="12" t="str">
        <x:v>05:00</x:v>
      </x:c>
      <x:c r="D536" s="13" t="n">
        <x:v>26</x:v>
      </x:c>
      <x:c r="E536" s="13" t="n">
        <x:v>2</x:v>
      </x:c>
      <x:c r="F536" s="13" t="n">
        <x:v>28</x:v>
      </x:c>
      <x:c r="G536" s="13" t="n">
        <x:v>42</x:v>
      </x:c>
      <x:c r="H536" s="13" t="n">
        <x:v>3</x:v>
      </x:c>
      <x:c r="I536" s="13" t="n">
        <x:v>45</x:v>
      </x:c>
      <x:c r="J536" s="13" t="n">
        <x:v>17</x:v>
      </x:c>
      <x:c r="K536" s="14" t="n">
        <x:f>IFERROR(F536/SUMIFS($F:$F,$B:$B,B536),0)</x:f>
        <x:v>0.002123625331816458</x:v>
      </x:c>
      <x:c r="L536" s="12" t="str">
        <x:v>00–05</x:v>
      </x:c>
    </x:row>
    <x:row r="537">
      <x:c r="A537" s="12" t="str">
        <x:v>9/1–9/17平日</x:v>
      </x:c>
      <x:c r="B537" s="12" t="str">
        <x:v>2026-09-02</x:v>
      </x:c>
      <x:c r="C537" s="12" t="str">
        <x:v>06:00</x:v>
      </x:c>
      <x:c r="D537" s="13" t="n">
        <x:v>121</x:v>
      </x:c>
      <x:c r="E537" s="13" t="n">
        <x:v>5</x:v>
      </x:c>
      <x:c r="F537" s="13" t="n">
        <x:v>126</x:v>
      </x:c>
      <x:c r="G537" s="13" t="n">
        <x:v>136</x:v>
      </x:c>
      <x:c r="H537" s="13" t="n">
        <x:v>10</x:v>
      </x:c>
      <x:c r="I537" s="13" t="n">
        <x:v>146</x:v>
      </x:c>
      <x:c r="J537" s="13" t="n">
        <x:v>20</x:v>
      </x:c>
      <x:c r="K537" s="14" t="n">
        <x:f>IFERROR(F537/SUMIFS($F:$F,$B:$B,B537),0)</x:f>
        <x:v>0.00955631399317406</x:v>
      </x:c>
      <x:c r="L537" s="12" t="str">
        <x:v>06–09</x:v>
      </x:c>
    </x:row>
    <x:row r="538">
      <x:c r="A538" s="12" t="str">
        <x:v>9/1–9/17平日</x:v>
      </x:c>
      <x:c r="B538" s="12" t="str">
        <x:v>2026-09-02</x:v>
      </x:c>
      <x:c r="C538" s="12" t="str">
        <x:v>07:00</x:v>
      </x:c>
      <x:c r="D538" s="13" t="n">
        <x:v>435</x:v>
      </x:c>
      <x:c r="E538" s="13" t="n">
        <x:v>6</x:v>
      </x:c>
      <x:c r="F538" s="13" t="n">
        <x:v>441</x:v>
      </x:c>
      <x:c r="G538" s="13" t="n">
        <x:v>468</x:v>
      </x:c>
      <x:c r="H538" s="13" t="n">
        <x:v>10</x:v>
      </x:c>
      <x:c r="I538" s="13" t="n">
        <x:v>478</x:v>
      </x:c>
      <x:c r="J538" s="13" t="n">
        <x:v>37</x:v>
      </x:c>
      <x:c r="K538" s="14" t="n">
        <x:f>IFERROR(F538/SUMIFS($F:$F,$B:$B,B538),0)</x:f>
        <x:v>0.033447098976109216</x:v>
      </x:c>
      <x:c r="L538" s="12" t="str">
        <x:v>06–09</x:v>
      </x:c>
    </x:row>
    <x:row r="539">
      <x:c r="A539" s="12" t="str">
        <x:v>9/1–9/17平日</x:v>
      </x:c>
      <x:c r="B539" s="12" t="str">
        <x:v>2026-09-02</x:v>
      </x:c>
      <x:c r="C539" s="12" t="str">
        <x:v>08:00</x:v>
      </x:c>
      <x:c r="D539" s="13" t="n">
        <x:v>619</x:v>
      </x:c>
      <x:c r="E539" s="13" t="n">
        <x:v>26</x:v>
      </x:c>
      <x:c r="F539" s="13" t="n">
        <x:v>645</x:v>
      </x:c>
      <x:c r="G539" s="13" t="n">
        <x:v>953</x:v>
      </x:c>
      <x:c r="H539" s="13" t="n">
        <x:v>37</x:v>
      </x:c>
      <x:c r="I539" s="13" t="n">
        <x:v>990</x:v>
      </x:c>
      <x:c r="J539" s="13" t="n">
        <x:v>345</x:v>
      </x:c>
      <x:c r="K539" s="14" t="n">
        <x:f>IFERROR(F539/SUMIFS($F:$F,$B:$B,B539),0)</x:f>
        <x:v>0.048919226393629126</x:v>
      </x:c>
      <x:c r="L539" s="12" t="str">
        <x:v>06–09</x:v>
      </x:c>
    </x:row>
    <x:row r="540">
      <x:c r="A540" s="12" t="str">
        <x:v>9/1–9/17平日</x:v>
      </x:c>
      <x:c r="B540" s="12" t="str">
        <x:v>2026-09-02</x:v>
      </x:c>
      <x:c r="C540" s="12" t="str">
        <x:v>09:00</x:v>
      </x:c>
      <x:c r="D540" s="13" t="n">
        <x:v>614</x:v>
      </x:c>
      <x:c r="E540" s="13" t="n">
        <x:v>27</x:v>
      </x:c>
      <x:c r="F540" s="13" t="n">
        <x:v>641</x:v>
      </x:c>
      <x:c r="G540" s="13" t="n">
        <x:v>949</x:v>
      </x:c>
      <x:c r="H540" s="13" t="n">
        <x:v>67</x:v>
      </x:c>
      <x:c r="I540" s="13" t="n">
        <x:v>1016</x:v>
      </x:c>
      <x:c r="J540" s="13" t="n">
        <x:v>375</x:v>
      </x:c>
      <x:c r="K540" s="14" t="n">
        <x:f>IFERROR(F540/SUMIFS($F:$F,$B:$B,B540),0)</x:f>
        <x:v>0.04861585134622677</x:v>
      </x:c>
      <x:c r="L540" s="12" t="str">
        <x:v>06–09</x:v>
      </x:c>
    </x:row>
    <x:row r="541">
      <x:c r="A541" s="12" t="str">
        <x:v>9/1–9/17平日</x:v>
      </x:c>
      <x:c r="B541" s="12" t="str">
        <x:v>2026-09-02</x:v>
      </x:c>
      <x:c r="C541" s="12" t="str">
        <x:v>10:00</x:v>
      </x:c>
      <x:c r="D541" s="13" t="n">
        <x:v>706</x:v>
      </x:c>
      <x:c r="E541" s="13" t="n">
        <x:v>19</x:v>
      </x:c>
      <x:c r="F541" s="13" t="n">
        <x:v>725</x:v>
      </x:c>
      <x:c r="G541" s="13" t="n">
        <x:v>843</x:v>
      </x:c>
      <x:c r="H541" s="13" t="n">
        <x:v>35</x:v>
      </x:c>
      <x:c r="I541" s="13" t="n">
        <x:v>878</x:v>
      </x:c>
      <x:c r="J541" s="13" t="n">
        <x:v>153</x:v>
      </x:c>
      <x:c r="K541" s="14" t="n">
        <x:f>IFERROR(F541/SUMIFS($F:$F,$B:$B,B541),0)</x:f>
        <x:v>0.054986727341676145</x:v>
      </x:c>
      <x:c r="L541" s="12" t="str">
        <x:v>10–13</x:v>
      </x:c>
    </x:row>
    <x:row r="542">
      <x:c r="A542" s="12" t="str">
        <x:v>9/1–9/17平日</x:v>
      </x:c>
      <x:c r="B542" s="12" t="str">
        <x:v>2026-09-02</x:v>
      </x:c>
      <x:c r="C542" s="12" t="str">
        <x:v>11:00</x:v>
      </x:c>
      <x:c r="D542" s="13" t="n">
        <x:v>864</x:v>
      </x:c>
      <x:c r="E542" s="13" t="n">
        <x:v>35</x:v>
      </x:c>
      <x:c r="F542" s="13" t="n">
        <x:v>899</x:v>
      </x:c>
      <x:c r="G542" s="13" t="n">
        <x:v>848</x:v>
      </x:c>
      <x:c r="H542" s="13" t="n">
        <x:v>42</x:v>
      </x:c>
      <x:c r="I542" s="13" t="n">
        <x:v>890</x:v>
      </x:c>
      <x:c r="J542" s="13" t="n">
        <x:v>-9</x:v>
      </x:c>
      <x:c r="K542" s="14" t="n">
        <x:f>IFERROR(F542/SUMIFS($F:$F,$B:$B,B542),0)</x:f>
        <x:v>0.06818354190367842</x:v>
      </x:c>
      <x:c r="L542" s="12" t="str">
        <x:v>10–13</x:v>
      </x:c>
    </x:row>
    <x:row r="543">
      <x:c r="A543" s="12" t="str">
        <x:v>9/1–9/17平日</x:v>
      </x:c>
      <x:c r="B543" s="12" t="str">
        <x:v>2026-09-02</x:v>
      </x:c>
      <x:c r="C543" s="12" t="str">
        <x:v>12:00</x:v>
      </x:c>
      <x:c r="D543" s="13" t="n">
        <x:v>1206</x:v>
      </x:c>
      <x:c r="E543" s="13" t="n">
        <x:v>60</x:v>
      </x:c>
      <x:c r="F543" s="13" t="n">
        <x:v>1266</x:v>
      </x:c>
      <x:c r="G543" s="13" t="n">
        <x:v>1132</x:v>
      </x:c>
      <x:c r="H543" s="13" t="n">
        <x:v>49</x:v>
      </x:c>
      <x:c r="I543" s="13" t="n">
        <x:v>1181</x:v>
      </x:c>
      <x:c r="J543" s="13" t="n">
        <x:v>-85</x:v>
      </x:c>
      <x:c r="K543" s="14" t="n">
        <x:f>IFERROR(F543/SUMIFS($F:$F,$B:$B,B543),0)</x:f>
        <x:v>0.09601820250284414</x:v>
      </x:c>
      <x:c r="L543" s="12" t="str">
        <x:v>10–13</x:v>
      </x:c>
    </x:row>
    <x:row r="544">
      <x:c r="A544" s="12" t="str">
        <x:v>9/1–9/17平日</x:v>
      </x:c>
      <x:c r="B544" s="12" t="str">
        <x:v>2026-09-02</x:v>
      </x:c>
      <x:c r="C544" s="12" t="str">
        <x:v>13:00</x:v>
      </x:c>
      <x:c r="D544" s="13" t="n">
        <x:v>1008</x:v>
      </x:c>
      <x:c r="E544" s="13" t="n">
        <x:v>42</x:v>
      </x:c>
      <x:c r="F544" s="13" t="n">
        <x:v>1050</x:v>
      </x:c>
      <x:c r="G544" s="13" t="n">
        <x:v>1165</x:v>
      </x:c>
      <x:c r="H544" s="13" t="n">
        <x:v>53</x:v>
      </x:c>
      <x:c r="I544" s="13" t="n">
        <x:v>1218</x:v>
      </x:c>
      <x:c r="J544" s="13" t="n">
        <x:v>168</x:v>
      </x:c>
      <x:c r="K544" s="14" t="n">
        <x:f>IFERROR(F544/SUMIFS($F:$F,$B:$B,B544),0)</x:f>
        <x:v>0.07963594994311718</x:v>
      </x:c>
      <x:c r="L544" s="12" t="str">
        <x:v>10–13</x:v>
      </x:c>
    </x:row>
    <x:row r="545">
      <x:c r="A545" s="12" t="str">
        <x:v>9/1–9/17平日</x:v>
      </x:c>
      <x:c r="B545" s="12" t="str">
        <x:v>2026-09-02</x:v>
      </x:c>
      <x:c r="C545" s="12" t="str">
        <x:v>14:00</x:v>
      </x:c>
      <x:c r="D545" s="13" t="n">
        <x:v>901</x:v>
      </x:c>
      <x:c r="E545" s="13" t="n">
        <x:v>47</x:v>
      </x:c>
      <x:c r="F545" s="13" t="n">
        <x:v>948</x:v>
      </x:c>
      <x:c r="G545" s="13" t="n">
        <x:v>917</x:v>
      </x:c>
      <x:c r="H545" s="13" t="n">
        <x:v>39</x:v>
      </x:c>
      <x:c r="I545" s="13" t="n">
        <x:v>956</x:v>
      </x:c>
      <x:c r="J545" s="13" t="n">
        <x:v>8</x:v>
      </x:c>
      <x:c r="K545" s="14" t="n">
        <x:f>IFERROR(F545/SUMIFS($F:$F,$B:$B,B545),0)</x:f>
        <x:v>0.07189988623435722</x:v>
      </x:c>
      <x:c r="L545" s="12" t="str">
        <x:v>14–17</x:v>
      </x:c>
    </x:row>
    <x:row r="546">
      <x:c r="A546" s="12" t="str">
        <x:v>9/1–9/17平日</x:v>
      </x:c>
      <x:c r="B546" s="12" t="str">
        <x:v>2026-09-02</x:v>
      </x:c>
      <x:c r="C546" s="12" t="str">
        <x:v>15:00</x:v>
      </x:c>
      <x:c r="D546" s="13" t="n">
        <x:v>904</x:v>
      </x:c>
      <x:c r="E546" s="13" t="n">
        <x:v>35</x:v>
      </x:c>
      <x:c r="F546" s="13" t="n">
        <x:v>939</x:v>
      </x:c>
      <x:c r="G546" s="13" t="n">
        <x:v>909</x:v>
      </x:c>
      <x:c r="H546" s="13" t="n">
        <x:v>32</x:v>
      </x:c>
      <x:c r="I546" s="13" t="n">
        <x:v>941</x:v>
      </x:c>
      <x:c r="J546" s="13" t="n">
        <x:v>2</x:v>
      </x:c>
      <x:c r="K546" s="14" t="n">
        <x:f>IFERROR(F546/SUMIFS($F:$F,$B:$B,B546),0)</x:f>
        <x:v>0.07121729237770194</x:v>
      </x:c>
      <x:c r="L546" s="12" t="str">
        <x:v>14–17</x:v>
      </x:c>
    </x:row>
    <x:row r="547">
      <x:c r="A547" s="12" t="str">
        <x:v>9/1–9/17平日</x:v>
      </x:c>
      <x:c r="B547" s="12" t="str">
        <x:v>2026-09-02</x:v>
      </x:c>
      <x:c r="C547" s="12" t="str">
        <x:v>16:00</x:v>
      </x:c>
      <x:c r="D547" s="13" t="n">
        <x:v>1071</x:v>
      </x:c>
      <x:c r="E547" s="13" t="n">
        <x:v>41</x:v>
      </x:c>
      <x:c r="F547" s="13" t="n">
        <x:v>1112</x:v>
      </x:c>
      <x:c r="G547" s="13" t="n">
        <x:v>817</x:v>
      </x:c>
      <x:c r="H547" s="13" t="n">
        <x:v>26</x:v>
      </x:c>
      <x:c r="I547" s="13" t="n">
        <x:v>843</x:v>
      </x:c>
      <x:c r="J547" s="13" t="n">
        <x:v>-269</x:v>
      </x:c>
      <x:c r="K547" s="14" t="n">
        <x:f>IFERROR(F547/SUMIFS($F:$F,$B:$B,B547),0)</x:f>
        <x:v>0.08433826317785362</x:v>
      </x:c>
      <x:c r="L547" s="12" t="str">
        <x:v>14–17</x:v>
      </x:c>
    </x:row>
    <x:row r="548">
      <x:c r="A548" s="12" t="str">
        <x:v>9/1–9/17平日</x:v>
      </x:c>
      <x:c r="B548" s="12" t="str">
        <x:v>2026-09-02</x:v>
      </x:c>
      <x:c r="C548" s="12" t="str">
        <x:v>17:00</x:v>
      </x:c>
      <x:c r="D548" s="13" t="n">
        <x:v>1527</x:v>
      </x:c>
      <x:c r="E548" s="13" t="n">
        <x:v>72</x:v>
      </x:c>
      <x:c r="F548" s="13" t="n">
        <x:v>1599</x:v>
      </x:c>
      <x:c r="G548" s="13" t="n">
        <x:v>923</x:v>
      </x:c>
      <x:c r="H548" s="13" t="n">
        <x:v>30</x:v>
      </x:c>
      <x:c r="I548" s="13" t="n">
        <x:v>953</x:v>
      </x:c>
      <x:c r="J548" s="13" t="n">
        <x:v>-646</x:v>
      </x:c>
      <x:c r="K548" s="14" t="n">
        <x:f>IFERROR(F548/SUMIFS($F:$F,$B:$B,B548),0)</x:f>
        <x:v>0.12127417519908988</x:v>
      </x:c>
      <x:c r="L548" s="12" t="str">
        <x:v>14–17</x:v>
      </x:c>
    </x:row>
    <x:row r="549">
      <x:c r="A549" s="12" t="str">
        <x:v>9/1–9/17平日</x:v>
      </x:c>
      <x:c r="B549" s="12" t="str">
        <x:v>2026-09-02</x:v>
      </x:c>
      <x:c r="C549" s="12" t="str">
        <x:v>18:00</x:v>
      </x:c>
      <x:c r="D549" s="13" t="n">
        <x:v>918</x:v>
      </x:c>
      <x:c r="E549" s="13" t="n">
        <x:v>52</x:v>
      </x:c>
      <x:c r="F549" s="13" t="n">
        <x:v>970</x:v>
      </x:c>
      <x:c r="G549" s="13" t="n">
        <x:v>683</x:v>
      </x:c>
      <x:c r="H549" s="13" t="n">
        <x:v>22</x:v>
      </x:c>
      <x:c r="I549" s="13" t="n">
        <x:v>705</x:v>
      </x:c>
      <x:c r="J549" s="13" t="n">
        <x:v>-265</x:v>
      </x:c>
      <x:c r="K549" s="14" t="n">
        <x:f>IFERROR(F549/SUMIFS($F:$F,$B:$B,B549),0)</x:f>
        <x:v>0.07356844899507016</x:v>
      </x:c>
      <x:c r="L549" s="12" t="str">
        <x:v>18–21</x:v>
      </x:c>
    </x:row>
    <x:row r="550">
      <x:c r="A550" s="12" t="str">
        <x:v>9/1–9/17平日</x:v>
      </x:c>
      <x:c r="B550" s="12" t="str">
        <x:v>2026-09-02</x:v>
      </x:c>
      <x:c r="C550" s="12" t="str">
        <x:v>19:00</x:v>
      </x:c>
      <x:c r="D550" s="13" t="n">
        <x:v>555</x:v>
      </x:c>
      <x:c r="E550" s="13" t="n">
        <x:v>19</x:v>
      </x:c>
      <x:c r="F550" s="13" t="n">
        <x:v>574</x:v>
      </x:c>
      <x:c r="G550" s="13" t="n">
        <x:v>496</x:v>
      </x:c>
      <x:c r="H550" s="13" t="n">
        <x:v>12</x:v>
      </x:c>
      <x:c r="I550" s="13" t="n">
        <x:v>508</x:v>
      </x:c>
      <x:c r="J550" s="13" t="n">
        <x:v>-66</x:v>
      </x:c>
      <x:c r="K550" s="14" t="n">
        <x:f>IFERROR(F550/SUMIFS($F:$F,$B:$B,B550),0)</x:f>
        <x:v>0.04353431930223739</x:v>
      </x:c>
      <x:c r="L550" s="12" t="str">
        <x:v>18–21</x:v>
      </x:c>
    </x:row>
    <x:row r="551">
      <x:c r="A551" s="12" t="str">
        <x:v>9/1–9/17平日</x:v>
      </x:c>
      <x:c r="B551" s="12" t="str">
        <x:v>2026-09-02</x:v>
      </x:c>
      <x:c r="C551" s="12" t="str">
        <x:v>20:00</x:v>
      </x:c>
      <x:c r="D551" s="13" t="n">
        <x:v>401</x:v>
      </x:c>
      <x:c r="E551" s="13" t="n">
        <x:v>13</x:v>
      </x:c>
      <x:c r="F551" s="13" t="n">
        <x:v>414</x:v>
      </x:c>
      <x:c r="G551" s="13" t="n">
        <x:v>334</x:v>
      </x:c>
      <x:c r="H551" s="13" t="n">
        <x:v>6</x:v>
      </x:c>
      <x:c r="I551" s="13" t="n">
        <x:v>340</x:v>
      </x:c>
      <x:c r="J551" s="13" t="n">
        <x:v>-74</x:v>
      </x:c>
      <x:c r="K551" s="14" t="n">
        <x:f>IFERROR(F551/SUMIFS($F:$F,$B:$B,B551),0)</x:f>
        <x:v>0.031399317406143344</x:v>
      </x:c>
      <x:c r="L551" s="12" t="str">
        <x:v>18–21</x:v>
      </x:c>
    </x:row>
    <x:row r="552">
      <x:c r="A552" s="12" t="str">
        <x:v>9/1–9/17平日</x:v>
      </x:c>
      <x:c r="B552" s="12" t="str">
        <x:v>2026-09-02</x:v>
      </x:c>
      <x:c r="C552" s="12" t="str">
        <x:v>21:00</x:v>
      </x:c>
      <x:c r="D552" s="13" t="n">
        <x:v>306</x:v>
      </x:c>
      <x:c r="E552" s="13" t="n">
        <x:v>15</x:v>
      </x:c>
      <x:c r="F552" s="13" t="n">
        <x:v>321</x:v>
      </x:c>
      <x:c r="G552" s="13" t="n">
        <x:v>222</x:v>
      </x:c>
      <x:c r="H552" s="13" t="n">
        <x:v>15</x:v>
      </x:c>
      <x:c r="I552" s="13" t="n">
        <x:v>237</x:v>
      </x:c>
      <x:c r="J552" s="13" t="n">
        <x:v>-84</x:v>
      </x:c>
      <x:c r="K552" s="14" t="n">
        <x:f>IFERROR(F552/SUMIFS($F:$F,$B:$B,B552),0)</x:f>
        <x:v>0.02434584755403868</x:v>
      </x:c>
      <x:c r="L552" s="12" t="str">
        <x:v>18–21</x:v>
      </x:c>
    </x:row>
    <x:row r="553">
      <x:c r="A553" s="12" t="str">
        <x:v>9/1–9/17平日</x:v>
      </x:c>
      <x:c r="B553" s="12" t="str">
        <x:v>2026-09-02</x:v>
      </x:c>
      <x:c r="C553" s="12" t="str">
        <x:v>22:00</x:v>
      </x:c>
      <x:c r="D553" s="13" t="n">
        <x:v>198</x:v>
      </x:c>
      <x:c r="E553" s="13" t="n">
        <x:v>13</x:v>
      </x:c>
      <x:c r="F553" s="13" t="n">
        <x:v>211</x:v>
      </x:c>
      <x:c r="G553" s="13" t="n">
        <x:v>147</x:v>
      </x:c>
      <x:c r="H553" s="13" t="n">
        <x:v>9</x:v>
      </x:c>
      <x:c r="I553" s="13" t="n">
        <x:v>156</x:v>
      </x:c>
      <x:c r="J553" s="13" t="n">
        <x:v>-55</x:v>
      </x:c>
      <x:c r="K553" s="14" t="n">
        <x:f>IFERROR(F553/SUMIFS($F:$F,$B:$B,B553),0)</x:f>
        <x:v>0.016003033750474023</x:v>
      </x:c>
      <x:c r="L553" s="12" t="str">
        <x:v>22–23</x:v>
      </x:c>
    </x:row>
    <x:row r="554">
      <x:c r="A554" s="12" t="str">
        <x:v>9/1–9/17平日</x:v>
      </x:c>
      <x:c r="B554" s="12" t="str">
        <x:v>2026-09-02</x:v>
      </x:c>
      <x:c r="C554" s="12" t="str">
        <x:v>23:00</x:v>
      </x:c>
      <x:c r="D554" s="13" t="n">
        <x:v>131</x:v>
      </x:c>
      <x:c r="E554" s="13" t="n">
        <x:v>6</x:v>
      </x:c>
      <x:c r="F554" s="13" t="n">
        <x:v>137</x:v>
      </x:c>
      <x:c r="G554" s="13" t="n">
        <x:v>96</x:v>
      </x:c>
      <x:c r="H554" s="13" t="n">
        <x:v>0</x:v>
      </x:c>
      <x:c r="I554" s="13" t="n">
        <x:v>96</x:v>
      </x:c>
      <x:c r="J554" s="13" t="n">
        <x:v>-41</x:v>
      </x:c>
      <x:c r="K554" s="14" t="n">
        <x:f>IFERROR(F554/SUMIFS($F:$F,$B:$B,B554),0)</x:f>
        <x:v>0.010390595373530527</x:v>
      </x:c>
      <x:c r="L554" s="12" t="str">
        <x:v>22–23</x:v>
      </x:c>
    </x:row>
    <x:row r="555">
      <x:c r="A555" s="12" t="str">
        <x:v>9/1–9/17平日</x:v>
      </x:c>
      <x:c r="B555" s="12" t="str">
        <x:v>2026-09-03</x:v>
      </x:c>
      <x:c r="C555" s="12" t="str">
        <x:v>00:00</x:v>
      </x:c>
      <x:c r="D555" s="13" t="n">
        <x:v>57</x:v>
      </x:c>
      <x:c r="E555" s="13" t="n">
        <x:v>1</x:v>
      </x:c>
      <x:c r="F555" s="13" t="n">
        <x:v>58</x:v>
      </x:c>
      <x:c r="G555" s="13" t="n">
        <x:v>66</x:v>
      </x:c>
      <x:c r="H555" s="13" t="n">
        <x:v>1</x:v>
      </x:c>
      <x:c r="I555" s="13" t="n">
        <x:v>67</x:v>
      </x:c>
      <x:c r="J555" s="13" t="n">
        <x:v>9</x:v>
      </x:c>
      <x:c r="K555" s="14" t="n">
        <x:f>IFERROR(F555/SUMIFS($F:$F,$B:$B,B555),0)</x:f>
        <x:v>0.012010768275005176</x:v>
      </x:c>
      <x:c r="L555" s="12" t="str">
        <x:v>00–05</x:v>
      </x:c>
    </x:row>
    <x:row r="556">
      <x:c r="A556" s="12" t="str">
        <x:v>9/1–9/17平日</x:v>
      </x:c>
      <x:c r="B556" s="12" t="str">
        <x:v>2026-09-03</x:v>
      </x:c>
      <x:c r="C556" s="12" t="str">
        <x:v>01:00</x:v>
      </x:c>
      <x:c r="D556" s="13" t="n">
        <x:v>37</x:v>
      </x:c>
      <x:c r="E556" s="13" t="n">
        <x:v>2</x:v>
      </x:c>
      <x:c r="F556" s="13" t="n">
        <x:v>39</x:v>
      </x:c>
      <x:c r="G556" s="13" t="n">
        <x:v>30</x:v>
      </x:c>
      <x:c r="H556" s="13" t="n">
        <x:v>2</x:v>
      </x:c>
      <x:c r="I556" s="13" t="n">
        <x:v>32</x:v>
      </x:c>
      <x:c r="J556" s="13" t="n">
        <x:v>-7</x:v>
      </x:c>
      <x:c r="K556" s="14" t="n">
        <x:f>IFERROR(F556/SUMIFS($F:$F,$B:$B,B556),0)</x:f>
        <x:v>0.008076206253882792</x:v>
      </x:c>
      <x:c r="L556" s="12" t="str">
        <x:v>00–05</x:v>
      </x:c>
    </x:row>
    <x:row r="557">
      <x:c r="A557" s="12" t="str">
        <x:v>9/1–9/17平日</x:v>
      </x:c>
      <x:c r="B557" s="12" t="str">
        <x:v>2026-09-03</x:v>
      </x:c>
      <x:c r="C557" s="12" t="str">
        <x:v>02:00</x:v>
      </x:c>
      <x:c r="D557" s="13" t="n">
        <x:v>25</x:v>
      </x:c>
      <x:c r="E557" s="13" t="n">
        <x:v>1</x:v>
      </x:c>
      <x:c r="F557" s="13" t="n">
        <x:v>26</x:v>
      </x:c>
      <x:c r="G557" s="13" t="n">
        <x:v>9</x:v>
      </x:c>
      <x:c r="H557" s="13" t="n">
        <x:v>1</x:v>
      </x:c>
      <x:c r="I557" s="13" t="n">
        <x:v>10</x:v>
      </x:c>
      <x:c r="J557" s="13" t="n">
        <x:v>-16</x:v>
      </x:c>
      <x:c r="K557" s="14" t="n">
        <x:f>IFERROR(F557/SUMIFS($F:$F,$B:$B,B557),0)</x:f>
        <x:v>0.005384137502588528</x:v>
      </x:c>
      <x:c r="L557" s="12" t="str">
        <x:v>00–05</x:v>
      </x:c>
    </x:row>
    <x:row r="558">
      <x:c r="A558" s="12" t="str">
        <x:v>9/1–9/17平日</x:v>
      </x:c>
      <x:c r="B558" s="12" t="str">
        <x:v>2026-09-03</x:v>
      </x:c>
      <x:c r="C558" s="12" t="str">
        <x:v>03:00</x:v>
      </x:c>
      <x:c r="D558" s="13" t="n">
        <x:v>11</x:v>
      </x:c>
      <x:c r="E558" s="13" t="n">
        <x:v>0</x:v>
      </x:c>
      <x:c r="F558" s="13" t="n">
        <x:v>11</x:v>
      </x:c>
      <x:c r="G558" s="13" t="n">
        <x:v>9</x:v>
      </x:c>
      <x:c r="H558" s="13" t="n">
        <x:v>0</x:v>
      </x:c>
      <x:c r="I558" s="13" t="n">
        <x:v>9</x:v>
      </x:c>
      <x:c r="J558" s="13" t="n">
        <x:v>-2</x:v>
      </x:c>
      <x:c r="K558" s="14" t="n">
        <x:f>IFERROR(F558/SUMIFS($F:$F,$B:$B,B558),0)</x:f>
        <x:v>0.002277904328018223</x:v>
      </x:c>
      <x:c r="L558" s="12" t="str">
        <x:v>00–05</x:v>
      </x:c>
    </x:row>
    <x:row r="559">
      <x:c r="A559" s="12" t="str">
        <x:v>9/1–9/17平日</x:v>
      </x:c>
      <x:c r="B559" s="12" t="str">
        <x:v>2026-09-03</x:v>
      </x:c>
      <x:c r="C559" s="12" t="str">
        <x:v>04:00</x:v>
      </x:c>
      <x:c r="D559" s="13" t="n">
        <x:v>5</x:v>
      </x:c>
      <x:c r="E559" s="13" t="n">
        <x:v>1</x:v>
      </x:c>
      <x:c r="F559" s="13" t="n">
        <x:v>6</x:v>
      </x:c>
      <x:c r="G559" s="13" t="n">
        <x:v>10</x:v>
      </x:c>
      <x:c r="H559" s="13" t="n">
        <x:v>1</x:v>
      </x:c>
      <x:c r="I559" s="13" t="n">
        <x:v>11</x:v>
      </x:c>
      <x:c r="J559" s="13" t="n">
        <x:v>5</x:v>
      </x:c>
      <x:c r="K559" s="14" t="n">
        <x:f>IFERROR(F559/SUMIFS($F:$F,$B:$B,B559),0)</x:f>
        <x:v>0.0012424932698281218</x:v>
      </x:c>
      <x:c r="L559" s="12" t="str">
        <x:v>00–05</x:v>
      </x:c>
    </x:row>
    <x:row r="560">
      <x:c r="A560" s="12" t="str">
        <x:v>9/1–9/17平日</x:v>
      </x:c>
      <x:c r="B560" s="12" t="str">
        <x:v>2026-09-03</x:v>
      </x:c>
      <x:c r="C560" s="12" t="str">
        <x:v>05:00</x:v>
      </x:c>
      <x:c r="D560" s="13" t="n">
        <x:v>24</x:v>
      </x:c>
      <x:c r="E560" s="13" t="n">
        <x:v>1</x:v>
      </x:c>
      <x:c r="F560" s="13" t="n">
        <x:v>25</x:v>
      </x:c>
      <x:c r="G560" s="13" t="n">
        <x:v>36</x:v>
      </x:c>
      <x:c r="H560" s="13" t="n">
        <x:v>1</x:v>
      </x:c>
      <x:c r="I560" s="13" t="n">
        <x:v>37</x:v>
      </x:c>
      <x:c r="J560" s="13" t="n">
        <x:v>12</x:v>
      </x:c>
      <x:c r="K560" s="14" t="n">
        <x:f>IFERROR(F560/SUMIFS($F:$F,$B:$B,B560),0)</x:f>
        <x:v>0.0051770552909505075</x:v>
      </x:c>
      <x:c r="L560" s="12" t="str">
        <x:v>00–05</x:v>
      </x:c>
    </x:row>
    <x:row r="561">
      <x:c r="A561" s="12" t="str">
        <x:v>9/1–9/17平日</x:v>
      </x:c>
      <x:c r="B561" s="12" t="str">
        <x:v>2026-09-03</x:v>
      </x:c>
      <x:c r="C561" s="12" t="str">
        <x:v>06:00</x:v>
      </x:c>
      <x:c r="D561" s="13" t="n">
        <x:v>49</x:v>
      </x:c>
      <x:c r="E561" s="13" t="n">
        <x:v>1</x:v>
      </x:c>
      <x:c r="F561" s="13" t="n">
        <x:v>50</x:v>
      </x:c>
      <x:c r="G561" s="13" t="n">
        <x:v>60</x:v>
      </x:c>
      <x:c r="H561" s="13" t="n">
        <x:v>5</x:v>
      </x:c>
      <x:c r="I561" s="13" t="n">
        <x:v>65</x:v>
      </x:c>
      <x:c r="J561" s="13" t="n">
        <x:v>15</x:v>
      </x:c>
      <x:c r="K561" s="14" t="n">
        <x:f>IFERROR(F561/SUMIFS($F:$F,$B:$B,B561),0)</x:f>
        <x:v>0.010354110581901015</x:v>
      </x:c>
      <x:c r="L561" s="12" t="str">
        <x:v>06–09</x:v>
      </x:c>
    </x:row>
    <x:row r="562">
      <x:c r="A562" s="12" t="str">
        <x:v>9/1–9/17平日</x:v>
      </x:c>
      <x:c r="B562" s="12" t="str">
        <x:v>2026-09-03</x:v>
      </x:c>
      <x:c r="C562" s="12" t="str">
        <x:v>07:00</x:v>
      </x:c>
      <x:c r="D562" s="13" t="n">
        <x:v>166</x:v>
      </x:c>
      <x:c r="E562" s="13" t="n">
        <x:v>4</x:v>
      </x:c>
      <x:c r="F562" s="13" t="n">
        <x:v>170</x:v>
      </x:c>
      <x:c r="G562" s="13" t="n">
        <x:v>242</x:v>
      </x:c>
      <x:c r="H562" s="13" t="n">
        <x:v>10</x:v>
      </x:c>
      <x:c r="I562" s="13" t="n">
        <x:v>252</x:v>
      </x:c>
      <x:c r="J562" s="13" t="n">
        <x:v>82</x:v>
      </x:c>
      <x:c r="K562" s="14" t="n">
        <x:f>IFERROR(F562/SUMIFS($F:$F,$B:$B,B562),0)</x:f>
        <x:v>0.03520397597846345</x:v>
      </x:c>
      <x:c r="L562" s="12" t="str">
        <x:v>06–09</x:v>
      </x:c>
    </x:row>
    <x:row r="563">
      <x:c r="A563" s="12" t="str">
        <x:v>9/1–9/17平日</x:v>
      </x:c>
      <x:c r="B563" s="12" t="str">
        <x:v>2026-09-03</x:v>
      </x:c>
      <x:c r="C563" s="12" t="str">
        <x:v>08:00</x:v>
      </x:c>
      <x:c r="D563" s="13" t="n">
        <x:v>259</x:v>
      </x:c>
      <x:c r="E563" s="13" t="n">
        <x:v>10</x:v>
      </x:c>
      <x:c r="F563" s="13" t="n">
        <x:v>269</x:v>
      </x:c>
      <x:c r="G563" s="13" t="n">
        <x:v>351</x:v>
      </x:c>
      <x:c r="H563" s="13" t="n">
        <x:v>17</x:v>
      </x:c>
      <x:c r="I563" s="13" t="n">
        <x:v>368</x:v>
      </x:c>
      <x:c r="J563" s="13" t="n">
        <x:v>99</x:v>
      </x:c>
      <x:c r="K563" s="14" t="n">
        <x:f>IFERROR(F563/SUMIFS($F:$F,$B:$B,B563),0)</x:f>
        <x:v>0.05570511493062746</x:v>
      </x:c>
      <x:c r="L563" s="12" t="str">
        <x:v>06–09</x:v>
      </x:c>
    </x:row>
    <x:row r="564">
      <x:c r="A564" s="12" t="str">
        <x:v>9/1–9/17平日</x:v>
      </x:c>
      <x:c r="B564" s="12" t="str">
        <x:v>2026-09-03</x:v>
      </x:c>
      <x:c r="C564" s="12" t="str">
        <x:v>09:00</x:v>
      </x:c>
      <x:c r="D564" s="13" t="n">
        <x:v>267</x:v>
      </x:c>
      <x:c r="E564" s="13" t="n">
        <x:v>6</x:v>
      </x:c>
      <x:c r="F564" s="13" t="n">
        <x:v>273</x:v>
      </x:c>
      <x:c r="G564" s="13" t="n">
        <x:v>372</x:v>
      </x:c>
      <x:c r="H564" s="13" t="n">
        <x:v>25</x:v>
      </x:c>
      <x:c r="I564" s="13" t="n">
        <x:v>397</x:v>
      </x:c>
      <x:c r="J564" s="13" t="n">
        <x:v>124</x:v>
      </x:c>
      <x:c r="K564" s="14" t="n">
        <x:f>IFERROR(F564/SUMIFS($F:$F,$B:$B,B564),0)</x:f>
        <x:v>0.05653344377717954</x:v>
      </x:c>
      <x:c r="L564" s="12" t="str">
        <x:v>06–09</x:v>
      </x:c>
    </x:row>
    <x:row r="565">
      <x:c r="A565" s="12" t="str">
        <x:v>9/1–9/17平日</x:v>
      </x:c>
      <x:c r="B565" s="12" t="str">
        <x:v>2026-09-03</x:v>
      </x:c>
      <x:c r="C565" s="12" t="str">
        <x:v>10:00</x:v>
      </x:c>
      <x:c r="D565" s="13" t="n">
        <x:v>272</x:v>
      </x:c>
      <x:c r="E565" s="13" t="n">
        <x:v>12</x:v>
      </x:c>
      <x:c r="F565" s="13" t="n">
        <x:v>284</x:v>
      </x:c>
      <x:c r="G565" s="13" t="n">
        <x:v>336</x:v>
      </x:c>
      <x:c r="H565" s="13" t="n">
        <x:v>13</x:v>
      </x:c>
      <x:c r="I565" s="13" t="n">
        <x:v>349</x:v>
      </x:c>
      <x:c r="J565" s="13" t="n">
        <x:v>65</x:v>
      </x:c>
      <x:c r="K565" s="14" t="n">
        <x:f>IFERROR(F565/SUMIFS($F:$F,$B:$B,B565),0)</x:f>
        <x:v>0.05881134810519777</x:v>
      </x:c>
      <x:c r="L565" s="12" t="str">
        <x:v>10–13</x:v>
      </x:c>
    </x:row>
    <x:row r="566">
      <x:c r="A566" s="12" t="str">
        <x:v>9/1–9/17平日</x:v>
      </x:c>
      <x:c r="B566" s="12" t="str">
        <x:v>2026-09-03</x:v>
      </x:c>
      <x:c r="C566" s="12" t="str">
        <x:v>11:00</x:v>
      </x:c>
      <x:c r="D566" s="13" t="n">
        <x:v>867</x:v>
      </x:c>
      <x:c r="E566" s="13" t="n">
        <x:v>21</x:v>
      </x:c>
      <x:c r="F566" s="13" t="n">
        <x:v>888</x:v>
      </x:c>
      <x:c r="G566" s="13" t="n">
        <x:v>772</x:v>
      </x:c>
      <x:c r="H566" s="13" t="n">
        <x:v>21</x:v>
      </x:c>
      <x:c r="I566" s="13" t="n">
        <x:v>793</x:v>
      </x:c>
      <x:c r="J566" s="13" t="n">
        <x:v>-95</x:v>
      </x:c>
      <x:c r="K566" s="14" t="n">
        <x:f>IFERROR(F566/SUMIFS($F:$F,$B:$B,B566),0)</x:f>
        <x:v>0.18388900393456203</x:v>
      </x:c>
      <x:c r="L566" s="12" t="str">
        <x:v>10–13</x:v>
      </x:c>
    </x:row>
    <x:row r="567">
      <x:c r="A567" s="12" t="str">
        <x:v>9/1–9/17平日</x:v>
      </x:c>
      <x:c r="B567" s="12" t="str">
        <x:v>2026-09-03</x:v>
      </x:c>
      <x:c r="C567" s="12" t="str">
        <x:v>12:00</x:v>
      </x:c>
      <x:c r="D567" s="13" t="n">
        <x:v>759</x:v>
      </x:c>
      <x:c r="E567" s="13" t="n">
        <x:v>31</x:v>
      </x:c>
      <x:c r="F567" s="13" t="n">
        <x:v>790</x:v>
      </x:c>
      <x:c r="G567" s="13" t="n">
        <x:v>849</x:v>
      </x:c>
      <x:c r="H567" s="13" t="n">
        <x:v>22</x:v>
      </x:c>
      <x:c r="I567" s="13" t="n">
        <x:v>871</x:v>
      </x:c>
      <x:c r="J567" s="13" t="n">
        <x:v>81</x:v>
      </x:c>
      <x:c r="K567" s="14" t="n">
        <x:f>IFERROR(F567/SUMIFS($F:$F,$B:$B,B567),0)</x:f>
        <x:v>0.16359494719403603</x:v>
      </x:c>
      <x:c r="L567" s="12" t="str">
        <x:v>10–13</x:v>
      </x:c>
    </x:row>
    <x:row r="568">
      <x:c r="A568" s="12" t="str">
        <x:v>9/1–9/17平日</x:v>
      </x:c>
      <x:c r="B568" s="12" t="str">
        <x:v>2026-09-03</x:v>
      </x:c>
      <x:c r="C568" s="12" t="str">
        <x:v>13:00</x:v>
      </x:c>
      <x:c r="D568" s="13" t="n">
        <x:v>248</x:v>
      </x:c>
      <x:c r="E568" s="13" t="n">
        <x:v>8</x:v>
      </x:c>
      <x:c r="F568" s="13" t="n">
        <x:v>256</x:v>
      </x:c>
      <x:c r="G568" s="13" t="n">
        <x:v>333</x:v>
      </x:c>
      <x:c r="H568" s="13" t="n">
        <x:v>5</x:v>
      </x:c>
      <x:c r="I568" s="13" t="n">
        <x:v>338</x:v>
      </x:c>
      <x:c r="J568" s="13" t="n">
        <x:v>82</x:v>
      </x:c>
      <x:c r="K568" s="14" t="n">
        <x:f>IFERROR(F568/SUMIFS($F:$F,$B:$B,B568),0)</x:f>
        <x:v>0.053013046179333195</x:v>
      </x:c>
      <x:c r="L568" s="12" t="str">
        <x:v>10–13</x:v>
      </x:c>
    </x:row>
    <x:row r="569">
      <x:c r="A569" s="12" t="str">
        <x:v>9/1–9/17平日</x:v>
      </x:c>
      <x:c r="B569" s="12" t="str">
        <x:v>2026-09-03</x:v>
      </x:c>
      <x:c r="C569" s="12" t="str">
        <x:v>14:00</x:v>
      </x:c>
      <x:c r="D569" s="13" t="n">
        <x:v>95</x:v>
      </x:c>
      <x:c r="E569" s="13" t="n">
        <x:v>1</x:v>
      </x:c>
      <x:c r="F569" s="13" t="n">
        <x:v>96</x:v>
      </x:c>
      <x:c r="G569" s="13" t="n">
        <x:v>119</x:v>
      </x:c>
      <x:c r="H569" s="13" t="n">
        <x:v>2</x:v>
      </x:c>
      <x:c r="I569" s="13" t="n">
        <x:v>121</x:v>
      </x:c>
      <x:c r="J569" s="13" t="n">
        <x:v>25</x:v>
      </x:c>
      <x:c r="K569" s="14" t="n">
        <x:f>IFERROR(F569/SUMIFS($F:$F,$B:$B,B569),0)</x:f>
        <x:v>0.019879892317249948</x:v>
      </x:c>
      <x:c r="L569" s="12" t="str">
        <x:v>14–17</x:v>
      </x:c>
    </x:row>
    <x:row r="570">
      <x:c r="A570" s="12" t="str">
        <x:v>9/1–9/17平日</x:v>
      </x:c>
      <x:c r="B570" s="12" t="str">
        <x:v>2026-09-03</x:v>
      </x:c>
      <x:c r="C570" s="12" t="str">
        <x:v>15:00</x:v>
      </x:c>
      <x:c r="D570" s="13" t="n">
        <x:v>162</x:v>
      </x:c>
      <x:c r="E570" s="13" t="n">
        <x:v>6</x:v>
      </x:c>
      <x:c r="F570" s="13" t="n">
        <x:v>168</x:v>
      </x:c>
      <x:c r="G570" s="13" t="n">
        <x:v>99</x:v>
      </x:c>
      <x:c r="H570" s="13" t="n">
        <x:v>3</x:v>
      </x:c>
      <x:c r="I570" s="13" t="n">
        <x:v>102</x:v>
      </x:c>
      <x:c r="J570" s="13" t="n">
        <x:v>-66</x:v>
      </x:c>
      <x:c r="K570" s="14" t="n">
        <x:f>IFERROR(F570/SUMIFS($F:$F,$B:$B,B570),0)</x:f>
        <x:v>0.03478981155518741</x:v>
      </x:c>
      <x:c r="L570" s="12" t="str">
        <x:v>14–17</x:v>
      </x:c>
    </x:row>
    <x:row r="571">
      <x:c r="A571" s="12" t="str">
        <x:v>9/1–9/17平日</x:v>
      </x:c>
      <x:c r="B571" s="12" t="str">
        <x:v>2026-09-03</x:v>
      </x:c>
      <x:c r="C571" s="12" t="str">
        <x:v>16:00</x:v>
      </x:c>
      <x:c r="D571" s="13" t="n">
        <x:v>246</x:v>
      </x:c>
      <x:c r="E571" s="13" t="n">
        <x:v>3</x:v>
      </x:c>
      <x:c r="F571" s="13" t="n">
        <x:v>249</x:v>
      </x:c>
      <x:c r="G571" s="13" t="n">
        <x:v>185</x:v>
      </x:c>
      <x:c r="H571" s="13" t="n">
        <x:v>3</x:v>
      </x:c>
      <x:c r="I571" s="13" t="n">
        <x:v>188</x:v>
      </x:c>
      <x:c r="J571" s="13" t="n">
        <x:v>-61</x:v>
      </x:c>
      <x:c r="K571" s="14" t="n">
        <x:f>IFERROR(F571/SUMIFS($F:$F,$B:$B,B571),0)</x:f>
        <x:v>0.051563470697867056</x:v>
      </x:c>
      <x:c r="L571" s="12" t="str">
        <x:v>14–17</x:v>
      </x:c>
    </x:row>
    <x:row r="572">
      <x:c r="A572" s="12" t="str">
        <x:v>9/1–9/17平日</x:v>
      </x:c>
      <x:c r="B572" s="12" t="str">
        <x:v>2026-09-03</x:v>
      </x:c>
      <x:c r="C572" s="12" t="str">
        <x:v>17:00</x:v>
      </x:c>
      <x:c r="D572" s="13" t="n">
        <x:v>359</x:v>
      </x:c>
      <x:c r="E572" s="13" t="n">
        <x:v>13</x:v>
      </x:c>
      <x:c r="F572" s="13" t="n">
        <x:v>372</x:v>
      </x:c>
      <x:c r="G572" s="13" t="n">
        <x:v>239</x:v>
      </x:c>
      <x:c r="H572" s="13" t="n">
        <x:v>5</x:v>
      </x:c>
      <x:c r="I572" s="13" t="n">
        <x:v>244</x:v>
      </x:c>
      <x:c r="J572" s="13" t="n">
        <x:v>-128</x:v>
      </x:c>
      <x:c r="K572" s="14" t="n">
        <x:f>IFERROR(F572/SUMIFS($F:$F,$B:$B,B572),0)</x:f>
        <x:v>0.07703458272934355</x:v>
      </x:c>
      <x:c r="L572" s="12" t="str">
        <x:v>14–17</x:v>
      </x:c>
    </x:row>
    <x:row r="573">
      <x:c r="A573" s="12" t="str">
        <x:v>9/1–9/17平日</x:v>
      </x:c>
      <x:c r="B573" s="12" t="str">
        <x:v>2026-09-03</x:v>
      </x:c>
      <x:c r="C573" s="12" t="str">
        <x:v>18:00</x:v>
      </x:c>
      <x:c r="D573" s="13" t="n">
        <x:v>260</x:v>
      </x:c>
      <x:c r="E573" s="13" t="n">
        <x:v>8</x:v>
      </x:c>
      <x:c r="F573" s="13" t="n">
        <x:v>268</x:v>
      </x:c>
      <x:c r="G573" s="13" t="n">
        <x:v>132</x:v>
      </x:c>
      <x:c r="H573" s="13" t="n">
        <x:v>2</x:v>
      </x:c>
      <x:c r="I573" s="13" t="n">
        <x:v>134</x:v>
      </x:c>
      <x:c r="J573" s="13" t="n">
        <x:v>-134</x:v>
      </x:c>
      <x:c r="K573" s="14" t="n">
        <x:f>IFERROR(F573/SUMIFS($F:$F,$B:$B,B573),0)</x:f>
        <x:v>0.05549803271898944</x:v>
      </x:c>
      <x:c r="L573" s="12" t="str">
        <x:v>18–21</x:v>
      </x:c>
    </x:row>
    <x:row r="574">
      <x:c r="A574" s="12" t="str">
        <x:v>9/1–9/17平日</x:v>
      </x:c>
      <x:c r="B574" s="12" t="str">
        <x:v>2026-09-03</x:v>
      </x:c>
      <x:c r="C574" s="12" t="str">
        <x:v>19:00</x:v>
      </x:c>
      <x:c r="D574" s="13" t="n">
        <x:v>158</x:v>
      </x:c>
      <x:c r="E574" s="13" t="n">
        <x:v>2</x:v>
      </x:c>
      <x:c r="F574" s="13" t="n">
        <x:v>160</x:v>
      </x:c>
      <x:c r="G574" s="13" t="n">
        <x:v>110</x:v>
      </x:c>
      <x:c r="H574" s="13" t="n">
        <x:v>0</x:v>
      </x:c>
      <x:c r="I574" s="13" t="n">
        <x:v>110</x:v>
      </x:c>
      <x:c r="J574" s="13" t="n">
        <x:v>-50</x:v>
      </x:c>
      <x:c r="K574" s="14" t="n">
        <x:f>IFERROR(F574/SUMIFS($F:$F,$B:$B,B574),0)</x:f>
        <x:v>0.033133153862083244</x:v>
      </x:c>
      <x:c r="L574" s="12" t="str">
        <x:v>18–21</x:v>
      </x:c>
    </x:row>
    <x:row r="575">
      <x:c r="A575" s="12" t="str">
        <x:v>9/1–9/17平日</x:v>
      </x:c>
      <x:c r="B575" s="12" t="str">
        <x:v>2026-09-03</x:v>
      </x:c>
      <x:c r="C575" s="12" t="str">
        <x:v>20:00</x:v>
      </x:c>
      <x:c r="D575" s="13" t="n">
        <x:v>106</x:v>
      </x:c>
      <x:c r="E575" s="13" t="n">
        <x:v>0</x:v>
      </x:c>
      <x:c r="F575" s="13" t="n">
        <x:v>106</x:v>
      </x:c>
      <x:c r="G575" s="13" t="n">
        <x:v>106</x:v>
      </x:c>
      <x:c r="H575" s="13" t="n">
        <x:v>0</x:v>
      </x:c>
      <x:c r="I575" s="13" t="n">
        <x:v>106</x:v>
      </x:c>
      <x:c r="J575" s="13" t="n">
        <x:v>0</x:v>
      </x:c>
      <x:c r="K575" s="14" t="n">
        <x:f>IFERROR(F575/SUMIFS($F:$F,$B:$B,B575),0)</x:f>
        <x:v>0.021950714433630152</x:v>
      </x:c>
      <x:c r="L575" s="12" t="str">
        <x:v>18–21</x:v>
      </x:c>
    </x:row>
    <x:row r="576">
      <x:c r="A576" s="12" t="str">
        <x:v>9/1–9/17平日</x:v>
      </x:c>
      <x:c r="B576" s="12" t="str">
        <x:v>2026-09-03</x:v>
      </x:c>
      <x:c r="C576" s="12" t="str">
        <x:v>21:00</x:v>
      </x:c>
      <x:c r="D576" s="13" t="n">
        <x:v>112</x:v>
      </x:c>
      <x:c r="E576" s="13" t="n">
        <x:v>2</x:v>
      </x:c>
      <x:c r="F576" s="13" t="n">
        <x:v>114</x:v>
      </x:c>
      <x:c r="G576" s="13" t="n">
        <x:v>83</x:v>
      </x:c>
      <x:c r="H576" s="13" t="n">
        <x:v>4</x:v>
      </x:c>
      <x:c r="I576" s="13" t="n">
        <x:v>87</x:v>
      </x:c>
      <x:c r="J576" s="13" t="n">
        <x:v>-27</x:v>
      </x:c>
      <x:c r="K576" s="14" t="n">
        <x:f>IFERROR(F576/SUMIFS($F:$F,$B:$B,B576),0)</x:f>
        <x:v>0.023607372126734312</x:v>
      </x:c>
      <x:c r="L576" s="12" t="str">
        <x:v>18–21</x:v>
      </x:c>
    </x:row>
    <x:row r="577">
      <x:c r="A577" s="12" t="str">
        <x:v>9/1–9/17平日</x:v>
      </x:c>
      <x:c r="B577" s="12" t="str">
        <x:v>2026-09-03</x:v>
      </x:c>
      <x:c r="C577" s="12" t="str">
        <x:v>22:00</x:v>
      </x:c>
      <x:c r="D577" s="13" t="n">
        <x:v>84</x:v>
      </x:c>
      <x:c r="E577" s="13" t="n">
        <x:v>2</x:v>
      </x:c>
      <x:c r="F577" s="13" t="n">
        <x:v>86</x:v>
      </x:c>
      <x:c r="G577" s="13" t="n">
        <x:v>65</x:v>
      </x:c>
      <x:c r="H577" s="13" t="n">
        <x:v>3</x:v>
      </x:c>
      <x:c r="I577" s="13" t="n">
        <x:v>68</x:v>
      </x:c>
      <x:c r="J577" s="13" t="n">
        <x:v>-18</x:v>
      </x:c>
      <x:c r="K577" s="14" t="n">
        <x:f>IFERROR(F577/SUMIFS($F:$F,$B:$B,B577),0)</x:f>
        <x:v>0.017809070200869744</x:v>
      </x:c>
      <x:c r="L577" s="12" t="str">
        <x:v>22–23</x:v>
      </x:c>
    </x:row>
    <x:row r="578">
      <x:c r="A578" s="12" t="str">
        <x:v>9/1–9/17平日</x:v>
      </x:c>
      <x:c r="B578" s="12" t="str">
        <x:v>2026-09-03</x:v>
      </x:c>
      <x:c r="C578" s="12" t="str">
        <x:v>23:00</x:v>
      </x:c>
      <x:c r="D578" s="13" t="n">
        <x:v>61</x:v>
      </x:c>
      <x:c r="E578" s="13" t="n">
        <x:v>4</x:v>
      </x:c>
      <x:c r="F578" s="13" t="n">
        <x:v>65</x:v>
      </x:c>
      <x:c r="G578" s="13" t="n">
        <x:v>46</x:v>
      </x:c>
      <x:c r="H578" s="13" t="n">
        <x:v>3</x:v>
      </x:c>
      <x:c r="I578" s="13" t="n">
        <x:v>49</x:v>
      </x:c>
      <x:c r="J578" s="13" t="n">
        <x:v>-16</x:v>
      </x:c>
      <x:c r="K578" s="14" t="n">
        <x:f>IFERROR(F578/SUMIFS($F:$F,$B:$B,B578),0)</x:f>
        <x:v>0.01346034375647132</x:v>
      </x:c>
      <x:c r="L578" s="12" t="str">
        <x:v>22–23</x:v>
      </x:c>
    </x:row>
    <x:row r="579">
      <x:c r="A579" s="12" t="str">
        <x:v>9/1–9/17平日</x:v>
      </x:c>
      <x:c r="B579" s="12" t="str">
        <x:v>2026-09-04</x:v>
      </x:c>
      <x:c r="C579" s="12" t="str">
        <x:v>00:00</x:v>
      </x:c>
      <x:c r="D579" s="13" t="n">
        <x:v>48</x:v>
      </x:c>
      <x:c r="E579" s="13" t="n">
        <x:v>2</x:v>
      </x:c>
      <x:c r="F579" s="13" t="n">
        <x:v>50</x:v>
      </x:c>
      <x:c r="G579" s="13" t="n">
        <x:v>40</x:v>
      </x:c>
      <x:c r="H579" s="13" t="n">
        <x:v>1</x:v>
      </x:c>
      <x:c r="I579" s="13" t="n">
        <x:v>41</x:v>
      </x:c>
      <x:c r="J579" s="13" t="n">
        <x:v>-9</x:v>
      </x:c>
      <x:c r="K579" s="14" t="n">
        <x:f>IFERROR(F579/SUMIFS($F:$F,$B:$B,B579),0)</x:f>
        <x:v>0.011086474501108648</x:v>
      </x:c>
      <x:c r="L579" s="12" t="str">
        <x:v>00–05</x:v>
      </x:c>
    </x:row>
    <x:row r="580">
      <x:c r="A580" s="12" t="str">
        <x:v>9/1–9/17平日</x:v>
      </x:c>
      <x:c r="B580" s="12" t="str">
        <x:v>2026-09-04</x:v>
      </x:c>
      <x:c r="C580" s="12" t="str">
        <x:v>01:00</x:v>
      </x:c>
      <x:c r="D580" s="13" t="n">
        <x:v>32</x:v>
      </x:c>
      <x:c r="E580" s="13" t="n">
        <x:v>0</x:v>
      </x:c>
      <x:c r="F580" s="13" t="n">
        <x:v>32</x:v>
      </x:c>
      <x:c r="G580" s="13" t="n">
        <x:v>25</x:v>
      </x:c>
      <x:c r="H580" s="13" t="n">
        <x:v>2</x:v>
      </x:c>
      <x:c r="I580" s="13" t="n">
        <x:v>27</x:v>
      </x:c>
      <x:c r="J580" s="13" t="n">
        <x:v>-5</x:v>
      </x:c>
      <x:c r="K580" s="14" t="n">
        <x:f>IFERROR(F580/SUMIFS($F:$F,$B:$B,B580),0)</x:f>
        <x:v>0.007095343680709534</x:v>
      </x:c>
      <x:c r="L580" s="12" t="str">
        <x:v>00–05</x:v>
      </x:c>
    </x:row>
    <x:row r="581">
      <x:c r="A581" s="12" t="str">
        <x:v>9/1–9/17平日</x:v>
      </x:c>
      <x:c r="B581" s="12" t="str">
        <x:v>2026-09-04</x:v>
      </x:c>
      <x:c r="C581" s="12" t="str">
        <x:v>02:00</x:v>
      </x:c>
      <x:c r="D581" s="13" t="n">
        <x:v>22</x:v>
      </x:c>
      <x:c r="E581" s="13" t="n">
        <x:v>1</x:v>
      </x:c>
      <x:c r="F581" s="13" t="n">
        <x:v>23</x:v>
      </x:c>
      <x:c r="G581" s="13" t="n">
        <x:v>11</x:v>
      </x:c>
      <x:c r="H581" s="13" t="n">
        <x:v>0</x:v>
      </x:c>
      <x:c r="I581" s="13" t="n">
        <x:v>11</x:v>
      </x:c>
      <x:c r="J581" s="13" t="n">
        <x:v>-12</x:v>
      </x:c>
      <x:c r="K581" s="14" t="n">
        <x:f>IFERROR(F581/SUMIFS($F:$F,$B:$B,B581),0)</x:f>
        <x:v>0.005099778270509978</x:v>
      </x:c>
      <x:c r="L581" s="12" t="str">
        <x:v>00–05</x:v>
      </x:c>
    </x:row>
    <x:row r="582">
      <x:c r="A582" s="12" t="str">
        <x:v>9/1–9/17平日</x:v>
      </x:c>
      <x:c r="B582" s="12" t="str">
        <x:v>2026-09-04</x:v>
      </x:c>
      <x:c r="C582" s="12" t="str">
        <x:v>03:00</x:v>
      </x:c>
      <x:c r="D582" s="13" t="n">
        <x:v>7</x:v>
      </x:c>
      <x:c r="E582" s="13" t="n">
        <x:v>1</x:v>
      </x:c>
      <x:c r="F582" s="13" t="n">
        <x:v>8</x:v>
      </x:c>
      <x:c r="G582" s="13" t="n">
        <x:v>11</x:v>
      </x:c>
      <x:c r="H582" s="13" t="n">
        <x:v>0</x:v>
      </x:c>
      <x:c r="I582" s="13" t="n">
        <x:v>11</x:v>
      </x:c>
      <x:c r="J582" s="13" t="n">
        <x:v>3</x:v>
      </x:c>
      <x:c r="K582" s="14" t="n">
        <x:f>IFERROR(F582/SUMIFS($F:$F,$B:$B,B582),0)</x:f>
        <x:v>0.0017738359201773836</x:v>
      </x:c>
      <x:c r="L582" s="12" t="str">
        <x:v>00–05</x:v>
      </x:c>
    </x:row>
    <x:row r="583">
      <x:c r="A583" s="12" t="str">
        <x:v>9/1–9/17平日</x:v>
      </x:c>
      <x:c r="B583" s="12" t="str">
        <x:v>2026-09-04</x:v>
      </x:c>
      <x:c r="C583" s="12" t="str">
        <x:v>04:00</x:v>
      </x:c>
      <x:c r="D583" s="13" t="n">
        <x:v>16</x:v>
      </x:c>
      <x:c r="E583" s="13" t="n">
        <x:v>1</x:v>
      </x:c>
      <x:c r="F583" s="13" t="n">
        <x:v>17</x:v>
      </x:c>
      <x:c r="G583" s="13" t="n">
        <x:v>15</x:v>
      </x:c>
      <x:c r="H583" s="13" t="n">
        <x:v>1</x:v>
      </x:c>
      <x:c r="I583" s="13" t="n">
        <x:v>16</x:v>
      </x:c>
      <x:c r="J583" s="13" t="n">
        <x:v>-1</x:v>
      </x:c>
      <x:c r="K583" s="14" t="n">
        <x:f>IFERROR(F583/SUMIFS($F:$F,$B:$B,B583),0)</x:f>
        <x:v>0.00376940133037694</x:v>
      </x:c>
      <x:c r="L583" s="12" t="str">
        <x:v>00–05</x:v>
      </x:c>
    </x:row>
    <x:row r="584">
      <x:c r="A584" s="12" t="str">
        <x:v>9/1–9/17平日</x:v>
      </x:c>
      <x:c r="B584" s="12" t="str">
        <x:v>2026-09-04</x:v>
      </x:c>
      <x:c r="C584" s="12" t="str">
        <x:v>05:00</x:v>
      </x:c>
      <x:c r="D584" s="13" t="n">
        <x:v>32</x:v>
      </x:c>
      <x:c r="E584" s="13" t="n">
        <x:v>0</x:v>
      </x:c>
      <x:c r="F584" s="13" t="n">
        <x:v>32</x:v>
      </x:c>
      <x:c r="G584" s="13" t="n">
        <x:v>40</x:v>
      </x:c>
      <x:c r="H584" s="13" t="n">
        <x:v>2</x:v>
      </x:c>
      <x:c r="I584" s="13" t="n">
        <x:v>42</x:v>
      </x:c>
      <x:c r="J584" s="13" t="n">
        <x:v>10</x:v>
      </x:c>
      <x:c r="K584" s="14" t="n">
        <x:f>IFERROR(F584/SUMIFS($F:$F,$B:$B,B584),0)</x:f>
        <x:v>0.007095343680709534</x:v>
      </x:c>
      <x:c r="L584" s="12" t="str">
        <x:v>00–05</x:v>
      </x:c>
    </x:row>
    <x:row r="585">
      <x:c r="A585" s="12" t="str">
        <x:v>9/1–9/17平日</x:v>
      </x:c>
      <x:c r="B585" s="12" t="str">
        <x:v>2026-09-04</x:v>
      </x:c>
      <x:c r="C585" s="12" t="str">
        <x:v>06:00</x:v>
      </x:c>
      <x:c r="D585" s="13" t="n">
        <x:v>94</x:v>
      </x:c>
      <x:c r="E585" s="13" t="n">
        <x:v>4</x:v>
      </x:c>
      <x:c r="F585" s="13" t="n">
        <x:v>98</x:v>
      </x:c>
      <x:c r="G585" s="13" t="n">
        <x:v>110</x:v>
      </x:c>
      <x:c r="H585" s="13" t="n">
        <x:v>13</x:v>
      </x:c>
      <x:c r="I585" s="13" t="n">
        <x:v>123</x:v>
      </x:c>
      <x:c r="J585" s="13" t="n">
        <x:v>25</x:v>
      </x:c>
      <x:c r="K585" s="14" t="n">
        <x:f>IFERROR(F585/SUMIFS($F:$F,$B:$B,B585),0)</x:f>
        <x:v>0.021729490022172948</x:v>
      </x:c>
      <x:c r="L585" s="12" t="str">
        <x:v>06–09</x:v>
      </x:c>
    </x:row>
    <x:row r="586">
      <x:c r="A586" s="12" t="str">
        <x:v>9/1–9/17平日</x:v>
      </x:c>
      <x:c r="B586" s="12" t="str">
        <x:v>2026-09-04</x:v>
      </x:c>
      <x:c r="C586" s="12" t="str">
        <x:v>07:00</x:v>
      </x:c>
      <x:c r="D586" s="13" t="n">
        <x:v>226</x:v>
      </x:c>
      <x:c r="E586" s="13" t="n">
        <x:v>9</x:v>
      </x:c>
      <x:c r="F586" s="13" t="n">
        <x:v>235</x:v>
      </x:c>
      <x:c r="G586" s="13" t="n">
        <x:v>330</x:v>
      </x:c>
      <x:c r="H586" s="13" t="n">
        <x:v>13</x:v>
      </x:c>
      <x:c r="I586" s="13" t="n">
        <x:v>343</x:v>
      </x:c>
      <x:c r="J586" s="13" t="n">
        <x:v>108</x:v>
      </x:c>
      <x:c r="K586" s="14" t="n">
        <x:f>IFERROR(F586/SUMIFS($F:$F,$B:$B,B586),0)</x:f>
        <x:v>0.052106430155210645</x:v>
      </x:c>
      <x:c r="L586" s="12" t="str">
        <x:v>06–09</x:v>
      </x:c>
    </x:row>
    <x:row r="587">
      <x:c r="A587" s="12" t="str">
        <x:v>9/1–9/17平日</x:v>
      </x:c>
      <x:c r="B587" s="12" t="str">
        <x:v>2026-09-04</x:v>
      </x:c>
      <x:c r="C587" s="12" t="str">
        <x:v>08:00</x:v>
      </x:c>
      <x:c r="D587" s="13" t="n">
        <x:v>143</x:v>
      </x:c>
      <x:c r="E587" s="13" t="n">
        <x:v>4</x:v>
      </x:c>
      <x:c r="F587" s="13" t="n">
        <x:v>147</x:v>
      </x:c>
      <x:c r="G587" s="13" t="n">
        <x:v>252</x:v>
      </x:c>
      <x:c r="H587" s="13" t="n">
        <x:v>14</x:v>
      </x:c>
      <x:c r="I587" s="13" t="n">
        <x:v>266</x:v>
      </x:c>
      <x:c r="J587" s="13" t="n">
        <x:v>119</x:v>
      </x:c>
      <x:c r="K587" s="14" t="n">
        <x:f>IFERROR(F587/SUMIFS($F:$F,$B:$B,B587),0)</x:f>
        <x:v>0.03259423503325942</x:v>
      </x:c>
      <x:c r="L587" s="12" t="str">
        <x:v>06–09</x:v>
      </x:c>
    </x:row>
    <x:row r="588">
      <x:c r="A588" s="12" t="str">
        <x:v>9/1–9/17平日</x:v>
      </x:c>
      <x:c r="B588" s="12" t="str">
        <x:v>2026-09-04</x:v>
      </x:c>
      <x:c r="C588" s="12" t="str">
        <x:v>09:00</x:v>
      </x:c>
      <x:c r="D588" s="13" t="n">
        <x:v>133</x:v>
      </x:c>
      <x:c r="E588" s="13" t="n">
        <x:v>4</x:v>
      </x:c>
      <x:c r="F588" s="13" t="n">
        <x:v>137</x:v>
      </x:c>
      <x:c r="G588" s="13" t="n">
        <x:v>197</x:v>
      </x:c>
      <x:c r="H588" s="13" t="n">
        <x:v>10</x:v>
      </x:c>
      <x:c r="I588" s="13" t="n">
        <x:v>207</x:v>
      </x:c>
      <x:c r="J588" s="13" t="n">
        <x:v>70</x:v>
      </x:c>
      <x:c r="K588" s="14" t="n">
        <x:f>IFERROR(F588/SUMIFS($F:$F,$B:$B,B588),0)</x:f>
        <x:v>0.030376940133037694</x:v>
      </x:c>
      <x:c r="L588" s="12" t="str">
        <x:v>06–09</x:v>
      </x:c>
    </x:row>
    <x:row r="589">
      <x:c r="A589" s="12" t="str">
        <x:v>9/1–9/17平日</x:v>
      </x:c>
      <x:c r="B589" s="12" t="str">
        <x:v>2026-09-04</x:v>
      </x:c>
      <x:c r="C589" s="12" t="str">
        <x:v>10:00</x:v>
      </x:c>
      <x:c r="D589" s="13" t="n">
        <x:v>180</x:v>
      </x:c>
      <x:c r="E589" s="13" t="n">
        <x:v>1</x:v>
      </x:c>
      <x:c r="F589" s="13" t="n">
        <x:v>181</x:v>
      </x:c>
      <x:c r="G589" s="13" t="n">
        <x:v>221</x:v>
      </x:c>
      <x:c r="H589" s="13" t="n">
        <x:v>12</x:v>
      </x:c>
      <x:c r="I589" s="13" t="n">
        <x:v>233</x:v>
      </x:c>
      <x:c r="J589" s="13" t="n">
        <x:v>52</x:v>
      </x:c>
      <x:c r="K589" s="14" t="n">
        <x:f>IFERROR(F589/SUMIFS($F:$F,$B:$B,B589),0)</x:f>
        <x:v>0.0401330376940133</x:v>
      </x:c>
      <x:c r="L589" s="12" t="str">
        <x:v>10–13</x:v>
      </x:c>
    </x:row>
    <x:row r="590">
      <x:c r="A590" s="12" t="str">
        <x:v>9/1–9/17平日</x:v>
      </x:c>
      <x:c r="B590" s="12" t="str">
        <x:v>2026-09-04</x:v>
      </x:c>
      <x:c r="C590" s="12" t="str">
        <x:v>11:00</x:v>
      </x:c>
      <x:c r="D590" s="13" t="n">
        <x:v>171</x:v>
      </x:c>
      <x:c r="E590" s="13" t="n">
        <x:v>8</x:v>
      </x:c>
      <x:c r="F590" s="13" t="n">
        <x:v>179</x:v>
      </x:c>
      <x:c r="G590" s="13" t="n">
        <x:v>208</x:v>
      </x:c>
      <x:c r="H590" s="13" t="n">
        <x:v>8</x:v>
      </x:c>
      <x:c r="I590" s="13" t="n">
        <x:v>216</x:v>
      </x:c>
      <x:c r="J590" s="13" t="n">
        <x:v>37</x:v>
      </x:c>
      <x:c r="K590" s="14" t="n">
        <x:f>IFERROR(F590/SUMIFS($F:$F,$B:$B,B590),0)</x:f>
        <x:v>0.03968957871396896</x:v>
      </x:c>
      <x:c r="L590" s="12" t="str">
        <x:v>10–13</x:v>
      </x:c>
    </x:row>
    <x:row r="591">
      <x:c r="A591" s="12" t="str">
        <x:v>9/1–9/17平日</x:v>
      </x:c>
      <x:c r="B591" s="12" t="str">
        <x:v>2026-09-04</x:v>
      </x:c>
      <x:c r="C591" s="12" t="str">
        <x:v>12:00</x:v>
      </x:c>
      <x:c r="D591" s="13" t="n">
        <x:v>236</x:v>
      </x:c>
      <x:c r="E591" s="13" t="n">
        <x:v>8</x:v>
      </x:c>
      <x:c r="F591" s="13" t="n">
        <x:v>244</x:v>
      </x:c>
      <x:c r="G591" s="13" t="n">
        <x:v>220</x:v>
      </x:c>
      <x:c r="H591" s="13" t="n">
        <x:v>8</x:v>
      </x:c>
      <x:c r="I591" s="13" t="n">
        <x:v>228</x:v>
      </x:c>
      <x:c r="J591" s="13" t="n">
        <x:v>-16</x:v>
      </x:c>
      <x:c r="K591" s="14" t="n">
        <x:f>IFERROR(F591/SUMIFS($F:$F,$B:$B,B591),0)</x:f>
        <x:v>0.0541019955654102</x:v>
      </x:c>
      <x:c r="L591" s="12" t="str">
        <x:v>10–13</x:v>
      </x:c>
    </x:row>
    <x:row r="592">
      <x:c r="A592" s="12" t="str">
        <x:v>9/1–9/17平日</x:v>
      </x:c>
      <x:c r="B592" s="12" t="str">
        <x:v>2026-09-04</x:v>
      </x:c>
      <x:c r="C592" s="12" t="str">
        <x:v>13:00</x:v>
      </x:c>
      <x:c r="D592" s="13" t="n">
        <x:v>179</x:v>
      </x:c>
      <x:c r="E592" s="13" t="n">
        <x:v>5</x:v>
      </x:c>
      <x:c r="F592" s="13" t="n">
        <x:v>184</x:v>
      </x:c>
      <x:c r="G592" s="13" t="n">
        <x:v>213</x:v>
      </x:c>
      <x:c r="H592" s="13" t="n">
        <x:v>5</x:v>
      </x:c>
      <x:c r="I592" s="13" t="n">
        <x:v>218</x:v>
      </x:c>
      <x:c r="J592" s="13" t="n">
        <x:v>34</x:v>
      </x:c>
      <x:c r="K592" s="14" t="n">
        <x:f>IFERROR(F592/SUMIFS($F:$F,$B:$B,B592),0)</x:f>
        <x:v>0.040798226164079826</x:v>
      </x:c>
      <x:c r="L592" s="12" t="str">
        <x:v>10–13</x:v>
      </x:c>
    </x:row>
    <x:row r="593">
      <x:c r="A593" s="12" t="str">
        <x:v>9/1–9/17平日</x:v>
      </x:c>
      <x:c r="B593" s="12" t="str">
        <x:v>2026-09-04</x:v>
      </x:c>
      <x:c r="C593" s="12" t="str">
        <x:v>14:00</x:v>
      </x:c>
      <x:c r="D593" s="13" t="n">
        <x:v>202</x:v>
      </x:c>
      <x:c r="E593" s="13" t="n">
        <x:v>4</x:v>
      </x:c>
      <x:c r="F593" s="13" t="n">
        <x:v>206</x:v>
      </x:c>
      <x:c r="G593" s="13" t="n">
        <x:v>183</x:v>
      </x:c>
      <x:c r="H593" s="13" t="n">
        <x:v>4</x:v>
      </x:c>
      <x:c r="I593" s="13" t="n">
        <x:v>187</x:v>
      </x:c>
      <x:c r="J593" s="13" t="n">
        <x:v>-19</x:v>
      </x:c>
      <x:c r="K593" s="14" t="n">
        <x:f>IFERROR(F593/SUMIFS($F:$F,$B:$B,B593),0)</x:f>
        <x:v>0.04567627494456763</x:v>
      </x:c>
      <x:c r="L593" s="12" t="str">
        <x:v>14–17</x:v>
      </x:c>
    </x:row>
    <x:row r="594">
      <x:c r="A594" s="12" t="str">
        <x:v>9/1–9/17平日</x:v>
      </x:c>
      <x:c r="B594" s="12" t="str">
        <x:v>2026-09-04</x:v>
      </x:c>
      <x:c r="C594" s="12" t="str">
        <x:v>15:00</x:v>
      </x:c>
      <x:c r="D594" s="13" t="n">
        <x:v>314</x:v>
      </x:c>
      <x:c r="E594" s="13" t="n">
        <x:v>8</x:v>
      </x:c>
      <x:c r="F594" s="13" t="n">
        <x:v>322</x:v>
      </x:c>
      <x:c r="G594" s="13" t="n">
        <x:v>234</x:v>
      </x:c>
      <x:c r="H594" s="13" t="n">
        <x:v>5</x:v>
      </x:c>
      <x:c r="I594" s="13" t="n">
        <x:v>239</x:v>
      </x:c>
      <x:c r="J594" s="13" t="n">
        <x:v>-83</x:v>
      </x:c>
      <x:c r="K594" s="14" t="n">
        <x:f>IFERROR(F594/SUMIFS($F:$F,$B:$B,B594),0)</x:f>
        <x:v>0.07139689578713969</x:v>
      </x:c>
      <x:c r="L594" s="12" t="str">
        <x:v>14–17</x:v>
      </x:c>
    </x:row>
    <x:row r="595">
      <x:c r="A595" s="12" t="str">
        <x:v>9/1–9/17平日</x:v>
      </x:c>
      <x:c r="B595" s="12" t="str">
        <x:v>2026-09-04</x:v>
      </x:c>
      <x:c r="C595" s="12" t="str">
        <x:v>16:00</x:v>
      </x:c>
      <x:c r="D595" s="13" t="n">
        <x:v>420</x:v>
      </x:c>
      <x:c r="E595" s="13" t="n">
        <x:v>11</x:v>
      </x:c>
      <x:c r="F595" s="13" t="n">
        <x:v>431</x:v>
      </x:c>
      <x:c r="G595" s="13" t="n">
        <x:v>322</x:v>
      </x:c>
      <x:c r="H595" s="13" t="n">
        <x:v>12</x:v>
      </x:c>
      <x:c r="I595" s="13" t="n">
        <x:v>334</x:v>
      </x:c>
      <x:c r="J595" s="13" t="n">
        <x:v>-97</x:v>
      </x:c>
      <x:c r="K595" s="14" t="n">
        <x:f>IFERROR(F595/SUMIFS($F:$F,$B:$B,B595),0)</x:f>
        <x:v>0.09556541019955654</x:v>
      </x:c>
      <x:c r="L595" s="12" t="str">
        <x:v>14–17</x:v>
      </x:c>
    </x:row>
    <x:row r="596">
      <x:c r="A596" s="12" t="str">
        <x:v>9/1–9/17平日</x:v>
      </x:c>
      <x:c r="B596" s="12" t="str">
        <x:v>2026-09-04</x:v>
      </x:c>
      <x:c r="C596" s="12" t="str">
        <x:v>17:00</x:v>
      </x:c>
      <x:c r="D596" s="13" t="n">
        <x:v>403</x:v>
      </x:c>
      <x:c r="E596" s="13" t="n">
        <x:v>26</x:v>
      </x:c>
      <x:c r="F596" s="13" t="n">
        <x:v>429</x:v>
      </x:c>
      <x:c r="G596" s="13" t="n">
        <x:v>266</x:v>
      </x:c>
      <x:c r="H596" s="13" t="n">
        <x:v>9</x:v>
      </x:c>
      <x:c r="I596" s="13" t="n">
        <x:v>275</x:v>
      </x:c>
      <x:c r="J596" s="13" t="n">
        <x:v>-154</x:v>
      </x:c>
      <x:c r="K596" s="14" t="n">
        <x:f>IFERROR(F596/SUMIFS($F:$F,$B:$B,B596),0)</x:f>
        <x:v>0.0951219512195122</x:v>
      </x:c>
      <x:c r="L596" s="12" t="str">
        <x:v>14–17</x:v>
      </x:c>
    </x:row>
    <x:row r="597">
      <x:c r="A597" s="12" t="str">
        <x:v>9/1–9/17平日</x:v>
      </x:c>
      <x:c r="B597" s="12" t="str">
        <x:v>2026-09-04</x:v>
      </x:c>
      <x:c r="C597" s="12" t="str">
        <x:v>18:00</x:v>
      </x:c>
      <x:c r="D597" s="13" t="n">
        <x:v>249</x:v>
      </x:c>
      <x:c r="E597" s="13" t="n">
        <x:v>13</x:v>
      </x:c>
      <x:c r="F597" s="13" t="n">
        <x:v>262</x:v>
      </x:c>
      <x:c r="G597" s="13" t="n">
        <x:v>166</x:v>
      </x:c>
      <x:c r="H597" s="13" t="n">
        <x:v>6</x:v>
      </x:c>
      <x:c r="I597" s="13" t="n">
        <x:v>172</x:v>
      </x:c>
      <x:c r="J597" s="13" t="n">
        <x:v>-90</x:v>
      </x:c>
      <x:c r="K597" s="14" t="n">
        <x:f>IFERROR(F597/SUMIFS($F:$F,$B:$B,B597),0)</x:f>
        <x:v>0.05809312638580931</x:v>
      </x:c>
      <x:c r="L597" s="12" t="str">
        <x:v>18–21</x:v>
      </x:c>
    </x:row>
    <x:row r="598">
      <x:c r="A598" s="12" t="str">
        <x:v>9/1–9/17平日</x:v>
      </x:c>
      <x:c r="B598" s="12" t="str">
        <x:v>2026-09-04</x:v>
      </x:c>
      <x:c r="C598" s="12" t="str">
        <x:v>19:00</x:v>
      </x:c>
      <x:c r="D598" s="13" t="n">
        <x:v>268</x:v>
      </x:c>
      <x:c r="E598" s="13" t="n">
        <x:v>5</x:v>
      </x:c>
      <x:c r="F598" s="13" t="n">
        <x:v>273</x:v>
      </x:c>
      <x:c r="G598" s="13" t="n">
        <x:v>178</x:v>
      </x:c>
      <x:c r="H598" s="13" t="n">
        <x:v>11</x:v>
      </x:c>
      <x:c r="I598" s="13" t="n">
        <x:v>189</x:v>
      </x:c>
      <x:c r="J598" s="13" t="n">
        <x:v>-84</x:v>
      </x:c>
      <x:c r="K598" s="14" t="n">
        <x:f>IFERROR(F598/SUMIFS($F:$F,$B:$B,B598),0)</x:f>
        <x:v>0.060532150776053215</x:v>
      </x:c>
      <x:c r="L598" s="12" t="str">
        <x:v>18–21</x:v>
      </x:c>
    </x:row>
    <x:row r="599">
      <x:c r="A599" s="12" t="str">
        <x:v>9/1–9/17平日</x:v>
      </x:c>
      <x:c r="B599" s="12" t="str">
        <x:v>2026-09-04</x:v>
      </x:c>
      <x:c r="C599" s="12" t="str">
        <x:v>20:00</x:v>
      </x:c>
      <x:c r="D599" s="13" t="n">
        <x:v>277</x:v>
      </x:c>
      <x:c r="E599" s="13" t="n">
        <x:v>7</x:v>
      </x:c>
      <x:c r="F599" s="13" t="n">
        <x:v>284</x:v>
      </x:c>
      <x:c r="G599" s="13" t="n">
        <x:v>218</x:v>
      </x:c>
      <x:c r="H599" s="13" t="n">
        <x:v>4</x:v>
      </x:c>
      <x:c r="I599" s="13" t="n">
        <x:v>222</x:v>
      </x:c>
      <x:c r="J599" s="13" t="n">
        <x:v>-62</x:v>
      </x:c>
      <x:c r="K599" s="14" t="n">
        <x:f>IFERROR(F599/SUMIFS($F:$F,$B:$B,B599),0)</x:f>
        <x:v>0.06297117516629712</x:v>
      </x:c>
      <x:c r="L599" s="12" t="str">
        <x:v>18–21</x:v>
      </x:c>
    </x:row>
    <x:row r="600">
      <x:c r="A600" s="12" t="str">
        <x:v>9/1–9/17平日</x:v>
      </x:c>
      <x:c r="B600" s="12" t="str">
        <x:v>2026-09-04</x:v>
      </x:c>
      <x:c r="C600" s="12" t="str">
        <x:v>21:00</x:v>
      </x:c>
      <x:c r="D600" s="13" t="n">
        <x:v>321</x:v>
      </x:c>
      <x:c r="E600" s="13" t="n">
        <x:v>6</x:v>
      </x:c>
      <x:c r="F600" s="13" t="n">
        <x:v>327</x:v>
      </x:c>
      <x:c r="G600" s="13" t="n">
        <x:v>240</x:v>
      </x:c>
      <x:c r="H600" s="13" t="n">
        <x:v>5</x:v>
      </x:c>
      <x:c r="I600" s="13" t="n">
        <x:v>245</x:v>
      </x:c>
      <x:c r="J600" s="13" t="n">
        <x:v>-82</x:v>
      </x:c>
      <x:c r="K600" s="14" t="n">
        <x:f>IFERROR(F600/SUMIFS($F:$F,$B:$B,B600),0)</x:f>
        <x:v>0.07250554323725056</x:v>
      </x:c>
      <x:c r="L600" s="12" t="str">
        <x:v>18–21</x:v>
      </x:c>
    </x:row>
    <x:row r="601">
      <x:c r="A601" s="12" t="str">
        <x:v>9/1–9/17平日</x:v>
      </x:c>
      <x:c r="B601" s="12" t="str">
        <x:v>2026-09-04</x:v>
      </x:c>
      <x:c r="C601" s="12" t="str">
        <x:v>22:00</x:v>
      </x:c>
      <x:c r="D601" s="13" t="n">
        <x:v>226</x:v>
      </x:c>
      <x:c r="E601" s="13" t="n">
        <x:v>12</x:v>
      </x:c>
      <x:c r="F601" s="13" t="n">
        <x:v>238</x:v>
      </x:c>
      <x:c r="G601" s="13" t="n">
        <x:v>182</x:v>
      </x:c>
      <x:c r="H601" s="13" t="n">
        <x:v>3</x:v>
      </x:c>
      <x:c r="I601" s="13" t="n">
        <x:v>185</x:v>
      </x:c>
      <x:c r="J601" s="13" t="n">
        <x:v>-53</x:v>
      </x:c>
      <x:c r="K601" s="14" t="n">
        <x:f>IFERROR(F601/SUMIFS($F:$F,$B:$B,B601),0)</x:f>
        <x:v>0.05277161862527716</x:v>
      </x:c>
      <x:c r="L601" s="12" t="str">
        <x:v>22–23</x:v>
      </x:c>
    </x:row>
    <x:row r="602">
      <x:c r="A602" s="12" t="str">
        <x:v>9/1–9/17平日</x:v>
      </x:c>
      <x:c r="B602" s="12" t="str">
        <x:v>2026-09-04</x:v>
      </x:c>
      <x:c r="C602" s="12" t="str">
        <x:v>23:00</x:v>
      </x:c>
      <x:c r="D602" s="13" t="n">
        <x:v>166</x:v>
      </x:c>
      <x:c r="E602" s="13" t="n">
        <x:v>5</x:v>
      </x:c>
      <x:c r="F602" s="13" t="n">
        <x:v>171</x:v>
      </x:c>
      <x:c r="G602" s="13" t="n">
        <x:v>151</x:v>
      </x:c>
      <x:c r="H602" s="13" t="n">
        <x:v>3</x:v>
      </x:c>
      <x:c r="I602" s="13" t="n">
        <x:v>154</x:v>
      </x:c>
      <x:c r="J602" s="13" t="n">
        <x:v>-17</x:v>
      </x:c>
      <x:c r="K602" s="14" t="n">
        <x:f>IFERROR(F602/SUMIFS($F:$F,$B:$B,B602),0)</x:f>
        <x:v>0.037915742793791576</x:v>
      </x:c>
      <x:c r="L602" s="12" t="str">
        <x:v>22–23</x:v>
      </x:c>
    </x:row>
    <x:row r="603">
      <x:c r="A603" s="12" t="str">
        <x:v>9/1–9/17平日</x:v>
      </x:c>
      <x:c r="B603" s="12" t="str">
        <x:v>2026-09-07</x:v>
      </x:c>
      <x:c r="C603" s="12" t="str">
        <x:v>00:00</x:v>
      </x:c>
      <x:c r="D603" s="13" t="n">
        <x:v>68</x:v>
      </x:c>
      <x:c r="E603" s="13" t="n">
        <x:v>1</x:v>
      </x:c>
      <x:c r="F603" s="13" t="n">
        <x:v>69</x:v>
      </x:c>
      <x:c r="G603" s="13" t="n">
        <x:v>61</x:v>
      </x:c>
      <x:c r="H603" s="13" t="n">
        <x:v>2</x:v>
      </x:c>
      <x:c r="I603" s="13" t="n">
        <x:v>63</x:v>
      </x:c>
      <x:c r="J603" s="13" t="n">
        <x:v>-6</x:v>
      </x:c>
      <x:c r="K603" s="14" t="n">
        <x:f>IFERROR(F603/SUMIFS($F:$F,$B:$B,B603),0)</x:f>
        <x:v>0.0014455711053381378</x:v>
      </x:c>
      <x:c r="L603" s="12" t="str">
        <x:v>00–05</x:v>
      </x:c>
    </x:row>
    <x:row r="604">
      <x:c r="A604" s="12" t="str">
        <x:v>9/1–9/17平日</x:v>
      </x:c>
      <x:c r="B604" s="12" t="str">
        <x:v>2026-09-07</x:v>
      </x:c>
      <x:c r="C604" s="12" t="str">
        <x:v>01:00</x:v>
      </x:c>
      <x:c r="D604" s="13" t="n">
        <x:v>23</x:v>
      </x:c>
      <x:c r="E604" s="13" t="n">
        <x:v>0</x:v>
      </x:c>
      <x:c r="F604" s="13" t="n">
        <x:v>23</x:v>
      </x:c>
      <x:c r="G604" s="13" t="n">
        <x:v>30</x:v>
      </x:c>
      <x:c r="H604" s="13" t="n">
        <x:v>1</x:v>
      </x:c>
      <x:c r="I604" s="13" t="n">
        <x:v>31</x:v>
      </x:c>
      <x:c r="J604" s="13" t="n">
        <x:v>8</x:v>
      </x:c>
      <x:c r="K604" s="14" t="n">
        <x:f>IFERROR(F604/SUMIFS($F:$F,$B:$B,B604),0)</x:f>
        <x:v>0.00048185703511271263</x:v>
      </x:c>
      <x:c r="L604" s="12" t="str">
        <x:v>00–05</x:v>
      </x:c>
    </x:row>
    <x:row r="605">
      <x:c r="A605" s="12" t="str">
        <x:v>9/1–9/17平日</x:v>
      </x:c>
      <x:c r="B605" s="12" t="str">
        <x:v>2026-09-07</x:v>
      </x:c>
      <x:c r="C605" s="12" t="str">
        <x:v>02:00</x:v>
      </x:c>
      <x:c r="D605" s="13" t="n">
        <x:v>12</x:v>
      </x:c>
      <x:c r="E605" s="13" t="n">
        <x:v>1</x:v>
      </x:c>
      <x:c r="F605" s="13" t="n">
        <x:v>13</x:v>
      </x:c>
      <x:c r="G605" s="13" t="n">
        <x:v>16</x:v>
      </x:c>
      <x:c r="H605" s="13" t="n">
        <x:v>0</x:v>
      </x:c>
      <x:c r="I605" s="13" t="n">
        <x:v>16</x:v>
      </x:c>
      <x:c r="J605" s="13" t="n">
        <x:v>3</x:v>
      </x:c>
      <x:c r="K605" s="14" t="n">
        <x:f>IFERROR(F605/SUMIFS($F:$F,$B:$B,B605),0)</x:f>
        <x:v>0.00027235397636805495</x:v>
      </x:c>
      <x:c r="L605" s="12" t="str">
        <x:v>00–05</x:v>
      </x:c>
    </x:row>
    <x:row r="606">
      <x:c r="A606" s="12" t="str">
        <x:v>9/1–9/17平日</x:v>
      </x:c>
      <x:c r="B606" s="12" t="str">
        <x:v>2026-09-07</x:v>
      </x:c>
      <x:c r="C606" s="12" t="str">
        <x:v>03:00</x:v>
      </x:c>
      <x:c r="D606" s="13" t="n">
        <x:v>16</x:v>
      </x:c>
      <x:c r="E606" s="13" t="n">
        <x:v>2</x:v>
      </x:c>
      <x:c r="F606" s="13" t="n">
        <x:v>18</x:v>
      </x:c>
      <x:c r="G606" s="13" t="n">
        <x:v>8</x:v>
      </x:c>
      <x:c r="H606" s="13" t="n">
        <x:v>1</x:v>
      </x:c>
      <x:c r="I606" s="13" t="n">
        <x:v>9</x:v>
      </x:c>
      <x:c r="J606" s="13" t="n">
        <x:v>-9</x:v>
      </x:c>
      <x:c r="K606" s="14" t="n">
        <x:f>IFERROR(F606/SUMIFS($F:$F,$B:$B,B606),0)</x:f>
        <x:v>0.0003771055057403838</x:v>
      </x:c>
      <x:c r="L606" s="12" t="str">
        <x:v>00–05</x:v>
      </x:c>
    </x:row>
    <x:row r="607">
      <x:c r="A607" s="12" t="str">
        <x:v>9/1–9/17平日</x:v>
      </x:c>
      <x:c r="B607" s="12" t="str">
        <x:v>2026-09-07</x:v>
      </x:c>
      <x:c r="C607" s="12" t="str">
        <x:v>04:00</x:v>
      </x:c>
      <x:c r="D607" s="13" t="n">
        <x:v>15</x:v>
      </x:c>
      <x:c r="E607" s="13" t="n">
        <x:v>0</x:v>
      </x:c>
      <x:c r="F607" s="13" t="n">
        <x:v>15</x:v>
      </x:c>
      <x:c r="G607" s="13" t="n">
        <x:v>8</x:v>
      </x:c>
      <x:c r="H607" s="13" t="n">
        <x:v>2</x:v>
      </x:c>
      <x:c r="I607" s="13" t="n">
        <x:v>10</x:v>
      </x:c>
      <x:c r="J607" s="13" t="n">
        <x:v>-5</x:v>
      </x:c>
      <x:c r="K607" s="14" t="n">
        <x:f>IFERROR(F607/SUMIFS($F:$F,$B:$B,B607),0)</x:f>
        <x:v>0.0003142545881169865</x:v>
      </x:c>
      <x:c r="L607" s="12" t="str">
        <x:v>00–05</x:v>
      </x:c>
    </x:row>
    <x:row r="608">
      <x:c r="A608" s="12" t="str">
        <x:v>9/1–9/17平日</x:v>
      </x:c>
      <x:c r="B608" s="12" t="str">
        <x:v>2026-09-07</x:v>
      </x:c>
      <x:c r="C608" s="12" t="str">
        <x:v>05:00</x:v>
      </x:c>
      <x:c r="D608" s="13" t="n">
        <x:v>29</x:v>
      </x:c>
      <x:c r="E608" s="13" t="n">
        <x:v>2</x:v>
      </x:c>
      <x:c r="F608" s="13" t="n">
        <x:v>31</x:v>
      </x:c>
      <x:c r="G608" s="13" t="n">
        <x:v>33</x:v>
      </x:c>
      <x:c r="H608" s="13" t="n">
        <x:v>4</x:v>
      </x:c>
      <x:c r="I608" s="13" t="n">
        <x:v>37</x:v>
      </x:c>
      <x:c r="J608" s="13" t="n">
        <x:v>6</x:v>
      </x:c>
      <x:c r="K608" s="14" t="n">
        <x:f>IFERROR(F608/SUMIFS($F:$F,$B:$B,B608),0)</x:f>
        <x:v>0.0006494594821084388</x:v>
      </x:c>
      <x:c r="L608" s="12" t="str">
        <x:v>00–05</x:v>
      </x:c>
    </x:row>
    <x:row r="609">
      <x:c r="A609" s="12" t="str">
        <x:v>9/1–9/17平日</x:v>
      </x:c>
      <x:c r="B609" s="12" t="str">
        <x:v>2026-09-07</x:v>
      </x:c>
      <x:c r="C609" s="12" t="str">
        <x:v>06:00</x:v>
      </x:c>
      <x:c r="D609" s="13" t="n">
        <x:v>123</x:v>
      </x:c>
      <x:c r="E609" s="13" t="n">
        <x:v>3</x:v>
      </x:c>
      <x:c r="F609" s="13" t="n">
        <x:v>126</x:v>
      </x:c>
      <x:c r="G609" s="13" t="n">
        <x:v>135</x:v>
      </x:c>
      <x:c r="H609" s="13" t="n">
        <x:v>9</x:v>
      </x:c>
      <x:c r="I609" s="13" t="n">
        <x:v>144</x:v>
      </x:c>
      <x:c r="J609" s="13" t="n">
        <x:v>18</x:v>
      </x:c>
      <x:c r="K609" s="14" t="n">
        <x:f>IFERROR(F609/SUMIFS($F:$F,$B:$B,B609),0)</x:f>
        <x:v>0.0026397385401826868</x:v>
      </x:c>
      <x:c r="L609" s="12" t="str">
        <x:v>06–09</x:v>
      </x:c>
    </x:row>
    <x:row r="610">
      <x:c r="A610" s="12" t="str">
        <x:v>9/1–9/17平日</x:v>
      </x:c>
      <x:c r="B610" s="12" t="str">
        <x:v>2026-09-07</x:v>
      </x:c>
      <x:c r="C610" s="12" t="str">
        <x:v>07:00</x:v>
      </x:c>
      <x:c r="D610" s="13" t="n">
        <x:v>427</x:v>
      </x:c>
      <x:c r="E610" s="13" t="n">
        <x:v>7</x:v>
      </x:c>
      <x:c r="F610" s="13" t="n">
        <x:v>434</x:v>
      </x:c>
      <x:c r="G610" s="13" t="n">
        <x:v>566</x:v>
      </x:c>
      <x:c r="H610" s="13" t="n">
        <x:v>16</x:v>
      </x:c>
      <x:c r="I610" s="13" t="n">
        <x:v>582</x:v>
      </x:c>
      <x:c r="J610" s="13" t="n">
        <x:v>148</x:v>
      </x:c>
      <x:c r="K610" s="14" t="n">
        <x:f>IFERROR(F610/SUMIFS($F:$F,$B:$B,B610),0)</x:f>
        <x:v>0.009092432749518143</x:v>
      </x:c>
      <x:c r="L610" s="12" t="str">
        <x:v>06–09</x:v>
      </x:c>
    </x:row>
    <x:row r="611">
      <x:c r="A611" s="12" t="str">
        <x:v>9/1–9/17平日</x:v>
      </x:c>
      <x:c r="B611" s="12" t="str">
        <x:v>2026-09-07</x:v>
      </x:c>
      <x:c r="C611" s="12" t="str">
        <x:v>08:00</x:v>
      </x:c>
      <x:c r="D611" s="13" t="n">
        <x:v>1090</x:v>
      </x:c>
      <x:c r="E611" s="13" t="n">
        <x:v>39</x:v>
      </x:c>
      <x:c r="F611" s="13" t="n">
        <x:v>1129</x:v>
      </x:c>
      <x:c r="G611" s="13" t="n">
        <x:v>1622</x:v>
      </x:c>
      <x:c r="H611" s="13" t="n">
        <x:v>74</x:v>
      </x:c>
      <x:c r="I611" s="13" t="n">
        <x:v>1696</x:v>
      </x:c>
      <x:c r="J611" s="13" t="n">
        <x:v>567</x:v>
      </x:c>
      <x:c r="K611" s="14" t="n">
        <x:f>IFERROR(F611/SUMIFS($F:$F,$B:$B,B611),0)</x:f>
        <x:v>0.023652895332271853</x:v>
      </x:c>
      <x:c r="L611" s="12" t="str">
        <x:v>06–09</x:v>
      </x:c>
    </x:row>
    <x:row r="612">
      <x:c r="A612" s="12" t="str">
        <x:v>9/1–9/17平日</x:v>
      </x:c>
      <x:c r="B612" s="12" t="str">
        <x:v>2026-09-07</x:v>
      </x:c>
      <x:c r="C612" s="12" t="str">
        <x:v>09:00</x:v>
      </x:c>
      <x:c r="D612" s="13" t="n">
        <x:v>1270</x:v>
      </x:c>
      <x:c r="E612" s="13" t="n">
        <x:v>58</x:v>
      </x:c>
      <x:c r="F612" s="13" t="n">
        <x:v>1328</x:v>
      </x:c>
      <x:c r="G612" s="13" t="n">
        <x:v>1692</x:v>
      </x:c>
      <x:c r="H612" s="13" t="n">
        <x:v>100</x:v>
      </x:c>
      <x:c r="I612" s="13" t="n">
        <x:v>1792</x:v>
      </x:c>
      <x:c r="J612" s="13" t="n">
        <x:v>464</x:v>
      </x:c>
      <x:c r="K612" s="14" t="n">
        <x:f>IFERROR(F612/SUMIFS($F:$F,$B:$B,B612),0)</x:f>
        <x:v>0.02782200620129054</x:v>
      </x:c>
      <x:c r="L612" s="12" t="str">
        <x:v>06–09</x:v>
      </x:c>
    </x:row>
    <x:row r="613">
      <x:c r="A613" s="12" t="str">
        <x:v>9/1–9/17平日</x:v>
      </x:c>
      <x:c r="B613" s="12" t="str">
        <x:v>2026-09-07</x:v>
      </x:c>
      <x:c r="C613" s="12" t="str">
        <x:v>10:00</x:v>
      </x:c>
      <x:c r="D613" s="13" t="n">
        <x:v>1553</x:v>
      </x:c>
      <x:c r="E613" s="13" t="n">
        <x:v>54</x:v>
      </x:c>
      <x:c r="F613" s="13" t="n">
        <x:v>1607</x:v>
      </x:c>
      <x:c r="G613" s="13" t="n">
        <x:v>1741</x:v>
      </x:c>
      <x:c r="H613" s="13" t="n">
        <x:v>73</x:v>
      </x:c>
      <x:c r="I613" s="13" t="n">
        <x:v>1814</x:v>
      </x:c>
      <x:c r="J613" s="13" t="n">
        <x:v>207</x:v>
      </x:c>
      <x:c r="K613" s="14" t="n">
        <x:f>IFERROR(F613/SUMIFS($F:$F,$B:$B,B613),0)</x:f>
        <x:v>0.03366714154026649</x:v>
      </x:c>
      <x:c r="L613" s="12" t="str">
        <x:v>10–13</x:v>
      </x:c>
    </x:row>
    <x:row r="614">
      <x:c r="A614" s="12" t="str">
        <x:v>9/1–9/17平日</x:v>
      </x:c>
      <x:c r="B614" s="12" t="str">
        <x:v>2026-09-07</x:v>
      </x:c>
      <x:c r="C614" s="12" t="str">
        <x:v>11:00</x:v>
      </x:c>
      <x:c r="D614" s="13" t="n">
        <x:v>1630</x:v>
      </x:c>
      <x:c r="E614" s="13" t="n">
        <x:v>65</x:v>
      </x:c>
      <x:c r="F614" s="13" t="n">
        <x:v>1695</x:v>
      </x:c>
      <x:c r="G614" s="13" t="n">
        <x:v>1434</x:v>
      </x:c>
      <x:c r="H614" s="13" t="n">
        <x:v>53</x:v>
      </x:c>
      <x:c r="I614" s="13" t="n">
        <x:v>1487</x:v>
      </x:c>
      <x:c r="J614" s="13" t="n">
        <x:v>-208</x:v>
      </x:c>
      <x:c r="K614" s="14" t="n">
        <x:f>IFERROR(F614/SUMIFS($F:$F,$B:$B,B614),0)</x:f>
        <x:v>0.035510768457219476</x:v>
      </x:c>
      <x:c r="L614" s="12" t="str">
        <x:v>10–13</x:v>
      </x:c>
    </x:row>
    <x:row r="615">
      <x:c r="A615" s="12" t="str">
        <x:v>9/1–9/17平日</x:v>
      </x:c>
      <x:c r="B615" s="12" t="str">
        <x:v>2026-09-07</x:v>
      </x:c>
      <x:c r="C615" s="12" t="str">
        <x:v>12:00</x:v>
      </x:c>
      <x:c r="D615" s="13" t="n">
        <x:v>2538</x:v>
      </x:c>
      <x:c r="E615" s="13" t="n">
        <x:v>106</x:v>
      </x:c>
      <x:c r="F615" s="13" t="n">
        <x:v>2644</x:v>
      </x:c>
      <x:c r="G615" s="13" t="n">
        <x:v>2495</x:v>
      </x:c>
      <x:c r="H615" s="13" t="n">
        <x:v>97</x:v>
      </x:c>
      <x:c r="I615" s="13" t="n">
        <x:v>2592</x:v>
      </x:c>
      <x:c r="J615" s="13" t="n">
        <x:v>-52</x:v>
      </x:c>
      <x:c r="K615" s="14" t="n">
        <x:f>IFERROR(F615/SUMIFS($F:$F,$B:$B,B615),0)</x:f>
        <x:v>0.05539260873208749</x:v>
      </x:c>
      <x:c r="L615" s="12" t="str">
        <x:v>10–13</x:v>
      </x:c>
    </x:row>
    <x:row r="616">
      <x:c r="A616" s="12" t="str">
        <x:v>9/1–9/17平日</x:v>
      </x:c>
      <x:c r="B616" s="12" t="str">
        <x:v>2026-09-07</x:v>
      </x:c>
      <x:c r="C616" s="12" t="str">
        <x:v>13:00</x:v>
      </x:c>
      <x:c r="D616" s="13" t="n">
        <x:v>2339</x:v>
      </x:c>
      <x:c r="E616" s="13" t="n">
        <x:v>62</x:v>
      </x:c>
      <x:c r="F616" s="13" t="n">
        <x:v>2401</x:v>
      </x:c>
      <x:c r="G616" s="13" t="n">
        <x:v>2576</x:v>
      </x:c>
      <x:c r="H616" s="13" t="n">
        <x:v>101</x:v>
      </x:c>
      <x:c r="I616" s="13" t="n">
        <x:v>2677</x:v>
      </x:c>
      <x:c r="J616" s="13" t="n">
        <x:v>276</x:v>
      </x:c>
      <x:c r="K616" s="14" t="n">
        <x:f>IFERROR(F616/SUMIFS($F:$F,$B:$B,B616),0)</x:f>
        <x:v>0.05030168440459231</x:v>
      </x:c>
      <x:c r="L616" s="12" t="str">
        <x:v>10–13</x:v>
      </x:c>
    </x:row>
    <x:row r="617">
      <x:c r="A617" s="12" t="str">
        <x:v>9/1–9/17平日</x:v>
      </x:c>
      <x:c r="B617" s="12" t="str">
        <x:v>2026-09-07</x:v>
      </x:c>
      <x:c r="C617" s="12" t="str">
        <x:v>14:00</x:v>
      </x:c>
      <x:c r="D617" s="13" t="n">
        <x:v>2051</x:v>
      </x:c>
      <x:c r="E617" s="13" t="n">
        <x:v>37</x:v>
      </x:c>
      <x:c r="F617" s="13" t="n">
        <x:v>2088</x:v>
      </x:c>
      <x:c r="G617" s="13" t="n">
        <x:v>2027</x:v>
      </x:c>
      <x:c r="H617" s="13" t="n">
        <x:v>41</x:v>
      </x:c>
      <x:c r="I617" s="13" t="n">
        <x:v>2068</x:v>
      </x:c>
      <x:c r="J617" s="13" t="n">
        <x:v>-20</x:v>
      </x:c>
      <x:c r="K617" s="14" t="n">
        <x:f>IFERROR(F617/SUMIFS($F:$F,$B:$B,B617),0)</x:f>
        <x:v>0.04374423866588452</x:v>
      </x:c>
      <x:c r="L617" s="12" t="str">
        <x:v>14–17</x:v>
      </x:c>
    </x:row>
    <x:row r="618">
      <x:c r="A618" s="12" t="str">
        <x:v>9/1–9/17平日</x:v>
      </x:c>
      <x:c r="B618" s="12" t="str">
        <x:v>2026-09-07</x:v>
      </x:c>
      <x:c r="C618" s="12" t="str">
        <x:v>15:00</x:v>
      </x:c>
      <x:c r="D618" s="13" t="n">
        <x:v>2283</x:v>
      </x:c>
      <x:c r="E618" s="13" t="n">
        <x:v>67</x:v>
      </x:c>
      <x:c r="F618" s="13" t="n">
        <x:v>2350</x:v>
      </x:c>
      <x:c r="G618" s="13" t="n">
        <x:v>2046</x:v>
      </x:c>
      <x:c r="H618" s="13" t="n">
        <x:v>54</x:v>
      </x:c>
      <x:c r="I618" s="13" t="n">
        <x:v>2100</x:v>
      </x:c>
      <x:c r="J618" s="13" t="n">
        <x:v>-250</x:v>
      </x:c>
      <x:c r="K618" s="14" t="n">
        <x:f>IFERROR(F618/SUMIFS($F:$F,$B:$B,B618),0)</x:f>
        <x:v>0.04923321880499455</x:v>
      </x:c>
      <x:c r="L618" s="12" t="str">
        <x:v>14–17</x:v>
      </x:c>
    </x:row>
    <x:row r="619">
      <x:c r="A619" s="12" t="str">
        <x:v>9/1–9/17平日</x:v>
      </x:c>
      <x:c r="B619" s="12" t="str">
        <x:v>2026-09-07</x:v>
      </x:c>
      <x:c r="C619" s="12" t="str">
        <x:v>16:00</x:v>
      </x:c>
      <x:c r="D619" s="13" t="n">
        <x:v>2140</x:v>
      </x:c>
      <x:c r="E619" s="13" t="n">
        <x:v>62</x:v>
      </x:c>
      <x:c r="F619" s="13" t="n">
        <x:v>2202</x:v>
      </x:c>
      <x:c r="G619" s="13" t="n">
        <x:v>1552</x:v>
      </x:c>
      <x:c r="H619" s="13" t="n">
        <x:v>40</x:v>
      </x:c>
      <x:c r="I619" s="13" t="n">
        <x:v>1592</x:v>
      </x:c>
      <x:c r="J619" s="13" t="n">
        <x:v>-610</x:v>
      </x:c>
      <x:c r="K619" s="14" t="n">
        <x:f>IFERROR(F619/SUMIFS($F:$F,$B:$B,B619),0)</x:f>
        <x:v>0.046132573535573616</x:v>
      </x:c>
      <x:c r="L619" s="12" t="str">
        <x:v>14–17</x:v>
      </x:c>
    </x:row>
    <x:row r="620">
      <x:c r="A620" s="12" t="str">
        <x:v>9/1–9/17平日</x:v>
      </x:c>
      <x:c r="B620" s="12" t="str">
        <x:v>2026-09-07</x:v>
      </x:c>
      <x:c r="C620" s="12" t="str">
        <x:v>17:00</x:v>
      </x:c>
      <x:c r="D620" s="13" t="n">
        <x:v>2190</x:v>
      </x:c>
      <x:c r="E620" s="13" t="n">
        <x:v>115</x:v>
      </x:c>
      <x:c r="F620" s="13" t="n">
        <x:v>2305</x:v>
      </x:c>
      <x:c r="G620" s="13" t="n">
        <x:v>1575</x:v>
      </x:c>
      <x:c r="H620" s="13" t="n">
        <x:v>41</x:v>
      </x:c>
      <x:c r="I620" s="13" t="n">
        <x:v>1616</x:v>
      </x:c>
      <x:c r="J620" s="13" t="n">
        <x:v>-689</x:v>
      </x:c>
      <x:c r="K620" s="14" t="n">
        <x:f>IFERROR(F620/SUMIFS($F:$F,$B:$B,B620),0)</x:f>
        <x:v>0.048290455040643596</x:v>
      </x:c>
      <x:c r="L620" s="12" t="str">
        <x:v>14–17</x:v>
      </x:c>
    </x:row>
    <x:row r="621">
      <x:c r="A621" s="12" t="str">
        <x:v>9/1–9/17平日</x:v>
      </x:c>
      <x:c r="B621" s="12" t="str">
        <x:v>2026-09-07</x:v>
      </x:c>
      <x:c r="C621" s="12" t="str">
        <x:v>18:00</x:v>
      </x:c>
      <x:c r="D621" s="13" t="n">
        <x:v>1328</x:v>
      </x:c>
      <x:c r="E621" s="13" t="n">
        <x:v>78</x:v>
      </x:c>
      <x:c r="F621" s="13" t="n">
        <x:v>1406</x:v>
      </x:c>
      <x:c r="G621" s="13" t="n">
        <x:v>1106</x:v>
      </x:c>
      <x:c r="H621" s="13" t="n">
        <x:v>46</x:v>
      </x:c>
      <x:c r="I621" s="13" t="n">
        <x:v>1152</x:v>
      </x:c>
      <x:c r="J621" s="13" t="n">
        <x:v>-254</x:v>
      </x:c>
      <x:c r="K621" s="14" t="n">
        <x:f>IFERROR(F621/SUMIFS($F:$F,$B:$B,B621),0)</x:f>
        <x:v>0.029456130059498868</x:v>
      </x:c>
      <x:c r="L621" s="12" t="str">
        <x:v>18–21</x:v>
      </x:c>
    </x:row>
    <x:row r="622">
      <x:c r="A622" s="12" t="str">
        <x:v>9/1–9/17平日</x:v>
      </x:c>
      <x:c r="B622" s="12" t="str">
        <x:v>2026-09-07</x:v>
      </x:c>
      <x:c r="C622" s="12" t="str">
        <x:v>19:00</x:v>
      </x:c>
      <x:c r="D622" s="13" t="n">
        <x:v>726</x:v>
      </x:c>
      <x:c r="E622" s="13" t="n">
        <x:v>54</x:v>
      </x:c>
      <x:c r="F622" s="13" t="n">
        <x:v>780</x:v>
      </x:c>
      <x:c r="G622" s="13" t="n">
        <x:v>627</x:v>
      </x:c>
      <x:c r="H622" s="13" t="n">
        <x:v>27</x:v>
      </x:c>
      <x:c r="I622" s="13" t="n">
        <x:v>654</x:v>
      </x:c>
      <x:c r="J622" s="13" t="n">
        <x:v>-126</x:v>
      </x:c>
      <x:c r="K622" s="14" t="n">
        <x:f>IFERROR(F622/SUMIFS($F:$F,$B:$B,B622),0)</x:f>
        <x:v>0.0163412385820833</x:v>
      </x:c>
      <x:c r="L622" s="12" t="str">
        <x:v>18–21</x:v>
      </x:c>
    </x:row>
    <x:row r="623">
      <x:c r="A623" s="12" t="str">
        <x:v>9/1–9/17平日</x:v>
      </x:c>
      <x:c r="B623" s="12" t="str">
        <x:v>2026-09-07</x:v>
      </x:c>
      <x:c r="C623" s="12" t="str">
        <x:v>20:00</x:v>
      </x:c>
      <x:c r="D623" s="13" t="n">
        <x:v>505</x:v>
      </x:c>
      <x:c r="E623" s="13" t="n">
        <x:v>31</x:v>
      </x:c>
      <x:c r="F623" s="13" t="n">
        <x:v>536</x:v>
      </x:c>
      <x:c r="G623" s="13" t="n">
        <x:v>476</x:v>
      </x:c>
      <x:c r="H623" s="13" t="n">
        <x:v>24</x:v>
      </x:c>
      <x:c r="I623" s="13" t="n">
        <x:v>500</x:v>
      </x:c>
      <x:c r="J623" s="13" t="n">
        <x:v>-36</x:v>
      </x:c>
      <x:c r="K623" s="14" t="n">
        <x:f>IFERROR(F623/SUMIFS($F:$F,$B:$B,B623),0)</x:f>
        <x:v>0.011229363948713652</x:v>
      </x:c>
      <x:c r="L623" s="12" t="str">
        <x:v>18–21</x:v>
      </x:c>
    </x:row>
    <x:row r="624">
      <x:c r="A624" s="12" t="str">
        <x:v>9/1–9/17平日</x:v>
      </x:c>
      <x:c r="B624" s="12" t="str">
        <x:v>2026-09-07</x:v>
      </x:c>
      <x:c r="C624" s="12" t="str">
        <x:v>21:00</x:v>
      </x:c>
      <x:c r="D624" s="13" t="n">
        <x:v>312</x:v>
      </x:c>
      <x:c r="E624" s="13" t="n">
        <x:v>19</x:v>
      </x:c>
      <x:c r="F624" s="13" t="n">
        <x:v>331</x:v>
      </x:c>
      <x:c r="G624" s="13" t="n">
        <x:v>303</x:v>
      </x:c>
      <x:c r="H624" s="13" t="n">
        <x:v>16</x:v>
      </x:c>
      <x:c r="I624" s="13" t="n">
        <x:v>319</x:v>
      </x:c>
      <x:c r="J624" s="13" t="n">
        <x:v>-12</x:v>
      </x:c>
      <x:c r="K624" s="14" t="n">
        <x:f>IFERROR(F624/SUMIFS($F:$F,$B:$B,B624),0)</x:f>
        <x:v>0.006934551244448169</x:v>
      </x:c>
      <x:c r="L624" s="12" t="str">
        <x:v>18–21</x:v>
      </x:c>
    </x:row>
    <x:row r="625">
      <x:c r="A625" s="12" t="str">
        <x:v>9/1–9/17平日</x:v>
      </x:c>
      <x:c r="B625" s="12" t="str">
        <x:v>2026-09-07</x:v>
      </x:c>
      <x:c r="C625" s="12" t="str">
        <x:v>22:00</x:v>
      </x:c>
      <x:c r="D625" s="13" t="n">
        <x:v>177</x:v>
      </x:c>
      <x:c r="E625" s="13" t="n">
        <x:v>10</x:v>
      </x:c>
      <x:c r="F625" s="13" t="n">
        <x:v>187</x:v>
      </x:c>
      <x:c r="G625" s="13" t="n">
        <x:v>232</x:v>
      </x:c>
      <x:c r="H625" s="13" t="n">
        <x:v>7</x:v>
      </x:c>
      <x:c r="I625" s="13" t="n">
        <x:v>239</x:v>
      </x:c>
      <x:c r="J625" s="13" t="n">
        <x:v>52</x:v>
      </x:c>
      <x:c r="K625" s="14" t="n">
        <x:f>IFERROR(F625/SUMIFS($F:$F,$B:$B,B625),0)</x:f>
        <x:v>0.003917707198525099</x:v>
      </x:c>
      <x:c r="L625" s="12" t="str">
        <x:v>22–23</x:v>
      </x:c>
    </x:row>
    <x:row r="626">
      <x:c r="A626" s="12" t="str">
        <x:v>9/1–9/17平日</x:v>
      </x:c>
      <x:c r="B626" s="12" t="str">
        <x:v>2026-09-07</x:v>
      </x:c>
      <x:c r="C626" s="12" t="str">
        <x:v>23:00</x:v>
      </x:c>
      <x:c r="D626" s="13" t="n">
        <x:v>146</x:v>
      </x:c>
      <x:c r="E626" s="13" t="n">
        <x:v>2</x:v>
      </x:c>
      <x:c r="F626" s="13" t="n">
        <x:v>148</x:v>
      </x:c>
      <x:c r="G626" s="13" t="n">
        <x:v>104</x:v>
      </x:c>
      <x:c r="H626" s="13" t="n">
        <x:v>5</x:v>
      </x:c>
      <x:c r="I626" s="13" t="n">
        <x:v>109</x:v>
      </x:c>
      <x:c r="J626" s="13" t="n">
        <x:v>-39</x:v>
      </x:c>
      <x:c r="K626" s="14" t="n">
        <x:f>IFERROR(F626/SUMIFS($F:$F,$B:$B,B626),0)</x:f>
        <x:v>0.0031006452694209334</x:v>
      </x:c>
      <x:c r="L626" s="12" t="str">
        <x:v>22–23</x:v>
      </x:c>
    </x:row>
    <x:row r="627">
      <x:c r="A627" s="12" t="str">
        <x:v>9/1–9/17平日</x:v>
      </x:c>
      <x:c r="B627" s="12" t="str">
        <x:v>2026-09-08</x:v>
      </x:c>
      <x:c r="C627" s="12" t="str">
        <x:v>00:00</x:v>
      </x:c>
      <x:c r="D627" s="13" t="n">
        <x:v>71</x:v>
      </x:c>
      <x:c r="E627" s="13" t="n">
        <x:v>4</x:v>
      </x:c>
      <x:c r="F627" s="13" t="n">
        <x:v>75</x:v>
      </x:c>
      <x:c r="G627" s="13" t="n">
        <x:v>55</x:v>
      </x:c>
      <x:c r="H627" s="13" t="n">
        <x:v>4</x:v>
      </x:c>
      <x:c r="I627" s="13" t="n">
        <x:v>59</x:v>
      </x:c>
      <x:c r="J627" s="13" t="n">
        <x:v>-16</x:v>
      </x:c>
      <x:c r="K627" s="14" t="n">
        <x:f>IFERROR(F627/SUMIFS($F:$F,$B:$B,B627),0)</x:f>
        <x:v>0.0016620866944419821</x:v>
      </x:c>
      <x:c r="L627" s="12" t="str">
        <x:v>00–05</x:v>
      </x:c>
    </x:row>
    <x:row r="628">
      <x:c r="A628" s="12" t="str">
        <x:v>9/1–9/17平日</x:v>
      </x:c>
      <x:c r="B628" s="12" t="str">
        <x:v>2026-09-08</x:v>
      </x:c>
      <x:c r="C628" s="12" t="str">
        <x:v>01:00</x:v>
      </x:c>
      <x:c r="D628" s="13" t="n">
        <x:v>44</x:v>
      </x:c>
      <x:c r="E628" s="13" t="n">
        <x:v>1</x:v>
      </x:c>
      <x:c r="F628" s="13" t="n">
        <x:v>45</x:v>
      </x:c>
      <x:c r="G628" s="13" t="n">
        <x:v>29</x:v>
      </x:c>
      <x:c r="H628" s="13" t="n">
        <x:v>0</x:v>
      </x:c>
      <x:c r="I628" s="13" t="n">
        <x:v>29</x:v>
      </x:c>
      <x:c r="J628" s="13" t="n">
        <x:v>-16</x:v>
      </x:c>
      <x:c r="K628" s="14" t="n">
        <x:f>IFERROR(F628/SUMIFS($F:$F,$B:$B,B628),0)</x:f>
        <x:v>0.0009972520166651893</x:v>
      </x:c>
      <x:c r="L628" s="12" t="str">
        <x:v>00–05</x:v>
      </x:c>
    </x:row>
    <x:row r="629">
      <x:c r="A629" s="12" t="str">
        <x:v>9/1–9/17平日</x:v>
      </x:c>
      <x:c r="B629" s="12" t="str">
        <x:v>2026-09-08</x:v>
      </x:c>
      <x:c r="C629" s="12" t="str">
        <x:v>02:00</x:v>
      </x:c>
      <x:c r="D629" s="13" t="n">
        <x:v>20</x:v>
      </x:c>
      <x:c r="E629" s="13" t="n">
        <x:v>1</x:v>
      </x:c>
      <x:c r="F629" s="13" t="n">
        <x:v>21</x:v>
      </x:c>
      <x:c r="G629" s="13" t="n">
        <x:v>21</x:v>
      </x:c>
      <x:c r="H629" s="13" t="n">
        <x:v>0</x:v>
      </x:c>
      <x:c r="I629" s="13" t="n">
        <x:v>21</x:v>
      </x:c>
      <x:c r="J629" s="13" t="n">
        <x:v>0</x:v>
      </x:c>
      <x:c r="K629" s="14" t="n">
        <x:f>IFERROR(F629/SUMIFS($F:$F,$B:$B,B629),0)</x:f>
        <x:v>0.000465384274443755</x:v>
      </x:c>
      <x:c r="L629" s="12" t="str">
        <x:v>00–05</x:v>
      </x:c>
    </x:row>
    <x:row r="630">
      <x:c r="A630" s="12" t="str">
        <x:v>9/1–9/17平日</x:v>
      </x:c>
      <x:c r="B630" s="12" t="str">
        <x:v>2026-09-08</x:v>
      </x:c>
      <x:c r="C630" s="12" t="str">
        <x:v>03:00</x:v>
      </x:c>
      <x:c r="D630" s="13" t="n">
        <x:v>6</x:v>
      </x:c>
      <x:c r="E630" s="13" t="n">
        <x:v>1</x:v>
      </x:c>
      <x:c r="F630" s="13" t="n">
        <x:v>7</x:v>
      </x:c>
      <x:c r="G630" s="13" t="n">
        <x:v>10</x:v>
      </x:c>
      <x:c r="H630" s="13" t="n">
        <x:v>0</x:v>
      </x:c>
      <x:c r="I630" s="13" t="n">
        <x:v>10</x:v>
      </x:c>
      <x:c r="J630" s="13" t="n">
        <x:v>3</x:v>
      </x:c>
      <x:c r="K630" s="14" t="n">
        <x:f>IFERROR(F630/SUMIFS($F:$F,$B:$B,B630),0)</x:f>
        <x:v>0.00015512809148125167</x:v>
      </x:c>
      <x:c r="L630" s="12" t="str">
        <x:v>00–05</x:v>
      </x:c>
    </x:row>
    <x:row r="631">
      <x:c r="A631" s="12" t="str">
        <x:v>9/1–9/17平日</x:v>
      </x:c>
      <x:c r="B631" s="12" t="str">
        <x:v>2026-09-08</x:v>
      </x:c>
      <x:c r="C631" s="12" t="str">
        <x:v>04:00</x:v>
      </x:c>
      <x:c r="D631" s="13" t="n">
        <x:v>12</x:v>
      </x:c>
      <x:c r="E631" s="13" t="n">
        <x:v>0</x:v>
      </x:c>
      <x:c r="F631" s="13" t="n">
        <x:v>12</x:v>
      </x:c>
      <x:c r="G631" s="13" t="n">
        <x:v>10</x:v>
      </x:c>
      <x:c r="H631" s="13" t="n">
        <x:v>0</x:v>
      </x:c>
      <x:c r="I631" s="13" t="n">
        <x:v>10</x:v>
      </x:c>
      <x:c r="J631" s="13" t="n">
        <x:v>-2</x:v>
      </x:c>
      <x:c r="K631" s="14" t="n">
        <x:f>IFERROR(F631/SUMIFS($F:$F,$B:$B,B631),0)</x:f>
        <x:v>0.00026593387111071713</x:v>
      </x:c>
      <x:c r="L631" s="12" t="str">
        <x:v>00–05</x:v>
      </x:c>
    </x:row>
    <x:row r="632">
      <x:c r="A632" s="12" t="str">
        <x:v>9/1–9/17平日</x:v>
      </x:c>
      <x:c r="B632" s="12" t="str">
        <x:v>2026-09-08</x:v>
      </x:c>
      <x:c r="C632" s="12" t="str">
        <x:v>05:00</x:v>
      </x:c>
      <x:c r="D632" s="13" t="n">
        <x:v>27</x:v>
      </x:c>
      <x:c r="E632" s="13" t="n">
        <x:v>1</x:v>
      </x:c>
      <x:c r="F632" s="13" t="n">
        <x:v>28</x:v>
      </x:c>
      <x:c r="G632" s="13" t="n">
        <x:v>43</x:v>
      </x:c>
      <x:c r="H632" s="13" t="n">
        <x:v>3</x:v>
      </x:c>
      <x:c r="I632" s="13" t="n">
        <x:v>46</x:v>
      </x:c>
      <x:c r="J632" s="13" t="n">
        <x:v>18</x:v>
      </x:c>
      <x:c r="K632" s="14" t="n">
        <x:f>IFERROR(F632/SUMIFS($F:$F,$B:$B,B632),0)</x:f>
        <x:v>0.0006205123659250067</x:v>
      </x:c>
      <x:c r="L632" s="12" t="str">
        <x:v>00–05</x:v>
      </x:c>
    </x:row>
    <x:row r="633">
      <x:c r="A633" s="12" t="str">
        <x:v>9/1–9/17平日</x:v>
      </x:c>
      <x:c r="B633" s="12" t="str">
        <x:v>2026-09-08</x:v>
      </x:c>
      <x:c r="C633" s="12" t="str">
        <x:v>06:00</x:v>
      </x:c>
      <x:c r="D633" s="13" t="n">
        <x:v>119</x:v>
      </x:c>
      <x:c r="E633" s="13" t="n">
        <x:v>3</x:v>
      </x:c>
      <x:c r="F633" s="13" t="n">
        <x:v>122</x:v>
      </x:c>
      <x:c r="G633" s="13" t="n">
        <x:v>155</x:v>
      </x:c>
      <x:c r="H633" s="13" t="n">
        <x:v>15</x:v>
      </x:c>
      <x:c r="I633" s="13" t="n">
        <x:v>170</x:v>
      </x:c>
      <x:c r="J633" s="13" t="n">
        <x:v>48</x:v>
      </x:c>
      <x:c r="K633" s="14" t="n">
        <x:f>IFERROR(F633/SUMIFS($F:$F,$B:$B,B633),0)</x:f>
        <x:v>0.0027036610229589576</x:v>
      </x:c>
      <x:c r="L633" s="12" t="str">
        <x:v>06–09</x:v>
      </x:c>
    </x:row>
    <x:row r="634">
      <x:c r="A634" s="12" t="str">
        <x:v>9/1–9/17平日</x:v>
      </x:c>
      <x:c r="B634" s="12" t="str">
        <x:v>2026-09-08</x:v>
      </x:c>
      <x:c r="C634" s="12" t="str">
        <x:v>07:00</x:v>
      </x:c>
      <x:c r="D634" s="13" t="n">
        <x:v>573</x:v>
      </x:c>
      <x:c r="E634" s="13" t="n">
        <x:v>11</x:v>
      </x:c>
      <x:c r="F634" s="13" t="n">
        <x:v>584</x:v>
      </x:c>
      <x:c r="G634" s="13" t="n">
        <x:v>730</x:v>
      </x:c>
      <x:c r="H634" s="13" t="n">
        <x:v>21</x:v>
      </x:c>
      <x:c r="I634" s="13" t="n">
        <x:v>751</x:v>
      </x:c>
      <x:c r="J634" s="13" t="n">
        <x:v>167</x:v>
      </x:c>
      <x:c r="K634" s="14" t="n">
        <x:f>IFERROR(F634/SUMIFS($F:$F,$B:$B,B634),0)</x:f>
        <x:v>0.012942115060721567</x:v>
      </x:c>
      <x:c r="L634" s="12" t="str">
        <x:v>06–09</x:v>
      </x:c>
    </x:row>
    <x:row r="635">
      <x:c r="A635" s="12" t="str">
        <x:v>9/1–9/17平日</x:v>
      </x:c>
      <x:c r="B635" s="12" t="str">
        <x:v>2026-09-08</x:v>
      </x:c>
      <x:c r="C635" s="12" t="str">
        <x:v>08:00</x:v>
      </x:c>
      <x:c r="D635" s="13" t="n">
        <x:v>1168</x:v>
      </x:c>
      <x:c r="E635" s="13" t="n">
        <x:v>60</x:v>
      </x:c>
      <x:c r="F635" s="13" t="n">
        <x:v>1228</x:v>
      </x:c>
      <x:c r="G635" s="13" t="n">
        <x:v>1606</x:v>
      </x:c>
      <x:c r="H635" s="13" t="n">
        <x:v>106</x:v>
      </x:c>
      <x:c r="I635" s="13" t="n">
        <x:v>1712</x:v>
      </x:c>
      <x:c r="J635" s="13" t="n">
        <x:v>484</x:v>
      </x:c>
      <x:c r="K635" s="14" t="n">
        <x:f>IFERROR(F635/SUMIFS($F:$F,$B:$B,B635),0)</x:f>
        <x:v>0.02721389947699672</x:v>
      </x:c>
      <x:c r="L635" s="12" t="str">
        <x:v>06–09</x:v>
      </x:c>
    </x:row>
    <x:row r="636">
      <x:c r="A636" s="12" t="str">
        <x:v>9/1–9/17平日</x:v>
      </x:c>
      <x:c r="B636" s="12" t="str">
        <x:v>2026-09-08</x:v>
      </x:c>
      <x:c r="C636" s="12" t="str">
        <x:v>09:00</x:v>
      </x:c>
      <x:c r="D636" s="13" t="n">
        <x:v>1220</x:v>
      </x:c>
      <x:c r="E636" s="13" t="n">
        <x:v>80</x:v>
      </x:c>
      <x:c r="F636" s="13" t="n">
        <x:v>1300</x:v>
      </x:c>
      <x:c r="G636" s="13" t="n">
        <x:v>1726</x:v>
      </x:c>
      <x:c r="H636" s="13" t="n">
        <x:v>138</x:v>
      </x:c>
      <x:c r="I636" s="13" t="n">
        <x:v>1864</x:v>
      </x:c>
      <x:c r="J636" s="13" t="n">
        <x:v>564</x:v>
      </x:c>
      <x:c r="K636" s="14" t="n">
        <x:f>IFERROR(F636/SUMIFS($F:$F,$B:$B,B636),0)</x:f>
        <x:v>0.028809502703661023</x:v>
      </x:c>
      <x:c r="L636" s="12" t="str">
        <x:v>06–09</x:v>
      </x:c>
    </x:row>
    <x:row r="637">
      <x:c r="A637" s="12" t="str">
        <x:v>9/1–9/17平日</x:v>
      </x:c>
      <x:c r="B637" s="12" t="str">
        <x:v>2026-09-08</x:v>
      </x:c>
      <x:c r="C637" s="12" t="str">
        <x:v>10:00</x:v>
      </x:c>
      <x:c r="D637" s="13" t="n">
        <x:v>1503</x:v>
      </x:c>
      <x:c r="E637" s="13" t="n">
        <x:v>80</x:v>
      </x:c>
      <x:c r="F637" s="13" t="n">
        <x:v>1583</x:v>
      </x:c>
      <x:c r="G637" s="13" t="n">
        <x:v>1640</x:v>
      </x:c>
      <x:c r="H637" s="13" t="n">
        <x:v>107</x:v>
      </x:c>
      <x:c r="I637" s="13" t="n">
        <x:v>1747</x:v>
      </x:c>
      <x:c r="J637" s="13" t="n">
        <x:v>164</x:v>
      </x:c>
      <x:c r="K637" s="14" t="n">
        <x:f>IFERROR(F637/SUMIFS($F:$F,$B:$B,B637),0)</x:f>
        <x:v>0.03508110983068877</x:v>
      </x:c>
      <x:c r="L637" s="12" t="str">
        <x:v>10–13</x:v>
      </x:c>
    </x:row>
    <x:row r="638">
      <x:c r="A638" s="12" t="str">
        <x:v>9/1–9/17平日</x:v>
      </x:c>
      <x:c r="B638" s="12" t="str">
        <x:v>2026-09-08</x:v>
      </x:c>
      <x:c r="C638" s="12" t="str">
        <x:v>11:00</x:v>
      </x:c>
      <x:c r="D638" s="13" t="n">
        <x:v>1674</x:v>
      </x:c>
      <x:c r="E638" s="13" t="n">
        <x:v>68</x:v>
      </x:c>
      <x:c r="F638" s="13" t="n">
        <x:v>1742</x:v>
      </x:c>
      <x:c r="G638" s="13" t="n">
        <x:v>1482</x:v>
      </x:c>
      <x:c r="H638" s="13" t="n">
        <x:v>63</x:v>
      </x:c>
      <x:c r="I638" s="13" t="n">
        <x:v>1545</x:v>
      </x:c>
      <x:c r="J638" s="13" t="n">
        <x:v>-197</x:v>
      </x:c>
      <x:c r="K638" s="14" t="n">
        <x:f>IFERROR(F638/SUMIFS($F:$F,$B:$B,B638),0)</x:f>
        <x:v>0.03860473362290577</x:v>
      </x:c>
      <x:c r="L638" s="12" t="str">
        <x:v>10–13</x:v>
      </x:c>
    </x:row>
    <x:row r="639">
      <x:c r="A639" s="12" t="str">
        <x:v>9/1–9/17平日</x:v>
      </x:c>
      <x:c r="B639" s="12" t="str">
        <x:v>2026-09-08</x:v>
      </x:c>
      <x:c r="C639" s="12" t="str">
        <x:v>12:00</x:v>
      </x:c>
      <x:c r="D639" s="13" t="n">
        <x:v>2533</x:v>
      </x:c>
      <x:c r="E639" s="13" t="n">
        <x:v>114</x:v>
      </x:c>
      <x:c r="F639" s="13" t="n">
        <x:v>2647</x:v>
      </x:c>
      <x:c r="G639" s="13" t="n">
        <x:v>2480</x:v>
      </x:c>
      <x:c r="H639" s="13" t="n">
        <x:v>95</x:v>
      </x:c>
      <x:c r="I639" s="13" t="n">
        <x:v>2575</x:v>
      </x:c>
      <x:c r="J639" s="13" t="n">
        <x:v>-72</x:v>
      </x:c>
      <x:c r="K639" s="14" t="n">
        <x:f>IFERROR(F639/SUMIFS($F:$F,$B:$B,B639),0)</x:f>
        <x:v>0.05866057973583902</x:v>
      </x:c>
      <x:c r="L639" s="12" t="str">
        <x:v>10–13</x:v>
      </x:c>
    </x:row>
    <x:row r="640">
      <x:c r="A640" s="12" t="str">
        <x:v>9/1–9/17平日</x:v>
      </x:c>
      <x:c r="B640" s="12" t="str">
        <x:v>2026-09-08</x:v>
      </x:c>
      <x:c r="C640" s="12" t="str">
        <x:v>13:00</x:v>
      </x:c>
      <x:c r="D640" s="13" t="n">
        <x:v>2092</x:v>
      </x:c>
      <x:c r="E640" s="13" t="n">
        <x:v>68</x:v>
      </x:c>
      <x:c r="F640" s="13" t="n">
        <x:v>2160</x:v>
      </x:c>
      <x:c r="G640" s="13" t="n">
        <x:v>2423</x:v>
      </x:c>
      <x:c r="H640" s="13" t="n">
        <x:v>113</x:v>
      </x:c>
      <x:c r="I640" s="13" t="n">
        <x:v>2536</x:v>
      </x:c>
      <x:c r="J640" s="13" t="n">
        <x:v>376</x:v>
      </x:c>
      <x:c r="K640" s="14" t="n">
        <x:f>IFERROR(F640/SUMIFS($F:$F,$B:$B,B640),0)</x:f>
        <x:v>0.04786809679992909</x:v>
      </x:c>
      <x:c r="L640" s="12" t="str">
        <x:v>10–13</x:v>
      </x:c>
    </x:row>
    <x:row r="641">
      <x:c r="A641" s="12" t="str">
        <x:v>9/1–9/17平日</x:v>
      </x:c>
      <x:c r="B641" s="12" t="str">
        <x:v>2026-09-08</x:v>
      </x:c>
      <x:c r="C641" s="12" t="str">
        <x:v>14:00</x:v>
      </x:c>
      <x:c r="D641" s="13" t="n">
        <x:v>1818</x:v>
      </x:c>
      <x:c r="E641" s="13" t="n">
        <x:v>61</x:v>
      </x:c>
      <x:c r="F641" s="13" t="n">
        <x:v>1879</x:v>
      </x:c>
      <x:c r="G641" s="13" t="n">
        <x:v>1756</x:v>
      </x:c>
      <x:c r="H641" s="13" t="n">
        <x:v>60</x:v>
      </x:c>
      <x:c r="I641" s="13" t="n">
        <x:v>1816</x:v>
      </x:c>
      <x:c r="J641" s="13" t="n">
        <x:v>-63</x:v>
      </x:c>
      <x:c r="K641" s="14" t="n">
        <x:f>IFERROR(F641/SUMIFS($F:$F,$B:$B,B641),0)</x:f>
        <x:v>0.041640811984753126</x:v>
      </x:c>
      <x:c r="L641" s="12" t="str">
        <x:v>14–17</x:v>
      </x:c>
    </x:row>
    <x:row r="642">
      <x:c r="A642" s="12" t="str">
        <x:v>9/1–9/17平日</x:v>
      </x:c>
      <x:c r="B642" s="12" t="str">
        <x:v>2026-09-08</x:v>
      </x:c>
      <x:c r="C642" s="12" t="str">
        <x:v>15:00</x:v>
      </x:c>
      <x:c r="D642" s="13" t="n">
        <x:v>2266</x:v>
      </x:c>
      <x:c r="E642" s="13" t="n">
        <x:v>103</x:v>
      </x:c>
      <x:c r="F642" s="13" t="n">
        <x:v>2369</x:v>
      </x:c>
      <x:c r="G642" s="13" t="n">
        <x:v>1875</x:v>
      </x:c>
      <x:c r="H642" s="13" t="n">
        <x:v>67</x:v>
      </x:c>
      <x:c r="I642" s="13" t="n">
        <x:v>1942</x:v>
      </x:c>
      <x:c r="J642" s="13" t="n">
        <x:v>-427</x:v>
      </x:c>
      <x:c r="K642" s="14" t="n">
        <x:f>IFERROR(F642/SUMIFS($F:$F,$B:$B,B642),0)</x:f>
        <x:v>0.05249977838844074</x:v>
      </x:c>
      <x:c r="L642" s="12" t="str">
        <x:v>14–17</x:v>
      </x:c>
    </x:row>
    <x:row r="643">
      <x:c r="A643" s="12" t="str">
        <x:v>9/1–9/17平日</x:v>
      </x:c>
      <x:c r="B643" s="12" t="str">
        <x:v>2026-09-08</x:v>
      </x:c>
      <x:c r="C643" s="12" t="str">
        <x:v>16:00</x:v>
      </x:c>
      <x:c r="D643" s="13" t="n">
        <x:v>1527</x:v>
      </x:c>
      <x:c r="E643" s="13" t="n">
        <x:v>100</x:v>
      </x:c>
      <x:c r="F643" s="13" t="n">
        <x:v>1627</x:v>
      </x:c>
      <x:c r="G643" s="13" t="n">
        <x:v>1072</x:v>
      </x:c>
      <x:c r="H643" s="13" t="n">
        <x:v>59</x:v>
      </x:c>
      <x:c r="I643" s="13" t="n">
        <x:v>1131</x:v>
      </x:c>
      <x:c r="J643" s="13" t="n">
        <x:v>-496</x:v>
      </x:c>
      <x:c r="K643" s="14" t="n">
        <x:f>IFERROR(F643/SUMIFS($F:$F,$B:$B,B643),0)</x:f>
        <x:v>0.036056200691428064</x:v>
      </x:c>
      <x:c r="L643" s="12" t="str">
        <x:v>14–17</x:v>
      </x:c>
    </x:row>
    <x:row r="644">
      <x:c r="A644" s="12" t="str">
        <x:v>9/1–9/17平日</x:v>
      </x:c>
      <x:c r="B644" s="12" t="str">
        <x:v>2026-09-08</x:v>
      </x:c>
      <x:c r="C644" s="12" t="str">
        <x:v>17:00</x:v>
      </x:c>
      <x:c r="D644" s="13" t="n">
        <x:v>1938</x:v>
      </x:c>
      <x:c r="E644" s="13" t="n">
        <x:v>157</x:v>
      </x:c>
      <x:c r="F644" s="13" t="n">
        <x:v>2095</x:v>
      </x:c>
      <x:c r="G644" s="13" t="n">
        <x:v>1302</x:v>
      </x:c>
      <x:c r="H644" s="13" t="n">
        <x:v>68</x:v>
      </x:c>
      <x:c r="I644" s="13" t="n">
        <x:v>1370</x:v>
      </x:c>
      <x:c r="J644" s="13" t="n">
        <x:v>-725</x:v>
      </x:c>
      <x:c r="K644" s="14" t="n">
        <x:f>IFERROR(F644/SUMIFS($F:$F,$B:$B,B644),0)</x:f>
        <x:v>0.04642762166474603</x:v>
      </x:c>
      <x:c r="L644" s="12" t="str">
        <x:v>14–17</x:v>
      </x:c>
    </x:row>
    <x:row r="645">
      <x:c r="A645" s="12" t="str">
        <x:v>9/1–9/17平日</x:v>
      </x:c>
      <x:c r="B645" s="12" t="str">
        <x:v>2026-09-08</x:v>
      </x:c>
      <x:c r="C645" s="12" t="str">
        <x:v>18:00</x:v>
      </x:c>
      <x:c r="D645" s="13" t="n">
        <x:v>1149</x:v>
      </x:c>
      <x:c r="E645" s="13" t="n">
        <x:v>64</x:v>
      </x:c>
      <x:c r="F645" s="13" t="n">
        <x:v>1213</x:v>
      </x:c>
      <x:c r="G645" s="13" t="n">
        <x:v>931</x:v>
      </x:c>
      <x:c r="H645" s="13" t="n">
        <x:v>39</x:v>
      </x:c>
      <x:c r="I645" s="13" t="n">
        <x:v>970</x:v>
      </x:c>
      <x:c r="J645" s="13" t="n">
        <x:v>-243</x:v>
      </x:c>
      <x:c r="K645" s="14" t="n">
        <x:f>IFERROR(F645/SUMIFS($F:$F,$B:$B,B645),0)</x:f>
        <x:v>0.026881482138108325</x:v>
      </x:c>
      <x:c r="L645" s="12" t="str">
        <x:v>18–21</x:v>
      </x:c>
    </x:row>
    <x:row r="646">
      <x:c r="A646" s="12" t="str">
        <x:v>9/1–9/17平日</x:v>
      </x:c>
      <x:c r="B646" s="12" t="str">
        <x:v>2026-09-08</x:v>
      </x:c>
      <x:c r="C646" s="12" t="str">
        <x:v>19:00</x:v>
      </x:c>
      <x:c r="D646" s="13" t="n">
        <x:v>658</x:v>
      </x:c>
      <x:c r="E646" s="13" t="n">
        <x:v>46</x:v>
      </x:c>
      <x:c r="F646" s="13" t="n">
        <x:v>704</x:v>
      </x:c>
      <x:c r="G646" s="13" t="n">
        <x:v>628</x:v>
      </x:c>
      <x:c r="H646" s="13" t="n">
        <x:v>34</x:v>
      </x:c>
      <x:c r="I646" s="13" t="n">
        <x:v>662</x:v>
      </x:c>
      <x:c r="J646" s="13" t="n">
        <x:v>-42</x:v>
      </x:c>
      <x:c r="K646" s="14" t="n">
        <x:f>IFERROR(F646/SUMIFS($F:$F,$B:$B,B646),0)</x:f>
        <x:v>0.01560145377182874</x:v>
      </x:c>
      <x:c r="L646" s="12" t="str">
        <x:v>18–21</x:v>
      </x:c>
    </x:row>
    <x:row r="647">
      <x:c r="A647" s="12" t="str">
        <x:v>9/1–9/17平日</x:v>
      </x:c>
      <x:c r="B647" s="12" t="str">
        <x:v>2026-09-08</x:v>
      </x:c>
      <x:c r="C647" s="12" t="str">
        <x:v>20:00</x:v>
      </x:c>
      <x:c r="D647" s="13" t="n">
        <x:v>417</x:v>
      </x:c>
      <x:c r="E647" s="13" t="n">
        <x:v>29</x:v>
      </x:c>
      <x:c r="F647" s="13" t="n">
        <x:v>446</x:v>
      </x:c>
      <x:c r="G647" s="13" t="n">
        <x:v>374</x:v>
      </x:c>
      <x:c r="H647" s="13" t="n">
        <x:v>13</x:v>
      </x:c>
      <x:c r="I647" s="13" t="n">
        <x:v>387</x:v>
      </x:c>
      <x:c r="J647" s="13" t="n">
        <x:v>-59</x:v>
      </x:c>
      <x:c r="K647" s="14" t="n">
        <x:f>IFERROR(F647/SUMIFS($F:$F,$B:$B,B647),0)</x:f>
        <x:v>0.00988387554294832</x:v>
      </x:c>
      <x:c r="L647" s="12" t="str">
        <x:v>18–21</x:v>
      </x:c>
    </x:row>
    <x:row r="648">
      <x:c r="A648" s="12" t="str">
        <x:v>9/1–9/17平日</x:v>
      </x:c>
      <x:c r="B648" s="12" t="str">
        <x:v>2026-09-08</x:v>
      </x:c>
      <x:c r="C648" s="12" t="str">
        <x:v>21:00</x:v>
      </x:c>
      <x:c r="D648" s="13" t="n">
        <x:v>287</x:v>
      </x:c>
      <x:c r="E648" s="13" t="n">
        <x:v>35</x:v>
      </x:c>
      <x:c r="F648" s="13" t="n">
        <x:v>322</x:v>
      </x:c>
      <x:c r="G648" s="13" t="n">
        <x:v>295</x:v>
      </x:c>
      <x:c r="H648" s="13" t="n">
        <x:v>24</x:v>
      </x:c>
      <x:c r="I648" s="13" t="n">
        <x:v>319</x:v>
      </x:c>
      <x:c r="J648" s="13" t="n">
        <x:v>-3</x:v>
      </x:c>
      <x:c r="K648" s="14" t="n">
        <x:f>IFERROR(F648/SUMIFS($F:$F,$B:$B,B648),0)</x:f>
        <x:v>0.007135892208137576</x:v>
      </x:c>
      <x:c r="L648" s="12" t="str">
        <x:v>18–21</x:v>
      </x:c>
    </x:row>
    <x:row r="649">
      <x:c r="A649" s="12" t="str">
        <x:v>9/1–9/17平日</x:v>
      </x:c>
      <x:c r="B649" s="12" t="str">
        <x:v>2026-09-08</x:v>
      </x:c>
      <x:c r="C649" s="12" t="str">
        <x:v>22:00</x:v>
      </x:c>
      <x:c r="D649" s="13" t="n">
        <x:v>197</x:v>
      </x:c>
      <x:c r="E649" s="13" t="n">
        <x:v>18</x:v>
      </x:c>
      <x:c r="F649" s="13" t="n">
        <x:v>215</x:v>
      </x:c>
      <x:c r="G649" s="13" t="n">
        <x:v>226</x:v>
      </x:c>
      <x:c r="H649" s="13" t="n">
        <x:v>15</x:v>
      </x:c>
      <x:c r="I649" s="13" t="n">
        <x:v>241</x:v>
      </x:c>
      <x:c r="J649" s="13" t="n">
        <x:v>26</x:v>
      </x:c>
      <x:c r="K649" s="14" t="n">
        <x:f>IFERROR(F649/SUMIFS($F:$F,$B:$B,B649),0)</x:f>
        <x:v>0.004764648524067015</x:v>
      </x:c>
      <x:c r="L649" s="12" t="str">
        <x:v>22–23</x:v>
      </x:c>
    </x:row>
    <x:row r="650">
      <x:c r="A650" s="12" t="str">
        <x:v>9/1–9/17平日</x:v>
      </x:c>
      <x:c r="B650" s="12" t="str">
        <x:v>2026-09-08</x:v>
      </x:c>
      <x:c r="C650" s="12" t="str">
        <x:v>23:00</x:v>
      </x:c>
      <x:c r="D650" s="13" t="n">
        <x:v>131</x:v>
      </x:c>
      <x:c r="E650" s="13" t="n">
        <x:v>7</x:v>
      </x:c>
      <x:c r="F650" s="13" t="n">
        <x:v>138</x:v>
      </x:c>
      <x:c r="G650" s="13" t="n">
        <x:v>93</x:v>
      </x:c>
      <x:c r="H650" s="13" t="n">
        <x:v>2</x:v>
      </x:c>
      <x:c r="I650" s="13" t="n">
        <x:v>95</x:v>
      </x:c>
      <x:c r="J650" s="13" t="n">
        <x:v>-43</x:v>
      </x:c>
      <x:c r="K650" s="14" t="n">
        <x:f>IFERROR(F650/SUMIFS($F:$F,$B:$B,B650),0)</x:f>
        <x:v>0.003058239517773247</x:v>
      </x:c>
      <x:c r="L650" s="12" t="str">
        <x:v>22–23</x:v>
      </x:c>
    </x:row>
    <x:row r="651">
      <x:c r="A651" s="12" t="str">
        <x:v>9/1–9/17平日</x:v>
      </x:c>
      <x:c r="B651" s="12" t="str">
        <x:v>2026-09-09</x:v>
      </x:c>
      <x:c r="C651" s="12" t="str">
        <x:v>00:00</x:v>
      </x:c>
      <x:c r="D651" s="13" t="n">
        <x:v>80</x:v>
      </x:c>
      <x:c r="E651" s="13" t="n">
        <x:v>4</x:v>
      </x:c>
      <x:c r="F651" s="13" t="n">
        <x:v>84</x:v>
      </x:c>
      <x:c r="G651" s="13" t="n">
        <x:v>63</x:v>
      </x:c>
      <x:c r="H651" s="13" t="n">
        <x:v>2</x:v>
      </x:c>
      <x:c r="I651" s="13" t="n">
        <x:v>65</x:v>
      </x:c>
      <x:c r="J651" s="13" t="n">
        <x:v>-19</x:v>
      </x:c>
      <x:c r="K651" s="14" t="n">
        <x:f>IFERROR(F651/SUMIFS($F:$F,$B:$B,B651),0)</x:f>
        <x:v>0.0019881656804733726</x:v>
      </x:c>
      <x:c r="L651" s="12" t="str">
        <x:v>00–05</x:v>
      </x:c>
    </x:row>
    <x:row r="652">
      <x:c r="A652" s="12" t="str">
        <x:v>9/1–9/17平日</x:v>
      </x:c>
      <x:c r="B652" s="12" t="str">
        <x:v>2026-09-09</x:v>
      </x:c>
      <x:c r="C652" s="12" t="str">
        <x:v>01:00</x:v>
      </x:c>
      <x:c r="D652" s="13" t="n">
        <x:v>30</x:v>
      </x:c>
      <x:c r="E652" s="13" t="n">
        <x:v>1</x:v>
      </x:c>
      <x:c r="F652" s="13" t="n">
        <x:v>31</x:v>
      </x:c>
      <x:c r="G652" s="13" t="n">
        <x:v>14</x:v>
      </x:c>
      <x:c r="H652" s="13" t="n">
        <x:v>1</x:v>
      </x:c>
      <x:c r="I652" s="13" t="n">
        <x:v>15</x:v>
      </x:c>
      <x:c r="J652" s="13" t="n">
        <x:v>-16</x:v>
      </x:c>
      <x:c r="K652" s="14" t="n">
        <x:f>IFERROR(F652/SUMIFS($F:$F,$B:$B,B652),0)</x:f>
        <x:v>0.0007337278106508876</x:v>
      </x:c>
      <x:c r="L652" s="12" t="str">
        <x:v>00–05</x:v>
      </x:c>
    </x:row>
    <x:row r="653">
      <x:c r="A653" s="12" t="str">
        <x:v>9/1–9/17平日</x:v>
      </x:c>
      <x:c r="B653" s="12" t="str">
        <x:v>2026-09-09</x:v>
      </x:c>
      <x:c r="C653" s="12" t="str">
        <x:v>02:00</x:v>
      </x:c>
      <x:c r="D653" s="13" t="n">
        <x:v>12</x:v>
      </x:c>
      <x:c r="E653" s="13" t="n">
        <x:v>0</x:v>
      </x:c>
      <x:c r="F653" s="13" t="n">
        <x:v>12</x:v>
      </x:c>
      <x:c r="G653" s="13" t="n">
        <x:v>12</x:v>
      </x:c>
      <x:c r="H653" s="13" t="n">
        <x:v>1</x:v>
      </x:c>
      <x:c r="I653" s="13" t="n">
        <x:v>13</x:v>
      </x:c>
      <x:c r="J653" s="13" t="n">
        <x:v>1</x:v>
      </x:c>
      <x:c r="K653" s="14" t="n">
        <x:f>IFERROR(F653/SUMIFS($F:$F,$B:$B,B653),0)</x:f>
        <x:v>0.00028402366863905325</x:v>
      </x:c>
      <x:c r="L653" s="12" t="str">
        <x:v>00–05</x:v>
      </x:c>
    </x:row>
    <x:row r="654">
      <x:c r="A654" s="12" t="str">
        <x:v>9/1–9/17平日</x:v>
      </x:c>
      <x:c r="B654" s="12" t="str">
        <x:v>2026-09-09</x:v>
      </x:c>
      <x:c r="C654" s="12" t="str">
        <x:v>03:00</x:v>
      </x:c>
      <x:c r="D654" s="13" t="n">
        <x:v>10</x:v>
      </x:c>
      <x:c r="E654" s="13" t="n">
        <x:v>1</x:v>
      </x:c>
      <x:c r="F654" s="13" t="n">
        <x:v>11</x:v>
      </x:c>
      <x:c r="G654" s="13" t="n">
        <x:v>13</x:v>
      </x:c>
      <x:c r="H654" s="13" t="n">
        <x:v>0</x:v>
      </x:c>
      <x:c r="I654" s="13" t="n">
        <x:v>13</x:v>
      </x:c>
      <x:c r="J654" s="13" t="n">
        <x:v>2</x:v>
      </x:c>
      <x:c r="K654" s="14" t="n">
        <x:f>IFERROR(F654/SUMIFS($F:$F,$B:$B,B654),0)</x:f>
        <x:v>0.0002603550295857988</x:v>
      </x:c>
      <x:c r="L654" s="12" t="str">
        <x:v>00–05</x:v>
      </x:c>
    </x:row>
    <x:row r="655">
      <x:c r="A655" s="12" t="str">
        <x:v>9/1–9/17平日</x:v>
      </x:c>
      <x:c r="B655" s="12" t="str">
        <x:v>2026-09-09</x:v>
      </x:c>
      <x:c r="C655" s="12" t="str">
        <x:v>04:00</x:v>
      </x:c>
      <x:c r="D655" s="13" t="n">
        <x:v>7</x:v>
      </x:c>
      <x:c r="E655" s="13" t="n">
        <x:v>0</x:v>
      </x:c>
      <x:c r="F655" s="13" t="n">
        <x:v>7</x:v>
      </x:c>
      <x:c r="G655" s="13" t="n">
        <x:v>7</x:v>
      </x:c>
      <x:c r="H655" s="13" t="n">
        <x:v>2</x:v>
      </x:c>
      <x:c r="I655" s="13" t="n">
        <x:v>9</x:v>
      </x:c>
      <x:c r="J655" s="13" t="n">
        <x:v>2</x:v>
      </x:c>
      <x:c r="K655" s="14" t="n">
        <x:f>IFERROR(F655/SUMIFS($F:$F,$B:$B,B655),0)</x:f>
        <x:v>0.00016568047337278108</x:v>
      </x:c>
      <x:c r="L655" s="12" t="str">
        <x:v>00–05</x:v>
      </x:c>
    </x:row>
    <x:row r="656">
      <x:c r="A656" s="12" t="str">
        <x:v>9/1–9/17平日</x:v>
      </x:c>
      <x:c r="B656" s="12" t="str">
        <x:v>2026-09-09</x:v>
      </x:c>
      <x:c r="C656" s="12" t="str">
        <x:v>05:00</x:v>
      </x:c>
      <x:c r="D656" s="13" t="n">
        <x:v>37</x:v>
      </x:c>
      <x:c r="E656" s="13" t="n">
        <x:v>1</x:v>
      </x:c>
      <x:c r="F656" s="13" t="n">
        <x:v>38</x:v>
      </x:c>
      <x:c r="G656" s="13" t="n">
        <x:v>48</x:v>
      </x:c>
      <x:c r="H656" s="13" t="n">
        <x:v>4</x:v>
      </x:c>
      <x:c r="I656" s="13" t="n">
        <x:v>52</x:v>
      </x:c>
      <x:c r="J656" s="13" t="n">
        <x:v>14</x:v>
      </x:c>
      <x:c r="K656" s="14" t="n">
        <x:f>IFERROR(F656/SUMIFS($F:$F,$B:$B,B656),0)</x:f>
        <x:v>0.0008994082840236686</x:v>
      </x:c>
      <x:c r="L656" s="12" t="str">
        <x:v>00–05</x:v>
      </x:c>
    </x:row>
    <x:row r="657">
      <x:c r="A657" s="12" t="str">
        <x:v>9/1–9/17平日</x:v>
      </x:c>
      <x:c r="B657" s="12" t="str">
        <x:v>2026-09-09</x:v>
      </x:c>
      <x:c r="C657" s="12" t="str">
        <x:v>06:00</x:v>
      </x:c>
      <x:c r="D657" s="13" t="n">
        <x:v>136</x:v>
      </x:c>
      <x:c r="E657" s="13" t="n">
        <x:v>2</x:v>
      </x:c>
      <x:c r="F657" s="13" t="n">
        <x:v>138</x:v>
      </x:c>
      <x:c r="G657" s="13" t="n">
        <x:v>153</x:v>
      </x:c>
      <x:c r="H657" s="13" t="n">
        <x:v>13</x:v>
      </x:c>
      <x:c r="I657" s="13" t="n">
        <x:v>166</x:v>
      </x:c>
      <x:c r="J657" s="13" t="n">
        <x:v>28</x:v>
      </x:c>
      <x:c r="K657" s="14" t="n">
        <x:f>IFERROR(F657/SUMIFS($F:$F,$B:$B,B657),0)</x:f>
        <x:v>0.0032662721893491125</x:v>
      </x:c>
      <x:c r="L657" s="12" t="str">
        <x:v>06–09</x:v>
      </x:c>
    </x:row>
    <x:row r="658">
      <x:c r="A658" s="12" t="str">
        <x:v>9/1–9/17平日</x:v>
      </x:c>
      <x:c r="B658" s="12" t="str">
        <x:v>2026-09-09</x:v>
      </x:c>
      <x:c r="C658" s="12" t="str">
        <x:v>07:00</x:v>
      </x:c>
      <x:c r="D658" s="13" t="n">
        <x:v>484</x:v>
      </x:c>
      <x:c r="E658" s="13" t="n">
        <x:v>20</x:v>
      </x:c>
      <x:c r="F658" s="13" t="n">
        <x:v>504</x:v>
      </x:c>
      <x:c r="G658" s="13" t="n">
        <x:v>606</x:v>
      </x:c>
      <x:c r="H658" s="13" t="n">
        <x:v>33</x:v>
      </x:c>
      <x:c r="I658" s="13" t="n">
        <x:v>639</x:v>
      </x:c>
      <x:c r="J658" s="13" t="n">
        <x:v>135</x:v>
      </x:c>
      <x:c r="K658" s="14" t="n">
        <x:f>IFERROR(F658/SUMIFS($F:$F,$B:$B,B658),0)</x:f>
        <x:v>0.011928994082840236</x:v>
      </x:c>
      <x:c r="L658" s="12" t="str">
        <x:v>06–09</x:v>
      </x:c>
    </x:row>
    <x:row r="659">
      <x:c r="A659" s="12" t="str">
        <x:v>9/1–9/17平日</x:v>
      </x:c>
      <x:c r="B659" s="12" t="str">
        <x:v>2026-09-09</x:v>
      </x:c>
      <x:c r="C659" s="12" t="str">
        <x:v>08:00</x:v>
      </x:c>
      <x:c r="D659" s="13" t="n">
        <x:v>1004</x:v>
      </x:c>
      <x:c r="E659" s="13" t="n">
        <x:v>59</x:v>
      </x:c>
      <x:c r="F659" s="13" t="n">
        <x:v>1063</x:v>
      </x:c>
      <x:c r="G659" s="13" t="n">
        <x:v>1408</x:v>
      </x:c>
      <x:c r="H659" s="13" t="n">
        <x:v>105</x:v>
      </x:c>
      <x:c r="I659" s="13" t="n">
        <x:v>1513</x:v>
      </x:c>
      <x:c r="J659" s="13" t="n">
        <x:v>450</x:v>
      </x:c>
      <x:c r="K659" s="14" t="n">
        <x:f>IFERROR(F659/SUMIFS($F:$F,$B:$B,B659),0)</x:f>
        <x:v>0.025159763313609466</x:v>
      </x:c>
      <x:c r="L659" s="12" t="str">
        <x:v>06–09</x:v>
      </x:c>
    </x:row>
    <x:row r="660">
      <x:c r="A660" s="12" t="str">
        <x:v>9/1–9/17平日</x:v>
      </x:c>
      <x:c r="B660" s="12" t="str">
        <x:v>2026-09-09</x:v>
      </x:c>
      <x:c r="C660" s="12" t="str">
        <x:v>09:00</x:v>
      </x:c>
      <x:c r="D660" s="13" t="n">
        <x:v>1190</x:v>
      </x:c>
      <x:c r="E660" s="13" t="n">
        <x:v>79</x:v>
      </x:c>
      <x:c r="F660" s="13" t="n">
        <x:v>1269</x:v>
      </x:c>
      <x:c r="G660" s="13" t="n">
        <x:v>1594</x:v>
      </x:c>
      <x:c r="H660" s="13" t="n">
        <x:v>114</x:v>
      </x:c>
      <x:c r="I660" s="13" t="n">
        <x:v>1708</x:v>
      </x:c>
      <x:c r="J660" s="13" t="n">
        <x:v>439</x:v>
      </x:c>
      <x:c r="K660" s="14" t="n">
        <x:f>IFERROR(F660/SUMIFS($F:$F,$B:$B,B660),0)</x:f>
        <x:v>0.03003550295857988</x:v>
      </x:c>
      <x:c r="L660" s="12" t="str">
        <x:v>06–09</x:v>
      </x:c>
    </x:row>
    <x:row r="661">
      <x:c r="A661" s="12" t="str">
        <x:v>9/1–9/17平日</x:v>
      </x:c>
      <x:c r="B661" s="12" t="str">
        <x:v>2026-09-09</x:v>
      </x:c>
      <x:c r="C661" s="12" t="str">
        <x:v>10:00</x:v>
      </x:c>
      <x:c r="D661" s="13" t="n">
        <x:v>1481</x:v>
      </x:c>
      <x:c r="E661" s="13" t="n">
        <x:v>63</x:v>
      </x:c>
      <x:c r="F661" s="13" t="n">
        <x:v>1544</x:v>
      </x:c>
      <x:c r="G661" s="13" t="n">
        <x:v>1713</x:v>
      </x:c>
      <x:c r="H661" s="13" t="n">
        <x:v>98</x:v>
      </x:c>
      <x:c r="I661" s="13" t="n">
        <x:v>1811</x:v>
      </x:c>
      <x:c r="J661" s="13" t="n">
        <x:v>267</x:v>
      </x:c>
      <x:c r="K661" s="14" t="n">
        <x:f>IFERROR(F661/SUMIFS($F:$F,$B:$B,B661),0)</x:f>
        <x:v>0.036544378698224855</x:v>
      </x:c>
      <x:c r="L661" s="12" t="str">
        <x:v>10–13</x:v>
      </x:c>
    </x:row>
    <x:row r="662">
      <x:c r="A662" s="12" t="str">
        <x:v>9/1–9/17平日</x:v>
      </x:c>
      <x:c r="B662" s="12" t="str">
        <x:v>2026-09-09</x:v>
      </x:c>
      <x:c r="C662" s="12" t="str">
        <x:v>11:00</x:v>
      </x:c>
      <x:c r="D662" s="13" t="n">
        <x:v>1435</x:v>
      </x:c>
      <x:c r="E662" s="13" t="n">
        <x:v>46</x:v>
      </x:c>
      <x:c r="F662" s="13" t="n">
        <x:v>1481</x:v>
      </x:c>
      <x:c r="G662" s="13" t="n">
        <x:v>1269</x:v>
      </x:c>
      <x:c r="H662" s="13" t="n">
        <x:v>53</x:v>
      </x:c>
      <x:c r="I662" s="13" t="n">
        <x:v>1322</x:v>
      </x:c>
      <x:c r="J662" s="13" t="n">
        <x:v>-159</x:v>
      </x:c>
      <x:c r="K662" s="14" t="n">
        <x:f>IFERROR(F662/SUMIFS($F:$F,$B:$B,B662),0)</x:f>
        <x:v>0.03505325443786982</x:v>
      </x:c>
      <x:c r="L662" s="12" t="str">
        <x:v>10–13</x:v>
      </x:c>
    </x:row>
    <x:row r="663">
      <x:c r="A663" s="12" t="str">
        <x:v>9/1–9/17平日</x:v>
      </x:c>
      <x:c r="B663" s="12" t="str">
        <x:v>2026-09-09</x:v>
      </x:c>
      <x:c r="C663" s="12" t="str">
        <x:v>12:00</x:v>
      </x:c>
      <x:c r="D663" s="13" t="n">
        <x:v>2415</x:v>
      </x:c>
      <x:c r="E663" s="13" t="n">
        <x:v>148</x:v>
      </x:c>
      <x:c r="F663" s="13" t="n">
        <x:v>2563</x:v>
      </x:c>
      <x:c r="G663" s="13" t="n">
        <x:v>2379</x:v>
      </x:c>
      <x:c r="H663" s="13" t="n">
        <x:v>114</x:v>
      </x:c>
      <x:c r="I663" s="13" t="n">
        <x:v>2493</x:v>
      </x:c>
      <x:c r="J663" s="13" t="n">
        <x:v>-70</x:v>
      </x:c>
      <x:c r="K663" s="14" t="n">
        <x:f>IFERROR(F663/SUMIFS($F:$F,$B:$B,B663),0)</x:f>
        <x:v>0.060662721893491124</x:v>
      </x:c>
      <x:c r="L663" s="12" t="str">
        <x:v>10–13</x:v>
      </x:c>
    </x:row>
    <x:row r="664">
      <x:c r="A664" s="12" t="str">
        <x:v>9/1–9/17平日</x:v>
      </x:c>
      <x:c r="B664" s="12" t="str">
        <x:v>2026-09-09</x:v>
      </x:c>
      <x:c r="C664" s="12" t="str">
        <x:v>13:00</x:v>
      </x:c>
      <x:c r="D664" s="13" t="n">
        <x:v>2095</x:v>
      </x:c>
      <x:c r="E664" s="13" t="n">
        <x:v>99</x:v>
      </x:c>
      <x:c r="F664" s="13" t="n">
        <x:v>2194</x:v>
      </x:c>
      <x:c r="G664" s="13" t="n">
        <x:v>2258</x:v>
      </x:c>
      <x:c r="H664" s="13" t="n">
        <x:v>133</x:v>
      </x:c>
      <x:c r="I664" s="13" t="n">
        <x:v>2391</x:v>
      </x:c>
      <x:c r="J664" s="13" t="n">
        <x:v>197</x:v>
      </x:c>
      <x:c r="K664" s="14" t="n">
        <x:f>IFERROR(F664/SUMIFS($F:$F,$B:$B,B664),0)</x:f>
        <x:v>0.051928994082840234</x:v>
      </x:c>
      <x:c r="L664" s="12" t="str">
        <x:v>10–13</x:v>
      </x:c>
    </x:row>
    <x:row r="665">
      <x:c r="A665" s="12" t="str">
        <x:v>9/1–9/17平日</x:v>
      </x:c>
      <x:c r="B665" s="12" t="str">
        <x:v>2026-09-09</x:v>
      </x:c>
      <x:c r="C665" s="12" t="str">
        <x:v>14:00</x:v>
      </x:c>
      <x:c r="D665" s="13" t="n">
        <x:v>1879</x:v>
      </x:c>
      <x:c r="E665" s="13" t="n">
        <x:v>68</x:v>
      </x:c>
      <x:c r="F665" s="13" t="n">
        <x:v>1947</x:v>
      </x:c>
      <x:c r="G665" s="13" t="n">
        <x:v>1804</x:v>
      </x:c>
      <x:c r="H665" s="13" t="n">
        <x:v>63</x:v>
      </x:c>
      <x:c r="I665" s="13" t="n">
        <x:v>1867</x:v>
      </x:c>
      <x:c r="J665" s="13" t="n">
        <x:v>-80</x:v>
      </x:c>
      <x:c r="K665" s="14" t="n">
        <x:f>IFERROR(F665/SUMIFS($F:$F,$B:$B,B665),0)</x:f>
        <x:v>0.04608284023668639</x:v>
      </x:c>
      <x:c r="L665" s="12" t="str">
        <x:v>14–17</x:v>
      </x:c>
    </x:row>
    <x:row r="666">
      <x:c r="A666" s="12" t="str">
        <x:v>9/1–9/17平日</x:v>
      </x:c>
      <x:c r="B666" s="12" t="str">
        <x:v>2026-09-09</x:v>
      </x:c>
      <x:c r="C666" s="12" t="str">
        <x:v>15:00</x:v>
      </x:c>
      <x:c r="D666" s="13" t="n">
        <x:v>2186</x:v>
      </x:c>
      <x:c r="E666" s="13" t="n">
        <x:v>101</x:v>
      </x:c>
      <x:c r="F666" s="13" t="n">
        <x:v>2287</x:v>
      </x:c>
      <x:c r="G666" s="13" t="n">
        <x:v>1965</x:v>
      </x:c>
      <x:c r="H666" s="13" t="n">
        <x:v>81</x:v>
      </x:c>
      <x:c r="I666" s="13" t="n">
        <x:v>2046</x:v>
      </x:c>
      <x:c r="J666" s="13" t="n">
        <x:v>-241</x:v>
      </x:c>
      <x:c r="K666" s="14" t="n">
        <x:f>IFERROR(F666/SUMIFS($F:$F,$B:$B,B666),0)</x:f>
        <x:v>0.0541301775147929</x:v>
      </x:c>
      <x:c r="L666" s="12" t="str">
        <x:v>14–17</x:v>
      </x:c>
    </x:row>
    <x:row r="667">
      <x:c r="A667" s="12" t="str">
        <x:v>9/1–9/17平日</x:v>
      </x:c>
      <x:c r="B667" s="12" t="str">
        <x:v>2026-09-09</x:v>
      </x:c>
      <x:c r="C667" s="12" t="str">
        <x:v>16:00</x:v>
      </x:c>
      <x:c r="D667" s="13" t="n">
        <x:v>1580</x:v>
      </x:c>
      <x:c r="E667" s="13" t="n">
        <x:v>90</x:v>
      </x:c>
      <x:c r="F667" s="13" t="n">
        <x:v>1670</x:v>
      </x:c>
      <x:c r="G667" s="13" t="n">
        <x:v>1195</x:v>
      </x:c>
      <x:c r="H667" s="13" t="n">
        <x:v>50</x:v>
      </x:c>
      <x:c r="I667" s="13" t="n">
        <x:v>1245</x:v>
      </x:c>
      <x:c r="J667" s="13" t="n">
        <x:v>-425</x:v>
      </x:c>
      <x:c r="K667" s="14" t="n">
        <x:f>IFERROR(F667/SUMIFS($F:$F,$B:$B,B667),0)</x:f>
        <x:v>0.039526627218934914</x:v>
      </x:c>
      <x:c r="L667" s="12" t="str">
        <x:v>14–17</x:v>
      </x:c>
    </x:row>
    <x:row r="668">
      <x:c r="A668" s="12" t="str">
        <x:v>9/1–9/17平日</x:v>
      </x:c>
      <x:c r="B668" s="12" t="str">
        <x:v>2026-09-09</x:v>
      </x:c>
      <x:c r="C668" s="12" t="str">
        <x:v>17:00</x:v>
      </x:c>
      <x:c r="D668" s="13" t="n">
        <x:v>1757</x:v>
      </x:c>
      <x:c r="E668" s="13" t="n">
        <x:v>116</x:v>
      </x:c>
      <x:c r="F668" s="13" t="n">
        <x:v>1873</x:v>
      </x:c>
      <x:c r="G668" s="13" t="n">
        <x:v>1167</x:v>
      </x:c>
      <x:c r="H668" s="13" t="n">
        <x:v>52</x:v>
      </x:c>
      <x:c r="I668" s="13" t="n">
        <x:v>1219</x:v>
      </x:c>
      <x:c r="J668" s="13" t="n">
        <x:v>-654</x:v>
      </x:c>
      <x:c r="K668" s="14" t="n">
        <x:f>IFERROR(F668/SUMIFS($F:$F,$B:$B,B668),0)</x:f>
        <x:v>0.044331360946745564</x:v>
      </x:c>
      <x:c r="L668" s="12" t="str">
        <x:v>14–17</x:v>
      </x:c>
    </x:row>
    <x:row r="669">
      <x:c r="A669" s="12" t="str">
        <x:v>9/1–9/17平日</x:v>
      </x:c>
      <x:c r="B669" s="12" t="str">
        <x:v>2026-09-09</x:v>
      </x:c>
      <x:c r="C669" s="12" t="str">
        <x:v>18:00</x:v>
      </x:c>
      <x:c r="D669" s="13" t="n">
        <x:v>854</x:v>
      </x:c>
      <x:c r="E669" s="13" t="n">
        <x:v>63</x:v>
      </x:c>
      <x:c r="F669" s="13" t="n">
        <x:v>917</x:v>
      </x:c>
      <x:c r="G669" s="13" t="n">
        <x:v>791</x:v>
      </x:c>
      <x:c r="H669" s="13" t="n">
        <x:v>42</x:v>
      </x:c>
      <x:c r="I669" s="13" t="n">
        <x:v>833</x:v>
      </x:c>
      <x:c r="J669" s="13" t="n">
        <x:v>-84</x:v>
      </x:c>
      <x:c r="K669" s="14" t="n">
        <x:f>IFERROR(F669/SUMIFS($F:$F,$B:$B,B669),0)</x:f>
        <x:v>0.02170414201183432</x:v>
      </x:c>
      <x:c r="L669" s="12" t="str">
        <x:v>18–21</x:v>
      </x:c>
    </x:row>
    <x:row r="670">
      <x:c r="A670" s="12" t="str">
        <x:v>9/1–9/17平日</x:v>
      </x:c>
      <x:c r="B670" s="12" t="str">
        <x:v>2026-09-09</x:v>
      </x:c>
      <x:c r="C670" s="12" t="str">
        <x:v>19:00</x:v>
      </x:c>
      <x:c r="D670" s="13" t="n">
        <x:v>538</x:v>
      </x:c>
      <x:c r="E670" s="13" t="n">
        <x:v>24</x:v>
      </x:c>
      <x:c r="F670" s="13" t="n">
        <x:v>562</x:v>
      </x:c>
      <x:c r="G670" s="13" t="n">
        <x:v>443</x:v>
      </x:c>
      <x:c r="H670" s="13" t="n">
        <x:v>17</x:v>
      </x:c>
      <x:c r="I670" s="13" t="n">
        <x:v>460</x:v>
      </x:c>
      <x:c r="J670" s="13" t="n">
        <x:v>-102</x:v>
      </x:c>
      <x:c r="K670" s="14" t="n">
        <x:f>IFERROR(F670/SUMIFS($F:$F,$B:$B,B670),0)</x:f>
        <x:v>0.013301775147928994</x:v>
      </x:c>
      <x:c r="L670" s="12" t="str">
        <x:v>18–21</x:v>
      </x:c>
    </x:row>
    <x:row r="671">
      <x:c r="A671" s="12" t="str">
        <x:v>9/1–9/17平日</x:v>
      </x:c>
      <x:c r="B671" s="12" t="str">
        <x:v>2026-09-09</x:v>
      </x:c>
      <x:c r="C671" s="12" t="str">
        <x:v>20:00</x:v>
      </x:c>
      <x:c r="D671" s="13" t="n">
        <x:v>357</x:v>
      </x:c>
      <x:c r="E671" s="13" t="n">
        <x:v>27</x:v>
      </x:c>
      <x:c r="F671" s="13" t="n">
        <x:v>384</x:v>
      </x:c>
      <x:c r="G671" s="13" t="n">
        <x:v>329</x:v>
      </x:c>
      <x:c r="H671" s="13" t="n">
        <x:v>20</x:v>
      </x:c>
      <x:c r="I671" s="13" t="n">
        <x:v>349</x:v>
      </x:c>
      <x:c r="J671" s="13" t="n">
        <x:v>-35</x:v>
      </x:c>
      <x:c r="K671" s="14" t="n">
        <x:f>IFERROR(F671/SUMIFS($F:$F,$B:$B,B671),0)</x:f>
        <x:v>0.009088757396449704</x:v>
      </x:c>
      <x:c r="L671" s="12" t="str">
        <x:v>18–21</x:v>
      </x:c>
    </x:row>
    <x:row r="672">
      <x:c r="A672" s="12" t="str">
        <x:v>9/1–9/17平日</x:v>
      </x:c>
      <x:c r="B672" s="12" t="str">
        <x:v>2026-09-09</x:v>
      </x:c>
      <x:c r="C672" s="12" t="str">
        <x:v>21:00</x:v>
      </x:c>
      <x:c r="D672" s="13" t="n">
        <x:v>230</x:v>
      </x:c>
      <x:c r="E672" s="13" t="n">
        <x:v>19</x:v>
      </x:c>
      <x:c r="F672" s="13" t="n">
        <x:v>249</x:v>
      </x:c>
      <x:c r="G672" s="13" t="n">
        <x:v>242</x:v>
      </x:c>
      <x:c r="H672" s="13" t="n">
        <x:v>12</x:v>
      </x:c>
      <x:c r="I672" s="13" t="n">
        <x:v>254</x:v>
      </x:c>
      <x:c r="J672" s="13" t="n">
        <x:v>5</x:v>
      </x:c>
      <x:c r="K672" s="14" t="n">
        <x:f>IFERROR(F672/SUMIFS($F:$F,$B:$B,B672),0)</x:f>
        <x:v>0.005893491124260355</x:v>
      </x:c>
      <x:c r="L672" s="12" t="str">
        <x:v>18–21</x:v>
      </x:c>
    </x:row>
    <x:row r="673">
      <x:c r="A673" s="12" t="str">
        <x:v>9/1–9/17平日</x:v>
      </x:c>
      <x:c r="B673" s="12" t="str">
        <x:v>2026-09-09</x:v>
      </x:c>
      <x:c r="C673" s="12" t="str">
        <x:v>22:00</x:v>
      </x:c>
      <x:c r="D673" s="13" t="n">
        <x:v>161</x:v>
      </x:c>
      <x:c r="E673" s="13" t="n">
        <x:v>7</x:v>
      </x:c>
      <x:c r="F673" s="13" t="n">
        <x:v>168</x:v>
      </x:c>
      <x:c r="G673" s="13" t="n">
        <x:v>154</x:v>
      </x:c>
      <x:c r="H673" s="13" t="n">
        <x:v>8</x:v>
      </x:c>
      <x:c r="I673" s="13" t="n">
        <x:v>162</x:v>
      </x:c>
      <x:c r="J673" s="13" t="n">
        <x:v>-6</x:v>
      </x:c>
      <x:c r="K673" s="14" t="n">
        <x:f>IFERROR(F673/SUMIFS($F:$F,$B:$B,B673),0)</x:f>
        <x:v>0.003976331360946745</x:v>
      </x:c>
      <x:c r="L673" s="12" t="str">
        <x:v>22–23</x:v>
      </x:c>
    </x:row>
    <x:row r="674">
      <x:c r="A674" s="12" t="str">
        <x:v>9/1–9/17平日</x:v>
      </x:c>
      <x:c r="B674" s="12" t="str">
        <x:v>2026-09-09</x:v>
      </x:c>
      <x:c r="C674" s="12" t="str">
        <x:v>23:00</x:v>
      </x:c>
      <x:c r="D674" s="13" t="n">
        <x:v>123</x:v>
      </x:c>
      <x:c r="E674" s="13" t="n">
        <x:v>6</x:v>
      </x:c>
      <x:c r="F674" s="13" t="n">
        <x:v>129</x:v>
      </x:c>
      <x:c r="G674" s="13" t="n">
        <x:v>88</x:v>
      </x:c>
      <x:c r="H674" s="13" t="n">
        <x:v>3</x:v>
      </x:c>
      <x:c r="I674" s="13" t="n">
        <x:v>91</x:v>
      </x:c>
      <x:c r="J674" s="13" t="n">
        <x:v>-38</x:v>
      </x:c>
      <x:c r="K674" s="14" t="n">
        <x:f>IFERROR(F674/SUMIFS($F:$F,$B:$B,B674),0)</x:f>
        <x:v>0.0030532544378698225</x:v>
      </x:c>
      <x:c r="L674" s="12" t="str">
        <x:v>22–23</x:v>
      </x:c>
    </x:row>
    <x:row r="675">
      <x:c r="A675" s="12" t="str">
        <x:v>9/1–9/17平日</x:v>
      </x:c>
      <x:c r="B675" s="12" t="str">
        <x:v>2026-09-10</x:v>
      </x:c>
      <x:c r="C675" s="12" t="str">
        <x:v>00:00</x:v>
      </x:c>
      <x:c r="D675" s="13" t="n">
        <x:v>62</x:v>
      </x:c>
      <x:c r="E675" s="13" t="n">
        <x:v>0</x:v>
      </x:c>
      <x:c r="F675" s="13" t="n">
        <x:v>62</x:v>
      </x:c>
      <x:c r="G675" s="13" t="n">
        <x:v>58</x:v>
      </x:c>
      <x:c r="H675" s="13" t="n">
        <x:v>0</x:v>
      </x:c>
      <x:c r="I675" s="13" t="n">
        <x:v>58</x:v>
      </x:c>
      <x:c r="J675" s="13" t="n">
        <x:v>-4</x:v>
      </x:c>
      <x:c r="K675" s="14" t="n">
        <x:f>IFERROR(F675/SUMIFS($F:$F,$B:$B,B675),0)</x:f>
        <x:v>0.0015588856481947098</x:v>
      </x:c>
      <x:c r="L675" s="12" t="str">
        <x:v>00–05</x:v>
      </x:c>
    </x:row>
    <x:row r="676">
      <x:c r="A676" s="12" t="str">
        <x:v>9/1–9/17平日</x:v>
      </x:c>
      <x:c r="B676" s="12" t="str">
        <x:v>2026-09-10</x:v>
      </x:c>
      <x:c r="C676" s="12" t="str">
        <x:v>01:00</x:v>
      </x:c>
      <x:c r="D676" s="13" t="n">
        <x:v>17</x:v>
      </x:c>
      <x:c r="E676" s="13" t="n">
        <x:v>1</x:v>
      </x:c>
      <x:c r="F676" s="13" t="n">
        <x:v>18</x:v>
      </x:c>
      <x:c r="G676" s="13" t="n">
        <x:v>14</x:v>
      </x:c>
      <x:c r="H676" s="13" t="n">
        <x:v>3</x:v>
      </x:c>
      <x:c r="I676" s="13" t="n">
        <x:v>17</x:v>
      </x:c>
      <x:c r="J676" s="13" t="n">
        <x:v>-1</x:v>
      </x:c>
      <x:c r="K676" s="14" t="n">
        <x:f>IFERROR(F676/SUMIFS($F:$F,$B:$B,B676),0)</x:f>
        <x:v>0.0004525797043145932</x:v>
      </x:c>
      <x:c r="L676" s="12" t="str">
        <x:v>00–05</x:v>
      </x:c>
    </x:row>
    <x:row r="677">
      <x:c r="A677" s="12" t="str">
        <x:v>9/1–9/17平日</x:v>
      </x:c>
      <x:c r="B677" s="12" t="str">
        <x:v>2026-09-10</x:v>
      </x:c>
      <x:c r="C677" s="12" t="str">
        <x:v>02:00</x:v>
      </x:c>
      <x:c r="D677" s="13" t="n">
        <x:v>11</x:v>
      </x:c>
      <x:c r="E677" s="13" t="n">
        <x:v>0</x:v>
      </x:c>
      <x:c r="F677" s="13" t="n">
        <x:v>11</x:v>
      </x:c>
      <x:c r="G677" s="13" t="n">
        <x:v>13</x:v>
      </x:c>
      <x:c r="H677" s="13" t="n">
        <x:v>1</x:v>
      </x:c>
      <x:c r="I677" s="13" t="n">
        <x:v>14</x:v>
      </x:c>
      <x:c r="J677" s="13" t="n">
        <x:v>3</x:v>
      </x:c>
      <x:c r="K677" s="14" t="n">
        <x:f>IFERROR(F677/SUMIFS($F:$F,$B:$B,B677),0)</x:f>
        <x:v>0.00027657648597002914</x:v>
      </x:c>
      <x:c r="L677" s="12" t="str">
        <x:v>00–05</x:v>
      </x:c>
    </x:row>
    <x:row r="678">
      <x:c r="A678" s="12" t="str">
        <x:v>9/1–9/17平日</x:v>
      </x:c>
      <x:c r="B678" s="12" t="str">
        <x:v>2026-09-10</x:v>
      </x:c>
      <x:c r="C678" s="12" t="str">
        <x:v>03:00</x:v>
      </x:c>
      <x:c r="D678" s="13" t="n">
        <x:v>6</x:v>
      </x:c>
      <x:c r="E678" s="13" t="n">
        <x:v>1</x:v>
      </x:c>
      <x:c r="F678" s="13" t="n">
        <x:v>7</x:v>
      </x:c>
      <x:c r="G678" s="13" t="n">
        <x:v>14</x:v>
      </x:c>
      <x:c r="H678" s="13" t="n">
        <x:v>2</x:v>
      </x:c>
      <x:c r="I678" s="13" t="n">
        <x:v>16</x:v>
      </x:c>
      <x:c r="J678" s="13" t="n">
        <x:v>9</x:v>
      </x:c>
      <x:c r="K678" s="14" t="n">
        <x:f>IFERROR(F678/SUMIFS($F:$F,$B:$B,B678),0)</x:f>
        <x:v>0.00017600321834456402</x:v>
      </x:c>
      <x:c r="L678" s="12" t="str">
        <x:v>00–05</x:v>
      </x:c>
    </x:row>
    <x:row r="679">
      <x:c r="A679" s="12" t="str">
        <x:v>9/1–9/17平日</x:v>
      </x:c>
      <x:c r="B679" s="12" t="str">
        <x:v>2026-09-10</x:v>
      </x:c>
      <x:c r="C679" s="12" t="str">
        <x:v>04:00</x:v>
      </x:c>
      <x:c r="D679" s="13" t="n">
        <x:v>11</x:v>
      </x:c>
      <x:c r="E679" s="13" t="n">
        <x:v>0</x:v>
      </x:c>
      <x:c r="F679" s="13" t="n">
        <x:v>11</x:v>
      </x:c>
      <x:c r="G679" s="13" t="n">
        <x:v>14</x:v>
      </x:c>
      <x:c r="H679" s="13" t="n">
        <x:v>0</x:v>
      </x:c>
      <x:c r="I679" s="13" t="n">
        <x:v>14</x:v>
      </x:c>
      <x:c r="J679" s="13" t="n">
        <x:v>3</x:v>
      </x:c>
      <x:c r="K679" s="14" t="n">
        <x:f>IFERROR(F679/SUMIFS($F:$F,$B:$B,B679),0)</x:f>
        <x:v>0.00027657648597002914</x:v>
      </x:c>
      <x:c r="L679" s="12" t="str">
        <x:v>00–05</x:v>
      </x:c>
    </x:row>
    <x:row r="680">
      <x:c r="A680" s="12" t="str">
        <x:v>9/1–9/17平日</x:v>
      </x:c>
      <x:c r="B680" s="12" t="str">
        <x:v>2026-09-10</x:v>
      </x:c>
      <x:c r="C680" s="12" t="str">
        <x:v>05:00</x:v>
      </x:c>
      <x:c r="D680" s="13" t="n">
        <x:v>15</x:v>
      </x:c>
      <x:c r="E680" s="13" t="n">
        <x:v>3</x:v>
      </x:c>
      <x:c r="F680" s="13" t="n">
        <x:v>18</x:v>
      </x:c>
      <x:c r="G680" s="13" t="n">
        <x:v>31</x:v>
      </x:c>
      <x:c r="H680" s="13" t="n">
        <x:v>7</x:v>
      </x:c>
      <x:c r="I680" s="13" t="n">
        <x:v>38</x:v>
      </x:c>
      <x:c r="J680" s="13" t="n">
        <x:v>20</x:v>
      </x:c>
      <x:c r="K680" s="14" t="n">
        <x:f>IFERROR(F680/SUMIFS($F:$F,$B:$B,B680),0)</x:f>
        <x:v>0.0004525797043145932</x:v>
      </x:c>
      <x:c r="L680" s="12" t="str">
        <x:v>00–05</x:v>
      </x:c>
    </x:row>
    <x:row r="681">
      <x:c r="A681" s="12" t="str">
        <x:v>9/1–9/17平日</x:v>
      </x:c>
      <x:c r="B681" s="12" t="str">
        <x:v>2026-09-10</x:v>
      </x:c>
      <x:c r="C681" s="12" t="str">
        <x:v>06:00</x:v>
      </x:c>
      <x:c r="D681" s="13" t="n">
        <x:v>96</x:v>
      </x:c>
      <x:c r="E681" s="13" t="n">
        <x:v>3</x:v>
      </x:c>
      <x:c r="F681" s="13" t="n">
        <x:v>99</x:v>
      </x:c>
      <x:c r="G681" s="13" t="n">
        <x:v>127</x:v>
      </x:c>
      <x:c r="H681" s="13" t="n">
        <x:v>11</x:v>
      </x:c>
      <x:c r="I681" s="13" t="n">
        <x:v>138</x:v>
      </x:c>
      <x:c r="J681" s="13" t="n">
        <x:v>39</x:v>
      </x:c>
      <x:c r="K681" s="14" t="n">
        <x:f>IFERROR(F681/SUMIFS($F:$F,$B:$B,B681),0)</x:f>
        <x:v>0.0024891883737302627</x:v>
      </x:c>
      <x:c r="L681" s="12" t="str">
        <x:v>06–09</x:v>
      </x:c>
    </x:row>
    <x:row r="682">
      <x:c r="A682" s="12" t="str">
        <x:v>9/1–9/17平日</x:v>
      </x:c>
      <x:c r="B682" s="12" t="str">
        <x:v>2026-09-10</x:v>
      </x:c>
      <x:c r="C682" s="12" t="str">
        <x:v>07:00</x:v>
      </x:c>
      <x:c r="D682" s="13" t="n">
        <x:v>443</x:v>
      </x:c>
      <x:c r="E682" s="13" t="n">
        <x:v>12</x:v>
      </x:c>
      <x:c r="F682" s="13" t="n">
        <x:v>455</x:v>
      </x:c>
      <x:c r="G682" s="13" t="n">
        <x:v>605</x:v>
      </x:c>
      <x:c r="H682" s="13" t="n">
        <x:v>32</x:v>
      </x:c>
      <x:c r="I682" s="13" t="n">
        <x:v>637</x:v>
      </x:c>
      <x:c r="J682" s="13" t="n">
        <x:v>182</x:v>
      </x:c>
      <x:c r="K682" s="14" t="n">
        <x:f>IFERROR(F682/SUMIFS($F:$F,$B:$B,B682),0)</x:f>
        <x:v>0.011440209192396661</x:v>
      </x:c>
      <x:c r="L682" s="12" t="str">
        <x:v>06–09</x:v>
      </x:c>
    </x:row>
    <x:row r="683">
      <x:c r="A683" s="12" t="str">
        <x:v>9/1–9/17平日</x:v>
      </x:c>
      <x:c r="B683" s="12" t="str">
        <x:v>2026-09-10</x:v>
      </x:c>
      <x:c r="C683" s="12" t="str">
        <x:v>08:00</x:v>
      </x:c>
      <x:c r="D683" s="13" t="n">
        <x:v>988</x:v>
      </x:c>
      <x:c r="E683" s="13" t="n">
        <x:v>52</x:v>
      </x:c>
      <x:c r="F683" s="13" t="n">
        <x:v>1040</x:v>
      </x:c>
      <x:c r="G683" s="13" t="n">
        <x:v>1399</x:v>
      </x:c>
      <x:c r="H683" s="13" t="n">
        <x:v>79</x:v>
      </x:c>
      <x:c r="I683" s="13" t="n">
        <x:v>1478</x:v>
      </x:c>
      <x:c r="J683" s="13" t="n">
        <x:v>438</x:v>
      </x:c>
      <x:c r="K683" s="14" t="n">
        <x:f>IFERROR(F683/SUMIFS($F:$F,$B:$B,B683),0)</x:f>
        <x:v>0.026149049582620938</x:v>
      </x:c>
      <x:c r="L683" s="12" t="str">
        <x:v>06–09</x:v>
      </x:c>
    </x:row>
    <x:row r="684">
      <x:c r="A684" s="12" t="str">
        <x:v>9/1–9/17平日</x:v>
      </x:c>
      <x:c r="B684" s="12" t="str">
        <x:v>2026-09-10</x:v>
      </x:c>
      <x:c r="C684" s="12" t="str">
        <x:v>09:00</x:v>
      </x:c>
      <x:c r="D684" s="13" t="n">
        <x:v>1263</x:v>
      </x:c>
      <x:c r="E684" s="13" t="n">
        <x:v>48</x:v>
      </x:c>
      <x:c r="F684" s="13" t="n">
        <x:v>1311</x:v>
      </x:c>
      <x:c r="G684" s="13" t="n">
        <x:v>1674</x:v>
      </x:c>
      <x:c r="H684" s="13" t="n">
        <x:v>99</x:v>
      </x:c>
      <x:c r="I684" s="13" t="n">
        <x:v>1773</x:v>
      </x:c>
      <x:c r="J684" s="13" t="n">
        <x:v>462</x:v>
      </x:c>
      <x:c r="K684" s="14" t="n">
        <x:f>IFERROR(F684/SUMIFS($F:$F,$B:$B,B684),0)</x:f>
        <x:v>0.03296288846424621</x:v>
      </x:c>
      <x:c r="L684" s="12" t="str">
        <x:v>06–09</x:v>
      </x:c>
    </x:row>
    <x:row r="685">
      <x:c r="A685" s="12" t="str">
        <x:v>9/1–9/17平日</x:v>
      </x:c>
      <x:c r="B685" s="12" t="str">
        <x:v>2026-09-10</x:v>
      </x:c>
      <x:c r="C685" s="12" t="str">
        <x:v>10:00</x:v>
      </x:c>
      <x:c r="D685" s="13" t="n">
        <x:v>1435</x:v>
      </x:c>
      <x:c r="E685" s="13" t="n">
        <x:v>62</x:v>
      </x:c>
      <x:c r="F685" s="13" t="n">
        <x:v>1497</x:v>
      </x:c>
      <x:c r="G685" s="13" t="n">
        <x:v>1759</x:v>
      </x:c>
      <x:c r="H685" s="13" t="n">
        <x:v>106</x:v>
      </x:c>
      <x:c r="I685" s="13" t="n">
        <x:v>1865</x:v>
      </x:c>
      <x:c r="J685" s="13" t="n">
        <x:v>368</x:v>
      </x:c>
      <x:c r="K685" s="14" t="n">
        <x:f>IFERROR(F685/SUMIFS($F:$F,$B:$B,B685),0)</x:f>
        <x:v>0.037639545408830334</x:v>
      </x:c>
      <x:c r="L685" s="12" t="str">
        <x:v>10–13</x:v>
      </x:c>
    </x:row>
    <x:row r="686">
      <x:c r="A686" s="12" t="str">
        <x:v>9/1–9/17平日</x:v>
      </x:c>
      <x:c r="B686" s="12" t="str">
        <x:v>2026-09-10</x:v>
      </x:c>
      <x:c r="C686" s="12" t="str">
        <x:v>11:00</x:v>
      </x:c>
      <x:c r="D686" s="13" t="n">
        <x:v>953</x:v>
      </x:c>
      <x:c r="E686" s="13" t="n">
        <x:v>28</x:v>
      </x:c>
      <x:c r="F686" s="13" t="n">
        <x:v>981</x:v>
      </x:c>
      <x:c r="G686" s="13" t="n">
        <x:v>926</x:v>
      </x:c>
      <x:c r="H686" s="13" t="n">
        <x:v>39</x:v>
      </x:c>
      <x:c r="I686" s="13" t="n">
        <x:v>965</x:v>
      </x:c>
      <x:c r="J686" s="13" t="n">
        <x:v>-16</x:v>
      </x:c>
      <x:c r="K686" s="14" t="n">
        <x:f>IFERROR(F686/SUMIFS($F:$F,$B:$B,B686),0)</x:f>
        <x:v>0.024665593885145328</x:v>
      </x:c>
      <x:c r="L686" s="12" t="str">
        <x:v>10–13</x:v>
      </x:c>
    </x:row>
    <x:row r="687">
      <x:c r="A687" s="12" t="str">
        <x:v>9/1–9/17平日</x:v>
      </x:c>
      <x:c r="B687" s="12" t="str">
        <x:v>2026-09-10</x:v>
      </x:c>
      <x:c r="C687" s="12" t="str">
        <x:v>12:00</x:v>
      </x:c>
      <x:c r="D687" s="13" t="n">
        <x:v>1890</x:v>
      </x:c>
      <x:c r="E687" s="13" t="n">
        <x:v>86</x:v>
      </x:c>
      <x:c r="F687" s="13" t="n">
        <x:v>1976</x:v>
      </x:c>
      <x:c r="G687" s="13" t="n">
        <x:v>1641</x:v>
      </x:c>
      <x:c r="H687" s="13" t="n">
        <x:v>58</x:v>
      </x:c>
      <x:c r="I687" s="13" t="n">
        <x:v>1699</x:v>
      </x:c>
      <x:c r="J687" s="13" t="n">
        <x:v>-277</x:v>
      </x:c>
      <x:c r="K687" s="14" t="n">
        <x:f>IFERROR(F687/SUMIFS($F:$F,$B:$B,B687),0)</x:f>
        <x:v>0.04968319420697979</x:v>
      </x:c>
      <x:c r="L687" s="12" t="str">
        <x:v>10–13</x:v>
      </x:c>
    </x:row>
    <x:row r="688">
      <x:c r="A688" s="12" t="str">
        <x:v>9/1–9/17平日</x:v>
      </x:c>
      <x:c r="B688" s="12" t="str">
        <x:v>2026-09-10</x:v>
      </x:c>
      <x:c r="C688" s="12" t="str">
        <x:v>13:00</x:v>
      </x:c>
      <x:c r="D688" s="13" t="n">
        <x:v>1808</x:v>
      </x:c>
      <x:c r="E688" s="13" t="n">
        <x:v>55</x:v>
      </x:c>
      <x:c r="F688" s="13" t="n">
        <x:v>1863</x:v>
      </x:c>
      <x:c r="G688" s="13" t="n">
        <x:v>2039</x:v>
      </x:c>
      <x:c r="H688" s="13" t="n">
        <x:v>76</x:v>
      </x:c>
      <x:c r="I688" s="13" t="n">
        <x:v>2115</x:v>
      </x:c>
      <x:c r="J688" s="13" t="n">
        <x:v>252</x:v>
      </x:c>
      <x:c r="K688" s="14" t="n">
        <x:f>IFERROR(F688/SUMIFS($F:$F,$B:$B,B688),0)</x:f>
        <x:v>0.04684199939656039</x:v>
      </x:c>
      <x:c r="L688" s="12" t="str">
        <x:v>10–13</x:v>
      </x:c>
    </x:row>
    <x:row r="689">
      <x:c r="A689" s="12" t="str">
        <x:v>9/1–9/17平日</x:v>
      </x:c>
      <x:c r="B689" s="12" t="str">
        <x:v>2026-09-10</x:v>
      </x:c>
      <x:c r="C689" s="12" t="str">
        <x:v>14:00</x:v>
      </x:c>
      <x:c r="D689" s="13" t="n">
        <x:v>1622</x:v>
      </x:c>
      <x:c r="E689" s="13" t="n">
        <x:v>48</x:v>
      </x:c>
      <x:c r="F689" s="13" t="n">
        <x:v>1670</x:v>
      </x:c>
      <x:c r="G689" s="13" t="n">
        <x:v>1726</x:v>
      </x:c>
      <x:c r="H689" s="13" t="n">
        <x:v>57</x:v>
      </x:c>
      <x:c r="I689" s="13" t="n">
        <x:v>1783</x:v>
      </x:c>
      <x:c r="J689" s="13" t="n">
        <x:v>113</x:v>
      </x:c>
      <x:c r="K689" s="14" t="n">
        <x:f>IFERROR(F689/SUMIFS($F:$F,$B:$B,B689),0)</x:f>
        <x:v>0.0419893392336317</x:v>
      </x:c>
      <x:c r="L689" s="12" t="str">
        <x:v>14–17</x:v>
      </x:c>
    </x:row>
    <x:row r="690">
      <x:c r="A690" s="12" t="str">
        <x:v>9/1–9/17平日</x:v>
      </x:c>
      <x:c r="B690" s="12" t="str">
        <x:v>2026-09-10</x:v>
      </x:c>
      <x:c r="C690" s="12" t="str">
        <x:v>15:00</x:v>
      </x:c>
      <x:c r="D690" s="13" t="n">
        <x:v>2046</x:v>
      </x:c>
      <x:c r="E690" s="13" t="n">
        <x:v>61</x:v>
      </x:c>
      <x:c r="F690" s="13" t="n">
        <x:v>2107</x:v>
      </x:c>
      <x:c r="G690" s="13" t="n">
        <x:v>1854</x:v>
      </x:c>
      <x:c r="H690" s="13" t="n">
        <x:v>60</x:v>
      </x:c>
      <x:c r="I690" s="13" t="n">
        <x:v>1914</x:v>
      </x:c>
      <x:c r="J690" s="13" t="n">
        <x:v>-193</x:v>
      </x:c>
      <x:c r="K690" s="14" t="n">
        <x:f>IFERROR(F690/SUMIFS($F:$F,$B:$B,B690),0)</x:f>
        <x:v>0.05297696872171377</x:v>
      </x:c>
      <x:c r="L690" s="12" t="str">
        <x:v>14–17</x:v>
      </x:c>
    </x:row>
    <x:row r="691">
      <x:c r="A691" s="12" t="str">
        <x:v>9/1–9/17平日</x:v>
      </x:c>
      <x:c r="B691" s="12" t="str">
        <x:v>2026-09-10</x:v>
      </x:c>
      <x:c r="C691" s="12" t="str">
        <x:v>16:00</x:v>
      </x:c>
      <x:c r="D691" s="13" t="n">
        <x:v>1781</x:v>
      </x:c>
      <x:c r="E691" s="13" t="n">
        <x:v>104</x:v>
      </x:c>
      <x:c r="F691" s="13" t="n">
        <x:v>1885</x:v>
      </x:c>
      <x:c r="G691" s="13" t="n">
        <x:v>1222</x:v>
      </x:c>
      <x:c r="H691" s="13" t="n">
        <x:v>43</x:v>
      </x:c>
      <x:c r="I691" s="13" t="n">
        <x:v>1265</x:v>
      </x:c>
      <x:c r="J691" s="13" t="n">
        <x:v>-620</x:v>
      </x:c>
      <x:c r="K691" s="14" t="n">
        <x:f>IFERROR(F691/SUMIFS($F:$F,$B:$B,B691),0)</x:f>
        <x:v>0.047395152368500455</x:v>
      </x:c>
      <x:c r="L691" s="12" t="str">
        <x:v>14–17</x:v>
      </x:c>
    </x:row>
    <x:row r="692">
      <x:c r="A692" s="12" t="str">
        <x:v>9/1–9/17平日</x:v>
      </x:c>
      <x:c r="B692" s="12" t="str">
        <x:v>2026-09-10</x:v>
      </x:c>
      <x:c r="C692" s="12" t="str">
        <x:v>17:00</x:v>
      </x:c>
      <x:c r="D692" s="13" t="n">
        <x:v>1678</x:v>
      </x:c>
      <x:c r="E692" s="13" t="n">
        <x:v>114</x:v>
      </x:c>
      <x:c r="F692" s="13" t="n">
        <x:v>1792</x:v>
      </x:c>
      <x:c r="G692" s="13" t="n">
        <x:v>1266</x:v>
      </x:c>
      <x:c r="H692" s="13" t="n">
        <x:v>55</x:v>
      </x:c>
      <x:c r="I692" s="13" t="n">
        <x:v>1321</x:v>
      </x:c>
      <x:c r="J692" s="13" t="n">
        <x:v>-471</x:v>
      </x:c>
      <x:c r="K692" s="14" t="n">
        <x:f>IFERROR(F692/SUMIFS($F:$F,$B:$B,B692),0)</x:f>
        <x:v>0.04505682389620839</x:v>
      </x:c>
      <x:c r="L692" s="12" t="str">
        <x:v>14–17</x:v>
      </x:c>
    </x:row>
    <x:row r="693">
      <x:c r="A693" s="12" t="str">
        <x:v>9/1–9/17平日</x:v>
      </x:c>
      <x:c r="B693" s="12" t="str">
        <x:v>2026-09-10</x:v>
      </x:c>
      <x:c r="C693" s="12" t="str">
        <x:v>18:00</x:v>
      </x:c>
      <x:c r="D693" s="13" t="n">
        <x:v>1138</x:v>
      </x:c>
      <x:c r="E693" s="13" t="n">
        <x:v>64</x:v>
      </x:c>
      <x:c r="F693" s="13" t="n">
        <x:v>1202</x:v>
      </x:c>
      <x:c r="G693" s="13" t="n">
        <x:v>899</x:v>
      </x:c>
      <x:c r="H693" s="13" t="n">
        <x:v>44</x:v>
      </x:c>
      <x:c r="I693" s="13" t="n">
        <x:v>943</x:v>
      </x:c>
      <x:c r="J693" s="13" t="n">
        <x:v>-259</x:v>
      </x:c>
      <x:c r="K693" s="14" t="n">
        <x:f>IFERROR(F693/SUMIFS($F:$F,$B:$B,B693),0)</x:f>
        <x:v>0.030222266921452277</x:v>
      </x:c>
      <x:c r="L693" s="12" t="str">
        <x:v>18–21</x:v>
      </x:c>
    </x:row>
    <x:row r="694">
      <x:c r="A694" s="12" t="str">
        <x:v>9/1–9/17平日</x:v>
      </x:c>
      <x:c r="B694" s="12" t="str">
        <x:v>2026-09-10</x:v>
      </x:c>
      <x:c r="C694" s="12" t="str">
        <x:v>19:00</x:v>
      </x:c>
      <x:c r="D694" s="13" t="n">
        <x:v>620</x:v>
      </x:c>
      <x:c r="E694" s="13" t="n">
        <x:v>26</x:v>
      </x:c>
      <x:c r="F694" s="13" t="n">
        <x:v>646</x:v>
      </x:c>
      <x:c r="G694" s="13" t="n">
        <x:v>542</x:v>
      </x:c>
      <x:c r="H694" s="13" t="n">
        <x:v>20</x:v>
      </x:c>
      <x:c r="I694" s="13" t="n">
        <x:v>562</x:v>
      </x:c>
      <x:c r="J694" s="13" t="n">
        <x:v>-84</x:v>
      </x:c>
      <x:c r="K694" s="14" t="n">
        <x:f>IFERROR(F694/SUMIFS($F:$F,$B:$B,B694),0)</x:f>
        <x:v>0.016242582721512622</x:v>
      </x:c>
      <x:c r="L694" s="12" t="str">
        <x:v>18–21</x:v>
      </x:c>
    </x:row>
    <x:row r="695">
      <x:c r="A695" s="12" t="str">
        <x:v>9/1–9/17平日</x:v>
      </x:c>
      <x:c r="B695" s="12" t="str">
        <x:v>2026-09-10</x:v>
      </x:c>
      <x:c r="C695" s="12" t="str">
        <x:v>20:00</x:v>
      </x:c>
      <x:c r="D695" s="13" t="n">
        <x:v>520</x:v>
      </x:c>
      <x:c r="E695" s="13" t="n">
        <x:v>28</x:v>
      </x:c>
      <x:c r="F695" s="13" t="n">
        <x:v>548</x:v>
      </x:c>
      <x:c r="G695" s="13" t="n">
        <x:v>374</x:v>
      </x:c>
      <x:c r="H695" s="13" t="n">
        <x:v>15</x:v>
      </x:c>
      <x:c r="I695" s="13" t="n">
        <x:v>389</x:v>
      </x:c>
      <x:c r="J695" s="13" t="n">
        <x:v>-159</x:v>
      </x:c>
      <x:c r="K695" s="14" t="n">
        <x:f>IFERROR(F695/SUMIFS($F:$F,$B:$B,B695),0)</x:f>
        <x:v>0.013778537664688726</x:v>
      </x:c>
      <x:c r="L695" s="12" t="str">
        <x:v>18–21</x:v>
      </x:c>
    </x:row>
    <x:row r="696">
      <x:c r="A696" s="12" t="str">
        <x:v>9/1–9/17平日</x:v>
      </x:c>
      <x:c r="B696" s="12" t="str">
        <x:v>2026-09-10</x:v>
      </x:c>
      <x:c r="C696" s="12" t="str">
        <x:v>21:00</x:v>
      </x:c>
      <x:c r="D696" s="13" t="n">
        <x:v>321</x:v>
      </x:c>
      <x:c r="E696" s="13" t="n">
        <x:v>35</x:v>
      </x:c>
      <x:c r="F696" s="13" t="n">
        <x:v>356</x:v>
      </x:c>
      <x:c r="G696" s="13" t="n">
        <x:v>287</x:v>
      </x:c>
      <x:c r="H696" s="13" t="n">
        <x:v>11</x:v>
      </x:c>
      <x:c r="I696" s="13" t="n">
        <x:v>298</x:v>
      </x:c>
      <x:c r="J696" s="13" t="n">
        <x:v>-58</x:v>
      </x:c>
      <x:c r="K696" s="14" t="n">
        <x:f>IFERROR(F696/SUMIFS($F:$F,$B:$B,B696),0)</x:f>
        <x:v>0.008951020818666399</x:v>
      </x:c>
      <x:c r="L696" s="12" t="str">
        <x:v>18–21</x:v>
      </x:c>
    </x:row>
    <x:row r="697">
      <x:c r="A697" s="12" t="str">
        <x:v>9/1–9/17平日</x:v>
      </x:c>
      <x:c r="B697" s="12" t="str">
        <x:v>2026-09-10</x:v>
      </x:c>
      <x:c r="C697" s="12" t="str">
        <x:v>22:00</x:v>
      </x:c>
      <x:c r="D697" s="13" t="n">
        <x:v>190</x:v>
      </x:c>
      <x:c r="E697" s="13" t="n">
        <x:v>11</x:v>
      </x:c>
      <x:c r="F697" s="13" t="n">
        <x:v>201</x:v>
      </x:c>
      <x:c r="G697" s="13" t="n">
        <x:v>180</x:v>
      </x:c>
      <x:c r="H697" s="13" t="n">
        <x:v>10</x:v>
      </x:c>
      <x:c r="I697" s="13" t="n">
        <x:v>190</x:v>
      </x:c>
      <x:c r="J697" s="13" t="n">
        <x:v>-11</x:v>
      </x:c>
      <x:c r="K697" s="14" t="n">
        <x:f>IFERROR(F697/SUMIFS($F:$F,$B:$B,B697),0)</x:f>
        <x:v>0.005053806698179624</x:v>
      </x:c>
      <x:c r="L697" s="12" t="str">
        <x:v>22–23</x:v>
      </x:c>
    </x:row>
    <x:row r="698">
      <x:c r="A698" s="12" t="str">
        <x:v>9/1–9/17平日</x:v>
      </x:c>
      <x:c r="B698" s="12" t="str">
        <x:v>2026-09-10</x:v>
      </x:c>
      <x:c r="C698" s="12" t="str">
        <x:v>23:00</x:v>
      </x:c>
      <x:c r="D698" s="13" t="n">
        <x:v>126</x:v>
      </x:c>
      <x:c r="E698" s="13" t="n">
        <x:v>4</x:v>
      </x:c>
      <x:c r="F698" s="13" t="n">
        <x:v>130</x:v>
      </x:c>
      <x:c r="G698" s="13" t="n">
        <x:v>112</x:v>
      </x:c>
      <x:c r="H698" s="13" t="n">
        <x:v>4</x:v>
      </x:c>
      <x:c r="I698" s="13" t="n">
        <x:v>116</x:v>
      </x:c>
      <x:c r="J698" s="13" t="n">
        <x:v>-14</x:v>
      </x:c>
      <x:c r="K698" s="14" t="n">
        <x:f>IFERROR(F698/SUMIFS($F:$F,$B:$B,B698),0)</x:f>
        <x:v>0.0032686311978276173</x:v>
      </x:c>
      <x:c r="L698" s="12" t="str">
        <x:v>22–23</x:v>
      </x:c>
    </x:row>
    <x:row r="699">
      <x:c r="A699" s="12" t="str">
        <x:v>9/1–9/17平日</x:v>
      </x:c>
      <x:c r="B699" s="12" t="str">
        <x:v>2026-09-11</x:v>
      </x:c>
      <x:c r="C699" s="12" t="str">
        <x:v>00:00</x:v>
      </x:c>
      <x:c r="D699" s="13" t="n">
        <x:v>71</x:v>
      </x:c>
      <x:c r="E699" s="13" t="n">
        <x:v>4</x:v>
      </x:c>
      <x:c r="F699" s="13" t="n">
        <x:v>75</x:v>
      </x:c>
      <x:c r="G699" s="13" t="n">
        <x:v>64</x:v>
      </x:c>
      <x:c r="H699" s="13" t="n">
        <x:v>2</x:v>
      </x:c>
      <x:c r="I699" s="13" t="n">
        <x:v>66</x:v>
      </x:c>
      <x:c r="J699" s="13" t="n">
        <x:v>-9</x:v>
      </x:c>
      <x:c r="K699" s="14" t="n">
        <x:f>IFERROR(F699/SUMIFS($F:$F,$B:$B,B699),0)</x:f>
        <x:v>0.0028678494952584887</x:v>
      </x:c>
      <x:c r="L699" s="12" t="str">
        <x:v>00–05</x:v>
      </x:c>
    </x:row>
    <x:row r="700">
      <x:c r="A700" s="12" t="str">
        <x:v>9/1–9/17平日</x:v>
      </x:c>
      <x:c r="B700" s="12" t="str">
        <x:v>2026-09-11</x:v>
      </x:c>
      <x:c r="C700" s="12" t="str">
        <x:v>01:00</x:v>
      </x:c>
      <x:c r="D700" s="13" t="n">
        <x:v>29</x:v>
      </x:c>
      <x:c r="E700" s="13" t="n">
        <x:v>0</x:v>
      </x:c>
      <x:c r="F700" s="13" t="n">
        <x:v>29</x:v>
      </x:c>
      <x:c r="G700" s="13" t="n">
        <x:v>19</x:v>
      </x:c>
      <x:c r="H700" s="13" t="n">
        <x:v>1</x:v>
      </x:c>
      <x:c r="I700" s="13" t="n">
        <x:v>20</x:v>
      </x:c>
      <x:c r="J700" s="13" t="n">
        <x:v>-9</x:v>
      </x:c>
      <x:c r="K700" s="14" t="n">
        <x:f>IFERROR(F700/SUMIFS($F:$F,$B:$B,B700),0)</x:f>
        <x:v>0.0011089018048332823</x:v>
      </x:c>
      <x:c r="L700" s="12" t="str">
        <x:v>00–05</x:v>
      </x:c>
    </x:row>
    <x:row r="701">
      <x:c r="A701" s="12" t="str">
        <x:v>9/1–9/17平日</x:v>
      </x:c>
      <x:c r="B701" s="12" t="str">
        <x:v>2026-09-11</x:v>
      </x:c>
      <x:c r="C701" s="12" t="str">
        <x:v>02:00</x:v>
      </x:c>
      <x:c r="D701" s="13" t="n">
        <x:v>10</x:v>
      </x:c>
      <x:c r="E701" s="13" t="n">
        <x:v>1</x:v>
      </x:c>
      <x:c r="F701" s="13" t="n">
        <x:v>11</x:v>
      </x:c>
      <x:c r="G701" s="13" t="n">
        <x:v>6</x:v>
      </x:c>
      <x:c r="H701" s="13" t="n">
        <x:v>0</x:v>
      </x:c>
      <x:c r="I701" s="13" t="n">
        <x:v>6</x:v>
      </x:c>
      <x:c r="J701" s="13" t="n">
        <x:v>-5</x:v>
      </x:c>
      <x:c r="K701" s="14" t="n">
        <x:f>IFERROR(F701/SUMIFS($F:$F,$B:$B,B701),0)</x:f>
        <x:v>0.000420617925971245</x:v>
      </x:c>
      <x:c r="L701" s="12" t="str">
        <x:v>00–05</x:v>
      </x:c>
    </x:row>
    <x:row r="702">
      <x:c r="A702" s="12" t="str">
        <x:v>9/1–9/17平日</x:v>
      </x:c>
      <x:c r="B702" s="12" t="str">
        <x:v>2026-09-11</x:v>
      </x:c>
      <x:c r="C702" s="12" t="str">
        <x:v>03:00</x:v>
      </x:c>
      <x:c r="D702" s="13" t="n">
        <x:v>5</x:v>
      </x:c>
      <x:c r="E702" s="13" t="n">
        <x:v>2</x:v>
      </x:c>
      <x:c r="F702" s="13" t="n">
        <x:v>7</x:v>
      </x:c>
      <x:c r="G702" s="13" t="n">
        <x:v>4</x:v>
      </x:c>
      <x:c r="H702" s="13" t="n">
        <x:v>0</x:v>
      </x:c>
      <x:c r="I702" s="13" t="n">
        <x:v>4</x:v>
      </x:c>
      <x:c r="J702" s="13" t="n">
        <x:v>-3</x:v>
      </x:c>
      <x:c r="K702" s="14" t="n">
        <x:f>IFERROR(F702/SUMIFS($F:$F,$B:$B,B702),0)</x:f>
        <x:v>0.0002676659528907923</x:v>
      </x:c>
      <x:c r="L702" s="12" t="str">
        <x:v>00–05</x:v>
      </x:c>
    </x:row>
    <x:row r="703">
      <x:c r="A703" s="12" t="str">
        <x:v>9/1–9/17平日</x:v>
      </x:c>
      <x:c r="B703" s="12" t="str">
        <x:v>2026-09-11</x:v>
      </x:c>
      <x:c r="C703" s="12" t="str">
        <x:v>04:00</x:v>
      </x:c>
      <x:c r="D703" s="13" t="n">
        <x:v>2</x:v>
      </x:c>
      <x:c r="E703" s="13" t="n">
        <x:v>0</x:v>
      </x:c>
      <x:c r="F703" s="13" t="n">
        <x:v>2</x:v>
      </x:c>
      <x:c r="G703" s="13" t="n">
        <x:v>2</x:v>
      </x:c>
      <x:c r="H703" s="13" t="n">
        <x:v>2</x:v>
      </x:c>
      <x:c r="I703" s="13" t="n">
        <x:v>4</x:v>
      </x:c>
      <x:c r="J703" s="13" t="n">
        <x:v>2</x:v>
      </x:c>
      <x:c r="K703" s="14" t="n">
        <x:f>IFERROR(F703/SUMIFS($F:$F,$B:$B,B703),0)</x:f>
        <x:v>0.00007647598654022637</x:v>
      </x:c>
      <x:c r="L703" s="12" t="str">
        <x:v>00–05</x:v>
      </x:c>
    </x:row>
    <x:row r="704">
      <x:c r="A704" s="12" t="str">
        <x:v>9/1–9/17平日</x:v>
      </x:c>
      <x:c r="B704" s="12" t="str">
        <x:v>2026-09-11</x:v>
      </x:c>
      <x:c r="C704" s="12" t="str">
        <x:v>05:00</x:v>
      </x:c>
      <x:c r="D704" s="13" t="n">
        <x:v>2</x:v>
      </x:c>
      <x:c r="E704" s="13" t="n">
        <x:v>1</x:v>
      </x:c>
      <x:c r="F704" s="13" t="n">
        <x:v>3</x:v>
      </x:c>
      <x:c r="G704" s="13" t="n">
        <x:v>7</x:v>
      </x:c>
      <x:c r="H704" s="13" t="n">
        <x:v>3</x:v>
      </x:c>
      <x:c r="I704" s="13" t="n">
        <x:v>10</x:v>
      </x:c>
      <x:c r="J704" s="13" t="n">
        <x:v>7</x:v>
      </x:c>
      <x:c r="K704" s="14" t="n">
        <x:f>IFERROR(F704/SUMIFS($F:$F,$B:$B,B704),0)</x:f>
        <x:v>0.00011471397981033955</x:v>
      </x:c>
      <x:c r="L704" s="12" t="str">
        <x:v>00–05</x:v>
      </x:c>
    </x:row>
    <x:row r="705">
      <x:c r="A705" s="12" t="str">
        <x:v>9/1–9/17平日</x:v>
      </x:c>
      <x:c r="B705" s="12" t="str">
        <x:v>2026-09-11</x:v>
      </x:c>
      <x:c r="C705" s="12" t="str">
        <x:v>06:00</x:v>
      </x:c>
      <x:c r="D705" s="13" t="n">
        <x:v>28</x:v>
      </x:c>
      <x:c r="E705" s="13" t="n">
        <x:v>1</x:v>
      </x:c>
      <x:c r="F705" s="13" t="n">
        <x:v>29</x:v>
      </x:c>
      <x:c r="G705" s="13" t="n">
        <x:v>44</x:v>
      </x:c>
      <x:c r="H705" s="13" t="n">
        <x:v>3</x:v>
      </x:c>
      <x:c r="I705" s="13" t="n">
        <x:v>47</x:v>
      </x:c>
      <x:c r="J705" s="13" t="n">
        <x:v>18</x:v>
      </x:c>
      <x:c r="K705" s="14" t="n">
        <x:f>IFERROR(F705/SUMIFS($F:$F,$B:$B,B705),0)</x:f>
        <x:v>0.0011089018048332823</x:v>
      </x:c>
      <x:c r="L705" s="12" t="str">
        <x:v>06–09</x:v>
      </x:c>
    </x:row>
    <x:row r="706">
      <x:c r="A706" s="12" t="str">
        <x:v>9/1–9/17平日</x:v>
      </x:c>
      <x:c r="B706" s="12" t="str">
        <x:v>2026-09-11</x:v>
      </x:c>
      <x:c r="C706" s="12" t="str">
        <x:v>07:00</x:v>
      </x:c>
      <x:c r="D706" s="13" t="n">
        <x:v>269</x:v>
      </x:c>
      <x:c r="E706" s="13" t="n">
        <x:v>13</x:v>
      </x:c>
      <x:c r="F706" s="13" t="n">
        <x:v>282</x:v>
      </x:c>
      <x:c r="G706" s="13" t="n">
        <x:v>411</x:v>
      </x:c>
      <x:c r="H706" s="13" t="n">
        <x:v>18</x:v>
      </x:c>
      <x:c r="I706" s="13" t="n">
        <x:v>429</x:v>
      </x:c>
      <x:c r="J706" s="13" t="n">
        <x:v>147</x:v>
      </x:c>
      <x:c r="K706" s="14" t="n">
        <x:f>IFERROR(F706/SUMIFS($F:$F,$B:$B,B706),0)</x:f>
        <x:v>0.010783114102171918</x:v>
      </x:c>
      <x:c r="L706" s="12" t="str">
        <x:v>06–09</x:v>
      </x:c>
    </x:row>
    <x:row r="707">
      <x:c r="A707" s="12" t="str">
        <x:v>9/1–9/17平日</x:v>
      </x:c>
      <x:c r="B707" s="12" t="str">
        <x:v>2026-09-11</x:v>
      </x:c>
      <x:c r="C707" s="12" t="str">
        <x:v>08:00</x:v>
      </x:c>
      <x:c r="D707" s="13" t="n">
        <x:v>476</x:v>
      </x:c>
      <x:c r="E707" s="13" t="n">
        <x:v>32</x:v>
      </x:c>
      <x:c r="F707" s="13" t="n">
        <x:v>508</x:v>
      </x:c>
      <x:c r="G707" s="13" t="n">
        <x:v>827</x:v>
      </x:c>
      <x:c r="H707" s="13" t="n">
        <x:v>56</x:v>
      </x:c>
      <x:c r="I707" s="13" t="n">
        <x:v>883</x:v>
      </x:c>
      <x:c r="J707" s="13" t="n">
        <x:v>375</x:v>
      </x:c>
      <x:c r="K707" s="14" t="n">
        <x:f>IFERROR(F707/SUMIFS($F:$F,$B:$B,B707),0)</x:f>
        <x:v>0.019424900581217496</x:v>
      </x:c>
      <x:c r="L707" s="12" t="str">
        <x:v>06–09</x:v>
      </x:c>
    </x:row>
    <x:row r="708">
      <x:c r="A708" s="12" t="str">
        <x:v>9/1–9/17平日</x:v>
      </x:c>
      <x:c r="B708" s="12" t="str">
        <x:v>2026-09-11</x:v>
      </x:c>
      <x:c r="C708" s="12" t="str">
        <x:v>09:00</x:v>
      </x:c>
      <x:c r="D708" s="13" t="n">
        <x:v>429</x:v>
      </x:c>
      <x:c r="E708" s="13" t="n">
        <x:v>27</x:v>
      </x:c>
      <x:c r="F708" s="13" t="n">
        <x:v>456</x:v>
      </x:c>
      <x:c r="G708" s="13" t="n">
        <x:v>681</x:v>
      </x:c>
      <x:c r="H708" s="13" t="n">
        <x:v>54</x:v>
      </x:c>
      <x:c r="I708" s="13" t="n">
        <x:v>735</x:v>
      </x:c>
      <x:c r="J708" s="13" t="n">
        <x:v>279</x:v>
      </x:c>
      <x:c r="K708" s="14" t="n">
        <x:f>IFERROR(F708/SUMIFS($F:$F,$B:$B,B708),0)</x:f>
        <x:v>0.01743652493117161</x:v>
      </x:c>
      <x:c r="L708" s="12" t="str">
        <x:v>06–09</x:v>
      </x:c>
    </x:row>
    <x:row r="709">
      <x:c r="A709" s="12" t="str">
        <x:v>9/1–9/17平日</x:v>
      </x:c>
      <x:c r="B709" s="12" t="str">
        <x:v>2026-09-11</x:v>
      </x:c>
      <x:c r="C709" s="12" t="str">
        <x:v>10:00</x:v>
      </x:c>
      <x:c r="D709" s="13" t="n">
        <x:v>778</x:v>
      </x:c>
      <x:c r="E709" s="13" t="n">
        <x:v>29</x:v>
      </x:c>
      <x:c r="F709" s="13" t="n">
        <x:v>807</x:v>
      </x:c>
      <x:c r="G709" s="13" t="n">
        <x:v>1018</x:v>
      </x:c>
      <x:c r="H709" s="13" t="n">
        <x:v>62</x:v>
      </x:c>
      <x:c r="I709" s="13" t="n">
        <x:v>1080</x:v>
      </x:c>
      <x:c r="J709" s="13" t="n">
        <x:v>273</x:v>
      </x:c>
      <x:c r="K709" s="14" t="n">
        <x:f>IFERROR(F709/SUMIFS($F:$F,$B:$B,B709),0)</x:f>
        <x:v>0.03085806056898134</x:v>
      </x:c>
      <x:c r="L709" s="12" t="str">
        <x:v>10–13</x:v>
      </x:c>
    </x:row>
    <x:row r="710">
      <x:c r="A710" s="12" t="str">
        <x:v>9/1–9/17平日</x:v>
      </x:c>
      <x:c r="B710" s="12" t="str">
        <x:v>2026-09-11</x:v>
      </x:c>
      <x:c r="C710" s="12" t="str">
        <x:v>11:00</x:v>
      </x:c>
      <x:c r="D710" s="13" t="n">
        <x:v>849</x:v>
      </x:c>
      <x:c r="E710" s="13" t="n">
        <x:v>26</x:v>
      </x:c>
      <x:c r="F710" s="13" t="n">
        <x:v>875</x:v>
      </x:c>
      <x:c r="G710" s="13" t="n">
        <x:v>753</x:v>
      </x:c>
      <x:c r="H710" s="13" t="n">
        <x:v>30</x:v>
      </x:c>
      <x:c r="I710" s="13" t="n">
        <x:v>783</x:v>
      </x:c>
      <x:c r="J710" s="13" t="n">
        <x:v>-92</x:v>
      </x:c>
      <x:c r="K710" s="14" t="n">
        <x:f>IFERROR(F710/SUMIFS($F:$F,$B:$B,B710),0)</x:f>
        <x:v>0.03345824411134904</x:v>
      </x:c>
      <x:c r="L710" s="12" t="str">
        <x:v>10–13</x:v>
      </x:c>
    </x:row>
    <x:row r="711">
      <x:c r="A711" s="12" t="str">
        <x:v>9/1–9/17平日</x:v>
      </x:c>
      <x:c r="B711" s="12" t="str">
        <x:v>2026-09-11</x:v>
      </x:c>
      <x:c r="C711" s="12" t="str">
        <x:v>12:00</x:v>
      </x:c>
      <x:c r="D711" s="13" t="n">
        <x:v>1502</x:v>
      </x:c>
      <x:c r="E711" s="13" t="n">
        <x:v>29</x:v>
      </x:c>
      <x:c r="F711" s="13" t="n">
        <x:v>1531</x:v>
      </x:c>
      <x:c r="G711" s="13" t="n">
        <x:v>1401</x:v>
      </x:c>
      <x:c r="H711" s="13" t="n">
        <x:v>30</x:v>
      </x:c>
      <x:c r="I711" s="13" t="n">
        <x:v>1431</x:v>
      </x:c>
      <x:c r="J711" s="13" t="n">
        <x:v>-100</x:v>
      </x:c>
      <x:c r="K711" s="14" t="n">
        <x:f>IFERROR(F711/SUMIFS($F:$F,$B:$B,B711),0)</x:f>
        <x:v>0.058542367696543286</x:v>
      </x:c>
      <x:c r="L711" s="12" t="str">
        <x:v>10–13</x:v>
      </x:c>
    </x:row>
    <x:row r="712">
      <x:c r="A712" s="12" t="str">
        <x:v>9/1–9/17平日</x:v>
      </x:c>
      <x:c r="B712" s="12" t="str">
        <x:v>2026-09-11</x:v>
      </x:c>
      <x:c r="C712" s="12" t="str">
        <x:v>13:00</x:v>
      </x:c>
      <x:c r="D712" s="13" t="n">
        <x:v>1201</x:v>
      </x:c>
      <x:c r="E712" s="13" t="n">
        <x:v>38</x:v>
      </x:c>
      <x:c r="F712" s="13" t="n">
        <x:v>1239</x:v>
      </x:c>
      <x:c r="G712" s="13" t="n">
        <x:v>1535</x:v>
      </x:c>
      <x:c r="H712" s="13" t="n">
        <x:v>58</x:v>
      </x:c>
      <x:c r="I712" s="13" t="n">
        <x:v>1593</x:v>
      </x:c>
      <x:c r="J712" s="13" t="n">
        <x:v>354</x:v>
      </x:c>
      <x:c r="K712" s="14" t="n">
        <x:f>IFERROR(F712/SUMIFS($F:$F,$B:$B,B712),0)</x:f>
        <x:v>0.04737687366167023</x:v>
      </x:c>
      <x:c r="L712" s="12" t="str">
        <x:v>10–13</x:v>
      </x:c>
    </x:row>
    <x:row r="713">
      <x:c r="A713" s="12" t="str">
        <x:v>9/1–9/17平日</x:v>
      </x:c>
      <x:c r="B713" s="12" t="str">
        <x:v>2026-09-11</x:v>
      </x:c>
      <x:c r="C713" s="12" t="str">
        <x:v>14:00</x:v>
      </x:c>
      <x:c r="D713" s="13" t="n">
        <x:v>1163</x:v>
      </x:c>
      <x:c r="E713" s="13" t="n">
        <x:v>41</x:v>
      </x:c>
      <x:c r="F713" s="13" t="n">
        <x:v>1204</x:v>
      </x:c>
      <x:c r="G713" s="13" t="n">
        <x:v>1069</x:v>
      </x:c>
      <x:c r="H713" s="13" t="n">
        <x:v>44</x:v>
      </x:c>
      <x:c r="I713" s="13" t="n">
        <x:v>1113</x:v>
      </x:c>
      <x:c r="J713" s="13" t="n">
        <x:v>-91</x:v>
      </x:c>
      <x:c r="K713" s="14" t="n">
        <x:f>IFERROR(F713/SUMIFS($F:$F,$B:$B,B713),0)</x:f>
        <x:v>0.046038543897216275</x:v>
      </x:c>
      <x:c r="L713" s="12" t="str">
        <x:v>14–17</x:v>
      </x:c>
    </x:row>
    <x:row r="714">
      <x:c r="A714" s="12" t="str">
        <x:v>9/1–9/17平日</x:v>
      </x:c>
      <x:c r="B714" s="12" t="str">
        <x:v>2026-09-11</x:v>
      </x:c>
      <x:c r="C714" s="12" t="str">
        <x:v>15:00</x:v>
      </x:c>
      <x:c r="D714" s="13" t="n">
        <x:v>1896</x:v>
      </x:c>
      <x:c r="E714" s="13" t="n">
        <x:v>75</x:v>
      </x:c>
      <x:c r="F714" s="13" t="n">
        <x:v>1971</x:v>
      </x:c>
      <x:c r="G714" s="13" t="n">
        <x:v>1412</x:v>
      </x:c>
      <x:c r="H714" s="13" t="n">
        <x:v>46</x:v>
      </x:c>
      <x:c r="I714" s="13" t="n">
        <x:v>1458</x:v>
      </x:c>
      <x:c r="J714" s="13" t="n">
        <x:v>-513</x:v>
      </x:c>
      <x:c r="K714" s="14" t="n">
        <x:f>IFERROR(F714/SUMIFS($F:$F,$B:$B,B714),0)</x:f>
        <x:v>0.07536708473539308</x:v>
      </x:c>
      <x:c r="L714" s="12" t="str">
        <x:v>14–17</x:v>
      </x:c>
    </x:row>
    <x:row r="715">
      <x:c r="A715" s="12" t="str">
        <x:v>9/1–9/17平日</x:v>
      </x:c>
      <x:c r="B715" s="12" t="str">
        <x:v>2026-09-11</x:v>
      </x:c>
      <x:c r="C715" s="12" t="str">
        <x:v>16:00</x:v>
      </x:c>
      <x:c r="D715" s="13" t="n">
        <x:v>1681</x:v>
      </x:c>
      <x:c r="E715" s="13" t="n">
        <x:v>91</x:v>
      </x:c>
      <x:c r="F715" s="13" t="n">
        <x:v>1772</x:v>
      </x:c>
      <x:c r="G715" s="13" t="n">
        <x:v>1172</x:v>
      </x:c>
      <x:c r="H715" s="13" t="n">
        <x:v>43</x:v>
      </x:c>
      <x:c r="I715" s="13" t="n">
        <x:v>1215</x:v>
      </x:c>
      <x:c r="J715" s="13" t="n">
        <x:v>-557</x:v>
      </x:c>
      <x:c r="K715" s="14" t="n">
        <x:f>IFERROR(F715/SUMIFS($F:$F,$B:$B,B715),0)</x:f>
        <x:v>0.06775772407464056</x:v>
      </x:c>
      <x:c r="L715" s="12" t="str">
        <x:v>14–17</x:v>
      </x:c>
    </x:row>
    <x:row r="716">
      <x:c r="A716" s="12" t="str">
        <x:v>9/1–9/17平日</x:v>
      </x:c>
      <x:c r="B716" s="12" t="str">
        <x:v>2026-09-11</x:v>
      </x:c>
      <x:c r="C716" s="12" t="str">
        <x:v>17:00</x:v>
      </x:c>
      <x:c r="D716" s="13" t="n">
        <x:v>1158</x:v>
      </x:c>
      <x:c r="E716" s="13" t="n">
        <x:v>109</x:v>
      </x:c>
      <x:c r="F716" s="13" t="n">
        <x:v>1267</x:v>
      </x:c>
      <x:c r="G716" s="13" t="n">
        <x:v>896</x:v>
      </x:c>
      <x:c r="H716" s="13" t="n">
        <x:v>63</x:v>
      </x:c>
      <x:c r="I716" s="13" t="n">
        <x:v>959</x:v>
      </x:c>
      <x:c r="J716" s="13" t="n">
        <x:v>-308</x:v>
      </x:c>
      <x:c r="K716" s="14" t="n">
        <x:f>IFERROR(F716/SUMIFS($F:$F,$B:$B,B716),0)</x:f>
        <x:v>0.0484475374732334</x:v>
      </x:c>
      <x:c r="L716" s="12" t="str">
        <x:v>14–17</x:v>
      </x:c>
    </x:row>
    <x:row r="717">
      <x:c r="A717" s="12" t="str">
        <x:v>9/1–9/17平日</x:v>
      </x:c>
      <x:c r="B717" s="12" t="str">
        <x:v>2026-09-11</x:v>
      </x:c>
      <x:c r="C717" s="12" t="str">
        <x:v>18:00</x:v>
      </x:c>
      <x:c r="D717" s="13" t="n">
        <x:v>320</x:v>
      </x:c>
      <x:c r="E717" s="13" t="n">
        <x:v>24</x:v>
      </x:c>
      <x:c r="F717" s="13" t="n">
        <x:v>344</x:v>
      </x:c>
      <x:c r="G717" s="13" t="n">
        <x:v>347</x:v>
      </x:c>
      <x:c r="H717" s="13" t="n">
        <x:v>24</x:v>
      </x:c>
      <x:c r="I717" s="13" t="n">
        <x:v>371</x:v>
      </x:c>
      <x:c r="J717" s="13" t="n">
        <x:v>27</x:v>
      </x:c>
      <x:c r="K717" s="14" t="n">
        <x:f>IFERROR(F717/SUMIFS($F:$F,$B:$B,B717),0)</x:f>
        <x:v>0.013153869684918936</x:v>
      </x:c>
      <x:c r="L717" s="12" t="str">
        <x:v>18–21</x:v>
      </x:c>
    </x:row>
    <x:row r="718">
      <x:c r="A718" s="12" t="str">
        <x:v>9/1–9/17平日</x:v>
      </x:c>
      <x:c r="B718" s="12" t="str">
        <x:v>2026-09-11</x:v>
      </x:c>
      <x:c r="C718" s="12" t="str">
        <x:v>19:00</x:v>
      </x:c>
      <x:c r="D718" s="13" t="n">
        <x:v>177</x:v>
      </x:c>
      <x:c r="E718" s="13" t="n">
        <x:v>6</x:v>
      </x:c>
      <x:c r="F718" s="13" t="n">
        <x:v>183</x:v>
      </x:c>
      <x:c r="G718" s="13" t="n">
        <x:v>167</x:v>
      </x:c>
      <x:c r="H718" s="13" t="n">
        <x:v>3</x:v>
      </x:c>
      <x:c r="I718" s="13" t="n">
        <x:v>170</x:v>
      </x:c>
      <x:c r="J718" s="13" t="n">
        <x:v>-13</x:v>
      </x:c>
      <x:c r="K718" s="14" t="n">
        <x:f>IFERROR(F718/SUMIFS($F:$F,$B:$B,B718),0)</x:f>
        <x:v>0.006997552768430713</x:v>
      </x:c>
      <x:c r="L718" s="12" t="str">
        <x:v>18–21</x:v>
      </x:c>
    </x:row>
    <x:row r="719">
      <x:c r="A719" s="12" t="str">
        <x:v>9/1–9/17平日</x:v>
      </x:c>
      <x:c r="B719" s="12" t="str">
        <x:v>2026-09-11</x:v>
      </x:c>
      <x:c r="C719" s="12" t="str">
        <x:v>20:00</x:v>
      </x:c>
      <x:c r="D719" s="13" t="n">
        <x:v>185</x:v>
      </x:c>
      <x:c r="E719" s="13" t="n">
        <x:v>1</x:v>
      </x:c>
      <x:c r="F719" s="13" t="n">
        <x:v>186</x:v>
      </x:c>
      <x:c r="G719" s="13" t="n">
        <x:v>145</x:v>
      </x:c>
      <x:c r="H719" s="13" t="n">
        <x:v>3</x:v>
      </x:c>
      <x:c r="I719" s="13" t="n">
        <x:v>148</x:v>
      </x:c>
      <x:c r="J719" s="13" t="n">
        <x:v>-38</x:v>
      </x:c>
      <x:c r="K719" s="14" t="n">
        <x:f>IFERROR(F719/SUMIFS($F:$F,$B:$B,B719),0)</x:f>
        <x:v>0.007112266748241052</x:v>
      </x:c>
      <x:c r="L719" s="12" t="str">
        <x:v>18–21</x:v>
      </x:c>
    </x:row>
    <x:row r="720">
      <x:c r="A720" s="12" t="str">
        <x:v>9/1–9/17平日</x:v>
      </x:c>
      <x:c r="B720" s="12" t="str">
        <x:v>2026-09-11</x:v>
      </x:c>
      <x:c r="C720" s="12" t="str">
        <x:v>21:00</x:v>
      </x:c>
      <x:c r="D720" s="13" t="n">
        <x:v>120</x:v>
      </x:c>
      <x:c r="E720" s="13" t="n">
        <x:v>5</x:v>
      </x:c>
      <x:c r="F720" s="13" t="n">
        <x:v>125</x:v>
      </x:c>
      <x:c r="G720" s="13" t="n">
        <x:v>74</x:v>
      </x:c>
      <x:c r="H720" s="13" t="n">
        <x:v>4</x:v>
      </x:c>
      <x:c r="I720" s="13" t="n">
        <x:v>78</x:v>
      </x:c>
      <x:c r="J720" s="13" t="n">
        <x:v>-47</x:v>
      </x:c>
      <x:c r="K720" s="14" t="n">
        <x:f>IFERROR(F720/SUMIFS($F:$F,$B:$B,B720),0)</x:f>
        <x:v>0.004779749158764148</x:v>
      </x:c>
      <x:c r="L720" s="12" t="str">
        <x:v>18–21</x:v>
      </x:c>
    </x:row>
    <x:row r="721">
      <x:c r="A721" s="12" t="str">
        <x:v>9/1–9/17平日</x:v>
      </x:c>
      <x:c r="B721" s="12" t="str">
        <x:v>2026-09-11</x:v>
      </x:c>
      <x:c r="C721" s="12" t="str">
        <x:v>22:00</x:v>
      </x:c>
      <x:c r="D721" s="13" t="n">
        <x:v>93</x:v>
      </x:c>
      <x:c r="E721" s="13" t="n">
        <x:v>1</x:v>
      </x:c>
      <x:c r="F721" s="13" t="n">
        <x:v>94</x:v>
      </x:c>
      <x:c r="G721" s="13" t="n">
        <x:v>62</x:v>
      </x:c>
      <x:c r="H721" s="13" t="n">
        <x:v>3</x:v>
      </x:c>
      <x:c r="I721" s="13" t="n">
        <x:v>65</x:v>
      </x:c>
      <x:c r="J721" s="13" t="n">
        <x:v>-29</x:v>
      </x:c>
      <x:c r="K721" s="14" t="n">
        <x:f>IFERROR(F721/SUMIFS($F:$F,$B:$B,B721),0)</x:f>
        <x:v>0.0035943713673906395</x:v>
      </x:c>
      <x:c r="L721" s="12" t="str">
        <x:v>22–23</x:v>
      </x:c>
    </x:row>
    <x:row r="722">
      <x:c r="A722" s="12" t="str">
        <x:v>9/1–9/17平日</x:v>
      </x:c>
      <x:c r="B722" s="12" t="str">
        <x:v>2026-09-11</x:v>
      </x:c>
      <x:c r="C722" s="12" t="str">
        <x:v>23:00</x:v>
      </x:c>
      <x:c r="D722" s="13" t="n">
        <x:v>70</x:v>
      </x:c>
      <x:c r="E722" s="13" t="n">
        <x:v>6</x:v>
      </x:c>
      <x:c r="F722" s="13" t="n">
        <x:v>76</x:v>
      </x:c>
      <x:c r="G722" s="13" t="n">
        <x:v>66</x:v>
      </x:c>
      <x:c r="H722" s="13" t="n">
        <x:v>5</x:v>
      </x:c>
      <x:c r="I722" s="13" t="n">
        <x:v>71</x:v>
      </x:c>
      <x:c r="J722" s="13" t="n">
        <x:v>-5</x:v>
      </x:c>
      <x:c r="K722" s="14" t="n">
        <x:f>IFERROR(F722/SUMIFS($F:$F,$B:$B,B722),0)</x:f>
        <x:v>0.002906087488528602</x:v>
      </x:c>
      <x:c r="L722" s="12" t="str">
        <x:v>22–23</x:v>
      </x:c>
    </x:row>
    <x:row r="723">
      <x:c r="A723" s="12" t="str">
        <x:v>9/1–9/17平日</x:v>
      </x:c>
      <x:c r="B723" s="12" t="str">
        <x:v>2026-09-14</x:v>
      </x:c>
      <x:c r="C723" s="12" t="str">
        <x:v>00:00</x:v>
      </x:c>
      <x:c r="D723" s="13" t="n">
        <x:v>88</x:v>
      </x:c>
      <x:c r="E723" s="13" t="n">
        <x:v>3</x:v>
      </x:c>
      <x:c r="F723" s="13" t="n">
        <x:v>91</x:v>
      </x:c>
      <x:c r="G723" s="13" t="n">
        <x:v>112</x:v>
      </x:c>
      <x:c r="H723" s="13" t="n">
        <x:v>1</x:v>
      </x:c>
      <x:c r="I723" s="13" t="n">
        <x:v>113</x:v>
      </x:c>
      <x:c r="J723" s="13" t="n">
        <x:v>22</x:v>
      </x:c>
      <x:c r="K723" s="14" t="n">
        <x:f>IFERROR(F723/SUMIFS($F:$F,$B:$B,B723),0)</x:f>
        <x:v>0.0023048477787346133</x:v>
      </x:c>
      <x:c r="L723" s="12" t="str">
        <x:v>00–05</x:v>
      </x:c>
    </x:row>
    <x:row r="724">
      <x:c r="A724" s="12" t="str">
        <x:v>9/1–9/17平日</x:v>
      </x:c>
      <x:c r="B724" s="12" t="str">
        <x:v>2026-09-14</x:v>
      </x:c>
      <x:c r="C724" s="12" t="str">
        <x:v>01:00</x:v>
      </x:c>
      <x:c r="D724" s="13" t="n">
        <x:v>40</x:v>
      </x:c>
      <x:c r="E724" s="13" t="n">
        <x:v>4</x:v>
      </x:c>
      <x:c r="F724" s="13" t="n">
        <x:v>44</x:v>
      </x:c>
      <x:c r="G724" s="13" t="n">
        <x:v>31</x:v>
      </x:c>
      <x:c r="H724" s="13" t="n">
        <x:v>2</x:v>
      </x:c>
      <x:c r="I724" s="13" t="n">
        <x:v>33</x:v>
      </x:c>
      <x:c r="J724" s="13" t="n">
        <x:v>-11</x:v>
      </x:c>
      <x:c r="K724" s="14" t="n">
        <x:f>IFERROR(F724/SUMIFS($F:$F,$B:$B,B724),0)</x:f>
        <x:v>0.0011144318930145383</x:v>
      </x:c>
      <x:c r="L724" s="12" t="str">
        <x:v>00–05</x:v>
      </x:c>
    </x:row>
    <x:row r="725">
      <x:c r="A725" s="12" t="str">
        <x:v>9/1–9/17平日</x:v>
      </x:c>
      <x:c r="B725" s="12" t="str">
        <x:v>2026-09-14</x:v>
      </x:c>
      <x:c r="C725" s="12" t="str">
        <x:v>02:00</x:v>
      </x:c>
      <x:c r="D725" s="13" t="n">
        <x:v>14</x:v>
      </x:c>
      <x:c r="E725" s="13" t="n">
        <x:v>1</x:v>
      </x:c>
      <x:c r="F725" s="13" t="n">
        <x:v>15</x:v>
      </x:c>
      <x:c r="G725" s="13" t="n">
        <x:v>17</x:v>
      </x:c>
      <x:c r="H725" s="13" t="n">
        <x:v>1</x:v>
      </x:c>
      <x:c r="I725" s="13" t="n">
        <x:v>18</x:v>
      </x:c>
      <x:c r="J725" s="13" t="n">
        <x:v>3</x:v>
      </x:c>
      <x:c r="K725" s="14" t="n">
        <x:f>IFERROR(F725/SUMIFS($F:$F,$B:$B,B725),0)</x:f>
        <x:v>0.0003799199635276835</x:v>
      </x:c>
      <x:c r="L725" s="12" t="str">
        <x:v>00–05</x:v>
      </x:c>
    </x:row>
    <x:row r="726">
      <x:c r="A726" s="12" t="str">
        <x:v>9/1–9/17平日</x:v>
      </x:c>
      <x:c r="B726" s="12" t="str">
        <x:v>2026-09-14</x:v>
      </x:c>
      <x:c r="C726" s="12" t="str">
        <x:v>03:00</x:v>
      </x:c>
      <x:c r="D726" s="13" t="n">
        <x:v>13</x:v>
      </x:c>
      <x:c r="E726" s="13" t="n">
        <x:v>1</x:v>
      </x:c>
      <x:c r="F726" s="13" t="n">
        <x:v>14</x:v>
      </x:c>
      <x:c r="G726" s="13" t="n">
        <x:v>9</x:v>
      </x:c>
      <x:c r="H726" s="13" t="n">
        <x:v>2</x:v>
      </x:c>
      <x:c r="I726" s="13" t="n">
        <x:v>11</x:v>
      </x:c>
      <x:c r="J726" s="13" t="n">
        <x:v>-3</x:v>
      </x:c>
      <x:c r="K726" s="14" t="n">
        <x:f>IFERROR(F726/SUMIFS($F:$F,$B:$B,B726),0)</x:f>
        <x:v>0.0003545919659591713</x:v>
      </x:c>
      <x:c r="L726" s="12" t="str">
        <x:v>00–05</x:v>
      </x:c>
    </x:row>
    <x:row r="727">
      <x:c r="A727" s="12" t="str">
        <x:v>9/1–9/17平日</x:v>
      </x:c>
      <x:c r="B727" s="12" t="str">
        <x:v>2026-09-14</x:v>
      </x:c>
      <x:c r="C727" s="12" t="str">
        <x:v>04:00</x:v>
      </x:c>
      <x:c r="D727" s="13" t="n">
        <x:v>9</x:v>
      </x:c>
      <x:c r="E727" s="13" t="n">
        <x:v>1</x:v>
      </x:c>
      <x:c r="F727" s="13" t="n">
        <x:v>10</x:v>
      </x:c>
      <x:c r="G727" s="13" t="n">
        <x:v>7</x:v>
      </x:c>
      <x:c r="H727" s="13" t="n">
        <x:v>1</x:v>
      </x:c>
      <x:c r="I727" s="13" t="n">
        <x:v>8</x:v>
      </x:c>
      <x:c r="J727" s="13" t="n">
        <x:v>-2</x:v>
      </x:c>
      <x:c r="K727" s="14" t="n">
        <x:f>IFERROR(F727/SUMIFS($F:$F,$B:$B,B727),0)</x:f>
        <x:v>0.00025327997568512235</x:v>
      </x:c>
      <x:c r="L727" s="12" t="str">
        <x:v>00–05</x:v>
      </x:c>
    </x:row>
    <x:row r="728">
      <x:c r="A728" s="12" t="str">
        <x:v>9/1–9/17平日</x:v>
      </x:c>
      <x:c r="B728" s="12" t="str">
        <x:v>2026-09-14</x:v>
      </x:c>
      <x:c r="C728" s="12" t="str">
        <x:v>05:00</x:v>
      </x:c>
      <x:c r="D728" s="13" t="n">
        <x:v>28</x:v>
      </x:c>
      <x:c r="E728" s="13" t="n">
        <x:v>1</x:v>
      </x:c>
      <x:c r="F728" s="13" t="n">
        <x:v>29</x:v>
      </x:c>
      <x:c r="G728" s="13" t="n">
        <x:v>29</x:v>
      </x:c>
      <x:c r="H728" s="13" t="n">
        <x:v>1</x:v>
      </x:c>
      <x:c r="I728" s="13" t="n">
        <x:v>30</x:v>
      </x:c>
      <x:c r="J728" s="13" t="n">
        <x:v>1</x:v>
      </x:c>
      <x:c r="K728" s="14" t="n">
        <x:f>IFERROR(F728/SUMIFS($F:$F,$B:$B,B728),0)</x:f>
        <x:v>0.0007345119294868548</x:v>
      </x:c>
      <x:c r="L728" s="12" t="str">
        <x:v>00–05</x:v>
      </x:c>
    </x:row>
    <x:row r="729">
      <x:c r="A729" s="12" t="str">
        <x:v>9/1–9/17平日</x:v>
      </x:c>
      <x:c r="B729" s="12" t="str">
        <x:v>2026-09-14</x:v>
      </x:c>
      <x:c r="C729" s="12" t="str">
        <x:v>06:00</x:v>
      </x:c>
      <x:c r="D729" s="13" t="n">
        <x:v>87</x:v>
      </x:c>
      <x:c r="E729" s="13" t="n">
        <x:v>2</x:v>
      </x:c>
      <x:c r="F729" s="13" t="n">
        <x:v>89</x:v>
      </x:c>
      <x:c r="G729" s="13" t="n">
        <x:v>120</x:v>
      </x:c>
      <x:c r="H729" s="13" t="n">
        <x:v>12</x:v>
      </x:c>
      <x:c r="I729" s="13" t="n">
        <x:v>132</x:v>
      </x:c>
      <x:c r="J729" s="13" t="n">
        <x:v>43</x:v>
      </x:c>
      <x:c r="K729" s="14" t="n">
        <x:f>IFERROR(F729/SUMIFS($F:$F,$B:$B,B729),0)</x:f>
        <x:v>0.0022541917835975887</x:v>
      </x:c>
      <x:c r="L729" s="12" t="str">
        <x:v>06–09</x:v>
      </x:c>
    </x:row>
    <x:row r="730">
      <x:c r="A730" s="12" t="str">
        <x:v>9/1–9/17平日</x:v>
      </x:c>
      <x:c r="B730" s="12" t="str">
        <x:v>2026-09-14</x:v>
      </x:c>
      <x:c r="C730" s="12" t="str">
        <x:v>07:00</x:v>
      </x:c>
      <x:c r="D730" s="13" t="n">
        <x:v>415</x:v>
      </x:c>
      <x:c r="E730" s="13" t="n">
        <x:v>11</x:v>
      </x:c>
      <x:c r="F730" s="13" t="n">
        <x:v>426</x:v>
      </x:c>
      <x:c r="G730" s="13" t="n">
        <x:v>535</x:v>
      </x:c>
      <x:c r="H730" s="13" t="n">
        <x:v>16</x:v>
      </x:c>
      <x:c r="I730" s="13" t="n">
        <x:v>551</x:v>
      </x:c>
      <x:c r="J730" s="13" t="n">
        <x:v>125</x:v>
      </x:c>
      <x:c r="K730" s="14" t="n">
        <x:f>IFERROR(F730/SUMIFS($F:$F,$B:$B,B730),0)</x:f>
        <x:v>0.010789726964186211</x:v>
      </x:c>
      <x:c r="L730" s="12" t="str">
        <x:v>06–09</x:v>
      </x:c>
    </x:row>
    <x:row r="731">
      <x:c r="A731" s="12" t="str">
        <x:v>9/1–9/17平日</x:v>
      </x:c>
      <x:c r="B731" s="12" t="str">
        <x:v>2026-09-14</x:v>
      </x:c>
      <x:c r="C731" s="12" t="str">
        <x:v>08:00</x:v>
      </x:c>
      <x:c r="D731" s="13" t="n">
        <x:v>934</x:v>
      </x:c>
      <x:c r="E731" s="13" t="n">
        <x:v>43</x:v>
      </x:c>
      <x:c r="F731" s="13" t="n">
        <x:v>977</x:v>
      </x:c>
      <x:c r="G731" s="13" t="n">
        <x:v>1435</x:v>
      </x:c>
      <x:c r="H731" s="13" t="n">
        <x:v>63</x:v>
      </x:c>
      <x:c r="I731" s="13" t="n">
        <x:v>1498</x:v>
      </x:c>
      <x:c r="J731" s="13" t="n">
        <x:v>521</x:v>
      </x:c>
      <x:c r="K731" s="14" t="n">
        <x:f>IFERROR(F731/SUMIFS($F:$F,$B:$B,B731),0)</x:f>
        <x:v>0.02474545362443645</x:v>
      </x:c>
      <x:c r="L731" s="12" t="str">
        <x:v>06–09</x:v>
      </x:c>
    </x:row>
    <x:row r="732">
      <x:c r="A732" s="12" t="str">
        <x:v>9/1–9/17平日</x:v>
      </x:c>
      <x:c r="B732" s="12" t="str">
        <x:v>2026-09-14</x:v>
      </x:c>
      <x:c r="C732" s="12" t="str">
        <x:v>09:00</x:v>
      </x:c>
      <x:c r="D732" s="13" t="n">
        <x:v>1018</x:v>
      </x:c>
      <x:c r="E732" s="13" t="n">
        <x:v>56</x:v>
      </x:c>
      <x:c r="F732" s="13" t="n">
        <x:v>1074</x:v>
      </x:c>
      <x:c r="G732" s="13" t="n">
        <x:v>1444</x:v>
      </x:c>
      <x:c r="H732" s="13" t="n">
        <x:v>110</x:v>
      </x:c>
      <x:c r="I732" s="13" t="n">
        <x:v>1554</x:v>
      </x:c>
      <x:c r="J732" s="13" t="n">
        <x:v>480</x:v>
      </x:c>
      <x:c r="K732" s="14" t="n">
        <x:f>IFERROR(F732/SUMIFS($F:$F,$B:$B,B732),0)</x:f>
        <x:v>0.02720226938858214</x:v>
      </x:c>
      <x:c r="L732" s="12" t="str">
        <x:v>06–09</x:v>
      </x:c>
    </x:row>
    <x:row r="733">
      <x:c r="A733" s="12" t="str">
        <x:v>9/1–9/17平日</x:v>
      </x:c>
      <x:c r="B733" s="12" t="str">
        <x:v>2026-09-14</x:v>
      </x:c>
      <x:c r="C733" s="12" t="str">
        <x:v>10:00</x:v>
      </x:c>
      <x:c r="D733" s="13" t="n">
        <x:v>1015</x:v>
      </x:c>
      <x:c r="E733" s="13" t="n">
        <x:v>46</x:v>
      </x:c>
      <x:c r="F733" s="13" t="n">
        <x:v>1061</x:v>
      </x:c>
      <x:c r="G733" s="13" t="n">
        <x:v>1277</x:v>
      </x:c>
      <x:c r="H733" s="13" t="n">
        <x:v>69</x:v>
      </x:c>
      <x:c r="I733" s="13" t="n">
        <x:v>1346</x:v>
      </x:c>
      <x:c r="J733" s="13" t="n">
        <x:v>285</x:v>
      </x:c>
      <x:c r="K733" s="14" t="n">
        <x:f>IFERROR(F733/SUMIFS($F:$F,$B:$B,B733),0)</x:f>
        <x:v>0.02687300542019148</x:v>
      </x:c>
      <x:c r="L733" s="12" t="str">
        <x:v>10–13</x:v>
      </x:c>
    </x:row>
    <x:row r="734">
      <x:c r="A734" s="12" t="str">
        <x:v>9/1–9/17平日</x:v>
      </x:c>
      <x:c r="B734" s="12" t="str">
        <x:v>2026-09-14</x:v>
      </x:c>
      <x:c r="C734" s="12" t="str">
        <x:v>11:00</x:v>
      </x:c>
      <x:c r="D734" s="13" t="n">
        <x:v>1072</x:v>
      </x:c>
      <x:c r="E734" s="13" t="n">
        <x:v>38</x:v>
      </x:c>
      <x:c r="F734" s="13" t="n">
        <x:v>1110</x:v>
      </x:c>
      <x:c r="G734" s="13" t="n">
        <x:v>958</x:v>
      </x:c>
      <x:c r="H734" s="13" t="n">
        <x:v>43</x:v>
      </x:c>
      <x:c r="I734" s="13" t="n">
        <x:v>1001</x:v>
      </x:c>
      <x:c r="J734" s="13" t="n">
        <x:v>-109</x:v>
      </x:c>
      <x:c r="K734" s="14" t="n">
        <x:f>IFERROR(F734/SUMIFS($F:$F,$B:$B,B734),0)</x:f>
        <x:v>0.02811407730104858</x:v>
      </x:c>
      <x:c r="L734" s="12" t="str">
        <x:v>10–13</x:v>
      </x:c>
    </x:row>
    <x:row r="735">
      <x:c r="A735" s="12" t="str">
        <x:v>9/1–9/17平日</x:v>
      </x:c>
      <x:c r="B735" s="12" t="str">
        <x:v>2026-09-14</x:v>
      </x:c>
      <x:c r="C735" s="12" t="str">
        <x:v>12:00</x:v>
      </x:c>
      <x:c r="D735" s="13" t="n">
        <x:v>2529</x:v>
      </x:c>
      <x:c r="E735" s="13" t="n">
        <x:v>82</x:v>
      </x:c>
      <x:c r="F735" s="13" t="n">
        <x:v>2611</x:v>
      </x:c>
      <x:c r="G735" s="13" t="n">
        <x:v>2346</x:v>
      </x:c>
      <x:c r="H735" s="13" t="n">
        <x:v>72</x:v>
      </x:c>
      <x:c r="I735" s="13" t="n">
        <x:v>2418</x:v>
      </x:c>
      <x:c r="J735" s="13" t="n">
        <x:v>-193</x:v>
      </x:c>
      <x:c r="K735" s="14" t="n">
        <x:f>IFERROR(F735/SUMIFS($F:$F,$B:$B,B735),0)</x:f>
        <x:v>0.06613140165138544</x:v>
      </x:c>
      <x:c r="L735" s="12" t="str">
        <x:v>10–13</x:v>
      </x:c>
    </x:row>
    <x:row r="736">
      <x:c r="A736" s="12" t="str">
        <x:v>9/1–9/17平日</x:v>
      </x:c>
      <x:c r="B736" s="12" t="str">
        <x:v>2026-09-14</x:v>
      </x:c>
      <x:c r="C736" s="12" t="str">
        <x:v>13:00</x:v>
      </x:c>
      <x:c r="D736" s="13" t="n">
        <x:v>1902</x:v>
      </x:c>
      <x:c r="E736" s="13" t="n">
        <x:v>48</x:v>
      </x:c>
      <x:c r="F736" s="13" t="n">
        <x:v>1950</x:v>
      </x:c>
      <x:c r="G736" s="13" t="n">
        <x:v>2177</x:v>
      </x:c>
      <x:c r="H736" s="13" t="n">
        <x:v>70</x:v>
      </x:c>
      <x:c r="I736" s="13" t="n">
        <x:v>2247</x:v>
      </x:c>
      <x:c r="J736" s="13" t="n">
        <x:v>297</x:v>
      </x:c>
      <x:c r="K736" s="14" t="n">
        <x:f>IFERROR(F736/SUMIFS($F:$F,$B:$B,B736),0)</x:f>
        <x:v>0.04938959525859885</x:v>
      </x:c>
      <x:c r="L736" s="12" t="str">
        <x:v>10–13</x:v>
      </x:c>
    </x:row>
    <x:row r="737">
      <x:c r="A737" s="12" t="str">
        <x:v>9/1–9/17平日</x:v>
      </x:c>
      <x:c r="B737" s="12" t="str">
        <x:v>2026-09-14</x:v>
      </x:c>
      <x:c r="C737" s="12" t="str">
        <x:v>14:00</x:v>
      </x:c>
      <x:c r="D737" s="13" t="n">
        <x:v>1327</x:v>
      </x:c>
      <x:c r="E737" s="13" t="n">
        <x:v>27</x:v>
      </x:c>
      <x:c r="F737" s="13" t="n">
        <x:v>1354</x:v>
      </x:c>
      <x:c r="G737" s="13" t="n">
        <x:v>1534</x:v>
      </x:c>
      <x:c r="H737" s="13" t="n">
        <x:v>35</x:v>
      </x:c>
      <x:c r="I737" s="13" t="n">
        <x:v>1569</x:v>
      </x:c>
      <x:c r="J737" s="13" t="n">
        <x:v>215</x:v>
      </x:c>
      <x:c r="K737" s="14" t="n">
        <x:f>IFERROR(F737/SUMIFS($F:$F,$B:$B,B737),0)</x:f>
        <x:v>0.034294108707765565</x:v>
      </x:c>
      <x:c r="L737" s="12" t="str">
        <x:v>14–17</x:v>
      </x:c>
    </x:row>
    <x:row r="738">
      <x:c r="A738" s="12" t="str">
        <x:v>9/1–9/17平日</x:v>
      </x:c>
      <x:c r="B738" s="12" t="str">
        <x:v>2026-09-14</x:v>
      </x:c>
      <x:c r="C738" s="12" t="str">
        <x:v>15:00</x:v>
      </x:c>
      <x:c r="D738" s="13" t="n">
        <x:v>1860</x:v>
      </x:c>
      <x:c r="E738" s="13" t="n">
        <x:v>53</x:v>
      </x:c>
      <x:c r="F738" s="13" t="n">
        <x:v>1913</x:v>
      </x:c>
      <x:c r="G738" s="13" t="n">
        <x:v>1725</x:v>
      </x:c>
      <x:c r="H738" s="13" t="n">
        <x:v>49</x:v>
      </x:c>
      <x:c r="I738" s="13" t="n">
        <x:v>1774</x:v>
      </x:c>
      <x:c r="J738" s="13" t="n">
        <x:v>-139</x:v>
      </x:c>
      <x:c r="K738" s="14" t="n">
        <x:f>IFERROR(F738/SUMIFS($F:$F,$B:$B,B738),0)</x:f>
        <x:v>0.0484524593485639</x:v>
      </x:c>
      <x:c r="L738" s="12" t="str">
        <x:v>14–17</x:v>
      </x:c>
    </x:row>
    <x:row r="739">
      <x:c r="A739" s="12" t="str">
        <x:v>9/1–9/17平日</x:v>
      </x:c>
      <x:c r="B739" s="12" t="str">
        <x:v>2026-09-14</x:v>
      </x:c>
      <x:c r="C739" s="12" t="str">
        <x:v>16:00</x:v>
      </x:c>
      <x:c r="D739" s="13" t="n">
        <x:v>1869</x:v>
      </x:c>
      <x:c r="E739" s="13" t="n">
        <x:v>54</x:v>
      </x:c>
      <x:c r="F739" s="13" t="n">
        <x:v>1923</x:v>
      </x:c>
      <x:c r="G739" s="13" t="n">
        <x:v>1307</x:v>
      </x:c>
      <x:c r="H739" s="13" t="n">
        <x:v>30</x:v>
      </x:c>
      <x:c r="I739" s="13" t="n">
        <x:v>1337</x:v>
      </x:c>
      <x:c r="J739" s="13" t="n">
        <x:v>-586</x:v>
      </x:c>
      <x:c r="K739" s="14" t="n">
        <x:f>IFERROR(F739/SUMIFS($F:$F,$B:$B,B739),0)</x:f>
        <x:v>0.04870573932424903</x:v>
      </x:c>
      <x:c r="L739" s="12" t="str">
        <x:v>14–17</x:v>
      </x:c>
    </x:row>
    <x:row r="740">
      <x:c r="A740" s="12" t="str">
        <x:v>9/1–9/17平日</x:v>
      </x:c>
      <x:c r="B740" s="12" t="str">
        <x:v>2026-09-14</x:v>
      </x:c>
      <x:c r="C740" s="12" t="str">
        <x:v>17:00</x:v>
      </x:c>
      <x:c r="D740" s="13" t="n">
        <x:v>1567</x:v>
      </x:c>
      <x:c r="E740" s="13" t="n">
        <x:v>53</x:v>
      </x:c>
      <x:c r="F740" s="13" t="n">
        <x:v>1620</x:v>
      </x:c>
      <x:c r="G740" s="13" t="n">
        <x:v>1058</x:v>
      </x:c>
      <x:c r="H740" s="13" t="n">
        <x:v>38</x:v>
      </x:c>
      <x:c r="I740" s="13" t="n">
        <x:v>1096</x:v>
      </x:c>
      <x:c r="J740" s="13" t="n">
        <x:v>-524</x:v>
      </x:c>
      <x:c r="K740" s="14" t="n">
        <x:f>IFERROR(F740/SUMIFS($F:$F,$B:$B,B740),0)</x:f>
        <x:v>0.041031356060989815</x:v>
      </x:c>
      <x:c r="L740" s="12" t="str">
        <x:v>14–17</x:v>
      </x:c>
    </x:row>
    <x:row r="741">
      <x:c r="A741" s="12" t="str">
        <x:v>9/1–9/17平日</x:v>
      </x:c>
      <x:c r="B741" s="12" t="str">
        <x:v>2026-09-14</x:v>
      </x:c>
      <x:c r="C741" s="12" t="str">
        <x:v>18:00</x:v>
      </x:c>
      <x:c r="D741" s="13" t="n">
        <x:v>1188</x:v>
      </x:c>
      <x:c r="E741" s="13" t="n">
        <x:v>62</x:v>
      </x:c>
      <x:c r="F741" s="13" t="n">
        <x:v>1250</x:v>
      </x:c>
      <x:c r="G741" s="13" t="n">
        <x:v>1102</x:v>
      </x:c>
      <x:c r="H741" s="13" t="n">
        <x:v>39</x:v>
      </x:c>
      <x:c r="I741" s="13" t="n">
        <x:v>1141</x:v>
      </x:c>
      <x:c r="J741" s="13" t="n">
        <x:v>-109</x:v>
      </x:c>
      <x:c r="K741" s="14" t="n">
        <x:f>IFERROR(F741/SUMIFS($F:$F,$B:$B,B741),0)</x:f>
        <x:v>0.03165999696064029</x:v>
      </x:c>
      <x:c r="L741" s="12" t="str">
        <x:v>18–21</x:v>
      </x:c>
    </x:row>
    <x:row r="742">
      <x:c r="A742" s="12" t="str">
        <x:v>9/1–9/17平日</x:v>
      </x:c>
      <x:c r="B742" s="12" t="str">
        <x:v>2026-09-14</x:v>
      </x:c>
      <x:c r="C742" s="12" t="str">
        <x:v>19:00</x:v>
      </x:c>
      <x:c r="D742" s="13" t="n">
        <x:v>676</x:v>
      </x:c>
      <x:c r="E742" s="13" t="n">
        <x:v>19</x:v>
      </x:c>
      <x:c r="F742" s="13" t="n">
        <x:v>695</x:v>
      </x:c>
      <x:c r="G742" s="13" t="n">
        <x:v>551</x:v>
      </x:c>
      <x:c r="H742" s="13" t="n">
        <x:v>12</x:v>
      </x:c>
      <x:c r="I742" s="13" t="n">
        <x:v>563</x:v>
      </x:c>
      <x:c r="J742" s="13" t="n">
        <x:v>-132</x:v>
      </x:c>
      <x:c r="K742" s="14" t="n">
        <x:f>IFERROR(F742/SUMIFS($F:$F,$B:$B,B742),0)</x:f>
        <x:v>0.017602958310116</x:v>
      </x:c>
      <x:c r="L742" s="12" t="str">
        <x:v>18–21</x:v>
      </x:c>
    </x:row>
    <x:row r="743">
      <x:c r="A743" s="12" t="str">
        <x:v>9/1–9/17平日</x:v>
      </x:c>
      <x:c r="B743" s="12" t="str">
        <x:v>2026-09-14</x:v>
      </x:c>
      <x:c r="C743" s="12" t="str">
        <x:v>20:00</x:v>
      </x:c>
      <x:c r="D743" s="13" t="n">
        <x:v>533</x:v>
      </x:c>
      <x:c r="E743" s="13" t="n">
        <x:v>42</x:v>
      </x:c>
      <x:c r="F743" s="13" t="n">
        <x:v>575</x:v>
      </x:c>
      <x:c r="G743" s="13" t="n">
        <x:v>381</x:v>
      </x:c>
      <x:c r="H743" s="13" t="n">
        <x:v>19</x:v>
      </x:c>
      <x:c r="I743" s="13" t="n">
        <x:v>400</x:v>
      </x:c>
      <x:c r="J743" s="13" t="n">
        <x:v>-175</x:v>
      </x:c>
      <x:c r="K743" s="14" t="n">
        <x:f>IFERROR(F743/SUMIFS($F:$F,$B:$B,B743),0)</x:f>
        <x:v>0.014563598601894535</x:v>
      </x:c>
      <x:c r="L743" s="12" t="str">
        <x:v>18–21</x:v>
      </x:c>
    </x:row>
    <x:row r="744">
      <x:c r="A744" s="12" t="str">
        <x:v>9/1–9/17平日</x:v>
      </x:c>
      <x:c r="B744" s="12" t="str">
        <x:v>2026-09-14</x:v>
      </x:c>
      <x:c r="C744" s="12" t="str">
        <x:v>21:00</x:v>
      </x:c>
      <x:c r="D744" s="13" t="n">
        <x:v>466</x:v>
      </x:c>
      <x:c r="E744" s="13" t="n">
        <x:v>40</x:v>
      </x:c>
      <x:c r="F744" s="13" t="n">
        <x:v>506</x:v>
      </x:c>
      <x:c r="G744" s="13" t="n">
        <x:v>312</x:v>
      </x:c>
      <x:c r="H744" s="13" t="n">
        <x:v>13</x:v>
      </x:c>
      <x:c r="I744" s="13" t="n">
        <x:v>325</x:v>
      </x:c>
      <x:c r="J744" s="13" t="n">
        <x:v>-181</x:v>
      </x:c>
      <x:c r="K744" s="14" t="n">
        <x:f>IFERROR(F744/SUMIFS($F:$F,$B:$B,B744),0)</x:f>
        <x:v>0.012815966769667191</x:v>
      </x:c>
      <x:c r="L744" s="12" t="str">
        <x:v>18–21</x:v>
      </x:c>
    </x:row>
    <x:row r="745">
      <x:c r="A745" s="12" t="str">
        <x:v>9/1–9/17平日</x:v>
      </x:c>
      <x:c r="B745" s="12" t="str">
        <x:v>2026-09-14</x:v>
      </x:c>
      <x:c r="C745" s="12" t="str">
        <x:v>22:00</x:v>
      </x:c>
      <x:c r="D745" s="13" t="n">
        <x:v>242</x:v>
      </x:c>
      <x:c r="E745" s="13" t="n">
        <x:v>14</x:v>
      </x:c>
      <x:c r="F745" s="13" t="n">
        <x:v>256</x:v>
      </x:c>
      <x:c r="G745" s="13" t="n">
        <x:v>175</x:v>
      </x:c>
      <x:c r="H745" s="13" t="n">
        <x:v>15</x:v>
      </x:c>
      <x:c r="I745" s="13" t="n">
        <x:v>190</x:v>
      </x:c>
      <x:c r="J745" s="13" t="n">
        <x:v>-66</x:v>
      </x:c>
      <x:c r="K745" s="14" t="n">
        <x:f>IFERROR(F745/SUMIFS($F:$F,$B:$B,B745),0)</x:f>
        <x:v>0.006483967377539132</x:v>
      </x:c>
      <x:c r="L745" s="12" t="str">
        <x:v>22–23</x:v>
      </x:c>
    </x:row>
    <x:row r="746">
      <x:c r="A746" s="12" t="str">
        <x:v>9/1–9/17平日</x:v>
      </x:c>
      <x:c r="B746" s="12" t="str">
        <x:v>2026-09-14</x:v>
      </x:c>
      <x:c r="C746" s="12" t="str">
        <x:v>23:00</x:v>
      </x:c>
      <x:c r="D746" s="13" t="n">
        <x:v>138</x:v>
      </x:c>
      <x:c r="E746" s="13" t="n">
        <x:v>10</x:v>
      </x:c>
      <x:c r="F746" s="13" t="n">
        <x:v>148</x:v>
      </x:c>
      <x:c r="G746" s="13" t="n">
        <x:v>123</x:v>
      </x:c>
      <x:c r="H746" s="13" t="n">
        <x:v>4</x:v>
      </x:c>
      <x:c r="I746" s="13" t="n">
        <x:v>127</x:v>
      </x:c>
      <x:c r="J746" s="13" t="n">
        <x:v>-21</x:v>
      </x:c>
      <x:c r="K746" s="14" t="n">
        <x:f>IFERROR(F746/SUMIFS($F:$F,$B:$B,B746),0)</x:f>
        <x:v>0.0037485436401398105</x:v>
      </x:c>
      <x:c r="L746" s="12" t="str">
        <x:v>22–23</x:v>
      </x:c>
    </x:row>
    <x:row r="747">
      <x:c r="A747" s="12" t="str">
        <x:v>9/1–9/17平日</x:v>
      </x:c>
      <x:c r="B747" s="12" t="str">
        <x:v>2026-09-15</x:v>
      </x:c>
      <x:c r="C747" s="12" t="str">
        <x:v>00:00</x:v>
      </x:c>
      <x:c r="D747" s="13" t="n">
        <x:v>84</x:v>
      </x:c>
      <x:c r="E747" s="13" t="n">
        <x:v>4</x:v>
      </x:c>
      <x:c r="F747" s="13" t="n">
        <x:v>88</x:v>
      </x:c>
      <x:c r="G747" s="13" t="n">
        <x:v>65</x:v>
      </x:c>
      <x:c r="H747" s="13" t="n">
        <x:v>2</x:v>
      </x:c>
      <x:c r="I747" s="13" t="n">
        <x:v>67</x:v>
      </x:c>
      <x:c r="J747" s="13" t="n">
        <x:v>-21</x:v>
      </x:c>
      <x:c r="K747" s="14" t="n">
        <x:f>IFERROR(F747/SUMIFS($F:$F,$B:$B,B747),0)</x:f>
        <x:v>0.002031769486516439</x:v>
      </x:c>
      <x:c r="L747" s="12" t="str">
        <x:v>00–05</x:v>
      </x:c>
    </x:row>
    <x:row r="748">
      <x:c r="A748" s="12" t="str">
        <x:v>9/1–9/17平日</x:v>
      </x:c>
      <x:c r="B748" s="12" t="str">
        <x:v>2026-09-15</x:v>
      </x:c>
      <x:c r="C748" s="12" t="str">
        <x:v>01:00</x:v>
      </x:c>
      <x:c r="D748" s="13" t="n">
        <x:v>29</x:v>
      </x:c>
      <x:c r="E748" s="13" t="n">
        <x:v>2</x:v>
      </x:c>
      <x:c r="F748" s="13" t="n">
        <x:v>31</x:v>
      </x:c>
      <x:c r="G748" s="13" t="n">
        <x:v>22</x:v>
      </x:c>
      <x:c r="H748" s="13" t="n">
        <x:v>1</x:v>
      </x:c>
      <x:c r="I748" s="13" t="n">
        <x:v>23</x:v>
      </x:c>
      <x:c r="J748" s="13" t="n">
        <x:v>-8</x:v>
      </x:c>
      <x:c r="K748" s="14" t="n">
        <x:f>IFERROR(F748/SUMIFS($F:$F,$B:$B,B748),0)</x:f>
        <x:v>0.0007157369782046546</x:v>
      </x:c>
      <x:c r="L748" s="12" t="str">
        <x:v>00–05</x:v>
      </x:c>
    </x:row>
    <x:row r="749">
      <x:c r="A749" s="12" t="str">
        <x:v>9/1–9/17平日</x:v>
      </x:c>
      <x:c r="B749" s="12" t="str">
        <x:v>2026-09-15</x:v>
      </x:c>
      <x:c r="C749" s="12" t="str">
        <x:v>02:00</x:v>
      </x:c>
      <x:c r="D749" s="13" t="n">
        <x:v>12</x:v>
      </x:c>
      <x:c r="E749" s="13" t="n">
        <x:v>3</x:v>
      </x:c>
      <x:c r="F749" s="13" t="n">
        <x:v>15</x:v>
      </x:c>
      <x:c r="G749" s="13" t="n">
        <x:v>8</x:v>
      </x:c>
      <x:c r="H749" s="13" t="n">
        <x:v>1</x:v>
      </x:c>
      <x:c r="I749" s="13" t="n">
        <x:v>9</x:v>
      </x:c>
      <x:c r="J749" s="13" t="n">
        <x:v>-6</x:v>
      </x:c>
      <x:c r="K749" s="14" t="n">
        <x:f>IFERROR(F749/SUMIFS($F:$F,$B:$B,B749),0)</x:f>
        <x:v>0.0003463243442925748</x:v>
      </x:c>
      <x:c r="L749" s="12" t="str">
        <x:v>00–05</x:v>
      </x:c>
    </x:row>
    <x:row r="750">
      <x:c r="A750" s="12" t="str">
        <x:v>9/1–9/17平日</x:v>
      </x:c>
      <x:c r="B750" s="12" t="str">
        <x:v>2026-09-15</x:v>
      </x:c>
      <x:c r="C750" s="12" t="str">
        <x:v>03:00</x:v>
      </x:c>
      <x:c r="D750" s="13" t="n">
        <x:v>8</x:v>
      </x:c>
      <x:c r="E750" s="13" t="n">
        <x:v>1</x:v>
      </x:c>
      <x:c r="F750" s="13" t="n">
        <x:v>9</x:v>
      </x:c>
      <x:c r="G750" s="13" t="n">
        <x:v>8</x:v>
      </x:c>
      <x:c r="H750" s="13" t="n">
        <x:v>1</x:v>
      </x:c>
      <x:c r="I750" s="13" t="n">
        <x:v>9</x:v>
      </x:c>
      <x:c r="J750" s="13" t="n">
        <x:v>0</x:v>
      </x:c>
      <x:c r="K750" s="14" t="n">
        <x:f>IFERROR(F750/SUMIFS($F:$F,$B:$B,B750),0)</x:f>
        <x:v>0.0002077946065755449</x:v>
      </x:c>
      <x:c r="L750" s="12" t="str">
        <x:v>00–05</x:v>
      </x:c>
    </x:row>
    <x:row r="751">
      <x:c r="A751" s="12" t="str">
        <x:v>9/1–9/17平日</x:v>
      </x:c>
      <x:c r="B751" s="12" t="str">
        <x:v>2026-09-15</x:v>
      </x:c>
      <x:c r="C751" s="12" t="str">
        <x:v>04:00</x:v>
      </x:c>
      <x:c r="D751" s="13" t="n">
        <x:v>14</x:v>
      </x:c>
      <x:c r="E751" s="13" t="n">
        <x:v>0</x:v>
      </x:c>
      <x:c r="F751" s="13" t="n">
        <x:v>14</x:v>
      </x:c>
      <x:c r="G751" s="13" t="n">
        <x:v>13</x:v>
      </x:c>
      <x:c r="H751" s="13" t="n">
        <x:v>0</x:v>
      </x:c>
      <x:c r="I751" s="13" t="n">
        <x:v>13</x:v>
      </x:c>
      <x:c r="J751" s="13" t="n">
        <x:v>-1</x:v>
      </x:c>
      <x:c r="K751" s="14" t="n">
        <x:f>IFERROR(F751/SUMIFS($F:$F,$B:$B,B751),0)</x:f>
        <x:v>0.0003232360546730698</x:v>
      </x:c>
      <x:c r="L751" s="12" t="str">
        <x:v>00–05</x:v>
      </x:c>
    </x:row>
    <x:row r="752">
      <x:c r="A752" s="12" t="str">
        <x:v>9/1–9/17平日</x:v>
      </x:c>
      <x:c r="B752" s="12" t="str">
        <x:v>2026-09-15</x:v>
      </x:c>
      <x:c r="C752" s="12" t="str">
        <x:v>05:00</x:v>
      </x:c>
      <x:c r="D752" s="13" t="n">
        <x:v>25</x:v>
      </x:c>
      <x:c r="E752" s="13" t="n">
        <x:v>3</x:v>
      </x:c>
      <x:c r="F752" s="13" t="n">
        <x:v>28</x:v>
      </x:c>
      <x:c r="G752" s="13" t="n">
        <x:v>38</x:v>
      </x:c>
      <x:c r="H752" s="13" t="n">
        <x:v>4</x:v>
      </x:c>
      <x:c r="I752" s="13" t="n">
        <x:v>42</x:v>
      </x:c>
      <x:c r="J752" s="13" t="n">
        <x:v>14</x:v>
      </x:c>
      <x:c r="K752" s="14" t="n">
        <x:f>IFERROR(F752/SUMIFS($F:$F,$B:$B,B752),0)</x:f>
        <x:v>0.0006464721093461396</x:v>
      </x:c>
      <x:c r="L752" s="12" t="str">
        <x:v>00–05</x:v>
      </x:c>
    </x:row>
    <x:row r="753">
      <x:c r="A753" s="12" t="str">
        <x:v>9/1–9/17平日</x:v>
      </x:c>
      <x:c r="B753" s="12" t="str">
        <x:v>2026-09-15</x:v>
      </x:c>
      <x:c r="C753" s="12" t="str">
        <x:v>06:00</x:v>
      </x:c>
      <x:c r="D753" s="13" t="n">
        <x:v>107</x:v>
      </x:c>
      <x:c r="E753" s="13" t="n">
        <x:v>4</x:v>
      </x:c>
      <x:c r="F753" s="13" t="n">
        <x:v>111</x:v>
      </x:c>
      <x:c r="G753" s="13" t="n">
        <x:v>114</x:v>
      </x:c>
      <x:c r="H753" s="13" t="n">
        <x:v>15</x:v>
      </x:c>
      <x:c r="I753" s="13" t="n">
        <x:v>129</x:v>
      </x:c>
      <x:c r="J753" s="13" t="n">
        <x:v>18</x:v>
      </x:c>
      <x:c r="K753" s="14" t="n">
        <x:f>IFERROR(F753/SUMIFS($F:$F,$B:$B,B753),0)</x:f>
        <x:v>0.0025628001477650537</x:v>
      </x:c>
      <x:c r="L753" s="12" t="str">
        <x:v>06–09</x:v>
      </x:c>
    </x:row>
    <x:row r="754">
      <x:c r="A754" s="12" t="str">
        <x:v>9/1–9/17平日</x:v>
      </x:c>
      <x:c r="B754" s="12" t="str">
        <x:v>2026-09-15</x:v>
      </x:c>
      <x:c r="C754" s="12" t="str">
        <x:v>07:00</x:v>
      </x:c>
      <x:c r="D754" s="13" t="n">
        <x:v>324</x:v>
      </x:c>
      <x:c r="E754" s="13" t="n">
        <x:v>10</x:v>
      </x:c>
      <x:c r="F754" s="13" t="n">
        <x:v>334</x:v>
      </x:c>
      <x:c r="G754" s="13" t="n">
        <x:v>501</x:v>
      </x:c>
      <x:c r="H754" s="13" t="n">
        <x:v>16</x:v>
      </x:c>
      <x:c r="I754" s="13" t="n">
        <x:v>517</x:v>
      </x:c>
      <x:c r="J754" s="13" t="n">
        <x:v>183</x:v>
      </x:c>
      <x:c r="K754" s="14" t="n">
        <x:f>IFERROR(F754/SUMIFS($F:$F,$B:$B,B754),0)</x:f>
        <x:v>0.0077114887329146654</x:v>
      </x:c>
      <x:c r="L754" s="12" t="str">
        <x:v>06–09</x:v>
      </x:c>
    </x:row>
    <x:row r="755">
      <x:c r="A755" s="12" t="str">
        <x:v>9/1–9/17平日</x:v>
      </x:c>
      <x:c r="B755" s="12" t="str">
        <x:v>2026-09-15</x:v>
      </x:c>
      <x:c r="C755" s="12" t="str">
        <x:v>08:00</x:v>
      </x:c>
      <x:c r="D755" s="13" t="n">
        <x:v>834</x:v>
      </x:c>
      <x:c r="E755" s="13" t="n">
        <x:v>43</x:v>
      </x:c>
      <x:c r="F755" s="13" t="n">
        <x:v>877</x:v>
      </x:c>
      <x:c r="G755" s="13" t="n">
        <x:v>1528</x:v>
      </x:c>
      <x:c r="H755" s="13" t="n">
        <x:v>76</x:v>
      </x:c>
      <x:c r="I755" s="13" t="n">
        <x:v>1604</x:v>
      </x:c>
      <x:c r="J755" s="13" t="n">
        <x:v>727</x:v>
      </x:c>
      <x:c r="K755" s="14" t="n">
        <x:f>IFERROR(F755/SUMIFS($F:$F,$B:$B,B755),0)</x:f>
        <x:v>0.020248429996305873</x:v>
      </x:c>
      <x:c r="L755" s="12" t="str">
        <x:v>06–09</x:v>
      </x:c>
    </x:row>
    <x:row r="756">
      <x:c r="A756" s="12" t="str">
        <x:v>9/1–9/17平日</x:v>
      </x:c>
      <x:c r="B756" s="12" t="str">
        <x:v>2026-09-15</x:v>
      </x:c>
      <x:c r="C756" s="12" t="str">
        <x:v>09:00</x:v>
      </x:c>
      <x:c r="D756" s="13" t="n">
        <x:v>1053</x:v>
      </x:c>
      <x:c r="E756" s="13" t="n">
        <x:v>49</x:v>
      </x:c>
      <x:c r="F756" s="13" t="n">
        <x:v>1102</x:v>
      </x:c>
      <x:c r="G756" s="13" t="n">
        <x:v>1450</x:v>
      </x:c>
      <x:c r="H756" s="13" t="n">
        <x:v>92</x:v>
      </x:c>
      <x:c r="I756" s="13" t="n">
        <x:v>1542</x:v>
      </x:c>
      <x:c r="J756" s="13" t="n">
        <x:v>440</x:v>
      </x:c>
      <x:c r="K756" s="14" t="n">
        <x:f>IFERROR(F756/SUMIFS($F:$F,$B:$B,B756),0)</x:f>
        <x:v>0.025443295160694497</x:v>
      </x:c>
      <x:c r="L756" s="12" t="str">
        <x:v>06–09</x:v>
      </x:c>
    </x:row>
    <x:row r="757">
      <x:c r="A757" s="12" t="str">
        <x:v>9/1–9/17平日</x:v>
      </x:c>
      <x:c r="B757" s="12" t="str">
        <x:v>2026-09-15</x:v>
      </x:c>
      <x:c r="C757" s="12" t="str">
        <x:v>10:00</x:v>
      </x:c>
      <x:c r="D757" s="13" t="n">
        <x:v>1213</x:v>
      </x:c>
      <x:c r="E757" s="13" t="n">
        <x:v>35</x:v>
      </x:c>
      <x:c r="F757" s="13" t="n">
        <x:v>1248</x:v>
      </x:c>
      <x:c r="G757" s="13" t="n">
        <x:v>1501</x:v>
      </x:c>
      <x:c r="H757" s="13" t="n">
        <x:v>79</x:v>
      </x:c>
      <x:c r="I757" s="13" t="n">
        <x:v>1580</x:v>
      </x:c>
      <x:c r="J757" s="13" t="n">
        <x:v>332</x:v>
      </x:c>
      <x:c r="K757" s="14" t="n">
        <x:f>IFERROR(F757/SUMIFS($F:$F,$B:$B,B757),0)</x:f>
        <x:v>0.028814185445142224</x:v>
      </x:c>
      <x:c r="L757" s="12" t="str">
        <x:v>10–13</x:v>
      </x:c>
    </x:row>
    <x:row r="758">
      <x:c r="A758" s="12" t="str">
        <x:v>9/1–9/17平日</x:v>
      </x:c>
      <x:c r="B758" s="12" t="str">
        <x:v>2026-09-15</x:v>
      </x:c>
      <x:c r="C758" s="12" t="str">
        <x:v>11:00</x:v>
      </x:c>
      <x:c r="D758" s="13" t="n">
        <x:v>760</x:v>
      </x:c>
      <x:c r="E758" s="13" t="n">
        <x:v>26</x:v>
      </x:c>
      <x:c r="F758" s="13" t="n">
        <x:v>786</x:v>
      </x:c>
      <x:c r="G758" s="13" t="n">
        <x:v>728</x:v>
      </x:c>
      <x:c r="H758" s="13" t="n">
        <x:v>35</x:v>
      </x:c>
      <x:c r="I758" s="13" t="n">
        <x:v>763</x:v>
      </x:c>
      <x:c r="J758" s="13" t="n">
        <x:v>-23</x:v>
      </x:c>
      <x:c r="K758" s="14" t="n">
        <x:f>IFERROR(F758/SUMIFS($F:$F,$B:$B,B758),0)</x:f>
        <x:v>0.01814739564093092</x:v>
      </x:c>
      <x:c r="L758" s="12" t="str">
        <x:v>10–13</x:v>
      </x:c>
    </x:row>
    <x:row r="759">
      <x:c r="A759" s="12" t="str">
        <x:v>9/1–9/17平日</x:v>
      </x:c>
      <x:c r="B759" s="12" t="str">
        <x:v>2026-09-15</x:v>
      </x:c>
      <x:c r="C759" s="12" t="str">
        <x:v>12:00</x:v>
      </x:c>
      <x:c r="D759" s="13" t="n">
        <x:v>2341</x:v>
      </x:c>
      <x:c r="E759" s="13" t="n">
        <x:v>109</x:v>
      </x:c>
      <x:c r="F759" s="13" t="n">
        <x:v>2450</x:v>
      </x:c>
      <x:c r="G759" s="13" t="n">
        <x:v>2176</x:v>
      </x:c>
      <x:c r="H759" s="13" t="n">
        <x:v>82</x:v>
      </x:c>
      <x:c r="I759" s="13" t="n">
        <x:v>2258</x:v>
      </x:c>
      <x:c r="J759" s="13" t="n">
        <x:v>-192</x:v>
      </x:c>
      <x:c r="K759" s="14" t="n">
        <x:f>IFERROR(F759/SUMIFS($F:$F,$B:$B,B759),0)</x:f>
        <x:v>0.056566309567787215</x:v>
      </x:c>
      <x:c r="L759" s="12" t="str">
        <x:v>10–13</x:v>
      </x:c>
    </x:row>
    <x:row r="760">
      <x:c r="A760" s="12" t="str">
        <x:v>9/1–9/17平日</x:v>
      </x:c>
      <x:c r="B760" s="12" t="str">
        <x:v>2026-09-15</x:v>
      </x:c>
      <x:c r="C760" s="12" t="str">
        <x:v>13:00</x:v>
      </x:c>
      <x:c r="D760" s="13" t="n">
        <x:v>1851</x:v>
      </x:c>
      <x:c r="E760" s="13" t="n">
        <x:v>38</x:v>
      </x:c>
      <x:c r="F760" s="13" t="n">
        <x:v>1889</x:v>
      </x:c>
      <x:c r="G760" s="13" t="n">
        <x:v>2143</x:v>
      </x:c>
      <x:c r="H760" s="13" t="n">
        <x:v>59</x:v>
      </x:c>
      <x:c r="I760" s="13" t="n">
        <x:v>2202</x:v>
      </x:c>
      <x:c r="J760" s="13" t="n">
        <x:v>313</x:v>
      </x:c>
      <x:c r="K760" s="14" t="n">
        <x:f>IFERROR(F760/SUMIFS($F:$F,$B:$B,B760),0)</x:f>
        <x:v>0.04361377909124492</x:v>
      </x:c>
      <x:c r="L760" s="12" t="str">
        <x:v>10–13</x:v>
      </x:c>
    </x:row>
    <x:row r="761">
      <x:c r="A761" s="12" t="str">
        <x:v>9/1–9/17平日</x:v>
      </x:c>
      <x:c r="B761" s="12" t="str">
        <x:v>2026-09-15</x:v>
      </x:c>
      <x:c r="C761" s="12" t="str">
        <x:v>14:00</x:v>
      </x:c>
      <x:c r="D761" s="13" t="n">
        <x:v>1285</x:v>
      </x:c>
      <x:c r="E761" s="13" t="n">
        <x:v>28</x:v>
      </x:c>
      <x:c r="F761" s="13" t="n">
        <x:v>1313</x:v>
      </x:c>
      <x:c r="G761" s="13" t="n">
        <x:v>1440</x:v>
      </x:c>
      <x:c r="H761" s="13" t="n">
        <x:v>42</x:v>
      </x:c>
      <x:c r="I761" s="13" t="n">
        <x:v>1482</x:v>
      </x:c>
      <x:c r="J761" s="13" t="n">
        <x:v>169</x:v>
      </x:c>
      <x:c r="K761" s="14" t="n">
        <x:f>IFERROR(F761/SUMIFS($F:$F,$B:$B,B761),0)</x:f>
        <x:v>0.03031492427041005</x:v>
      </x:c>
      <x:c r="L761" s="12" t="str">
        <x:v>14–17</x:v>
      </x:c>
    </x:row>
    <x:row r="762">
      <x:c r="A762" s="12" t="str">
        <x:v>9/1–9/17平日</x:v>
      </x:c>
      <x:c r="B762" s="12" t="str">
        <x:v>2026-09-15</x:v>
      </x:c>
      <x:c r="C762" s="12" t="str">
        <x:v>15:00</x:v>
      </x:c>
      <x:c r="D762" s="13" t="n">
        <x:v>2124</x:v>
      </x:c>
      <x:c r="E762" s="13" t="n">
        <x:v>71</x:v>
      </x:c>
      <x:c r="F762" s="13" t="n">
        <x:v>2195</x:v>
      </x:c>
      <x:c r="G762" s="13" t="n">
        <x:v>1845</x:v>
      </x:c>
      <x:c r="H762" s="13" t="n">
        <x:v>51</x:v>
      </x:c>
      <x:c r="I762" s="13" t="n">
        <x:v>1896</x:v>
      </x:c>
      <x:c r="J762" s="13" t="n">
        <x:v>-299</x:v>
      </x:c>
      <x:c r="K762" s="14" t="n">
        <x:f>IFERROR(F762/SUMIFS($F:$F,$B:$B,B762),0)</x:f>
        <x:v>0.05067879571481344</x:v>
      </x:c>
      <x:c r="L762" s="12" t="str">
        <x:v>14–17</x:v>
      </x:c>
    </x:row>
    <x:row r="763">
      <x:c r="A763" s="12" t="str">
        <x:v>9/1–9/17平日</x:v>
      </x:c>
      <x:c r="B763" s="12" t="str">
        <x:v>2026-09-15</x:v>
      </x:c>
      <x:c r="C763" s="12" t="str">
        <x:v>16:00</x:v>
      </x:c>
      <x:c r="D763" s="13" t="n">
        <x:v>1744</x:v>
      </x:c>
      <x:c r="E763" s="13" t="n">
        <x:v>57</x:v>
      </x:c>
      <x:c r="F763" s="13" t="n">
        <x:v>1801</x:v>
      </x:c>
      <x:c r="G763" s="13" t="n">
        <x:v>1220</x:v>
      </x:c>
      <x:c r="H763" s="13" t="n">
        <x:v>35</x:v>
      </x:c>
      <x:c r="I763" s="13" t="n">
        <x:v>1255</x:v>
      </x:c>
      <x:c r="J763" s="13" t="n">
        <x:v>-546</x:v>
      </x:c>
      <x:c r="K763" s="14" t="n">
        <x:f>IFERROR(F763/SUMIFS($F:$F,$B:$B,B763),0)</x:f>
        <x:v>0.04158200960472848</x:v>
      </x:c>
      <x:c r="L763" s="12" t="str">
        <x:v>14–17</x:v>
      </x:c>
    </x:row>
    <x:row r="764">
      <x:c r="A764" s="12" t="str">
        <x:v>9/1–9/17平日</x:v>
      </x:c>
      <x:c r="B764" s="12" t="str">
        <x:v>2026-09-15</x:v>
      </x:c>
      <x:c r="C764" s="12" t="str">
        <x:v>17:00</x:v>
      </x:c>
      <x:c r="D764" s="13" t="n">
        <x:v>2588</x:v>
      </x:c>
      <x:c r="E764" s="13" t="n">
        <x:v>130</x:v>
      </x:c>
      <x:c r="F764" s="13" t="n">
        <x:v>2718</x:v>
      </x:c>
      <x:c r="G764" s="13" t="n">
        <x:v>1720</x:v>
      </x:c>
      <x:c r="H764" s="13" t="n">
        <x:v>58</x:v>
      </x:c>
      <x:c r="I764" s="13" t="n">
        <x:v>1778</x:v>
      </x:c>
      <x:c r="J764" s="13" t="n">
        <x:v>-940</x:v>
      </x:c>
      <x:c r="K764" s="14" t="n">
        <x:f>IFERROR(F764/SUMIFS($F:$F,$B:$B,B764),0)</x:f>
        <x:v>0.06275397118581455</x:v>
      </x:c>
      <x:c r="L764" s="12" t="str">
        <x:v>14–17</x:v>
      </x:c>
    </x:row>
    <x:row r="765">
      <x:c r="A765" s="12" t="str">
        <x:v>9/1–9/17平日</x:v>
      </x:c>
      <x:c r="B765" s="12" t="str">
        <x:v>2026-09-15</x:v>
      </x:c>
      <x:c r="C765" s="12" t="str">
        <x:v>18:00</x:v>
      </x:c>
      <x:c r="D765" s="13" t="n">
        <x:v>1758</x:v>
      </x:c>
      <x:c r="E765" s="13" t="n">
        <x:v>79</x:v>
      </x:c>
      <x:c r="F765" s="13" t="n">
        <x:v>1837</x:v>
      </x:c>
      <x:c r="G765" s="13" t="n">
        <x:v>1616</x:v>
      </x:c>
      <x:c r="H765" s="13" t="n">
        <x:v>62</x:v>
      </x:c>
      <x:c r="I765" s="13" t="n">
        <x:v>1678</x:v>
      </x:c>
      <x:c r="J765" s="13" t="n">
        <x:v>-159</x:v>
      </x:c>
      <x:c r="K765" s="14" t="n">
        <x:f>IFERROR(F765/SUMIFS($F:$F,$B:$B,B765),0)</x:f>
        <x:v>0.04241318803103066</x:v>
      </x:c>
      <x:c r="L765" s="12" t="str">
        <x:v>18–21</x:v>
      </x:c>
    </x:row>
    <x:row r="766">
      <x:c r="A766" s="12" t="str">
        <x:v>9/1–9/17平日</x:v>
      </x:c>
      <x:c r="B766" s="12" t="str">
        <x:v>2026-09-15</x:v>
      </x:c>
      <x:c r="C766" s="12" t="str">
        <x:v>19:00</x:v>
      </x:c>
      <x:c r="D766" s="13" t="n">
        <x:v>937</x:v>
      </x:c>
      <x:c r="E766" s="13" t="n">
        <x:v>30</x:v>
      </x:c>
      <x:c r="F766" s="13" t="n">
        <x:v>967</x:v>
      </x:c>
      <x:c r="G766" s="13" t="n">
        <x:v>850</x:v>
      </x:c>
      <x:c r="H766" s="13" t="n">
        <x:v>26</x:v>
      </x:c>
      <x:c r="I766" s="13" t="n">
        <x:v>876</x:v>
      </x:c>
      <x:c r="J766" s="13" t="n">
        <x:v>-91</x:v>
      </x:c>
      <x:c r="K766" s="14" t="n">
        <x:f>IFERROR(F766/SUMIFS($F:$F,$B:$B,B766),0)</x:f>
        <x:v>0.022326376062061323</x:v>
      </x:c>
      <x:c r="L766" s="12" t="str">
        <x:v>18–21</x:v>
      </x:c>
    </x:row>
    <x:row r="767">
      <x:c r="A767" s="12" t="str">
        <x:v>9/1–9/17平日</x:v>
      </x:c>
      <x:c r="B767" s="12" t="str">
        <x:v>2026-09-15</x:v>
      </x:c>
      <x:c r="C767" s="12" t="str">
        <x:v>20:00</x:v>
      </x:c>
      <x:c r="D767" s="13" t="n">
        <x:v>772</x:v>
      </x:c>
      <x:c r="E767" s="13" t="n">
        <x:v>53</x:v>
      </x:c>
      <x:c r="F767" s="13" t="n">
        <x:v>825</x:v>
      </x:c>
      <x:c r="G767" s="13" t="n">
        <x:v>547</x:v>
      </x:c>
      <x:c r="H767" s="13" t="n">
        <x:v>27</x:v>
      </x:c>
      <x:c r="I767" s="13" t="n">
        <x:v>574</x:v>
      </x:c>
      <x:c r="J767" s="13" t="n">
        <x:v>-251</x:v>
      </x:c>
      <x:c r="K767" s="14" t="n">
        <x:f>IFERROR(F767/SUMIFS($F:$F,$B:$B,B767),0)</x:f>
        <x:v>0.019047838936091615</x:v>
      </x:c>
      <x:c r="L767" s="12" t="str">
        <x:v>18–21</x:v>
      </x:c>
    </x:row>
    <x:row r="768">
      <x:c r="A768" s="12" t="str">
        <x:v>9/1–9/17平日</x:v>
      </x:c>
      <x:c r="B768" s="12" t="str">
        <x:v>2026-09-15</x:v>
      </x:c>
      <x:c r="C768" s="12" t="str">
        <x:v>21:00</x:v>
      </x:c>
      <x:c r="D768" s="13" t="n">
        <x:v>497</x:v>
      </x:c>
      <x:c r="E768" s="13" t="n">
        <x:v>59</x:v>
      </x:c>
      <x:c r="F768" s="13" t="n">
        <x:v>556</x:v>
      </x:c>
      <x:c r="G768" s="13" t="n">
        <x:v>415</x:v>
      </x:c>
      <x:c r="H768" s="13" t="n">
        <x:v>25</x:v>
      </x:c>
      <x:c r="I768" s="13" t="n">
        <x:v>440</x:v>
      </x:c>
      <x:c r="J768" s="13" t="n">
        <x:v>-116</x:v>
      </x:c>
      <x:c r="K768" s="14" t="n">
        <x:f>IFERROR(F768/SUMIFS($F:$F,$B:$B,B768),0)</x:f>
        <x:v>0.012837089028444772</x:v>
      </x:c>
      <x:c r="L768" s="12" t="str">
        <x:v>18–21</x:v>
      </x:c>
    </x:row>
    <x:row r="769">
      <x:c r="A769" s="12" t="str">
        <x:v>9/1–9/17平日</x:v>
      </x:c>
      <x:c r="B769" s="12" t="str">
        <x:v>2026-09-15</x:v>
      </x:c>
      <x:c r="C769" s="12" t="str">
        <x:v>22:00</x:v>
      </x:c>
      <x:c r="D769" s="13" t="n">
        <x:v>280</x:v>
      </x:c>
      <x:c r="E769" s="13" t="n">
        <x:v>28</x:v>
      </x:c>
      <x:c r="F769" s="13" t="n">
        <x:v>308</x:v>
      </x:c>
      <x:c r="G769" s="13" t="n">
        <x:v>249</x:v>
      </x:c>
      <x:c r="H769" s="13" t="n">
        <x:v>27</x:v>
      </x:c>
      <x:c r="I769" s="13" t="n">
        <x:v>276</x:v>
      </x:c>
      <x:c r="J769" s="13" t="n">
        <x:v>-32</x:v>
      </x:c>
      <x:c r="K769" s="14" t="n">
        <x:f>IFERROR(F769/SUMIFS($F:$F,$B:$B,B769),0)</x:f>
        <x:v>0.007111193202807536</x:v>
      </x:c>
      <x:c r="L769" s="12" t="str">
        <x:v>22–23</x:v>
      </x:c>
    </x:row>
    <x:row r="770">
      <x:c r="A770" s="12" t="str">
        <x:v>9/1–9/17平日</x:v>
      </x:c>
      <x:c r="B770" s="12" t="str">
        <x:v>2026-09-15</x:v>
      </x:c>
      <x:c r="C770" s="12" t="str">
        <x:v>23:00</x:v>
      </x:c>
      <x:c r="D770" s="13" t="n">
        <x:v>142</x:v>
      </x:c>
      <x:c r="E770" s="13" t="n">
        <x:v>12</x:v>
      </x:c>
      <x:c r="F770" s="13" t="n">
        <x:v>154</x:v>
      </x:c>
      <x:c r="G770" s="13" t="n">
        <x:v>125</x:v>
      </x:c>
      <x:c r="H770" s="13" t="n">
        <x:v>7</x:v>
      </x:c>
      <x:c r="I770" s="13" t="n">
        <x:v>132</x:v>
      </x:c>
      <x:c r="J770" s="13" t="n">
        <x:v>-22</x:v>
      </x:c>
      <x:c r="K770" s="14" t="n">
        <x:f>IFERROR(F770/SUMIFS($F:$F,$B:$B,B770),0)</x:f>
        <x:v>0.003555596601403768</x:v>
      </x:c>
      <x:c r="L770" s="12" t="str">
        <x:v>22–23</x:v>
      </x:c>
    </x:row>
    <x:row r="771">
      <x:c r="A771" s="12" t="str">
        <x:v>9/1–9/17平日</x:v>
      </x:c>
      <x:c r="B771" s="12" t="str">
        <x:v>2026-09-16</x:v>
      </x:c>
      <x:c r="C771" s="12" t="str">
        <x:v>00:00</x:v>
      </x:c>
      <x:c r="D771" s="13" t="n">
        <x:v>80</x:v>
      </x:c>
      <x:c r="E771" s="13" t="n">
        <x:v>3</x:v>
      </x:c>
      <x:c r="F771" s="13" t="n">
        <x:v>83</x:v>
      </x:c>
      <x:c r="G771" s="13" t="n">
        <x:v>45</x:v>
      </x:c>
      <x:c r="H771" s="13" t="n">
        <x:v>1</x:v>
      </x:c>
      <x:c r="I771" s="13" t="n">
        <x:v>46</x:v>
      </x:c>
      <x:c r="J771" s="13" t="n">
        <x:v>-37</x:v>
      </x:c>
      <x:c r="K771" s="14" t="n">
        <x:f>IFERROR(F771/SUMIFS($F:$F,$B:$B,B771),0)</x:f>
        <x:v>0.0018649170898305846</x:v>
      </x:c>
      <x:c r="L771" s="12" t="str">
        <x:v>00–05</x:v>
      </x:c>
    </x:row>
    <x:row r="772">
      <x:c r="A772" s="12" t="str">
        <x:v>9/1–9/17平日</x:v>
      </x:c>
      <x:c r="B772" s="12" t="str">
        <x:v>2026-09-16</x:v>
      </x:c>
      <x:c r="C772" s="12" t="str">
        <x:v>01:00</x:v>
      </x:c>
      <x:c r="D772" s="13" t="n">
        <x:v>29</x:v>
      </x:c>
      <x:c r="E772" s="13" t="n">
        <x:v>1</x:v>
      </x:c>
      <x:c r="F772" s="13" t="n">
        <x:v>30</x:v>
      </x:c>
      <x:c r="G772" s="13" t="n">
        <x:v>24</x:v>
      </x:c>
      <x:c r="H772" s="13" t="n">
        <x:v>4</x:v>
      </x:c>
      <x:c r="I772" s="13" t="n">
        <x:v>28</x:v>
      </x:c>
      <x:c r="J772" s="13" t="n">
        <x:v>-2</x:v>
      </x:c>
      <x:c r="K772" s="14" t="n">
        <x:f>IFERROR(F772/SUMIFS($F:$F,$B:$B,B772),0)</x:f>
        <x:v>0.0006740664180110547</x:v>
      </x:c>
      <x:c r="L772" s="12" t="str">
        <x:v>00–05</x:v>
      </x:c>
    </x:row>
    <x:row r="773">
      <x:c r="A773" s="12" t="str">
        <x:v>9/1–9/17平日</x:v>
      </x:c>
      <x:c r="B773" s="12" t="str">
        <x:v>2026-09-16</x:v>
      </x:c>
      <x:c r="C773" s="12" t="str">
        <x:v>02:00</x:v>
      </x:c>
      <x:c r="D773" s="13" t="n">
        <x:v>34</x:v>
      </x:c>
      <x:c r="E773" s="13" t="n">
        <x:v>0</x:v>
      </x:c>
      <x:c r="F773" s="13" t="n">
        <x:v>34</x:v>
      </x:c>
      <x:c r="G773" s="13" t="n">
        <x:v>22</x:v>
      </x:c>
      <x:c r="H773" s="13" t="n">
        <x:v>0</x:v>
      </x:c>
      <x:c r="I773" s="13" t="n">
        <x:v>22</x:v>
      </x:c>
      <x:c r="J773" s="13" t="n">
        <x:v>-12</x:v>
      </x:c>
      <x:c r="K773" s="14" t="n">
        <x:f>IFERROR(F773/SUMIFS($F:$F,$B:$B,B773),0)</x:f>
        <x:v>0.0007639419404125286</x:v>
      </x:c>
      <x:c r="L773" s="12" t="str">
        <x:v>00–05</x:v>
      </x:c>
    </x:row>
    <x:row r="774">
      <x:c r="A774" s="12" t="str">
        <x:v>9/1–9/17平日</x:v>
      </x:c>
      <x:c r="B774" s="12" t="str">
        <x:v>2026-09-16</x:v>
      </x:c>
      <x:c r="C774" s="12" t="str">
        <x:v>03:00</x:v>
      </x:c>
      <x:c r="D774" s="13" t="n">
        <x:v>13</x:v>
      </x:c>
      <x:c r="E774" s="13" t="n">
        <x:v>1</x:v>
      </x:c>
      <x:c r="F774" s="13" t="n">
        <x:v>14</x:v>
      </x:c>
      <x:c r="G774" s="13" t="n">
        <x:v>12</x:v>
      </x:c>
      <x:c r="H774" s="13" t="n">
        <x:v>0</x:v>
      </x:c>
      <x:c r="I774" s="13" t="n">
        <x:v>12</x:v>
      </x:c>
      <x:c r="J774" s="13" t="n">
        <x:v>-2</x:v>
      </x:c>
      <x:c r="K774" s="14" t="n">
        <x:f>IFERROR(F774/SUMIFS($F:$F,$B:$B,B774),0)</x:f>
        <x:v>0.00031456432840515884</x:v>
      </x:c>
      <x:c r="L774" s="12" t="str">
        <x:v>00–05</x:v>
      </x:c>
    </x:row>
    <x:row r="775">
      <x:c r="A775" s="12" t="str">
        <x:v>9/1–9/17平日</x:v>
      </x:c>
      <x:c r="B775" s="12" t="str">
        <x:v>2026-09-16</x:v>
      </x:c>
      <x:c r="C775" s="12" t="str">
        <x:v>04:00</x:v>
      </x:c>
      <x:c r="D775" s="13" t="n">
        <x:v>16</x:v>
      </x:c>
      <x:c r="E775" s="13" t="n">
        <x:v>1</x:v>
      </x:c>
      <x:c r="F775" s="13" t="n">
        <x:v>17</x:v>
      </x:c>
      <x:c r="G775" s="13" t="n">
        <x:v>13</x:v>
      </x:c>
      <x:c r="H775" s="13" t="n">
        <x:v>1</x:v>
      </x:c>
      <x:c r="I775" s="13" t="n">
        <x:v>14</x:v>
      </x:c>
      <x:c r="J775" s="13" t="n">
        <x:v>-3</x:v>
      </x:c>
      <x:c r="K775" s="14" t="n">
        <x:f>IFERROR(F775/SUMIFS($F:$F,$B:$B,B775),0)</x:f>
        <x:v>0.0003819709702062643</x:v>
      </x:c>
      <x:c r="L775" s="12" t="str">
        <x:v>00–05</x:v>
      </x:c>
    </x:row>
    <x:row r="776">
      <x:c r="A776" s="12" t="str">
        <x:v>9/1–9/17平日</x:v>
      </x:c>
      <x:c r="B776" s="12" t="str">
        <x:v>2026-09-16</x:v>
      </x:c>
      <x:c r="C776" s="12" t="str">
        <x:v>05:00</x:v>
      </x:c>
      <x:c r="D776" s="13" t="n">
        <x:v>26</x:v>
      </x:c>
      <x:c r="E776" s="13" t="n">
        <x:v>1</x:v>
      </x:c>
      <x:c r="F776" s="13" t="n">
        <x:v>27</x:v>
      </x:c>
      <x:c r="G776" s="13" t="n">
        <x:v>38</x:v>
      </x:c>
      <x:c r="H776" s="13" t="n">
        <x:v>5</x:v>
      </x:c>
      <x:c r="I776" s="13" t="n">
        <x:v>43</x:v>
      </x:c>
      <x:c r="J776" s="13" t="n">
        <x:v>16</x:v>
      </x:c>
      <x:c r="K776" s="14" t="n">
        <x:f>IFERROR(F776/SUMIFS($F:$F,$B:$B,B776),0)</x:f>
        <x:v>0.0006066597762099492</x:v>
      </x:c>
      <x:c r="L776" s="12" t="str">
        <x:v>00–05</x:v>
      </x:c>
    </x:row>
    <x:row r="777">
      <x:c r="A777" s="12" t="str">
        <x:v>9/1–9/17平日</x:v>
      </x:c>
      <x:c r="B777" s="12" t="str">
        <x:v>2026-09-16</x:v>
      </x:c>
      <x:c r="C777" s="12" t="str">
        <x:v>06:00</x:v>
      </x:c>
      <x:c r="D777" s="13" t="n">
        <x:v>128</x:v>
      </x:c>
      <x:c r="E777" s="13" t="n">
        <x:v>3</x:v>
      </x:c>
      <x:c r="F777" s="13" t="n">
        <x:v>131</x:v>
      </x:c>
      <x:c r="G777" s="13" t="n">
        <x:v>137</x:v>
      </x:c>
      <x:c r="H777" s="13" t="n">
        <x:v>8</x:v>
      </x:c>
      <x:c r="I777" s="13" t="n">
        <x:v>145</x:v>
      </x:c>
      <x:c r="J777" s="13" t="n">
        <x:v>14</x:v>
      </x:c>
      <x:c r="K777" s="14" t="n">
        <x:f>IFERROR(F777/SUMIFS($F:$F,$B:$B,B777),0)</x:f>
        <x:v>0.0029434233586482722</x:v>
      </x:c>
      <x:c r="L777" s="12" t="str">
        <x:v>06–09</x:v>
      </x:c>
    </x:row>
    <x:row r="778">
      <x:c r="A778" s="12" t="str">
        <x:v>9/1–9/17平日</x:v>
      </x:c>
      <x:c r="B778" s="12" t="str">
        <x:v>2026-09-16</x:v>
      </x:c>
      <x:c r="C778" s="12" t="str">
        <x:v>07:00</x:v>
      </x:c>
      <x:c r="D778" s="13" t="n">
        <x:v>427</x:v>
      </x:c>
      <x:c r="E778" s="13" t="n">
        <x:v>6</x:v>
      </x:c>
      <x:c r="F778" s="13" t="n">
        <x:v>433</x:v>
      </x:c>
      <x:c r="G778" s="13" t="n">
        <x:v>645</x:v>
      </x:c>
      <x:c r="H778" s="13" t="n">
        <x:v>14</x:v>
      </x:c>
      <x:c r="I778" s="13" t="n">
        <x:v>659</x:v>
      </x:c>
      <x:c r="J778" s="13" t="n">
        <x:v>226</x:v>
      </x:c>
      <x:c r="K778" s="14" t="n">
        <x:f>IFERROR(F778/SUMIFS($F:$F,$B:$B,B778),0)</x:f>
        <x:v>0.009729025299959556</x:v>
      </x:c>
      <x:c r="L778" s="12" t="str">
        <x:v>06–09</x:v>
      </x:c>
    </x:row>
    <x:row r="779">
      <x:c r="A779" s="12" t="str">
        <x:v>9/1–9/17平日</x:v>
      </x:c>
      <x:c r="B779" s="12" t="str">
        <x:v>2026-09-16</x:v>
      </x:c>
      <x:c r="C779" s="12" t="str">
        <x:v>08:00</x:v>
      </x:c>
      <x:c r="D779" s="13" t="n">
        <x:v>1041</x:v>
      </x:c>
      <x:c r="E779" s="13" t="n">
        <x:v>43</x:v>
      </x:c>
      <x:c r="F779" s="13" t="n">
        <x:v>1084</x:v>
      </x:c>
      <x:c r="G779" s="13" t="n">
        <x:v>1476</x:v>
      </x:c>
      <x:c r="H779" s="13" t="n">
        <x:v>78</x:v>
      </x:c>
      <x:c r="I779" s="13" t="n">
        <x:v>1554</x:v>
      </x:c>
      <x:c r="J779" s="13" t="n">
        <x:v>470</x:v>
      </x:c>
      <x:c r="K779" s="14" t="n">
        <x:f>IFERROR(F779/SUMIFS($F:$F,$B:$B,B779),0)</x:f>
        <x:v>0.024356266570799444</x:v>
      </x:c>
      <x:c r="L779" s="12" t="str">
        <x:v>06–09</x:v>
      </x:c>
    </x:row>
    <x:row r="780">
      <x:c r="A780" s="12" t="str">
        <x:v>9/1–9/17平日</x:v>
      </x:c>
      <x:c r="B780" s="12" t="str">
        <x:v>2026-09-16</x:v>
      </x:c>
      <x:c r="C780" s="12" t="str">
        <x:v>09:00</x:v>
      </x:c>
      <x:c r="D780" s="13" t="n">
        <x:v>1049</x:v>
      </x:c>
      <x:c r="E780" s="13" t="n">
        <x:v>48</x:v>
      </x:c>
      <x:c r="F780" s="13" t="n">
        <x:v>1097</x:v>
      </x:c>
      <x:c r="G780" s="13" t="n">
        <x:v>1504</x:v>
      </x:c>
      <x:c r="H780" s="13" t="n">
        <x:v>107</x:v>
      </x:c>
      <x:c r="I780" s="13" t="n">
        <x:v>1611</x:v>
      </x:c>
      <x:c r="J780" s="13" t="n">
        <x:v>514</x:v>
      </x:c>
      <x:c r="K780" s="14" t="n">
        <x:f>IFERROR(F780/SUMIFS($F:$F,$B:$B,B780),0)</x:f>
        <x:v>0.024648362018604233</x:v>
      </x:c>
      <x:c r="L780" s="12" t="str">
        <x:v>06–09</x:v>
      </x:c>
    </x:row>
    <x:row r="781">
      <x:c r="A781" s="12" t="str">
        <x:v>9/1–9/17平日</x:v>
      </x:c>
      <x:c r="B781" s="12" t="str">
        <x:v>2026-09-16</x:v>
      </x:c>
      <x:c r="C781" s="12" t="str">
        <x:v>10:00</x:v>
      </x:c>
      <x:c r="D781" s="13" t="n">
        <x:v>1110</x:v>
      </x:c>
      <x:c r="E781" s="13" t="n">
        <x:v>64</x:v>
      </x:c>
      <x:c r="F781" s="13" t="n">
        <x:v>1174</x:v>
      </x:c>
      <x:c r="G781" s="13" t="n">
        <x:v>1419</x:v>
      </x:c>
      <x:c r="H781" s="13" t="n">
        <x:v>102</x:v>
      </x:c>
      <x:c r="I781" s="13" t="n">
        <x:v>1521</x:v>
      </x:c>
      <x:c r="J781" s="13" t="n">
        <x:v>347</x:v>
      </x:c>
      <x:c r="K781" s="14" t="n">
        <x:f>IFERROR(F781/SUMIFS($F:$F,$B:$B,B781),0)</x:f>
        <x:v>0.026378465824832605</x:v>
      </x:c>
      <x:c r="L781" s="12" t="str">
        <x:v>10–13</x:v>
      </x:c>
    </x:row>
    <x:row r="782">
      <x:c r="A782" s="12" t="str">
        <x:v>9/1–9/17平日</x:v>
      </x:c>
      <x:c r="B782" s="12" t="str">
        <x:v>2026-09-16</x:v>
      </x:c>
      <x:c r="C782" s="12" t="str">
        <x:v>11:00</x:v>
      </x:c>
      <x:c r="D782" s="13" t="n">
        <x:v>1152</x:v>
      </x:c>
      <x:c r="E782" s="13" t="n">
        <x:v>43</x:v>
      </x:c>
      <x:c r="F782" s="13" t="n">
        <x:v>1195</x:v>
      </x:c>
      <x:c r="G782" s="13" t="n">
        <x:v>987</x:v>
      </x:c>
      <x:c r="H782" s="13" t="n">
        <x:v>38</x:v>
      </x:c>
      <x:c r="I782" s="13" t="n">
        <x:v>1025</x:v>
      </x:c>
      <x:c r="J782" s="13" t="n">
        <x:v>-170</x:v>
      </x:c>
      <x:c r="K782" s="14" t="n">
        <x:f>IFERROR(F782/SUMIFS($F:$F,$B:$B,B782),0)</x:f>
        <x:v>0.026850312317440346</x:v>
      </x:c>
      <x:c r="L782" s="12" t="str">
        <x:v>10–13</x:v>
      </x:c>
    </x:row>
    <x:row r="783">
      <x:c r="A783" s="12" t="str">
        <x:v>9/1–9/17平日</x:v>
      </x:c>
      <x:c r="B783" s="12" t="str">
        <x:v>2026-09-16</x:v>
      </x:c>
      <x:c r="C783" s="12" t="str">
        <x:v>12:00</x:v>
      </x:c>
      <x:c r="D783" s="13" t="n">
        <x:v>2628</x:v>
      </x:c>
      <x:c r="E783" s="13" t="n">
        <x:v>148</x:v>
      </x:c>
      <x:c r="F783" s="13" t="n">
        <x:v>2776</x:v>
      </x:c>
      <x:c r="G783" s="13" t="n">
        <x:v>2469</x:v>
      </x:c>
      <x:c r="H783" s="13" t="n">
        <x:v>121</x:v>
      </x:c>
      <x:c r="I783" s="13" t="n">
        <x:v>2590</x:v>
      </x:c>
      <x:c r="J783" s="13" t="n">
        <x:v>-186</x:v>
      </x:c>
      <x:c r="K783" s="14" t="n">
        <x:f>IFERROR(F783/SUMIFS($F:$F,$B:$B,B783),0)</x:f>
        <x:v>0.06237361254662293</x:v>
      </x:c>
      <x:c r="L783" s="12" t="str">
        <x:v>10–13</x:v>
      </x:c>
    </x:row>
    <x:row r="784">
      <x:c r="A784" s="12" t="str">
        <x:v>9/1–9/17平日</x:v>
      </x:c>
      <x:c r="B784" s="12" t="str">
        <x:v>2026-09-16</x:v>
      </x:c>
      <x:c r="C784" s="12" t="str">
        <x:v>13:00</x:v>
      </x:c>
      <x:c r="D784" s="13" t="n">
        <x:v>1855</x:v>
      </x:c>
      <x:c r="E784" s="13" t="n">
        <x:v>63</x:v>
      </x:c>
      <x:c r="F784" s="13" t="n">
        <x:v>1918</x:v>
      </x:c>
      <x:c r="G784" s="13" t="n">
        <x:v>2126</x:v>
      </x:c>
      <x:c r="H784" s="13" t="n">
        <x:v>99</x:v>
      </x:c>
      <x:c r="I784" s="13" t="n">
        <x:v>2225</x:v>
      </x:c>
      <x:c r="J784" s="13" t="n">
        <x:v>307</x:v>
      </x:c>
      <x:c r="K784" s="14" t="n">
        <x:f>IFERROR(F784/SUMIFS($F:$F,$B:$B,B784),0)</x:f>
        <x:v>0.04309531299150676</x:v>
      </x:c>
      <x:c r="L784" s="12" t="str">
        <x:v>10–13</x:v>
      </x:c>
    </x:row>
    <x:row r="785">
      <x:c r="A785" s="12" t="str">
        <x:v>9/1–9/17平日</x:v>
      </x:c>
      <x:c r="B785" s="12" t="str">
        <x:v>2026-09-16</x:v>
      </x:c>
      <x:c r="C785" s="12" t="str">
        <x:v>14:00</x:v>
      </x:c>
      <x:c r="D785" s="13" t="n">
        <x:v>1340</x:v>
      </x:c>
      <x:c r="E785" s="13" t="n">
        <x:v>40</x:v>
      </x:c>
      <x:c r="F785" s="13" t="n">
        <x:v>1380</x:v>
      </x:c>
      <x:c r="G785" s="13" t="n">
        <x:v>1464</x:v>
      </x:c>
      <x:c r="H785" s="13" t="n">
        <x:v>50</x:v>
      </x:c>
      <x:c r="I785" s="13" t="n">
        <x:v>1514</x:v>
      </x:c>
      <x:c r="J785" s="13" t="n">
        <x:v>134</x:v>
      </x:c>
      <x:c r="K785" s="14" t="n">
        <x:f>IFERROR(F785/SUMIFS($F:$F,$B:$B,B785),0)</x:f>
        <x:v>0.031007055228508516</x:v>
      </x:c>
      <x:c r="L785" s="12" t="str">
        <x:v>14–17</x:v>
      </x:c>
    </x:row>
    <x:row r="786">
      <x:c r="A786" s="12" t="str">
        <x:v>9/1–9/17平日</x:v>
      </x:c>
      <x:c r="B786" s="12" t="str">
        <x:v>2026-09-16</x:v>
      </x:c>
      <x:c r="C786" s="12" t="str">
        <x:v>15:00</x:v>
      </x:c>
      <x:c r="D786" s="13" t="n">
        <x:v>2057</x:v>
      </x:c>
      <x:c r="E786" s="13" t="n">
        <x:v>78</x:v>
      </x:c>
      <x:c r="F786" s="13" t="n">
        <x:v>2135</x:v>
      </x:c>
      <x:c r="G786" s="13" t="n">
        <x:v>1833</x:v>
      </x:c>
      <x:c r="H786" s="13" t="n">
        <x:v>67</x:v>
      </x:c>
      <x:c r="I786" s="13" t="n">
        <x:v>1900</x:v>
      </x:c>
      <x:c r="J786" s="13" t="n">
        <x:v>-235</x:v>
      </x:c>
      <x:c r="K786" s="14" t="n">
        <x:f>IFERROR(F786/SUMIFS($F:$F,$B:$B,B786),0)</x:f>
        <x:v>0.047971060081786726</x:v>
      </x:c>
      <x:c r="L786" s="12" t="str">
        <x:v>14–17</x:v>
      </x:c>
    </x:row>
    <x:row r="787">
      <x:c r="A787" s="12" t="str">
        <x:v>9/1–9/17平日</x:v>
      </x:c>
      <x:c r="B787" s="12" t="str">
        <x:v>2026-09-16</x:v>
      </x:c>
      <x:c r="C787" s="12" t="str">
        <x:v>16:00</x:v>
      </x:c>
      <x:c r="D787" s="13" t="n">
        <x:v>1680</x:v>
      </x:c>
      <x:c r="E787" s="13" t="n">
        <x:v>47</x:v>
      </x:c>
      <x:c r="F787" s="13" t="n">
        <x:v>1727</x:v>
      </x:c>
      <x:c r="G787" s="13" t="n">
        <x:v>1244</x:v>
      </x:c>
      <x:c r="H787" s="13" t="n">
        <x:v>32</x:v>
      </x:c>
      <x:c r="I787" s="13" t="n">
        <x:v>1276</x:v>
      </x:c>
      <x:c r="J787" s="13" t="n">
        <x:v>-451</x:v>
      </x:c>
      <x:c r="K787" s="14" t="n">
        <x:f>IFERROR(F787/SUMIFS($F:$F,$B:$B,B787),0)</x:f>
        <x:v>0.03880375679683638</x:v>
      </x:c>
      <x:c r="L787" s="12" t="str">
        <x:v>14–17</x:v>
      </x:c>
    </x:row>
    <x:row r="788">
      <x:c r="A788" s="12" t="str">
        <x:v>9/1–9/17平日</x:v>
      </x:c>
      <x:c r="B788" s="12" t="str">
        <x:v>2026-09-16</x:v>
      </x:c>
      <x:c r="C788" s="12" t="str">
        <x:v>17:00</x:v>
      </x:c>
      <x:c r="D788" s="13" t="n">
        <x:v>2414</x:v>
      </x:c>
      <x:c r="E788" s="13" t="n">
        <x:v>136</x:v>
      </x:c>
      <x:c r="F788" s="13" t="n">
        <x:v>2550</x:v>
      </x:c>
      <x:c r="G788" s="13" t="n">
        <x:v>1707</x:v>
      </x:c>
      <x:c r="H788" s="13" t="n">
        <x:v>58</x:v>
      </x:c>
      <x:c r="I788" s="13" t="n">
        <x:v>1765</x:v>
      </x:c>
      <x:c r="J788" s="13" t="n">
        <x:v>-785</x:v>
      </x:c>
      <x:c r="K788" s="14" t="n">
        <x:f>IFERROR(F788/SUMIFS($F:$F,$B:$B,B788),0)</x:f>
        <x:v>0.057295645530939646</x:v>
      </x:c>
      <x:c r="L788" s="12" t="str">
        <x:v>14–17</x:v>
      </x:c>
    </x:row>
    <x:row r="789">
      <x:c r="A789" s="12" t="str">
        <x:v>9/1–9/17平日</x:v>
      </x:c>
      <x:c r="B789" s="12" t="str">
        <x:v>2026-09-16</x:v>
      </x:c>
      <x:c r="C789" s="12" t="str">
        <x:v>18:00</x:v>
      </x:c>
      <x:c r="D789" s="13" t="n">
        <x:v>1823</x:v>
      </x:c>
      <x:c r="E789" s="13" t="n">
        <x:v>83</x:v>
      </x:c>
      <x:c r="F789" s="13" t="n">
        <x:v>1906</x:v>
      </x:c>
      <x:c r="G789" s="13" t="n">
        <x:v>1722</x:v>
      </x:c>
      <x:c r="H789" s="13" t="n">
        <x:v>59</x:v>
      </x:c>
      <x:c r="I789" s="13" t="n">
        <x:v>1781</x:v>
      </x:c>
      <x:c r="J789" s="13" t="n">
        <x:v>-125</x:v>
      </x:c>
      <x:c r="K789" s="14" t="n">
        <x:f>IFERROR(F789/SUMIFS($F:$F,$B:$B,B789),0)</x:f>
        <x:v>0.04282568642430234</x:v>
      </x:c>
      <x:c r="L789" s="12" t="str">
        <x:v>18–21</x:v>
      </x:c>
    </x:row>
    <x:row r="790">
      <x:c r="A790" s="12" t="str">
        <x:v>9/1–9/17平日</x:v>
      </x:c>
      <x:c r="B790" s="12" t="str">
        <x:v>2026-09-16</x:v>
      </x:c>
      <x:c r="C790" s="12" t="str">
        <x:v>19:00</x:v>
      </x:c>
      <x:c r="D790" s="13" t="n">
        <x:v>854</x:v>
      </x:c>
      <x:c r="E790" s="13" t="n">
        <x:v>32</x:v>
      </x:c>
      <x:c r="F790" s="13" t="n">
        <x:v>886</x:v>
      </x:c>
      <x:c r="G790" s="13" t="n">
        <x:v>776</x:v>
      </x:c>
      <x:c r="H790" s="13" t="n">
        <x:v>33</x:v>
      </x:c>
      <x:c r="I790" s="13" t="n">
        <x:v>809</x:v>
      </x:c>
      <x:c r="J790" s="13" t="n">
        <x:v>-77</x:v>
      </x:c>
      <x:c r="K790" s="14" t="n">
        <x:f>IFERROR(F790/SUMIFS($F:$F,$B:$B,B790),0)</x:f>
        <x:v>0.01990742821192648</x:v>
      </x:c>
      <x:c r="L790" s="12" t="str">
        <x:v>18–21</x:v>
      </x:c>
    </x:row>
    <x:row r="791">
      <x:c r="A791" s="12" t="str">
        <x:v>9/1–9/17平日</x:v>
      </x:c>
      <x:c r="B791" s="12" t="str">
        <x:v>2026-09-16</x:v>
      </x:c>
      <x:c r="C791" s="12" t="str">
        <x:v>20:00</x:v>
      </x:c>
      <x:c r="D791" s="13" t="n">
        <x:v>717</x:v>
      </x:c>
      <x:c r="E791" s="13" t="n">
        <x:v>55</x:v>
      </x:c>
      <x:c r="F791" s="13" t="n">
        <x:v>772</x:v>
      </x:c>
      <x:c r="G791" s="13" t="n">
        <x:v>519</x:v>
      </x:c>
      <x:c r="H791" s="13" t="n">
        <x:v>24</x:v>
      </x:c>
      <x:c r="I791" s="13" t="n">
        <x:v>543</x:v>
      </x:c>
      <x:c r="J791" s="13" t="n">
        <x:v>-229</x:v>
      </x:c>
      <x:c r="K791" s="14" t="n">
        <x:f>IFERROR(F791/SUMIFS($F:$F,$B:$B,B791),0)</x:f>
        <x:v>0.017345975823484475</x:v>
      </x:c>
      <x:c r="L791" s="12" t="str">
        <x:v>18–21</x:v>
      </x:c>
    </x:row>
    <x:row r="792">
      <x:c r="A792" s="12" t="str">
        <x:v>9/1–9/17平日</x:v>
      </x:c>
      <x:c r="B792" s="12" t="str">
        <x:v>2026-09-16</x:v>
      </x:c>
      <x:c r="C792" s="12" t="str">
        <x:v>21:00</x:v>
      </x:c>
      <x:c r="D792" s="13" t="n">
        <x:v>410</x:v>
      </x:c>
      <x:c r="E792" s="13" t="n">
        <x:v>43</x:v>
      </x:c>
      <x:c r="F792" s="13" t="n">
        <x:v>453</x:v>
      </x:c>
      <x:c r="G792" s="13" t="n">
        <x:v>363</x:v>
      </x:c>
      <x:c r="H792" s="13" t="n">
        <x:v>19</x:v>
      </x:c>
      <x:c r="I792" s="13" t="n">
        <x:v>382</x:v>
      </x:c>
      <x:c r="J792" s="13" t="n">
        <x:v>-71</x:v>
      </x:c>
      <x:c r="K792" s="14" t="n">
        <x:f>IFERROR(F792/SUMIFS($F:$F,$B:$B,B792),0)</x:f>
        <x:v>0.010178402911966925</x:v>
      </x:c>
      <x:c r="L792" s="12" t="str">
        <x:v>18–21</x:v>
      </x:c>
    </x:row>
    <x:row r="793">
      <x:c r="A793" s="12" t="str">
        <x:v>9/1–9/17平日</x:v>
      </x:c>
      <x:c r="B793" s="12" t="str">
        <x:v>2026-09-16</x:v>
      </x:c>
      <x:c r="C793" s="12" t="str">
        <x:v>22:00</x:v>
      </x:c>
      <x:c r="D793" s="13" t="n">
        <x:v>230</x:v>
      </x:c>
      <x:c r="E793" s="13" t="n">
        <x:v>12</x:v>
      </x:c>
      <x:c r="F793" s="13" t="n">
        <x:v>242</x:v>
      </x:c>
      <x:c r="G793" s="13" t="n">
        <x:v>228</x:v>
      </x:c>
      <x:c r="H793" s="13" t="n">
        <x:v>9</x:v>
      </x:c>
      <x:c r="I793" s="13" t="n">
        <x:v>237</x:v>
      </x:c>
      <x:c r="J793" s="13" t="n">
        <x:v>-5</x:v>
      </x:c>
      <x:c r="K793" s="14" t="n">
        <x:f>IFERROR(F793/SUMIFS($F:$F,$B:$B,B793),0)</x:f>
        <x:v>0.005437469105289174</x:v>
      </x:c>
      <x:c r="L793" s="12" t="str">
        <x:v>22–23</x:v>
      </x:c>
    </x:row>
    <x:row r="794">
      <x:c r="A794" s="12" t="str">
        <x:v>9/1–9/17平日</x:v>
      </x:c>
      <x:c r="B794" s="12" t="str">
        <x:v>2026-09-16</x:v>
      </x:c>
      <x:c r="C794" s="12" t="str">
        <x:v>23:00</x:v>
      </x:c>
      <x:c r="D794" s="13" t="n">
        <x:v>181</x:v>
      </x:c>
      <x:c r="E794" s="13" t="n">
        <x:v>8</x:v>
      </x:c>
      <x:c r="F794" s="13" t="n">
        <x:v>189</x:v>
      </x:c>
      <x:c r="G794" s="13" t="n">
        <x:v>134</x:v>
      </x:c>
      <x:c r="H794" s="13" t="n">
        <x:v>6</x:v>
      </x:c>
      <x:c r="I794" s="13" t="n">
        <x:v>140</x:v>
      </x:c>
      <x:c r="J794" s="13" t="n">
        <x:v>-49</x:v>
      </x:c>
      <x:c r="K794" s="14" t="n">
        <x:f>IFERROR(F794/SUMIFS($F:$F,$B:$B,B794),0)</x:f>
        <x:v>0.0042466184334696445</x:v>
      </x:c>
      <x:c r="L794" s="12" t="str">
        <x:v>22–23</x:v>
      </x:c>
    </x:row>
    <x:row r="795">
      <x:c r="A795" s="12" t="str">
        <x:v>9/1–9/17平日</x:v>
      </x:c>
      <x:c r="B795" s="12" t="str">
        <x:v>2026-09-17</x:v>
      </x:c>
      <x:c r="C795" s="12" t="str">
        <x:v>00:00</x:v>
      </x:c>
      <x:c r="D795" s="13" t="n">
        <x:v>109</x:v>
      </x:c>
      <x:c r="E795" s="13" t="n">
        <x:v>2</x:v>
      </x:c>
      <x:c r="F795" s="13" t="n">
        <x:v>111</x:v>
      </x:c>
      <x:c r="G795" s="13" t="n">
        <x:v>85</x:v>
      </x:c>
      <x:c r="H795" s="13" t="n">
        <x:v>9</x:v>
      </x:c>
      <x:c r="I795" s="13" t="n">
        <x:v>94</x:v>
      </x:c>
      <x:c r="J795" s="13" t="n">
        <x:v>-17</x:v>
      </x:c>
      <x:c r="K795" s="14" t="n">
        <x:f>IFERROR(F795/SUMIFS($F:$F,$B:$B,B795),0)</x:f>
        <x:v>0.002617801047120419</x:v>
      </x:c>
      <x:c r="L795" s="12" t="str">
        <x:v>00–05</x:v>
      </x:c>
    </x:row>
    <x:row r="796">
      <x:c r="A796" s="12" t="str">
        <x:v>9/1–9/17平日</x:v>
      </x:c>
      <x:c r="B796" s="12" t="str">
        <x:v>2026-09-17</x:v>
      </x:c>
      <x:c r="C796" s="12" t="str">
        <x:v>01:00</x:v>
      </x:c>
      <x:c r="D796" s="13" t="n">
        <x:v>51</x:v>
      </x:c>
      <x:c r="E796" s="13" t="n">
        <x:v>2</x:v>
      </x:c>
      <x:c r="F796" s="13" t="n">
        <x:v>53</x:v>
      </x:c>
      <x:c r="G796" s="13" t="n">
        <x:v>51</x:v>
      </x:c>
      <x:c r="H796" s="13" t="n">
        <x:v>7</x:v>
      </x:c>
      <x:c r="I796" s="13" t="n">
        <x:v>58</x:v>
      </x:c>
      <x:c r="J796" s="13" t="n">
        <x:v>5</x:v>
      </x:c>
      <x:c r="K796" s="14" t="n">
        <x:f>IFERROR(F796/SUMIFS($F:$F,$B:$B,B796),0)</x:f>
        <x:v>0.0012499410405169568</x:v>
      </x:c>
      <x:c r="L796" s="12" t="str">
        <x:v>00–05</x:v>
      </x:c>
    </x:row>
    <x:row r="797">
      <x:c r="A797" s="12" t="str">
        <x:v>9/1–9/17平日</x:v>
      </x:c>
      <x:c r="B797" s="12" t="str">
        <x:v>2026-09-17</x:v>
      </x:c>
      <x:c r="C797" s="12" t="str">
        <x:v>02:00</x:v>
      </x:c>
      <x:c r="D797" s="13" t="n">
        <x:v>27</x:v>
      </x:c>
      <x:c r="E797" s="13" t="n">
        <x:v>0</x:v>
      </x:c>
      <x:c r="F797" s="13" t="n">
        <x:v>27</x:v>
      </x:c>
      <x:c r="G797" s="13" t="n">
        <x:v>19</x:v>
      </x:c>
      <x:c r="H797" s="13" t="n">
        <x:v>0</x:v>
      </x:c>
      <x:c r="I797" s="13" t="n">
        <x:v>19</x:v>
      </x:c>
      <x:c r="J797" s="13" t="n">
        <x:v>-8</x:v>
      </x:c>
      <x:c r="K797" s="14" t="n">
        <x:f>IFERROR(F797/SUMIFS($F:$F,$B:$B,B797),0)</x:f>
        <x:v>0.000636762416867129</x:v>
      </x:c>
      <x:c r="L797" s="12" t="str">
        <x:v>00–05</x:v>
      </x:c>
    </x:row>
    <x:row r="798">
      <x:c r="A798" s="12" t="str">
        <x:v>9/1–9/17平日</x:v>
      </x:c>
      <x:c r="B798" s="12" t="str">
        <x:v>2026-09-17</x:v>
      </x:c>
      <x:c r="C798" s="12" t="str">
        <x:v>03:00</x:v>
      </x:c>
      <x:c r="D798" s="13" t="n">
        <x:v>13</x:v>
      </x:c>
      <x:c r="E798" s="13" t="n">
        <x:v>0</x:v>
      </x:c>
      <x:c r="F798" s="13" t="n">
        <x:v>13</x:v>
      </x:c>
      <x:c r="G798" s="13" t="n">
        <x:v>12</x:v>
      </x:c>
      <x:c r="H798" s="13" t="n">
        <x:v>0</x:v>
      </x:c>
      <x:c r="I798" s="13" t="n">
        <x:v>12</x:v>
      </x:c>
      <x:c r="J798" s="13" t="n">
        <x:v>-1</x:v>
      </x:c>
      <x:c r="K798" s="14" t="n">
        <x:f>IFERROR(F798/SUMIFS($F:$F,$B:$B,B798),0)</x:f>
        <x:v>0.00030658931182491394</x:v>
      </x:c>
      <x:c r="L798" s="12" t="str">
        <x:v>00–05</x:v>
      </x:c>
    </x:row>
    <x:row r="799">
      <x:c r="A799" s="12" t="str">
        <x:v>9/1–9/17平日</x:v>
      </x:c>
      <x:c r="B799" s="12" t="str">
        <x:v>2026-09-17</x:v>
      </x:c>
      <x:c r="C799" s="12" t="str">
        <x:v>04:00</x:v>
      </x:c>
      <x:c r="D799" s="13" t="n">
        <x:v>23</x:v>
      </x:c>
      <x:c r="E799" s="13" t="n">
        <x:v>1</x:v>
      </x:c>
      <x:c r="F799" s="13" t="n">
        <x:v>24</x:v>
      </x:c>
      <x:c r="G799" s="13" t="n">
        <x:v>13</x:v>
      </x:c>
      <x:c r="H799" s="13" t="n">
        <x:v>1</x:v>
      </x:c>
      <x:c r="I799" s="13" t="n">
        <x:v>14</x:v>
      </x:c>
      <x:c r="J799" s="13" t="n">
        <x:v>-10</x:v>
      </x:c>
      <x:c r="K799" s="14" t="n">
        <x:f>IFERROR(F799/SUMIFS($F:$F,$B:$B,B799),0)</x:f>
        <x:v>0.0005660110372152257</x:v>
      </x:c>
      <x:c r="L799" s="12" t="str">
        <x:v>00–05</x:v>
      </x:c>
    </x:row>
    <x:row r="800">
      <x:c r="A800" s="12" t="str">
        <x:v>9/1–9/17平日</x:v>
      </x:c>
      <x:c r="B800" s="12" t="str">
        <x:v>2026-09-17</x:v>
      </x:c>
      <x:c r="C800" s="12" t="str">
        <x:v>05:00</x:v>
      </x:c>
      <x:c r="D800" s="13" t="n">
        <x:v>39</x:v>
      </x:c>
      <x:c r="E800" s="13" t="n">
        <x:v>1</x:v>
      </x:c>
      <x:c r="F800" s="13" t="n">
        <x:v>40</x:v>
      </x:c>
      <x:c r="G800" s="13" t="n">
        <x:v>53</x:v>
      </x:c>
      <x:c r="H800" s="13" t="n">
        <x:v>3</x:v>
      </x:c>
      <x:c r="I800" s="13" t="n">
        <x:v>56</x:v>
      </x:c>
      <x:c r="J800" s="13" t="n">
        <x:v>16</x:v>
      </x:c>
      <x:c r="K800" s="14" t="n">
        <x:f>IFERROR(F800/SUMIFS($F:$F,$B:$B,B800),0)</x:f>
        <x:v>0.0009433517286920428</x:v>
      </x:c>
      <x:c r="L800" s="12" t="str">
        <x:v>00–05</x:v>
      </x:c>
    </x:row>
    <x:row r="801">
      <x:c r="A801" s="12" t="str">
        <x:v>9/1–9/17平日</x:v>
      </x:c>
      <x:c r="B801" s="12" t="str">
        <x:v>2026-09-17</x:v>
      </x:c>
      <x:c r="C801" s="12" t="str">
        <x:v>06:00</x:v>
      </x:c>
      <x:c r="D801" s="13" t="n">
        <x:v>115</x:v>
      </x:c>
      <x:c r="E801" s="13" t="n">
        <x:v>2</x:v>
      </x:c>
      <x:c r="F801" s="13" t="n">
        <x:v>117</x:v>
      </x:c>
      <x:c r="G801" s="13" t="n">
        <x:v>131</x:v>
      </x:c>
      <x:c r="H801" s="13" t="n">
        <x:v>10</x:v>
      </x:c>
      <x:c r="I801" s="13" t="n">
        <x:v>141</x:v>
      </x:c>
      <x:c r="J801" s="13" t="n">
        <x:v>24</x:v>
      </x:c>
      <x:c r="K801" s="14" t="n">
        <x:f>IFERROR(F801/SUMIFS($F:$F,$B:$B,B801),0)</x:f>
        <x:v>0.0027593038064242254</x:v>
      </x:c>
      <x:c r="L801" s="12" t="str">
        <x:v>06–09</x:v>
      </x:c>
    </x:row>
    <x:row r="802">
      <x:c r="A802" s="12" t="str">
        <x:v>9/1–9/17平日</x:v>
      </x:c>
      <x:c r="B802" s="12" t="str">
        <x:v>2026-09-17</x:v>
      </x:c>
      <x:c r="C802" s="12" t="str">
        <x:v>07:00</x:v>
      </x:c>
      <x:c r="D802" s="13" t="n">
        <x:v>424</x:v>
      </x:c>
      <x:c r="E802" s="13" t="n">
        <x:v>16</x:v>
      </x:c>
      <x:c r="F802" s="13" t="n">
        <x:v>440</x:v>
      </x:c>
      <x:c r="G802" s="13" t="n">
        <x:v>542</x:v>
      </x:c>
      <x:c r="H802" s="13" t="n">
        <x:v>26</x:v>
      </x:c>
      <x:c r="I802" s="13" t="n">
        <x:v>568</x:v>
      </x:c>
      <x:c r="J802" s="13" t="n">
        <x:v>128</x:v>
      </x:c>
      <x:c r="K802" s="14" t="n">
        <x:f>IFERROR(F802/SUMIFS($F:$F,$B:$B,B802),0)</x:f>
        <x:v>0.010376869015612472</x:v>
      </x:c>
      <x:c r="L802" s="12" t="str">
        <x:v>06–09</x:v>
      </x:c>
    </x:row>
    <x:row r="803">
      <x:c r="A803" s="12" t="str">
        <x:v>9/1–9/17平日</x:v>
      </x:c>
      <x:c r="B803" s="12" t="str">
        <x:v>2026-09-17</x:v>
      </x:c>
      <x:c r="C803" s="12" t="str">
        <x:v>08:00</x:v>
      </x:c>
      <x:c r="D803" s="13" t="n">
        <x:v>904</x:v>
      </x:c>
      <x:c r="E803" s="13" t="n">
        <x:v>60</x:v>
      </x:c>
      <x:c r="F803" s="13" t="n">
        <x:v>964</x:v>
      </x:c>
      <x:c r="G803" s="13" t="n">
        <x:v>1279</x:v>
      </x:c>
      <x:c r="H803" s="13" t="n">
        <x:v>74</x:v>
      </x:c>
      <x:c r="I803" s="13" t="n">
        <x:v>1353</x:v>
      </x:c>
      <x:c r="J803" s="13" t="n">
        <x:v>389</x:v>
      </x:c>
      <x:c r="K803" s="14" t="n">
        <x:f>IFERROR(F803/SUMIFS($F:$F,$B:$B,B803),0)</x:f>
        <x:v>0.02273477666147823</x:v>
      </x:c>
      <x:c r="L803" s="12" t="str">
        <x:v>06–09</x:v>
      </x:c>
    </x:row>
    <x:row r="804">
      <x:c r="A804" s="12" t="str">
        <x:v>9/1–9/17平日</x:v>
      </x:c>
      <x:c r="B804" s="12" t="str">
        <x:v>2026-09-17</x:v>
      </x:c>
      <x:c r="C804" s="12" t="str">
        <x:v>09:00</x:v>
      </x:c>
      <x:c r="D804" s="13" t="n">
        <x:v>1041</x:v>
      </x:c>
      <x:c r="E804" s="13" t="n">
        <x:v>37</x:v>
      </x:c>
      <x:c r="F804" s="13" t="n">
        <x:v>1078</x:v>
      </x:c>
      <x:c r="G804" s="13" t="n">
        <x:v>1423</x:v>
      </x:c>
      <x:c r="H804" s="13" t="n">
        <x:v>92</x:v>
      </x:c>
      <x:c r="I804" s="13" t="n">
        <x:v>1515</x:v>
      </x:c>
      <x:c r="J804" s="13" t="n">
        <x:v>437</x:v>
      </x:c>
      <x:c r="K804" s="14" t="n">
        <x:f>IFERROR(F804/SUMIFS($F:$F,$B:$B,B804),0)</x:f>
        <x:v>0.025423329088250554</x:v>
      </x:c>
      <x:c r="L804" s="12" t="str">
        <x:v>06–09</x:v>
      </x:c>
    </x:row>
    <x:row r="805">
      <x:c r="A805" s="12" t="str">
        <x:v>9/1–9/17平日</x:v>
      </x:c>
      <x:c r="B805" s="12" t="str">
        <x:v>2026-09-17</x:v>
      </x:c>
      <x:c r="C805" s="12" t="str">
        <x:v>10:00</x:v>
      </x:c>
      <x:c r="D805" s="13" t="n">
        <x:v>1194</x:v>
      </x:c>
      <x:c r="E805" s="13" t="n">
        <x:v>49</x:v>
      </x:c>
      <x:c r="F805" s="13" t="n">
        <x:v>1243</x:v>
      </x:c>
      <x:c r="G805" s="13" t="n">
        <x:v>1547</x:v>
      </x:c>
      <x:c r="H805" s="13" t="n">
        <x:v>99</x:v>
      </x:c>
      <x:c r="I805" s="13" t="n">
        <x:v>1646</x:v>
      </x:c>
      <x:c r="J805" s="13" t="n">
        <x:v>403</x:v>
      </x:c>
      <x:c r="K805" s="14" t="n">
        <x:f>IFERROR(F805/SUMIFS($F:$F,$B:$B,B805),0)</x:f>
        <x:v>0.029314654969105233</x:v>
      </x:c>
      <x:c r="L805" s="12" t="str">
        <x:v>10–13</x:v>
      </x:c>
    </x:row>
    <x:row r="806">
      <x:c r="A806" s="12" t="str">
        <x:v>9/1–9/17平日</x:v>
      </x:c>
      <x:c r="B806" s="12" t="str">
        <x:v>2026-09-17</x:v>
      </x:c>
      <x:c r="C806" s="12" t="str">
        <x:v>11:00</x:v>
      </x:c>
      <x:c r="D806" s="13" t="n">
        <x:v>1136</x:v>
      </x:c>
      <x:c r="E806" s="13" t="n">
        <x:v>48</x:v>
      </x:c>
      <x:c r="F806" s="13" t="n">
        <x:v>1184</x:v>
      </x:c>
      <x:c r="G806" s="13" t="n">
        <x:v>1004</x:v>
      </x:c>
      <x:c r="H806" s="13" t="n">
        <x:v>48</x:v>
      </x:c>
      <x:c r="I806" s="13" t="n">
        <x:v>1052</x:v>
      </x:c>
      <x:c r="J806" s="13" t="n">
        <x:v>-132</x:v>
      </x:c>
      <x:c r="K806" s="14" t="n">
        <x:f>IFERROR(F806/SUMIFS($F:$F,$B:$B,B806),0)</x:f>
        <x:v>0.027923211169284468</x:v>
      </x:c>
      <x:c r="L806" s="12" t="str">
        <x:v>10–13</x:v>
      </x:c>
    </x:row>
    <x:row r="807">
      <x:c r="A807" s="12" t="str">
        <x:v>9/1–9/17平日</x:v>
      </x:c>
      <x:c r="B807" s="12" t="str">
        <x:v>2026-09-17</x:v>
      </x:c>
      <x:c r="C807" s="12" t="str">
        <x:v>12:00</x:v>
      </x:c>
      <x:c r="D807" s="13" t="n">
        <x:v>2342</x:v>
      </x:c>
      <x:c r="E807" s="13" t="n">
        <x:v>84</x:v>
      </x:c>
      <x:c r="F807" s="13" t="n">
        <x:v>2426</x:v>
      </x:c>
      <x:c r="G807" s="13" t="n">
        <x:v>2132</x:v>
      </x:c>
      <x:c r="H807" s="13" t="n">
        <x:v>66</x:v>
      </x:c>
      <x:c r="I807" s="13" t="n">
        <x:v>2198</x:v>
      </x:c>
      <x:c r="J807" s="13" t="n">
        <x:v>-228</x:v>
      </x:c>
      <x:c r="K807" s="14" t="n">
        <x:f>IFERROR(F807/SUMIFS($F:$F,$B:$B,B807),0)</x:f>
        <x:v>0.057214282345172396</x:v>
      </x:c>
      <x:c r="L807" s="12" t="str">
        <x:v>10–13</x:v>
      </x:c>
    </x:row>
    <x:row r="808">
      <x:c r="A808" s="12" t="str">
        <x:v>9/1–9/17平日</x:v>
      </x:c>
      <x:c r="B808" s="12" t="str">
        <x:v>2026-09-17</x:v>
      </x:c>
      <x:c r="C808" s="12" t="str">
        <x:v>13:00</x:v>
      </x:c>
      <x:c r="D808" s="13" t="n">
        <x:v>1795</x:v>
      </x:c>
      <x:c r="E808" s="13" t="n">
        <x:v>60</x:v>
      </x:c>
      <x:c r="F808" s="13" t="n">
        <x:v>1855</x:v>
      </x:c>
      <x:c r="G808" s="13" t="n">
        <x:v>2098</x:v>
      </x:c>
      <x:c r="H808" s="13" t="n">
        <x:v>77</x:v>
      </x:c>
      <x:c r="I808" s="13" t="n">
        <x:v>2175</x:v>
      </x:c>
      <x:c r="J808" s="13" t="n">
        <x:v>320</x:v>
      </x:c>
      <x:c r="K808" s="14" t="n">
        <x:f>IFERROR(F808/SUMIFS($F:$F,$B:$B,B808),0)</x:f>
        <x:v>0.043747936418093485</x:v>
      </x:c>
      <x:c r="L808" s="12" t="str">
        <x:v>10–13</x:v>
      </x:c>
    </x:row>
    <x:row r="809">
      <x:c r="A809" s="12" t="str">
        <x:v>9/1–9/17平日</x:v>
      </x:c>
      <x:c r="B809" s="12" t="str">
        <x:v>2026-09-17</x:v>
      </x:c>
      <x:c r="C809" s="12" t="str">
        <x:v>14:00</x:v>
      </x:c>
      <x:c r="D809" s="13" t="n">
        <x:v>1414</x:v>
      </x:c>
      <x:c r="E809" s="13" t="n">
        <x:v>39</x:v>
      </x:c>
      <x:c r="F809" s="13" t="n">
        <x:v>1453</x:v>
      </x:c>
      <x:c r="G809" s="13" t="n">
        <x:v>1603</x:v>
      </x:c>
      <x:c r="H809" s="13" t="n">
        <x:v>49</x:v>
      </x:c>
      <x:c r="I809" s="13" t="n">
        <x:v>1652</x:v>
      </x:c>
      <x:c r="J809" s="13" t="n">
        <x:v>199</x:v>
      </x:c>
      <x:c r="K809" s="14" t="n">
        <x:f>IFERROR(F809/SUMIFS($F:$F,$B:$B,B809),0)</x:f>
        <x:v>0.034267251544738454</x:v>
      </x:c>
      <x:c r="L809" s="12" t="str">
        <x:v>14–17</x:v>
      </x:c>
    </x:row>
    <x:row r="810">
      <x:c r="A810" s="12" t="str">
        <x:v>9/1–9/17平日</x:v>
      </x:c>
      <x:c r="B810" s="12" t="str">
        <x:v>2026-09-17</x:v>
      </x:c>
      <x:c r="C810" s="12" t="str">
        <x:v>15:00</x:v>
      </x:c>
      <x:c r="D810" s="13" t="n">
        <x:v>1865</x:v>
      </x:c>
      <x:c r="E810" s="13" t="n">
        <x:v>77</x:v>
      </x:c>
      <x:c r="F810" s="13" t="n">
        <x:v>1942</x:v>
      </x:c>
      <x:c r="G810" s="13" t="n">
        <x:v>1681</x:v>
      </x:c>
      <x:c r="H810" s="13" t="n">
        <x:v>64</x:v>
      </x:c>
      <x:c r="I810" s="13" t="n">
        <x:v>1745</x:v>
      </x:c>
      <x:c r="J810" s="13" t="n">
        <x:v>-197</x:v>
      </x:c>
      <x:c r="K810" s="14" t="n">
        <x:f>IFERROR(F810/SUMIFS($F:$F,$B:$B,B810),0)</x:f>
        <x:v>0.04579972642799868</x:v>
      </x:c>
      <x:c r="L810" s="12" t="str">
        <x:v>14–17</x:v>
      </x:c>
    </x:row>
    <x:row r="811">
      <x:c r="A811" s="12" t="str">
        <x:v>9/1–9/17平日</x:v>
      </x:c>
      <x:c r="B811" s="12" t="str">
        <x:v>2026-09-17</x:v>
      </x:c>
      <x:c r="C811" s="12" t="str">
        <x:v>16:00</x:v>
      </x:c>
      <x:c r="D811" s="13" t="n">
        <x:v>1639</x:v>
      </x:c>
      <x:c r="E811" s="13" t="n">
        <x:v>70</x:v>
      </x:c>
      <x:c r="F811" s="13" t="n">
        <x:v>1709</x:v>
      </x:c>
      <x:c r="G811" s="13" t="n">
        <x:v>1135</x:v>
      </x:c>
      <x:c r="H811" s="13" t="n">
        <x:v>54</x:v>
      </x:c>
      <x:c r="I811" s="13" t="n">
        <x:v>1189</x:v>
      </x:c>
      <x:c r="J811" s="13" t="n">
        <x:v>-520</x:v>
      </x:c>
      <x:c r="K811" s="14" t="n">
        <x:f>IFERROR(F811/SUMIFS($F:$F,$B:$B,B811),0)</x:f>
        <x:v>0.04030470260836753</x:v>
      </x:c>
      <x:c r="L811" s="12" t="str">
        <x:v>14–17</x:v>
      </x:c>
    </x:row>
    <x:row r="812">
      <x:c r="A812" s="12" t="str">
        <x:v>9/1–9/17平日</x:v>
      </x:c>
      <x:c r="B812" s="12" t="str">
        <x:v>2026-09-17</x:v>
      </x:c>
      <x:c r="C812" s="12" t="str">
        <x:v>17:00</x:v>
      </x:c>
      <x:c r="D812" s="13" t="n">
        <x:v>2383</x:v>
      </x:c>
      <x:c r="E812" s="13" t="n">
        <x:v>147</x:v>
      </x:c>
      <x:c r="F812" s="13" t="n">
        <x:v>2530</x:v>
      </x:c>
      <x:c r="G812" s="13" t="n">
        <x:v>1719</x:v>
      </x:c>
      <x:c r="H812" s="13" t="n">
        <x:v>63</x:v>
      </x:c>
      <x:c r="I812" s="13" t="n">
        <x:v>1782</x:v>
      </x:c>
      <x:c r="J812" s="13" t="n">
        <x:v>-748</x:v>
      </x:c>
      <x:c r="K812" s="14" t="n">
        <x:f>IFERROR(F812/SUMIFS($F:$F,$B:$B,B812),0)</x:f>
        <x:v>0.05966699683977171</x:v>
      </x:c>
      <x:c r="L812" s="12" t="str">
        <x:v>14–17</x:v>
      </x:c>
    </x:row>
    <x:row r="813">
      <x:c r="A813" s="12" t="str">
        <x:v>9/1–9/17平日</x:v>
      </x:c>
      <x:c r="B813" s="12" t="str">
        <x:v>2026-09-17</x:v>
      </x:c>
      <x:c r="C813" s="12" t="str">
        <x:v>18:00</x:v>
      </x:c>
      <x:c r="D813" s="13" t="n">
        <x:v>1506</x:v>
      </x:c>
      <x:c r="E813" s="13" t="n">
        <x:v>72</x:v>
      </x:c>
      <x:c r="F813" s="13" t="n">
        <x:v>1578</x:v>
      </x:c>
      <x:c r="G813" s="13" t="n">
        <x:v>1429</x:v>
      </x:c>
      <x:c r="H813" s="13" t="n">
        <x:v>75</x:v>
      </x:c>
      <x:c r="I813" s="13" t="n">
        <x:v>1504</x:v>
      </x:c>
      <x:c r="J813" s="13" t="n">
        <x:v>-74</x:v>
      </x:c>
      <x:c r="K813" s="14" t="n">
        <x:f>IFERROR(F813/SUMIFS($F:$F,$B:$B,B813),0)</x:f>
        <x:v>0.03721522569690109</x:v>
      </x:c>
      <x:c r="L813" s="12" t="str">
        <x:v>18–21</x:v>
      </x:c>
    </x:row>
    <x:row r="814">
      <x:c r="A814" s="12" t="str">
        <x:v>9/1–9/17平日</x:v>
      </x:c>
      <x:c r="B814" s="12" t="str">
        <x:v>2026-09-17</x:v>
      </x:c>
      <x:c r="C814" s="12" t="str">
        <x:v>19:00</x:v>
      </x:c>
      <x:c r="D814" s="13" t="n">
        <x:v>883</x:v>
      </x:c>
      <x:c r="E814" s="13" t="n">
        <x:v>33</x:v>
      </x:c>
      <x:c r="F814" s="13" t="n">
        <x:v>916</x:v>
      </x:c>
      <x:c r="G814" s="13" t="n">
        <x:v>760</x:v>
      </x:c>
      <x:c r="H814" s="13" t="n">
        <x:v>29</x:v>
      </x:c>
      <x:c r="I814" s="13" t="n">
        <x:v>789</x:v>
      </x:c>
      <x:c r="J814" s="13" t="n">
        <x:v>-127</x:v>
      </x:c>
      <x:c r="K814" s="14" t="n">
        <x:f>IFERROR(F814/SUMIFS($F:$F,$B:$B,B814),0)</x:f>
        <x:v>0.02160275458704778</x:v>
      </x:c>
      <x:c r="L814" s="12" t="str">
        <x:v>18–21</x:v>
      </x:c>
    </x:row>
    <x:row r="815">
      <x:c r="A815" s="12" t="str">
        <x:v>9/1–9/17平日</x:v>
      </x:c>
      <x:c r="B815" s="12" t="str">
        <x:v>2026-09-17</x:v>
      </x:c>
      <x:c r="C815" s="12" t="str">
        <x:v>20:00</x:v>
      </x:c>
      <x:c r="D815" s="13" t="n">
        <x:v>609</x:v>
      </x:c>
      <x:c r="E815" s="13" t="n">
        <x:v>50</x:v>
      </x:c>
      <x:c r="F815" s="13" t="n">
        <x:v>659</x:v>
      </x:c>
      <x:c r="G815" s="13" t="n">
        <x:v>467</x:v>
      </x:c>
      <x:c r="H815" s="13" t="n">
        <x:v>19</x:v>
      </x:c>
      <x:c r="I815" s="13" t="n">
        <x:v>486</x:v>
      </x:c>
      <x:c r="J815" s="13" t="n">
        <x:v>-173</x:v>
      </x:c>
      <x:c r="K815" s="14" t="n">
        <x:f>IFERROR(F815/SUMIFS($F:$F,$B:$B,B815),0)</x:f>
        <x:v>0.015541719730201405</x:v>
      </x:c>
      <x:c r="L815" s="12" t="str">
        <x:v>18–21</x:v>
      </x:c>
    </x:row>
    <x:row r="816">
      <x:c r="A816" s="12" t="str">
        <x:v>9/1–9/17平日</x:v>
      </x:c>
      <x:c r="B816" s="12" t="str">
        <x:v>2026-09-17</x:v>
      </x:c>
      <x:c r="C816" s="12" t="str">
        <x:v>21:00</x:v>
      </x:c>
      <x:c r="D816" s="13" t="n">
        <x:v>389</x:v>
      </x:c>
      <x:c r="E816" s="13" t="n">
        <x:v>29</x:v>
      </x:c>
      <x:c r="F816" s="13" t="n">
        <x:v>418</x:v>
      </x:c>
      <x:c r="G816" s="13" t="n">
        <x:v>345</x:v>
      </x:c>
      <x:c r="H816" s="13" t="n">
        <x:v>12</x:v>
      </x:c>
      <x:c r="I816" s="13" t="n">
        <x:v>357</x:v>
      </x:c>
      <x:c r="J816" s="13" t="n">
        <x:v>-61</x:v>
      </x:c>
      <x:c r="K816" s="14" t="n">
        <x:f>IFERROR(F816/SUMIFS($F:$F,$B:$B,B816),0)</x:f>
        <x:v>0.009858025564831847</x:v>
      </x:c>
      <x:c r="L816" s="12" t="str">
        <x:v>18–21</x:v>
      </x:c>
    </x:row>
    <x:row r="817">
      <x:c r="A817" s="12" t="str">
        <x:v>9/1–9/17平日</x:v>
      </x:c>
      <x:c r="B817" s="12" t="str">
        <x:v>2026-09-17</x:v>
      </x:c>
      <x:c r="C817" s="12" t="str">
        <x:v>22:00</x:v>
      </x:c>
      <x:c r="D817" s="13" t="n">
        <x:v>237</x:v>
      </x:c>
      <x:c r="E817" s="13" t="n">
        <x:v>16</x:v>
      </x:c>
      <x:c r="F817" s="13" t="n">
        <x:v>253</x:v>
      </x:c>
      <x:c r="G817" s="13" t="n">
        <x:v>217</x:v>
      </x:c>
      <x:c r="H817" s="13" t="n">
        <x:v>12</x:v>
      </x:c>
      <x:c r="I817" s="13" t="n">
        <x:v>229</x:v>
      </x:c>
      <x:c r="J817" s="13" t="n">
        <x:v>-24</x:v>
      </x:c>
      <x:c r="K817" s="14" t="n">
        <x:f>IFERROR(F817/SUMIFS($F:$F,$B:$B,B817),0)</x:f>
        <x:v>0.005966699683977171</x:v>
      </x:c>
      <x:c r="L817" s="12" t="str">
        <x:v>22–23</x:v>
      </x:c>
    </x:row>
    <x:row r="818">
      <x:c r="A818" s="12" t="str">
        <x:v>9/1–9/17平日</x:v>
      </x:c>
      <x:c r="B818" s="12" t="str">
        <x:v>2026-09-17</x:v>
      </x:c>
      <x:c r="C818" s="12" t="str">
        <x:v>23:00</x:v>
      </x:c>
      <x:c r="D818" s="13" t="n">
        <x:v>161</x:v>
      </x:c>
      <x:c r="E818" s="13" t="n">
        <x:v>7</x:v>
      </x:c>
      <x:c r="F818" s="13" t="n">
        <x:v>168</x:v>
      </x:c>
      <x:c r="G818" s="13" t="n">
        <x:v>139</x:v>
      </x:c>
      <x:c r="H818" s="13" t="n">
        <x:v>5</x:v>
      </x:c>
      <x:c r="I818" s="13" t="n">
        <x:v>144</x:v>
      </x:c>
      <x:c r="J818" s="13" t="n">
        <x:v>-24</x:v>
      </x:c>
      <x:c r="K818" s="14" t="n">
        <x:f>IFERROR(F818/SUMIFS($F:$F,$B:$B,B818),0)</x:f>
        <x:v>0.0039620772605065795</x:v>
      </x:c>
      <x:c r="L818" s="12" t="str">
        <x:v>22–23</x:v>
      </x:c>
    </x:row>
    <x:row r="819">
      <x:c r="A819" s="12" t="str">
        <x:v>9/7–9/17平日</x:v>
      </x:c>
      <x:c r="B819" s="12" t="str">
        <x:v>2026-09-07</x:v>
      </x:c>
      <x:c r="C819" s="12" t="str">
        <x:v>00:00</x:v>
      </x:c>
      <x:c r="D819" s="13" t="n">
        <x:v>68</x:v>
      </x:c>
      <x:c r="E819" s="13" t="n">
        <x:v>1</x:v>
      </x:c>
      <x:c r="F819" s="13" t="n">
        <x:v>69</x:v>
      </x:c>
      <x:c r="G819" s="13" t="n">
        <x:v>61</x:v>
      </x:c>
      <x:c r="H819" s="13" t="n">
        <x:v>2</x:v>
      </x:c>
      <x:c r="I819" s="13" t="n">
        <x:v>63</x:v>
      </x:c>
      <x:c r="J819" s="13" t="n">
        <x:v>-6</x:v>
      </x:c>
      <x:c r="K819" s="14" t="n">
        <x:f>IFERROR(F819/SUMIFS($F:$F,$B:$B,B819),0)</x:f>
        <x:v>0.0014455711053381378</x:v>
      </x:c>
      <x:c r="L819" s="12" t="str">
        <x:v>00–05</x:v>
      </x:c>
    </x:row>
    <x:row r="820">
      <x:c r="A820" s="12" t="str">
        <x:v>9/7–9/17平日</x:v>
      </x:c>
      <x:c r="B820" s="12" t="str">
        <x:v>2026-09-07</x:v>
      </x:c>
      <x:c r="C820" s="12" t="str">
        <x:v>01:00</x:v>
      </x:c>
      <x:c r="D820" s="13" t="n">
        <x:v>23</x:v>
      </x:c>
      <x:c r="E820" s="13" t="n">
        <x:v>0</x:v>
      </x:c>
      <x:c r="F820" s="13" t="n">
        <x:v>23</x:v>
      </x:c>
      <x:c r="G820" s="13" t="n">
        <x:v>30</x:v>
      </x:c>
      <x:c r="H820" s="13" t="n">
        <x:v>1</x:v>
      </x:c>
      <x:c r="I820" s="13" t="n">
        <x:v>31</x:v>
      </x:c>
      <x:c r="J820" s="13" t="n">
        <x:v>8</x:v>
      </x:c>
      <x:c r="K820" s="14" t="n">
        <x:f>IFERROR(F820/SUMIFS($F:$F,$B:$B,B820),0)</x:f>
        <x:v>0.00048185703511271263</x:v>
      </x:c>
      <x:c r="L820" s="12" t="str">
        <x:v>00–05</x:v>
      </x:c>
    </x:row>
    <x:row r="821">
      <x:c r="A821" s="12" t="str">
        <x:v>9/7–9/17平日</x:v>
      </x:c>
      <x:c r="B821" s="12" t="str">
        <x:v>2026-09-07</x:v>
      </x:c>
      <x:c r="C821" s="12" t="str">
        <x:v>02:00</x:v>
      </x:c>
      <x:c r="D821" s="13" t="n">
        <x:v>12</x:v>
      </x:c>
      <x:c r="E821" s="13" t="n">
        <x:v>1</x:v>
      </x:c>
      <x:c r="F821" s="13" t="n">
        <x:v>13</x:v>
      </x:c>
      <x:c r="G821" s="13" t="n">
        <x:v>16</x:v>
      </x:c>
      <x:c r="H821" s="13" t="n">
        <x:v>0</x:v>
      </x:c>
      <x:c r="I821" s="13" t="n">
        <x:v>16</x:v>
      </x:c>
      <x:c r="J821" s="13" t="n">
        <x:v>3</x:v>
      </x:c>
      <x:c r="K821" s="14" t="n">
        <x:f>IFERROR(F821/SUMIFS($F:$F,$B:$B,B821),0)</x:f>
        <x:v>0.00027235397636805495</x:v>
      </x:c>
      <x:c r="L821" s="12" t="str">
        <x:v>00–05</x:v>
      </x:c>
    </x:row>
    <x:row r="822">
      <x:c r="A822" s="12" t="str">
        <x:v>9/7–9/17平日</x:v>
      </x:c>
      <x:c r="B822" s="12" t="str">
        <x:v>2026-09-07</x:v>
      </x:c>
      <x:c r="C822" s="12" t="str">
        <x:v>03:00</x:v>
      </x:c>
      <x:c r="D822" s="13" t="n">
        <x:v>16</x:v>
      </x:c>
      <x:c r="E822" s="13" t="n">
        <x:v>2</x:v>
      </x:c>
      <x:c r="F822" s="13" t="n">
        <x:v>18</x:v>
      </x:c>
      <x:c r="G822" s="13" t="n">
        <x:v>8</x:v>
      </x:c>
      <x:c r="H822" s="13" t="n">
        <x:v>1</x:v>
      </x:c>
      <x:c r="I822" s="13" t="n">
        <x:v>9</x:v>
      </x:c>
      <x:c r="J822" s="13" t="n">
        <x:v>-9</x:v>
      </x:c>
      <x:c r="K822" s="14" t="n">
        <x:f>IFERROR(F822/SUMIFS($F:$F,$B:$B,B822),0)</x:f>
        <x:v>0.0003771055057403838</x:v>
      </x:c>
      <x:c r="L822" s="12" t="str">
        <x:v>00–05</x:v>
      </x:c>
    </x:row>
    <x:row r="823">
      <x:c r="A823" s="12" t="str">
        <x:v>9/7–9/17平日</x:v>
      </x:c>
      <x:c r="B823" s="12" t="str">
        <x:v>2026-09-07</x:v>
      </x:c>
      <x:c r="C823" s="12" t="str">
        <x:v>04:00</x:v>
      </x:c>
      <x:c r="D823" s="13" t="n">
        <x:v>15</x:v>
      </x:c>
      <x:c r="E823" s="13" t="n">
        <x:v>0</x:v>
      </x:c>
      <x:c r="F823" s="13" t="n">
        <x:v>15</x:v>
      </x:c>
      <x:c r="G823" s="13" t="n">
        <x:v>8</x:v>
      </x:c>
      <x:c r="H823" s="13" t="n">
        <x:v>2</x:v>
      </x:c>
      <x:c r="I823" s="13" t="n">
        <x:v>10</x:v>
      </x:c>
      <x:c r="J823" s="13" t="n">
        <x:v>-5</x:v>
      </x:c>
      <x:c r="K823" s="14" t="n">
        <x:f>IFERROR(F823/SUMIFS($F:$F,$B:$B,B823),0)</x:f>
        <x:v>0.0003142545881169865</x:v>
      </x:c>
      <x:c r="L823" s="12" t="str">
        <x:v>00–05</x:v>
      </x:c>
    </x:row>
    <x:row r="824">
      <x:c r="A824" s="12" t="str">
        <x:v>9/7–9/17平日</x:v>
      </x:c>
      <x:c r="B824" s="12" t="str">
        <x:v>2026-09-07</x:v>
      </x:c>
      <x:c r="C824" s="12" t="str">
        <x:v>05:00</x:v>
      </x:c>
      <x:c r="D824" s="13" t="n">
        <x:v>29</x:v>
      </x:c>
      <x:c r="E824" s="13" t="n">
        <x:v>2</x:v>
      </x:c>
      <x:c r="F824" s="13" t="n">
        <x:v>31</x:v>
      </x:c>
      <x:c r="G824" s="13" t="n">
        <x:v>33</x:v>
      </x:c>
      <x:c r="H824" s="13" t="n">
        <x:v>4</x:v>
      </x:c>
      <x:c r="I824" s="13" t="n">
        <x:v>37</x:v>
      </x:c>
      <x:c r="J824" s="13" t="n">
        <x:v>6</x:v>
      </x:c>
      <x:c r="K824" s="14" t="n">
        <x:f>IFERROR(F824/SUMIFS($F:$F,$B:$B,B824),0)</x:f>
        <x:v>0.0006494594821084388</x:v>
      </x:c>
      <x:c r="L824" s="12" t="str">
        <x:v>00–05</x:v>
      </x:c>
    </x:row>
    <x:row r="825">
      <x:c r="A825" s="12" t="str">
        <x:v>9/7–9/17平日</x:v>
      </x:c>
      <x:c r="B825" s="12" t="str">
        <x:v>2026-09-07</x:v>
      </x:c>
      <x:c r="C825" s="12" t="str">
        <x:v>06:00</x:v>
      </x:c>
      <x:c r="D825" s="13" t="n">
        <x:v>123</x:v>
      </x:c>
      <x:c r="E825" s="13" t="n">
        <x:v>3</x:v>
      </x:c>
      <x:c r="F825" s="13" t="n">
        <x:v>126</x:v>
      </x:c>
      <x:c r="G825" s="13" t="n">
        <x:v>135</x:v>
      </x:c>
      <x:c r="H825" s="13" t="n">
        <x:v>9</x:v>
      </x:c>
      <x:c r="I825" s="13" t="n">
        <x:v>144</x:v>
      </x:c>
      <x:c r="J825" s="13" t="n">
        <x:v>18</x:v>
      </x:c>
      <x:c r="K825" s="14" t="n">
        <x:f>IFERROR(F825/SUMIFS($F:$F,$B:$B,B825),0)</x:f>
        <x:v>0.0026397385401826868</x:v>
      </x:c>
      <x:c r="L825" s="12" t="str">
        <x:v>06–09</x:v>
      </x:c>
    </x:row>
    <x:row r="826">
      <x:c r="A826" s="12" t="str">
        <x:v>9/7–9/17平日</x:v>
      </x:c>
      <x:c r="B826" s="12" t="str">
        <x:v>2026-09-07</x:v>
      </x:c>
      <x:c r="C826" s="12" t="str">
        <x:v>07:00</x:v>
      </x:c>
      <x:c r="D826" s="13" t="n">
        <x:v>427</x:v>
      </x:c>
      <x:c r="E826" s="13" t="n">
        <x:v>7</x:v>
      </x:c>
      <x:c r="F826" s="13" t="n">
        <x:v>434</x:v>
      </x:c>
      <x:c r="G826" s="13" t="n">
        <x:v>566</x:v>
      </x:c>
      <x:c r="H826" s="13" t="n">
        <x:v>16</x:v>
      </x:c>
      <x:c r="I826" s="13" t="n">
        <x:v>582</x:v>
      </x:c>
      <x:c r="J826" s="13" t="n">
        <x:v>148</x:v>
      </x:c>
      <x:c r="K826" s="14" t="n">
        <x:f>IFERROR(F826/SUMIFS($F:$F,$B:$B,B826),0)</x:f>
        <x:v>0.009092432749518143</x:v>
      </x:c>
      <x:c r="L826" s="12" t="str">
        <x:v>06–09</x:v>
      </x:c>
    </x:row>
    <x:row r="827">
      <x:c r="A827" s="12" t="str">
        <x:v>9/7–9/17平日</x:v>
      </x:c>
      <x:c r="B827" s="12" t="str">
        <x:v>2026-09-07</x:v>
      </x:c>
      <x:c r="C827" s="12" t="str">
        <x:v>08:00</x:v>
      </x:c>
      <x:c r="D827" s="13" t="n">
        <x:v>1090</x:v>
      </x:c>
      <x:c r="E827" s="13" t="n">
        <x:v>39</x:v>
      </x:c>
      <x:c r="F827" s="13" t="n">
        <x:v>1129</x:v>
      </x:c>
      <x:c r="G827" s="13" t="n">
        <x:v>1622</x:v>
      </x:c>
      <x:c r="H827" s="13" t="n">
        <x:v>74</x:v>
      </x:c>
      <x:c r="I827" s="13" t="n">
        <x:v>1696</x:v>
      </x:c>
      <x:c r="J827" s="13" t="n">
        <x:v>567</x:v>
      </x:c>
      <x:c r="K827" s="14" t="n">
        <x:f>IFERROR(F827/SUMIFS($F:$F,$B:$B,B827),0)</x:f>
        <x:v>0.023652895332271853</x:v>
      </x:c>
      <x:c r="L827" s="12" t="str">
        <x:v>06–09</x:v>
      </x:c>
    </x:row>
    <x:row r="828">
      <x:c r="A828" s="12" t="str">
        <x:v>9/7–9/17平日</x:v>
      </x:c>
      <x:c r="B828" s="12" t="str">
        <x:v>2026-09-07</x:v>
      </x:c>
      <x:c r="C828" s="12" t="str">
        <x:v>09:00</x:v>
      </x:c>
      <x:c r="D828" s="13" t="n">
        <x:v>1270</x:v>
      </x:c>
      <x:c r="E828" s="13" t="n">
        <x:v>58</x:v>
      </x:c>
      <x:c r="F828" s="13" t="n">
        <x:v>1328</x:v>
      </x:c>
      <x:c r="G828" s="13" t="n">
        <x:v>1692</x:v>
      </x:c>
      <x:c r="H828" s="13" t="n">
        <x:v>100</x:v>
      </x:c>
      <x:c r="I828" s="13" t="n">
        <x:v>1792</x:v>
      </x:c>
      <x:c r="J828" s="13" t="n">
        <x:v>464</x:v>
      </x:c>
      <x:c r="K828" s="14" t="n">
        <x:f>IFERROR(F828/SUMIFS($F:$F,$B:$B,B828),0)</x:f>
        <x:v>0.02782200620129054</x:v>
      </x:c>
      <x:c r="L828" s="12" t="str">
        <x:v>06–09</x:v>
      </x:c>
    </x:row>
    <x:row r="829">
      <x:c r="A829" s="12" t="str">
        <x:v>9/7–9/17平日</x:v>
      </x:c>
      <x:c r="B829" s="12" t="str">
        <x:v>2026-09-07</x:v>
      </x:c>
      <x:c r="C829" s="12" t="str">
        <x:v>10:00</x:v>
      </x:c>
      <x:c r="D829" s="13" t="n">
        <x:v>1553</x:v>
      </x:c>
      <x:c r="E829" s="13" t="n">
        <x:v>54</x:v>
      </x:c>
      <x:c r="F829" s="13" t="n">
        <x:v>1607</x:v>
      </x:c>
      <x:c r="G829" s="13" t="n">
        <x:v>1741</x:v>
      </x:c>
      <x:c r="H829" s="13" t="n">
        <x:v>73</x:v>
      </x:c>
      <x:c r="I829" s="13" t="n">
        <x:v>1814</x:v>
      </x:c>
      <x:c r="J829" s="13" t="n">
        <x:v>207</x:v>
      </x:c>
      <x:c r="K829" s="14" t="n">
        <x:f>IFERROR(F829/SUMIFS($F:$F,$B:$B,B829),0)</x:f>
        <x:v>0.03366714154026649</x:v>
      </x:c>
      <x:c r="L829" s="12" t="str">
        <x:v>10–13</x:v>
      </x:c>
    </x:row>
    <x:row r="830">
      <x:c r="A830" s="12" t="str">
        <x:v>9/7–9/17平日</x:v>
      </x:c>
      <x:c r="B830" s="12" t="str">
        <x:v>2026-09-07</x:v>
      </x:c>
      <x:c r="C830" s="12" t="str">
        <x:v>11:00</x:v>
      </x:c>
      <x:c r="D830" s="13" t="n">
        <x:v>1630</x:v>
      </x:c>
      <x:c r="E830" s="13" t="n">
        <x:v>65</x:v>
      </x:c>
      <x:c r="F830" s="13" t="n">
        <x:v>1695</x:v>
      </x:c>
      <x:c r="G830" s="13" t="n">
        <x:v>1434</x:v>
      </x:c>
      <x:c r="H830" s="13" t="n">
        <x:v>53</x:v>
      </x:c>
      <x:c r="I830" s="13" t="n">
        <x:v>1487</x:v>
      </x:c>
      <x:c r="J830" s="13" t="n">
        <x:v>-208</x:v>
      </x:c>
      <x:c r="K830" s="14" t="n">
        <x:f>IFERROR(F830/SUMIFS($F:$F,$B:$B,B830),0)</x:f>
        <x:v>0.035510768457219476</x:v>
      </x:c>
      <x:c r="L830" s="12" t="str">
        <x:v>10–13</x:v>
      </x:c>
    </x:row>
    <x:row r="831">
      <x:c r="A831" s="12" t="str">
        <x:v>9/7–9/17平日</x:v>
      </x:c>
      <x:c r="B831" s="12" t="str">
        <x:v>2026-09-07</x:v>
      </x:c>
      <x:c r="C831" s="12" t="str">
        <x:v>12:00</x:v>
      </x:c>
      <x:c r="D831" s="13" t="n">
        <x:v>2538</x:v>
      </x:c>
      <x:c r="E831" s="13" t="n">
        <x:v>106</x:v>
      </x:c>
      <x:c r="F831" s="13" t="n">
        <x:v>2644</x:v>
      </x:c>
      <x:c r="G831" s="13" t="n">
        <x:v>2495</x:v>
      </x:c>
      <x:c r="H831" s="13" t="n">
        <x:v>97</x:v>
      </x:c>
      <x:c r="I831" s="13" t="n">
        <x:v>2592</x:v>
      </x:c>
      <x:c r="J831" s="13" t="n">
        <x:v>-52</x:v>
      </x:c>
      <x:c r="K831" s="14" t="n">
        <x:f>IFERROR(F831/SUMIFS($F:$F,$B:$B,B831),0)</x:f>
        <x:v>0.05539260873208749</x:v>
      </x:c>
      <x:c r="L831" s="12" t="str">
        <x:v>10–13</x:v>
      </x:c>
    </x:row>
    <x:row r="832">
      <x:c r="A832" s="12" t="str">
        <x:v>9/7–9/17平日</x:v>
      </x:c>
      <x:c r="B832" s="12" t="str">
        <x:v>2026-09-07</x:v>
      </x:c>
      <x:c r="C832" s="12" t="str">
        <x:v>13:00</x:v>
      </x:c>
      <x:c r="D832" s="13" t="n">
        <x:v>2339</x:v>
      </x:c>
      <x:c r="E832" s="13" t="n">
        <x:v>62</x:v>
      </x:c>
      <x:c r="F832" s="13" t="n">
        <x:v>2401</x:v>
      </x:c>
      <x:c r="G832" s="13" t="n">
        <x:v>2576</x:v>
      </x:c>
      <x:c r="H832" s="13" t="n">
        <x:v>101</x:v>
      </x:c>
      <x:c r="I832" s="13" t="n">
        <x:v>2677</x:v>
      </x:c>
      <x:c r="J832" s="13" t="n">
        <x:v>276</x:v>
      </x:c>
      <x:c r="K832" s="14" t="n">
        <x:f>IFERROR(F832/SUMIFS($F:$F,$B:$B,B832),0)</x:f>
        <x:v>0.05030168440459231</x:v>
      </x:c>
      <x:c r="L832" s="12" t="str">
        <x:v>10–13</x:v>
      </x:c>
    </x:row>
    <x:row r="833">
      <x:c r="A833" s="12" t="str">
        <x:v>9/7–9/17平日</x:v>
      </x:c>
      <x:c r="B833" s="12" t="str">
        <x:v>2026-09-07</x:v>
      </x:c>
      <x:c r="C833" s="12" t="str">
        <x:v>14:00</x:v>
      </x:c>
      <x:c r="D833" s="13" t="n">
        <x:v>2051</x:v>
      </x:c>
      <x:c r="E833" s="13" t="n">
        <x:v>37</x:v>
      </x:c>
      <x:c r="F833" s="13" t="n">
        <x:v>2088</x:v>
      </x:c>
      <x:c r="G833" s="13" t="n">
        <x:v>2027</x:v>
      </x:c>
      <x:c r="H833" s="13" t="n">
        <x:v>41</x:v>
      </x:c>
      <x:c r="I833" s="13" t="n">
        <x:v>2068</x:v>
      </x:c>
      <x:c r="J833" s="13" t="n">
        <x:v>-20</x:v>
      </x:c>
      <x:c r="K833" s="14" t="n">
        <x:f>IFERROR(F833/SUMIFS($F:$F,$B:$B,B833),0)</x:f>
        <x:v>0.04374423866588452</x:v>
      </x:c>
      <x:c r="L833" s="12" t="str">
        <x:v>14–17</x:v>
      </x:c>
    </x:row>
    <x:row r="834">
      <x:c r="A834" s="12" t="str">
        <x:v>9/7–9/17平日</x:v>
      </x:c>
      <x:c r="B834" s="12" t="str">
        <x:v>2026-09-07</x:v>
      </x:c>
      <x:c r="C834" s="12" t="str">
        <x:v>15:00</x:v>
      </x:c>
      <x:c r="D834" s="13" t="n">
        <x:v>2283</x:v>
      </x:c>
      <x:c r="E834" s="13" t="n">
        <x:v>67</x:v>
      </x:c>
      <x:c r="F834" s="13" t="n">
        <x:v>2350</x:v>
      </x:c>
      <x:c r="G834" s="13" t="n">
        <x:v>2046</x:v>
      </x:c>
      <x:c r="H834" s="13" t="n">
        <x:v>54</x:v>
      </x:c>
      <x:c r="I834" s="13" t="n">
        <x:v>2100</x:v>
      </x:c>
      <x:c r="J834" s="13" t="n">
        <x:v>-250</x:v>
      </x:c>
      <x:c r="K834" s="14" t="n">
        <x:f>IFERROR(F834/SUMIFS($F:$F,$B:$B,B834),0)</x:f>
        <x:v>0.04923321880499455</x:v>
      </x:c>
      <x:c r="L834" s="12" t="str">
        <x:v>14–17</x:v>
      </x:c>
    </x:row>
    <x:row r="835">
      <x:c r="A835" s="12" t="str">
        <x:v>9/7–9/17平日</x:v>
      </x:c>
      <x:c r="B835" s="12" t="str">
        <x:v>2026-09-07</x:v>
      </x:c>
      <x:c r="C835" s="12" t="str">
        <x:v>16:00</x:v>
      </x:c>
      <x:c r="D835" s="13" t="n">
        <x:v>2140</x:v>
      </x:c>
      <x:c r="E835" s="13" t="n">
        <x:v>62</x:v>
      </x:c>
      <x:c r="F835" s="13" t="n">
        <x:v>2202</x:v>
      </x:c>
      <x:c r="G835" s="13" t="n">
        <x:v>1552</x:v>
      </x:c>
      <x:c r="H835" s="13" t="n">
        <x:v>40</x:v>
      </x:c>
      <x:c r="I835" s="13" t="n">
        <x:v>1592</x:v>
      </x:c>
      <x:c r="J835" s="13" t="n">
        <x:v>-610</x:v>
      </x:c>
      <x:c r="K835" s="14" t="n">
        <x:f>IFERROR(F835/SUMIFS($F:$F,$B:$B,B835),0)</x:f>
        <x:v>0.046132573535573616</x:v>
      </x:c>
      <x:c r="L835" s="12" t="str">
        <x:v>14–17</x:v>
      </x:c>
    </x:row>
    <x:row r="836">
      <x:c r="A836" s="12" t="str">
        <x:v>9/7–9/17平日</x:v>
      </x:c>
      <x:c r="B836" s="12" t="str">
        <x:v>2026-09-07</x:v>
      </x:c>
      <x:c r="C836" s="12" t="str">
        <x:v>17:00</x:v>
      </x:c>
      <x:c r="D836" s="13" t="n">
        <x:v>2190</x:v>
      </x:c>
      <x:c r="E836" s="13" t="n">
        <x:v>115</x:v>
      </x:c>
      <x:c r="F836" s="13" t="n">
        <x:v>2305</x:v>
      </x:c>
      <x:c r="G836" s="13" t="n">
        <x:v>1575</x:v>
      </x:c>
      <x:c r="H836" s="13" t="n">
        <x:v>41</x:v>
      </x:c>
      <x:c r="I836" s="13" t="n">
        <x:v>1616</x:v>
      </x:c>
      <x:c r="J836" s="13" t="n">
        <x:v>-689</x:v>
      </x:c>
      <x:c r="K836" s="14" t="n">
        <x:f>IFERROR(F836/SUMIFS($F:$F,$B:$B,B836),0)</x:f>
        <x:v>0.048290455040643596</x:v>
      </x:c>
      <x:c r="L836" s="12" t="str">
        <x:v>14–17</x:v>
      </x:c>
    </x:row>
    <x:row r="837">
      <x:c r="A837" s="12" t="str">
        <x:v>9/7–9/17平日</x:v>
      </x:c>
      <x:c r="B837" s="12" t="str">
        <x:v>2026-09-07</x:v>
      </x:c>
      <x:c r="C837" s="12" t="str">
        <x:v>18:00</x:v>
      </x:c>
      <x:c r="D837" s="13" t="n">
        <x:v>1328</x:v>
      </x:c>
      <x:c r="E837" s="13" t="n">
        <x:v>78</x:v>
      </x:c>
      <x:c r="F837" s="13" t="n">
        <x:v>1406</x:v>
      </x:c>
      <x:c r="G837" s="13" t="n">
        <x:v>1106</x:v>
      </x:c>
      <x:c r="H837" s="13" t="n">
        <x:v>46</x:v>
      </x:c>
      <x:c r="I837" s="13" t="n">
        <x:v>1152</x:v>
      </x:c>
      <x:c r="J837" s="13" t="n">
        <x:v>-254</x:v>
      </x:c>
      <x:c r="K837" s="14" t="n">
        <x:f>IFERROR(F837/SUMIFS($F:$F,$B:$B,B837),0)</x:f>
        <x:v>0.029456130059498868</x:v>
      </x:c>
      <x:c r="L837" s="12" t="str">
        <x:v>18–21</x:v>
      </x:c>
    </x:row>
    <x:row r="838">
      <x:c r="A838" s="12" t="str">
        <x:v>9/7–9/17平日</x:v>
      </x:c>
      <x:c r="B838" s="12" t="str">
        <x:v>2026-09-07</x:v>
      </x:c>
      <x:c r="C838" s="12" t="str">
        <x:v>19:00</x:v>
      </x:c>
      <x:c r="D838" s="13" t="n">
        <x:v>726</x:v>
      </x:c>
      <x:c r="E838" s="13" t="n">
        <x:v>54</x:v>
      </x:c>
      <x:c r="F838" s="13" t="n">
        <x:v>780</x:v>
      </x:c>
      <x:c r="G838" s="13" t="n">
        <x:v>627</x:v>
      </x:c>
      <x:c r="H838" s="13" t="n">
        <x:v>27</x:v>
      </x:c>
      <x:c r="I838" s="13" t="n">
        <x:v>654</x:v>
      </x:c>
      <x:c r="J838" s="13" t="n">
        <x:v>-126</x:v>
      </x:c>
      <x:c r="K838" s="14" t="n">
        <x:f>IFERROR(F838/SUMIFS($F:$F,$B:$B,B838),0)</x:f>
        <x:v>0.0163412385820833</x:v>
      </x:c>
      <x:c r="L838" s="12" t="str">
        <x:v>18–21</x:v>
      </x:c>
    </x:row>
    <x:row r="839">
      <x:c r="A839" s="12" t="str">
        <x:v>9/7–9/17平日</x:v>
      </x:c>
      <x:c r="B839" s="12" t="str">
        <x:v>2026-09-07</x:v>
      </x:c>
      <x:c r="C839" s="12" t="str">
        <x:v>20:00</x:v>
      </x:c>
      <x:c r="D839" s="13" t="n">
        <x:v>505</x:v>
      </x:c>
      <x:c r="E839" s="13" t="n">
        <x:v>31</x:v>
      </x:c>
      <x:c r="F839" s="13" t="n">
        <x:v>536</x:v>
      </x:c>
      <x:c r="G839" s="13" t="n">
        <x:v>476</x:v>
      </x:c>
      <x:c r="H839" s="13" t="n">
        <x:v>24</x:v>
      </x:c>
      <x:c r="I839" s="13" t="n">
        <x:v>500</x:v>
      </x:c>
      <x:c r="J839" s="13" t="n">
        <x:v>-36</x:v>
      </x:c>
      <x:c r="K839" s="14" t="n">
        <x:f>IFERROR(F839/SUMIFS($F:$F,$B:$B,B839),0)</x:f>
        <x:v>0.011229363948713652</x:v>
      </x:c>
      <x:c r="L839" s="12" t="str">
        <x:v>18–21</x:v>
      </x:c>
    </x:row>
    <x:row r="840">
      <x:c r="A840" s="12" t="str">
        <x:v>9/7–9/17平日</x:v>
      </x:c>
      <x:c r="B840" s="12" t="str">
        <x:v>2026-09-07</x:v>
      </x:c>
      <x:c r="C840" s="12" t="str">
        <x:v>21:00</x:v>
      </x:c>
      <x:c r="D840" s="13" t="n">
        <x:v>312</x:v>
      </x:c>
      <x:c r="E840" s="13" t="n">
        <x:v>19</x:v>
      </x:c>
      <x:c r="F840" s="13" t="n">
        <x:v>331</x:v>
      </x:c>
      <x:c r="G840" s="13" t="n">
        <x:v>303</x:v>
      </x:c>
      <x:c r="H840" s="13" t="n">
        <x:v>16</x:v>
      </x:c>
      <x:c r="I840" s="13" t="n">
        <x:v>319</x:v>
      </x:c>
      <x:c r="J840" s="13" t="n">
        <x:v>-12</x:v>
      </x:c>
      <x:c r="K840" s="14" t="n">
        <x:f>IFERROR(F840/SUMIFS($F:$F,$B:$B,B840),0)</x:f>
        <x:v>0.006934551244448169</x:v>
      </x:c>
      <x:c r="L840" s="12" t="str">
        <x:v>18–21</x:v>
      </x:c>
    </x:row>
    <x:row r="841">
      <x:c r="A841" s="12" t="str">
        <x:v>9/7–9/17平日</x:v>
      </x:c>
      <x:c r="B841" s="12" t="str">
        <x:v>2026-09-07</x:v>
      </x:c>
      <x:c r="C841" s="12" t="str">
        <x:v>22:00</x:v>
      </x:c>
      <x:c r="D841" s="13" t="n">
        <x:v>177</x:v>
      </x:c>
      <x:c r="E841" s="13" t="n">
        <x:v>10</x:v>
      </x:c>
      <x:c r="F841" s="13" t="n">
        <x:v>187</x:v>
      </x:c>
      <x:c r="G841" s="13" t="n">
        <x:v>232</x:v>
      </x:c>
      <x:c r="H841" s="13" t="n">
        <x:v>7</x:v>
      </x:c>
      <x:c r="I841" s="13" t="n">
        <x:v>239</x:v>
      </x:c>
      <x:c r="J841" s="13" t="n">
        <x:v>52</x:v>
      </x:c>
      <x:c r="K841" s="14" t="n">
        <x:f>IFERROR(F841/SUMIFS($F:$F,$B:$B,B841),0)</x:f>
        <x:v>0.003917707198525099</x:v>
      </x:c>
      <x:c r="L841" s="12" t="str">
        <x:v>22–23</x:v>
      </x:c>
    </x:row>
    <x:row r="842">
      <x:c r="A842" s="12" t="str">
        <x:v>9/7–9/17平日</x:v>
      </x:c>
      <x:c r="B842" s="12" t="str">
        <x:v>2026-09-07</x:v>
      </x:c>
      <x:c r="C842" s="12" t="str">
        <x:v>23:00</x:v>
      </x:c>
      <x:c r="D842" s="13" t="n">
        <x:v>146</x:v>
      </x:c>
      <x:c r="E842" s="13" t="n">
        <x:v>2</x:v>
      </x:c>
      <x:c r="F842" s="13" t="n">
        <x:v>148</x:v>
      </x:c>
      <x:c r="G842" s="13" t="n">
        <x:v>104</x:v>
      </x:c>
      <x:c r="H842" s="13" t="n">
        <x:v>5</x:v>
      </x:c>
      <x:c r="I842" s="13" t="n">
        <x:v>109</x:v>
      </x:c>
      <x:c r="J842" s="13" t="n">
        <x:v>-39</x:v>
      </x:c>
      <x:c r="K842" s="14" t="n">
        <x:f>IFERROR(F842/SUMIFS($F:$F,$B:$B,B842),0)</x:f>
        <x:v>0.0031006452694209334</x:v>
      </x:c>
      <x:c r="L842" s="12" t="str">
        <x:v>22–23</x:v>
      </x:c>
    </x:row>
    <x:row r="843">
      <x:c r="A843" s="12" t="str">
        <x:v>9/7–9/17平日</x:v>
      </x:c>
      <x:c r="B843" s="12" t="str">
        <x:v>2026-09-08</x:v>
      </x:c>
      <x:c r="C843" s="12" t="str">
        <x:v>00:00</x:v>
      </x:c>
      <x:c r="D843" s="13" t="n">
        <x:v>71</x:v>
      </x:c>
      <x:c r="E843" s="13" t="n">
        <x:v>4</x:v>
      </x:c>
      <x:c r="F843" s="13" t="n">
        <x:v>75</x:v>
      </x:c>
      <x:c r="G843" s="13" t="n">
        <x:v>55</x:v>
      </x:c>
      <x:c r="H843" s="13" t="n">
        <x:v>4</x:v>
      </x:c>
      <x:c r="I843" s="13" t="n">
        <x:v>59</x:v>
      </x:c>
      <x:c r="J843" s="13" t="n">
        <x:v>-16</x:v>
      </x:c>
      <x:c r="K843" s="14" t="n">
        <x:f>IFERROR(F843/SUMIFS($F:$F,$B:$B,B843),0)</x:f>
        <x:v>0.0016620866944419821</x:v>
      </x:c>
      <x:c r="L843" s="12" t="str">
        <x:v>00–05</x:v>
      </x:c>
    </x:row>
    <x:row r="844">
      <x:c r="A844" s="12" t="str">
        <x:v>9/7–9/17平日</x:v>
      </x:c>
      <x:c r="B844" s="12" t="str">
        <x:v>2026-09-08</x:v>
      </x:c>
      <x:c r="C844" s="12" t="str">
        <x:v>01:00</x:v>
      </x:c>
      <x:c r="D844" s="13" t="n">
        <x:v>44</x:v>
      </x:c>
      <x:c r="E844" s="13" t="n">
        <x:v>1</x:v>
      </x:c>
      <x:c r="F844" s="13" t="n">
        <x:v>45</x:v>
      </x:c>
      <x:c r="G844" s="13" t="n">
        <x:v>29</x:v>
      </x:c>
      <x:c r="H844" s="13" t="n">
        <x:v>0</x:v>
      </x:c>
      <x:c r="I844" s="13" t="n">
        <x:v>29</x:v>
      </x:c>
      <x:c r="J844" s="13" t="n">
        <x:v>-16</x:v>
      </x:c>
      <x:c r="K844" s="14" t="n">
        <x:f>IFERROR(F844/SUMIFS($F:$F,$B:$B,B844),0)</x:f>
        <x:v>0.0009972520166651893</x:v>
      </x:c>
      <x:c r="L844" s="12" t="str">
        <x:v>00–05</x:v>
      </x:c>
    </x:row>
    <x:row r="845">
      <x:c r="A845" s="12" t="str">
        <x:v>9/7–9/17平日</x:v>
      </x:c>
      <x:c r="B845" s="12" t="str">
        <x:v>2026-09-08</x:v>
      </x:c>
      <x:c r="C845" s="12" t="str">
        <x:v>02:00</x:v>
      </x:c>
      <x:c r="D845" s="13" t="n">
        <x:v>20</x:v>
      </x:c>
      <x:c r="E845" s="13" t="n">
        <x:v>1</x:v>
      </x:c>
      <x:c r="F845" s="13" t="n">
        <x:v>21</x:v>
      </x:c>
      <x:c r="G845" s="13" t="n">
        <x:v>21</x:v>
      </x:c>
      <x:c r="H845" s="13" t="n">
        <x:v>0</x:v>
      </x:c>
      <x:c r="I845" s="13" t="n">
        <x:v>21</x:v>
      </x:c>
      <x:c r="J845" s="13" t="n">
        <x:v>0</x:v>
      </x:c>
      <x:c r="K845" s="14" t="n">
        <x:f>IFERROR(F845/SUMIFS($F:$F,$B:$B,B845),0)</x:f>
        <x:v>0.000465384274443755</x:v>
      </x:c>
      <x:c r="L845" s="12" t="str">
        <x:v>00–05</x:v>
      </x:c>
    </x:row>
    <x:row r="846">
      <x:c r="A846" s="12" t="str">
        <x:v>9/7–9/17平日</x:v>
      </x:c>
      <x:c r="B846" s="12" t="str">
        <x:v>2026-09-08</x:v>
      </x:c>
      <x:c r="C846" s="12" t="str">
        <x:v>03:00</x:v>
      </x:c>
      <x:c r="D846" s="13" t="n">
        <x:v>6</x:v>
      </x:c>
      <x:c r="E846" s="13" t="n">
        <x:v>1</x:v>
      </x:c>
      <x:c r="F846" s="13" t="n">
        <x:v>7</x:v>
      </x:c>
      <x:c r="G846" s="13" t="n">
        <x:v>10</x:v>
      </x:c>
      <x:c r="H846" s="13" t="n">
        <x:v>0</x:v>
      </x:c>
      <x:c r="I846" s="13" t="n">
        <x:v>10</x:v>
      </x:c>
      <x:c r="J846" s="13" t="n">
        <x:v>3</x:v>
      </x:c>
      <x:c r="K846" s="14" t="n">
        <x:f>IFERROR(F846/SUMIFS($F:$F,$B:$B,B846),0)</x:f>
        <x:v>0.00015512809148125167</x:v>
      </x:c>
      <x:c r="L846" s="12" t="str">
        <x:v>00–05</x:v>
      </x:c>
    </x:row>
    <x:row r="847">
      <x:c r="A847" s="12" t="str">
        <x:v>9/7–9/17平日</x:v>
      </x:c>
      <x:c r="B847" s="12" t="str">
        <x:v>2026-09-08</x:v>
      </x:c>
      <x:c r="C847" s="12" t="str">
        <x:v>04:00</x:v>
      </x:c>
      <x:c r="D847" s="13" t="n">
        <x:v>12</x:v>
      </x:c>
      <x:c r="E847" s="13" t="n">
        <x:v>0</x:v>
      </x:c>
      <x:c r="F847" s="13" t="n">
        <x:v>12</x:v>
      </x:c>
      <x:c r="G847" s="13" t="n">
        <x:v>10</x:v>
      </x:c>
      <x:c r="H847" s="13" t="n">
        <x:v>0</x:v>
      </x:c>
      <x:c r="I847" s="13" t="n">
        <x:v>10</x:v>
      </x:c>
      <x:c r="J847" s="13" t="n">
        <x:v>-2</x:v>
      </x:c>
      <x:c r="K847" s="14" t="n">
        <x:f>IFERROR(F847/SUMIFS($F:$F,$B:$B,B847),0)</x:f>
        <x:v>0.00026593387111071713</x:v>
      </x:c>
      <x:c r="L847" s="12" t="str">
        <x:v>00–05</x:v>
      </x:c>
    </x:row>
    <x:row r="848">
      <x:c r="A848" s="12" t="str">
        <x:v>9/7–9/17平日</x:v>
      </x:c>
      <x:c r="B848" s="12" t="str">
        <x:v>2026-09-08</x:v>
      </x:c>
      <x:c r="C848" s="12" t="str">
        <x:v>05:00</x:v>
      </x:c>
      <x:c r="D848" s="13" t="n">
        <x:v>27</x:v>
      </x:c>
      <x:c r="E848" s="13" t="n">
        <x:v>1</x:v>
      </x:c>
      <x:c r="F848" s="13" t="n">
        <x:v>28</x:v>
      </x:c>
      <x:c r="G848" s="13" t="n">
        <x:v>43</x:v>
      </x:c>
      <x:c r="H848" s="13" t="n">
        <x:v>3</x:v>
      </x:c>
      <x:c r="I848" s="13" t="n">
        <x:v>46</x:v>
      </x:c>
      <x:c r="J848" s="13" t="n">
        <x:v>18</x:v>
      </x:c>
      <x:c r="K848" s="14" t="n">
        <x:f>IFERROR(F848/SUMIFS($F:$F,$B:$B,B848),0)</x:f>
        <x:v>0.0006205123659250067</x:v>
      </x:c>
      <x:c r="L848" s="12" t="str">
        <x:v>00–05</x:v>
      </x:c>
    </x:row>
    <x:row r="849">
      <x:c r="A849" s="12" t="str">
        <x:v>9/7–9/17平日</x:v>
      </x:c>
      <x:c r="B849" s="12" t="str">
        <x:v>2026-09-08</x:v>
      </x:c>
      <x:c r="C849" s="12" t="str">
        <x:v>06:00</x:v>
      </x:c>
      <x:c r="D849" s="13" t="n">
        <x:v>119</x:v>
      </x:c>
      <x:c r="E849" s="13" t="n">
        <x:v>3</x:v>
      </x:c>
      <x:c r="F849" s="13" t="n">
        <x:v>122</x:v>
      </x:c>
      <x:c r="G849" s="13" t="n">
        <x:v>155</x:v>
      </x:c>
      <x:c r="H849" s="13" t="n">
        <x:v>15</x:v>
      </x:c>
      <x:c r="I849" s="13" t="n">
        <x:v>170</x:v>
      </x:c>
      <x:c r="J849" s="13" t="n">
        <x:v>48</x:v>
      </x:c>
      <x:c r="K849" s="14" t="n">
        <x:f>IFERROR(F849/SUMIFS($F:$F,$B:$B,B849),0)</x:f>
        <x:v>0.0027036610229589576</x:v>
      </x:c>
      <x:c r="L849" s="12" t="str">
        <x:v>06–09</x:v>
      </x:c>
    </x:row>
    <x:row r="850">
      <x:c r="A850" s="12" t="str">
        <x:v>9/7–9/17平日</x:v>
      </x:c>
      <x:c r="B850" s="12" t="str">
        <x:v>2026-09-08</x:v>
      </x:c>
      <x:c r="C850" s="12" t="str">
        <x:v>07:00</x:v>
      </x:c>
      <x:c r="D850" s="13" t="n">
        <x:v>573</x:v>
      </x:c>
      <x:c r="E850" s="13" t="n">
        <x:v>11</x:v>
      </x:c>
      <x:c r="F850" s="13" t="n">
        <x:v>584</x:v>
      </x:c>
      <x:c r="G850" s="13" t="n">
        <x:v>730</x:v>
      </x:c>
      <x:c r="H850" s="13" t="n">
        <x:v>21</x:v>
      </x:c>
      <x:c r="I850" s="13" t="n">
        <x:v>751</x:v>
      </x:c>
      <x:c r="J850" s="13" t="n">
        <x:v>167</x:v>
      </x:c>
      <x:c r="K850" s="14" t="n">
        <x:f>IFERROR(F850/SUMIFS($F:$F,$B:$B,B850),0)</x:f>
        <x:v>0.012942115060721567</x:v>
      </x:c>
      <x:c r="L850" s="12" t="str">
        <x:v>06–09</x:v>
      </x:c>
    </x:row>
    <x:row r="851">
      <x:c r="A851" s="12" t="str">
        <x:v>9/7–9/17平日</x:v>
      </x:c>
      <x:c r="B851" s="12" t="str">
        <x:v>2026-09-08</x:v>
      </x:c>
      <x:c r="C851" s="12" t="str">
        <x:v>08:00</x:v>
      </x:c>
      <x:c r="D851" s="13" t="n">
        <x:v>1168</x:v>
      </x:c>
      <x:c r="E851" s="13" t="n">
        <x:v>60</x:v>
      </x:c>
      <x:c r="F851" s="13" t="n">
        <x:v>1228</x:v>
      </x:c>
      <x:c r="G851" s="13" t="n">
        <x:v>1606</x:v>
      </x:c>
      <x:c r="H851" s="13" t="n">
        <x:v>106</x:v>
      </x:c>
      <x:c r="I851" s="13" t="n">
        <x:v>1712</x:v>
      </x:c>
      <x:c r="J851" s="13" t="n">
        <x:v>484</x:v>
      </x:c>
      <x:c r="K851" s="14" t="n">
        <x:f>IFERROR(F851/SUMIFS($F:$F,$B:$B,B851),0)</x:f>
        <x:v>0.02721389947699672</x:v>
      </x:c>
      <x:c r="L851" s="12" t="str">
        <x:v>06–09</x:v>
      </x:c>
    </x:row>
    <x:row r="852">
      <x:c r="A852" s="12" t="str">
        <x:v>9/7–9/17平日</x:v>
      </x:c>
      <x:c r="B852" s="12" t="str">
        <x:v>2026-09-08</x:v>
      </x:c>
      <x:c r="C852" s="12" t="str">
        <x:v>09:00</x:v>
      </x:c>
      <x:c r="D852" s="13" t="n">
        <x:v>1220</x:v>
      </x:c>
      <x:c r="E852" s="13" t="n">
        <x:v>80</x:v>
      </x:c>
      <x:c r="F852" s="13" t="n">
        <x:v>1300</x:v>
      </x:c>
      <x:c r="G852" s="13" t="n">
        <x:v>1726</x:v>
      </x:c>
      <x:c r="H852" s="13" t="n">
        <x:v>138</x:v>
      </x:c>
      <x:c r="I852" s="13" t="n">
        <x:v>1864</x:v>
      </x:c>
      <x:c r="J852" s="13" t="n">
        <x:v>564</x:v>
      </x:c>
      <x:c r="K852" s="14" t="n">
        <x:f>IFERROR(F852/SUMIFS($F:$F,$B:$B,B852),0)</x:f>
        <x:v>0.028809502703661023</x:v>
      </x:c>
      <x:c r="L852" s="12" t="str">
        <x:v>06–09</x:v>
      </x:c>
    </x:row>
    <x:row r="853">
      <x:c r="A853" s="12" t="str">
        <x:v>9/7–9/17平日</x:v>
      </x:c>
      <x:c r="B853" s="12" t="str">
        <x:v>2026-09-08</x:v>
      </x:c>
      <x:c r="C853" s="12" t="str">
        <x:v>10:00</x:v>
      </x:c>
      <x:c r="D853" s="13" t="n">
        <x:v>1503</x:v>
      </x:c>
      <x:c r="E853" s="13" t="n">
        <x:v>80</x:v>
      </x:c>
      <x:c r="F853" s="13" t="n">
        <x:v>1583</x:v>
      </x:c>
      <x:c r="G853" s="13" t="n">
        <x:v>1640</x:v>
      </x:c>
      <x:c r="H853" s="13" t="n">
        <x:v>107</x:v>
      </x:c>
      <x:c r="I853" s="13" t="n">
        <x:v>1747</x:v>
      </x:c>
      <x:c r="J853" s="13" t="n">
        <x:v>164</x:v>
      </x:c>
      <x:c r="K853" s="14" t="n">
        <x:f>IFERROR(F853/SUMIFS($F:$F,$B:$B,B853),0)</x:f>
        <x:v>0.03508110983068877</x:v>
      </x:c>
      <x:c r="L853" s="12" t="str">
        <x:v>10–13</x:v>
      </x:c>
    </x:row>
    <x:row r="854">
      <x:c r="A854" s="12" t="str">
        <x:v>9/7–9/17平日</x:v>
      </x:c>
      <x:c r="B854" s="12" t="str">
        <x:v>2026-09-08</x:v>
      </x:c>
      <x:c r="C854" s="12" t="str">
        <x:v>11:00</x:v>
      </x:c>
      <x:c r="D854" s="13" t="n">
        <x:v>1674</x:v>
      </x:c>
      <x:c r="E854" s="13" t="n">
        <x:v>68</x:v>
      </x:c>
      <x:c r="F854" s="13" t="n">
        <x:v>1742</x:v>
      </x:c>
      <x:c r="G854" s="13" t="n">
        <x:v>1482</x:v>
      </x:c>
      <x:c r="H854" s="13" t="n">
        <x:v>63</x:v>
      </x:c>
      <x:c r="I854" s="13" t="n">
        <x:v>1545</x:v>
      </x:c>
      <x:c r="J854" s="13" t="n">
        <x:v>-197</x:v>
      </x:c>
      <x:c r="K854" s="14" t="n">
        <x:f>IFERROR(F854/SUMIFS($F:$F,$B:$B,B854),0)</x:f>
        <x:v>0.03860473362290577</x:v>
      </x:c>
      <x:c r="L854" s="12" t="str">
        <x:v>10–13</x:v>
      </x:c>
    </x:row>
    <x:row r="855">
      <x:c r="A855" s="12" t="str">
        <x:v>9/7–9/17平日</x:v>
      </x:c>
      <x:c r="B855" s="12" t="str">
        <x:v>2026-09-08</x:v>
      </x:c>
      <x:c r="C855" s="12" t="str">
        <x:v>12:00</x:v>
      </x:c>
      <x:c r="D855" s="13" t="n">
        <x:v>2533</x:v>
      </x:c>
      <x:c r="E855" s="13" t="n">
        <x:v>114</x:v>
      </x:c>
      <x:c r="F855" s="13" t="n">
        <x:v>2647</x:v>
      </x:c>
      <x:c r="G855" s="13" t="n">
        <x:v>2480</x:v>
      </x:c>
      <x:c r="H855" s="13" t="n">
        <x:v>95</x:v>
      </x:c>
      <x:c r="I855" s="13" t="n">
        <x:v>2575</x:v>
      </x:c>
      <x:c r="J855" s="13" t="n">
        <x:v>-72</x:v>
      </x:c>
      <x:c r="K855" s="14" t="n">
        <x:f>IFERROR(F855/SUMIFS($F:$F,$B:$B,B855),0)</x:f>
        <x:v>0.05866057973583902</x:v>
      </x:c>
      <x:c r="L855" s="12" t="str">
        <x:v>10–13</x:v>
      </x:c>
    </x:row>
    <x:row r="856">
      <x:c r="A856" s="12" t="str">
        <x:v>9/7–9/17平日</x:v>
      </x:c>
      <x:c r="B856" s="12" t="str">
        <x:v>2026-09-08</x:v>
      </x:c>
      <x:c r="C856" s="12" t="str">
        <x:v>13:00</x:v>
      </x:c>
      <x:c r="D856" s="13" t="n">
        <x:v>2092</x:v>
      </x:c>
      <x:c r="E856" s="13" t="n">
        <x:v>68</x:v>
      </x:c>
      <x:c r="F856" s="13" t="n">
        <x:v>2160</x:v>
      </x:c>
      <x:c r="G856" s="13" t="n">
        <x:v>2423</x:v>
      </x:c>
      <x:c r="H856" s="13" t="n">
        <x:v>113</x:v>
      </x:c>
      <x:c r="I856" s="13" t="n">
        <x:v>2536</x:v>
      </x:c>
      <x:c r="J856" s="13" t="n">
        <x:v>376</x:v>
      </x:c>
      <x:c r="K856" s="14" t="n">
        <x:f>IFERROR(F856/SUMIFS($F:$F,$B:$B,B856),0)</x:f>
        <x:v>0.04786809679992909</x:v>
      </x:c>
      <x:c r="L856" s="12" t="str">
        <x:v>10–13</x:v>
      </x:c>
    </x:row>
    <x:row r="857">
      <x:c r="A857" s="12" t="str">
        <x:v>9/7–9/17平日</x:v>
      </x:c>
      <x:c r="B857" s="12" t="str">
        <x:v>2026-09-08</x:v>
      </x:c>
      <x:c r="C857" s="12" t="str">
        <x:v>14:00</x:v>
      </x:c>
      <x:c r="D857" s="13" t="n">
        <x:v>1818</x:v>
      </x:c>
      <x:c r="E857" s="13" t="n">
        <x:v>61</x:v>
      </x:c>
      <x:c r="F857" s="13" t="n">
        <x:v>1879</x:v>
      </x:c>
      <x:c r="G857" s="13" t="n">
        <x:v>1756</x:v>
      </x:c>
      <x:c r="H857" s="13" t="n">
        <x:v>60</x:v>
      </x:c>
      <x:c r="I857" s="13" t="n">
        <x:v>1816</x:v>
      </x:c>
      <x:c r="J857" s="13" t="n">
        <x:v>-63</x:v>
      </x:c>
      <x:c r="K857" s="14" t="n">
        <x:f>IFERROR(F857/SUMIFS($F:$F,$B:$B,B857),0)</x:f>
        <x:v>0.041640811984753126</x:v>
      </x:c>
      <x:c r="L857" s="12" t="str">
        <x:v>14–17</x:v>
      </x:c>
    </x:row>
    <x:row r="858">
      <x:c r="A858" s="12" t="str">
        <x:v>9/7–9/17平日</x:v>
      </x:c>
      <x:c r="B858" s="12" t="str">
        <x:v>2026-09-08</x:v>
      </x:c>
      <x:c r="C858" s="12" t="str">
        <x:v>15:00</x:v>
      </x:c>
      <x:c r="D858" s="13" t="n">
        <x:v>2266</x:v>
      </x:c>
      <x:c r="E858" s="13" t="n">
        <x:v>103</x:v>
      </x:c>
      <x:c r="F858" s="13" t="n">
        <x:v>2369</x:v>
      </x:c>
      <x:c r="G858" s="13" t="n">
        <x:v>1875</x:v>
      </x:c>
      <x:c r="H858" s="13" t="n">
        <x:v>67</x:v>
      </x:c>
      <x:c r="I858" s="13" t="n">
        <x:v>1942</x:v>
      </x:c>
      <x:c r="J858" s="13" t="n">
        <x:v>-427</x:v>
      </x:c>
      <x:c r="K858" s="14" t="n">
        <x:f>IFERROR(F858/SUMIFS($F:$F,$B:$B,B858),0)</x:f>
        <x:v>0.05249977838844074</x:v>
      </x:c>
      <x:c r="L858" s="12" t="str">
        <x:v>14–17</x:v>
      </x:c>
    </x:row>
    <x:row r="859">
      <x:c r="A859" s="12" t="str">
        <x:v>9/7–9/17平日</x:v>
      </x:c>
      <x:c r="B859" s="12" t="str">
        <x:v>2026-09-08</x:v>
      </x:c>
      <x:c r="C859" s="12" t="str">
        <x:v>16:00</x:v>
      </x:c>
      <x:c r="D859" s="13" t="n">
        <x:v>1527</x:v>
      </x:c>
      <x:c r="E859" s="13" t="n">
        <x:v>100</x:v>
      </x:c>
      <x:c r="F859" s="13" t="n">
        <x:v>1627</x:v>
      </x:c>
      <x:c r="G859" s="13" t="n">
        <x:v>1072</x:v>
      </x:c>
      <x:c r="H859" s="13" t="n">
        <x:v>59</x:v>
      </x:c>
      <x:c r="I859" s="13" t="n">
        <x:v>1131</x:v>
      </x:c>
      <x:c r="J859" s="13" t="n">
        <x:v>-496</x:v>
      </x:c>
      <x:c r="K859" s="14" t="n">
        <x:f>IFERROR(F859/SUMIFS($F:$F,$B:$B,B859),0)</x:f>
        <x:v>0.036056200691428064</x:v>
      </x:c>
      <x:c r="L859" s="12" t="str">
        <x:v>14–17</x:v>
      </x:c>
    </x:row>
    <x:row r="860">
      <x:c r="A860" s="12" t="str">
        <x:v>9/7–9/17平日</x:v>
      </x:c>
      <x:c r="B860" s="12" t="str">
        <x:v>2026-09-08</x:v>
      </x:c>
      <x:c r="C860" s="12" t="str">
        <x:v>17:00</x:v>
      </x:c>
      <x:c r="D860" s="13" t="n">
        <x:v>1938</x:v>
      </x:c>
      <x:c r="E860" s="13" t="n">
        <x:v>157</x:v>
      </x:c>
      <x:c r="F860" s="13" t="n">
        <x:v>2095</x:v>
      </x:c>
      <x:c r="G860" s="13" t="n">
        <x:v>1302</x:v>
      </x:c>
      <x:c r="H860" s="13" t="n">
        <x:v>68</x:v>
      </x:c>
      <x:c r="I860" s="13" t="n">
        <x:v>1370</x:v>
      </x:c>
      <x:c r="J860" s="13" t="n">
        <x:v>-725</x:v>
      </x:c>
      <x:c r="K860" s="14" t="n">
        <x:f>IFERROR(F860/SUMIFS($F:$F,$B:$B,B860),0)</x:f>
        <x:v>0.04642762166474603</x:v>
      </x:c>
      <x:c r="L860" s="12" t="str">
        <x:v>14–17</x:v>
      </x:c>
    </x:row>
    <x:row r="861">
      <x:c r="A861" s="12" t="str">
        <x:v>9/7–9/17平日</x:v>
      </x:c>
      <x:c r="B861" s="12" t="str">
        <x:v>2026-09-08</x:v>
      </x:c>
      <x:c r="C861" s="12" t="str">
        <x:v>18:00</x:v>
      </x:c>
      <x:c r="D861" s="13" t="n">
        <x:v>1149</x:v>
      </x:c>
      <x:c r="E861" s="13" t="n">
        <x:v>64</x:v>
      </x:c>
      <x:c r="F861" s="13" t="n">
        <x:v>1213</x:v>
      </x:c>
      <x:c r="G861" s="13" t="n">
        <x:v>931</x:v>
      </x:c>
      <x:c r="H861" s="13" t="n">
        <x:v>39</x:v>
      </x:c>
      <x:c r="I861" s="13" t="n">
        <x:v>970</x:v>
      </x:c>
      <x:c r="J861" s="13" t="n">
        <x:v>-243</x:v>
      </x:c>
      <x:c r="K861" s="14" t="n">
        <x:f>IFERROR(F861/SUMIFS($F:$F,$B:$B,B861),0)</x:f>
        <x:v>0.026881482138108325</x:v>
      </x:c>
      <x:c r="L861" s="12" t="str">
        <x:v>18–21</x:v>
      </x:c>
    </x:row>
    <x:row r="862">
      <x:c r="A862" s="12" t="str">
        <x:v>9/7–9/17平日</x:v>
      </x:c>
      <x:c r="B862" s="12" t="str">
        <x:v>2026-09-08</x:v>
      </x:c>
      <x:c r="C862" s="12" t="str">
        <x:v>19:00</x:v>
      </x:c>
      <x:c r="D862" s="13" t="n">
        <x:v>658</x:v>
      </x:c>
      <x:c r="E862" s="13" t="n">
        <x:v>46</x:v>
      </x:c>
      <x:c r="F862" s="13" t="n">
        <x:v>704</x:v>
      </x:c>
      <x:c r="G862" s="13" t="n">
        <x:v>628</x:v>
      </x:c>
      <x:c r="H862" s="13" t="n">
        <x:v>34</x:v>
      </x:c>
      <x:c r="I862" s="13" t="n">
        <x:v>662</x:v>
      </x:c>
      <x:c r="J862" s="13" t="n">
        <x:v>-42</x:v>
      </x:c>
      <x:c r="K862" s="14" t="n">
        <x:f>IFERROR(F862/SUMIFS($F:$F,$B:$B,B862),0)</x:f>
        <x:v>0.01560145377182874</x:v>
      </x:c>
      <x:c r="L862" s="12" t="str">
        <x:v>18–21</x:v>
      </x:c>
    </x:row>
    <x:row r="863">
      <x:c r="A863" s="12" t="str">
        <x:v>9/7–9/17平日</x:v>
      </x:c>
      <x:c r="B863" s="12" t="str">
        <x:v>2026-09-08</x:v>
      </x:c>
      <x:c r="C863" s="12" t="str">
        <x:v>20:00</x:v>
      </x:c>
      <x:c r="D863" s="13" t="n">
        <x:v>417</x:v>
      </x:c>
      <x:c r="E863" s="13" t="n">
        <x:v>29</x:v>
      </x:c>
      <x:c r="F863" s="13" t="n">
        <x:v>446</x:v>
      </x:c>
      <x:c r="G863" s="13" t="n">
        <x:v>374</x:v>
      </x:c>
      <x:c r="H863" s="13" t="n">
        <x:v>13</x:v>
      </x:c>
      <x:c r="I863" s="13" t="n">
        <x:v>387</x:v>
      </x:c>
      <x:c r="J863" s="13" t="n">
        <x:v>-59</x:v>
      </x:c>
      <x:c r="K863" s="14" t="n">
        <x:f>IFERROR(F863/SUMIFS($F:$F,$B:$B,B863),0)</x:f>
        <x:v>0.00988387554294832</x:v>
      </x:c>
      <x:c r="L863" s="12" t="str">
        <x:v>18–21</x:v>
      </x:c>
    </x:row>
    <x:row r="864">
      <x:c r="A864" s="12" t="str">
        <x:v>9/7–9/17平日</x:v>
      </x:c>
      <x:c r="B864" s="12" t="str">
        <x:v>2026-09-08</x:v>
      </x:c>
      <x:c r="C864" s="12" t="str">
        <x:v>21:00</x:v>
      </x:c>
      <x:c r="D864" s="13" t="n">
        <x:v>287</x:v>
      </x:c>
      <x:c r="E864" s="13" t="n">
        <x:v>35</x:v>
      </x:c>
      <x:c r="F864" s="13" t="n">
        <x:v>322</x:v>
      </x:c>
      <x:c r="G864" s="13" t="n">
        <x:v>295</x:v>
      </x:c>
      <x:c r="H864" s="13" t="n">
        <x:v>24</x:v>
      </x:c>
      <x:c r="I864" s="13" t="n">
        <x:v>319</x:v>
      </x:c>
      <x:c r="J864" s="13" t="n">
        <x:v>-3</x:v>
      </x:c>
      <x:c r="K864" s="14" t="n">
        <x:f>IFERROR(F864/SUMIFS($F:$F,$B:$B,B864),0)</x:f>
        <x:v>0.007135892208137576</x:v>
      </x:c>
      <x:c r="L864" s="12" t="str">
        <x:v>18–21</x:v>
      </x:c>
    </x:row>
    <x:row r="865">
      <x:c r="A865" s="12" t="str">
        <x:v>9/7–9/17平日</x:v>
      </x:c>
      <x:c r="B865" s="12" t="str">
        <x:v>2026-09-08</x:v>
      </x:c>
      <x:c r="C865" s="12" t="str">
        <x:v>22:00</x:v>
      </x:c>
      <x:c r="D865" s="13" t="n">
        <x:v>197</x:v>
      </x:c>
      <x:c r="E865" s="13" t="n">
        <x:v>18</x:v>
      </x:c>
      <x:c r="F865" s="13" t="n">
        <x:v>215</x:v>
      </x:c>
      <x:c r="G865" s="13" t="n">
        <x:v>226</x:v>
      </x:c>
      <x:c r="H865" s="13" t="n">
        <x:v>15</x:v>
      </x:c>
      <x:c r="I865" s="13" t="n">
        <x:v>241</x:v>
      </x:c>
      <x:c r="J865" s="13" t="n">
        <x:v>26</x:v>
      </x:c>
      <x:c r="K865" s="14" t="n">
        <x:f>IFERROR(F865/SUMIFS($F:$F,$B:$B,B865),0)</x:f>
        <x:v>0.004764648524067015</x:v>
      </x:c>
      <x:c r="L865" s="12" t="str">
        <x:v>22–23</x:v>
      </x:c>
    </x:row>
    <x:row r="866">
      <x:c r="A866" s="12" t="str">
        <x:v>9/7–9/17平日</x:v>
      </x:c>
      <x:c r="B866" s="12" t="str">
        <x:v>2026-09-08</x:v>
      </x:c>
      <x:c r="C866" s="12" t="str">
        <x:v>23:00</x:v>
      </x:c>
      <x:c r="D866" s="13" t="n">
        <x:v>131</x:v>
      </x:c>
      <x:c r="E866" s="13" t="n">
        <x:v>7</x:v>
      </x:c>
      <x:c r="F866" s="13" t="n">
        <x:v>138</x:v>
      </x:c>
      <x:c r="G866" s="13" t="n">
        <x:v>93</x:v>
      </x:c>
      <x:c r="H866" s="13" t="n">
        <x:v>2</x:v>
      </x:c>
      <x:c r="I866" s="13" t="n">
        <x:v>95</x:v>
      </x:c>
      <x:c r="J866" s="13" t="n">
        <x:v>-43</x:v>
      </x:c>
      <x:c r="K866" s="14" t="n">
        <x:f>IFERROR(F866/SUMIFS($F:$F,$B:$B,B866),0)</x:f>
        <x:v>0.003058239517773247</x:v>
      </x:c>
      <x:c r="L866" s="12" t="str">
        <x:v>22–23</x:v>
      </x:c>
    </x:row>
    <x:row r="867">
      <x:c r="A867" s="12" t="str">
        <x:v>9/7–9/17平日</x:v>
      </x:c>
      <x:c r="B867" s="12" t="str">
        <x:v>2026-09-09</x:v>
      </x:c>
      <x:c r="C867" s="12" t="str">
        <x:v>00:00</x:v>
      </x:c>
      <x:c r="D867" s="13" t="n">
        <x:v>80</x:v>
      </x:c>
      <x:c r="E867" s="13" t="n">
        <x:v>4</x:v>
      </x:c>
      <x:c r="F867" s="13" t="n">
        <x:v>84</x:v>
      </x:c>
      <x:c r="G867" s="13" t="n">
        <x:v>63</x:v>
      </x:c>
      <x:c r="H867" s="13" t="n">
        <x:v>2</x:v>
      </x:c>
      <x:c r="I867" s="13" t="n">
        <x:v>65</x:v>
      </x:c>
      <x:c r="J867" s="13" t="n">
        <x:v>-19</x:v>
      </x:c>
      <x:c r="K867" s="14" t="n">
        <x:f>IFERROR(F867/SUMIFS($F:$F,$B:$B,B867),0)</x:f>
        <x:v>0.0019881656804733726</x:v>
      </x:c>
      <x:c r="L867" s="12" t="str">
        <x:v>00–05</x:v>
      </x:c>
    </x:row>
    <x:row r="868">
      <x:c r="A868" s="12" t="str">
        <x:v>9/7–9/17平日</x:v>
      </x:c>
      <x:c r="B868" s="12" t="str">
        <x:v>2026-09-09</x:v>
      </x:c>
      <x:c r="C868" s="12" t="str">
        <x:v>01:00</x:v>
      </x:c>
      <x:c r="D868" s="13" t="n">
        <x:v>30</x:v>
      </x:c>
      <x:c r="E868" s="13" t="n">
        <x:v>1</x:v>
      </x:c>
      <x:c r="F868" s="13" t="n">
        <x:v>31</x:v>
      </x:c>
      <x:c r="G868" s="13" t="n">
        <x:v>14</x:v>
      </x:c>
      <x:c r="H868" s="13" t="n">
        <x:v>1</x:v>
      </x:c>
      <x:c r="I868" s="13" t="n">
        <x:v>15</x:v>
      </x:c>
      <x:c r="J868" s="13" t="n">
        <x:v>-16</x:v>
      </x:c>
      <x:c r="K868" s="14" t="n">
        <x:f>IFERROR(F868/SUMIFS($F:$F,$B:$B,B868),0)</x:f>
        <x:v>0.0007337278106508876</x:v>
      </x:c>
      <x:c r="L868" s="12" t="str">
        <x:v>00–05</x:v>
      </x:c>
    </x:row>
    <x:row r="869">
      <x:c r="A869" s="12" t="str">
        <x:v>9/7–9/17平日</x:v>
      </x:c>
      <x:c r="B869" s="12" t="str">
        <x:v>2026-09-09</x:v>
      </x:c>
      <x:c r="C869" s="12" t="str">
        <x:v>02:00</x:v>
      </x:c>
      <x:c r="D869" s="13" t="n">
        <x:v>12</x:v>
      </x:c>
      <x:c r="E869" s="13" t="n">
        <x:v>0</x:v>
      </x:c>
      <x:c r="F869" s="13" t="n">
        <x:v>12</x:v>
      </x:c>
      <x:c r="G869" s="13" t="n">
        <x:v>12</x:v>
      </x:c>
      <x:c r="H869" s="13" t="n">
        <x:v>1</x:v>
      </x:c>
      <x:c r="I869" s="13" t="n">
        <x:v>13</x:v>
      </x:c>
      <x:c r="J869" s="13" t="n">
        <x:v>1</x:v>
      </x:c>
      <x:c r="K869" s="14" t="n">
        <x:f>IFERROR(F869/SUMIFS($F:$F,$B:$B,B869),0)</x:f>
        <x:v>0.00028402366863905325</x:v>
      </x:c>
      <x:c r="L869" s="12" t="str">
        <x:v>00–05</x:v>
      </x:c>
    </x:row>
    <x:row r="870">
      <x:c r="A870" s="12" t="str">
        <x:v>9/7–9/17平日</x:v>
      </x:c>
      <x:c r="B870" s="12" t="str">
        <x:v>2026-09-09</x:v>
      </x:c>
      <x:c r="C870" s="12" t="str">
        <x:v>03:00</x:v>
      </x:c>
      <x:c r="D870" s="13" t="n">
        <x:v>10</x:v>
      </x:c>
      <x:c r="E870" s="13" t="n">
        <x:v>1</x:v>
      </x:c>
      <x:c r="F870" s="13" t="n">
        <x:v>11</x:v>
      </x:c>
      <x:c r="G870" s="13" t="n">
        <x:v>13</x:v>
      </x:c>
      <x:c r="H870" s="13" t="n">
        <x:v>0</x:v>
      </x:c>
      <x:c r="I870" s="13" t="n">
        <x:v>13</x:v>
      </x:c>
      <x:c r="J870" s="13" t="n">
        <x:v>2</x:v>
      </x:c>
      <x:c r="K870" s="14" t="n">
        <x:f>IFERROR(F870/SUMIFS($F:$F,$B:$B,B870),0)</x:f>
        <x:v>0.0002603550295857988</x:v>
      </x:c>
      <x:c r="L870" s="12" t="str">
        <x:v>00–05</x:v>
      </x:c>
    </x:row>
    <x:row r="871">
      <x:c r="A871" s="12" t="str">
        <x:v>9/7–9/17平日</x:v>
      </x:c>
      <x:c r="B871" s="12" t="str">
        <x:v>2026-09-09</x:v>
      </x:c>
      <x:c r="C871" s="12" t="str">
        <x:v>04:00</x:v>
      </x:c>
      <x:c r="D871" s="13" t="n">
        <x:v>7</x:v>
      </x:c>
      <x:c r="E871" s="13" t="n">
        <x:v>0</x:v>
      </x:c>
      <x:c r="F871" s="13" t="n">
        <x:v>7</x:v>
      </x:c>
      <x:c r="G871" s="13" t="n">
        <x:v>7</x:v>
      </x:c>
      <x:c r="H871" s="13" t="n">
        <x:v>2</x:v>
      </x:c>
      <x:c r="I871" s="13" t="n">
        <x:v>9</x:v>
      </x:c>
      <x:c r="J871" s="13" t="n">
        <x:v>2</x:v>
      </x:c>
      <x:c r="K871" s="14" t="n">
        <x:f>IFERROR(F871/SUMIFS($F:$F,$B:$B,B871),0)</x:f>
        <x:v>0.00016568047337278108</x:v>
      </x:c>
      <x:c r="L871" s="12" t="str">
        <x:v>00–05</x:v>
      </x:c>
    </x:row>
    <x:row r="872">
      <x:c r="A872" s="12" t="str">
        <x:v>9/7–9/17平日</x:v>
      </x:c>
      <x:c r="B872" s="12" t="str">
        <x:v>2026-09-09</x:v>
      </x:c>
      <x:c r="C872" s="12" t="str">
        <x:v>05:00</x:v>
      </x:c>
      <x:c r="D872" s="13" t="n">
        <x:v>37</x:v>
      </x:c>
      <x:c r="E872" s="13" t="n">
        <x:v>1</x:v>
      </x:c>
      <x:c r="F872" s="13" t="n">
        <x:v>38</x:v>
      </x:c>
      <x:c r="G872" s="13" t="n">
        <x:v>48</x:v>
      </x:c>
      <x:c r="H872" s="13" t="n">
        <x:v>4</x:v>
      </x:c>
      <x:c r="I872" s="13" t="n">
        <x:v>52</x:v>
      </x:c>
      <x:c r="J872" s="13" t="n">
        <x:v>14</x:v>
      </x:c>
      <x:c r="K872" s="14" t="n">
        <x:f>IFERROR(F872/SUMIFS($F:$F,$B:$B,B872),0)</x:f>
        <x:v>0.0008994082840236686</x:v>
      </x:c>
      <x:c r="L872" s="12" t="str">
        <x:v>00–05</x:v>
      </x:c>
    </x:row>
    <x:row r="873">
      <x:c r="A873" s="12" t="str">
        <x:v>9/7–9/17平日</x:v>
      </x:c>
      <x:c r="B873" s="12" t="str">
        <x:v>2026-09-09</x:v>
      </x:c>
      <x:c r="C873" s="12" t="str">
        <x:v>06:00</x:v>
      </x:c>
      <x:c r="D873" s="13" t="n">
        <x:v>136</x:v>
      </x:c>
      <x:c r="E873" s="13" t="n">
        <x:v>2</x:v>
      </x:c>
      <x:c r="F873" s="13" t="n">
        <x:v>138</x:v>
      </x:c>
      <x:c r="G873" s="13" t="n">
        <x:v>153</x:v>
      </x:c>
      <x:c r="H873" s="13" t="n">
        <x:v>13</x:v>
      </x:c>
      <x:c r="I873" s="13" t="n">
        <x:v>166</x:v>
      </x:c>
      <x:c r="J873" s="13" t="n">
        <x:v>28</x:v>
      </x:c>
      <x:c r="K873" s="14" t="n">
        <x:f>IFERROR(F873/SUMIFS($F:$F,$B:$B,B873),0)</x:f>
        <x:v>0.0032662721893491125</x:v>
      </x:c>
      <x:c r="L873" s="12" t="str">
        <x:v>06–09</x:v>
      </x:c>
    </x:row>
    <x:row r="874">
      <x:c r="A874" s="12" t="str">
        <x:v>9/7–9/17平日</x:v>
      </x:c>
      <x:c r="B874" s="12" t="str">
        <x:v>2026-09-09</x:v>
      </x:c>
      <x:c r="C874" s="12" t="str">
        <x:v>07:00</x:v>
      </x:c>
      <x:c r="D874" s="13" t="n">
        <x:v>484</x:v>
      </x:c>
      <x:c r="E874" s="13" t="n">
        <x:v>20</x:v>
      </x:c>
      <x:c r="F874" s="13" t="n">
        <x:v>504</x:v>
      </x:c>
      <x:c r="G874" s="13" t="n">
        <x:v>606</x:v>
      </x:c>
      <x:c r="H874" s="13" t="n">
        <x:v>33</x:v>
      </x:c>
      <x:c r="I874" s="13" t="n">
        <x:v>639</x:v>
      </x:c>
      <x:c r="J874" s="13" t="n">
        <x:v>135</x:v>
      </x:c>
      <x:c r="K874" s="14" t="n">
        <x:f>IFERROR(F874/SUMIFS($F:$F,$B:$B,B874),0)</x:f>
        <x:v>0.011928994082840236</x:v>
      </x:c>
      <x:c r="L874" s="12" t="str">
        <x:v>06–09</x:v>
      </x:c>
    </x:row>
    <x:row r="875">
      <x:c r="A875" s="12" t="str">
        <x:v>9/7–9/17平日</x:v>
      </x:c>
      <x:c r="B875" s="12" t="str">
        <x:v>2026-09-09</x:v>
      </x:c>
      <x:c r="C875" s="12" t="str">
        <x:v>08:00</x:v>
      </x:c>
      <x:c r="D875" s="13" t="n">
        <x:v>1004</x:v>
      </x:c>
      <x:c r="E875" s="13" t="n">
        <x:v>59</x:v>
      </x:c>
      <x:c r="F875" s="13" t="n">
        <x:v>1063</x:v>
      </x:c>
      <x:c r="G875" s="13" t="n">
        <x:v>1408</x:v>
      </x:c>
      <x:c r="H875" s="13" t="n">
        <x:v>105</x:v>
      </x:c>
      <x:c r="I875" s="13" t="n">
        <x:v>1513</x:v>
      </x:c>
      <x:c r="J875" s="13" t="n">
        <x:v>450</x:v>
      </x:c>
      <x:c r="K875" s="14" t="n">
        <x:f>IFERROR(F875/SUMIFS($F:$F,$B:$B,B875),0)</x:f>
        <x:v>0.025159763313609466</x:v>
      </x:c>
      <x:c r="L875" s="12" t="str">
        <x:v>06–09</x:v>
      </x:c>
    </x:row>
    <x:row r="876">
      <x:c r="A876" s="12" t="str">
        <x:v>9/7–9/17平日</x:v>
      </x:c>
      <x:c r="B876" s="12" t="str">
        <x:v>2026-09-09</x:v>
      </x:c>
      <x:c r="C876" s="12" t="str">
        <x:v>09:00</x:v>
      </x:c>
      <x:c r="D876" s="13" t="n">
        <x:v>1190</x:v>
      </x:c>
      <x:c r="E876" s="13" t="n">
        <x:v>79</x:v>
      </x:c>
      <x:c r="F876" s="13" t="n">
        <x:v>1269</x:v>
      </x:c>
      <x:c r="G876" s="13" t="n">
        <x:v>1594</x:v>
      </x:c>
      <x:c r="H876" s="13" t="n">
        <x:v>114</x:v>
      </x:c>
      <x:c r="I876" s="13" t="n">
        <x:v>1708</x:v>
      </x:c>
      <x:c r="J876" s="13" t="n">
        <x:v>439</x:v>
      </x:c>
      <x:c r="K876" s="14" t="n">
        <x:f>IFERROR(F876/SUMIFS($F:$F,$B:$B,B876),0)</x:f>
        <x:v>0.03003550295857988</x:v>
      </x:c>
      <x:c r="L876" s="12" t="str">
        <x:v>06–09</x:v>
      </x:c>
    </x:row>
    <x:row r="877">
      <x:c r="A877" s="12" t="str">
        <x:v>9/7–9/17平日</x:v>
      </x:c>
      <x:c r="B877" s="12" t="str">
        <x:v>2026-09-09</x:v>
      </x:c>
      <x:c r="C877" s="12" t="str">
        <x:v>10:00</x:v>
      </x:c>
      <x:c r="D877" s="13" t="n">
        <x:v>1481</x:v>
      </x:c>
      <x:c r="E877" s="13" t="n">
        <x:v>63</x:v>
      </x:c>
      <x:c r="F877" s="13" t="n">
        <x:v>1544</x:v>
      </x:c>
      <x:c r="G877" s="13" t="n">
        <x:v>1713</x:v>
      </x:c>
      <x:c r="H877" s="13" t="n">
        <x:v>98</x:v>
      </x:c>
      <x:c r="I877" s="13" t="n">
        <x:v>1811</x:v>
      </x:c>
      <x:c r="J877" s="13" t="n">
        <x:v>267</x:v>
      </x:c>
      <x:c r="K877" s="14" t="n">
        <x:f>IFERROR(F877/SUMIFS($F:$F,$B:$B,B877),0)</x:f>
        <x:v>0.036544378698224855</x:v>
      </x:c>
      <x:c r="L877" s="12" t="str">
        <x:v>10–13</x:v>
      </x:c>
    </x:row>
    <x:row r="878">
      <x:c r="A878" s="12" t="str">
        <x:v>9/7–9/17平日</x:v>
      </x:c>
      <x:c r="B878" s="12" t="str">
        <x:v>2026-09-09</x:v>
      </x:c>
      <x:c r="C878" s="12" t="str">
        <x:v>11:00</x:v>
      </x:c>
      <x:c r="D878" s="13" t="n">
        <x:v>1435</x:v>
      </x:c>
      <x:c r="E878" s="13" t="n">
        <x:v>46</x:v>
      </x:c>
      <x:c r="F878" s="13" t="n">
        <x:v>1481</x:v>
      </x:c>
      <x:c r="G878" s="13" t="n">
        <x:v>1269</x:v>
      </x:c>
      <x:c r="H878" s="13" t="n">
        <x:v>53</x:v>
      </x:c>
      <x:c r="I878" s="13" t="n">
        <x:v>1322</x:v>
      </x:c>
      <x:c r="J878" s="13" t="n">
        <x:v>-159</x:v>
      </x:c>
      <x:c r="K878" s="14" t="n">
        <x:f>IFERROR(F878/SUMIFS($F:$F,$B:$B,B878),0)</x:f>
        <x:v>0.03505325443786982</x:v>
      </x:c>
      <x:c r="L878" s="12" t="str">
        <x:v>10–13</x:v>
      </x:c>
    </x:row>
    <x:row r="879">
      <x:c r="A879" s="12" t="str">
        <x:v>9/7–9/17平日</x:v>
      </x:c>
      <x:c r="B879" s="12" t="str">
        <x:v>2026-09-09</x:v>
      </x:c>
      <x:c r="C879" s="12" t="str">
        <x:v>12:00</x:v>
      </x:c>
      <x:c r="D879" s="13" t="n">
        <x:v>2415</x:v>
      </x:c>
      <x:c r="E879" s="13" t="n">
        <x:v>148</x:v>
      </x:c>
      <x:c r="F879" s="13" t="n">
        <x:v>2563</x:v>
      </x:c>
      <x:c r="G879" s="13" t="n">
        <x:v>2379</x:v>
      </x:c>
      <x:c r="H879" s="13" t="n">
        <x:v>114</x:v>
      </x:c>
      <x:c r="I879" s="13" t="n">
        <x:v>2493</x:v>
      </x:c>
      <x:c r="J879" s="13" t="n">
        <x:v>-70</x:v>
      </x:c>
      <x:c r="K879" s="14" t="n">
        <x:f>IFERROR(F879/SUMIFS($F:$F,$B:$B,B879),0)</x:f>
        <x:v>0.060662721893491124</x:v>
      </x:c>
      <x:c r="L879" s="12" t="str">
        <x:v>10–13</x:v>
      </x:c>
    </x:row>
    <x:row r="880">
      <x:c r="A880" s="12" t="str">
        <x:v>9/7–9/17平日</x:v>
      </x:c>
      <x:c r="B880" s="12" t="str">
        <x:v>2026-09-09</x:v>
      </x:c>
      <x:c r="C880" s="12" t="str">
        <x:v>13:00</x:v>
      </x:c>
      <x:c r="D880" s="13" t="n">
        <x:v>2095</x:v>
      </x:c>
      <x:c r="E880" s="13" t="n">
        <x:v>99</x:v>
      </x:c>
      <x:c r="F880" s="13" t="n">
        <x:v>2194</x:v>
      </x:c>
      <x:c r="G880" s="13" t="n">
        <x:v>2258</x:v>
      </x:c>
      <x:c r="H880" s="13" t="n">
        <x:v>133</x:v>
      </x:c>
      <x:c r="I880" s="13" t="n">
        <x:v>2391</x:v>
      </x:c>
      <x:c r="J880" s="13" t="n">
        <x:v>197</x:v>
      </x:c>
      <x:c r="K880" s="14" t="n">
        <x:f>IFERROR(F880/SUMIFS($F:$F,$B:$B,B880),0)</x:f>
        <x:v>0.051928994082840234</x:v>
      </x:c>
      <x:c r="L880" s="12" t="str">
        <x:v>10–13</x:v>
      </x:c>
    </x:row>
    <x:row r="881">
      <x:c r="A881" s="12" t="str">
        <x:v>9/7–9/17平日</x:v>
      </x:c>
      <x:c r="B881" s="12" t="str">
        <x:v>2026-09-09</x:v>
      </x:c>
      <x:c r="C881" s="12" t="str">
        <x:v>14:00</x:v>
      </x:c>
      <x:c r="D881" s="13" t="n">
        <x:v>1879</x:v>
      </x:c>
      <x:c r="E881" s="13" t="n">
        <x:v>68</x:v>
      </x:c>
      <x:c r="F881" s="13" t="n">
        <x:v>1947</x:v>
      </x:c>
      <x:c r="G881" s="13" t="n">
        <x:v>1804</x:v>
      </x:c>
      <x:c r="H881" s="13" t="n">
        <x:v>63</x:v>
      </x:c>
      <x:c r="I881" s="13" t="n">
        <x:v>1867</x:v>
      </x:c>
      <x:c r="J881" s="13" t="n">
        <x:v>-80</x:v>
      </x:c>
      <x:c r="K881" s="14" t="n">
        <x:f>IFERROR(F881/SUMIFS($F:$F,$B:$B,B881),0)</x:f>
        <x:v>0.04608284023668639</x:v>
      </x:c>
      <x:c r="L881" s="12" t="str">
        <x:v>14–17</x:v>
      </x:c>
    </x:row>
    <x:row r="882">
      <x:c r="A882" s="12" t="str">
        <x:v>9/7–9/17平日</x:v>
      </x:c>
      <x:c r="B882" s="12" t="str">
        <x:v>2026-09-09</x:v>
      </x:c>
      <x:c r="C882" s="12" t="str">
        <x:v>15:00</x:v>
      </x:c>
      <x:c r="D882" s="13" t="n">
        <x:v>2186</x:v>
      </x:c>
      <x:c r="E882" s="13" t="n">
        <x:v>101</x:v>
      </x:c>
      <x:c r="F882" s="13" t="n">
        <x:v>2287</x:v>
      </x:c>
      <x:c r="G882" s="13" t="n">
        <x:v>1965</x:v>
      </x:c>
      <x:c r="H882" s="13" t="n">
        <x:v>81</x:v>
      </x:c>
      <x:c r="I882" s="13" t="n">
        <x:v>2046</x:v>
      </x:c>
      <x:c r="J882" s="13" t="n">
        <x:v>-241</x:v>
      </x:c>
      <x:c r="K882" s="14" t="n">
        <x:f>IFERROR(F882/SUMIFS($F:$F,$B:$B,B882),0)</x:f>
        <x:v>0.0541301775147929</x:v>
      </x:c>
      <x:c r="L882" s="12" t="str">
        <x:v>14–17</x:v>
      </x:c>
    </x:row>
    <x:row r="883">
      <x:c r="A883" s="12" t="str">
        <x:v>9/7–9/17平日</x:v>
      </x:c>
      <x:c r="B883" s="12" t="str">
        <x:v>2026-09-09</x:v>
      </x:c>
      <x:c r="C883" s="12" t="str">
        <x:v>16:00</x:v>
      </x:c>
      <x:c r="D883" s="13" t="n">
        <x:v>1580</x:v>
      </x:c>
      <x:c r="E883" s="13" t="n">
        <x:v>90</x:v>
      </x:c>
      <x:c r="F883" s="13" t="n">
        <x:v>1670</x:v>
      </x:c>
      <x:c r="G883" s="13" t="n">
        <x:v>1195</x:v>
      </x:c>
      <x:c r="H883" s="13" t="n">
        <x:v>50</x:v>
      </x:c>
      <x:c r="I883" s="13" t="n">
        <x:v>1245</x:v>
      </x:c>
      <x:c r="J883" s="13" t="n">
        <x:v>-425</x:v>
      </x:c>
      <x:c r="K883" s="14" t="n">
        <x:f>IFERROR(F883/SUMIFS($F:$F,$B:$B,B883),0)</x:f>
        <x:v>0.039526627218934914</x:v>
      </x:c>
      <x:c r="L883" s="12" t="str">
        <x:v>14–17</x:v>
      </x:c>
    </x:row>
    <x:row r="884">
      <x:c r="A884" s="12" t="str">
        <x:v>9/7–9/17平日</x:v>
      </x:c>
      <x:c r="B884" s="12" t="str">
        <x:v>2026-09-09</x:v>
      </x:c>
      <x:c r="C884" s="12" t="str">
        <x:v>17:00</x:v>
      </x:c>
      <x:c r="D884" s="13" t="n">
        <x:v>1757</x:v>
      </x:c>
      <x:c r="E884" s="13" t="n">
        <x:v>116</x:v>
      </x:c>
      <x:c r="F884" s="13" t="n">
        <x:v>1873</x:v>
      </x:c>
      <x:c r="G884" s="13" t="n">
        <x:v>1167</x:v>
      </x:c>
      <x:c r="H884" s="13" t="n">
        <x:v>52</x:v>
      </x:c>
      <x:c r="I884" s="13" t="n">
        <x:v>1219</x:v>
      </x:c>
      <x:c r="J884" s="13" t="n">
        <x:v>-654</x:v>
      </x:c>
      <x:c r="K884" s="14" t="n">
        <x:f>IFERROR(F884/SUMIFS($F:$F,$B:$B,B884),0)</x:f>
        <x:v>0.044331360946745564</x:v>
      </x:c>
      <x:c r="L884" s="12" t="str">
        <x:v>14–17</x:v>
      </x:c>
    </x:row>
    <x:row r="885">
      <x:c r="A885" s="12" t="str">
        <x:v>9/7–9/17平日</x:v>
      </x:c>
      <x:c r="B885" s="12" t="str">
        <x:v>2026-09-09</x:v>
      </x:c>
      <x:c r="C885" s="12" t="str">
        <x:v>18:00</x:v>
      </x:c>
      <x:c r="D885" s="13" t="n">
        <x:v>854</x:v>
      </x:c>
      <x:c r="E885" s="13" t="n">
        <x:v>63</x:v>
      </x:c>
      <x:c r="F885" s="13" t="n">
        <x:v>917</x:v>
      </x:c>
      <x:c r="G885" s="13" t="n">
        <x:v>791</x:v>
      </x:c>
      <x:c r="H885" s="13" t="n">
        <x:v>42</x:v>
      </x:c>
      <x:c r="I885" s="13" t="n">
        <x:v>833</x:v>
      </x:c>
      <x:c r="J885" s="13" t="n">
        <x:v>-84</x:v>
      </x:c>
      <x:c r="K885" s="14" t="n">
        <x:f>IFERROR(F885/SUMIFS($F:$F,$B:$B,B885),0)</x:f>
        <x:v>0.02170414201183432</x:v>
      </x:c>
      <x:c r="L885" s="12" t="str">
        <x:v>18–21</x:v>
      </x:c>
    </x:row>
    <x:row r="886">
      <x:c r="A886" s="12" t="str">
        <x:v>9/7–9/17平日</x:v>
      </x:c>
      <x:c r="B886" s="12" t="str">
        <x:v>2026-09-09</x:v>
      </x:c>
      <x:c r="C886" s="12" t="str">
        <x:v>19:00</x:v>
      </x:c>
      <x:c r="D886" s="13" t="n">
        <x:v>538</x:v>
      </x:c>
      <x:c r="E886" s="13" t="n">
        <x:v>24</x:v>
      </x:c>
      <x:c r="F886" s="13" t="n">
        <x:v>562</x:v>
      </x:c>
      <x:c r="G886" s="13" t="n">
        <x:v>443</x:v>
      </x:c>
      <x:c r="H886" s="13" t="n">
        <x:v>17</x:v>
      </x:c>
      <x:c r="I886" s="13" t="n">
        <x:v>460</x:v>
      </x:c>
      <x:c r="J886" s="13" t="n">
        <x:v>-102</x:v>
      </x:c>
      <x:c r="K886" s="14" t="n">
        <x:f>IFERROR(F886/SUMIFS($F:$F,$B:$B,B886),0)</x:f>
        <x:v>0.013301775147928994</x:v>
      </x:c>
      <x:c r="L886" s="12" t="str">
        <x:v>18–21</x:v>
      </x:c>
    </x:row>
    <x:row r="887">
      <x:c r="A887" s="12" t="str">
        <x:v>9/7–9/17平日</x:v>
      </x:c>
      <x:c r="B887" s="12" t="str">
        <x:v>2026-09-09</x:v>
      </x:c>
      <x:c r="C887" s="12" t="str">
        <x:v>20:00</x:v>
      </x:c>
      <x:c r="D887" s="13" t="n">
        <x:v>357</x:v>
      </x:c>
      <x:c r="E887" s="13" t="n">
        <x:v>27</x:v>
      </x:c>
      <x:c r="F887" s="13" t="n">
        <x:v>384</x:v>
      </x:c>
      <x:c r="G887" s="13" t="n">
        <x:v>329</x:v>
      </x:c>
      <x:c r="H887" s="13" t="n">
        <x:v>20</x:v>
      </x:c>
      <x:c r="I887" s="13" t="n">
        <x:v>349</x:v>
      </x:c>
      <x:c r="J887" s="13" t="n">
        <x:v>-35</x:v>
      </x:c>
      <x:c r="K887" s="14" t="n">
        <x:f>IFERROR(F887/SUMIFS($F:$F,$B:$B,B887),0)</x:f>
        <x:v>0.009088757396449704</x:v>
      </x:c>
      <x:c r="L887" s="12" t="str">
        <x:v>18–21</x:v>
      </x:c>
    </x:row>
    <x:row r="888">
      <x:c r="A888" s="12" t="str">
        <x:v>9/7–9/17平日</x:v>
      </x:c>
      <x:c r="B888" s="12" t="str">
        <x:v>2026-09-09</x:v>
      </x:c>
      <x:c r="C888" s="12" t="str">
        <x:v>21:00</x:v>
      </x:c>
      <x:c r="D888" s="13" t="n">
        <x:v>230</x:v>
      </x:c>
      <x:c r="E888" s="13" t="n">
        <x:v>19</x:v>
      </x:c>
      <x:c r="F888" s="13" t="n">
        <x:v>249</x:v>
      </x:c>
      <x:c r="G888" s="13" t="n">
        <x:v>242</x:v>
      </x:c>
      <x:c r="H888" s="13" t="n">
        <x:v>12</x:v>
      </x:c>
      <x:c r="I888" s="13" t="n">
        <x:v>254</x:v>
      </x:c>
      <x:c r="J888" s="13" t="n">
        <x:v>5</x:v>
      </x:c>
      <x:c r="K888" s="14" t="n">
        <x:f>IFERROR(F888/SUMIFS($F:$F,$B:$B,B888),0)</x:f>
        <x:v>0.005893491124260355</x:v>
      </x:c>
      <x:c r="L888" s="12" t="str">
        <x:v>18–21</x:v>
      </x:c>
    </x:row>
    <x:row r="889">
      <x:c r="A889" s="12" t="str">
        <x:v>9/7–9/17平日</x:v>
      </x:c>
      <x:c r="B889" s="12" t="str">
        <x:v>2026-09-09</x:v>
      </x:c>
      <x:c r="C889" s="12" t="str">
        <x:v>22:00</x:v>
      </x:c>
      <x:c r="D889" s="13" t="n">
        <x:v>161</x:v>
      </x:c>
      <x:c r="E889" s="13" t="n">
        <x:v>7</x:v>
      </x:c>
      <x:c r="F889" s="13" t="n">
        <x:v>168</x:v>
      </x:c>
      <x:c r="G889" s="13" t="n">
        <x:v>154</x:v>
      </x:c>
      <x:c r="H889" s="13" t="n">
        <x:v>8</x:v>
      </x:c>
      <x:c r="I889" s="13" t="n">
        <x:v>162</x:v>
      </x:c>
      <x:c r="J889" s="13" t="n">
        <x:v>-6</x:v>
      </x:c>
      <x:c r="K889" s="14" t="n">
        <x:f>IFERROR(F889/SUMIFS($F:$F,$B:$B,B889),0)</x:f>
        <x:v>0.003976331360946745</x:v>
      </x:c>
      <x:c r="L889" s="12" t="str">
        <x:v>22–23</x:v>
      </x:c>
    </x:row>
    <x:row r="890">
      <x:c r="A890" s="12" t="str">
        <x:v>9/7–9/17平日</x:v>
      </x:c>
      <x:c r="B890" s="12" t="str">
        <x:v>2026-09-09</x:v>
      </x:c>
      <x:c r="C890" s="12" t="str">
        <x:v>23:00</x:v>
      </x:c>
      <x:c r="D890" s="13" t="n">
        <x:v>123</x:v>
      </x:c>
      <x:c r="E890" s="13" t="n">
        <x:v>6</x:v>
      </x:c>
      <x:c r="F890" s="13" t="n">
        <x:v>129</x:v>
      </x:c>
      <x:c r="G890" s="13" t="n">
        <x:v>88</x:v>
      </x:c>
      <x:c r="H890" s="13" t="n">
        <x:v>3</x:v>
      </x:c>
      <x:c r="I890" s="13" t="n">
        <x:v>91</x:v>
      </x:c>
      <x:c r="J890" s="13" t="n">
        <x:v>-38</x:v>
      </x:c>
      <x:c r="K890" s="14" t="n">
        <x:f>IFERROR(F890/SUMIFS($F:$F,$B:$B,B890),0)</x:f>
        <x:v>0.0030532544378698225</x:v>
      </x:c>
      <x:c r="L890" s="12" t="str">
        <x:v>22–23</x:v>
      </x:c>
    </x:row>
    <x:row r="891">
      <x:c r="A891" s="12" t="str">
        <x:v>9/7–9/17平日</x:v>
      </x:c>
      <x:c r="B891" s="12" t="str">
        <x:v>2026-09-10</x:v>
      </x:c>
      <x:c r="C891" s="12" t="str">
        <x:v>00:00</x:v>
      </x:c>
      <x:c r="D891" s="13" t="n">
        <x:v>62</x:v>
      </x:c>
      <x:c r="E891" s="13" t="n">
        <x:v>0</x:v>
      </x:c>
      <x:c r="F891" s="13" t="n">
        <x:v>62</x:v>
      </x:c>
      <x:c r="G891" s="13" t="n">
        <x:v>58</x:v>
      </x:c>
      <x:c r="H891" s="13" t="n">
        <x:v>0</x:v>
      </x:c>
      <x:c r="I891" s="13" t="n">
        <x:v>58</x:v>
      </x:c>
      <x:c r="J891" s="13" t="n">
        <x:v>-4</x:v>
      </x:c>
      <x:c r="K891" s="14" t="n">
        <x:f>IFERROR(F891/SUMIFS($F:$F,$B:$B,B891),0)</x:f>
        <x:v>0.0015588856481947098</x:v>
      </x:c>
      <x:c r="L891" s="12" t="str">
        <x:v>00–05</x:v>
      </x:c>
    </x:row>
    <x:row r="892">
      <x:c r="A892" s="12" t="str">
        <x:v>9/7–9/17平日</x:v>
      </x:c>
      <x:c r="B892" s="12" t="str">
        <x:v>2026-09-10</x:v>
      </x:c>
      <x:c r="C892" s="12" t="str">
        <x:v>01:00</x:v>
      </x:c>
      <x:c r="D892" s="13" t="n">
        <x:v>17</x:v>
      </x:c>
      <x:c r="E892" s="13" t="n">
        <x:v>1</x:v>
      </x:c>
      <x:c r="F892" s="13" t="n">
        <x:v>18</x:v>
      </x:c>
      <x:c r="G892" s="13" t="n">
        <x:v>14</x:v>
      </x:c>
      <x:c r="H892" s="13" t="n">
        <x:v>3</x:v>
      </x:c>
      <x:c r="I892" s="13" t="n">
        <x:v>17</x:v>
      </x:c>
      <x:c r="J892" s="13" t="n">
        <x:v>-1</x:v>
      </x:c>
      <x:c r="K892" s="14" t="n">
        <x:f>IFERROR(F892/SUMIFS($F:$F,$B:$B,B892),0)</x:f>
        <x:v>0.0004525797043145932</x:v>
      </x:c>
      <x:c r="L892" s="12" t="str">
        <x:v>00–05</x:v>
      </x:c>
    </x:row>
    <x:row r="893">
      <x:c r="A893" s="12" t="str">
        <x:v>9/7–9/17平日</x:v>
      </x:c>
      <x:c r="B893" s="12" t="str">
        <x:v>2026-09-10</x:v>
      </x:c>
      <x:c r="C893" s="12" t="str">
        <x:v>02:00</x:v>
      </x:c>
      <x:c r="D893" s="13" t="n">
        <x:v>11</x:v>
      </x:c>
      <x:c r="E893" s="13" t="n">
        <x:v>0</x:v>
      </x:c>
      <x:c r="F893" s="13" t="n">
        <x:v>11</x:v>
      </x:c>
      <x:c r="G893" s="13" t="n">
        <x:v>13</x:v>
      </x:c>
      <x:c r="H893" s="13" t="n">
        <x:v>1</x:v>
      </x:c>
      <x:c r="I893" s="13" t="n">
        <x:v>14</x:v>
      </x:c>
      <x:c r="J893" s="13" t="n">
        <x:v>3</x:v>
      </x:c>
      <x:c r="K893" s="14" t="n">
        <x:f>IFERROR(F893/SUMIFS($F:$F,$B:$B,B893),0)</x:f>
        <x:v>0.00027657648597002914</x:v>
      </x:c>
      <x:c r="L893" s="12" t="str">
        <x:v>00–05</x:v>
      </x:c>
    </x:row>
    <x:row r="894">
      <x:c r="A894" s="12" t="str">
        <x:v>9/7–9/17平日</x:v>
      </x:c>
      <x:c r="B894" s="12" t="str">
        <x:v>2026-09-10</x:v>
      </x:c>
      <x:c r="C894" s="12" t="str">
        <x:v>03:00</x:v>
      </x:c>
      <x:c r="D894" s="13" t="n">
        <x:v>6</x:v>
      </x:c>
      <x:c r="E894" s="13" t="n">
        <x:v>1</x:v>
      </x:c>
      <x:c r="F894" s="13" t="n">
        <x:v>7</x:v>
      </x:c>
      <x:c r="G894" s="13" t="n">
        <x:v>14</x:v>
      </x:c>
      <x:c r="H894" s="13" t="n">
        <x:v>2</x:v>
      </x:c>
      <x:c r="I894" s="13" t="n">
        <x:v>16</x:v>
      </x:c>
      <x:c r="J894" s="13" t="n">
        <x:v>9</x:v>
      </x:c>
      <x:c r="K894" s="14" t="n">
        <x:f>IFERROR(F894/SUMIFS($F:$F,$B:$B,B894),0)</x:f>
        <x:v>0.00017600321834456402</x:v>
      </x:c>
      <x:c r="L894" s="12" t="str">
        <x:v>00–05</x:v>
      </x:c>
    </x:row>
    <x:row r="895">
      <x:c r="A895" s="12" t="str">
        <x:v>9/7–9/17平日</x:v>
      </x:c>
      <x:c r="B895" s="12" t="str">
        <x:v>2026-09-10</x:v>
      </x:c>
      <x:c r="C895" s="12" t="str">
        <x:v>04:00</x:v>
      </x:c>
      <x:c r="D895" s="13" t="n">
        <x:v>11</x:v>
      </x:c>
      <x:c r="E895" s="13" t="n">
        <x:v>0</x:v>
      </x:c>
      <x:c r="F895" s="13" t="n">
        <x:v>11</x:v>
      </x:c>
      <x:c r="G895" s="13" t="n">
        <x:v>14</x:v>
      </x:c>
      <x:c r="H895" s="13" t="n">
        <x:v>0</x:v>
      </x:c>
      <x:c r="I895" s="13" t="n">
        <x:v>14</x:v>
      </x:c>
      <x:c r="J895" s="13" t="n">
        <x:v>3</x:v>
      </x:c>
      <x:c r="K895" s="14" t="n">
        <x:f>IFERROR(F895/SUMIFS($F:$F,$B:$B,B895),0)</x:f>
        <x:v>0.00027657648597002914</x:v>
      </x:c>
      <x:c r="L895" s="12" t="str">
        <x:v>00–05</x:v>
      </x:c>
    </x:row>
    <x:row r="896">
      <x:c r="A896" s="12" t="str">
        <x:v>9/7–9/17平日</x:v>
      </x:c>
      <x:c r="B896" s="12" t="str">
        <x:v>2026-09-10</x:v>
      </x:c>
      <x:c r="C896" s="12" t="str">
        <x:v>05:00</x:v>
      </x:c>
      <x:c r="D896" s="13" t="n">
        <x:v>15</x:v>
      </x:c>
      <x:c r="E896" s="13" t="n">
        <x:v>3</x:v>
      </x:c>
      <x:c r="F896" s="13" t="n">
        <x:v>18</x:v>
      </x:c>
      <x:c r="G896" s="13" t="n">
        <x:v>31</x:v>
      </x:c>
      <x:c r="H896" s="13" t="n">
        <x:v>7</x:v>
      </x:c>
      <x:c r="I896" s="13" t="n">
        <x:v>38</x:v>
      </x:c>
      <x:c r="J896" s="13" t="n">
        <x:v>20</x:v>
      </x:c>
      <x:c r="K896" s="14" t="n">
        <x:f>IFERROR(F896/SUMIFS($F:$F,$B:$B,B896),0)</x:f>
        <x:v>0.0004525797043145932</x:v>
      </x:c>
      <x:c r="L896" s="12" t="str">
        <x:v>00–05</x:v>
      </x:c>
    </x:row>
    <x:row r="897">
      <x:c r="A897" s="12" t="str">
        <x:v>9/7–9/17平日</x:v>
      </x:c>
      <x:c r="B897" s="12" t="str">
        <x:v>2026-09-10</x:v>
      </x:c>
      <x:c r="C897" s="12" t="str">
        <x:v>06:00</x:v>
      </x:c>
      <x:c r="D897" s="13" t="n">
        <x:v>96</x:v>
      </x:c>
      <x:c r="E897" s="13" t="n">
        <x:v>3</x:v>
      </x:c>
      <x:c r="F897" s="13" t="n">
        <x:v>99</x:v>
      </x:c>
      <x:c r="G897" s="13" t="n">
        <x:v>127</x:v>
      </x:c>
      <x:c r="H897" s="13" t="n">
        <x:v>11</x:v>
      </x:c>
      <x:c r="I897" s="13" t="n">
        <x:v>138</x:v>
      </x:c>
      <x:c r="J897" s="13" t="n">
        <x:v>39</x:v>
      </x:c>
      <x:c r="K897" s="14" t="n">
        <x:f>IFERROR(F897/SUMIFS($F:$F,$B:$B,B897),0)</x:f>
        <x:v>0.0024891883737302627</x:v>
      </x:c>
      <x:c r="L897" s="12" t="str">
        <x:v>06–09</x:v>
      </x:c>
    </x:row>
    <x:row r="898">
      <x:c r="A898" s="12" t="str">
        <x:v>9/7–9/17平日</x:v>
      </x:c>
      <x:c r="B898" s="12" t="str">
        <x:v>2026-09-10</x:v>
      </x:c>
      <x:c r="C898" s="12" t="str">
        <x:v>07:00</x:v>
      </x:c>
      <x:c r="D898" s="13" t="n">
        <x:v>443</x:v>
      </x:c>
      <x:c r="E898" s="13" t="n">
        <x:v>12</x:v>
      </x:c>
      <x:c r="F898" s="13" t="n">
        <x:v>455</x:v>
      </x:c>
      <x:c r="G898" s="13" t="n">
        <x:v>605</x:v>
      </x:c>
      <x:c r="H898" s="13" t="n">
        <x:v>32</x:v>
      </x:c>
      <x:c r="I898" s="13" t="n">
        <x:v>637</x:v>
      </x:c>
      <x:c r="J898" s="13" t="n">
        <x:v>182</x:v>
      </x:c>
      <x:c r="K898" s="14" t="n">
        <x:f>IFERROR(F898/SUMIFS($F:$F,$B:$B,B898),0)</x:f>
        <x:v>0.011440209192396661</x:v>
      </x:c>
      <x:c r="L898" s="12" t="str">
        <x:v>06–09</x:v>
      </x:c>
    </x:row>
    <x:row r="899">
      <x:c r="A899" s="12" t="str">
        <x:v>9/7–9/17平日</x:v>
      </x:c>
      <x:c r="B899" s="12" t="str">
        <x:v>2026-09-10</x:v>
      </x:c>
      <x:c r="C899" s="12" t="str">
        <x:v>08:00</x:v>
      </x:c>
      <x:c r="D899" s="13" t="n">
        <x:v>988</x:v>
      </x:c>
      <x:c r="E899" s="13" t="n">
        <x:v>52</x:v>
      </x:c>
      <x:c r="F899" s="13" t="n">
        <x:v>1040</x:v>
      </x:c>
      <x:c r="G899" s="13" t="n">
        <x:v>1399</x:v>
      </x:c>
      <x:c r="H899" s="13" t="n">
        <x:v>79</x:v>
      </x:c>
      <x:c r="I899" s="13" t="n">
        <x:v>1478</x:v>
      </x:c>
      <x:c r="J899" s="13" t="n">
        <x:v>438</x:v>
      </x:c>
      <x:c r="K899" s="14" t="n">
        <x:f>IFERROR(F899/SUMIFS($F:$F,$B:$B,B899),0)</x:f>
        <x:v>0.026149049582620938</x:v>
      </x:c>
      <x:c r="L899" s="12" t="str">
        <x:v>06–09</x:v>
      </x:c>
    </x:row>
    <x:row r="900">
      <x:c r="A900" s="12" t="str">
        <x:v>9/7–9/17平日</x:v>
      </x:c>
      <x:c r="B900" s="12" t="str">
        <x:v>2026-09-10</x:v>
      </x:c>
      <x:c r="C900" s="12" t="str">
        <x:v>09:00</x:v>
      </x:c>
      <x:c r="D900" s="13" t="n">
        <x:v>1263</x:v>
      </x:c>
      <x:c r="E900" s="13" t="n">
        <x:v>48</x:v>
      </x:c>
      <x:c r="F900" s="13" t="n">
        <x:v>1311</x:v>
      </x:c>
      <x:c r="G900" s="13" t="n">
        <x:v>1674</x:v>
      </x:c>
      <x:c r="H900" s="13" t="n">
        <x:v>99</x:v>
      </x:c>
      <x:c r="I900" s="13" t="n">
        <x:v>1773</x:v>
      </x:c>
      <x:c r="J900" s="13" t="n">
        <x:v>462</x:v>
      </x:c>
      <x:c r="K900" s="14" t="n">
        <x:f>IFERROR(F900/SUMIFS($F:$F,$B:$B,B900),0)</x:f>
        <x:v>0.03296288846424621</x:v>
      </x:c>
      <x:c r="L900" s="12" t="str">
        <x:v>06–09</x:v>
      </x:c>
    </x:row>
    <x:row r="901">
      <x:c r="A901" s="12" t="str">
        <x:v>9/7–9/17平日</x:v>
      </x:c>
      <x:c r="B901" s="12" t="str">
        <x:v>2026-09-10</x:v>
      </x:c>
      <x:c r="C901" s="12" t="str">
        <x:v>10:00</x:v>
      </x:c>
      <x:c r="D901" s="13" t="n">
        <x:v>1435</x:v>
      </x:c>
      <x:c r="E901" s="13" t="n">
        <x:v>62</x:v>
      </x:c>
      <x:c r="F901" s="13" t="n">
        <x:v>1497</x:v>
      </x:c>
      <x:c r="G901" s="13" t="n">
        <x:v>1759</x:v>
      </x:c>
      <x:c r="H901" s="13" t="n">
        <x:v>106</x:v>
      </x:c>
      <x:c r="I901" s="13" t="n">
        <x:v>1865</x:v>
      </x:c>
      <x:c r="J901" s="13" t="n">
        <x:v>368</x:v>
      </x:c>
      <x:c r="K901" s="14" t="n">
        <x:f>IFERROR(F901/SUMIFS($F:$F,$B:$B,B901),0)</x:f>
        <x:v>0.037639545408830334</x:v>
      </x:c>
      <x:c r="L901" s="12" t="str">
        <x:v>10–13</x:v>
      </x:c>
    </x:row>
    <x:row r="902">
      <x:c r="A902" s="12" t="str">
        <x:v>9/7–9/17平日</x:v>
      </x:c>
      <x:c r="B902" s="12" t="str">
        <x:v>2026-09-10</x:v>
      </x:c>
      <x:c r="C902" s="12" t="str">
        <x:v>11:00</x:v>
      </x:c>
      <x:c r="D902" s="13" t="n">
        <x:v>953</x:v>
      </x:c>
      <x:c r="E902" s="13" t="n">
        <x:v>28</x:v>
      </x:c>
      <x:c r="F902" s="13" t="n">
        <x:v>981</x:v>
      </x:c>
      <x:c r="G902" s="13" t="n">
        <x:v>926</x:v>
      </x:c>
      <x:c r="H902" s="13" t="n">
        <x:v>39</x:v>
      </x:c>
      <x:c r="I902" s="13" t="n">
        <x:v>965</x:v>
      </x:c>
      <x:c r="J902" s="13" t="n">
        <x:v>-16</x:v>
      </x:c>
      <x:c r="K902" s="14" t="n">
        <x:f>IFERROR(F902/SUMIFS($F:$F,$B:$B,B902),0)</x:f>
        <x:v>0.024665593885145328</x:v>
      </x:c>
      <x:c r="L902" s="12" t="str">
        <x:v>10–13</x:v>
      </x:c>
    </x:row>
    <x:row r="903">
      <x:c r="A903" s="12" t="str">
        <x:v>9/7–9/17平日</x:v>
      </x:c>
      <x:c r="B903" s="12" t="str">
        <x:v>2026-09-10</x:v>
      </x:c>
      <x:c r="C903" s="12" t="str">
        <x:v>12:00</x:v>
      </x:c>
      <x:c r="D903" s="13" t="n">
        <x:v>1890</x:v>
      </x:c>
      <x:c r="E903" s="13" t="n">
        <x:v>86</x:v>
      </x:c>
      <x:c r="F903" s="13" t="n">
        <x:v>1976</x:v>
      </x:c>
      <x:c r="G903" s="13" t="n">
        <x:v>1641</x:v>
      </x:c>
      <x:c r="H903" s="13" t="n">
        <x:v>58</x:v>
      </x:c>
      <x:c r="I903" s="13" t="n">
        <x:v>1699</x:v>
      </x:c>
      <x:c r="J903" s="13" t="n">
        <x:v>-277</x:v>
      </x:c>
      <x:c r="K903" s="14" t="n">
        <x:f>IFERROR(F903/SUMIFS($F:$F,$B:$B,B903),0)</x:f>
        <x:v>0.04968319420697979</x:v>
      </x:c>
      <x:c r="L903" s="12" t="str">
        <x:v>10–13</x:v>
      </x:c>
    </x:row>
    <x:row r="904">
      <x:c r="A904" s="12" t="str">
        <x:v>9/7–9/17平日</x:v>
      </x:c>
      <x:c r="B904" s="12" t="str">
        <x:v>2026-09-10</x:v>
      </x:c>
      <x:c r="C904" s="12" t="str">
        <x:v>13:00</x:v>
      </x:c>
      <x:c r="D904" s="13" t="n">
        <x:v>1808</x:v>
      </x:c>
      <x:c r="E904" s="13" t="n">
        <x:v>55</x:v>
      </x:c>
      <x:c r="F904" s="13" t="n">
        <x:v>1863</x:v>
      </x:c>
      <x:c r="G904" s="13" t="n">
        <x:v>2039</x:v>
      </x:c>
      <x:c r="H904" s="13" t="n">
        <x:v>76</x:v>
      </x:c>
      <x:c r="I904" s="13" t="n">
        <x:v>2115</x:v>
      </x:c>
      <x:c r="J904" s="13" t="n">
        <x:v>252</x:v>
      </x:c>
      <x:c r="K904" s="14" t="n">
        <x:f>IFERROR(F904/SUMIFS($F:$F,$B:$B,B904),0)</x:f>
        <x:v>0.04684199939656039</x:v>
      </x:c>
      <x:c r="L904" s="12" t="str">
        <x:v>10–13</x:v>
      </x:c>
    </x:row>
    <x:row r="905">
      <x:c r="A905" s="12" t="str">
        <x:v>9/7–9/17平日</x:v>
      </x:c>
      <x:c r="B905" s="12" t="str">
        <x:v>2026-09-10</x:v>
      </x:c>
      <x:c r="C905" s="12" t="str">
        <x:v>14:00</x:v>
      </x:c>
      <x:c r="D905" s="13" t="n">
        <x:v>1622</x:v>
      </x:c>
      <x:c r="E905" s="13" t="n">
        <x:v>48</x:v>
      </x:c>
      <x:c r="F905" s="13" t="n">
        <x:v>1670</x:v>
      </x:c>
      <x:c r="G905" s="13" t="n">
        <x:v>1726</x:v>
      </x:c>
      <x:c r="H905" s="13" t="n">
        <x:v>57</x:v>
      </x:c>
      <x:c r="I905" s="13" t="n">
        <x:v>1783</x:v>
      </x:c>
      <x:c r="J905" s="13" t="n">
        <x:v>113</x:v>
      </x:c>
      <x:c r="K905" s="14" t="n">
        <x:f>IFERROR(F905/SUMIFS($F:$F,$B:$B,B905),0)</x:f>
        <x:v>0.0419893392336317</x:v>
      </x:c>
      <x:c r="L905" s="12" t="str">
        <x:v>14–17</x:v>
      </x:c>
    </x:row>
    <x:row r="906">
      <x:c r="A906" s="12" t="str">
        <x:v>9/7–9/17平日</x:v>
      </x:c>
      <x:c r="B906" s="12" t="str">
        <x:v>2026-09-10</x:v>
      </x:c>
      <x:c r="C906" s="12" t="str">
        <x:v>15:00</x:v>
      </x:c>
      <x:c r="D906" s="13" t="n">
        <x:v>2046</x:v>
      </x:c>
      <x:c r="E906" s="13" t="n">
        <x:v>61</x:v>
      </x:c>
      <x:c r="F906" s="13" t="n">
        <x:v>2107</x:v>
      </x:c>
      <x:c r="G906" s="13" t="n">
        <x:v>1854</x:v>
      </x:c>
      <x:c r="H906" s="13" t="n">
        <x:v>60</x:v>
      </x:c>
      <x:c r="I906" s="13" t="n">
        <x:v>1914</x:v>
      </x:c>
      <x:c r="J906" s="13" t="n">
        <x:v>-193</x:v>
      </x:c>
      <x:c r="K906" s="14" t="n">
        <x:f>IFERROR(F906/SUMIFS($F:$F,$B:$B,B906),0)</x:f>
        <x:v>0.05297696872171377</x:v>
      </x:c>
      <x:c r="L906" s="12" t="str">
        <x:v>14–17</x:v>
      </x:c>
    </x:row>
    <x:row r="907">
      <x:c r="A907" s="12" t="str">
        <x:v>9/7–9/17平日</x:v>
      </x:c>
      <x:c r="B907" s="12" t="str">
        <x:v>2026-09-10</x:v>
      </x:c>
      <x:c r="C907" s="12" t="str">
        <x:v>16:00</x:v>
      </x:c>
      <x:c r="D907" s="13" t="n">
        <x:v>1781</x:v>
      </x:c>
      <x:c r="E907" s="13" t="n">
        <x:v>104</x:v>
      </x:c>
      <x:c r="F907" s="13" t="n">
        <x:v>1885</x:v>
      </x:c>
      <x:c r="G907" s="13" t="n">
        <x:v>1222</x:v>
      </x:c>
      <x:c r="H907" s="13" t="n">
        <x:v>43</x:v>
      </x:c>
      <x:c r="I907" s="13" t="n">
        <x:v>1265</x:v>
      </x:c>
      <x:c r="J907" s="13" t="n">
        <x:v>-620</x:v>
      </x:c>
      <x:c r="K907" s="14" t="n">
        <x:f>IFERROR(F907/SUMIFS($F:$F,$B:$B,B907),0)</x:f>
        <x:v>0.047395152368500455</x:v>
      </x:c>
      <x:c r="L907" s="12" t="str">
        <x:v>14–17</x:v>
      </x:c>
    </x:row>
    <x:row r="908">
      <x:c r="A908" s="12" t="str">
        <x:v>9/7–9/17平日</x:v>
      </x:c>
      <x:c r="B908" s="12" t="str">
        <x:v>2026-09-10</x:v>
      </x:c>
      <x:c r="C908" s="12" t="str">
        <x:v>17:00</x:v>
      </x:c>
      <x:c r="D908" s="13" t="n">
        <x:v>1678</x:v>
      </x:c>
      <x:c r="E908" s="13" t="n">
        <x:v>114</x:v>
      </x:c>
      <x:c r="F908" s="13" t="n">
        <x:v>1792</x:v>
      </x:c>
      <x:c r="G908" s="13" t="n">
        <x:v>1266</x:v>
      </x:c>
      <x:c r="H908" s="13" t="n">
        <x:v>55</x:v>
      </x:c>
      <x:c r="I908" s="13" t="n">
        <x:v>1321</x:v>
      </x:c>
      <x:c r="J908" s="13" t="n">
        <x:v>-471</x:v>
      </x:c>
      <x:c r="K908" s="14" t="n">
        <x:f>IFERROR(F908/SUMIFS($F:$F,$B:$B,B908),0)</x:f>
        <x:v>0.04505682389620839</x:v>
      </x:c>
      <x:c r="L908" s="12" t="str">
        <x:v>14–17</x:v>
      </x:c>
    </x:row>
    <x:row r="909">
      <x:c r="A909" s="12" t="str">
        <x:v>9/7–9/17平日</x:v>
      </x:c>
      <x:c r="B909" s="12" t="str">
        <x:v>2026-09-10</x:v>
      </x:c>
      <x:c r="C909" s="12" t="str">
        <x:v>18:00</x:v>
      </x:c>
      <x:c r="D909" s="13" t="n">
        <x:v>1138</x:v>
      </x:c>
      <x:c r="E909" s="13" t="n">
        <x:v>64</x:v>
      </x:c>
      <x:c r="F909" s="13" t="n">
        <x:v>1202</x:v>
      </x:c>
      <x:c r="G909" s="13" t="n">
        <x:v>899</x:v>
      </x:c>
      <x:c r="H909" s="13" t="n">
        <x:v>44</x:v>
      </x:c>
      <x:c r="I909" s="13" t="n">
        <x:v>943</x:v>
      </x:c>
      <x:c r="J909" s="13" t="n">
        <x:v>-259</x:v>
      </x:c>
      <x:c r="K909" s="14" t="n">
        <x:f>IFERROR(F909/SUMIFS($F:$F,$B:$B,B909),0)</x:f>
        <x:v>0.030222266921452277</x:v>
      </x:c>
      <x:c r="L909" s="12" t="str">
        <x:v>18–21</x:v>
      </x:c>
    </x:row>
    <x:row r="910">
      <x:c r="A910" s="12" t="str">
        <x:v>9/7–9/17平日</x:v>
      </x:c>
      <x:c r="B910" s="12" t="str">
        <x:v>2026-09-10</x:v>
      </x:c>
      <x:c r="C910" s="12" t="str">
        <x:v>19:00</x:v>
      </x:c>
      <x:c r="D910" s="13" t="n">
        <x:v>620</x:v>
      </x:c>
      <x:c r="E910" s="13" t="n">
        <x:v>26</x:v>
      </x:c>
      <x:c r="F910" s="13" t="n">
        <x:v>646</x:v>
      </x:c>
      <x:c r="G910" s="13" t="n">
        <x:v>542</x:v>
      </x:c>
      <x:c r="H910" s="13" t="n">
        <x:v>20</x:v>
      </x:c>
      <x:c r="I910" s="13" t="n">
        <x:v>562</x:v>
      </x:c>
      <x:c r="J910" s="13" t="n">
        <x:v>-84</x:v>
      </x:c>
      <x:c r="K910" s="14" t="n">
        <x:f>IFERROR(F910/SUMIFS($F:$F,$B:$B,B910),0)</x:f>
        <x:v>0.016242582721512622</x:v>
      </x:c>
      <x:c r="L910" s="12" t="str">
        <x:v>18–21</x:v>
      </x:c>
    </x:row>
    <x:row r="911">
      <x:c r="A911" s="12" t="str">
        <x:v>9/7–9/17平日</x:v>
      </x:c>
      <x:c r="B911" s="12" t="str">
        <x:v>2026-09-10</x:v>
      </x:c>
      <x:c r="C911" s="12" t="str">
        <x:v>20:00</x:v>
      </x:c>
      <x:c r="D911" s="13" t="n">
        <x:v>520</x:v>
      </x:c>
      <x:c r="E911" s="13" t="n">
        <x:v>28</x:v>
      </x:c>
      <x:c r="F911" s="13" t="n">
        <x:v>548</x:v>
      </x:c>
      <x:c r="G911" s="13" t="n">
        <x:v>374</x:v>
      </x:c>
      <x:c r="H911" s="13" t="n">
        <x:v>15</x:v>
      </x:c>
      <x:c r="I911" s="13" t="n">
        <x:v>389</x:v>
      </x:c>
      <x:c r="J911" s="13" t="n">
        <x:v>-159</x:v>
      </x:c>
      <x:c r="K911" s="14" t="n">
        <x:f>IFERROR(F911/SUMIFS($F:$F,$B:$B,B911),0)</x:f>
        <x:v>0.013778537664688726</x:v>
      </x:c>
      <x:c r="L911" s="12" t="str">
        <x:v>18–21</x:v>
      </x:c>
    </x:row>
    <x:row r="912">
      <x:c r="A912" s="12" t="str">
        <x:v>9/7–9/17平日</x:v>
      </x:c>
      <x:c r="B912" s="12" t="str">
        <x:v>2026-09-10</x:v>
      </x:c>
      <x:c r="C912" s="12" t="str">
        <x:v>21:00</x:v>
      </x:c>
      <x:c r="D912" s="13" t="n">
        <x:v>321</x:v>
      </x:c>
      <x:c r="E912" s="13" t="n">
        <x:v>35</x:v>
      </x:c>
      <x:c r="F912" s="13" t="n">
        <x:v>356</x:v>
      </x:c>
      <x:c r="G912" s="13" t="n">
        <x:v>287</x:v>
      </x:c>
      <x:c r="H912" s="13" t="n">
        <x:v>11</x:v>
      </x:c>
      <x:c r="I912" s="13" t="n">
        <x:v>298</x:v>
      </x:c>
      <x:c r="J912" s="13" t="n">
        <x:v>-58</x:v>
      </x:c>
      <x:c r="K912" s="14" t="n">
        <x:f>IFERROR(F912/SUMIFS($F:$F,$B:$B,B912),0)</x:f>
        <x:v>0.008951020818666399</x:v>
      </x:c>
      <x:c r="L912" s="12" t="str">
        <x:v>18–21</x:v>
      </x:c>
    </x:row>
    <x:row r="913">
      <x:c r="A913" s="12" t="str">
        <x:v>9/7–9/17平日</x:v>
      </x:c>
      <x:c r="B913" s="12" t="str">
        <x:v>2026-09-10</x:v>
      </x:c>
      <x:c r="C913" s="12" t="str">
        <x:v>22:00</x:v>
      </x:c>
      <x:c r="D913" s="13" t="n">
        <x:v>190</x:v>
      </x:c>
      <x:c r="E913" s="13" t="n">
        <x:v>11</x:v>
      </x:c>
      <x:c r="F913" s="13" t="n">
        <x:v>201</x:v>
      </x:c>
      <x:c r="G913" s="13" t="n">
        <x:v>180</x:v>
      </x:c>
      <x:c r="H913" s="13" t="n">
        <x:v>10</x:v>
      </x:c>
      <x:c r="I913" s="13" t="n">
        <x:v>190</x:v>
      </x:c>
      <x:c r="J913" s="13" t="n">
        <x:v>-11</x:v>
      </x:c>
      <x:c r="K913" s="14" t="n">
        <x:f>IFERROR(F913/SUMIFS($F:$F,$B:$B,B913),0)</x:f>
        <x:v>0.005053806698179624</x:v>
      </x:c>
      <x:c r="L913" s="12" t="str">
        <x:v>22–23</x:v>
      </x:c>
    </x:row>
    <x:row r="914">
      <x:c r="A914" s="12" t="str">
        <x:v>9/7–9/17平日</x:v>
      </x:c>
      <x:c r="B914" s="12" t="str">
        <x:v>2026-09-10</x:v>
      </x:c>
      <x:c r="C914" s="12" t="str">
        <x:v>23:00</x:v>
      </x:c>
      <x:c r="D914" s="13" t="n">
        <x:v>126</x:v>
      </x:c>
      <x:c r="E914" s="13" t="n">
        <x:v>4</x:v>
      </x:c>
      <x:c r="F914" s="13" t="n">
        <x:v>130</x:v>
      </x:c>
      <x:c r="G914" s="13" t="n">
        <x:v>112</x:v>
      </x:c>
      <x:c r="H914" s="13" t="n">
        <x:v>4</x:v>
      </x:c>
      <x:c r="I914" s="13" t="n">
        <x:v>116</x:v>
      </x:c>
      <x:c r="J914" s="13" t="n">
        <x:v>-14</x:v>
      </x:c>
      <x:c r="K914" s="14" t="n">
        <x:f>IFERROR(F914/SUMIFS($F:$F,$B:$B,B914),0)</x:f>
        <x:v>0.0032686311978276173</x:v>
      </x:c>
      <x:c r="L914" s="12" t="str">
        <x:v>22–23</x:v>
      </x:c>
    </x:row>
    <x:row r="915">
      <x:c r="A915" s="12" t="str">
        <x:v>9/7–9/17平日</x:v>
      </x:c>
      <x:c r="B915" s="12" t="str">
        <x:v>2026-09-11</x:v>
      </x:c>
      <x:c r="C915" s="12" t="str">
        <x:v>00:00</x:v>
      </x:c>
      <x:c r="D915" s="13" t="n">
        <x:v>71</x:v>
      </x:c>
      <x:c r="E915" s="13" t="n">
        <x:v>4</x:v>
      </x:c>
      <x:c r="F915" s="13" t="n">
        <x:v>75</x:v>
      </x:c>
      <x:c r="G915" s="13" t="n">
        <x:v>64</x:v>
      </x:c>
      <x:c r="H915" s="13" t="n">
        <x:v>2</x:v>
      </x:c>
      <x:c r="I915" s="13" t="n">
        <x:v>66</x:v>
      </x:c>
      <x:c r="J915" s="13" t="n">
        <x:v>-9</x:v>
      </x:c>
      <x:c r="K915" s="14" t="n">
        <x:f>IFERROR(F915/SUMIFS($F:$F,$B:$B,B915),0)</x:f>
        <x:v>0.0028678494952584887</x:v>
      </x:c>
      <x:c r="L915" s="12" t="str">
        <x:v>00–05</x:v>
      </x:c>
    </x:row>
    <x:row r="916">
      <x:c r="A916" s="12" t="str">
        <x:v>9/7–9/17平日</x:v>
      </x:c>
      <x:c r="B916" s="12" t="str">
        <x:v>2026-09-11</x:v>
      </x:c>
      <x:c r="C916" s="12" t="str">
        <x:v>01:00</x:v>
      </x:c>
      <x:c r="D916" s="13" t="n">
        <x:v>29</x:v>
      </x:c>
      <x:c r="E916" s="13" t="n">
        <x:v>0</x:v>
      </x:c>
      <x:c r="F916" s="13" t="n">
        <x:v>29</x:v>
      </x:c>
      <x:c r="G916" s="13" t="n">
        <x:v>19</x:v>
      </x:c>
      <x:c r="H916" s="13" t="n">
        <x:v>1</x:v>
      </x:c>
      <x:c r="I916" s="13" t="n">
        <x:v>20</x:v>
      </x:c>
      <x:c r="J916" s="13" t="n">
        <x:v>-9</x:v>
      </x:c>
      <x:c r="K916" s="14" t="n">
        <x:f>IFERROR(F916/SUMIFS($F:$F,$B:$B,B916),0)</x:f>
        <x:v>0.0011089018048332823</x:v>
      </x:c>
      <x:c r="L916" s="12" t="str">
        <x:v>00–05</x:v>
      </x:c>
    </x:row>
    <x:row r="917">
      <x:c r="A917" s="12" t="str">
        <x:v>9/7–9/17平日</x:v>
      </x:c>
      <x:c r="B917" s="12" t="str">
        <x:v>2026-09-11</x:v>
      </x:c>
      <x:c r="C917" s="12" t="str">
        <x:v>02:00</x:v>
      </x:c>
      <x:c r="D917" s="13" t="n">
        <x:v>10</x:v>
      </x:c>
      <x:c r="E917" s="13" t="n">
        <x:v>1</x:v>
      </x:c>
      <x:c r="F917" s="13" t="n">
        <x:v>11</x:v>
      </x:c>
      <x:c r="G917" s="13" t="n">
        <x:v>6</x:v>
      </x:c>
      <x:c r="H917" s="13" t="n">
        <x:v>0</x:v>
      </x:c>
      <x:c r="I917" s="13" t="n">
        <x:v>6</x:v>
      </x:c>
      <x:c r="J917" s="13" t="n">
        <x:v>-5</x:v>
      </x:c>
      <x:c r="K917" s="14" t="n">
        <x:f>IFERROR(F917/SUMIFS($F:$F,$B:$B,B917),0)</x:f>
        <x:v>0.000420617925971245</x:v>
      </x:c>
      <x:c r="L917" s="12" t="str">
        <x:v>00–05</x:v>
      </x:c>
    </x:row>
    <x:row r="918">
      <x:c r="A918" s="12" t="str">
        <x:v>9/7–9/17平日</x:v>
      </x:c>
      <x:c r="B918" s="12" t="str">
        <x:v>2026-09-11</x:v>
      </x:c>
      <x:c r="C918" s="12" t="str">
        <x:v>03:00</x:v>
      </x:c>
      <x:c r="D918" s="13" t="n">
        <x:v>5</x:v>
      </x:c>
      <x:c r="E918" s="13" t="n">
        <x:v>2</x:v>
      </x:c>
      <x:c r="F918" s="13" t="n">
        <x:v>7</x:v>
      </x:c>
      <x:c r="G918" s="13" t="n">
        <x:v>4</x:v>
      </x:c>
      <x:c r="H918" s="13" t="n">
        <x:v>0</x:v>
      </x:c>
      <x:c r="I918" s="13" t="n">
        <x:v>4</x:v>
      </x:c>
      <x:c r="J918" s="13" t="n">
        <x:v>-3</x:v>
      </x:c>
      <x:c r="K918" s="14" t="n">
        <x:f>IFERROR(F918/SUMIFS($F:$F,$B:$B,B918),0)</x:f>
        <x:v>0.0002676659528907923</x:v>
      </x:c>
      <x:c r="L918" s="12" t="str">
        <x:v>00–05</x:v>
      </x:c>
    </x:row>
    <x:row r="919">
      <x:c r="A919" s="12" t="str">
        <x:v>9/7–9/17平日</x:v>
      </x:c>
      <x:c r="B919" s="12" t="str">
        <x:v>2026-09-11</x:v>
      </x:c>
      <x:c r="C919" s="12" t="str">
        <x:v>04:00</x:v>
      </x:c>
      <x:c r="D919" s="13" t="n">
        <x:v>2</x:v>
      </x:c>
      <x:c r="E919" s="13" t="n">
        <x:v>0</x:v>
      </x:c>
      <x:c r="F919" s="13" t="n">
        <x:v>2</x:v>
      </x:c>
      <x:c r="G919" s="13" t="n">
        <x:v>2</x:v>
      </x:c>
      <x:c r="H919" s="13" t="n">
        <x:v>2</x:v>
      </x:c>
      <x:c r="I919" s="13" t="n">
        <x:v>4</x:v>
      </x:c>
      <x:c r="J919" s="13" t="n">
        <x:v>2</x:v>
      </x:c>
      <x:c r="K919" s="14" t="n">
        <x:f>IFERROR(F919/SUMIFS($F:$F,$B:$B,B919),0)</x:f>
        <x:v>0.00007647598654022637</x:v>
      </x:c>
      <x:c r="L919" s="12" t="str">
        <x:v>00–05</x:v>
      </x:c>
    </x:row>
    <x:row r="920">
      <x:c r="A920" s="12" t="str">
        <x:v>9/7–9/17平日</x:v>
      </x:c>
      <x:c r="B920" s="12" t="str">
        <x:v>2026-09-11</x:v>
      </x:c>
      <x:c r="C920" s="12" t="str">
        <x:v>05:00</x:v>
      </x:c>
      <x:c r="D920" s="13" t="n">
        <x:v>2</x:v>
      </x:c>
      <x:c r="E920" s="13" t="n">
        <x:v>1</x:v>
      </x:c>
      <x:c r="F920" s="13" t="n">
        <x:v>3</x:v>
      </x:c>
      <x:c r="G920" s="13" t="n">
        <x:v>7</x:v>
      </x:c>
      <x:c r="H920" s="13" t="n">
        <x:v>3</x:v>
      </x:c>
      <x:c r="I920" s="13" t="n">
        <x:v>10</x:v>
      </x:c>
      <x:c r="J920" s="13" t="n">
        <x:v>7</x:v>
      </x:c>
      <x:c r="K920" s="14" t="n">
        <x:f>IFERROR(F920/SUMIFS($F:$F,$B:$B,B920),0)</x:f>
        <x:v>0.00011471397981033955</x:v>
      </x:c>
      <x:c r="L920" s="12" t="str">
        <x:v>00–05</x:v>
      </x:c>
    </x:row>
    <x:row r="921">
      <x:c r="A921" s="12" t="str">
        <x:v>9/7–9/17平日</x:v>
      </x:c>
      <x:c r="B921" s="12" t="str">
        <x:v>2026-09-11</x:v>
      </x:c>
      <x:c r="C921" s="12" t="str">
        <x:v>06:00</x:v>
      </x:c>
      <x:c r="D921" s="13" t="n">
        <x:v>28</x:v>
      </x:c>
      <x:c r="E921" s="13" t="n">
        <x:v>1</x:v>
      </x:c>
      <x:c r="F921" s="13" t="n">
        <x:v>29</x:v>
      </x:c>
      <x:c r="G921" s="13" t="n">
        <x:v>44</x:v>
      </x:c>
      <x:c r="H921" s="13" t="n">
        <x:v>3</x:v>
      </x:c>
      <x:c r="I921" s="13" t="n">
        <x:v>47</x:v>
      </x:c>
      <x:c r="J921" s="13" t="n">
        <x:v>18</x:v>
      </x:c>
      <x:c r="K921" s="14" t="n">
        <x:f>IFERROR(F921/SUMIFS($F:$F,$B:$B,B921),0)</x:f>
        <x:v>0.0011089018048332823</x:v>
      </x:c>
      <x:c r="L921" s="12" t="str">
        <x:v>06–09</x:v>
      </x:c>
    </x:row>
    <x:row r="922">
      <x:c r="A922" s="12" t="str">
        <x:v>9/7–9/17平日</x:v>
      </x:c>
      <x:c r="B922" s="12" t="str">
        <x:v>2026-09-11</x:v>
      </x:c>
      <x:c r="C922" s="12" t="str">
        <x:v>07:00</x:v>
      </x:c>
      <x:c r="D922" s="13" t="n">
        <x:v>269</x:v>
      </x:c>
      <x:c r="E922" s="13" t="n">
        <x:v>13</x:v>
      </x:c>
      <x:c r="F922" s="13" t="n">
        <x:v>282</x:v>
      </x:c>
      <x:c r="G922" s="13" t="n">
        <x:v>411</x:v>
      </x:c>
      <x:c r="H922" s="13" t="n">
        <x:v>18</x:v>
      </x:c>
      <x:c r="I922" s="13" t="n">
        <x:v>429</x:v>
      </x:c>
      <x:c r="J922" s="13" t="n">
        <x:v>147</x:v>
      </x:c>
      <x:c r="K922" s="14" t="n">
        <x:f>IFERROR(F922/SUMIFS($F:$F,$B:$B,B922),0)</x:f>
        <x:v>0.010783114102171918</x:v>
      </x:c>
      <x:c r="L922" s="12" t="str">
        <x:v>06–09</x:v>
      </x:c>
    </x:row>
    <x:row r="923">
      <x:c r="A923" s="12" t="str">
        <x:v>9/7–9/17平日</x:v>
      </x:c>
      <x:c r="B923" s="12" t="str">
        <x:v>2026-09-11</x:v>
      </x:c>
      <x:c r="C923" s="12" t="str">
        <x:v>08:00</x:v>
      </x:c>
      <x:c r="D923" s="13" t="n">
        <x:v>476</x:v>
      </x:c>
      <x:c r="E923" s="13" t="n">
        <x:v>32</x:v>
      </x:c>
      <x:c r="F923" s="13" t="n">
        <x:v>508</x:v>
      </x:c>
      <x:c r="G923" s="13" t="n">
        <x:v>827</x:v>
      </x:c>
      <x:c r="H923" s="13" t="n">
        <x:v>56</x:v>
      </x:c>
      <x:c r="I923" s="13" t="n">
        <x:v>883</x:v>
      </x:c>
      <x:c r="J923" s="13" t="n">
        <x:v>375</x:v>
      </x:c>
      <x:c r="K923" s="14" t="n">
        <x:f>IFERROR(F923/SUMIFS($F:$F,$B:$B,B923),0)</x:f>
        <x:v>0.019424900581217496</x:v>
      </x:c>
      <x:c r="L923" s="12" t="str">
        <x:v>06–09</x:v>
      </x:c>
    </x:row>
    <x:row r="924">
      <x:c r="A924" s="12" t="str">
        <x:v>9/7–9/17平日</x:v>
      </x:c>
      <x:c r="B924" s="12" t="str">
        <x:v>2026-09-11</x:v>
      </x:c>
      <x:c r="C924" s="12" t="str">
        <x:v>09:00</x:v>
      </x:c>
      <x:c r="D924" s="13" t="n">
        <x:v>429</x:v>
      </x:c>
      <x:c r="E924" s="13" t="n">
        <x:v>27</x:v>
      </x:c>
      <x:c r="F924" s="13" t="n">
        <x:v>456</x:v>
      </x:c>
      <x:c r="G924" s="13" t="n">
        <x:v>681</x:v>
      </x:c>
      <x:c r="H924" s="13" t="n">
        <x:v>54</x:v>
      </x:c>
      <x:c r="I924" s="13" t="n">
        <x:v>735</x:v>
      </x:c>
      <x:c r="J924" s="13" t="n">
        <x:v>279</x:v>
      </x:c>
      <x:c r="K924" s="14" t="n">
        <x:f>IFERROR(F924/SUMIFS($F:$F,$B:$B,B924),0)</x:f>
        <x:v>0.01743652493117161</x:v>
      </x:c>
      <x:c r="L924" s="12" t="str">
        <x:v>06–09</x:v>
      </x:c>
    </x:row>
    <x:row r="925">
      <x:c r="A925" s="12" t="str">
        <x:v>9/7–9/17平日</x:v>
      </x:c>
      <x:c r="B925" s="12" t="str">
        <x:v>2026-09-11</x:v>
      </x:c>
      <x:c r="C925" s="12" t="str">
        <x:v>10:00</x:v>
      </x:c>
      <x:c r="D925" s="13" t="n">
        <x:v>778</x:v>
      </x:c>
      <x:c r="E925" s="13" t="n">
        <x:v>29</x:v>
      </x:c>
      <x:c r="F925" s="13" t="n">
        <x:v>807</x:v>
      </x:c>
      <x:c r="G925" s="13" t="n">
        <x:v>1018</x:v>
      </x:c>
      <x:c r="H925" s="13" t="n">
        <x:v>62</x:v>
      </x:c>
      <x:c r="I925" s="13" t="n">
        <x:v>1080</x:v>
      </x:c>
      <x:c r="J925" s="13" t="n">
        <x:v>273</x:v>
      </x:c>
      <x:c r="K925" s="14" t="n">
        <x:f>IFERROR(F925/SUMIFS($F:$F,$B:$B,B925),0)</x:f>
        <x:v>0.03085806056898134</x:v>
      </x:c>
      <x:c r="L925" s="12" t="str">
        <x:v>10–13</x:v>
      </x:c>
    </x:row>
    <x:row r="926">
      <x:c r="A926" s="12" t="str">
        <x:v>9/7–9/17平日</x:v>
      </x:c>
      <x:c r="B926" s="12" t="str">
        <x:v>2026-09-11</x:v>
      </x:c>
      <x:c r="C926" s="12" t="str">
        <x:v>11:00</x:v>
      </x:c>
      <x:c r="D926" s="13" t="n">
        <x:v>849</x:v>
      </x:c>
      <x:c r="E926" s="13" t="n">
        <x:v>26</x:v>
      </x:c>
      <x:c r="F926" s="13" t="n">
        <x:v>875</x:v>
      </x:c>
      <x:c r="G926" s="13" t="n">
        <x:v>753</x:v>
      </x:c>
      <x:c r="H926" s="13" t="n">
        <x:v>30</x:v>
      </x:c>
      <x:c r="I926" s="13" t="n">
        <x:v>783</x:v>
      </x:c>
      <x:c r="J926" s="13" t="n">
        <x:v>-92</x:v>
      </x:c>
      <x:c r="K926" s="14" t="n">
        <x:f>IFERROR(F926/SUMIFS($F:$F,$B:$B,B926),0)</x:f>
        <x:v>0.03345824411134904</x:v>
      </x:c>
      <x:c r="L926" s="12" t="str">
        <x:v>10–13</x:v>
      </x:c>
    </x:row>
    <x:row r="927">
      <x:c r="A927" s="12" t="str">
        <x:v>9/7–9/17平日</x:v>
      </x:c>
      <x:c r="B927" s="12" t="str">
        <x:v>2026-09-11</x:v>
      </x:c>
      <x:c r="C927" s="12" t="str">
        <x:v>12:00</x:v>
      </x:c>
      <x:c r="D927" s="13" t="n">
        <x:v>1502</x:v>
      </x:c>
      <x:c r="E927" s="13" t="n">
        <x:v>29</x:v>
      </x:c>
      <x:c r="F927" s="13" t="n">
        <x:v>1531</x:v>
      </x:c>
      <x:c r="G927" s="13" t="n">
        <x:v>1401</x:v>
      </x:c>
      <x:c r="H927" s="13" t="n">
        <x:v>30</x:v>
      </x:c>
      <x:c r="I927" s="13" t="n">
        <x:v>1431</x:v>
      </x:c>
      <x:c r="J927" s="13" t="n">
        <x:v>-100</x:v>
      </x:c>
      <x:c r="K927" s="14" t="n">
        <x:f>IFERROR(F927/SUMIFS($F:$F,$B:$B,B927),0)</x:f>
        <x:v>0.058542367696543286</x:v>
      </x:c>
      <x:c r="L927" s="12" t="str">
        <x:v>10–13</x:v>
      </x:c>
    </x:row>
    <x:row r="928">
      <x:c r="A928" s="12" t="str">
        <x:v>9/7–9/17平日</x:v>
      </x:c>
      <x:c r="B928" s="12" t="str">
        <x:v>2026-09-11</x:v>
      </x:c>
      <x:c r="C928" s="12" t="str">
        <x:v>13:00</x:v>
      </x:c>
      <x:c r="D928" s="13" t="n">
        <x:v>1201</x:v>
      </x:c>
      <x:c r="E928" s="13" t="n">
        <x:v>38</x:v>
      </x:c>
      <x:c r="F928" s="13" t="n">
        <x:v>1239</x:v>
      </x:c>
      <x:c r="G928" s="13" t="n">
        <x:v>1535</x:v>
      </x:c>
      <x:c r="H928" s="13" t="n">
        <x:v>58</x:v>
      </x:c>
      <x:c r="I928" s="13" t="n">
        <x:v>1593</x:v>
      </x:c>
      <x:c r="J928" s="13" t="n">
        <x:v>354</x:v>
      </x:c>
      <x:c r="K928" s="14" t="n">
        <x:f>IFERROR(F928/SUMIFS($F:$F,$B:$B,B928),0)</x:f>
        <x:v>0.04737687366167023</x:v>
      </x:c>
      <x:c r="L928" s="12" t="str">
        <x:v>10–13</x:v>
      </x:c>
    </x:row>
    <x:row r="929">
      <x:c r="A929" s="12" t="str">
        <x:v>9/7–9/17平日</x:v>
      </x:c>
      <x:c r="B929" s="12" t="str">
        <x:v>2026-09-11</x:v>
      </x:c>
      <x:c r="C929" s="12" t="str">
        <x:v>14:00</x:v>
      </x:c>
      <x:c r="D929" s="13" t="n">
        <x:v>1163</x:v>
      </x:c>
      <x:c r="E929" s="13" t="n">
        <x:v>41</x:v>
      </x:c>
      <x:c r="F929" s="13" t="n">
        <x:v>1204</x:v>
      </x:c>
      <x:c r="G929" s="13" t="n">
        <x:v>1069</x:v>
      </x:c>
      <x:c r="H929" s="13" t="n">
        <x:v>44</x:v>
      </x:c>
      <x:c r="I929" s="13" t="n">
        <x:v>1113</x:v>
      </x:c>
      <x:c r="J929" s="13" t="n">
        <x:v>-91</x:v>
      </x:c>
      <x:c r="K929" s="14" t="n">
        <x:f>IFERROR(F929/SUMIFS($F:$F,$B:$B,B929),0)</x:f>
        <x:v>0.046038543897216275</x:v>
      </x:c>
      <x:c r="L929" s="12" t="str">
        <x:v>14–17</x:v>
      </x:c>
    </x:row>
    <x:row r="930">
      <x:c r="A930" s="12" t="str">
        <x:v>9/7–9/17平日</x:v>
      </x:c>
      <x:c r="B930" s="12" t="str">
        <x:v>2026-09-11</x:v>
      </x:c>
      <x:c r="C930" s="12" t="str">
        <x:v>15:00</x:v>
      </x:c>
      <x:c r="D930" s="13" t="n">
        <x:v>1896</x:v>
      </x:c>
      <x:c r="E930" s="13" t="n">
        <x:v>75</x:v>
      </x:c>
      <x:c r="F930" s="13" t="n">
        <x:v>1971</x:v>
      </x:c>
      <x:c r="G930" s="13" t="n">
        <x:v>1412</x:v>
      </x:c>
      <x:c r="H930" s="13" t="n">
        <x:v>46</x:v>
      </x:c>
      <x:c r="I930" s="13" t="n">
        <x:v>1458</x:v>
      </x:c>
      <x:c r="J930" s="13" t="n">
        <x:v>-513</x:v>
      </x:c>
      <x:c r="K930" s="14" t="n">
        <x:f>IFERROR(F930/SUMIFS($F:$F,$B:$B,B930),0)</x:f>
        <x:v>0.07536708473539308</x:v>
      </x:c>
      <x:c r="L930" s="12" t="str">
        <x:v>14–17</x:v>
      </x:c>
    </x:row>
    <x:row r="931">
      <x:c r="A931" s="12" t="str">
        <x:v>9/7–9/17平日</x:v>
      </x:c>
      <x:c r="B931" s="12" t="str">
        <x:v>2026-09-11</x:v>
      </x:c>
      <x:c r="C931" s="12" t="str">
        <x:v>16:00</x:v>
      </x:c>
      <x:c r="D931" s="13" t="n">
        <x:v>1681</x:v>
      </x:c>
      <x:c r="E931" s="13" t="n">
        <x:v>91</x:v>
      </x:c>
      <x:c r="F931" s="13" t="n">
        <x:v>1772</x:v>
      </x:c>
      <x:c r="G931" s="13" t="n">
        <x:v>1172</x:v>
      </x:c>
      <x:c r="H931" s="13" t="n">
        <x:v>43</x:v>
      </x:c>
      <x:c r="I931" s="13" t="n">
        <x:v>1215</x:v>
      </x:c>
      <x:c r="J931" s="13" t="n">
        <x:v>-557</x:v>
      </x:c>
      <x:c r="K931" s="14" t="n">
        <x:f>IFERROR(F931/SUMIFS($F:$F,$B:$B,B931),0)</x:f>
        <x:v>0.06775772407464056</x:v>
      </x:c>
      <x:c r="L931" s="12" t="str">
        <x:v>14–17</x:v>
      </x:c>
    </x:row>
    <x:row r="932">
      <x:c r="A932" s="12" t="str">
        <x:v>9/7–9/17平日</x:v>
      </x:c>
      <x:c r="B932" s="12" t="str">
        <x:v>2026-09-11</x:v>
      </x:c>
      <x:c r="C932" s="12" t="str">
        <x:v>17:00</x:v>
      </x:c>
      <x:c r="D932" s="13" t="n">
        <x:v>1158</x:v>
      </x:c>
      <x:c r="E932" s="13" t="n">
        <x:v>109</x:v>
      </x:c>
      <x:c r="F932" s="13" t="n">
        <x:v>1267</x:v>
      </x:c>
      <x:c r="G932" s="13" t="n">
        <x:v>896</x:v>
      </x:c>
      <x:c r="H932" s="13" t="n">
        <x:v>63</x:v>
      </x:c>
      <x:c r="I932" s="13" t="n">
        <x:v>959</x:v>
      </x:c>
      <x:c r="J932" s="13" t="n">
        <x:v>-308</x:v>
      </x:c>
      <x:c r="K932" s="14" t="n">
        <x:f>IFERROR(F932/SUMIFS($F:$F,$B:$B,B932),0)</x:f>
        <x:v>0.0484475374732334</x:v>
      </x:c>
      <x:c r="L932" s="12" t="str">
        <x:v>14–17</x:v>
      </x:c>
    </x:row>
    <x:row r="933">
      <x:c r="A933" s="12" t="str">
        <x:v>9/7–9/17平日</x:v>
      </x:c>
      <x:c r="B933" s="12" t="str">
        <x:v>2026-09-11</x:v>
      </x:c>
      <x:c r="C933" s="12" t="str">
        <x:v>18:00</x:v>
      </x:c>
      <x:c r="D933" s="13" t="n">
        <x:v>320</x:v>
      </x:c>
      <x:c r="E933" s="13" t="n">
        <x:v>24</x:v>
      </x:c>
      <x:c r="F933" s="13" t="n">
        <x:v>344</x:v>
      </x:c>
      <x:c r="G933" s="13" t="n">
        <x:v>347</x:v>
      </x:c>
      <x:c r="H933" s="13" t="n">
        <x:v>24</x:v>
      </x:c>
      <x:c r="I933" s="13" t="n">
        <x:v>371</x:v>
      </x:c>
      <x:c r="J933" s="13" t="n">
        <x:v>27</x:v>
      </x:c>
      <x:c r="K933" s="14" t="n">
        <x:f>IFERROR(F933/SUMIFS($F:$F,$B:$B,B933),0)</x:f>
        <x:v>0.013153869684918936</x:v>
      </x:c>
      <x:c r="L933" s="12" t="str">
        <x:v>18–21</x:v>
      </x:c>
    </x:row>
    <x:row r="934">
      <x:c r="A934" s="12" t="str">
        <x:v>9/7–9/17平日</x:v>
      </x:c>
      <x:c r="B934" s="12" t="str">
        <x:v>2026-09-11</x:v>
      </x:c>
      <x:c r="C934" s="12" t="str">
        <x:v>19:00</x:v>
      </x:c>
      <x:c r="D934" s="13" t="n">
        <x:v>177</x:v>
      </x:c>
      <x:c r="E934" s="13" t="n">
        <x:v>6</x:v>
      </x:c>
      <x:c r="F934" s="13" t="n">
        <x:v>183</x:v>
      </x:c>
      <x:c r="G934" s="13" t="n">
        <x:v>167</x:v>
      </x:c>
      <x:c r="H934" s="13" t="n">
        <x:v>3</x:v>
      </x:c>
      <x:c r="I934" s="13" t="n">
        <x:v>170</x:v>
      </x:c>
      <x:c r="J934" s="13" t="n">
        <x:v>-13</x:v>
      </x:c>
      <x:c r="K934" s="14" t="n">
        <x:f>IFERROR(F934/SUMIFS($F:$F,$B:$B,B934),0)</x:f>
        <x:v>0.006997552768430713</x:v>
      </x:c>
      <x:c r="L934" s="12" t="str">
        <x:v>18–21</x:v>
      </x:c>
    </x:row>
    <x:row r="935">
      <x:c r="A935" s="12" t="str">
        <x:v>9/7–9/17平日</x:v>
      </x:c>
      <x:c r="B935" s="12" t="str">
        <x:v>2026-09-11</x:v>
      </x:c>
      <x:c r="C935" s="12" t="str">
        <x:v>20:00</x:v>
      </x:c>
      <x:c r="D935" s="13" t="n">
        <x:v>185</x:v>
      </x:c>
      <x:c r="E935" s="13" t="n">
        <x:v>1</x:v>
      </x:c>
      <x:c r="F935" s="13" t="n">
        <x:v>186</x:v>
      </x:c>
      <x:c r="G935" s="13" t="n">
        <x:v>145</x:v>
      </x:c>
      <x:c r="H935" s="13" t="n">
        <x:v>3</x:v>
      </x:c>
      <x:c r="I935" s="13" t="n">
        <x:v>148</x:v>
      </x:c>
      <x:c r="J935" s="13" t="n">
        <x:v>-38</x:v>
      </x:c>
      <x:c r="K935" s="14" t="n">
        <x:f>IFERROR(F935/SUMIFS($F:$F,$B:$B,B935),0)</x:f>
        <x:v>0.007112266748241052</x:v>
      </x:c>
      <x:c r="L935" s="12" t="str">
        <x:v>18–21</x:v>
      </x:c>
    </x:row>
    <x:row r="936">
      <x:c r="A936" s="12" t="str">
        <x:v>9/7–9/17平日</x:v>
      </x:c>
      <x:c r="B936" s="12" t="str">
        <x:v>2026-09-11</x:v>
      </x:c>
      <x:c r="C936" s="12" t="str">
        <x:v>21:00</x:v>
      </x:c>
      <x:c r="D936" s="13" t="n">
        <x:v>120</x:v>
      </x:c>
      <x:c r="E936" s="13" t="n">
        <x:v>5</x:v>
      </x:c>
      <x:c r="F936" s="13" t="n">
        <x:v>125</x:v>
      </x:c>
      <x:c r="G936" s="13" t="n">
        <x:v>74</x:v>
      </x:c>
      <x:c r="H936" s="13" t="n">
        <x:v>4</x:v>
      </x:c>
      <x:c r="I936" s="13" t="n">
        <x:v>78</x:v>
      </x:c>
      <x:c r="J936" s="13" t="n">
        <x:v>-47</x:v>
      </x:c>
      <x:c r="K936" s="14" t="n">
        <x:f>IFERROR(F936/SUMIFS($F:$F,$B:$B,B936),0)</x:f>
        <x:v>0.004779749158764148</x:v>
      </x:c>
      <x:c r="L936" s="12" t="str">
        <x:v>18–21</x:v>
      </x:c>
    </x:row>
    <x:row r="937">
      <x:c r="A937" s="12" t="str">
        <x:v>9/7–9/17平日</x:v>
      </x:c>
      <x:c r="B937" s="12" t="str">
        <x:v>2026-09-11</x:v>
      </x:c>
      <x:c r="C937" s="12" t="str">
        <x:v>22:00</x:v>
      </x:c>
      <x:c r="D937" s="13" t="n">
        <x:v>93</x:v>
      </x:c>
      <x:c r="E937" s="13" t="n">
        <x:v>1</x:v>
      </x:c>
      <x:c r="F937" s="13" t="n">
        <x:v>94</x:v>
      </x:c>
      <x:c r="G937" s="13" t="n">
        <x:v>62</x:v>
      </x:c>
      <x:c r="H937" s="13" t="n">
        <x:v>3</x:v>
      </x:c>
      <x:c r="I937" s="13" t="n">
        <x:v>65</x:v>
      </x:c>
      <x:c r="J937" s="13" t="n">
        <x:v>-29</x:v>
      </x:c>
      <x:c r="K937" s="14" t="n">
        <x:f>IFERROR(F937/SUMIFS($F:$F,$B:$B,B937),0)</x:f>
        <x:v>0.0035943713673906395</x:v>
      </x:c>
      <x:c r="L937" s="12" t="str">
        <x:v>22–23</x:v>
      </x:c>
    </x:row>
    <x:row r="938">
      <x:c r="A938" s="12" t="str">
        <x:v>9/7–9/17平日</x:v>
      </x:c>
      <x:c r="B938" s="12" t="str">
        <x:v>2026-09-11</x:v>
      </x:c>
      <x:c r="C938" s="12" t="str">
        <x:v>23:00</x:v>
      </x:c>
      <x:c r="D938" s="13" t="n">
        <x:v>70</x:v>
      </x:c>
      <x:c r="E938" s="13" t="n">
        <x:v>6</x:v>
      </x:c>
      <x:c r="F938" s="13" t="n">
        <x:v>76</x:v>
      </x:c>
      <x:c r="G938" s="13" t="n">
        <x:v>66</x:v>
      </x:c>
      <x:c r="H938" s="13" t="n">
        <x:v>5</x:v>
      </x:c>
      <x:c r="I938" s="13" t="n">
        <x:v>71</x:v>
      </x:c>
      <x:c r="J938" s="13" t="n">
        <x:v>-5</x:v>
      </x:c>
      <x:c r="K938" s="14" t="n">
        <x:f>IFERROR(F938/SUMIFS($F:$F,$B:$B,B938),0)</x:f>
        <x:v>0.002906087488528602</x:v>
      </x:c>
      <x:c r="L938" s="12" t="str">
        <x:v>22–23</x:v>
      </x:c>
    </x:row>
    <x:row r="939">
      <x:c r="A939" s="12" t="str">
        <x:v>9/7–9/17平日</x:v>
      </x:c>
      <x:c r="B939" s="12" t="str">
        <x:v>2026-09-14</x:v>
      </x:c>
      <x:c r="C939" s="12" t="str">
        <x:v>00:00</x:v>
      </x:c>
      <x:c r="D939" s="13" t="n">
        <x:v>88</x:v>
      </x:c>
      <x:c r="E939" s="13" t="n">
        <x:v>3</x:v>
      </x:c>
      <x:c r="F939" s="13" t="n">
        <x:v>91</x:v>
      </x:c>
      <x:c r="G939" s="13" t="n">
        <x:v>112</x:v>
      </x:c>
      <x:c r="H939" s="13" t="n">
        <x:v>1</x:v>
      </x:c>
      <x:c r="I939" s="13" t="n">
        <x:v>113</x:v>
      </x:c>
      <x:c r="J939" s="13" t="n">
        <x:v>22</x:v>
      </x:c>
      <x:c r="K939" s="14" t="n">
        <x:f>IFERROR(F939/SUMIFS($F:$F,$B:$B,B939),0)</x:f>
        <x:v>0.0023048477787346133</x:v>
      </x:c>
      <x:c r="L939" s="12" t="str">
        <x:v>00–05</x:v>
      </x:c>
    </x:row>
    <x:row r="940">
      <x:c r="A940" s="12" t="str">
        <x:v>9/7–9/17平日</x:v>
      </x:c>
      <x:c r="B940" s="12" t="str">
        <x:v>2026-09-14</x:v>
      </x:c>
      <x:c r="C940" s="12" t="str">
        <x:v>01:00</x:v>
      </x:c>
      <x:c r="D940" s="13" t="n">
        <x:v>40</x:v>
      </x:c>
      <x:c r="E940" s="13" t="n">
        <x:v>4</x:v>
      </x:c>
      <x:c r="F940" s="13" t="n">
        <x:v>44</x:v>
      </x:c>
      <x:c r="G940" s="13" t="n">
        <x:v>31</x:v>
      </x:c>
      <x:c r="H940" s="13" t="n">
        <x:v>2</x:v>
      </x:c>
      <x:c r="I940" s="13" t="n">
        <x:v>33</x:v>
      </x:c>
      <x:c r="J940" s="13" t="n">
        <x:v>-11</x:v>
      </x:c>
      <x:c r="K940" s="14" t="n">
        <x:f>IFERROR(F940/SUMIFS($F:$F,$B:$B,B940),0)</x:f>
        <x:v>0.0011144318930145383</x:v>
      </x:c>
      <x:c r="L940" s="12" t="str">
        <x:v>00–05</x:v>
      </x:c>
    </x:row>
    <x:row r="941">
      <x:c r="A941" s="12" t="str">
        <x:v>9/7–9/17平日</x:v>
      </x:c>
      <x:c r="B941" s="12" t="str">
        <x:v>2026-09-14</x:v>
      </x:c>
      <x:c r="C941" s="12" t="str">
        <x:v>02:00</x:v>
      </x:c>
      <x:c r="D941" s="13" t="n">
        <x:v>14</x:v>
      </x:c>
      <x:c r="E941" s="13" t="n">
        <x:v>1</x:v>
      </x:c>
      <x:c r="F941" s="13" t="n">
        <x:v>15</x:v>
      </x:c>
      <x:c r="G941" s="13" t="n">
        <x:v>17</x:v>
      </x:c>
      <x:c r="H941" s="13" t="n">
        <x:v>1</x:v>
      </x:c>
      <x:c r="I941" s="13" t="n">
        <x:v>18</x:v>
      </x:c>
      <x:c r="J941" s="13" t="n">
        <x:v>3</x:v>
      </x:c>
      <x:c r="K941" s="14" t="n">
        <x:f>IFERROR(F941/SUMIFS($F:$F,$B:$B,B941),0)</x:f>
        <x:v>0.0003799199635276835</x:v>
      </x:c>
      <x:c r="L941" s="12" t="str">
        <x:v>00–05</x:v>
      </x:c>
    </x:row>
    <x:row r="942">
      <x:c r="A942" s="12" t="str">
        <x:v>9/7–9/17平日</x:v>
      </x:c>
      <x:c r="B942" s="12" t="str">
        <x:v>2026-09-14</x:v>
      </x:c>
      <x:c r="C942" s="12" t="str">
        <x:v>03:00</x:v>
      </x:c>
      <x:c r="D942" s="13" t="n">
        <x:v>13</x:v>
      </x:c>
      <x:c r="E942" s="13" t="n">
        <x:v>1</x:v>
      </x:c>
      <x:c r="F942" s="13" t="n">
        <x:v>14</x:v>
      </x:c>
      <x:c r="G942" s="13" t="n">
        <x:v>9</x:v>
      </x:c>
      <x:c r="H942" s="13" t="n">
        <x:v>2</x:v>
      </x:c>
      <x:c r="I942" s="13" t="n">
        <x:v>11</x:v>
      </x:c>
      <x:c r="J942" s="13" t="n">
        <x:v>-3</x:v>
      </x:c>
      <x:c r="K942" s="14" t="n">
        <x:f>IFERROR(F942/SUMIFS($F:$F,$B:$B,B942),0)</x:f>
        <x:v>0.0003545919659591713</x:v>
      </x:c>
      <x:c r="L942" s="12" t="str">
        <x:v>00–05</x:v>
      </x:c>
    </x:row>
    <x:row r="943">
      <x:c r="A943" s="12" t="str">
        <x:v>9/7–9/17平日</x:v>
      </x:c>
      <x:c r="B943" s="12" t="str">
        <x:v>2026-09-14</x:v>
      </x:c>
      <x:c r="C943" s="12" t="str">
        <x:v>04:00</x:v>
      </x:c>
      <x:c r="D943" s="13" t="n">
        <x:v>9</x:v>
      </x:c>
      <x:c r="E943" s="13" t="n">
        <x:v>1</x:v>
      </x:c>
      <x:c r="F943" s="13" t="n">
        <x:v>10</x:v>
      </x:c>
      <x:c r="G943" s="13" t="n">
        <x:v>7</x:v>
      </x:c>
      <x:c r="H943" s="13" t="n">
        <x:v>1</x:v>
      </x:c>
      <x:c r="I943" s="13" t="n">
        <x:v>8</x:v>
      </x:c>
      <x:c r="J943" s="13" t="n">
        <x:v>-2</x:v>
      </x:c>
      <x:c r="K943" s="14" t="n">
        <x:f>IFERROR(F943/SUMIFS($F:$F,$B:$B,B943),0)</x:f>
        <x:v>0.00025327997568512235</x:v>
      </x:c>
      <x:c r="L943" s="12" t="str">
        <x:v>00–05</x:v>
      </x:c>
    </x:row>
    <x:row r="944">
      <x:c r="A944" s="12" t="str">
        <x:v>9/7–9/17平日</x:v>
      </x:c>
      <x:c r="B944" s="12" t="str">
        <x:v>2026-09-14</x:v>
      </x:c>
      <x:c r="C944" s="12" t="str">
        <x:v>05:00</x:v>
      </x:c>
      <x:c r="D944" s="13" t="n">
        <x:v>28</x:v>
      </x:c>
      <x:c r="E944" s="13" t="n">
        <x:v>1</x:v>
      </x:c>
      <x:c r="F944" s="13" t="n">
        <x:v>29</x:v>
      </x:c>
      <x:c r="G944" s="13" t="n">
        <x:v>29</x:v>
      </x:c>
      <x:c r="H944" s="13" t="n">
        <x:v>1</x:v>
      </x:c>
      <x:c r="I944" s="13" t="n">
        <x:v>30</x:v>
      </x:c>
      <x:c r="J944" s="13" t="n">
        <x:v>1</x:v>
      </x:c>
      <x:c r="K944" s="14" t="n">
        <x:f>IFERROR(F944/SUMIFS($F:$F,$B:$B,B944),0)</x:f>
        <x:v>0.0007345119294868548</x:v>
      </x:c>
      <x:c r="L944" s="12" t="str">
        <x:v>00–05</x:v>
      </x:c>
    </x:row>
    <x:row r="945">
      <x:c r="A945" s="12" t="str">
        <x:v>9/7–9/17平日</x:v>
      </x:c>
      <x:c r="B945" s="12" t="str">
        <x:v>2026-09-14</x:v>
      </x:c>
      <x:c r="C945" s="12" t="str">
        <x:v>06:00</x:v>
      </x:c>
      <x:c r="D945" s="13" t="n">
        <x:v>87</x:v>
      </x:c>
      <x:c r="E945" s="13" t="n">
        <x:v>2</x:v>
      </x:c>
      <x:c r="F945" s="13" t="n">
        <x:v>89</x:v>
      </x:c>
      <x:c r="G945" s="13" t="n">
        <x:v>120</x:v>
      </x:c>
      <x:c r="H945" s="13" t="n">
        <x:v>12</x:v>
      </x:c>
      <x:c r="I945" s="13" t="n">
        <x:v>132</x:v>
      </x:c>
      <x:c r="J945" s="13" t="n">
        <x:v>43</x:v>
      </x:c>
      <x:c r="K945" s="14" t="n">
        <x:f>IFERROR(F945/SUMIFS($F:$F,$B:$B,B945),0)</x:f>
        <x:v>0.0022541917835975887</x:v>
      </x:c>
      <x:c r="L945" s="12" t="str">
        <x:v>06–09</x:v>
      </x:c>
    </x:row>
    <x:row r="946">
      <x:c r="A946" s="12" t="str">
        <x:v>9/7–9/17平日</x:v>
      </x:c>
      <x:c r="B946" s="12" t="str">
        <x:v>2026-09-14</x:v>
      </x:c>
      <x:c r="C946" s="12" t="str">
        <x:v>07:00</x:v>
      </x:c>
      <x:c r="D946" s="13" t="n">
        <x:v>415</x:v>
      </x:c>
      <x:c r="E946" s="13" t="n">
        <x:v>11</x:v>
      </x:c>
      <x:c r="F946" s="13" t="n">
        <x:v>426</x:v>
      </x:c>
      <x:c r="G946" s="13" t="n">
        <x:v>535</x:v>
      </x:c>
      <x:c r="H946" s="13" t="n">
        <x:v>16</x:v>
      </x:c>
      <x:c r="I946" s="13" t="n">
        <x:v>551</x:v>
      </x:c>
      <x:c r="J946" s="13" t="n">
        <x:v>125</x:v>
      </x:c>
      <x:c r="K946" s="14" t="n">
        <x:f>IFERROR(F946/SUMIFS($F:$F,$B:$B,B946),0)</x:f>
        <x:v>0.010789726964186211</x:v>
      </x:c>
      <x:c r="L946" s="12" t="str">
        <x:v>06–09</x:v>
      </x:c>
    </x:row>
    <x:row r="947">
      <x:c r="A947" s="12" t="str">
        <x:v>9/7–9/17平日</x:v>
      </x:c>
      <x:c r="B947" s="12" t="str">
        <x:v>2026-09-14</x:v>
      </x:c>
      <x:c r="C947" s="12" t="str">
        <x:v>08:00</x:v>
      </x:c>
      <x:c r="D947" s="13" t="n">
        <x:v>934</x:v>
      </x:c>
      <x:c r="E947" s="13" t="n">
        <x:v>43</x:v>
      </x:c>
      <x:c r="F947" s="13" t="n">
        <x:v>977</x:v>
      </x:c>
      <x:c r="G947" s="13" t="n">
        <x:v>1435</x:v>
      </x:c>
      <x:c r="H947" s="13" t="n">
        <x:v>63</x:v>
      </x:c>
      <x:c r="I947" s="13" t="n">
        <x:v>1498</x:v>
      </x:c>
      <x:c r="J947" s="13" t="n">
        <x:v>521</x:v>
      </x:c>
      <x:c r="K947" s="14" t="n">
        <x:f>IFERROR(F947/SUMIFS($F:$F,$B:$B,B947),0)</x:f>
        <x:v>0.02474545362443645</x:v>
      </x:c>
      <x:c r="L947" s="12" t="str">
        <x:v>06–09</x:v>
      </x:c>
    </x:row>
    <x:row r="948">
      <x:c r="A948" s="12" t="str">
        <x:v>9/7–9/17平日</x:v>
      </x:c>
      <x:c r="B948" s="12" t="str">
        <x:v>2026-09-14</x:v>
      </x:c>
      <x:c r="C948" s="12" t="str">
        <x:v>09:00</x:v>
      </x:c>
      <x:c r="D948" s="13" t="n">
        <x:v>1018</x:v>
      </x:c>
      <x:c r="E948" s="13" t="n">
        <x:v>56</x:v>
      </x:c>
      <x:c r="F948" s="13" t="n">
        <x:v>1074</x:v>
      </x:c>
      <x:c r="G948" s="13" t="n">
        <x:v>1444</x:v>
      </x:c>
      <x:c r="H948" s="13" t="n">
        <x:v>110</x:v>
      </x:c>
      <x:c r="I948" s="13" t="n">
        <x:v>1554</x:v>
      </x:c>
      <x:c r="J948" s="13" t="n">
        <x:v>480</x:v>
      </x:c>
      <x:c r="K948" s="14" t="n">
        <x:f>IFERROR(F948/SUMIFS($F:$F,$B:$B,B948),0)</x:f>
        <x:v>0.02720226938858214</x:v>
      </x:c>
      <x:c r="L948" s="12" t="str">
        <x:v>06–09</x:v>
      </x:c>
    </x:row>
    <x:row r="949">
      <x:c r="A949" s="12" t="str">
        <x:v>9/7–9/17平日</x:v>
      </x:c>
      <x:c r="B949" s="12" t="str">
        <x:v>2026-09-14</x:v>
      </x:c>
      <x:c r="C949" s="12" t="str">
        <x:v>10:00</x:v>
      </x:c>
      <x:c r="D949" s="13" t="n">
        <x:v>1015</x:v>
      </x:c>
      <x:c r="E949" s="13" t="n">
        <x:v>46</x:v>
      </x:c>
      <x:c r="F949" s="13" t="n">
        <x:v>1061</x:v>
      </x:c>
      <x:c r="G949" s="13" t="n">
        <x:v>1277</x:v>
      </x:c>
      <x:c r="H949" s="13" t="n">
        <x:v>69</x:v>
      </x:c>
      <x:c r="I949" s="13" t="n">
        <x:v>1346</x:v>
      </x:c>
      <x:c r="J949" s="13" t="n">
        <x:v>285</x:v>
      </x:c>
      <x:c r="K949" s="14" t="n">
        <x:f>IFERROR(F949/SUMIFS($F:$F,$B:$B,B949),0)</x:f>
        <x:v>0.02687300542019148</x:v>
      </x:c>
      <x:c r="L949" s="12" t="str">
        <x:v>10–13</x:v>
      </x:c>
    </x:row>
    <x:row r="950">
      <x:c r="A950" s="12" t="str">
        <x:v>9/7–9/17平日</x:v>
      </x:c>
      <x:c r="B950" s="12" t="str">
        <x:v>2026-09-14</x:v>
      </x:c>
      <x:c r="C950" s="12" t="str">
        <x:v>11:00</x:v>
      </x:c>
      <x:c r="D950" s="13" t="n">
        <x:v>1072</x:v>
      </x:c>
      <x:c r="E950" s="13" t="n">
        <x:v>38</x:v>
      </x:c>
      <x:c r="F950" s="13" t="n">
        <x:v>1110</x:v>
      </x:c>
      <x:c r="G950" s="13" t="n">
        <x:v>958</x:v>
      </x:c>
      <x:c r="H950" s="13" t="n">
        <x:v>43</x:v>
      </x:c>
      <x:c r="I950" s="13" t="n">
        <x:v>1001</x:v>
      </x:c>
      <x:c r="J950" s="13" t="n">
        <x:v>-109</x:v>
      </x:c>
      <x:c r="K950" s="14" t="n">
        <x:f>IFERROR(F950/SUMIFS($F:$F,$B:$B,B950),0)</x:f>
        <x:v>0.02811407730104858</x:v>
      </x:c>
      <x:c r="L950" s="12" t="str">
        <x:v>10–13</x:v>
      </x:c>
    </x:row>
    <x:row r="951">
      <x:c r="A951" s="12" t="str">
        <x:v>9/7–9/17平日</x:v>
      </x:c>
      <x:c r="B951" s="12" t="str">
        <x:v>2026-09-14</x:v>
      </x:c>
      <x:c r="C951" s="12" t="str">
        <x:v>12:00</x:v>
      </x:c>
      <x:c r="D951" s="13" t="n">
        <x:v>2529</x:v>
      </x:c>
      <x:c r="E951" s="13" t="n">
        <x:v>82</x:v>
      </x:c>
      <x:c r="F951" s="13" t="n">
        <x:v>2611</x:v>
      </x:c>
      <x:c r="G951" s="13" t="n">
        <x:v>2346</x:v>
      </x:c>
      <x:c r="H951" s="13" t="n">
        <x:v>72</x:v>
      </x:c>
      <x:c r="I951" s="13" t="n">
        <x:v>2418</x:v>
      </x:c>
      <x:c r="J951" s="13" t="n">
        <x:v>-193</x:v>
      </x:c>
      <x:c r="K951" s="14" t="n">
        <x:f>IFERROR(F951/SUMIFS($F:$F,$B:$B,B951),0)</x:f>
        <x:v>0.06613140165138544</x:v>
      </x:c>
      <x:c r="L951" s="12" t="str">
        <x:v>10–13</x:v>
      </x:c>
    </x:row>
    <x:row r="952">
      <x:c r="A952" s="12" t="str">
        <x:v>9/7–9/17平日</x:v>
      </x:c>
      <x:c r="B952" s="12" t="str">
        <x:v>2026-09-14</x:v>
      </x:c>
      <x:c r="C952" s="12" t="str">
        <x:v>13:00</x:v>
      </x:c>
      <x:c r="D952" s="13" t="n">
        <x:v>1902</x:v>
      </x:c>
      <x:c r="E952" s="13" t="n">
        <x:v>48</x:v>
      </x:c>
      <x:c r="F952" s="13" t="n">
        <x:v>1950</x:v>
      </x:c>
      <x:c r="G952" s="13" t="n">
        <x:v>2177</x:v>
      </x:c>
      <x:c r="H952" s="13" t="n">
        <x:v>70</x:v>
      </x:c>
      <x:c r="I952" s="13" t="n">
        <x:v>2247</x:v>
      </x:c>
      <x:c r="J952" s="13" t="n">
        <x:v>297</x:v>
      </x:c>
      <x:c r="K952" s="14" t="n">
        <x:f>IFERROR(F952/SUMIFS($F:$F,$B:$B,B952),0)</x:f>
        <x:v>0.04938959525859885</x:v>
      </x:c>
      <x:c r="L952" s="12" t="str">
        <x:v>10–13</x:v>
      </x:c>
    </x:row>
    <x:row r="953">
      <x:c r="A953" s="12" t="str">
        <x:v>9/7–9/17平日</x:v>
      </x:c>
      <x:c r="B953" s="12" t="str">
        <x:v>2026-09-14</x:v>
      </x:c>
      <x:c r="C953" s="12" t="str">
        <x:v>14:00</x:v>
      </x:c>
      <x:c r="D953" s="13" t="n">
        <x:v>1327</x:v>
      </x:c>
      <x:c r="E953" s="13" t="n">
        <x:v>27</x:v>
      </x:c>
      <x:c r="F953" s="13" t="n">
        <x:v>1354</x:v>
      </x:c>
      <x:c r="G953" s="13" t="n">
        <x:v>1534</x:v>
      </x:c>
      <x:c r="H953" s="13" t="n">
        <x:v>35</x:v>
      </x:c>
      <x:c r="I953" s="13" t="n">
        <x:v>1569</x:v>
      </x:c>
      <x:c r="J953" s="13" t="n">
        <x:v>215</x:v>
      </x:c>
      <x:c r="K953" s="14" t="n">
        <x:f>IFERROR(F953/SUMIFS($F:$F,$B:$B,B953),0)</x:f>
        <x:v>0.034294108707765565</x:v>
      </x:c>
      <x:c r="L953" s="12" t="str">
        <x:v>14–17</x:v>
      </x:c>
    </x:row>
    <x:row r="954">
      <x:c r="A954" s="12" t="str">
        <x:v>9/7–9/17平日</x:v>
      </x:c>
      <x:c r="B954" s="12" t="str">
        <x:v>2026-09-14</x:v>
      </x:c>
      <x:c r="C954" s="12" t="str">
        <x:v>15:00</x:v>
      </x:c>
      <x:c r="D954" s="13" t="n">
        <x:v>1860</x:v>
      </x:c>
      <x:c r="E954" s="13" t="n">
        <x:v>53</x:v>
      </x:c>
      <x:c r="F954" s="13" t="n">
        <x:v>1913</x:v>
      </x:c>
      <x:c r="G954" s="13" t="n">
        <x:v>1725</x:v>
      </x:c>
      <x:c r="H954" s="13" t="n">
        <x:v>49</x:v>
      </x:c>
      <x:c r="I954" s="13" t="n">
        <x:v>1774</x:v>
      </x:c>
      <x:c r="J954" s="13" t="n">
        <x:v>-139</x:v>
      </x:c>
      <x:c r="K954" s="14" t="n">
        <x:f>IFERROR(F954/SUMIFS($F:$F,$B:$B,B954),0)</x:f>
        <x:v>0.0484524593485639</x:v>
      </x:c>
      <x:c r="L954" s="12" t="str">
        <x:v>14–17</x:v>
      </x:c>
    </x:row>
    <x:row r="955">
      <x:c r="A955" s="12" t="str">
        <x:v>9/7–9/17平日</x:v>
      </x:c>
      <x:c r="B955" s="12" t="str">
        <x:v>2026-09-14</x:v>
      </x:c>
      <x:c r="C955" s="12" t="str">
        <x:v>16:00</x:v>
      </x:c>
      <x:c r="D955" s="13" t="n">
        <x:v>1869</x:v>
      </x:c>
      <x:c r="E955" s="13" t="n">
        <x:v>54</x:v>
      </x:c>
      <x:c r="F955" s="13" t="n">
        <x:v>1923</x:v>
      </x:c>
      <x:c r="G955" s="13" t="n">
        <x:v>1307</x:v>
      </x:c>
      <x:c r="H955" s="13" t="n">
        <x:v>30</x:v>
      </x:c>
      <x:c r="I955" s="13" t="n">
        <x:v>1337</x:v>
      </x:c>
      <x:c r="J955" s="13" t="n">
        <x:v>-586</x:v>
      </x:c>
      <x:c r="K955" s="14" t="n">
        <x:f>IFERROR(F955/SUMIFS($F:$F,$B:$B,B955),0)</x:f>
        <x:v>0.04870573932424903</x:v>
      </x:c>
      <x:c r="L955" s="12" t="str">
        <x:v>14–17</x:v>
      </x:c>
    </x:row>
    <x:row r="956">
      <x:c r="A956" s="12" t="str">
        <x:v>9/7–9/17平日</x:v>
      </x:c>
      <x:c r="B956" s="12" t="str">
        <x:v>2026-09-14</x:v>
      </x:c>
      <x:c r="C956" s="12" t="str">
        <x:v>17:00</x:v>
      </x:c>
      <x:c r="D956" s="13" t="n">
        <x:v>1567</x:v>
      </x:c>
      <x:c r="E956" s="13" t="n">
        <x:v>53</x:v>
      </x:c>
      <x:c r="F956" s="13" t="n">
        <x:v>1620</x:v>
      </x:c>
      <x:c r="G956" s="13" t="n">
        <x:v>1058</x:v>
      </x:c>
      <x:c r="H956" s="13" t="n">
        <x:v>38</x:v>
      </x:c>
      <x:c r="I956" s="13" t="n">
        <x:v>1096</x:v>
      </x:c>
      <x:c r="J956" s="13" t="n">
        <x:v>-524</x:v>
      </x:c>
      <x:c r="K956" s="14" t="n">
        <x:f>IFERROR(F956/SUMIFS($F:$F,$B:$B,B956),0)</x:f>
        <x:v>0.041031356060989815</x:v>
      </x:c>
      <x:c r="L956" s="12" t="str">
        <x:v>14–17</x:v>
      </x:c>
    </x:row>
    <x:row r="957">
      <x:c r="A957" s="12" t="str">
        <x:v>9/7–9/17平日</x:v>
      </x:c>
      <x:c r="B957" s="12" t="str">
        <x:v>2026-09-14</x:v>
      </x:c>
      <x:c r="C957" s="12" t="str">
        <x:v>18:00</x:v>
      </x:c>
      <x:c r="D957" s="13" t="n">
        <x:v>1188</x:v>
      </x:c>
      <x:c r="E957" s="13" t="n">
        <x:v>62</x:v>
      </x:c>
      <x:c r="F957" s="13" t="n">
        <x:v>1250</x:v>
      </x:c>
      <x:c r="G957" s="13" t="n">
        <x:v>1102</x:v>
      </x:c>
      <x:c r="H957" s="13" t="n">
        <x:v>39</x:v>
      </x:c>
      <x:c r="I957" s="13" t="n">
        <x:v>1141</x:v>
      </x:c>
      <x:c r="J957" s="13" t="n">
        <x:v>-109</x:v>
      </x:c>
      <x:c r="K957" s="14" t="n">
        <x:f>IFERROR(F957/SUMIFS($F:$F,$B:$B,B957),0)</x:f>
        <x:v>0.03165999696064029</x:v>
      </x:c>
      <x:c r="L957" s="12" t="str">
        <x:v>18–21</x:v>
      </x:c>
    </x:row>
    <x:row r="958">
      <x:c r="A958" s="12" t="str">
        <x:v>9/7–9/17平日</x:v>
      </x:c>
      <x:c r="B958" s="12" t="str">
        <x:v>2026-09-14</x:v>
      </x:c>
      <x:c r="C958" s="12" t="str">
        <x:v>19:00</x:v>
      </x:c>
      <x:c r="D958" s="13" t="n">
        <x:v>676</x:v>
      </x:c>
      <x:c r="E958" s="13" t="n">
        <x:v>19</x:v>
      </x:c>
      <x:c r="F958" s="13" t="n">
        <x:v>695</x:v>
      </x:c>
      <x:c r="G958" s="13" t="n">
        <x:v>551</x:v>
      </x:c>
      <x:c r="H958" s="13" t="n">
        <x:v>12</x:v>
      </x:c>
      <x:c r="I958" s="13" t="n">
        <x:v>563</x:v>
      </x:c>
      <x:c r="J958" s="13" t="n">
        <x:v>-132</x:v>
      </x:c>
      <x:c r="K958" s="14" t="n">
        <x:f>IFERROR(F958/SUMIFS($F:$F,$B:$B,B958),0)</x:f>
        <x:v>0.017602958310116</x:v>
      </x:c>
      <x:c r="L958" s="12" t="str">
        <x:v>18–21</x:v>
      </x:c>
    </x:row>
    <x:row r="959">
      <x:c r="A959" s="12" t="str">
        <x:v>9/7–9/17平日</x:v>
      </x:c>
      <x:c r="B959" s="12" t="str">
        <x:v>2026-09-14</x:v>
      </x:c>
      <x:c r="C959" s="12" t="str">
        <x:v>20:00</x:v>
      </x:c>
      <x:c r="D959" s="13" t="n">
        <x:v>533</x:v>
      </x:c>
      <x:c r="E959" s="13" t="n">
        <x:v>42</x:v>
      </x:c>
      <x:c r="F959" s="13" t="n">
        <x:v>575</x:v>
      </x:c>
      <x:c r="G959" s="13" t="n">
        <x:v>381</x:v>
      </x:c>
      <x:c r="H959" s="13" t="n">
        <x:v>19</x:v>
      </x:c>
      <x:c r="I959" s="13" t="n">
        <x:v>400</x:v>
      </x:c>
      <x:c r="J959" s="13" t="n">
        <x:v>-175</x:v>
      </x:c>
      <x:c r="K959" s="14" t="n">
        <x:f>IFERROR(F959/SUMIFS($F:$F,$B:$B,B959),0)</x:f>
        <x:v>0.014563598601894535</x:v>
      </x:c>
      <x:c r="L959" s="12" t="str">
        <x:v>18–21</x:v>
      </x:c>
    </x:row>
    <x:row r="960">
      <x:c r="A960" s="12" t="str">
        <x:v>9/7–9/17平日</x:v>
      </x:c>
      <x:c r="B960" s="12" t="str">
        <x:v>2026-09-14</x:v>
      </x:c>
      <x:c r="C960" s="12" t="str">
        <x:v>21:00</x:v>
      </x:c>
      <x:c r="D960" s="13" t="n">
        <x:v>466</x:v>
      </x:c>
      <x:c r="E960" s="13" t="n">
        <x:v>40</x:v>
      </x:c>
      <x:c r="F960" s="13" t="n">
        <x:v>506</x:v>
      </x:c>
      <x:c r="G960" s="13" t="n">
        <x:v>312</x:v>
      </x:c>
      <x:c r="H960" s="13" t="n">
        <x:v>13</x:v>
      </x:c>
      <x:c r="I960" s="13" t="n">
        <x:v>325</x:v>
      </x:c>
      <x:c r="J960" s="13" t="n">
        <x:v>-181</x:v>
      </x:c>
      <x:c r="K960" s="14" t="n">
        <x:f>IFERROR(F960/SUMIFS($F:$F,$B:$B,B960),0)</x:f>
        <x:v>0.012815966769667191</x:v>
      </x:c>
      <x:c r="L960" s="12" t="str">
        <x:v>18–21</x:v>
      </x:c>
    </x:row>
    <x:row r="961">
      <x:c r="A961" s="12" t="str">
        <x:v>9/7–9/17平日</x:v>
      </x:c>
      <x:c r="B961" s="12" t="str">
        <x:v>2026-09-14</x:v>
      </x:c>
      <x:c r="C961" s="12" t="str">
        <x:v>22:00</x:v>
      </x:c>
      <x:c r="D961" s="13" t="n">
        <x:v>242</x:v>
      </x:c>
      <x:c r="E961" s="13" t="n">
        <x:v>14</x:v>
      </x:c>
      <x:c r="F961" s="13" t="n">
        <x:v>256</x:v>
      </x:c>
      <x:c r="G961" s="13" t="n">
        <x:v>175</x:v>
      </x:c>
      <x:c r="H961" s="13" t="n">
        <x:v>15</x:v>
      </x:c>
      <x:c r="I961" s="13" t="n">
        <x:v>190</x:v>
      </x:c>
      <x:c r="J961" s="13" t="n">
        <x:v>-66</x:v>
      </x:c>
      <x:c r="K961" s="14" t="n">
        <x:f>IFERROR(F961/SUMIFS($F:$F,$B:$B,B961),0)</x:f>
        <x:v>0.006483967377539132</x:v>
      </x:c>
      <x:c r="L961" s="12" t="str">
        <x:v>22–23</x:v>
      </x:c>
    </x:row>
    <x:row r="962">
      <x:c r="A962" s="12" t="str">
        <x:v>9/7–9/17平日</x:v>
      </x:c>
      <x:c r="B962" s="12" t="str">
        <x:v>2026-09-14</x:v>
      </x:c>
      <x:c r="C962" s="12" t="str">
        <x:v>23:00</x:v>
      </x:c>
      <x:c r="D962" s="13" t="n">
        <x:v>138</x:v>
      </x:c>
      <x:c r="E962" s="13" t="n">
        <x:v>10</x:v>
      </x:c>
      <x:c r="F962" s="13" t="n">
        <x:v>148</x:v>
      </x:c>
      <x:c r="G962" s="13" t="n">
        <x:v>123</x:v>
      </x:c>
      <x:c r="H962" s="13" t="n">
        <x:v>4</x:v>
      </x:c>
      <x:c r="I962" s="13" t="n">
        <x:v>127</x:v>
      </x:c>
      <x:c r="J962" s="13" t="n">
        <x:v>-21</x:v>
      </x:c>
      <x:c r="K962" s="14" t="n">
        <x:f>IFERROR(F962/SUMIFS($F:$F,$B:$B,B962),0)</x:f>
        <x:v>0.0037485436401398105</x:v>
      </x:c>
      <x:c r="L962" s="12" t="str">
        <x:v>22–23</x:v>
      </x:c>
    </x:row>
    <x:row r="963">
      <x:c r="A963" s="12" t="str">
        <x:v>9/7–9/17平日</x:v>
      </x:c>
      <x:c r="B963" s="12" t="str">
        <x:v>2026-09-15</x:v>
      </x:c>
      <x:c r="C963" s="12" t="str">
        <x:v>00:00</x:v>
      </x:c>
      <x:c r="D963" s="13" t="n">
        <x:v>84</x:v>
      </x:c>
      <x:c r="E963" s="13" t="n">
        <x:v>4</x:v>
      </x:c>
      <x:c r="F963" s="13" t="n">
        <x:v>88</x:v>
      </x:c>
      <x:c r="G963" s="13" t="n">
        <x:v>65</x:v>
      </x:c>
      <x:c r="H963" s="13" t="n">
        <x:v>2</x:v>
      </x:c>
      <x:c r="I963" s="13" t="n">
        <x:v>67</x:v>
      </x:c>
      <x:c r="J963" s="13" t="n">
        <x:v>-21</x:v>
      </x:c>
      <x:c r="K963" s="14" t="n">
        <x:f>IFERROR(F963/SUMIFS($F:$F,$B:$B,B963),0)</x:f>
        <x:v>0.002031769486516439</x:v>
      </x:c>
      <x:c r="L963" s="12" t="str">
        <x:v>00–05</x:v>
      </x:c>
    </x:row>
    <x:row r="964">
      <x:c r="A964" s="12" t="str">
        <x:v>9/7–9/17平日</x:v>
      </x:c>
      <x:c r="B964" s="12" t="str">
        <x:v>2026-09-15</x:v>
      </x:c>
      <x:c r="C964" s="12" t="str">
        <x:v>01:00</x:v>
      </x:c>
      <x:c r="D964" s="13" t="n">
        <x:v>29</x:v>
      </x:c>
      <x:c r="E964" s="13" t="n">
        <x:v>2</x:v>
      </x:c>
      <x:c r="F964" s="13" t="n">
        <x:v>31</x:v>
      </x:c>
      <x:c r="G964" s="13" t="n">
        <x:v>22</x:v>
      </x:c>
      <x:c r="H964" s="13" t="n">
        <x:v>1</x:v>
      </x:c>
      <x:c r="I964" s="13" t="n">
        <x:v>23</x:v>
      </x:c>
      <x:c r="J964" s="13" t="n">
        <x:v>-8</x:v>
      </x:c>
      <x:c r="K964" s="14" t="n">
        <x:f>IFERROR(F964/SUMIFS($F:$F,$B:$B,B964),0)</x:f>
        <x:v>0.0007157369782046546</x:v>
      </x:c>
      <x:c r="L964" s="12" t="str">
        <x:v>00–05</x:v>
      </x:c>
    </x:row>
    <x:row r="965">
      <x:c r="A965" s="12" t="str">
        <x:v>9/7–9/17平日</x:v>
      </x:c>
      <x:c r="B965" s="12" t="str">
        <x:v>2026-09-15</x:v>
      </x:c>
      <x:c r="C965" s="12" t="str">
        <x:v>02:00</x:v>
      </x:c>
      <x:c r="D965" s="13" t="n">
        <x:v>12</x:v>
      </x:c>
      <x:c r="E965" s="13" t="n">
        <x:v>3</x:v>
      </x:c>
      <x:c r="F965" s="13" t="n">
        <x:v>15</x:v>
      </x:c>
      <x:c r="G965" s="13" t="n">
        <x:v>8</x:v>
      </x:c>
      <x:c r="H965" s="13" t="n">
        <x:v>1</x:v>
      </x:c>
      <x:c r="I965" s="13" t="n">
        <x:v>9</x:v>
      </x:c>
      <x:c r="J965" s="13" t="n">
        <x:v>-6</x:v>
      </x:c>
      <x:c r="K965" s="14" t="n">
        <x:f>IFERROR(F965/SUMIFS($F:$F,$B:$B,B965),0)</x:f>
        <x:v>0.0003463243442925748</x:v>
      </x:c>
      <x:c r="L965" s="12" t="str">
        <x:v>00–05</x:v>
      </x:c>
    </x:row>
    <x:row r="966">
      <x:c r="A966" s="12" t="str">
        <x:v>9/7–9/17平日</x:v>
      </x:c>
      <x:c r="B966" s="12" t="str">
        <x:v>2026-09-15</x:v>
      </x:c>
      <x:c r="C966" s="12" t="str">
        <x:v>03:00</x:v>
      </x:c>
      <x:c r="D966" s="13" t="n">
        <x:v>8</x:v>
      </x:c>
      <x:c r="E966" s="13" t="n">
        <x:v>1</x:v>
      </x:c>
      <x:c r="F966" s="13" t="n">
        <x:v>9</x:v>
      </x:c>
      <x:c r="G966" s="13" t="n">
        <x:v>8</x:v>
      </x:c>
      <x:c r="H966" s="13" t="n">
        <x:v>1</x:v>
      </x:c>
      <x:c r="I966" s="13" t="n">
        <x:v>9</x:v>
      </x:c>
      <x:c r="J966" s="13" t="n">
        <x:v>0</x:v>
      </x:c>
      <x:c r="K966" s="14" t="n">
        <x:f>IFERROR(F966/SUMIFS($F:$F,$B:$B,B966),0)</x:f>
        <x:v>0.0002077946065755449</x:v>
      </x:c>
      <x:c r="L966" s="12" t="str">
        <x:v>00–05</x:v>
      </x:c>
    </x:row>
    <x:row r="967">
      <x:c r="A967" s="12" t="str">
        <x:v>9/7–9/17平日</x:v>
      </x:c>
      <x:c r="B967" s="12" t="str">
        <x:v>2026-09-15</x:v>
      </x:c>
      <x:c r="C967" s="12" t="str">
        <x:v>04:00</x:v>
      </x:c>
      <x:c r="D967" s="13" t="n">
        <x:v>14</x:v>
      </x:c>
      <x:c r="E967" s="13" t="n">
        <x:v>0</x:v>
      </x:c>
      <x:c r="F967" s="13" t="n">
        <x:v>14</x:v>
      </x:c>
      <x:c r="G967" s="13" t="n">
        <x:v>13</x:v>
      </x:c>
      <x:c r="H967" s="13" t="n">
        <x:v>0</x:v>
      </x:c>
      <x:c r="I967" s="13" t="n">
        <x:v>13</x:v>
      </x:c>
      <x:c r="J967" s="13" t="n">
        <x:v>-1</x:v>
      </x:c>
      <x:c r="K967" s="14" t="n">
        <x:f>IFERROR(F967/SUMIFS($F:$F,$B:$B,B967),0)</x:f>
        <x:v>0.0003232360546730698</x:v>
      </x:c>
      <x:c r="L967" s="12" t="str">
        <x:v>00–05</x:v>
      </x:c>
    </x:row>
    <x:row r="968">
      <x:c r="A968" s="12" t="str">
        <x:v>9/7–9/17平日</x:v>
      </x:c>
      <x:c r="B968" s="12" t="str">
        <x:v>2026-09-15</x:v>
      </x:c>
      <x:c r="C968" s="12" t="str">
        <x:v>05:00</x:v>
      </x:c>
      <x:c r="D968" s="13" t="n">
        <x:v>25</x:v>
      </x:c>
      <x:c r="E968" s="13" t="n">
        <x:v>3</x:v>
      </x:c>
      <x:c r="F968" s="13" t="n">
        <x:v>28</x:v>
      </x:c>
      <x:c r="G968" s="13" t="n">
        <x:v>38</x:v>
      </x:c>
      <x:c r="H968" s="13" t="n">
        <x:v>4</x:v>
      </x:c>
      <x:c r="I968" s="13" t="n">
        <x:v>42</x:v>
      </x:c>
      <x:c r="J968" s="13" t="n">
        <x:v>14</x:v>
      </x:c>
      <x:c r="K968" s="14" t="n">
        <x:f>IFERROR(F968/SUMIFS($F:$F,$B:$B,B968),0)</x:f>
        <x:v>0.0006464721093461396</x:v>
      </x:c>
      <x:c r="L968" s="12" t="str">
        <x:v>00–05</x:v>
      </x:c>
    </x:row>
    <x:row r="969">
      <x:c r="A969" s="12" t="str">
        <x:v>9/7–9/17平日</x:v>
      </x:c>
      <x:c r="B969" s="12" t="str">
        <x:v>2026-09-15</x:v>
      </x:c>
      <x:c r="C969" s="12" t="str">
        <x:v>06:00</x:v>
      </x:c>
      <x:c r="D969" s="13" t="n">
        <x:v>107</x:v>
      </x:c>
      <x:c r="E969" s="13" t="n">
        <x:v>4</x:v>
      </x:c>
      <x:c r="F969" s="13" t="n">
        <x:v>111</x:v>
      </x:c>
      <x:c r="G969" s="13" t="n">
        <x:v>114</x:v>
      </x:c>
      <x:c r="H969" s="13" t="n">
        <x:v>15</x:v>
      </x:c>
      <x:c r="I969" s="13" t="n">
        <x:v>129</x:v>
      </x:c>
      <x:c r="J969" s="13" t="n">
        <x:v>18</x:v>
      </x:c>
      <x:c r="K969" s="14" t="n">
        <x:f>IFERROR(F969/SUMIFS($F:$F,$B:$B,B969),0)</x:f>
        <x:v>0.0025628001477650537</x:v>
      </x:c>
      <x:c r="L969" s="12" t="str">
        <x:v>06–09</x:v>
      </x:c>
    </x:row>
    <x:row r="970">
      <x:c r="A970" s="12" t="str">
        <x:v>9/7–9/17平日</x:v>
      </x:c>
      <x:c r="B970" s="12" t="str">
        <x:v>2026-09-15</x:v>
      </x:c>
      <x:c r="C970" s="12" t="str">
        <x:v>07:00</x:v>
      </x:c>
      <x:c r="D970" s="13" t="n">
        <x:v>324</x:v>
      </x:c>
      <x:c r="E970" s="13" t="n">
        <x:v>10</x:v>
      </x:c>
      <x:c r="F970" s="13" t="n">
        <x:v>334</x:v>
      </x:c>
      <x:c r="G970" s="13" t="n">
        <x:v>501</x:v>
      </x:c>
      <x:c r="H970" s="13" t="n">
        <x:v>16</x:v>
      </x:c>
      <x:c r="I970" s="13" t="n">
        <x:v>517</x:v>
      </x:c>
      <x:c r="J970" s="13" t="n">
        <x:v>183</x:v>
      </x:c>
      <x:c r="K970" s="14" t="n">
        <x:f>IFERROR(F970/SUMIFS($F:$F,$B:$B,B970),0)</x:f>
        <x:v>0.0077114887329146654</x:v>
      </x:c>
      <x:c r="L970" s="12" t="str">
        <x:v>06–09</x:v>
      </x:c>
    </x:row>
    <x:row r="971">
      <x:c r="A971" s="12" t="str">
        <x:v>9/7–9/17平日</x:v>
      </x:c>
      <x:c r="B971" s="12" t="str">
        <x:v>2026-09-15</x:v>
      </x:c>
      <x:c r="C971" s="12" t="str">
        <x:v>08:00</x:v>
      </x:c>
      <x:c r="D971" s="13" t="n">
        <x:v>834</x:v>
      </x:c>
      <x:c r="E971" s="13" t="n">
        <x:v>43</x:v>
      </x:c>
      <x:c r="F971" s="13" t="n">
        <x:v>877</x:v>
      </x:c>
      <x:c r="G971" s="13" t="n">
        <x:v>1528</x:v>
      </x:c>
      <x:c r="H971" s="13" t="n">
        <x:v>76</x:v>
      </x:c>
      <x:c r="I971" s="13" t="n">
        <x:v>1604</x:v>
      </x:c>
      <x:c r="J971" s="13" t="n">
        <x:v>727</x:v>
      </x:c>
      <x:c r="K971" s="14" t="n">
        <x:f>IFERROR(F971/SUMIFS($F:$F,$B:$B,B971),0)</x:f>
        <x:v>0.020248429996305873</x:v>
      </x:c>
      <x:c r="L971" s="12" t="str">
        <x:v>06–09</x:v>
      </x:c>
    </x:row>
    <x:row r="972">
      <x:c r="A972" s="12" t="str">
        <x:v>9/7–9/17平日</x:v>
      </x:c>
      <x:c r="B972" s="12" t="str">
        <x:v>2026-09-15</x:v>
      </x:c>
      <x:c r="C972" s="12" t="str">
        <x:v>09:00</x:v>
      </x:c>
      <x:c r="D972" s="13" t="n">
        <x:v>1053</x:v>
      </x:c>
      <x:c r="E972" s="13" t="n">
        <x:v>49</x:v>
      </x:c>
      <x:c r="F972" s="13" t="n">
        <x:v>1102</x:v>
      </x:c>
      <x:c r="G972" s="13" t="n">
        <x:v>1450</x:v>
      </x:c>
      <x:c r="H972" s="13" t="n">
        <x:v>92</x:v>
      </x:c>
      <x:c r="I972" s="13" t="n">
        <x:v>1542</x:v>
      </x:c>
      <x:c r="J972" s="13" t="n">
        <x:v>440</x:v>
      </x:c>
      <x:c r="K972" s="14" t="n">
        <x:f>IFERROR(F972/SUMIFS($F:$F,$B:$B,B972),0)</x:f>
        <x:v>0.025443295160694497</x:v>
      </x:c>
      <x:c r="L972" s="12" t="str">
        <x:v>06–09</x:v>
      </x:c>
    </x:row>
    <x:row r="973">
      <x:c r="A973" s="12" t="str">
        <x:v>9/7–9/17平日</x:v>
      </x:c>
      <x:c r="B973" s="12" t="str">
        <x:v>2026-09-15</x:v>
      </x:c>
      <x:c r="C973" s="12" t="str">
        <x:v>10:00</x:v>
      </x:c>
      <x:c r="D973" s="13" t="n">
        <x:v>1213</x:v>
      </x:c>
      <x:c r="E973" s="13" t="n">
        <x:v>35</x:v>
      </x:c>
      <x:c r="F973" s="13" t="n">
        <x:v>1248</x:v>
      </x:c>
      <x:c r="G973" s="13" t="n">
        <x:v>1501</x:v>
      </x:c>
      <x:c r="H973" s="13" t="n">
        <x:v>79</x:v>
      </x:c>
      <x:c r="I973" s="13" t="n">
        <x:v>1580</x:v>
      </x:c>
      <x:c r="J973" s="13" t="n">
        <x:v>332</x:v>
      </x:c>
      <x:c r="K973" s="14" t="n">
        <x:f>IFERROR(F973/SUMIFS($F:$F,$B:$B,B973),0)</x:f>
        <x:v>0.028814185445142224</x:v>
      </x:c>
      <x:c r="L973" s="12" t="str">
        <x:v>10–13</x:v>
      </x:c>
    </x:row>
    <x:row r="974">
      <x:c r="A974" s="12" t="str">
        <x:v>9/7–9/17平日</x:v>
      </x:c>
      <x:c r="B974" s="12" t="str">
        <x:v>2026-09-15</x:v>
      </x:c>
      <x:c r="C974" s="12" t="str">
        <x:v>11:00</x:v>
      </x:c>
      <x:c r="D974" s="13" t="n">
        <x:v>760</x:v>
      </x:c>
      <x:c r="E974" s="13" t="n">
        <x:v>26</x:v>
      </x:c>
      <x:c r="F974" s="13" t="n">
        <x:v>786</x:v>
      </x:c>
      <x:c r="G974" s="13" t="n">
        <x:v>728</x:v>
      </x:c>
      <x:c r="H974" s="13" t="n">
        <x:v>35</x:v>
      </x:c>
      <x:c r="I974" s="13" t="n">
        <x:v>763</x:v>
      </x:c>
      <x:c r="J974" s="13" t="n">
        <x:v>-23</x:v>
      </x:c>
      <x:c r="K974" s="14" t="n">
        <x:f>IFERROR(F974/SUMIFS($F:$F,$B:$B,B974),0)</x:f>
        <x:v>0.01814739564093092</x:v>
      </x:c>
      <x:c r="L974" s="12" t="str">
        <x:v>10–13</x:v>
      </x:c>
    </x:row>
    <x:row r="975">
      <x:c r="A975" s="12" t="str">
        <x:v>9/7–9/17平日</x:v>
      </x:c>
      <x:c r="B975" s="12" t="str">
        <x:v>2026-09-15</x:v>
      </x:c>
      <x:c r="C975" s="12" t="str">
        <x:v>12:00</x:v>
      </x:c>
      <x:c r="D975" s="13" t="n">
        <x:v>2341</x:v>
      </x:c>
      <x:c r="E975" s="13" t="n">
        <x:v>109</x:v>
      </x:c>
      <x:c r="F975" s="13" t="n">
        <x:v>2450</x:v>
      </x:c>
      <x:c r="G975" s="13" t="n">
        <x:v>2176</x:v>
      </x:c>
      <x:c r="H975" s="13" t="n">
        <x:v>82</x:v>
      </x:c>
      <x:c r="I975" s="13" t="n">
        <x:v>2258</x:v>
      </x:c>
      <x:c r="J975" s="13" t="n">
        <x:v>-192</x:v>
      </x:c>
      <x:c r="K975" s="14" t="n">
        <x:f>IFERROR(F975/SUMIFS($F:$F,$B:$B,B975),0)</x:f>
        <x:v>0.056566309567787215</x:v>
      </x:c>
      <x:c r="L975" s="12" t="str">
        <x:v>10–13</x:v>
      </x:c>
    </x:row>
    <x:row r="976">
      <x:c r="A976" s="12" t="str">
        <x:v>9/7–9/17平日</x:v>
      </x:c>
      <x:c r="B976" s="12" t="str">
        <x:v>2026-09-15</x:v>
      </x:c>
      <x:c r="C976" s="12" t="str">
        <x:v>13:00</x:v>
      </x:c>
      <x:c r="D976" s="13" t="n">
        <x:v>1851</x:v>
      </x:c>
      <x:c r="E976" s="13" t="n">
        <x:v>38</x:v>
      </x:c>
      <x:c r="F976" s="13" t="n">
        <x:v>1889</x:v>
      </x:c>
      <x:c r="G976" s="13" t="n">
        <x:v>2143</x:v>
      </x:c>
      <x:c r="H976" s="13" t="n">
        <x:v>59</x:v>
      </x:c>
      <x:c r="I976" s="13" t="n">
        <x:v>2202</x:v>
      </x:c>
      <x:c r="J976" s="13" t="n">
        <x:v>313</x:v>
      </x:c>
      <x:c r="K976" s="14" t="n">
        <x:f>IFERROR(F976/SUMIFS($F:$F,$B:$B,B976),0)</x:f>
        <x:v>0.04361377909124492</x:v>
      </x:c>
      <x:c r="L976" s="12" t="str">
        <x:v>10–13</x:v>
      </x:c>
    </x:row>
    <x:row r="977">
      <x:c r="A977" s="12" t="str">
        <x:v>9/7–9/17平日</x:v>
      </x:c>
      <x:c r="B977" s="12" t="str">
        <x:v>2026-09-15</x:v>
      </x:c>
      <x:c r="C977" s="12" t="str">
        <x:v>14:00</x:v>
      </x:c>
      <x:c r="D977" s="13" t="n">
        <x:v>1285</x:v>
      </x:c>
      <x:c r="E977" s="13" t="n">
        <x:v>28</x:v>
      </x:c>
      <x:c r="F977" s="13" t="n">
        <x:v>1313</x:v>
      </x:c>
      <x:c r="G977" s="13" t="n">
        <x:v>1440</x:v>
      </x:c>
      <x:c r="H977" s="13" t="n">
        <x:v>42</x:v>
      </x:c>
      <x:c r="I977" s="13" t="n">
        <x:v>1482</x:v>
      </x:c>
      <x:c r="J977" s="13" t="n">
        <x:v>169</x:v>
      </x:c>
      <x:c r="K977" s="14" t="n">
        <x:f>IFERROR(F977/SUMIFS($F:$F,$B:$B,B977),0)</x:f>
        <x:v>0.03031492427041005</x:v>
      </x:c>
      <x:c r="L977" s="12" t="str">
        <x:v>14–17</x:v>
      </x:c>
    </x:row>
    <x:row r="978">
      <x:c r="A978" s="12" t="str">
        <x:v>9/7–9/17平日</x:v>
      </x:c>
      <x:c r="B978" s="12" t="str">
        <x:v>2026-09-15</x:v>
      </x:c>
      <x:c r="C978" s="12" t="str">
        <x:v>15:00</x:v>
      </x:c>
      <x:c r="D978" s="13" t="n">
        <x:v>2124</x:v>
      </x:c>
      <x:c r="E978" s="13" t="n">
        <x:v>71</x:v>
      </x:c>
      <x:c r="F978" s="13" t="n">
        <x:v>2195</x:v>
      </x:c>
      <x:c r="G978" s="13" t="n">
        <x:v>1845</x:v>
      </x:c>
      <x:c r="H978" s="13" t="n">
        <x:v>51</x:v>
      </x:c>
      <x:c r="I978" s="13" t="n">
        <x:v>1896</x:v>
      </x:c>
      <x:c r="J978" s="13" t="n">
        <x:v>-299</x:v>
      </x:c>
      <x:c r="K978" s="14" t="n">
        <x:f>IFERROR(F978/SUMIFS($F:$F,$B:$B,B978),0)</x:f>
        <x:v>0.05067879571481344</x:v>
      </x:c>
      <x:c r="L978" s="12" t="str">
        <x:v>14–17</x:v>
      </x:c>
    </x:row>
    <x:row r="979">
      <x:c r="A979" s="12" t="str">
        <x:v>9/7–9/17平日</x:v>
      </x:c>
      <x:c r="B979" s="12" t="str">
        <x:v>2026-09-15</x:v>
      </x:c>
      <x:c r="C979" s="12" t="str">
        <x:v>16:00</x:v>
      </x:c>
      <x:c r="D979" s="13" t="n">
        <x:v>1744</x:v>
      </x:c>
      <x:c r="E979" s="13" t="n">
        <x:v>57</x:v>
      </x:c>
      <x:c r="F979" s="13" t="n">
        <x:v>1801</x:v>
      </x:c>
      <x:c r="G979" s="13" t="n">
        <x:v>1220</x:v>
      </x:c>
      <x:c r="H979" s="13" t="n">
        <x:v>35</x:v>
      </x:c>
      <x:c r="I979" s="13" t="n">
        <x:v>1255</x:v>
      </x:c>
      <x:c r="J979" s="13" t="n">
        <x:v>-546</x:v>
      </x:c>
      <x:c r="K979" s="14" t="n">
        <x:f>IFERROR(F979/SUMIFS($F:$F,$B:$B,B979),0)</x:f>
        <x:v>0.04158200960472848</x:v>
      </x:c>
      <x:c r="L979" s="12" t="str">
        <x:v>14–17</x:v>
      </x:c>
    </x:row>
    <x:row r="980">
      <x:c r="A980" s="12" t="str">
        <x:v>9/7–9/17平日</x:v>
      </x:c>
      <x:c r="B980" s="12" t="str">
        <x:v>2026-09-15</x:v>
      </x:c>
      <x:c r="C980" s="12" t="str">
        <x:v>17:00</x:v>
      </x:c>
      <x:c r="D980" s="13" t="n">
        <x:v>2588</x:v>
      </x:c>
      <x:c r="E980" s="13" t="n">
        <x:v>130</x:v>
      </x:c>
      <x:c r="F980" s="13" t="n">
        <x:v>2718</x:v>
      </x:c>
      <x:c r="G980" s="13" t="n">
        <x:v>1720</x:v>
      </x:c>
      <x:c r="H980" s="13" t="n">
        <x:v>58</x:v>
      </x:c>
      <x:c r="I980" s="13" t="n">
        <x:v>1778</x:v>
      </x:c>
      <x:c r="J980" s="13" t="n">
        <x:v>-940</x:v>
      </x:c>
      <x:c r="K980" s="14" t="n">
        <x:f>IFERROR(F980/SUMIFS($F:$F,$B:$B,B980),0)</x:f>
        <x:v>0.06275397118581455</x:v>
      </x:c>
      <x:c r="L980" s="12" t="str">
        <x:v>14–17</x:v>
      </x:c>
    </x:row>
    <x:row r="981">
      <x:c r="A981" s="12" t="str">
        <x:v>9/7–9/17平日</x:v>
      </x:c>
      <x:c r="B981" s="12" t="str">
        <x:v>2026-09-15</x:v>
      </x:c>
      <x:c r="C981" s="12" t="str">
        <x:v>18:00</x:v>
      </x:c>
      <x:c r="D981" s="13" t="n">
        <x:v>1758</x:v>
      </x:c>
      <x:c r="E981" s="13" t="n">
        <x:v>79</x:v>
      </x:c>
      <x:c r="F981" s="13" t="n">
        <x:v>1837</x:v>
      </x:c>
      <x:c r="G981" s="13" t="n">
        <x:v>1616</x:v>
      </x:c>
      <x:c r="H981" s="13" t="n">
        <x:v>62</x:v>
      </x:c>
      <x:c r="I981" s="13" t="n">
        <x:v>1678</x:v>
      </x:c>
      <x:c r="J981" s="13" t="n">
        <x:v>-159</x:v>
      </x:c>
      <x:c r="K981" s="14" t="n">
        <x:f>IFERROR(F981/SUMIFS($F:$F,$B:$B,B981),0)</x:f>
        <x:v>0.04241318803103066</x:v>
      </x:c>
      <x:c r="L981" s="12" t="str">
        <x:v>18–21</x:v>
      </x:c>
    </x:row>
    <x:row r="982">
      <x:c r="A982" s="12" t="str">
        <x:v>9/7–9/17平日</x:v>
      </x:c>
      <x:c r="B982" s="12" t="str">
        <x:v>2026-09-15</x:v>
      </x:c>
      <x:c r="C982" s="12" t="str">
        <x:v>19:00</x:v>
      </x:c>
      <x:c r="D982" s="13" t="n">
        <x:v>937</x:v>
      </x:c>
      <x:c r="E982" s="13" t="n">
        <x:v>30</x:v>
      </x:c>
      <x:c r="F982" s="13" t="n">
        <x:v>967</x:v>
      </x:c>
      <x:c r="G982" s="13" t="n">
        <x:v>850</x:v>
      </x:c>
      <x:c r="H982" s="13" t="n">
        <x:v>26</x:v>
      </x:c>
      <x:c r="I982" s="13" t="n">
        <x:v>876</x:v>
      </x:c>
      <x:c r="J982" s="13" t="n">
        <x:v>-91</x:v>
      </x:c>
      <x:c r="K982" s="14" t="n">
        <x:f>IFERROR(F982/SUMIFS($F:$F,$B:$B,B982),0)</x:f>
        <x:v>0.022326376062061323</x:v>
      </x:c>
      <x:c r="L982" s="12" t="str">
        <x:v>18–21</x:v>
      </x:c>
    </x:row>
    <x:row r="983">
      <x:c r="A983" s="12" t="str">
        <x:v>9/7–9/17平日</x:v>
      </x:c>
      <x:c r="B983" s="12" t="str">
        <x:v>2026-09-15</x:v>
      </x:c>
      <x:c r="C983" s="12" t="str">
        <x:v>20:00</x:v>
      </x:c>
      <x:c r="D983" s="13" t="n">
        <x:v>772</x:v>
      </x:c>
      <x:c r="E983" s="13" t="n">
        <x:v>53</x:v>
      </x:c>
      <x:c r="F983" s="13" t="n">
        <x:v>825</x:v>
      </x:c>
      <x:c r="G983" s="13" t="n">
        <x:v>547</x:v>
      </x:c>
      <x:c r="H983" s="13" t="n">
        <x:v>27</x:v>
      </x:c>
      <x:c r="I983" s="13" t="n">
        <x:v>574</x:v>
      </x:c>
      <x:c r="J983" s="13" t="n">
        <x:v>-251</x:v>
      </x:c>
      <x:c r="K983" s="14" t="n">
        <x:f>IFERROR(F983/SUMIFS($F:$F,$B:$B,B983),0)</x:f>
        <x:v>0.019047838936091615</x:v>
      </x:c>
      <x:c r="L983" s="12" t="str">
        <x:v>18–21</x:v>
      </x:c>
    </x:row>
    <x:row r="984">
      <x:c r="A984" s="12" t="str">
        <x:v>9/7–9/17平日</x:v>
      </x:c>
      <x:c r="B984" s="12" t="str">
        <x:v>2026-09-15</x:v>
      </x:c>
      <x:c r="C984" s="12" t="str">
        <x:v>21:00</x:v>
      </x:c>
      <x:c r="D984" s="13" t="n">
        <x:v>497</x:v>
      </x:c>
      <x:c r="E984" s="13" t="n">
        <x:v>59</x:v>
      </x:c>
      <x:c r="F984" s="13" t="n">
        <x:v>556</x:v>
      </x:c>
      <x:c r="G984" s="13" t="n">
        <x:v>415</x:v>
      </x:c>
      <x:c r="H984" s="13" t="n">
        <x:v>25</x:v>
      </x:c>
      <x:c r="I984" s="13" t="n">
        <x:v>440</x:v>
      </x:c>
      <x:c r="J984" s="13" t="n">
        <x:v>-116</x:v>
      </x:c>
      <x:c r="K984" s="14" t="n">
        <x:f>IFERROR(F984/SUMIFS($F:$F,$B:$B,B984),0)</x:f>
        <x:v>0.012837089028444772</x:v>
      </x:c>
      <x:c r="L984" s="12" t="str">
        <x:v>18–21</x:v>
      </x:c>
    </x:row>
    <x:row r="985">
      <x:c r="A985" s="12" t="str">
        <x:v>9/7–9/17平日</x:v>
      </x:c>
      <x:c r="B985" s="12" t="str">
        <x:v>2026-09-15</x:v>
      </x:c>
      <x:c r="C985" s="12" t="str">
        <x:v>22:00</x:v>
      </x:c>
      <x:c r="D985" s="13" t="n">
        <x:v>280</x:v>
      </x:c>
      <x:c r="E985" s="13" t="n">
        <x:v>28</x:v>
      </x:c>
      <x:c r="F985" s="13" t="n">
        <x:v>308</x:v>
      </x:c>
      <x:c r="G985" s="13" t="n">
        <x:v>249</x:v>
      </x:c>
      <x:c r="H985" s="13" t="n">
        <x:v>27</x:v>
      </x:c>
      <x:c r="I985" s="13" t="n">
        <x:v>276</x:v>
      </x:c>
      <x:c r="J985" s="13" t="n">
        <x:v>-32</x:v>
      </x:c>
      <x:c r="K985" s="14" t="n">
        <x:f>IFERROR(F985/SUMIFS($F:$F,$B:$B,B985),0)</x:f>
        <x:v>0.007111193202807536</x:v>
      </x:c>
      <x:c r="L985" s="12" t="str">
        <x:v>22–23</x:v>
      </x:c>
    </x:row>
    <x:row r="986">
      <x:c r="A986" s="12" t="str">
        <x:v>9/7–9/17平日</x:v>
      </x:c>
      <x:c r="B986" s="12" t="str">
        <x:v>2026-09-15</x:v>
      </x:c>
      <x:c r="C986" s="12" t="str">
        <x:v>23:00</x:v>
      </x:c>
      <x:c r="D986" s="13" t="n">
        <x:v>142</x:v>
      </x:c>
      <x:c r="E986" s="13" t="n">
        <x:v>12</x:v>
      </x:c>
      <x:c r="F986" s="13" t="n">
        <x:v>154</x:v>
      </x:c>
      <x:c r="G986" s="13" t="n">
        <x:v>125</x:v>
      </x:c>
      <x:c r="H986" s="13" t="n">
        <x:v>7</x:v>
      </x:c>
      <x:c r="I986" s="13" t="n">
        <x:v>132</x:v>
      </x:c>
      <x:c r="J986" s="13" t="n">
        <x:v>-22</x:v>
      </x:c>
      <x:c r="K986" s="14" t="n">
        <x:f>IFERROR(F986/SUMIFS($F:$F,$B:$B,B986),0)</x:f>
        <x:v>0.003555596601403768</x:v>
      </x:c>
      <x:c r="L986" s="12" t="str">
        <x:v>22–23</x:v>
      </x:c>
    </x:row>
    <x:row r="987">
      <x:c r="A987" s="12" t="str">
        <x:v>9/7–9/17平日</x:v>
      </x:c>
      <x:c r="B987" s="12" t="str">
        <x:v>2026-09-16</x:v>
      </x:c>
      <x:c r="C987" s="12" t="str">
        <x:v>00:00</x:v>
      </x:c>
      <x:c r="D987" s="13" t="n">
        <x:v>80</x:v>
      </x:c>
      <x:c r="E987" s="13" t="n">
        <x:v>3</x:v>
      </x:c>
      <x:c r="F987" s="13" t="n">
        <x:v>83</x:v>
      </x:c>
      <x:c r="G987" s="13" t="n">
        <x:v>45</x:v>
      </x:c>
      <x:c r="H987" s="13" t="n">
        <x:v>1</x:v>
      </x:c>
      <x:c r="I987" s="13" t="n">
        <x:v>46</x:v>
      </x:c>
      <x:c r="J987" s="13" t="n">
        <x:v>-37</x:v>
      </x:c>
      <x:c r="K987" s="14" t="n">
        <x:f>IFERROR(F987/SUMIFS($F:$F,$B:$B,B987),0)</x:f>
        <x:v>0.0018649170898305846</x:v>
      </x:c>
      <x:c r="L987" s="12" t="str">
        <x:v>00–05</x:v>
      </x:c>
    </x:row>
    <x:row r="988">
      <x:c r="A988" s="12" t="str">
        <x:v>9/7–9/17平日</x:v>
      </x:c>
      <x:c r="B988" s="12" t="str">
        <x:v>2026-09-16</x:v>
      </x:c>
      <x:c r="C988" s="12" t="str">
        <x:v>01:00</x:v>
      </x:c>
      <x:c r="D988" s="13" t="n">
        <x:v>29</x:v>
      </x:c>
      <x:c r="E988" s="13" t="n">
        <x:v>1</x:v>
      </x:c>
      <x:c r="F988" s="13" t="n">
        <x:v>30</x:v>
      </x:c>
      <x:c r="G988" s="13" t="n">
        <x:v>24</x:v>
      </x:c>
      <x:c r="H988" s="13" t="n">
        <x:v>4</x:v>
      </x:c>
      <x:c r="I988" s="13" t="n">
        <x:v>28</x:v>
      </x:c>
      <x:c r="J988" s="13" t="n">
        <x:v>-2</x:v>
      </x:c>
      <x:c r="K988" s="14" t="n">
        <x:f>IFERROR(F988/SUMIFS($F:$F,$B:$B,B988),0)</x:f>
        <x:v>0.0006740664180110547</x:v>
      </x:c>
      <x:c r="L988" s="12" t="str">
        <x:v>00–05</x:v>
      </x:c>
    </x:row>
    <x:row r="989">
      <x:c r="A989" s="12" t="str">
        <x:v>9/7–9/17平日</x:v>
      </x:c>
      <x:c r="B989" s="12" t="str">
        <x:v>2026-09-16</x:v>
      </x:c>
      <x:c r="C989" s="12" t="str">
        <x:v>02:00</x:v>
      </x:c>
      <x:c r="D989" s="13" t="n">
        <x:v>34</x:v>
      </x:c>
      <x:c r="E989" s="13" t="n">
        <x:v>0</x:v>
      </x:c>
      <x:c r="F989" s="13" t="n">
        <x:v>34</x:v>
      </x:c>
      <x:c r="G989" s="13" t="n">
        <x:v>22</x:v>
      </x:c>
      <x:c r="H989" s="13" t="n">
        <x:v>0</x:v>
      </x:c>
      <x:c r="I989" s="13" t="n">
        <x:v>22</x:v>
      </x:c>
      <x:c r="J989" s="13" t="n">
        <x:v>-12</x:v>
      </x:c>
      <x:c r="K989" s="14" t="n">
        <x:f>IFERROR(F989/SUMIFS($F:$F,$B:$B,B989),0)</x:f>
        <x:v>0.0007639419404125286</x:v>
      </x:c>
      <x:c r="L989" s="12" t="str">
        <x:v>00–05</x:v>
      </x:c>
    </x:row>
    <x:row r="990">
      <x:c r="A990" s="12" t="str">
        <x:v>9/7–9/17平日</x:v>
      </x:c>
      <x:c r="B990" s="12" t="str">
        <x:v>2026-09-16</x:v>
      </x:c>
      <x:c r="C990" s="12" t="str">
        <x:v>03:00</x:v>
      </x:c>
      <x:c r="D990" s="13" t="n">
        <x:v>13</x:v>
      </x:c>
      <x:c r="E990" s="13" t="n">
        <x:v>1</x:v>
      </x:c>
      <x:c r="F990" s="13" t="n">
        <x:v>14</x:v>
      </x:c>
      <x:c r="G990" s="13" t="n">
        <x:v>12</x:v>
      </x:c>
      <x:c r="H990" s="13" t="n">
        <x:v>0</x:v>
      </x:c>
      <x:c r="I990" s="13" t="n">
        <x:v>12</x:v>
      </x:c>
      <x:c r="J990" s="13" t="n">
        <x:v>-2</x:v>
      </x:c>
      <x:c r="K990" s="14" t="n">
        <x:f>IFERROR(F990/SUMIFS($F:$F,$B:$B,B990),0)</x:f>
        <x:v>0.00031456432840515884</x:v>
      </x:c>
      <x:c r="L990" s="12" t="str">
        <x:v>00–05</x:v>
      </x:c>
    </x:row>
    <x:row r="991">
      <x:c r="A991" s="12" t="str">
        <x:v>9/7–9/17平日</x:v>
      </x:c>
      <x:c r="B991" s="12" t="str">
        <x:v>2026-09-16</x:v>
      </x:c>
      <x:c r="C991" s="12" t="str">
        <x:v>04:00</x:v>
      </x:c>
      <x:c r="D991" s="13" t="n">
        <x:v>16</x:v>
      </x:c>
      <x:c r="E991" s="13" t="n">
        <x:v>1</x:v>
      </x:c>
      <x:c r="F991" s="13" t="n">
        <x:v>17</x:v>
      </x:c>
      <x:c r="G991" s="13" t="n">
        <x:v>13</x:v>
      </x:c>
      <x:c r="H991" s="13" t="n">
        <x:v>1</x:v>
      </x:c>
      <x:c r="I991" s="13" t="n">
        <x:v>14</x:v>
      </x:c>
      <x:c r="J991" s="13" t="n">
        <x:v>-3</x:v>
      </x:c>
      <x:c r="K991" s="14" t="n">
        <x:f>IFERROR(F991/SUMIFS($F:$F,$B:$B,B991),0)</x:f>
        <x:v>0.0003819709702062643</x:v>
      </x:c>
      <x:c r="L991" s="12" t="str">
        <x:v>00–05</x:v>
      </x:c>
    </x:row>
    <x:row r="992">
      <x:c r="A992" s="12" t="str">
        <x:v>9/7–9/17平日</x:v>
      </x:c>
      <x:c r="B992" s="12" t="str">
        <x:v>2026-09-16</x:v>
      </x:c>
      <x:c r="C992" s="12" t="str">
        <x:v>05:00</x:v>
      </x:c>
      <x:c r="D992" s="13" t="n">
        <x:v>26</x:v>
      </x:c>
      <x:c r="E992" s="13" t="n">
        <x:v>1</x:v>
      </x:c>
      <x:c r="F992" s="13" t="n">
        <x:v>27</x:v>
      </x:c>
      <x:c r="G992" s="13" t="n">
        <x:v>38</x:v>
      </x:c>
      <x:c r="H992" s="13" t="n">
        <x:v>5</x:v>
      </x:c>
      <x:c r="I992" s="13" t="n">
        <x:v>43</x:v>
      </x:c>
      <x:c r="J992" s="13" t="n">
        <x:v>16</x:v>
      </x:c>
      <x:c r="K992" s="14" t="n">
        <x:f>IFERROR(F992/SUMIFS($F:$F,$B:$B,B992),0)</x:f>
        <x:v>0.0006066597762099492</x:v>
      </x:c>
      <x:c r="L992" s="12" t="str">
        <x:v>00–05</x:v>
      </x:c>
    </x:row>
    <x:row r="993">
      <x:c r="A993" s="12" t="str">
        <x:v>9/7–9/17平日</x:v>
      </x:c>
      <x:c r="B993" s="12" t="str">
        <x:v>2026-09-16</x:v>
      </x:c>
      <x:c r="C993" s="12" t="str">
        <x:v>06:00</x:v>
      </x:c>
      <x:c r="D993" s="13" t="n">
        <x:v>128</x:v>
      </x:c>
      <x:c r="E993" s="13" t="n">
        <x:v>3</x:v>
      </x:c>
      <x:c r="F993" s="13" t="n">
        <x:v>131</x:v>
      </x:c>
      <x:c r="G993" s="13" t="n">
        <x:v>137</x:v>
      </x:c>
      <x:c r="H993" s="13" t="n">
        <x:v>8</x:v>
      </x:c>
      <x:c r="I993" s="13" t="n">
        <x:v>145</x:v>
      </x:c>
      <x:c r="J993" s="13" t="n">
        <x:v>14</x:v>
      </x:c>
      <x:c r="K993" s="14" t="n">
        <x:f>IFERROR(F993/SUMIFS($F:$F,$B:$B,B993),0)</x:f>
        <x:v>0.0029434233586482722</x:v>
      </x:c>
      <x:c r="L993" s="12" t="str">
        <x:v>06–09</x:v>
      </x:c>
    </x:row>
    <x:row r="994">
      <x:c r="A994" s="12" t="str">
        <x:v>9/7–9/17平日</x:v>
      </x:c>
      <x:c r="B994" s="12" t="str">
        <x:v>2026-09-16</x:v>
      </x:c>
      <x:c r="C994" s="12" t="str">
        <x:v>07:00</x:v>
      </x:c>
      <x:c r="D994" s="13" t="n">
        <x:v>427</x:v>
      </x:c>
      <x:c r="E994" s="13" t="n">
        <x:v>6</x:v>
      </x:c>
      <x:c r="F994" s="13" t="n">
        <x:v>433</x:v>
      </x:c>
      <x:c r="G994" s="13" t="n">
        <x:v>645</x:v>
      </x:c>
      <x:c r="H994" s="13" t="n">
        <x:v>14</x:v>
      </x:c>
      <x:c r="I994" s="13" t="n">
        <x:v>659</x:v>
      </x:c>
      <x:c r="J994" s="13" t="n">
        <x:v>226</x:v>
      </x:c>
      <x:c r="K994" s="14" t="n">
        <x:f>IFERROR(F994/SUMIFS($F:$F,$B:$B,B994),0)</x:f>
        <x:v>0.009729025299959556</x:v>
      </x:c>
      <x:c r="L994" s="12" t="str">
        <x:v>06–09</x:v>
      </x:c>
    </x:row>
    <x:row r="995">
      <x:c r="A995" s="12" t="str">
        <x:v>9/7–9/17平日</x:v>
      </x:c>
      <x:c r="B995" s="12" t="str">
        <x:v>2026-09-16</x:v>
      </x:c>
      <x:c r="C995" s="12" t="str">
        <x:v>08:00</x:v>
      </x:c>
      <x:c r="D995" s="13" t="n">
        <x:v>1041</x:v>
      </x:c>
      <x:c r="E995" s="13" t="n">
        <x:v>43</x:v>
      </x:c>
      <x:c r="F995" s="13" t="n">
        <x:v>1084</x:v>
      </x:c>
      <x:c r="G995" s="13" t="n">
        <x:v>1476</x:v>
      </x:c>
      <x:c r="H995" s="13" t="n">
        <x:v>78</x:v>
      </x:c>
      <x:c r="I995" s="13" t="n">
        <x:v>1554</x:v>
      </x:c>
      <x:c r="J995" s="13" t="n">
        <x:v>470</x:v>
      </x:c>
      <x:c r="K995" s="14" t="n">
        <x:f>IFERROR(F995/SUMIFS($F:$F,$B:$B,B995),0)</x:f>
        <x:v>0.024356266570799444</x:v>
      </x:c>
      <x:c r="L995" s="12" t="str">
        <x:v>06–09</x:v>
      </x:c>
    </x:row>
    <x:row r="996">
      <x:c r="A996" s="12" t="str">
        <x:v>9/7–9/17平日</x:v>
      </x:c>
      <x:c r="B996" s="12" t="str">
        <x:v>2026-09-16</x:v>
      </x:c>
      <x:c r="C996" s="12" t="str">
        <x:v>09:00</x:v>
      </x:c>
      <x:c r="D996" s="13" t="n">
        <x:v>1049</x:v>
      </x:c>
      <x:c r="E996" s="13" t="n">
        <x:v>48</x:v>
      </x:c>
      <x:c r="F996" s="13" t="n">
        <x:v>1097</x:v>
      </x:c>
      <x:c r="G996" s="13" t="n">
        <x:v>1504</x:v>
      </x:c>
      <x:c r="H996" s="13" t="n">
        <x:v>107</x:v>
      </x:c>
      <x:c r="I996" s="13" t="n">
        <x:v>1611</x:v>
      </x:c>
      <x:c r="J996" s="13" t="n">
        <x:v>514</x:v>
      </x:c>
      <x:c r="K996" s="14" t="n">
        <x:f>IFERROR(F996/SUMIFS($F:$F,$B:$B,B996),0)</x:f>
        <x:v>0.024648362018604233</x:v>
      </x:c>
      <x:c r="L996" s="12" t="str">
        <x:v>06–09</x:v>
      </x:c>
    </x:row>
    <x:row r="997">
      <x:c r="A997" s="12" t="str">
        <x:v>9/7–9/17平日</x:v>
      </x:c>
      <x:c r="B997" s="12" t="str">
        <x:v>2026-09-16</x:v>
      </x:c>
      <x:c r="C997" s="12" t="str">
        <x:v>10:00</x:v>
      </x:c>
      <x:c r="D997" s="13" t="n">
        <x:v>1110</x:v>
      </x:c>
      <x:c r="E997" s="13" t="n">
        <x:v>64</x:v>
      </x:c>
      <x:c r="F997" s="13" t="n">
        <x:v>1174</x:v>
      </x:c>
      <x:c r="G997" s="13" t="n">
        <x:v>1419</x:v>
      </x:c>
      <x:c r="H997" s="13" t="n">
        <x:v>102</x:v>
      </x:c>
      <x:c r="I997" s="13" t="n">
        <x:v>1521</x:v>
      </x:c>
      <x:c r="J997" s="13" t="n">
        <x:v>347</x:v>
      </x:c>
      <x:c r="K997" s="14" t="n">
        <x:f>IFERROR(F997/SUMIFS($F:$F,$B:$B,B997),0)</x:f>
        <x:v>0.026378465824832605</x:v>
      </x:c>
      <x:c r="L997" s="12" t="str">
        <x:v>10–13</x:v>
      </x:c>
    </x:row>
    <x:row r="998">
      <x:c r="A998" s="12" t="str">
        <x:v>9/7–9/17平日</x:v>
      </x:c>
      <x:c r="B998" s="12" t="str">
        <x:v>2026-09-16</x:v>
      </x:c>
      <x:c r="C998" s="12" t="str">
        <x:v>11:00</x:v>
      </x:c>
      <x:c r="D998" s="13" t="n">
        <x:v>1152</x:v>
      </x:c>
      <x:c r="E998" s="13" t="n">
        <x:v>43</x:v>
      </x:c>
      <x:c r="F998" s="13" t="n">
        <x:v>1195</x:v>
      </x:c>
      <x:c r="G998" s="13" t="n">
        <x:v>987</x:v>
      </x:c>
      <x:c r="H998" s="13" t="n">
        <x:v>38</x:v>
      </x:c>
      <x:c r="I998" s="13" t="n">
        <x:v>1025</x:v>
      </x:c>
      <x:c r="J998" s="13" t="n">
        <x:v>-170</x:v>
      </x:c>
      <x:c r="K998" s="14" t="n">
        <x:f>IFERROR(F998/SUMIFS($F:$F,$B:$B,B998),0)</x:f>
        <x:v>0.026850312317440346</x:v>
      </x:c>
      <x:c r="L998" s="12" t="str">
        <x:v>10–13</x:v>
      </x:c>
    </x:row>
    <x:row r="999">
      <x:c r="A999" s="12" t="str">
        <x:v>9/7–9/17平日</x:v>
      </x:c>
      <x:c r="B999" s="12" t="str">
        <x:v>2026-09-16</x:v>
      </x:c>
      <x:c r="C999" s="12" t="str">
        <x:v>12:00</x:v>
      </x:c>
      <x:c r="D999" s="13" t="n">
        <x:v>2628</x:v>
      </x:c>
      <x:c r="E999" s="13" t="n">
        <x:v>148</x:v>
      </x:c>
      <x:c r="F999" s="13" t="n">
        <x:v>2776</x:v>
      </x:c>
      <x:c r="G999" s="13" t="n">
        <x:v>2469</x:v>
      </x:c>
      <x:c r="H999" s="13" t="n">
        <x:v>121</x:v>
      </x:c>
      <x:c r="I999" s="13" t="n">
        <x:v>2590</x:v>
      </x:c>
      <x:c r="J999" s="13" t="n">
        <x:v>-186</x:v>
      </x:c>
      <x:c r="K999" s="14" t="n">
        <x:f>IFERROR(F999/SUMIFS($F:$F,$B:$B,B999),0)</x:f>
        <x:v>0.06237361254662293</x:v>
      </x:c>
      <x:c r="L999" s="12" t="str">
        <x:v>10–13</x:v>
      </x:c>
    </x:row>
    <x:row r="1000">
      <x:c r="A1000" s="12" t="str">
        <x:v>9/7–9/17平日</x:v>
      </x:c>
      <x:c r="B1000" s="12" t="str">
        <x:v>2026-09-16</x:v>
      </x:c>
      <x:c r="C1000" s="12" t="str">
        <x:v>13:00</x:v>
      </x:c>
      <x:c r="D1000" s="13" t="n">
        <x:v>1855</x:v>
      </x:c>
      <x:c r="E1000" s="13" t="n">
        <x:v>63</x:v>
      </x:c>
      <x:c r="F1000" s="13" t="n">
        <x:v>1918</x:v>
      </x:c>
      <x:c r="G1000" s="13" t="n">
        <x:v>2126</x:v>
      </x:c>
      <x:c r="H1000" s="13" t="n">
        <x:v>99</x:v>
      </x:c>
      <x:c r="I1000" s="13" t="n">
        <x:v>2225</x:v>
      </x:c>
      <x:c r="J1000" s="13" t="n">
        <x:v>307</x:v>
      </x:c>
      <x:c r="K1000" s="14" t="n">
        <x:f>IFERROR(F1000/SUMIFS($F:$F,$B:$B,B1000),0)</x:f>
        <x:v>0.04309531299150676</x:v>
      </x:c>
      <x:c r="L1000" s="12" t="str">
        <x:v>10–13</x:v>
      </x:c>
    </x:row>
    <x:row r="1001">
      <x:c r="A1001" s="12" t="str">
        <x:v>9/7–9/17平日</x:v>
      </x:c>
      <x:c r="B1001" s="12" t="str">
        <x:v>2026-09-16</x:v>
      </x:c>
      <x:c r="C1001" s="12" t="str">
        <x:v>14:00</x:v>
      </x:c>
      <x:c r="D1001" s="13" t="n">
        <x:v>1340</x:v>
      </x:c>
      <x:c r="E1001" s="13" t="n">
        <x:v>40</x:v>
      </x:c>
      <x:c r="F1001" s="13" t="n">
        <x:v>1380</x:v>
      </x:c>
      <x:c r="G1001" s="13" t="n">
        <x:v>1464</x:v>
      </x:c>
      <x:c r="H1001" s="13" t="n">
        <x:v>50</x:v>
      </x:c>
      <x:c r="I1001" s="13" t="n">
        <x:v>1514</x:v>
      </x:c>
      <x:c r="J1001" s="13" t="n">
        <x:v>134</x:v>
      </x:c>
      <x:c r="K1001" s="14" t="n">
        <x:f>IFERROR(F1001/SUMIFS($F:$F,$B:$B,B1001),0)</x:f>
        <x:v>0.031007055228508516</x:v>
      </x:c>
      <x:c r="L1001" s="12" t="str">
        <x:v>14–17</x:v>
      </x:c>
    </x:row>
    <x:row r="1002">
      <x:c r="A1002" s="12" t="str">
        <x:v>9/7–9/17平日</x:v>
      </x:c>
      <x:c r="B1002" s="12" t="str">
        <x:v>2026-09-16</x:v>
      </x:c>
      <x:c r="C1002" s="12" t="str">
        <x:v>15:00</x:v>
      </x:c>
      <x:c r="D1002" s="13" t="n">
        <x:v>2057</x:v>
      </x:c>
      <x:c r="E1002" s="13" t="n">
        <x:v>78</x:v>
      </x:c>
      <x:c r="F1002" s="13" t="n">
        <x:v>2135</x:v>
      </x:c>
      <x:c r="G1002" s="13" t="n">
        <x:v>1833</x:v>
      </x:c>
      <x:c r="H1002" s="13" t="n">
        <x:v>67</x:v>
      </x:c>
      <x:c r="I1002" s="13" t="n">
        <x:v>1900</x:v>
      </x:c>
      <x:c r="J1002" s="13" t="n">
        <x:v>-235</x:v>
      </x:c>
      <x:c r="K1002" s="14" t="n">
        <x:f>IFERROR(F1002/SUMIFS($F:$F,$B:$B,B1002),0)</x:f>
        <x:v>0.047971060081786726</x:v>
      </x:c>
      <x:c r="L1002" s="12" t="str">
        <x:v>14–17</x:v>
      </x:c>
    </x:row>
    <x:row r="1003">
      <x:c r="A1003" s="12" t="str">
        <x:v>9/7–9/17平日</x:v>
      </x:c>
      <x:c r="B1003" s="12" t="str">
        <x:v>2026-09-16</x:v>
      </x:c>
      <x:c r="C1003" s="12" t="str">
        <x:v>16:00</x:v>
      </x:c>
      <x:c r="D1003" s="13" t="n">
        <x:v>1680</x:v>
      </x:c>
      <x:c r="E1003" s="13" t="n">
        <x:v>47</x:v>
      </x:c>
      <x:c r="F1003" s="13" t="n">
        <x:v>1727</x:v>
      </x:c>
      <x:c r="G1003" s="13" t="n">
        <x:v>1244</x:v>
      </x:c>
      <x:c r="H1003" s="13" t="n">
        <x:v>32</x:v>
      </x:c>
      <x:c r="I1003" s="13" t="n">
        <x:v>1276</x:v>
      </x:c>
      <x:c r="J1003" s="13" t="n">
        <x:v>-451</x:v>
      </x:c>
      <x:c r="K1003" s="14" t="n">
        <x:f>IFERROR(F1003/SUMIFS($F:$F,$B:$B,B1003),0)</x:f>
        <x:v>0.03880375679683638</x:v>
      </x:c>
      <x:c r="L1003" s="12" t="str">
        <x:v>14–17</x:v>
      </x:c>
    </x:row>
    <x:row r="1004">
      <x:c r="A1004" s="12" t="str">
        <x:v>9/7–9/17平日</x:v>
      </x:c>
      <x:c r="B1004" s="12" t="str">
        <x:v>2026-09-16</x:v>
      </x:c>
      <x:c r="C1004" s="12" t="str">
        <x:v>17:00</x:v>
      </x:c>
      <x:c r="D1004" s="13" t="n">
        <x:v>2414</x:v>
      </x:c>
      <x:c r="E1004" s="13" t="n">
        <x:v>136</x:v>
      </x:c>
      <x:c r="F1004" s="13" t="n">
        <x:v>2550</x:v>
      </x:c>
      <x:c r="G1004" s="13" t="n">
        <x:v>1707</x:v>
      </x:c>
      <x:c r="H1004" s="13" t="n">
        <x:v>58</x:v>
      </x:c>
      <x:c r="I1004" s="13" t="n">
        <x:v>1765</x:v>
      </x:c>
      <x:c r="J1004" s="13" t="n">
        <x:v>-785</x:v>
      </x:c>
      <x:c r="K1004" s="14" t="n">
        <x:f>IFERROR(F1004/SUMIFS($F:$F,$B:$B,B1004),0)</x:f>
        <x:v>0.057295645530939646</x:v>
      </x:c>
      <x:c r="L1004" s="12" t="str">
        <x:v>14–17</x:v>
      </x:c>
    </x:row>
    <x:row r="1005">
      <x:c r="A1005" s="12" t="str">
        <x:v>9/7–9/17平日</x:v>
      </x:c>
      <x:c r="B1005" s="12" t="str">
        <x:v>2026-09-16</x:v>
      </x:c>
      <x:c r="C1005" s="12" t="str">
        <x:v>18:00</x:v>
      </x:c>
      <x:c r="D1005" s="13" t="n">
        <x:v>1823</x:v>
      </x:c>
      <x:c r="E1005" s="13" t="n">
        <x:v>83</x:v>
      </x:c>
      <x:c r="F1005" s="13" t="n">
        <x:v>1906</x:v>
      </x:c>
      <x:c r="G1005" s="13" t="n">
        <x:v>1722</x:v>
      </x:c>
      <x:c r="H1005" s="13" t="n">
        <x:v>59</x:v>
      </x:c>
      <x:c r="I1005" s="13" t="n">
        <x:v>1781</x:v>
      </x:c>
      <x:c r="J1005" s="13" t="n">
        <x:v>-125</x:v>
      </x:c>
      <x:c r="K1005" s="14" t="n">
        <x:f>IFERROR(F1005/SUMIFS($F:$F,$B:$B,B1005),0)</x:f>
        <x:v>0.04282568642430234</x:v>
      </x:c>
      <x:c r="L1005" s="12" t="str">
        <x:v>18–21</x:v>
      </x:c>
    </x:row>
    <x:row r="1006">
      <x:c r="A1006" s="12" t="str">
        <x:v>9/7–9/17平日</x:v>
      </x:c>
      <x:c r="B1006" s="12" t="str">
        <x:v>2026-09-16</x:v>
      </x:c>
      <x:c r="C1006" s="12" t="str">
        <x:v>19:00</x:v>
      </x:c>
      <x:c r="D1006" s="13" t="n">
        <x:v>854</x:v>
      </x:c>
      <x:c r="E1006" s="13" t="n">
        <x:v>32</x:v>
      </x:c>
      <x:c r="F1006" s="13" t="n">
        <x:v>886</x:v>
      </x:c>
      <x:c r="G1006" s="13" t="n">
        <x:v>776</x:v>
      </x:c>
      <x:c r="H1006" s="13" t="n">
        <x:v>33</x:v>
      </x:c>
      <x:c r="I1006" s="13" t="n">
        <x:v>809</x:v>
      </x:c>
      <x:c r="J1006" s="13" t="n">
        <x:v>-77</x:v>
      </x:c>
      <x:c r="K1006" s="14" t="n">
        <x:f>IFERROR(F1006/SUMIFS($F:$F,$B:$B,B1006),0)</x:f>
        <x:v>0.01990742821192648</x:v>
      </x:c>
      <x:c r="L1006" s="12" t="str">
        <x:v>18–21</x:v>
      </x:c>
    </x:row>
    <x:row r="1007">
      <x:c r="A1007" s="12" t="str">
        <x:v>9/7–9/17平日</x:v>
      </x:c>
      <x:c r="B1007" s="12" t="str">
        <x:v>2026-09-16</x:v>
      </x:c>
      <x:c r="C1007" s="12" t="str">
        <x:v>20:00</x:v>
      </x:c>
      <x:c r="D1007" s="13" t="n">
        <x:v>717</x:v>
      </x:c>
      <x:c r="E1007" s="13" t="n">
        <x:v>55</x:v>
      </x:c>
      <x:c r="F1007" s="13" t="n">
        <x:v>772</x:v>
      </x:c>
      <x:c r="G1007" s="13" t="n">
        <x:v>519</x:v>
      </x:c>
      <x:c r="H1007" s="13" t="n">
        <x:v>24</x:v>
      </x:c>
      <x:c r="I1007" s="13" t="n">
        <x:v>543</x:v>
      </x:c>
      <x:c r="J1007" s="13" t="n">
        <x:v>-229</x:v>
      </x:c>
      <x:c r="K1007" s="14" t="n">
        <x:f>IFERROR(F1007/SUMIFS($F:$F,$B:$B,B1007),0)</x:f>
        <x:v>0.017345975823484475</x:v>
      </x:c>
      <x:c r="L1007" s="12" t="str">
        <x:v>18–21</x:v>
      </x:c>
    </x:row>
    <x:row r="1008">
      <x:c r="A1008" s="12" t="str">
        <x:v>9/7–9/17平日</x:v>
      </x:c>
      <x:c r="B1008" s="12" t="str">
        <x:v>2026-09-16</x:v>
      </x:c>
      <x:c r="C1008" s="12" t="str">
        <x:v>21:00</x:v>
      </x:c>
      <x:c r="D1008" s="13" t="n">
        <x:v>410</x:v>
      </x:c>
      <x:c r="E1008" s="13" t="n">
        <x:v>43</x:v>
      </x:c>
      <x:c r="F1008" s="13" t="n">
        <x:v>453</x:v>
      </x:c>
      <x:c r="G1008" s="13" t="n">
        <x:v>363</x:v>
      </x:c>
      <x:c r="H1008" s="13" t="n">
        <x:v>19</x:v>
      </x:c>
      <x:c r="I1008" s="13" t="n">
        <x:v>382</x:v>
      </x:c>
      <x:c r="J1008" s="13" t="n">
        <x:v>-71</x:v>
      </x:c>
      <x:c r="K1008" s="14" t="n">
        <x:f>IFERROR(F1008/SUMIFS($F:$F,$B:$B,B1008),0)</x:f>
        <x:v>0.010178402911966925</x:v>
      </x:c>
      <x:c r="L1008" s="12" t="str">
        <x:v>18–21</x:v>
      </x:c>
    </x:row>
    <x:row r="1009">
      <x:c r="A1009" s="12" t="str">
        <x:v>9/7–9/17平日</x:v>
      </x:c>
      <x:c r="B1009" s="12" t="str">
        <x:v>2026-09-16</x:v>
      </x:c>
      <x:c r="C1009" s="12" t="str">
        <x:v>22:00</x:v>
      </x:c>
      <x:c r="D1009" s="13" t="n">
        <x:v>230</x:v>
      </x:c>
      <x:c r="E1009" s="13" t="n">
        <x:v>12</x:v>
      </x:c>
      <x:c r="F1009" s="13" t="n">
        <x:v>242</x:v>
      </x:c>
      <x:c r="G1009" s="13" t="n">
        <x:v>228</x:v>
      </x:c>
      <x:c r="H1009" s="13" t="n">
        <x:v>9</x:v>
      </x:c>
      <x:c r="I1009" s="13" t="n">
        <x:v>237</x:v>
      </x:c>
      <x:c r="J1009" s="13" t="n">
        <x:v>-5</x:v>
      </x:c>
      <x:c r="K1009" s="14" t="n">
        <x:f>IFERROR(F1009/SUMIFS($F:$F,$B:$B,B1009),0)</x:f>
        <x:v>0.005437469105289174</x:v>
      </x:c>
      <x:c r="L1009" s="12" t="str">
        <x:v>22–23</x:v>
      </x:c>
    </x:row>
    <x:row r="1010">
      <x:c r="A1010" s="12" t="str">
        <x:v>9/7–9/17平日</x:v>
      </x:c>
      <x:c r="B1010" s="12" t="str">
        <x:v>2026-09-16</x:v>
      </x:c>
      <x:c r="C1010" s="12" t="str">
        <x:v>23:00</x:v>
      </x:c>
      <x:c r="D1010" s="13" t="n">
        <x:v>181</x:v>
      </x:c>
      <x:c r="E1010" s="13" t="n">
        <x:v>8</x:v>
      </x:c>
      <x:c r="F1010" s="13" t="n">
        <x:v>189</x:v>
      </x:c>
      <x:c r="G1010" s="13" t="n">
        <x:v>134</x:v>
      </x:c>
      <x:c r="H1010" s="13" t="n">
        <x:v>6</x:v>
      </x:c>
      <x:c r="I1010" s="13" t="n">
        <x:v>140</x:v>
      </x:c>
      <x:c r="J1010" s="13" t="n">
        <x:v>-49</x:v>
      </x:c>
      <x:c r="K1010" s="14" t="n">
        <x:f>IFERROR(F1010/SUMIFS($F:$F,$B:$B,B1010),0)</x:f>
        <x:v>0.0042466184334696445</x:v>
      </x:c>
      <x:c r="L1010" s="12" t="str">
        <x:v>22–23</x:v>
      </x:c>
    </x:row>
    <x:row r="1011">
      <x:c r="A1011" s="12" t="str">
        <x:v>9/7–9/17平日</x:v>
      </x:c>
      <x:c r="B1011" s="12" t="str">
        <x:v>2026-09-17</x:v>
      </x:c>
      <x:c r="C1011" s="12" t="str">
        <x:v>00:00</x:v>
      </x:c>
      <x:c r="D1011" s="13" t="n">
        <x:v>109</x:v>
      </x:c>
      <x:c r="E1011" s="13" t="n">
        <x:v>2</x:v>
      </x:c>
      <x:c r="F1011" s="13" t="n">
        <x:v>111</x:v>
      </x:c>
      <x:c r="G1011" s="13" t="n">
        <x:v>85</x:v>
      </x:c>
      <x:c r="H1011" s="13" t="n">
        <x:v>9</x:v>
      </x:c>
      <x:c r="I1011" s="13" t="n">
        <x:v>94</x:v>
      </x:c>
      <x:c r="J1011" s="13" t="n">
        <x:v>-17</x:v>
      </x:c>
      <x:c r="K1011" s="14" t="n">
        <x:f>IFERROR(F1011/SUMIFS($F:$F,$B:$B,B1011),0)</x:f>
        <x:v>0.002617801047120419</x:v>
      </x:c>
      <x:c r="L1011" s="12" t="str">
        <x:v>00–05</x:v>
      </x:c>
    </x:row>
    <x:row r="1012">
      <x:c r="A1012" s="12" t="str">
        <x:v>9/7–9/17平日</x:v>
      </x:c>
      <x:c r="B1012" s="12" t="str">
        <x:v>2026-09-17</x:v>
      </x:c>
      <x:c r="C1012" s="12" t="str">
        <x:v>01:00</x:v>
      </x:c>
      <x:c r="D1012" s="13" t="n">
        <x:v>51</x:v>
      </x:c>
      <x:c r="E1012" s="13" t="n">
        <x:v>2</x:v>
      </x:c>
      <x:c r="F1012" s="13" t="n">
        <x:v>53</x:v>
      </x:c>
      <x:c r="G1012" s="13" t="n">
        <x:v>51</x:v>
      </x:c>
      <x:c r="H1012" s="13" t="n">
        <x:v>7</x:v>
      </x:c>
      <x:c r="I1012" s="13" t="n">
        <x:v>58</x:v>
      </x:c>
      <x:c r="J1012" s="13" t="n">
        <x:v>5</x:v>
      </x:c>
      <x:c r="K1012" s="14" t="n">
        <x:f>IFERROR(F1012/SUMIFS($F:$F,$B:$B,B1012),0)</x:f>
        <x:v>0.0012499410405169568</x:v>
      </x:c>
      <x:c r="L1012" s="12" t="str">
        <x:v>00–05</x:v>
      </x:c>
    </x:row>
    <x:row r="1013">
      <x:c r="A1013" s="12" t="str">
        <x:v>9/7–9/17平日</x:v>
      </x:c>
      <x:c r="B1013" s="12" t="str">
        <x:v>2026-09-17</x:v>
      </x:c>
      <x:c r="C1013" s="12" t="str">
        <x:v>02:00</x:v>
      </x:c>
      <x:c r="D1013" s="13" t="n">
        <x:v>27</x:v>
      </x:c>
      <x:c r="E1013" s="13" t="n">
        <x:v>0</x:v>
      </x:c>
      <x:c r="F1013" s="13" t="n">
        <x:v>27</x:v>
      </x:c>
      <x:c r="G1013" s="13" t="n">
        <x:v>19</x:v>
      </x:c>
      <x:c r="H1013" s="13" t="n">
        <x:v>0</x:v>
      </x:c>
      <x:c r="I1013" s="13" t="n">
        <x:v>19</x:v>
      </x:c>
      <x:c r="J1013" s="13" t="n">
        <x:v>-8</x:v>
      </x:c>
      <x:c r="K1013" s="14" t="n">
        <x:f>IFERROR(F1013/SUMIFS($F:$F,$B:$B,B1013),0)</x:f>
        <x:v>0.000636762416867129</x:v>
      </x:c>
      <x:c r="L1013" s="12" t="str">
        <x:v>00–05</x:v>
      </x:c>
    </x:row>
    <x:row r="1014">
      <x:c r="A1014" s="12" t="str">
        <x:v>9/7–9/17平日</x:v>
      </x:c>
      <x:c r="B1014" s="12" t="str">
        <x:v>2026-09-17</x:v>
      </x:c>
      <x:c r="C1014" s="12" t="str">
        <x:v>03:00</x:v>
      </x:c>
      <x:c r="D1014" s="13" t="n">
        <x:v>13</x:v>
      </x:c>
      <x:c r="E1014" s="13" t="n">
        <x:v>0</x:v>
      </x:c>
      <x:c r="F1014" s="13" t="n">
        <x:v>13</x:v>
      </x:c>
      <x:c r="G1014" s="13" t="n">
        <x:v>12</x:v>
      </x:c>
      <x:c r="H1014" s="13" t="n">
        <x:v>0</x:v>
      </x:c>
      <x:c r="I1014" s="13" t="n">
        <x:v>12</x:v>
      </x:c>
      <x:c r="J1014" s="13" t="n">
        <x:v>-1</x:v>
      </x:c>
      <x:c r="K1014" s="14" t="n">
        <x:f>IFERROR(F1014/SUMIFS($F:$F,$B:$B,B1014),0)</x:f>
        <x:v>0.00030658931182491394</x:v>
      </x:c>
      <x:c r="L1014" s="12" t="str">
        <x:v>00–05</x:v>
      </x:c>
    </x:row>
    <x:row r="1015">
      <x:c r="A1015" s="12" t="str">
        <x:v>9/7–9/17平日</x:v>
      </x:c>
      <x:c r="B1015" s="12" t="str">
        <x:v>2026-09-17</x:v>
      </x:c>
      <x:c r="C1015" s="12" t="str">
        <x:v>04:00</x:v>
      </x:c>
      <x:c r="D1015" s="13" t="n">
        <x:v>23</x:v>
      </x:c>
      <x:c r="E1015" s="13" t="n">
        <x:v>1</x:v>
      </x:c>
      <x:c r="F1015" s="13" t="n">
        <x:v>24</x:v>
      </x:c>
      <x:c r="G1015" s="13" t="n">
        <x:v>13</x:v>
      </x:c>
      <x:c r="H1015" s="13" t="n">
        <x:v>1</x:v>
      </x:c>
      <x:c r="I1015" s="13" t="n">
        <x:v>14</x:v>
      </x:c>
      <x:c r="J1015" s="13" t="n">
        <x:v>-10</x:v>
      </x:c>
      <x:c r="K1015" s="14" t="n">
        <x:f>IFERROR(F1015/SUMIFS($F:$F,$B:$B,B1015),0)</x:f>
        <x:v>0.0005660110372152257</x:v>
      </x:c>
      <x:c r="L1015" s="12" t="str">
        <x:v>00–05</x:v>
      </x:c>
    </x:row>
    <x:row r="1016">
      <x:c r="A1016" s="12" t="str">
        <x:v>9/7–9/17平日</x:v>
      </x:c>
      <x:c r="B1016" s="12" t="str">
        <x:v>2026-09-17</x:v>
      </x:c>
      <x:c r="C1016" s="12" t="str">
        <x:v>05:00</x:v>
      </x:c>
      <x:c r="D1016" s="13" t="n">
        <x:v>39</x:v>
      </x:c>
      <x:c r="E1016" s="13" t="n">
        <x:v>1</x:v>
      </x:c>
      <x:c r="F1016" s="13" t="n">
        <x:v>40</x:v>
      </x:c>
      <x:c r="G1016" s="13" t="n">
        <x:v>53</x:v>
      </x:c>
      <x:c r="H1016" s="13" t="n">
        <x:v>3</x:v>
      </x:c>
      <x:c r="I1016" s="13" t="n">
        <x:v>56</x:v>
      </x:c>
      <x:c r="J1016" s="13" t="n">
        <x:v>16</x:v>
      </x:c>
      <x:c r="K1016" s="14" t="n">
        <x:f>IFERROR(F1016/SUMIFS($F:$F,$B:$B,B1016),0)</x:f>
        <x:v>0.0009433517286920428</x:v>
      </x:c>
      <x:c r="L1016" s="12" t="str">
        <x:v>00–05</x:v>
      </x:c>
    </x:row>
    <x:row r="1017">
      <x:c r="A1017" s="12" t="str">
        <x:v>9/7–9/17平日</x:v>
      </x:c>
      <x:c r="B1017" s="12" t="str">
        <x:v>2026-09-17</x:v>
      </x:c>
      <x:c r="C1017" s="12" t="str">
        <x:v>06:00</x:v>
      </x:c>
      <x:c r="D1017" s="13" t="n">
        <x:v>115</x:v>
      </x:c>
      <x:c r="E1017" s="13" t="n">
        <x:v>2</x:v>
      </x:c>
      <x:c r="F1017" s="13" t="n">
        <x:v>117</x:v>
      </x:c>
      <x:c r="G1017" s="13" t="n">
        <x:v>131</x:v>
      </x:c>
      <x:c r="H1017" s="13" t="n">
        <x:v>10</x:v>
      </x:c>
      <x:c r="I1017" s="13" t="n">
        <x:v>141</x:v>
      </x:c>
      <x:c r="J1017" s="13" t="n">
        <x:v>24</x:v>
      </x:c>
      <x:c r="K1017" s="14" t="n">
        <x:f>IFERROR(F1017/SUMIFS($F:$F,$B:$B,B1017),0)</x:f>
        <x:v>0.0027593038064242254</x:v>
      </x:c>
      <x:c r="L1017" s="12" t="str">
        <x:v>06–09</x:v>
      </x:c>
    </x:row>
    <x:row r="1018">
      <x:c r="A1018" s="12" t="str">
        <x:v>9/7–9/17平日</x:v>
      </x:c>
      <x:c r="B1018" s="12" t="str">
        <x:v>2026-09-17</x:v>
      </x:c>
      <x:c r="C1018" s="12" t="str">
        <x:v>07:00</x:v>
      </x:c>
      <x:c r="D1018" s="13" t="n">
        <x:v>424</x:v>
      </x:c>
      <x:c r="E1018" s="13" t="n">
        <x:v>16</x:v>
      </x:c>
      <x:c r="F1018" s="13" t="n">
        <x:v>440</x:v>
      </x:c>
      <x:c r="G1018" s="13" t="n">
        <x:v>542</x:v>
      </x:c>
      <x:c r="H1018" s="13" t="n">
        <x:v>26</x:v>
      </x:c>
      <x:c r="I1018" s="13" t="n">
        <x:v>568</x:v>
      </x:c>
      <x:c r="J1018" s="13" t="n">
        <x:v>128</x:v>
      </x:c>
      <x:c r="K1018" s="14" t="n">
        <x:f>IFERROR(F1018/SUMIFS($F:$F,$B:$B,B1018),0)</x:f>
        <x:v>0.010376869015612472</x:v>
      </x:c>
      <x:c r="L1018" s="12" t="str">
        <x:v>06–09</x:v>
      </x:c>
    </x:row>
    <x:row r="1019">
      <x:c r="A1019" s="12" t="str">
        <x:v>9/7–9/17平日</x:v>
      </x:c>
      <x:c r="B1019" s="12" t="str">
        <x:v>2026-09-17</x:v>
      </x:c>
      <x:c r="C1019" s="12" t="str">
        <x:v>08:00</x:v>
      </x:c>
      <x:c r="D1019" s="13" t="n">
        <x:v>904</x:v>
      </x:c>
      <x:c r="E1019" s="13" t="n">
        <x:v>60</x:v>
      </x:c>
      <x:c r="F1019" s="13" t="n">
        <x:v>964</x:v>
      </x:c>
      <x:c r="G1019" s="13" t="n">
        <x:v>1279</x:v>
      </x:c>
      <x:c r="H1019" s="13" t="n">
        <x:v>74</x:v>
      </x:c>
      <x:c r="I1019" s="13" t="n">
        <x:v>1353</x:v>
      </x:c>
      <x:c r="J1019" s="13" t="n">
        <x:v>389</x:v>
      </x:c>
      <x:c r="K1019" s="14" t="n">
        <x:f>IFERROR(F1019/SUMIFS($F:$F,$B:$B,B1019),0)</x:f>
        <x:v>0.02273477666147823</x:v>
      </x:c>
      <x:c r="L1019" s="12" t="str">
        <x:v>06–09</x:v>
      </x:c>
    </x:row>
    <x:row r="1020">
      <x:c r="A1020" s="12" t="str">
        <x:v>9/7–9/17平日</x:v>
      </x:c>
      <x:c r="B1020" s="12" t="str">
        <x:v>2026-09-17</x:v>
      </x:c>
      <x:c r="C1020" s="12" t="str">
        <x:v>09:00</x:v>
      </x:c>
      <x:c r="D1020" s="13" t="n">
        <x:v>1041</x:v>
      </x:c>
      <x:c r="E1020" s="13" t="n">
        <x:v>37</x:v>
      </x:c>
      <x:c r="F1020" s="13" t="n">
        <x:v>1078</x:v>
      </x:c>
      <x:c r="G1020" s="13" t="n">
        <x:v>1423</x:v>
      </x:c>
      <x:c r="H1020" s="13" t="n">
        <x:v>92</x:v>
      </x:c>
      <x:c r="I1020" s="13" t="n">
        <x:v>1515</x:v>
      </x:c>
      <x:c r="J1020" s="13" t="n">
        <x:v>437</x:v>
      </x:c>
      <x:c r="K1020" s="14" t="n">
        <x:f>IFERROR(F1020/SUMIFS($F:$F,$B:$B,B1020),0)</x:f>
        <x:v>0.025423329088250554</x:v>
      </x:c>
      <x:c r="L1020" s="12" t="str">
        <x:v>06–09</x:v>
      </x:c>
    </x:row>
    <x:row r="1021">
      <x:c r="A1021" s="12" t="str">
        <x:v>9/7–9/17平日</x:v>
      </x:c>
      <x:c r="B1021" s="12" t="str">
        <x:v>2026-09-17</x:v>
      </x:c>
      <x:c r="C1021" s="12" t="str">
        <x:v>10:00</x:v>
      </x:c>
      <x:c r="D1021" s="13" t="n">
        <x:v>1194</x:v>
      </x:c>
      <x:c r="E1021" s="13" t="n">
        <x:v>49</x:v>
      </x:c>
      <x:c r="F1021" s="13" t="n">
        <x:v>1243</x:v>
      </x:c>
      <x:c r="G1021" s="13" t="n">
        <x:v>1547</x:v>
      </x:c>
      <x:c r="H1021" s="13" t="n">
        <x:v>99</x:v>
      </x:c>
      <x:c r="I1021" s="13" t="n">
        <x:v>1646</x:v>
      </x:c>
      <x:c r="J1021" s="13" t="n">
        <x:v>403</x:v>
      </x:c>
      <x:c r="K1021" s="14" t="n">
        <x:f>IFERROR(F1021/SUMIFS($F:$F,$B:$B,B1021),0)</x:f>
        <x:v>0.029314654969105233</x:v>
      </x:c>
      <x:c r="L1021" s="12" t="str">
        <x:v>10–13</x:v>
      </x:c>
    </x:row>
    <x:row r="1022">
      <x:c r="A1022" s="12" t="str">
        <x:v>9/7–9/17平日</x:v>
      </x:c>
      <x:c r="B1022" s="12" t="str">
        <x:v>2026-09-17</x:v>
      </x:c>
      <x:c r="C1022" s="12" t="str">
        <x:v>11:00</x:v>
      </x:c>
      <x:c r="D1022" s="13" t="n">
        <x:v>1136</x:v>
      </x:c>
      <x:c r="E1022" s="13" t="n">
        <x:v>48</x:v>
      </x:c>
      <x:c r="F1022" s="13" t="n">
        <x:v>1184</x:v>
      </x:c>
      <x:c r="G1022" s="13" t="n">
        <x:v>1004</x:v>
      </x:c>
      <x:c r="H1022" s="13" t="n">
        <x:v>48</x:v>
      </x:c>
      <x:c r="I1022" s="13" t="n">
        <x:v>1052</x:v>
      </x:c>
      <x:c r="J1022" s="13" t="n">
        <x:v>-132</x:v>
      </x:c>
      <x:c r="K1022" s="14" t="n">
        <x:f>IFERROR(F1022/SUMIFS($F:$F,$B:$B,B1022),0)</x:f>
        <x:v>0.027923211169284468</x:v>
      </x:c>
      <x:c r="L1022" s="12" t="str">
        <x:v>10–13</x:v>
      </x:c>
    </x:row>
    <x:row r="1023">
      <x:c r="A1023" s="12" t="str">
        <x:v>9/7–9/17平日</x:v>
      </x:c>
      <x:c r="B1023" s="12" t="str">
        <x:v>2026-09-17</x:v>
      </x:c>
      <x:c r="C1023" s="12" t="str">
        <x:v>12:00</x:v>
      </x:c>
      <x:c r="D1023" s="13" t="n">
        <x:v>2342</x:v>
      </x:c>
      <x:c r="E1023" s="13" t="n">
        <x:v>84</x:v>
      </x:c>
      <x:c r="F1023" s="13" t="n">
        <x:v>2426</x:v>
      </x:c>
      <x:c r="G1023" s="13" t="n">
        <x:v>2132</x:v>
      </x:c>
      <x:c r="H1023" s="13" t="n">
        <x:v>66</x:v>
      </x:c>
      <x:c r="I1023" s="13" t="n">
        <x:v>2198</x:v>
      </x:c>
      <x:c r="J1023" s="13" t="n">
        <x:v>-228</x:v>
      </x:c>
      <x:c r="K1023" s="14" t="n">
        <x:f>IFERROR(F1023/SUMIFS($F:$F,$B:$B,B1023),0)</x:f>
        <x:v>0.057214282345172396</x:v>
      </x:c>
      <x:c r="L1023" s="12" t="str">
        <x:v>10–13</x:v>
      </x:c>
    </x:row>
    <x:row r="1024">
      <x:c r="A1024" s="12" t="str">
        <x:v>9/7–9/17平日</x:v>
      </x:c>
      <x:c r="B1024" s="12" t="str">
        <x:v>2026-09-17</x:v>
      </x:c>
      <x:c r="C1024" s="12" t="str">
        <x:v>13:00</x:v>
      </x:c>
      <x:c r="D1024" s="13" t="n">
        <x:v>1795</x:v>
      </x:c>
      <x:c r="E1024" s="13" t="n">
        <x:v>60</x:v>
      </x:c>
      <x:c r="F1024" s="13" t="n">
        <x:v>1855</x:v>
      </x:c>
      <x:c r="G1024" s="13" t="n">
        <x:v>2098</x:v>
      </x:c>
      <x:c r="H1024" s="13" t="n">
        <x:v>77</x:v>
      </x:c>
      <x:c r="I1024" s="13" t="n">
        <x:v>2175</x:v>
      </x:c>
      <x:c r="J1024" s="13" t="n">
        <x:v>320</x:v>
      </x:c>
      <x:c r="K1024" s="14" t="n">
        <x:f>IFERROR(F1024/SUMIFS($F:$F,$B:$B,B1024),0)</x:f>
        <x:v>0.043747936418093485</x:v>
      </x:c>
      <x:c r="L1024" s="12" t="str">
        <x:v>10–13</x:v>
      </x:c>
    </x:row>
    <x:row r="1025">
      <x:c r="A1025" s="12" t="str">
        <x:v>9/7–9/17平日</x:v>
      </x:c>
      <x:c r="B1025" s="12" t="str">
        <x:v>2026-09-17</x:v>
      </x:c>
      <x:c r="C1025" s="12" t="str">
        <x:v>14:00</x:v>
      </x:c>
      <x:c r="D1025" s="13" t="n">
        <x:v>1414</x:v>
      </x:c>
      <x:c r="E1025" s="13" t="n">
        <x:v>39</x:v>
      </x:c>
      <x:c r="F1025" s="13" t="n">
        <x:v>1453</x:v>
      </x:c>
      <x:c r="G1025" s="13" t="n">
        <x:v>1603</x:v>
      </x:c>
      <x:c r="H1025" s="13" t="n">
        <x:v>49</x:v>
      </x:c>
      <x:c r="I1025" s="13" t="n">
        <x:v>1652</x:v>
      </x:c>
      <x:c r="J1025" s="13" t="n">
        <x:v>199</x:v>
      </x:c>
      <x:c r="K1025" s="14" t="n">
        <x:f>IFERROR(F1025/SUMIFS($F:$F,$B:$B,B1025),0)</x:f>
        <x:v>0.034267251544738454</x:v>
      </x:c>
      <x:c r="L1025" s="12" t="str">
        <x:v>14–17</x:v>
      </x:c>
    </x:row>
    <x:row r="1026">
      <x:c r="A1026" s="12" t="str">
        <x:v>9/7–9/17平日</x:v>
      </x:c>
      <x:c r="B1026" s="12" t="str">
        <x:v>2026-09-17</x:v>
      </x:c>
      <x:c r="C1026" s="12" t="str">
        <x:v>15:00</x:v>
      </x:c>
      <x:c r="D1026" s="13" t="n">
        <x:v>1865</x:v>
      </x:c>
      <x:c r="E1026" s="13" t="n">
        <x:v>77</x:v>
      </x:c>
      <x:c r="F1026" s="13" t="n">
        <x:v>1942</x:v>
      </x:c>
      <x:c r="G1026" s="13" t="n">
        <x:v>1681</x:v>
      </x:c>
      <x:c r="H1026" s="13" t="n">
        <x:v>64</x:v>
      </x:c>
      <x:c r="I1026" s="13" t="n">
        <x:v>1745</x:v>
      </x:c>
      <x:c r="J1026" s="13" t="n">
        <x:v>-197</x:v>
      </x:c>
      <x:c r="K1026" s="14" t="n">
        <x:f>IFERROR(F1026/SUMIFS($F:$F,$B:$B,B1026),0)</x:f>
        <x:v>0.04579972642799868</x:v>
      </x:c>
      <x:c r="L1026" s="12" t="str">
        <x:v>14–17</x:v>
      </x:c>
    </x:row>
    <x:row r="1027">
      <x:c r="A1027" s="12" t="str">
        <x:v>9/7–9/17平日</x:v>
      </x:c>
      <x:c r="B1027" s="12" t="str">
        <x:v>2026-09-17</x:v>
      </x:c>
      <x:c r="C1027" s="12" t="str">
        <x:v>16:00</x:v>
      </x:c>
      <x:c r="D1027" s="13" t="n">
        <x:v>1639</x:v>
      </x:c>
      <x:c r="E1027" s="13" t="n">
        <x:v>70</x:v>
      </x:c>
      <x:c r="F1027" s="13" t="n">
        <x:v>1709</x:v>
      </x:c>
      <x:c r="G1027" s="13" t="n">
        <x:v>1135</x:v>
      </x:c>
      <x:c r="H1027" s="13" t="n">
        <x:v>54</x:v>
      </x:c>
      <x:c r="I1027" s="13" t="n">
        <x:v>1189</x:v>
      </x:c>
      <x:c r="J1027" s="13" t="n">
        <x:v>-520</x:v>
      </x:c>
      <x:c r="K1027" s="14" t="n">
        <x:f>IFERROR(F1027/SUMIFS($F:$F,$B:$B,B1027),0)</x:f>
        <x:v>0.04030470260836753</x:v>
      </x:c>
      <x:c r="L1027" s="12" t="str">
        <x:v>14–17</x:v>
      </x:c>
    </x:row>
    <x:row r="1028">
      <x:c r="A1028" s="12" t="str">
        <x:v>9/7–9/17平日</x:v>
      </x:c>
      <x:c r="B1028" s="12" t="str">
        <x:v>2026-09-17</x:v>
      </x:c>
      <x:c r="C1028" s="12" t="str">
        <x:v>17:00</x:v>
      </x:c>
      <x:c r="D1028" s="13" t="n">
        <x:v>2383</x:v>
      </x:c>
      <x:c r="E1028" s="13" t="n">
        <x:v>147</x:v>
      </x:c>
      <x:c r="F1028" s="13" t="n">
        <x:v>2530</x:v>
      </x:c>
      <x:c r="G1028" s="13" t="n">
        <x:v>1719</x:v>
      </x:c>
      <x:c r="H1028" s="13" t="n">
        <x:v>63</x:v>
      </x:c>
      <x:c r="I1028" s="13" t="n">
        <x:v>1782</x:v>
      </x:c>
      <x:c r="J1028" s="13" t="n">
        <x:v>-748</x:v>
      </x:c>
      <x:c r="K1028" s="14" t="n">
        <x:f>IFERROR(F1028/SUMIFS($F:$F,$B:$B,B1028),0)</x:f>
        <x:v>0.05966699683977171</x:v>
      </x:c>
      <x:c r="L1028" s="12" t="str">
        <x:v>14–17</x:v>
      </x:c>
    </x:row>
    <x:row r="1029">
      <x:c r="A1029" s="12" t="str">
        <x:v>9/7–9/17平日</x:v>
      </x:c>
      <x:c r="B1029" s="12" t="str">
        <x:v>2026-09-17</x:v>
      </x:c>
      <x:c r="C1029" s="12" t="str">
        <x:v>18:00</x:v>
      </x:c>
      <x:c r="D1029" s="13" t="n">
        <x:v>1506</x:v>
      </x:c>
      <x:c r="E1029" s="13" t="n">
        <x:v>72</x:v>
      </x:c>
      <x:c r="F1029" s="13" t="n">
        <x:v>1578</x:v>
      </x:c>
      <x:c r="G1029" s="13" t="n">
        <x:v>1429</x:v>
      </x:c>
      <x:c r="H1029" s="13" t="n">
        <x:v>75</x:v>
      </x:c>
      <x:c r="I1029" s="13" t="n">
        <x:v>1504</x:v>
      </x:c>
      <x:c r="J1029" s="13" t="n">
        <x:v>-74</x:v>
      </x:c>
      <x:c r="K1029" s="14" t="n">
        <x:f>IFERROR(F1029/SUMIFS($F:$F,$B:$B,B1029),0)</x:f>
        <x:v>0.03721522569690109</x:v>
      </x:c>
      <x:c r="L1029" s="12" t="str">
        <x:v>18–21</x:v>
      </x:c>
    </x:row>
    <x:row r="1030">
      <x:c r="A1030" s="12" t="str">
        <x:v>9/7–9/17平日</x:v>
      </x:c>
      <x:c r="B1030" s="12" t="str">
        <x:v>2026-09-17</x:v>
      </x:c>
      <x:c r="C1030" s="12" t="str">
        <x:v>19:00</x:v>
      </x:c>
      <x:c r="D1030" s="13" t="n">
        <x:v>883</x:v>
      </x:c>
      <x:c r="E1030" s="13" t="n">
        <x:v>33</x:v>
      </x:c>
      <x:c r="F1030" s="13" t="n">
        <x:v>916</x:v>
      </x:c>
      <x:c r="G1030" s="13" t="n">
        <x:v>760</x:v>
      </x:c>
      <x:c r="H1030" s="13" t="n">
        <x:v>29</x:v>
      </x:c>
      <x:c r="I1030" s="13" t="n">
        <x:v>789</x:v>
      </x:c>
      <x:c r="J1030" s="13" t="n">
        <x:v>-127</x:v>
      </x:c>
      <x:c r="K1030" s="14" t="n">
        <x:f>IFERROR(F1030/SUMIFS($F:$F,$B:$B,B1030),0)</x:f>
        <x:v>0.02160275458704778</x:v>
      </x:c>
      <x:c r="L1030" s="12" t="str">
        <x:v>18–21</x:v>
      </x:c>
    </x:row>
    <x:row r="1031">
      <x:c r="A1031" s="12" t="str">
        <x:v>9/7–9/17平日</x:v>
      </x:c>
      <x:c r="B1031" s="12" t="str">
        <x:v>2026-09-17</x:v>
      </x:c>
      <x:c r="C1031" s="12" t="str">
        <x:v>20:00</x:v>
      </x:c>
      <x:c r="D1031" s="13" t="n">
        <x:v>609</x:v>
      </x:c>
      <x:c r="E1031" s="13" t="n">
        <x:v>50</x:v>
      </x:c>
      <x:c r="F1031" s="13" t="n">
        <x:v>659</x:v>
      </x:c>
      <x:c r="G1031" s="13" t="n">
        <x:v>467</x:v>
      </x:c>
      <x:c r="H1031" s="13" t="n">
        <x:v>19</x:v>
      </x:c>
      <x:c r="I1031" s="13" t="n">
        <x:v>486</x:v>
      </x:c>
      <x:c r="J1031" s="13" t="n">
        <x:v>-173</x:v>
      </x:c>
      <x:c r="K1031" s="14" t="n">
        <x:f>IFERROR(F1031/SUMIFS($F:$F,$B:$B,B1031),0)</x:f>
        <x:v>0.015541719730201405</x:v>
      </x:c>
      <x:c r="L1031" s="12" t="str">
        <x:v>18–21</x:v>
      </x:c>
    </x:row>
    <x:row r="1032">
      <x:c r="A1032" s="12" t="str">
        <x:v>9/7–9/17平日</x:v>
      </x:c>
      <x:c r="B1032" s="12" t="str">
        <x:v>2026-09-17</x:v>
      </x:c>
      <x:c r="C1032" s="12" t="str">
        <x:v>21:00</x:v>
      </x:c>
      <x:c r="D1032" s="13" t="n">
        <x:v>389</x:v>
      </x:c>
      <x:c r="E1032" s="13" t="n">
        <x:v>29</x:v>
      </x:c>
      <x:c r="F1032" s="13" t="n">
        <x:v>418</x:v>
      </x:c>
      <x:c r="G1032" s="13" t="n">
        <x:v>345</x:v>
      </x:c>
      <x:c r="H1032" s="13" t="n">
        <x:v>12</x:v>
      </x:c>
      <x:c r="I1032" s="13" t="n">
        <x:v>357</x:v>
      </x:c>
      <x:c r="J1032" s="13" t="n">
        <x:v>-61</x:v>
      </x:c>
      <x:c r="K1032" s="14" t="n">
        <x:f>IFERROR(F1032/SUMIFS($F:$F,$B:$B,B1032),0)</x:f>
        <x:v>0.009858025564831847</x:v>
      </x:c>
      <x:c r="L1032" s="12" t="str">
        <x:v>18–21</x:v>
      </x:c>
    </x:row>
    <x:row r="1033">
      <x:c r="A1033" s="12" t="str">
        <x:v>9/7–9/17平日</x:v>
      </x:c>
      <x:c r="B1033" s="12" t="str">
        <x:v>2026-09-17</x:v>
      </x:c>
      <x:c r="C1033" s="12" t="str">
        <x:v>22:00</x:v>
      </x:c>
      <x:c r="D1033" s="13" t="n">
        <x:v>237</x:v>
      </x:c>
      <x:c r="E1033" s="13" t="n">
        <x:v>16</x:v>
      </x:c>
      <x:c r="F1033" s="13" t="n">
        <x:v>253</x:v>
      </x:c>
      <x:c r="G1033" s="13" t="n">
        <x:v>217</x:v>
      </x:c>
      <x:c r="H1033" s="13" t="n">
        <x:v>12</x:v>
      </x:c>
      <x:c r="I1033" s="13" t="n">
        <x:v>229</x:v>
      </x:c>
      <x:c r="J1033" s="13" t="n">
        <x:v>-24</x:v>
      </x:c>
      <x:c r="K1033" s="14" t="n">
        <x:f>IFERROR(F1033/SUMIFS($F:$F,$B:$B,B1033),0)</x:f>
        <x:v>0.005966699683977171</x:v>
      </x:c>
      <x:c r="L1033" s="12" t="str">
        <x:v>22–23</x:v>
      </x:c>
    </x:row>
    <x:row r="1034">
      <x:c r="A1034" s="12" t="str">
        <x:v>9/7–9/17平日</x:v>
      </x:c>
      <x:c r="B1034" s="12" t="str">
        <x:v>2026-09-17</x:v>
      </x:c>
      <x:c r="C1034" s="12" t="str">
        <x:v>23:00</x:v>
      </x:c>
      <x:c r="D1034" s="13" t="n">
        <x:v>161</x:v>
      </x:c>
      <x:c r="E1034" s="13" t="n">
        <x:v>7</x:v>
      </x:c>
      <x:c r="F1034" s="13" t="n">
        <x:v>168</x:v>
      </x:c>
      <x:c r="G1034" s="13" t="n">
        <x:v>139</x:v>
      </x:c>
      <x:c r="H1034" s="13" t="n">
        <x:v>5</x:v>
      </x:c>
      <x:c r="I1034" s="13" t="n">
        <x:v>144</x:v>
      </x:c>
      <x:c r="J1034" s="13" t="n">
        <x:v>-24</x:v>
      </x:c>
      <x:c r="K1034" s="14" t="n">
        <x:f>IFERROR(F1034/SUMIFS($F:$F,$B:$B,B1034),0)</x:f>
        <x:v>0.0039620772605065795</x:v>
      </x:c>
      <x:c r="L1034" s="12" t="str">
        <x:v>22–23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7f577231ad5440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2" customHeight="1">
      <x:c r="A1" s="3" t="str">
        <x:v>場站期間彙總</x:v>
      </x:c>
      <x:c r="B1" s="3" t="str">
        <x:v>場站期間彙總</x:v>
      </x:c>
      <x:c r="C1" s="3" t="str">
        <x:v>場站期間彙總</x:v>
      </x:c>
      <x:c r="D1" s="3" t="str">
        <x:v>場站期間彙總</x:v>
      </x:c>
      <x:c r="E1" s="3" t="str">
        <x:v>場站期間彙總</x:v>
      </x:c>
      <x:c r="F1" s="3" t="str">
        <x:v>場站期間彙總</x:v>
      </x:c>
      <x:c r="G1" s="3" t="str">
        <x:v>場站期間彙總</x:v>
      </x:c>
      <x:c r="H1" s="3" t="str">
        <x:v>場站期間彙總</x:v>
      </x:c>
      <x:c r="I1" s="3" t="str">
        <x:v>場站期間彙總</x:v>
      </x:c>
      <x:c r="J1" s="3" t="str">
        <x:v>場站期間彙總</x:v>
      </x:c>
      <x:c r="K1" s="3" t="str">
        <x:v>場站期間彙總</x:v>
      </x:c>
    </x:row>
    <x:row r="2" ht="34" customHeight="1">
      <x:c r="A2" s="9" t="str">
        <x:v>期間</x:v>
      </x:c>
      <x:c r="B2" s="9" t="str">
        <x:v>場站代碼</x:v>
      </x:c>
      <x:c r="C2" s="9" t="str">
        <x:v>場站名稱</x:v>
      </x:c>
      <x:c r="D2" s="9" t="str">
        <x:v>有效日數</x:v>
      </x:c>
      <x:c r="E2" s="9" t="str">
        <x:v>日均用量</x:v>
      </x:c>
      <x:c r="F2" s="9" t="str">
        <x:v>日均還量</x:v>
      </x:c>
      <x:c r="G2" s="9" t="str">
        <x:v>6–24見車率</x:v>
      </x:c>
      <x:c r="H2" s="9" t="str">
        <x:v>7–9見車率</x:v>
      </x:c>
      <x:c r="I2" s="9" t="str">
        <x:v>11–13見車率</x:v>
      </x:c>
      <x:c r="J2" s="9" t="str">
        <x:v>16–20見車率</x:v>
      </x:c>
      <x:c r="K2" s="9" t="str">
        <x:v>7–9見位率</x:v>
      </x:c>
    </x:row>
    <x:row r="3">
      <x:c r="A3" s="12" t="str">
        <x:v>8月平日</x:v>
      </x:c>
      <x:c r="B3" s="12" t="str">
        <x:v>500119005</x:v>
      </x:c>
      <x:c r="C3" s="12" t="str">
        <x:v>臺大水源舍區A棟</x:v>
      </x:c>
      <x:c r="D3" s="35" t="n">
        <x:v>21</x:v>
      </x:c>
      <x:c r="E3" s="35" t="n">
        <x:v>181.47619047619048</x:v>
      </x:c>
      <x:c r="F3" s="35" t="n">
        <x:v>172.71428571428572</x:v>
      </x:c>
      <x:c r="G3" s="14"/>
      <x:c r="H3" s="14"/>
      <x:c r="I3" s="14"/>
      <x:c r="J3" s="14"/>
      <x:c r="K3" s="14"/>
    </x:row>
    <x:row r="4">
      <x:c r="A4" s="12" t="str">
        <x:v>8月平日</x:v>
      </x:c>
      <x:c r="B4" s="12" t="str">
        <x:v>500119006</x:v>
      </x:c>
      <x:c r="C4" s="12" t="str">
        <x:v>臺大卓越研究大樓</x:v>
      </x:c>
      <x:c r="D4" s="35" t="n">
        <x:v>21</x:v>
      </x:c>
      <x:c r="E4" s="35" t="n">
        <x:v>172.28571428571428</x:v>
      </x:c>
      <x:c r="F4" s="35" t="n">
        <x:v>135.0952380952381</x:v>
      </x:c>
      <x:c r="G4" s="14"/>
      <x:c r="H4" s="14"/>
      <x:c r="I4" s="14"/>
      <x:c r="J4" s="14"/>
      <x:c r="K4" s="14"/>
    </x:row>
    <x:row r="5">
      <x:c r="A5" s="12" t="str">
        <x:v>8月平日</x:v>
      </x:c>
      <x:c r="B5" s="12" t="str">
        <x:v>500119007</x:v>
      </x:c>
      <x:c r="C5" s="12" t="str">
        <x:v>臺大水源修齊會館</x:v>
      </x:c>
      <x:c r="D5" s="35" t="n">
        <x:v>21</x:v>
      </x:c>
      <x:c r="E5" s="35" t="n">
        <x:v>102.85714285714286</x:v>
      </x:c>
      <x:c r="F5" s="35" t="n">
        <x:v>93</x:v>
      </x:c>
      <x:c r="G5" s="14"/>
      <x:c r="H5" s="14"/>
      <x:c r="I5" s="14"/>
      <x:c r="J5" s="14"/>
      <x:c r="K5" s="14"/>
    </x:row>
    <x:row r="6">
      <x:c r="A6" s="12" t="str">
        <x:v>8月平日</x:v>
      </x:c>
      <x:c r="B6" s="12" t="str">
        <x:v>500119008</x:v>
      </x:c>
      <x:c r="C6" s="12" t="str">
        <x:v>臺大檔案展示館</x:v>
      </x:c>
      <x:c r="D6" s="35" t="n">
        <x:v>21</x:v>
      </x:c>
      <x:c r="E6" s="35" t="n">
        <x:v>24.238095238095237</x:v>
      </x:c>
      <x:c r="F6" s="35" t="n">
        <x:v>18.857142857142858</x:v>
      </x:c>
      <x:c r="G6" s="14"/>
      <x:c r="H6" s="14"/>
      <x:c r="I6" s="14"/>
      <x:c r="J6" s="14"/>
      <x:c r="K6" s="14"/>
    </x:row>
    <x:row r="7">
      <x:c r="A7" s="12" t="str">
        <x:v>8月平日</x:v>
      </x:c>
      <x:c r="B7" s="12" t="str">
        <x:v>500119009</x:v>
      </x:c>
      <x:c r="C7" s="12" t="str">
        <x:v>臺大水源舍區B棟</x:v>
      </x:c>
      <x:c r="D7" s="35" t="n">
        <x:v>21</x:v>
      </x:c>
      <x:c r="E7" s="35" t="n">
        <x:v>213.57142857142858</x:v>
      </x:c>
      <x:c r="F7" s="35" t="n">
        <x:v>221.8095238095238</x:v>
      </x:c>
      <x:c r="G7" s="14"/>
      <x:c r="H7" s="14"/>
      <x:c r="I7" s="14"/>
      <x:c r="J7" s="14"/>
      <x:c r="K7" s="14"/>
    </x:row>
    <x:row r="8">
      <x:c r="A8" s="12" t="str">
        <x:v>8月平日</x:v>
      </x:c>
      <x:c r="B8" s="12" t="str">
        <x:v>500119043</x:v>
      </x:c>
      <x:c r="C8" s="12" t="str">
        <x:v>臺大男八舍東側</x:v>
      </x:c>
      <x:c r="D8" s="35" t="n">
        <x:v>21</x:v>
      </x:c>
      <x:c r="E8" s="35" t="n">
        <x:v>185.0952380952381</x:v>
      </x:c>
      <x:c r="F8" s="35" t="n">
        <x:v>186.71428571428572</x:v>
      </x:c>
      <x:c r="G8" s="14"/>
      <x:c r="H8" s="14"/>
      <x:c r="I8" s="14"/>
      <x:c r="J8" s="14"/>
      <x:c r="K8" s="14"/>
    </x:row>
    <x:row r="9">
      <x:c r="A9" s="12" t="str">
        <x:v>8月平日</x:v>
      </x:c>
      <x:c r="B9" s="12" t="str">
        <x:v>500119044</x:v>
      </x:c>
      <x:c r="C9" s="12" t="str">
        <x:v>臺大禮賢樓東南側</x:v>
      </x:c>
      <x:c r="D9" s="35" t="n">
        <x:v>21</x:v>
      </x:c>
      <x:c r="E9" s="35" t="n">
        <x:v>128.14285714285714</x:v>
      </x:c>
      <x:c r="F9" s="35" t="n">
        <x:v>101.19047619047619</x:v>
      </x:c>
      <x:c r="G9" s="14"/>
      <x:c r="H9" s="14"/>
      <x:c r="I9" s="14"/>
      <x:c r="J9" s="14"/>
      <x:c r="K9" s="14"/>
    </x:row>
    <x:row r="10">
      <x:c r="A10" s="12" t="str">
        <x:v>8月平日</x:v>
      </x:c>
      <x:c r="B10" s="12" t="str">
        <x:v>500119045</x:v>
      </x:c>
      <x:c r="C10" s="12" t="str">
        <x:v>臺大農業陳列館北側</x:v>
      </x:c>
      <x:c r="D10" s="35" t="n">
        <x:v>21</x:v>
      </x:c>
      <x:c r="E10" s="35" t="n">
        <x:v>242.04761904761904</x:v>
      </x:c>
      <x:c r="F10" s="35" t="n">
        <x:v>228.66666666666666</x:v>
      </x:c>
      <x:c r="G10" s="14"/>
      <x:c r="H10" s="14"/>
      <x:c r="I10" s="14"/>
      <x:c r="J10" s="14"/>
      <x:c r="K10" s="14"/>
    </x:row>
    <x:row r="11">
      <x:c r="A11" s="12" t="str">
        <x:v>8月平日</x:v>
      </x:c>
      <x:c r="B11" s="12" t="str">
        <x:v>500119046</x:v>
      </x:c>
      <x:c r="C11" s="12" t="str">
        <x:v>臺大管理學院二館北側</x:v>
      </x:c>
      <x:c r="D11" s="35" t="n">
        <x:v>21</x:v>
      </x:c>
      <x:c r="E11" s="35" t="n">
        <x:v>78.28571428571429</x:v>
      </x:c>
      <x:c r="F11" s="35" t="n">
        <x:v>73.66666666666667</x:v>
      </x:c>
      <x:c r="G11" s="14"/>
      <x:c r="H11" s="14"/>
      <x:c r="I11" s="14"/>
      <x:c r="J11" s="14"/>
      <x:c r="K11" s="14"/>
    </x:row>
    <x:row r="12">
      <x:c r="A12" s="12" t="str">
        <x:v>8月平日</x:v>
      </x:c>
      <x:c r="B12" s="12" t="str">
        <x:v>500119047</x:v>
      </x:c>
      <x:c r="C12" s="12" t="str">
        <x:v>臺大土木系館</x:v>
      </x:c>
      <x:c r="D12" s="35" t="n">
        <x:v>21</x:v>
      </x:c>
      <x:c r="E12" s="35" t="n">
        <x:v>127.57142857142857</x:v>
      </x:c>
      <x:c r="F12" s="35" t="n">
        <x:v>105.19047619047619</x:v>
      </x:c>
      <x:c r="G12" s="14"/>
      <x:c r="H12" s="14"/>
      <x:c r="I12" s="14"/>
      <x:c r="J12" s="14"/>
      <x:c r="K12" s="14"/>
    </x:row>
    <x:row r="13">
      <x:c r="A13" s="12" t="str">
        <x:v>8月平日</x:v>
      </x:c>
      <x:c r="B13" s="12" t="str">
        <x:v>500119048</x:v>
      </x:c>
      <x:c r="C13" s="12" t="str">
        <x:v>臺大大一女舍北側</x:v>
      </x:c>
      <x:c r="D13" s="35" t="n">
        <x:v>21</x:v>
      </x:c>
      <x:c r="E13" s="35" t="n">
        <x:v>187.28571428571428</x:v>
      </x:c>
      <x:c r="F13" s="35" t="n">
        <x:v>203.8095238095238</x:v>
      </x:c>
      <x:c r="G13" s="14"/>
      <x:c r="H13" s="14"/>
      <x:c r="I13" s="14"/>
      <x:c r="J13" s="14"/>
      <x:c r="K13" s="14"/>
    </x:row>
    <x:row r="14">
      <x:c r="A14" s="12" t="str">
        <x:v>8月平日</x:v>
      </x:c>
      <x:c r="B14" s="12" t="str">
        <x:v>500119049</x:v>
      </x:c>
      <x:c r="C14" s="12" t="str">
        <x:v>臺大女九舍西南側</x:v>
      </x:c>
      <x:c r="D14" s="35" t="n">
        <x:v>21</x:v>
      </x:c>
      <x:c r="E14" s="35" t="n">
        <x:v>82.80952380952381</x:v>
      </x:c>
      <x:c r="F14" s="35" t="n">
        <x:v>82.57142857142857</x:v>
      </x:c>
      <x:c r="G14" s="14"/>
      <x:c r="H14" s="14"/>
      <x:c r="I14" s="14"/>
      <x:c r="J14" s="14"/>
      <x:c r="K14" s="14"/>
    </x:row>
    <x:row r="15">
      <x:c r="A15" s="12" t="str">
        <x:v>8月平日</x:v>
      </x:c>
      <x:c r="B15" s="12" t="str">
        <x:v>500119050</x:v>
      </x:c>
      <x:c r="C15" s="12" t="str">
        <x:v>臺大小福樓東側</x:v>
      </x:c>
      <x:c r="D15" s="35" t="n">
        <x:v>21</x:v>
      </x:c>
      <x:c r="E15" s="35" t="n">
        <x:v>234.33333333333334</x:v>
      </x:c>
      <x:c r="F15" s="35" t="n">
        <x:v>275.04761904761904</x:v>
      </x:c>
      <x:c r="G15" s="14"/>
      <x:c r="H15" s="14"/>
      <x:c r="I15" s="14"/>
      <x:c r="J15" s="14"/>
      <x:c r="K15" s="14"/>
    </x:row>
    <x:row r="16">
      <x:c r="A16" s="12" t="str">
        <x:v>8月平日</x:v>
      </x:c>
      <x:c r="B16" s="12" t="str">
        <x:v>500119051</x:v>
      </x:c>
      <x:c r="C16" s="12" t="str">
        <x:v>臺大立體機車停車場</x:v>
      </x:c>
      <x:c r="D16" s="35" t="n">
        <x:v>21</x:v>
      </x:c>
      <x:c r="E16" s="35" t="n">
        <x:v>254.57142857142858</x:v>
      </x:c>
      <x:c r="F16" s="35" t="n">
        <x:v>251.8095238095238</x:v>
      </x:c>
      <x:c r="G16" s="14"/>
      <x:c r="H16" s="14"/>
      <x:c r="I16" s="14"/>
      <x:c r="J16" s="14"/>
      <x:c r="K16" s="14"/>
    </x:row>
    <x:row r="17">
      <x:c r="A17" s="12" t="str">
        <x:v>8月平日</x:v>
      </x:c>
      <x:c r="B17" s="12" t="str">
        <x:v>500119052</x:v>
      </x:c>
      <x:c r="C17" s="12" t="str">
        <x:v>臺大工綜館南側</x:v>
      </x:c>
      <x:c r="D17" s="35" t="n">
        <x:v>21</x:v>
      </x:c>
      <x:c r="E17" s="35" t="n">
        <x:v>255.9047619047619</x:v>
      </x:c>
      <x:c r="F17" s="35" t="n">
        <x:v>287.9047619047619</x:v>
      </x:c>
      <x:c r="G17" s="14"/>
      <x:c r="H17" s="14"/>
      <x:c r="I17" s="14"/>
      <x:c r="J17" s="14"/>
      <x:c r="K17" s="14"/>
    </x:row>
    <x:row r="18">
      <x:c r="A18" s="12" t="str">
        <x:v>8月平日</x:v>
      </x:c>
      <x:c r="B18" s="12" t="str">
        <x:v>500119053</x:v>
      </x:c>
      <x:c r="C18" s="12" t="str">
        <x:v>臺大天文數學館南側</x:v>
      </x:c>
      <x:c r="D18" s="35" t="n">
        <x:v>21</x:v>
      </x:c>
      <x:c r="E18" s="35" t="n">
        <x:v>257.95238095238096</x:v>
      </x:c>
      <x:c r="F18" s="35" t="n">
        <x:v>279.76190476190476</x:v>
      </x:c>
      <x:c r="G18" s="14"/>
      <x:c r="H18" s="14"/>
      <x:c r="I18" s="14"/>
      <x:c r="J18" s="14"/>
      <x:c r="K18" s="14"/>
    </x:row>
    <x:row r="19">
      <x:c r="A19" s="12" t="str">
        <x:v>8月平日</x:v>
      </x:c>
      <x:c r="B19" s="12" t="str">
        <x:v>500119054</x:v>
      </x:c>
      <x:c r="C19" s="12" t="str">
        <x:v>臺大心理系館南側</x:v>
      </x:c>
      <x:c r="D19" s="35" t="n">
        <x:v>21</x:v>
      </x:c>
      <x:c r="E19" s="35" t="n">
        <x:v>156.52380952380952</x:v>
      </x:c>
      <x:c r="F19" s="35" t="n">
        <x:v>180.38095238095238</x:v>
      </x:c>
      <x:c r="G19" s="14"/>
      <x:c r="H19" s="14"/>
      <x:c r="I19" s="14"/>
      <x:c r="J19" s="14"/>
      <x:c r="K19" s="14"/>
    </x:row>
    <x:row r="20">
      <x:c r="A20" s="12" t="str">
        <x:v>8月平日</x:v>
      </x:c>
      <x:c r="B20" s="12" t="str">
        <x:v>500119055</x:v>
      </x:c>
      <x:c r="C20" s="12" t="str">
        <x:v>臺大樂學館東側</x:v>
      </x:c>
      <x:c r="D20" s="35" t="n">
        <x:v>21</x:v>
      </x:c>
      <x:c r="E20" s="35" t="n">
        <x:v>151.95238095238096</x:v>
      </x:c>
      <x:c r="F20" s="35" t="n">
        <x:v>132.42857142857142</x:v>
      </x:c>
      <x:c r="G20" s="14"/>
      <x:c r="H20" s="14"/>
      <x:c r="I20" s="14"/>
      <x:c r="J20" s="14"/>
      <x:c r="K20" s="14"/>
    </x:row>
    <x:row r="21">
      <x:c r="A21" s="12" t="str">
        <x:v>8月平日</x:v>
      </x:c>
      <x:c r="B21" s="12" t="str">
        <x:v>500119056</x:v>
      </x:c>
      <x:c r="C21" s="12" t="str">
        <x:v>臺大農化新館西側</x:v>
      </x:c>
      <x:c r="D21" s="35" t="n">
        <x:v>21</x:v>
      </x:c>
      <x:c r="E21" s="35" t="n">
        <x:v>111.9047619047619</x:v>
      </x:c>
      <x:c r="F21" s="35" t="n">
        <x:v>110.33333333333333</x:v>
      </x:c>
      <x:c r="G21" s="14"/>
      <x:c r="H21" s="14"/>
      <x:c r="I21" s="14"/>
      <x:c r="J21" s="14"/>
      <x:c r="K21" s="14"/>
    </x:row>
    <x:row r="22">
      <x:c r="A22" s="12" t="str">
        <x:v>8月平日</x:v>
      </x:c>
      <x:c r="B22" s="12" t="str">
        <x:v>500119057</x:v>
      </x:c>
      <x:c r="C22" s="12" t="str">
        <x:v>臺大五號館西側</x:v>
      </x:c>
      <x:c r="D22" s="35" t="n">
        <x:v>21</x:v>
      </x:c>
      <x:c r="E22" s="35" t="n">
        <x:v>150.0952380952381</x:v>
      </x:c>
      <x:c r="F22" s="35" t="n">
        <x:v>122.14285714285714</x:v>
      </x:c>
      <x:c r="G22" s="14"/>
      <x:c r="H22" s="14"/>
      <x:c r="I22" s="14"/>
      <x:c r="J22" s="14"/>
      <x:c r="K22" s="14"/>
    </x:row>
    <x:row r="23">
      <x:c r="A23" s="12" t="str">
        <x:v>8月平日</x:v>
      </x:c>
      <x:c r="B23" s="12" t="str">
        <x:v>500119058</x:v>
      </x:c>
      <x:c r="C23" s="12" t="str">
        <x:v>臺大舊體育館西側</x:v>
      </x:c>
      <x:c r="D23" s="35" t="n">
        <x:v>21</x:v>
      </x:c>
      <x:c r="E23" s="35" t="n">
        <x:v>191.8095238095238</x:v>
      </x:c>
      <x:c r="F23" s="35" t="n">
        <x:v>202.23809523809524</x:v>
      </x:c>
      <x:c r="G23" s="14"/>
      <x:c r="H23" s="14"/>
      <x:c r="I23" s="14"/>
      <x:c r="J23" s="14"/>
      <x:c r="K23" s="14"/>
    </x:row>
    <x:row r="24">
      <x:c r="A24" s="12" t="str">
        <x:v>8月平日</x:v>
      </x:c>
      <x:c r="B24" s="12" t="str">
        <x:v>500119059</x:v>
      </x:c>
      <x:c r="C24" s="12" t="str">
        <x:v>臺大共同教室北側</x:v>
      </x:c>
      <x:c r="D24" s="35" t="n">
        <x:v>21</x:v>
      </x:c>
      <x:c r="E24" s="35" t="n">
        <x:v>140.52380952380952</x:v>
      </x:c>
      <x:c r="F24" s="35" t="n">
        <x:v>86.28571428571429</x:v>
      </x:c>
      <x:c r="G24" s="14"/>
      <x:c r="H24" s="14"/>
      <x:c r="I24" s="14"/>
      <x:c r="J24" s="14"/>
      <x:c r="K24" s="14"/>
    </x:row>
    <x:row r="25">
      <x:c r="A25" s="12" t="str">
        <x:v>8月平日</x:v>
      </x:c>
      <x:c r="B25" s="12" t="str">
        <x:v>500119060</x:v>
      </x:c>
      <x:c r="C25" s="12" t="str">
        <x:v>臺大共同教室東南側</x:v>
      </x:c>
      <x:c r="D25" s="35" t="n">
        <x:v>21</x:v>
      </x:c>
      <x:c r="E25" s="35" t="n">
        <x:v>154.71428571428572</x:v>
      </x:c>
      <x:c r="F25" s="35" t="n">
        <x:v>132.85714285714286</x:v>
      </x:c>
      <x:c r="G25" s="14"/>
      <x:c r="H25" s="14"/>
      <x:c r="I25" s="14"/>
      <x:c r="J25" s="14"/>
      <x:c r="K25" s="14"/>
    </x:row>
    <x:row r="26">
      <x:c r="A26" s="12" t="str">
        <x:v>8月平日</x:v>
      </x:c>
      <x:c r="B26" s="12" t="str">
        <x:v>500119061</x:v>
      </x:c>
      <x:c r="C26" s="12" t="str">
        <x:v>臺大鹿鳴堂東側</x:v>
      </x:c>
      <x:c r="D26" s="35" t="n">
        <x:v>21</x:v>
      </x:c>
      <x:c r="E26" s="35" t="n">
        <x:v>249.38095238095238</x:v>
      </x:c>
      <x:c r="F26" s="35" t="n">
        <x:v>172.85714285714286</x:v>
      </x:c>
      <x:c r="G26" s="14"/>
      <x:c r="H26" s="14"/>
      <x:c r="I26" s="14"/>
      <x:c r="J26" s="14"/>
      <x:c r="K26" s="14"/>
    </x:row>
    <x:row r="27">
      <x:c r="A27" s="12" t="str">
        <x:v>8月平日</x:v>
      </x:c>
      <x:c r="B27" s="12" t="str">
        <x:v>500119062</x:v>
      </x:c>
      <x:c r="C27" s="12" t="str">
        <x:v>臺大公館停車場西北側</x:v>
      </x:c>
      <x:c r="D27" s="35" t="n">
        <x:v>21</x:v>
      </x:c>
      <x:c r="E27" s="35" t="n">
        <x:v>33.142857142857146</x:v>
      </x:c>
      <x:c r="F27" s="35" t="n">
        <x:v>29.142857142857142</x:v>
      </x:c>
      <x:c r="G27" s="14"/>
      <x:c r="H27" s="14"/>
      <x:c r="I27" s="14"/>
      <x:c r="J27" s="14"/>
      <x:c r="K27" s="14"/>
    </x:row>
    <x:row r="28">
      <x:c r="A28" s="12" t="str">
        <x:v>8月平日</x:v>
      </x:c>
      <x:c r="B28" s="12" t="str">
        <x:v>500119063</x:v>
      </x:c>
      <x:c r="C28" s="12" t="str">
        <x:v>臺大第二行政大樓南側</x:v>
      </x:c>
      <x:c r="D28" s="35" t="n">
        <x:v>21</x:v>
      </x:c>
      <x:c r="E28" s="35" t="n">
        <x:v>167.38095238095238</x:v>
      </x:c>
      <x:c r="F28" s="35" t="n">
        <x:v>147.04761904761904</x:v>
      </x:c>
      <x:c r="G28" s="14"/>
      <x:c r="H28" s="14"/>
      <x:c r="I28" s="14"/>
      <x:c r="J28" s="14"/>
      <x:c r="K28" s="14"/>
    </x:row>
    <x:row r="29">
      <x:c r="A29" s="12" t="str">
        <x:v>8月平日</x:v>
      </x:c>
      <x:c r="B29" s="12" t="str">
        <x:v>500119064</x:v>
      </x:c>
      <x:c r="C29" s="12" t="str">
        <x:v>臺大明達館機車停車場</x:v>
      </x:c>
      <x:c r="D29" s="35" t="n">
        <x:v>21</x:v>
      </x:c>
      <x:c r="E29" s="35" t="n">
        <x:v>134.71428571428572</x:v>
      </x:c>
      <x:c r="F29" s="35" t="n">
        <x:v>118.61904761904762</x:v>
      </x:c>
      <x:c r="G29" s="14"/>
      <x:c r="H29" s="14"/>
      <x:c r="I29" s="14"/>
      <x:c r="J29" s="14"/>
      <x:c r="K29" s="14"/>
    </x:row>
    <x:row r="30">
      <x:c r="A30" s="12" t="str">
        <x:v>8月平日</x:v>
      </x:c>
      <x:c r="B30" s="12" t="str">
        <x:v>500119065</x:v>
      </x:c>
      <x:c r="C30" s="12" t="str">
        <x:v>臺大二號館</x:v>
      </x:c>
      <x:c r="D30" s="35" t="n">
        <x:v>21</x:v>
      </x:c>
      <x:c r="E30" s="35" t="n">
        <x:v>73.14285714285714</x:v>
      </x:c>
      <x:c r="F30" s="35" t="n">
        <x:v>60.23809523809524</x:v>
      </x:c>
      <x:c r="G30" s="14"/>
      <x:c r="H30" s="14"/>
      <x:c r="I30" s="14"/>
      <x:c r="J30" s="14"/>
      <x:c r="K30" s="14"/>
    </x:row>
    <x:row r="31">
      <x:c r="A31" s="12" t="str">
        <x:v>8月平日</x:v>
      </x:c>
      <x:c r="B31" s="12" t="str">
        <x:v>500119066</x:v>
      </x:c>
      <x:c r="C31" s="12" t="str">
        <x:v>臺大凝態館南側</x:v>
      </x:c>
      <x:c r="D31" s="35" t="n">
        <x:v>21</x:v>
      </x:c>
      <x:c r="E31" s="35" t="n">
        <x:v>182.14285714285714</x:v>
      </x:c>
      <x:c r="F31" s="35" t="n">
        <x:v>215.61904761904762</x:v>
      </x:c>
      <x:c r="G31" s="14"/>
      <x:c r="H31" s="14"/>
      <x:c r="I31" s="14"/>
      <x:c r="J31" s="14"/>
      <x:c r="K31" s="14"/>
    </x:row>
    <x:row r="32">
      <x:c r="A32" s="12" t="str">
        <x:v>8月平日</x:v>
      </x:c>
      <x:c r="B32" s="12" t="str">
        <x:v>500119067</x:v>
      </x:c>
      <x:c r="C32" s="12" t="str">
        <x:v>臺大社科院西側</x:v>
      </x:c>
      <x:c r="D32" s="35" t="n">
        <x:v>21</x:v>
      </x:c>
      <x:c r="E32" s="35" t="n">
        <x:v>281.57142857142856</x:v>
      </x:c>
      <x:c r="F32" s="35" t="n">
        <x:v>298.7142857142857</x:v>
      </x:c>
      <x:c r="G32" s="14"/>
      <x:c r="H32" s="14"/>
      <x:c r="I32" s="14"/>
      <x:c r="J32" s="14"/>
      <x:c r="K32" s="14"/>
    </x:row>
    <x:row r="33">
      <x:c r="A33" s="12" t="str">
        <x:v>8月平日</x:v>
      </x:c>
      <x:c r="B33" s="12" t="str">
        <x:v>500119068</x:v>
      </x:c>
      <x:c r="C33" s="12" t="str">
        <x:v>臺大社會系館南側</x:v>
      </x:c>
      <x:c r="D33" s="35" t="n">
        <x:v>21</x:v>
      </x:c>
      <x:c r="E33" s="35" t="n">
        <x:v>199.38095238095238</x:v>
      </x:c>
      <x:c r="F33" s="35" t="n">
        <x:v>218.71428571428572</x:v>
      </x:c>
      <x:c r="G33" s="14"/>
      <x:c r="H33" s="14"/>
      <x:c r="I33" s="14"/>
      <x:c r="J33" s="14"/>
      <x:c r="K33" s="14"/>
    </x:row>
    <x:row r="34">
      <x:c r="A34" s="12" t="str">
        <x:v>8月平日</x:v>
      </x:c>
      <x:c r="B34" s="12" t="str">
        <x:v>500119069</x:v>
      </x:c>
      <x:c r="C34" s="12" t="str">
        <x:v>臺大思亮館東南側</x:v>
      </x:c>
      <x:c r="D34" s="35" t="n">
        <x:v>21</x:v>
      </x:c>
      <x:c r="E34" s="35" t="n">
        <x:v>69.33333333333333</x:v>
      </x:c>
      <x:c r="F34" s="35" t="n">
        <x:v>75.9047619047619</x:v>
      </x:c>
      <x:c r="G34" s="14"/>
      <x:c r="H34" s="14"/>
      <x:c r="I34" s="14"/>
      <x:c r="J34" s="14"/>
      <x:c r="K34" s="14"/>
    </x:row>
    <x:row r="35">
      <x:c r="A35" s="12" t="str">
        <x:v>8月平日</x:v>
      </x:c>
      <x:c r="B35" s="12" t="str">
        <x:v>500119070</x:v>
      </x:c>
      <x:c r="C35" s="12" t="str">
        <x:v>臺大椰林小舖</x:v>
      </x:c>
      <x:c r="D35" s="35" t="n">
        <x:v>21</x:v>
      </x:c>
      <x:c r="E35" s="35" t="n">
        <x:v>279.0952380952381</x:v>
      </x:c>
      <x:c r="F35" s="35" t="n">
        <x:v>283.42857142857144</x:v>
      </x:c>
      <x:c r="G35" s="14"/>
      <x:c r="H35" s="14"/>
      <x:c r="I35" s="14"/>
      <x:c r="J35" s="14"/>
      <x:c r="K35" s="14"/>
    </x:row>
    <x:row r="36">
      <x:c r="A36" s="12" t="str">
        <x:v>8月平日</x:v>
      </x:c>
      <x:c r="B36" s="12" t="str">
        <x:v>500119071</x:v>
      </x:c>
      <x:c r="C36" s="12" t="str">
        <x:v>臺大計資中心南側</x:v>
      </x:c>
      <x:c r="D36" s="35" t="n">
        <x:v>21</x:v>
      </x:c>
      <x:c r="E36" s="35" t="n">
        <x:v>100.71428571428571</x:v>
      </x:c>
      <x:c r="F36" s="35" t="n">
        <x:v>107.19047619047619</x:v>
      </x:c>
      <x:c r="G36" s="14"/>
      <x:c r="H36" s="14"/>
      <x:c r="I36" s="14"/>
      <x:c r="J36" s="14"/>
      <x:c r="K36" s="14"/>
    </x:row>
    <x:row r="37">
      <x:c r="A37" s="12" t="str">
        <x:v>8月平日</x:v>
      </x:c>
      <x:c r="B37" s="12" t="str">
        <x:v>500119072</x:v>
      </x:c>
      <x:c r="C37" s="12" t="str">
        <x:v>臺大原分所北側</x:v>
      </x:c>
      <x:c r="D37" s="35" t="n">
        <x:v>21</x:v>
      </x:c>
      <x:c r="E37" s="35" t="n">
        <x:v>135.57142857142858</x:v>
      </x:c>
      <x:c r="F37" s="35" t="n">
        <x:v>142.14285714285714</x:v>
      </x:c>
      <x:c r="G37" s="14"/>
      <x:c r="H37" s="14"/>
      <x:c r="I37" s="14"/>
      <x:c r="J37" s="14"/>
      <x:c r="K37" s="14"/>
    </x:row>
    <x:row r="38">
      <x:c r="A38" s="12" t="str">
        <x:v>8月平日</x:v>
      </x:c>
      <x:c r="B38" s="12" t="str">
        <x:v>500119074</x:v>
      </x:c>
      <x:c r="C38" s="12" t="str">
        <x:v>臺大生命科學館西北側</x:v>
      </x:c>
      <x:c r="D38" s="35" t="n">
        <x:v>21</x:v>
      </x:c>
      <x:c r="E38" s="35" t="n">
        <x:v>219.33333333333334</x:v>
      </x:c>
      <x:c r="F38" s="35" t="n">
        <x:v>210.23809523809524</x:v>
      </x:c>
      <x:c r="G38" s="14"/>
      <x:c r="H38" s="14"/>
      <x:c r="I38" s="14"/>
      <x:c r="J38" s="14"/>
      <x:c r="K38" s="14"/>
    </x:row>
    <x:row r="39">
      <x:c r="A39" s="12" t="str">
        <x:v>8月平日</x:v>
      </x:c>
      <x:c r="B39" s="12" t="str">
        <x:v>500119075</x:v>
      </x:c>
      <x:c r="C39" s="12" t="str">
        <x:v>臺大第一活動中心西南側</x:v>
      </x:c>
      <x:c r="D39" s="35" t="n">
        <x:v>21</x:v>
      </x:c>
      <x:c r="E39" s="35" t="n">
        <x:v>532.3809523809524</x:v>
      </x:c>
      <x:c r="F39" s="35" t="n">
        <x:v>601.047619047619</x:v>
      </x:c>
      <x:c r="G39" s="14"/>
      <x:c r="H39" s="14"/>
      <x:c r="I39" s="14"/>
      <x:c r="J39" s="14"/>
      <x:c r="K39" s="14"/>
    </x:row>
    <x:row r="40">
      <x:c r="A40" s="12" t="str">
        <x:v>8月平日</x:v>
      </x:c>
      <x:c r="B40" s="12" t="str">
        <x:v>500119076</x:v>
      </x:c>
      <x:c r="C40" s="12" t="str">
        <x:v>臺大博理館西側</x:v>
      </x:c>
      <x:c r="D40" s="35" t="n">
        <x:v>21</x:v>
      </x:c>
      <x:c r="E40" s="35" t="n">
        <x:v>201.28571428571428</x:v>
      </x:c>
      <x:c r="F40" s="35" t="n">
        <x:v>231.66666666666666</x:v>
      </x:c>
      <x:c r="G40" s="14"/>
      <x:c r="H40" s="14"/>
      <x:c r="I40" s="14"/>
      <x:c r="J40" s="14"/>
      <x:c r="K40" s="14"/>
    </x:row>
    <x:row r="41">
      <x:c r="A41" s="12" t="str">
        <x:v>8月平日</x:v>
      </x:c>
      <x:c r="B41" s="12" t="str">
        <x:v>500119077</x:v>
      </x:c>
      <x:c r="C41" s="12" t="str">
        <x:v>臺大博雅館西側</x:v>
      </x:c>
      <x:c r="D41" s="35" t="n">
        <x:v>21</x:v>
      </x:c>
      <x:c r="E41" s="35" t="n">
        <x:v>37.19047619047619</x:v>
      </x:c>
      <x:c r="F41" s="35" t="n">
        <x:v>36.476190476190474</x:v>
      </x:c>
      <x:c r="G41" s="14"/>
      <x:c r="H41" s="14"/>
      <x:c r="I41" s="14"/>
      <x:c r="J41" s="14"/>
      <x:c r="K41" s="14"/>
    </x:row>
    <x:row r="42">
      <x:c r="A42" s="12" t="str">
        <x:v>8月平日</x:v>
      </x:c>
      <x:c r="B42" s="12" t="str">
        <x:v>500119078</x:v>
      </x:c>
      <x:c r="C42" s="12" t="str">
        <x:v>臺大森林館北側</x:v>
      </x:c>
      <x:c r="D42" s="35" t="n">
        <x:v>21</x:v>
      </x:c>
      <x:c r="E42" s="35" t="n">
        <x:v>65.57142857142857</x:v>
      </x:c>
      <x:c r="F42" s="35" t="n">
        <x:v>57.57142857142857</x:v>
      </x:c>
      <x:c r="G42" s="14"/>
      <x:c r="H42" s="14"/>
      <x:c r="I42" s="14"/>
      <x:c r="J42" s="14"/>
      <x:c r="K42" s="14"/>
    </x:row>
    <x:row r="43">
      <x:c r="A43" s="12" t="str">
        <x:v>8月平日</x:v>
      </x:c>
      <x:c r="B43" s="12" t="str">
        <x:v>500119079</x:v>
      </x:c>
      <x:c r="C43" s="12" t="str">
        <x:v>臺大一號館</x:v>
      </x:c>
      <x:c r="D43" s="35" t="n">
        <x:v>21</x:v>
      </x:c>
      <x:c r="E43" s="35" t="n">
        <x:v>163.04761904761904</x:v>
      </x:c>
      <x:c r="F43" s="35" t="n">
        <x:v>98.38095238095238</x:v>
      </x:c>
      <x:c r="G43" s="14"/>
      <x:c r="H43" s="14"/>
      <x:c r="I43" s="14"/>
      <x:c r="J43" s="14"/>
      <x:c r="K43" s="14"/>
    </x:row>
    <x:row r="44">
      <x:c r="A44" s="12" t="str">
        <x:v>8月平日</x:v>
      </x:c>
      <x:c r="B44" s="12" t="str">
        <x:v>500119080</x:v>
      </x:c>
      <x:c r="C44" s="12" t="str">
        <x:v>臺大小小福西南側</x:v>
      </x:c>
      <x:c r="D44" s="35" t="n">
        <x:v>21</x:v>
      </x:c>
      <x:c r="E44" s="35" t="n">
        <x:v>72.76190476190476</x:v>
      </x:c>
      <x:c r="F44" s="35" t="n">
        <x:v>67.52380952380952</x:v>
      </x:c>
      <x:c r="G44" s="14"/>
      <x:c r="H44" s="14"/>
      <x:c r="I44" s="14"/>
      <x:c r="J44" s="14"/>
      <x:c r="K44" s="14"/>
    </x:row>
    <x:row r="45">
      <x:c r="A45" s="12" t="str">
        <x:v>8月平日</x:v>
      </x:c>
      <x:c r="B45" s="12" t="str">
        <x:v>500119081</x:v>
      </x:c>
      <x:c r="C45" s="12" t="str">
        <x:v>臺大教研館北側</x:v>
      </x:c>
      <x:c r="D45" s="35" t="n">
        <x:v>21</x:v>
      </x:c>
      <x:c r="E45" s="35" t="n">
        <x:v>119.61904761904762</x:v>
      </x:c>
      <x:c r="F45" s="35" t="n">
        <x:v>117.66666666666667</x:v>
      </x:c>
      <x:c r="G45" s="14"/>
      <x:c r="H45" s="14"/>
      <x:c r="I45" s="14"/>
      <x:c r="J45" s="14"/>
      <x:c r="K45" s="14"/>
    </x:row>
    <x:row r="46">
      <x:c r="A46" s="12" t="str">
        <x:v>8月平日</x:v>
      </x:c>
      <x:c r="B46" s="12" t="str">
        <x:v>500119082</x:v>
      </x:c>
      <x:c r="C46" s="12" t="str">
        <x:v>臺大四號館東北側</x:v>
      </x:c>
      <x:c r="D46" s="35" t="n">
        <x:v>21</x:v>
      </x:c>
      <x:c r="E46" s="35" t="n">
        <x:v>41.333333333333336</x:v>
      </x:c>
      <x:c r="F46" s="35" t="n">
        <x:v>26.571428571428573</x:v>
      </x:c>
      <x:c r="G46" s="14"/>
      <x:c r="H46" s="14"/>
      <x:c r="I46" s="14"/>
      <x:c r="J46" s="14"/>
      <x:c r="K46" s="14"/>
    </x:row>
    <x:row r="47">
      <x:c r="A47" s="12" t="str">
        <x:v>8月平日</x:v>
      </x:c>
      <x:c r="B47" s="12" t="str">
        <x:v>500119083</x:v>
      </x:c>
      <x:c r="C47" s="12" t="str">
        <x:v>臺大新生教室南側</x:v>
      </x:c>
      <x:c r="D47" s="35" t="n">
        <x:v>21</x:v>
      </x:c>
      <x:c r="E47" s="35" t="n">
        <x:v>147.85714285714286</x:v>
      </x:c>
      <x:c r="F47" s="35" t="n">
        <x:v>143.66666666666666</x:v>
      </x:c>
      <x:c r="G47" s="14"/>
      <x:c r="H47" s="14"/>
      <x:c r="I47" s="14"/>
      <x:c r="J47" s="14"/>
      <x:c r="K47" s="14"/>
    </x:row>
    <x:row r="48">
      <x:c r="A48" s="12" t="str">
        <x:v>8月平日</x:v>
      </x:c>
      <x:c r="B48" s="12" t="str">
        <x:v>500119084</x:v>
      </x:c>
      <x:c r="C48" s="12" t="str">
        <x:v>臺大鄭江樓北側</x:v>
      </x:c>
      <x:c r="D48" s="35" t="n">
        <x:v>21</x:v>
      </x:c>
      <x:c r="E48" s="35" t="n">
        <x:v>160.14285714285714</x:v>
      </x:c>
      <x:c r="F48" s="35" t="n">
        <x:v>147.61904761904762</x:v>
      </x:c>
      <x:c r="G48" s="14"/>
      <x:c r="H48" s="14"/>
      <x:c r="I48" s="14"/>
      <x:c r="J48" s="14"/>
      <x:c r="K48" s="14"/>
    </x:row>
    <x:row r="49">
      <x:c r="A49" s="12" t="str">
        <x:v>8月平日</x:v>
      </x:c>
      <x:c r="B49" s="12" t="str">
        <x:v>500119085</x:v>
      </x:c>
      <x:c r="C49" s="12" t="str">
        <x:v>臺大電機二館東南側</x:v>
      </x:c>
      <x:c r="D49" s="35" t="n">
        <x:v>21</x:v>
      </x:c>
      <x:c r="E49" s="35" t="n">
        <x:v>138.76190476190476</x:v>
      </x:c>
      <x:c r="F49" s="35" t="n">
        <x:v>159.42857142857142</x:v>
      </x:c>
      <x:c r="G49" s="14"/>
      <x:c r="H49" s="14"/>
      <x:c r="I49" s="14"/>
      <x:c r="J49" s="14"/>
      <x:c r="K49" s="14"/>
    </x:row>
    <x:row r="50">
      <x:c r="A50" s="12" t="str">
        <x:v>8月平日</x:v>
      </x:c>
      <x:c r="B50" s="12" t="str">
        <x:v>500119086</x:v>
      </x:c>
      <x:c r="C50" s="12" t="str">
        <x:v>臺大圖資系館北側</x:v>
      </x:c>
      <x:c r="D50" s="35" t="n">
        <x:v>21</x:v>
      </x:c>
      <x:c r="E50" s="35" t="n">
        <x:v>159.71428571428572</x:v>
      </x:c>
      <x:c r="F50" s="35" t="n">
        <x:v>194.57142857142858</x:v>
      </x:c>
      <x:c r="G50" s="14"/>
      <x:c r="H50" s="14"/>
      <x:c r="I50" s="14"/>
      <x:c r="J50" s="14"/>
      <x:c r="K50" s="14"/>
    </x:row>
    <x:row r="51">
      <x:c r="A51" s="12" t="str">
        <x:v>8月平日</x:v>
      </x:c>
      <x:c r="B51" s="12" t="str">
        <x:v>500119087</x:v>
      </x:c>
      <x:c r="C51" s="12" t="str">
        <x:v>臺大總圖書館西南側</x:v>
      </x:c>
      <x:c r="D51" s="35" t="n">
        <x:v>21</x:v>
      </x:c>
      <x:c r="E51" s="35" t="n">
        <x:v>207</x:v>
      </x:c>
      <x:c r="F51" s="35" t="n">
        <x:v>234.33333333333334</x:v>
      </x:c>
      <x:c r="G51" s="14"/>
      <x:c r="H51" s="14"/>
      <x:c r="I51" s="14"/>
      <x:c r="J51" s="14"/>
      <x:c r="K51" s="14"/>
    </x:row>
    <x:row r="52">
      <x:c r="A52" s="12" t="str">
        <x:v>8月平日</x:v>
      </x:c>
      <x:c r="B52" s="12" t="str">
        <x:v>500119088</x:v>
      </x:c>
      <x:c r="C52" s="12" t="str">
        <x:v>臺大黑森林西側</x:v>
      </x:c>
      <x:c r="D52" s="35" t="n">
        <x:v>21</x:v>
      </x:c>
      <x:c r="E52" s="35" t="n">
        <x:v>215</x:v>
      </x:c>
      <x:c r="F52" s="35" t="n">
        <x:v>207.38095238095238</x:v>
      </x:c>
      <x:c r="G52" s="14"/>
      <x:c r="H52" s="14"/>
      <x:c r="I52" s="14"/>
      <x:c r="J52" s="14"/>
      <x:c r="K52" s="14"/>
    </x:row>
    <x:row r="53">
      <x:c r="A53" s="12" t="str">
        <x:v>8月平日</x:v>
      </x:c>
      <x:c r="B53" s="12" t="str">
        <x:v>500119089</x:v>
      </x:c>
      <x:c r="C53" s="12" t="str">
        <x:v>臺大獸醫館南側</x:v>
      </x:c>
      <x:c r="D53" s="35" t="n">
        <x:v>21</x:v>
      </x:c>
      <x:c r="E53" s="35" t="n">
        <x:v>152.76190476190476</x:v>
      </x:c>
      <x:c r="F53" s="35" t="n">
        <x:v>152.52380952380952</x:v>
      </x:c>
      <x:c r="G53" s="14"/>
      <x:c r="H53" s="14"/>
      <x:c r="I53" s="14"/>
      <x:c r="J53" s="14"/>
      <x:c r="K53" s="14"/>
    </x:row>
    <x:row r="54">
      <x:c r="A54" s="12" t="str">
        <x:v>8月平日</x:v>
      </x:c>
      <x:c r="B54" s="12" t="str">
        <x:v>500119090</x:v>
      </x:c>
      <x:c r="C54" s="12" t="str">
        <x:v>臺大新體育館東南側</x:v>
      </x:c>
      <x:c r="D54" s="35" t="n">
        <x:v>21</x:v>
      </x:c>
      <x:c r="E54" s="35" t="n">
        <x:v>374.23809523809524</x:v>
      </x:c>
      <x:c r="F54" s="35" t="n">
        <x:v>398.5238095238095</x:v>
      </x:c>
      <x:c r="G54" s="14"/>
      <x:c r="H54" s="14"/>
      <x:c r="I54" s="14"/>
      <x:c r="J54" s="14"/>
      <x:c r="K54" s="14"/>
    </x:row>
    <x:row r="55">
      <x:c r="A55" s="12" t="str">
        <x:v>8月平日</x:v>
      </x:c>
      <x:c r="B55" s="12" t="str">
        <x:v>500119091</x:v>
      </x:c>
      <x:c r="C55" s="12" t="str">
        <x:v>臺大明達館北側(員工宿舍)</x:v>
      </x:c>
      <x:c r="D55" s="35" t="n">
        <x:v>21</x:v>
      </x:c>
      <x:c r="E55" s="35" t="n">
        <x:v>54.76190476190476</x:v>
      </x:c>
      <x:c r="F55" s="35" t="n">
        <x:v>41.142857142857146</x:v>
      </x:c>
      <x:c r="G55" s="14"/>
      <x:c r="H55" s="14"/>
      <x:c r="I55" s="14"/>
      <x:c r="J55" s="14"/>
      <x:c r="K55" s="14"/>
    </x:row>
    <x:row r="56">
      <x:c r="A56" s="12" t="str">
        <x:v>8月平日</x:v>
      </x:c>
      <x:c r="B56" s="12" t="str">
        <x:v>500119092</x:v>
      </x:c>
      <x:c r="C56" s="12" t="str">
        <x:v>臺大管理學院一館</x:v>
      </x:c>
      <x:c r="D56" s="35" t="n">
        <x:v>21</x:v>
      </x:c>
      <x:c r="E56" s="35" t="n">
        <x:v>151.85714285714286</x:v>
      </x:c>
      <x:c r="F56" s="35" t="n">
        <x:v>133.8095238095238</x:v>
      </x:c>
      <x:c r="G56" s="14"/>
      <x:c r="H56" s="14"/>
      <x:c r="I56" s="14"/>
      <x:c r="J56" s="14"/>
      <x:c r="K56" s="14"/>
    </x:row>
    <x:row r="57">
      <x:c r="A57" s="12" t="str">
        <x:v>8月平日</x:v>
      </x:c>
      <x:c r="B57" s="12" t="str">
        <x:v>500119093</x:v>
      </x:c>
      <x:c r="C57" s="12" t="str">
        <x:v>臺大禮賢樓西側</x:v>
      </x:c>
      <x:c r="D57" s="35" t="n">
        <x:v>21</x:v>
      </x:c>
      <x:c r="E57" s="35" t="n">
        <x:v>86.61904761904762</x:v>
      </x:c>
      <x:c r="F57" s="35" t="n">
        <x:v>57.19047619047619</x:v>
      </x:c>
      <x:c r="G57" s="14"/>
      <x:c r="H57" s="14"/>
      <x:c r="I57" s="14"/>
      <x:c r="J57" s="14"/>
      <x:c r="K57" s="14"/>
    </x:row>
    <x:row r="58">
      <x:c r="A58" s="12" t="str">
        <x:v>8月平日</x:v>
      </x:c>
      <x:c r="B58" s="12" t="str">
        <x:v>500119094</x:v>
      </x:c>
      <x:c r="C58" s="12" t="str">
        <x:v>臺大大一女餐廳廣場</x:v>
      </x:c>
      <x:c r="D58" s="35" t="n">
        <x:v>21</x:v>
      </x:c>
      <x:c r="E58" s="35" t="n">
        <x:v>228.0952380952381</x:v>
      </x:c>
      <x:c r="F58" s="35" t="n">
        <x:v>213.85714285714286</x:v>
      </x:c>
      <x:c r="G58" s="14"/>
      <x:c r="H58" s="14"/>
      <x:c r="I58" s="14"/>
      <x:c r="J58" s="14"/>
      <x:c r="K58" s="14"/>
    </x:row>
    <x:row r="59">
      <x:c r="A59" s="12" t="str">
        <x:v>8月平日</x:v>
      </x:c>
      <x:c r="B59" s="12" t="str">
        <x:v>500119095</x:v>
      </x:c>
      <x:c r="C59" s="12" t="str">
        <x:v>臺大學新館</x:v>
      </x:c>
      <x:c r="D59" s="35" t="n">
        <x:v>21</x:v>
      </x:c>
      <x:c r="E59" s="35" t="n">
        <x:v>149</x:v>
      </x:c>
      <x:c r="F59" s="35" t="n">
        <x:v>138.95238095238096</x:v>
      </x:c>
      <x:c r="G59" s="14"/>
      <x:c r="H59" s="14"/>
      <x:c r="I59" s="14"/>
      <x:c r="J59" s="14"/>
      <x:c r="K59" s="14"/>
    </x:row>
    <x:row r="60">
      <x:c r="A60" s="12" t="str">
        <x:v>8月平日</x:v>
      </x:c>
      <x:c r="B60" s="12" t="str">
        <x:v>500119096</x:v>
      </x:c>
      <x:c r="C60" s="12" t="str">
        <x:v>臺大水源舍區C棟</x:v>
      </x:c>
      <x:c r="D60" s="35" t="n">
        <x:v>21</x:v>
      </x:c>
      <x:c r="E60" s="35" t="n">
        <x:v>77.14285714285714</x:v>
      </x:c>
      <x:c r="F60" s="35" t="n">
        <x:v>48.19047619047619</x:v>
      </x:c>
      <x:c r="G60" s="14"/>
      <x:c r="H60" s="14"/>
      <x:c r="I60" s="14"/>
      <x:c r="J60" s="14"/>
      <x:c r="K60" s="14"/>
    </x:row>
    <x:row r="61">
      <x:c r="A61" s="12" t="str">
        <x:v>8月平日</x:v>
      </x:c>
      <x:c r="B61" s="12" t="str">
        <x:v>500119097</x:v>
      </x:c>
      <x:c r="C61" s="12" t="str">
        <x:v>臺大人文館</x:v>
      </x:c>
      <x:c r="D61" s="35" t="n">
        <x:v>21</x:v>
      </x:c>
      <x:c r="E61" s="35" t="n">
        <x:v>173.61904761904762</x:v>
      </x:c>
      <x:c r="F61" s="35" t="n">
        <x:v>109.28571428571429</x:v>
      </x:c>
      <x:c r="G61" s="14"/>
      <x:c r="H61" s="14"/>
      <x:c r="I61" s="14"/>
      <x:c r="J61" s="14"/>
      <x:c r="K61" s="14"/>
    </x:row>
    <x:row r="62">
      <x:c r="A62" s="12" t="str">
        <x:v>8月平日</x:v>
      </x:c>
      <x:c r="B62" s="12" t="str">
        <x:v>500119098</x:v>
      </x:c>
      <x:c r="C62" s="12" t="str">
        <x:v>臺大數學研究中心(東側)</x:v>
      </x:c>
      <x:c r="D62" s="35" t="n">
        <x:v>21</x:v>
      </x:c>
      <x:c r="E62" s="35" t="n">
        <x:v>188.95238095238096</x:v>
      </x:c>
      <x:c r="F62" s="35" t="n">
        <x:v>210.38095238095238</x:v>
      </x:c>
      <x:c r="G62" s="14"/>
      <x:c r="H62" s="14"/>
      <x:c r="I62" s="14"/>
      <x:c r="J62" s="14"/>
      <x:c r="K62" s="14"/>
    </x:row>
    <x:row r="63">
      <x:c r="A63" s="12" t="str">
        <x:v>8月平日</x:v>
      </x:c>
      <x:c r="B63" s="12" t="str">
        <x:v>500119099</x:v>
      </x:c>
      <x:c r="C63" s="12" t="str">
        <x:v>臺大博理館北側</x:v>
      </x:c>
      <x:c r="D63" s="35" t="n">
        <x:v>2</x:v>
      </x:c>
      <x:c r="E63" s="35" t="n">
        <x:v>38.5</x:v>
      </x:c>
      <x:c r="F63" s="35" t="n">
        <x:v>9</x:v>
      </x:c>
      <x:c r="G63" s="14"/>
      <x:c r="H63" s="14"/>
      <x:c r="I63" s="14"/>
      <x:c r="J63" s="14"/>
      <x:c r="K63" s="14"/>
    </x:row>
    <x:row r="64">
      <x:c r="A64" s="12" t="str">
        <x:v>8月平日</x:v>
      </x:c>
      <x:c r="B64" s="12" t="str">
        <x:v>500119100</x:v>
      </x:c>
      <x:c r="C64" s="12" t="str">
        <x:v>臺大博理館東側</x:v>
      </x:c>
      <x:c r="D64" s="35" t="n">
        <x:v>2</x:v>
      </x:c>
      <x:c r="E64" s="35" t="n">
        <x:v>51</x:v>
      </x:c>
      <x:c r="F64" s="35" t="n">
        <x:v>42</x:v>
      </x:c>
      <x:c r="G64" s="14"/>
      <x:c r="H64" s="14"/>
      <x:c r="I64" s="14"/>
      <x:c r="J64" s="14"/>
      <x:c r="K64" s="14"/>
    </x:row>
    <x:row r="65">
      <x:c r="A65" s="12" t="str">
        <x:v>8月平日</x:v>
      </x:c>
      <x:c r="B65" s="12" t="str">
        <x:v>500119101</x:v>
      </x:c>
      <x:c r="C65" s="12" t="str">
        <x:v>臺大德田館東北側</x:v>
      </x:c>
      <x:c r="D65" s="35" t="n">
        <x:v>3</x:v>
      </x:c>
      <x:c r="E65" s="35" t="n">
        <x:v>108.33333333333333</x:v>
      </x:c>
      <x:c r="F65" s="35" t="n">
        <x:v>75</x:v>
      </x:c>
      <x:c r="G65" s="14"/>
      <x:c r="H65" s="14"/>
      <x:c r="I65" s="14"/>
      <x:c r="J65" s="14"/>
      <x:c r="K65" s="14"/>
    </x:row>
    <x:row r="66">
      <x:c r="A66" s="12" t="str">
        <x:v>8月平日</x:v>
      </x:c>
      <x:c r="B66" s="12" t="str">
        <x:v>500119102</x:v>
      </x:c>
      <x:c r="C66" s="12" t="str">
        <x:v>臺大普通教學館東側</x:v>
      </x:c>
      <x:c r="D66" s="35" t="n">
        <x:v>15</x:v>
      </x:c>
      <x:c r="E66" s="35" t="n">
        <x:v>84.4</x:v>
      </x:c>
      <x:c r="F66" s="35" t="n">
        <x:v>76.73333333333333</x:v>
      </x:c>
      <x:c r="G66" s="14"/>
      <x:c r="H66" s="14"/>
      <x:c r="I66" s="14"/>
      <x:c r="J66" s="14"/>
      <x:c r="K66" s="14"/>
    </x:row>
    <x:row r="67">
      <x:c r="A67" s="12" t="str">
        <x:v>8月平日</x:v>
      </x:c>
      <x:c r="B67" s="12" t="str">
        <x:v>500119103</x:v>
      </x:c>
      <x:c r="C67" s="12" t="str">
        <x:v>臺大次震宇宙館西側</x:v>
      </x:c>
      <x:c r="D67" s="35" t="n">
        <x:v>2</x:v>
      </x:c>
      <x:c r="E67" s="35" t="n">
        <x:v>120.5</x:v>
      </x:c>
      <x:c r="F67" s="35" t="n">
        <x:v>106.5</x:v>
      </x:c>
      <x:c r="G67" s="14"/>
      <x:c r="H67" s="14"/>
      <x:c r="I67" s="14"/>
      <x:c r="J67" s="14"/>
      <x:c r="K67" s="14"/>
    </x:row>
    <x:row r="68">
      <x:c r="A68" s="12" t="str">
        <x:v>9/1–9/17平日</x:v>
      </x:c>
      <x:c r="B68" s="12" t="str">
        <x:v>500119005</x:v>
      </x:c>
      <x:c r="C68" s="12" t="str">
        <x:v>臺大水源舍區A棟</x:v>
      </x:c>
      <x:c r="D68" s="35" t="n">
        <x:v>13</x:v>
      </x:c>
      <x:c r="E68" s="35" t="n">
        <x:v>198.53846153846155</x:v>
      </x:c>
      <x:c r="F68" s="35" t="n">
        <x:v>193.07692307692307</x:v>
      </x:c>
      <x:c r="G68" s="14" t="n">
        <x:v>0.8155269230769231</x:v>
      </x:c>
      <x:c r="H68" s="14" t="n">
        <x:v>0.7175205128205128</x:v>
      </x:c>
      <x:c r="I68" s="14" t="n">
        <x:v>0.5692282051282052</x:v>
      </x:c>
      <x:c r="J68" s="14" t="n">
        <x:v>0.9648707692307692</x:v>
      </x:c>
      <x:c r="K68" s="14" t="n">
        <x:v>0.9940179487179487</x:v>
      </x:c>
    </x:row>
    <x:row r="69">
      <x:c r="A69" s="12" t="str">
        <x:v>9/1–9/17平日</x:v>
      </x:c>
      <x:c r="B69" s="12" t="str">
        <x:v>500119006</x:v>
      </x:c>
      <x:c r="C69" s="12" t="str">
        <x:v>臺大卓越研究大樓</x:v>
      </x:c>
      <x:c r="D69" s="35" t="n">
        <x:v>13</x:v>
      </x:c>
      <x:c r="E69" s="35" t="n">
        <x:v>171.92307692307693</x:v>
      </x:c>
      <x:c r="F69" s="35" t="n">
        <x:v>156.07692307692307</x:v>
      </x:c>
      <x:c r="G69" s="14" t="n">
        <x:v>0.8619666666666667</x:v>
      </x:c>
      <x:c r="H69" s="14" t="n">
        <x:v>0.8196615384615384</x:v>
      </x:c>
      <x:c r="I69" s="14" t="n">
        <x:v>0.732048717948718</x:v>
      </x:c>
      <x:c r="J69" s="14" t="n">
        <x:v>0.9405138461538461</x:v>
      </x:c>
      <x:c r="K69" s="14" t="n">
        <x:v>1</x:v>
      </x:c>
    </x:row>
    <x:row r="70">
      <x:c r="A70" s="12" t="str">
        <x:v>9/1–9/17平日</x:v>
      </x:c>
      <x:c r="B70" s="12" t="str">
        <x:v>500119007</x:v>
      </x:c>
      <x:c r="C70" s="12" t="str">
        <x:v>臺大水源修齊會館</x:v>
      </x:c>
      <x:c r="D70" s="35" t="n">
        <x:v>13</x:v>
      </x:c>
      <x:c r="E70" s="35" t="n">
        <x:v>110.23076923076923</x:v>
      </x:c>
      <x:c r="F70" s="35" t="n">
        <x:v>104.07692307692308</x:v>
      </x:c>
      <x:c r="G70" s="14" t="n">
        <x:v>0.8210811965811966</x:v>
      </x:c>
      <x:c r="H70" s="14" t="n">
        <x:v>0.718374358974359</x:v>
      </x:c>
      <x:c r="I70" s="14" t="n">
        <x:v>0.6017025641025641</x:v>
      </x:c>
      <x:c r="J70" s="14" t="n">
        <x:v>0.9643584615384615</x:v>
      </x:c>
      <x:c r="K70" s="14" t="n">
        <x:v>1</x:v>
      </x:c>
    </x:row>
    <x:row r="71">
      <x:c r="A71" s="12" t="str">
        <x:v>9/1–9/17平日</x:v>
      </x:c>
      <x:c r="B71" s="12" t="str">
        <x:v>500119008</x:v>
      </x:c>
      <x:c r="C71" s="12" t="str">
        <x:v>臺大檔案展示館</x:v>
      </x:c>
      <x:c r="D71" s="35" t="n">
        <x:v>13</x:v>
      </x:c>
      <x:c r="E71" s="35" t="n">
        <x:v>33.76923076923077</x:v>
      </x:c>
      <x:c r="F71" s="35" t="n">
        <x:v>30.46153846153846</x:v>
      </x:c>
      <x:c r="G71" s="14" t="n">
        <x:v>0.8600435897435897</x:v>
      </x:c>
      <x:c r="H71" s="14" t="n">
        <x:v>0.8358974358974359</x:v>
      </x:c>
      <x:c r="I71" s="14" t="n">
        <x:v>0.8166692307692308</x:v>
      </x:c>
      <x:c r="J71" s="14" t="n">
        <x:v>0.8730784615384616</x:v>
      </x:c>
      <x:c r="K71" s="14" t="n">
        <x:v>0.8850435897435898</x:v>
      </x:c>
    </x:row>
    <x:row r="72">
      <x:c r="A72" s="12" t="str">
        <x:v>9/1–9/17平日</x:v>
      </x:c>
      <x:c r="B72" s="12" t="str">
        <x:v>500119009</x:v>
      </x:c>
      <x:c r="C72" s="12" t="str">
        <x:v>臺大水源舍區B棟</x:v>
      </x:c>
      <x:c r="D72" s="35" t="n">
        <x:v>13</x:v>
      </x:c>
      <x:c r="E72" s="35" t="n">
        <x:v>256.15384615384613</x:v>
      </x:c>
      <x:c r="F72" s="35" t="n">
        <x:v>260.0769230769231</x:v>
      </x:c>
      <x:c r="G72" s="14" t="n">
        <x:v>0.8203705128205128</x:v>
      </x:c>
      <x:c r="H72" s="14" t="n">
        <x:v>0.7017076923076923</x:v>
      </x:c>
      <x:c r="I72" s="14" t="n">
        <x:v>0.5880384615384615</x:v>
      </x:c>
      <x:c r="J72" s="14" t="n">
        <x:v>0.9805107692307692</x:v>
      </x:c>
      <x:c r="K72" s="14" t="n">
        <x:v>0.9893153846153846</x:v>
      </x:c>
    </x:row>
    <x:row r="73">
      <x:c r="A73" s="12" t="str">
        <x:v>9/1–9/17平日</x:v>
      </x:c>
      <x:c r="B73" s="12" t="str">
        <x:v>500119043</x:v>
      </x:c>
      <x:c r="C73" s="12" t="str">
        <x:v>臺大男八舍東側</x:v>
      </x:c>
      <x:c r="D73" s="35" t="n">
        <x:v>13</x:v>
      </x:c>
      <x:c r="E73" s="35" t="n">
        <x:v>253.76923076923077</x:v>
      </x:c>
      <x:c r="F73" s="35" t="n">
        <x:v>251.84615384615384</x:v>
      </x:c>
      <x:c r="G73" s="14" t="n">
        <x:v>0.8651722222222222</x:v>
      </x:c>
      <x:c r="H73" s="14" t="n">
        <x:v>0.7752102564102564</x:v>
      </x:c>
      <x:c r="I73" s="14" t="n">
        <x:v>0.782051282051282</x:v>
      </x:c>
      <x:c r="J73" s="14" t="n">
        <x:v>0.9279507692307692</x:v>
      </x:c>
      <x:c r="K73" s="14" t="n">
        <x:v>0.9953</x:v>
      </x:c>
    </x:row>
    <x:row r="74">
      <x:c r="A74" s="12" t="str">
        <x:v>9/1–9/17平日</x:v>
      </x:c>
      <x:c r="B74" s="12" t="str">
        <x:v>500119044</x:v>
      </x:c>
      <x:c r="C74" s="12" t="str">
        <x:v>臺大禮賢樓東南側</x:v>
      </x:c>
      <x:c r="D74" s="35" t="n">
        <x:v>13</x:v>
      </x:c>
      <x:c r="E74" s="35" t="n">
        <x:v>192.3846153846154</x:v>
      </x:c>
      <x:c r="F74" s="35" t="n">
        <x:v>175.15384615384616</x:v>
      </x:c>
      <x:c r="G74" s="14" t="n">
        <x:v>0.8903115384615384</x:v>
      </x:c>
      <x:c r="H74" s="14" t="n">
        <x:v>0.9320512820512821</x:v>
      </x:c>
      <x:c r="I74" s="14" t="n">
        <x:v>0.8743538461538461</x:v>
      </x:c>
      <x:c r="J74" s="14" t="n">
        <x:v>0.87564</x:v>
      </x:c>
      <x:c r="K74" s="14" t="n">
        <x:v>0.995725641025641</x:v>
      </x:c>
    </x:row>
    <x:row r="75">
      <x:c r="A75" s="12" t="str">
        <x:v>9/1–9/17平日</x:v>
      </x:c>
      <x:c r="B75" s="12" t="str">
        <x:v>500119045</x:v>
      </x:c>
      <x:c r="C75" s="12" t="str">
        <x:v>臺大農業陳列館北側</x:v>
      </x:c>
      <x:c r="D75" s="35" t="n">
        <x:v>13</x:v>
      </x:c>
      <x:c r="E75" s="35" t="n">
        <x:v>314.3076923076923</x:v>
      </x:c>
      <x:c r="F75" s="35" t="n">
        <x:v>295.46153846153845</x:v>
      </x:c>
      <x:c r="G75" s="14" t="n">
        <x:v>0.8908111111111111</x:v>
      </x:c>
      <x:c r="H75" s="14" t="n">
        <x:v>0.7418820512820513</x:v>
      </x:c>
      <x:c r="I75" s="14" t="n">
        <x:v>0.9568358974358975</x:v>
      </x:c>
      <x:c r="J75" s="14" t="n">
        <x:v>1</x:v>
      </x:c>
      <x:c r="K75" s="14" t="n">
        <x:v>1</x:v>
      </x:c>
    </x:row>
    <x:row r="76">
      <x:c r="A76" s="12" t="str">
        <x:v>9/1–9/17平日</x:v>
      </x:c>
      <x:c r="B76" s="12" t="str">
        <x:v>500119046</x:v>
      </x:c>
      <x:c r="C76" s="12" t="str">
        <x:v>臺大管理學院二館北側</x:v>
      </x:c>
      <x:c r="D76" s="35" t="n">
        <x:v>13</x:v>
      </x:c>
      <x:c r="E76" s="35" t="n">
        <x:v>231.46153846153845</x:v>
      </x:c>
      <x:c r="F76" s="35" t="n">
        <x:v>231.69230769230768</x:v>
      </x:c>
      <x:c r="G76" s="14" t="n">
        <x:v>0.8895303418803419</x:v>
      </x:c>
      <x:c r="H76" s="14" t="n">
        <x:v>0.895725641025641</x:v>
      </x:c>
      <x:c r="I76" s="14" t="n">
        <x:v>0.8688051282051282</x:v>
      </x:c>
      <x:c r="J76" s="14" t="n">
        <x:v>0.972563076923077</x:v>
      </x:c>
      <x:c r="K76" s="14" t="n">
        <x:v>0.9965820512820512</x:v>
      </x:c>
    </x:row>
    <x:row r="77">
      <x:c r="A77" s="12" t="str">
        <x:v>9/1–9/17平日</x:v>
      </x:c>
      <x:c r="B77" s="12" t="str">
        <x:v>500119047</x:v>
      </x:c>
      <x:c r="C77" s="12" t="str">
        <x:v>臺大土木系館</x:v>
      </x:c>
      <x:c r="D77" s="35" t="n">
        <x:v>13</x:v>
      </x:c>
      <x:c r="E77" s="35" t="n">
        <x:v>206.69230769230768</x:v>
      </x:c>
      <x:c r="F77" s="35" t="n">
        <x:v>174.07692307692307</x:v>
      </x:c>
      <x:c r="G77" s="14" t="n">
        <x:v>0.8778491452991453</x:v>
      </x:c>
      <x:c r="H77" s="14" t="n">
        <x:v>1</x:v>
      </x:c>
      <x:c r="I77" s="14" t="n">
        <x:v>0.9931641025641026</x:v>
      </x:c>
      <x:c r="J77" s="14" t="n">
        <x:v>0.8361523076923076</x:v>
      </x:c>
      <x:c r="K77" s="14" t="n">
        <x:v>0.9641051282051282</x:v>
      </x:c>
    </x:row>
    <x:row r="78">
      <x:c r="A78" s="12" t="str">
        <x:v>9/1–9/17平日</x:v>
      </x:c>
      <x:c r="B78" s="12" t="str">
        <x:v>500119048</x:v>
      </x:c>
      <x:c r="C78" s="12" t="str">
        <x:v>臺大大一女舍北側</x:v>
      </x:c>
      <x:c r="D78" s="35" t="n">
        <x:v>13</x:v>
      </x:c>
      <x:c r="E78" s="35" t="n">
        <x:v>243.84615384615384</x:v>
      </x:c>
      <x:c r="F78" s="35" t="n">
        <x:v>251.69230769230768</x:v>
      </x:c>
      <x:c r="G78" s="14" t="n">
        <x:v>0.8007119658119658</x:v>
      </x:c>
      <x:c r="H78" s="14" t="n">
        <x:v>0.48333589743589744</x:v>
      </x:c>
      <x:c r="I78" s="14" t="n">
        <x:v>0.709825641025641</x:v>
      </x:c>
      <x:c r="J78" s="14" t="n">
        <x:v>1</x:v>
      </x:c>
      <x:c r="K78" s="14" t="n">
        <x:v>1</x:v>
      </x:c>
    </x:row>
    <x:row r="79">
      <x:c r="A79" s="12" t="str">
        <x:v>9/1–9/17平日</x:v>
      </x:c>
      <x:c r="B79" s="12" t="str">
        <x:v>500119049</x:v>
      </x:c>
      <x:c r="C79" s="12" t="str">
        <x:v>臺大女九舍西南側</x:v>
      </x:c>
      <x:c r="D79" s="35" t="n">
        <x:v>13</x:v>
      </x:c>
      <x:c r="E79" s="35" t="n">
        <x:v>144.30769230769232</x:v>
      </x:c>
      <x:c r="F79" s="35" t="n">
        <x:v>141.30769230769232</x:v>
      </x:c>
      <x:c r="G79" s="14" t="n">
        <x:v>0.883476923076923</x:v>
      </x:c>
      <x:c r="H79" s="14" t="n">
        <x:v>1</x:v>
      </x:c>
      <x:c r="I79" s="14" t="n">
        <x:v>0.9940179487179487</x:v>
      </x:c>
      <x:c r="J79" s="14" t="n">
        <x:v>0.84436</x:v>
      </x:c>
      <x:c r="K79" s="14" t="n">
        <x:v>0.8632512820512821</x:v>
      </x:c>
    </x:row>
    <x:row r="80">
      <x:c r="A80" s="12" t="str">
        <x:v>9/1–9/17平日</x:v>
      </x:c>
      <x:c r="B80" s="12" t="str">
        <x:v>500119050</x:v>
      </x:c>
      <x:c r="C80" s="12" t="str">
        <x:v>臺大小福樓東側</x:v>
      </x:c>
      <x:c r="D80" s="35" t="n">
        <x:v>13</x:v>
      </x:c>
      <x:c r="E80" s="35" t="n">
        <x:v>416.6923076923077</x:v>
      </x:c>
      <x:c r="F80" s="35" t="n">
        <x:v>457.6923076923077</x:v>
      </x:c>
      <x:c r="G80" s="14" t="n">
        <x:v>0.85206452991453</x:v>
      </x:c>
      <x:c r="H80" s="14" t="n">
        <x:v>0.986751282051282</x:v>
      </x:c>
      <x:c r="I80" s="14" t="n">
        <x:v>0.9940153846153846</x:v>
      </x:c>
      <x:c r="J80" s="14" t="n">
        <x:v>0.8246123076923076</x:v>
      </x:c>
      <x:c r="K80" s="14" t="n">
        <x:v>0.9303410256410256</x:v>
      </x:c>
    </x:row>
    <x:row r="81">
      <x:c r="A81" s="12" t="str">
        <x:v>9/1–9/17平日</x:v>
      </x:c>
      <x:c r="B81" s="12" t="str">
        <x:v>500119051</x:v>
      </x:c>
      <x:c r="C81" s="12" t="str">
        <x:v>臺大立體機車停車場</x:v>
      </x:c>
      <x:c r="D81" s="35" t="n">
        <x:v>13</x:v>
      </x:c>
      <x:c r="E81" s="35" t="n">
        <x:v>275.3076923076923</x:v>
      </x:c>
      <x:c r="F81" s="35" t="n">
        <x:v>274</x:v>
      </x:c>
      <x:c r="G81" s="14" t="n">
        <x:v>0.8762811965811966</x:v>
      </x:c>
      <x:c r="H81" s="14" t="n">
        <x:v>0.9760666666666666</x:v>
      </x:c>
      <x:c r="I81" s="14" t="n">
        <x:v>0.9431641025641025</x:v>
      </x:c>
      <x:c r="J81" s="14" t="n">
        <x:v>0.801023076923077</x:v>
      </x:c>
      <x:c r="K81" s="14" t="n">
        <x:v>0.9482897435897436</x:v>
      </x:c>
    </x:row>
    <x:row r="82">
      <x:c r="A82" s="12" t="str">
        <x:v>9/1–9/17平日</x:v>
      </x:c>
      <x:c r="B82" s="12" t="str">
        <x:v>500119052</x:v>
      </x:c>
      <x:c r="C82" s="12" t="str">
        <x:v>臺大工綜館南側</x:v>
      </x:c>
      <x:c r="D82" s="35" t="n">
        <x:v>13</x:v>
      </x:c>
      <x:c r="E82" s="35" t="n">
        <x:v>457.2307692307692</x:v>
      </x:c>
      <x:c r="F82" s="35" t="n">
        <x:v>477.6923076923077</x:v>
      </x:c>
      <x:c r="G82" s="14" t="n">
        <x:v>0.8339017094017094</x:v>
      </x:c>
      <x:c r="H82" s="14" t="n">
        <x:v>0.9953</x:v>
      </x:c>
      <x:c r="I82" s="14" t="n">
        <x:v>1</x:v>
      </x:c>
      <x:c r="J82" s="14" t="n">
        <x:v>0.7830738461538461</x:v>
      </x:c>
      <x:c r="K82" s="14" t="n">
        <x:v>0.8534179487179487</x:v>
      </x:c>
    </x:row>
    <x:row r="83">
      <x:c r="A83" s="12" t="str">
        <x:v>9/1–9/17平日</x:v>
      </x:c>
      <x:c r="B83" s="12" t="str">
        <x:v>500119053</x:v>
      </x:c>
      <x:c r="C83" s="12" t="str">
        <x:v>臺大天文數學館南側</x:v>
      </x:c>
      <x:c r="D83" s="35" t="n">
        <x:v>13</x:v>
      </x:c>
      <x:c r="E83" s="35" t="n">
        <x:v>254.69230769230768</x:v>
      </x:c>
      <x:c r="F83" s="35" t="n">
        <x:v>266.0769230769231</x:v>
      </x:c>
      <x:c r="G83" s="14" t="n">
        <x:v>0.8770645299145299</x:v>
      </x:c>
      <x:c r="H83" s="14" t="n">
        <x:v>1</x:v>
      </x:c>
      <x:c r="I83" s="14" t="n">
        <x:v>1</x:v>
      </x:c>
      <x:c r="J83" s="14" t="n">
        <x:v>0.8728138461538462</x:v>
      </x:c>
      <x:c r="K83" s="14" t="n">
        <x:v>0.926923076923077</x:v>
      </x:c>
    </x:row>
    <x:row r="84">
      <x:c r="A84" s="12" t="str">
        <x:v>9/1–9/17平日</x:v>
      </x:c>
      <x:c r="B84" s="12" t="str">
        <x:v>500119054</x:v>
      </x:c>
      <x:c r="C84" s="12" t="str">
        <x:v>臺大心理系館南側</x:v>
      </x:c>
      <x:c r="D84" s="35" t="n">
        <x:v>13</x:v>
      </x:c>
      <x:c r="E84" s="35" t="n">
        <x:v>198.69230769230768</x:v>
      </x:c>
      <x:c r="F84" s="35" t="n">
        <x:v>218.07692307692307</x:v>
      </x:c>
      <x:c r="G84" s="14" t="n">
        <x:v>0.8214380341880342</x:v>
      </x:c>
      <x:c r="H84" s="14" t="n">
        <x:v>0.9982897435897435</x:v>
      </x:c>
      <x:c r="I84" s="14" t="n">
        <x:v>1</x:v>
      </x:c>
      <x:c r="J84" s="14" t="n">
        <x:v>0.75692</x:v>
      </x:c>
      <x:c r="K84" s="14" t="n">
        <x:v>0.799574358974359</x:v>
      </x:c>
    </x:row>
    <x:row r="85">
      <x:c r="A85" s="12" t="str">
        <x:v>9/1–9/17平日</x:v>
      </x:c>
      <x:c r="B85" s="12" t="str">
        <x:v>500119055</x:v>
      </x:c>
      <x:c r="C85" s="12" t="str">
        <x:v>臺大樂學館東側</x:v>
      </x:c>
      <x:c r="D85" s="35" t="n">
        <x:v>13</x:v>
      </x:c>
      <x:c r="E85" s="35" t="n">
        <x:v>426.53846153846155</x:v>
      </x:c>
      <x:c r="F85" s="35" t="n">
        <x:v>401.7692307692308</x:v>
      </x:c>
      <x:c r="G85" s="14" t="n">
        <x:v>0.8765666666666667</x:v>
      </x:c>
      <x:c r="H85" s="14" t="n">
        <x:v>0.9602564102564103</x:v>
      </x:c>
      <x:c r="I85" s="14" t="n">
        <x:v>0.9534153846153847</x:v>
      </x:c>
      <x:c r="J85" s="14" t="n">
        <x:v>0.8674369230769231</x:v>
      </x:c>
      <x:c r="K85" s="14" t="n">
        <x:v>0.9867538461538462</x:v>
      </x:c>
    </x:row>
    <x:row r="86">
      <x:c r="A86" s="12" t="str">
        <x:v>9/1–9/17平日</x:v>
      </x:c>
      <x:c r="B86" s="12" t="str">
        <x:v>500119056</x:v>
      </x:c>
      <x:c r="C86" s="12" t="str">
        <x:v>臺大農化新館西側</x:v>
      </x:c>
      <x:c r="D86" s="35" t="n">
        <x:v>13</x:v>
      </x:c>
      <x:c r="E86" s="35" t="n">
        <x:v>162.6153846153846</x:v>
      </x:c>
      <x:c r="F86" s="35" t="n">
        <x:v>158.30769230769232</x:v>
      </x:c>
      <x:c r="G86" s="14" t="n">
        <x:v>0.814032905982906</x:v>
      </x:c>
      <x:c r="H86" s="14" t="n">
        <x:v>0.7252153846153846</x:v>
      </x:c>
      <x:c r="I86" s="14" t="n">
        <x:v>0.8371794871794872</x:v>
      </x:c>
      <x:c r="J86" s="14" t="n">
        <x:v>0.8515415384615385</x:v>
      </x:c>
      <x:c r="K86" s="14" t="n">
        <x:v>0.967948717948718</x:v>
      </x:c>
    </x:row>
    <x:row r="87">
      <x:c r="A87" s="12" t="str">
        <x:v>9/1–9/17平日</x:v>
      </x:c>
      <x:c r="B87" s="12" t="str">
        <x:v>500119057</x:v>
      </x:c>
      <x:c r="C87" s="12" t="str">
        <x:v>臺大五號館西側</x:v>
      </x:c>
      <x:c r="D87" s="35" t="n">
        <x:v>13</x:v>
      </x:c>
      <x:c r="E87" s="35" t="n">
        <x:v>260.3076923076923</x:v>
      </x:c>
      <x:c r="F87" s="35" t="n">
        <x:v>241.84615384615384</x:v>
      </x:c>
      <x:c r="G87" s="14" t="n">
        <x:v>0.8072649572649573</x:v>
      </x:c>
      <x:c r="H87" s="14" t="n">
        <x:v>0.8901717948717949</x:v>
      </x:c>
      <x:c r="I87" s="14" t="n">
        <x:v>0.9141</x:v>
      </x:c>
      <x:c r="J87" s="14" t="n">
        <x:v>0.7671784615384616</x:v>
      </x:c>
      <x:c r="K87" s="14" t="n">
        <x:v>1</x:v>
      </x:c>
    </x:row>
    <x:row r="88">
      <x:c r="A88" s="12" t="str">
        <x:v>9/1–9/17平日</x:v>
      </x:c>
      <x:c r="B88" s="12" t="str">
        <x:v>500119058</x:v>
      </x:c>
      <x:c r="C88" s="12" t="str">
        <x:v>臺大舊體育館西側</x:v>
      </x:c>
      <x:c r="D88" s="35" t="n">
        <x:v>13</x:v>
      </x:c>
      <x:c r="E88" s="35" t="n">
        <x:v>330.2307692307692</x:v>
      </x:c>
      <x:c r="F88" s="35" t="n">
        <x:v>350.6923076923077</x:v>
      </x:c>
      <x:c r="G88" s="14" t="n">
        <x:v>0.8841162393162393</x:v>
      </x:c>
      <x:c r="H88" s="14" t="n">
        <x:v>0.9803410256410257</x:v>
      </x:c>
      <x:c r="I88" s="14" t="n">
        <x:v>0.9811948717948717</x:v>
      </x:c>
      <x:c r="J88" s="14" t="n">
        <x:v>0.9694846153846154</x:v>
      </x:c>
      <x:c r="K88" s="14" t="n">
        <x:v>0.9448717948717948</x:v>
      </x:c>
    </x:row>
    <x:row r="89">
      <x:c r="A89" s="12" t="str">
        <x:v>9/1–9/17平日</x:v>
      </x:c>
      <x:c r="B89" s="12" t="str">
        <x:v>500119059</x:v>
      </x:c>
      <x:c r="C89" s="12" t="str">
        <x:v>臺大共同教室北側</x:v>
      </x:c>
      <x:c r="D89" s="35" t="n">
        <x:v>13</x:v>
      </x:c>
      <x:c r="E89" s="35" t="n">
        <x:v>357.7692307692308</x:v>
      </x:c>
      <x:c r="F89" s="35" t="n">
        <x:v>315.7692307692308</x:v>
      </x:c>
      <x:c r="G89" s="14" t="n">
        <x:v>0.8628923076923077</x:v>
      </x:c>
      <x:c r="H89" s="14" t="n">
        <x:v>0.950851282051282</x:v>
      </x:c>
      <x:c r="I89" s="14" t="n">
        <x:v>0.9910230769230769</x:v>
      </x:c>
      <x:c r="J89" s="14" t="n">
        <x:v>0.8823107692307692</x:v>
      </x:c>
      <x:c r="K89" s="14" t="n">
        <x:v>1</x:v>
      </x:c>
    </x:row>
    <x:row r="90">
      <x:c r="A90" s="12" t="str">
        <x:v>9/1–9/17平日</x:v>
      </x:c>
      <x:c r="B90" s="12" t="str">
        <x:v>500119060</x:v>
      </x:c>
      <x:c r="C90" s="12" t="str">
        <x:v>臺大共同教室東南側</x:v>
      </x:c>
      <x:c r="D90" s="35" t="n">
        <x:v>13</x:v>
      </x:c>
      <x:c r="E90" s="35" t="n">
        <x:v>361.0769230769231</x:v>
      </x:c>
      <x:c r="F90" s="35" t="n">
        <x:v>344</x:v>
      </x:c>
      <x:c r="G90" s="14" t="n">
        <x:v>0.7505688034188034</x:v>
      </x:c>
      <x:c r="H90" s="14" t="n">
        <x:v>0.8423051282051282</x:v>
      </x:c>
      <x:c r="I90" s="14" t="n">
        <x:v>0.8905948717948718</x:v>
      </x:c>
      <x:c r="J90" s="14" t="n">
        <x:v>0.7569261538461538</x:v>
      </x:c>
      <x:c r="K90" s="14" t="n">
        <x:v>0.9794871794871794</x:v>
      </x:c>
    </x:row>
    <x:row r="91">
      <x:c r="A91" s="12" t="str">
        <x:v>9/1–9/17平日</x:v>
      </x:c>
      <x:c r="B91" s="12" t="str">
        <x:v>500119061</x:v>
      </x:c>
      <x:c r="C91" s="12" t="str">
        <x:v>臺大鹿鳴堂東側</x:v>
      </x:c>
      <x:c r="D91" s="35" t="n">
        <x:v>13</x:v>
      </x:c>
      <x:c r="E91" s="35" t="n">
        <x:v>357.7692307692308</x:v>
      </x:c>
      <x:c r="F91" s="35" t="n">
        <x:v>290</x:v>
      </x:c>
      <x:c r="G91" s="14" t="n">
        <x:v>0.7913102564102564</x:v>
      </x:c>
      <x:c r="H91" s="14" t="n">
        <x:v>0.8487153846153846</x:v>
      </x:c>
      <x:c r="I91" s="14" t="n">
        <x:v>0.9423102564102565</x:v>
      </x:c>
      <x:c r="J91" s="14" t="n">
        <x:v>0.7489707692307692</x:v>
      </x:c>
      <x:c r="K91" s="14" t="n">
        <x:v>1</x:v>
      </x:c>
    </x:row>
    <x:row r="92">
      <x:c r="A92" s="12" t="str">
        <x:v>9/1–9/17平日</x:v>
      </x:c>
      <x:c r="B92" s="12" t="str">
        <x:v>500119062</x:v>
      </x:c>
      <x:c r="C92" s="12" t="str">
        <x:v>臺大公館停車場西北側</x:v>
      </x:c>
      <x:c r="D92" s="35" t="n">
        <x:v>13</x:v>
      </x:c>
      <x:c r="E92" s="35" t="n">
        <x:v>41.53846153846154</x:v>
      </x:c>
      <x:c r="F92" s="35" t="n">
        <x:v>33.61538461538461</x:v>
      </x:c>
      <x:c r="G92" s="14" t="n">
        <x:v>0.7949444444444445</x:v>
      </x:c>
      <x:c r="H92" s="14" t="n">
        <x:v>0.6649615384615385</x:v>
      </x:c>
      <x:c r="I92" s="14" t="n">
        <x:v>0.7243641025641026</x:v>
      </x:c>
      <x:c r="J92" s="14" t="n">
        <x:v>0.9187169230769231</x:v>
      </x:c>
      <x:c r="K92" s="14" t="n">
        <x:v>1</x:v>
      </x:c>
    </x:row>
    <x:row r="93">
      <x:c r="A93" s="12" t="str">
        <x:v>9/1–9/17平日</x:v>
      </x:c>
      <x:c r="B93" s="12" t="str">
        <x:v>500119063</x:v>
      </x:c>
      <x:c r="C93" s="12" t="str">
        <x:v>臺大第二行政大樓南側</x:v>
      </x:c>
      <x:c r="D93" s="35" t="n">
        <x:v>13</x:v>
      </x:c>
      <x:c r="E93" s="35" t="n">
        <x:v>196.84615384615384</x:v>
      </x:c>
      <x:c r="F93" s="35" t="n">
        <x:v>182.30769230769232</x:v>
      </x:c>
      <x:c r="G93" s="14" t="n">
        <x:v>0.8280623931623932</x:v>
      </x:c>
      <x:c r="H93" s="14" t="n">
        <x:v>0.7166666666666667</x:v>
      </x:c>
      <x:c r="I93" s="14" t="n">
        <x:v>0.8376051282051282</x:v>
      </x:c>
      <x:c r="J93" s="14" t="n">
        <x:v>0.89436</x:v>
      </x:c>
      <x:c r="K93" s="14" t="n">
        <x:v>1</x:v>
      </x:c>
    </x:row>
    <x:row r="94">
      <x:c r="A94" s="12" t="str">
        <x:v>9/1–9/17平日</x:v>
      </x:c>
      <x:c r="B94" s="12" t="str">
        <x:v>500119064</x:v>
      </x:c>
      <x:c r="C94" s="12" t="str">
        <x:v>臺大明達館機車停車場</x:v>
      </x:c>
      <x:c r="D94" s="35" t="n">
        <x:v>13</x:v>
      </x:c>
      <x:c r="E94" s="35" t="n">
        <x:v>231.3846153846154</x:v>
      </x:c>
      <x:c r="F94" s="35" t="n">
        <x:v>220.30769230769232</x:v>
      </x:c>
      <x:c r="G94" s="14" t="n">
        <x:v>0.8478636752136752</x:v>
      </x:c>
      <x:c r="H94" s="14" t="n">
        <x:v>0.9568358974358975</x:v>
      </x:c>
      <x:c r="I94" s="14" t="n">
        <x:v>0.9064102564102564</x:v>
      </x:c>
      <x:c r="J94" s="14" t="n">
        <x:v>0.7002553846153846</x:v>
      </x:c>
      <x:c r="K94" s="14" t="n">
        <x:v>0.9871794871794872</x:v>
      </x:c>
    </x:row>
    <x:row r="95">
      <x:c r="A95" s="12" t="str">
        <x:v>9/1–9/17平日</x:v>
      </x:c>
      <x:c r="B95" s="12" t="str">
        <x:v>500119065</x:v>
      </x:c>
      <x:c r="C95" s="12" t="str">
        <x:v>臺大二號館</x:v>
      </x:c>
      <x:c r="D95" s="35" t="n">
        <x:v>13</x:v>
      </x:c>
      <x:c r="E95" s="35" t="n">
        <x:v>131.3846153846154</x:v>
      </x:c>
      <x:c r="F95" s="35" t="n">
        <x:v>123.23076923076923</x:v>
      </x:c>
      <x:c r="G95" s="14" t="n">
        <x:v>0.6988606837606838</x:v>
      </x:c>
      <x:c r="H95" s="14" t="n">
        <x:v>0.7465820512820512</x:v>
      </x:c>
      <x:c r="I95" s="14" t="n">
        <x:v>0.7927358974358975</x:v>
      </x:c>
      <x:c r="J95" s="14" t="n">
        <x:v>0.6817953846153846</x:v>
      </x:c>
      <x:c r="K95" s="14" t="n">
        <x:v>0.9965820512820512</x:v>
      </x:c>
    </x:row>
    <x:row r="96">
      <x:c r="A96" s="12" t="str">
        <x:v>9/1–9/17平日</x:v>
      </x:c>
      <x:c r="B96" s="12" t="str">
        <x:v>500119066</x:v>
      </x:c>
      <x:c r="C96" s="12" t="str">
        <x:v>臺大凝態館南側</x:v>
      </x:c>
      <x:c r="D96" s="35" t="n">
        <x:v>13</x:v>
      </x:c>
      <x:c r="E96" s="35" t="n">
        <x:v>192.6153846153846</x:v>
      </x:c>
      <x:c r="F96" s="35" t="n">
        <x:v>201.92307692307693</x:v>
      </x:c>
      <x:c r="G96" s="14" t="n">
        <x:v>0.8696572649572649</x:v>
      </x:c>
      <x:c r="H96" s="14" t="n">
        <x:v>0.9837615384615385</x:v>
      </x:c>
      <x:c r="I96" s="14" t="n">
        <x:v>0.9837589743589743</x:v>
      </x:c>
      <x:c r="J96" s="14" t="n">
        <x:v>0.8548707692307692</x:v>
      </x:c>
      <x:c r="K96" s="14" t="n">
        <x:v>0.9576897435897436</x:v>
      </x:c>
    </x:row>
    <x:row r="97">
      <x:c r="A97" s="12" t="str">
        <x:v>9/1–9/17平日</x:v>
      </x:c>
      <x:c r="B97" s="12" t="str">
        <x:v>500119067</x:v>
      </x:c>
      <x:c r="C97" s="12" t="str">
        <x:v>臺大社科院西側</x:v>
      </x:c>
      <x:c r="D97" s="35" t="n">
        <x:v>13</x:v>
      </x:c>
      <x:c r="E97" s="35" t="n">
        <x:v>492.2307692307692</x:v>
      </x:c>
      <x:c r="F97" s="35" t="n">
        <x:v>501.9230769230769</x:v>
      </x:c>
      <x:c r="G97" s="14" t="n">
        <x:v>0.9032760683760683</x:v>
      </x:c>
      <x:c r="H97" s="14" t="n">
        <x:v>1</x:v>
      </x:c>
      <x:c r="I97" s="14" t="n">
        <x:v>1</x:v>
      </x:c>
      <x:c r="J97" s="14" t="n">
        <x:v>0.8574353846153846</x:v>
      </x:c>
      <x:c r="K97" s="14" t="n">
        <x:v>0.8923051282051282</x:v>
      </x:c>
    </x:row>
    <x:row r="98">
      <x:c r="A98" s="12" t="str">
        <x:v>9/1–9/17平日</x:v>
      </x:c>
      <x:c r="B98" s="12" t="str">
        <x:v>500119068</x:v>
      </x:c>
      <x:c r="C98" s="12" t="str">
        <x:v>臺大社會系館南側</x:v>
      </x:c>
      <x:c r="D98" s="35" t="n">
        <x:v>13</x:v>
      </x:c>
      <x:c r="E98" s="35" t="n">
        <x:v>233</x:v>
      </x:c>
      <x:c r="F98" s="35" t="n">
        <x:v>234</x:v>
      </x:c>
      <x:c r="G98" s="14" t="n">
        <x:v>0.8789884615384616</x:v>
      </x:c>
      <x:c r="H98" s="14" t="n">
        <x:v>0.9927358974358974</x:v>
      </x:c>
      <x:c r="I98" s="14" t="n">
        <x:v>0.9974358974358974</x:v>
      </x:c>
      <x:c r="J98" s="14" t="n">
        <x:v>0.8492307692307692</x:v>
      </x:c>
      <x:c r="K98" s="14" t="n">
        <x:v>0.9953</x:v>
      </x:c>
    </x:row>
    <x:row r="99">
      <x:c r="A99" s="12" t="str">
        <x:v>9/1–9/17平日</x:v>
      </x:c>
      <x:c r="B99" s="12" t="str">
        <x:v>500119069</x:v>
      </x:c>
      <x:c r="C99" s="12" t="str">
        <x:v>臺大思亮館東南側</x:v>
      </x:c>
      <x:c r="D99" s="35" t="n">
        <x:v>13</x:v>
      </x:c>
      <x:c r="E99" s="35" t="n">
        <x:v>138.69230769230768</x:v>
      </x:c>
      <x:c r="F99" s="35" t="n">
        <x:v>143.76923076923077</x:v>
      </x:c>
      <x:c r="G99" s="14" t="n">
        <x:v>0.9490739316239316</x:v>
      </x:c>
      <x:c r="H99" s="14" t="n">
        <x:v>1</x:v>
      </x:c>
      <x:c r="I99" s="14" t="n">
        <x:v>1</x:v>
      </x:c>
      <x:c r="J99" s="14" t="n">
        <x:v>0.9569215384615385</x:v>
      </x:c>
      <x:c r="K99" s="14" t="n">
        <x:v>0.9615384615384616</x:v>
      </x:c>
    </x:row>
    <x:row r="100">
      <x:c r="A100" s="12" t="str">
        <x:v>9/1–9/17平日</x:v>
      </x:c>
      <x:c r="B100" s="12" t="str">
        <x:v>500119070</x:v>
      </x:c>
      <x:c r="C100" s="12" t="str">
        <x:v>臺大椰林小舖</x:v>
      </x:c>
      <x:c r="D100" s="35" t="n">
        <x:v>13</x:v>
      </x:c>
      <x:c r="E100" s="35" t="n">
        <x:v>435.9230769230769</x:v>
      </x:c>
      <x:c r="F100" s="35" t="n">
        <x:v>450.53846153846155</x:v>
      </x:c>
      <x:c r="G100" s="14" t="n">
        <x:v>0.8393871794871794</x:v>
      </x:c>
      <x:c r="H100" s="14" t="n">
        <x:v>0.5641051282051281</x:v>
      </x:c>
      <x:c r="I100" s="14" t="n">
        <x:v>0.8363205128205128</x:v>
      </x:c>
      <x:c r="J100" s="14" t="n">
        <x:v>0.9807692307692307</x:v>
      </x:c>
      <x:c r="K100" s="14" t="n">
        <x:v>1</x:v>
      </x:c>
    </x:row>
    <x:row r="101">
      <x:c r="A101" s="12" t="str">
        <x:v>9/1–9/17平日</x:v>
      </x:c>
      <x:c r="B101" s="12" t="str">
        <x:v>500119071</x:v>
      </x:c>
      <x:c r="C101" s="12" t="str">
        <x:v>臺大計資中心南側</x:v>
      </x:c>
      <x:c r="D101" s="35" t="n">
        <x:v>13</x:v>
      </x:c>
      <x:c r="E101" s="35" t="n">
        <x:v>191.3846153846154</x:v>
      </x:c>
      <x:c r="F101" s="35" t="n">
        <x:v>211.92307692307693</x:v>
      </x:c>
      <x:c r="G101" s="14" t="n">
        <x:v>0.9042735042735043</x:v>
      </x:c>
      <x:c r="H101" s="14" t="n">
        <x:v>1</x:v>
      </x:c>
      <x:c r="I101" s="14" t="n">
        <x:v>1</x:v>
      </x:c>
      <x:c r="J101" s="14" t="n">
        <x:v>0.8882046153846154</x:v>
      </x:c>
      <x:c r="K101" s="14" t="n">
        <x:v>0.9935897435897436</x:v>
      </x:c>
    </x:row>
    <x:row r="102">
      <x:c r="A102" s="12" t="str">
        <x:v>9/1–9/17平日</x:v>
      </x:c>
      <x:c r="B102" s="12" t="str">
        <x:v>500119072</x:v>
      </x:c>
      <x:c r="C102" s="12" t="str">
        <x:v>臺大原分所北側</x:v>
      </x:c>
      <x:c r="D102" s="35" t="n">
        <x:v>13</x:v>
      </x:c>
      <x:c r="E102" s="35" t="n">
        <x:v>164.07692307692307</x:v>
      </x:c>
      <x:c r="F102" s="35" t="n">
        <x:v>167.3846153846154</x:v>
      </x:c>
      <x:c r="G102" s="14" t="n">
        <x:v>0.8512833333333333</x:v>
      </x:c>
      <x:c r="H102" s="14" t="n">
        <x:v>0.9098307692307692</x:v>
      </x:c>
      <x:c r="I102" s="14" t="n">
        <x:v>0.9209410256410256</x:v>
      </x:c>
      <x:c r="J102" s="14" t="n">
        <x:v>0.7902584615384616</x:v>
      </x:c>
      <x:c r="K102" s="14" t="n">
        <x:v>0.8158153846153846</x:v>
      </x:c>
    </x:row>
    <x:row r="103">
      <x:c r="A103" s="12" t="str">
        <x:v>9/1–9/17平日</x:v>
      </x:c>
      <x:c r="B103" s="12" t="str">
        <x:v>500119074</x:v>
      </x:c>
      <x:c r="C103" s="12" t="str">
        <x:v>臺大生命科學館西北側</x:v>
      </x:c>
      <x:c r="D103" s="35" t="n">
        <x:v>13</x:v>
      </x:c>
      <x:c r="E103" s="35" t="n">
        <x:v>261.53846153846155</x:v>
      </x:c>
      <x:c r="F103" s="35" t="n">
        <x:v>241.15384615384616</x:v>
      </x:c>
      <x:c r="G103" s="14" t="n">
        <x:v>0.7672371794871795</x:v>
      </x:c>
      <x:c r="H103" s="14" t="n">
        <x:v>0.9482923076923077</x:v>
      </x:c>
      <x:c r="I103" s="14" t="n">
        <x:v>0.9730769230769231</x:v>
      </x:c>
      <x:c r="J103" s="14" t="n">
        <x:v>0.6661584615384616</x:v>
      </x:c>
      <x:c r="K103" s="14" t="n">
        <x:v>0.995725641025641</x:v>
      </x:c>
    </x:row>
    <x:row r="104">
      <x:c r="A104" s="12" t="str">
        <x:v>9/1–9/17平日</x:v>
      </x:c>
      <x:c r="B104" s="12" t="str">
        <x:v>500119075</x:v>
      </x:c>
      <x:c r="C104" s="12" t="str">
        <x:v>臺大第一活動中心西南側</x:v>
      </x:c>
      <x:c r="D104" s="35" t="n">
        <x:v>13</x:v>
      </x:c>
      <x:c r="E104" s="35" t="n">
        <x:v>1079.2307692307693</x:v>
      </x:c>
      <x:c r="F104" s="35" t="n">
        <x:v>1144.2307692307693</x:v>
      </x:c>
      <x:c r="G104" s="14" t="n">
        <x:v>0.8567653846153847</x:v>
      </x:c>
      <x:c r="H104" s="14" t="n">
        <x:v>1</x:v>
      </x:c>
      <x:c r="I104" s="14" t="n">
        <x:v>1</x:v>
      </x:c>
      <x:c r="J104" s="14" t="n">
        <x:v>0.8161553846153846</x:v>
      </x:c>
      <x:c r="K104" s="14" t="n">
        <x:v>0.9534205128205128</x:v>
      </x:c>
    </x:row>
    <x:row r="105">
      <x:c r="A105" s="12" t="str">
        <x:v>9/1–9/17平日</x:v>
      </x:c>
      <x:c r="B105" s="12" t="str">
        <x:v>500119076</x:v>
      </x:c>
      <x:c r="C105" s="12" t="str">
        <x:v>臺大博理館西側</x:v>
      </x:c>
      <x:c r="D105" s="35" t="n">
        <x:v>13</x:v>
      </x:c>
      <x:c r="E105" s="35" t="n">
        <x:v>230</x:v>
      </x:c>
      <x:c r="F105" s="35" t="n">
        <x:v>250</x:v>
      </x:c>
      <x:c r="G105" s="14" t="n">
        <x:v>0.8400995726495727</x:v>
      </x:c>
      <x:c r="H105" s="14" t="n">
        <x:v>0.9931615384615384</x:v>
      </x:c>
      <x:c r="I105" s="14" t="n">
        <x:v>0.9995717948717948</x:v>
      </x:c>
      <x:c r="J105" s="14" t="n">
        <x:v>0.7282061538461538</x:v>
      </x:c>
      <x:c r="K105" s="14" t="n">
        <x:v>0.8102564102564103</x:v>
      </x:c>
    </x:row>
    <x:row r="106">
      <x:c r="A106" s="12" t="str">
        <x:v>9/1–9/17平日</x:v>
      </x:c>
      <x:c r="B106" s="12" t="str">
        <x:v>500119077</x:v>
      </x:c>
      <x:c r="C106" s="12" t="str">
        <x:v>臺大博雅館西側</x:v>
      </x:c>
      <x:c r="D106" s="35" t="n">
        <x:v>13</x:v>
      </x:c>
      <x:c r="E106" s="35" t="n">
        <x:v>192.3846153846154</x:v>
      </x:c>
      <x:c r="F106" s="35" t="n">
        <x:v>198.3846153846154</x:v>
      </x:c>
      <x:c r="G106" s="14" t="n">
        <x:v>0.9626068376068376</x:v>
      </x:c>
      <x:c r="H106" s="14" t="n">
        <x:v>1</x:v>
      </x:c>
      <x:c r="I106" s="14" t="n">
        <x:v>1</x:v>
      </x:c>
      <x:c r="J106" s="14" t="n">
        <x:v>0.9915384615384616</x:v>
      </x:c>
      <x:c r="K106" s="14" t="n">
        <x:v>1</x:v>
      </x:c>
    </x:row>
    <x:row r="107">
      <x:c r="A107" s="12" t="str">
        <x:v>9/1–9/17平日</x:v>
      </x:c>
      <x:c r="B107" s="12" t="str">
        <x:v>500119078</x:v>
      </x:c>
      <x:c r="C107" s="12" t="str">
        <x:v>臺大森林館北側</x:v>
      </x:c>
      <x:c r="D107" s="35" t="n">
        <x:v>13</x:v>
      </x:c>
      <x:c r="E107" s="35" t="n">
        <x:v>105.53846153846153</x:v>
      </x:c>
      <x:c r="F107" s="35" t="n">
        <x:v>100.3076923076923</x:v>
      </x:c>
      <x:c r="G107" s="14" t="n">
        <x:v>0.7049162393162394</x:v>
      </x:c>
      <x:c r="H107" s="14" t="n">
        <x:v>0.9380358974358974</x:v>
      </x:c>
      <x:c r="I107" s="14" t="n">
        <x:v>0.9346179487179487</x:v>
      </x:c>
      <x:c r="J107" s="14" t="n">
        <x:v>0.5441046153846154</x:v>
      </x:c>
      <x:c r="K107" s="14" t="n">
        <x:v>0.8730743589743589</x:v>
      </x:c>
    </x:row>
    <x:row r="108">
      <x:c r="A108" s="12" t="str">
        <x:v>9/1–9/17平日</x:v>
      </x:c>
      <x:c r="B108" s="12" t="str">
        <x:v>500119079</x:v>
      </x:c>
      <x:c r="C108" s="12" t="str">
        <x:v>臺大一號館</x:v>
      </x:c>
      <x:c r="D108" s="35" t="n">
        <x:v>13</x:v>
      </x:c>
      <x:c r="E108" s="35" t="n">
        <x:v>247.53846153846155</x:v>
      </x:c>
      <x:c r="F108" s="35" t="n">
        <x:v>187.15384615384616</x:v>
      </x:c>
      <x:c r="G108" s="14" t="n">
        <x:v>0.8529918803418803</x:v>
      </x:c>
      <x:c r="H108" s="14" t="n">
        <x:v>0.6970076923076923</x:v>
      </x:c>
      <x:c r="I108" s="14" t="n">
        <x:v>0.8623923076923077</x:v>
      </x:c>
      <x:c r="J108" s="14" t="n">
        <x:v>0.9469246153846154</x:v>
      </x:c>
      <x:c r="K108" s="14" t="n">
        <x:v>1</x:v>
      </x:c>
    </x:row>
    <x:row r="109">
      <x:c r="A109" s="12" t="str">
        <x:v>9/1–9/17平日</x:v>
      </x:c>
      <x:c r="B109" s="12" t="str">
        <x:v>500119080</x:v>
      </x:c>
      <x:c r="C109" s="12" t="str">
        <x:v>臺大小小福西南側</x:v>
      </x:c>
      <x:c r="D109" s="35" t="n">
        <x:v>13</x:v>
      </x:c>
      <x:c r="E109" s="35" t="n">
        <x:v>98.07692307692308</x:v>
      </x:c>
      <x:c r="F109" s="35" t="n">
        <x:v>94.84615384615384</x:v>
      </x:c>
      <x:c r="G109" s="14" t="n">
        <x:v>0.6839764957264958</x:v>
      </x:c>
      <x:c r="H109" s="14" t="n">
        <x:v>0.6170948717948718</x:v>
      </x:c>
      <x:c r="I109" s="14" t="n">
        <x:v>0.7790615384615385</x:v>
      </x:c>
      <x:c r="J109" s="14" t="n">
        <x:v>0.6969261538461539</x:v>
      </x:c>
      <x:c r="K109" s="14" t="n">
        <x:v>1</x:v>
      </x:c>
    </x:row>
    <x:row r="110">
      <x:c r="A110" s="12" t="str">
        <x:v>9/1–9/17平日</x:v>
      </x:c>
      <x:c r="B110" s="12" t="str">
        <x:v>500119081</x:v>
      </x:c>
      <x:c r="C110" s="12" t="str">
        <x:v>臺大教研館北側</x:v>
      </x:c>
      <x:c r="D110" s="35" t="n">
        <x:v>13</x:v>
      </x:c>
      <x:c r="E110" s="35" t="n">
        <x:v>184.3846153846154</x:v>
      </x:c>
      <x:c r="F110" s="35" t="n">
        <x:v>179.6153846153846</x:v>
      </x:c>
      <x:c r="G110" s="14" t="n">
        <x:v>0.8143149572649573</x:v>
      </x:c>
      <x:c r="H110" s="14" t="n">
        <x:v>0.9995717948717948</x:v>
      </x:c>
      <x:c r="I110" s="14" t="n">
        <x:v>1</x:v>
      </x:c>
      <x:c r="J110" s="14" t="n">
        <x:v>0.6874323076923077</x:v>
      </x:c>
      <x:c r="K110" s="14" t="n">
        <x:v>0.9367538461538462</x:v>
      </x:c>
    </x:row>
    <x:row r="111">
      <x:c r="A111" s="12" t="str">
        <x:v>9/1–9/17平日</x:v>
      </x:c>
      <x:c r="B111" s="12" t="str">
        <x:v>500119082</x:v>
      </x:c>
      <x:c r="C111" s="12" t="str">
        <x:v>臺大四號館東北側</x:v>
      </x:c>
      <x:c r="D111" s="35" t="n">
        <x:v>13</x:v>
      </x:c>
      <x:c r="E111" s="35" t="n">
        <x:v>122.38461538461539</x:v>
      </x:c>
      <x:c r="F111" s="35" t="n">
        <x:v>75.15384615384616</x:v>
      </x:c>
      <x:c r="G111" s="14" t="n">
        <x:v>0.8346858974358974</x:v>
      </x:c>
      <x:c r="H111" s="14" t="n">
        <x:v>0.8529897435897436</x:v>
      </x:c>
      <x:c r="I111" s="14" t="n">
        <x:v>0.8995717948717948</x:v>
      </x:c>
      <x:c r="J111" s="14" t="n">
        <x:v>0.8507692307692307</x:v>
      </x:c>
      <x:c r="K111" s="14" t="n">
        <x:v>1</x:v>
      </x:c>
    </x:row>
    <x:row r="112">
      <x:c r="A112" s="12" t="str">
        <x:v>9/1–9/17平日</x:v>
      </x:c>
      <x:c r="B112" s="12" t="str">
        <x:v>500119083</x:v>
      </x:c>
      <x:c r="C112" s="12" t="str">
        <x:v>臺大新生教室南側</x:v>
      </x:c>
      <x:c r="D112" s="35" t="n">
        <x:v>13</x:v>
      </x:c>
      <x:c r="E112" s="35" t="n">
        <x:v>291.0769230769231</x:v>
      </x:c>
      <x:c r="F112" s="35" t="n">
        <x:v>299.6923076923077</x:v>
      </x:c>
      <x:c r="G112" s="14" t="n">
        <x:v>0.8074786324786325</x:v>
      </x:c>
      <x:c r="H112" s="14" t="n">
        <x:v>0.9978615384615385</x:v>
      </x:c>
      <x:c r="I112" s="14" t="n">
        <x:v>0.9782051282051282</x:v>
      </x:c>
      <x:c r="J112" s="14" t="n">
        <x:v>0.7525630769230769</x:v>
      </x:c>
      <x:c r="K112" s="14" t="n">
        <x:v>0.8756435897435897</x:v>
      </x:c>
    </x:row>
    <x:row r="113">
      <x:c r="A113" s="12" t="str">
        <x:v>9/1–9/17平日</x:v>
      </x:c>
      <x:c r="B113" s="12" t="str">
        <x:v>500119084</x:v>
      </x:c>
      <x:c r="C113" s="12" t="str">
        <x:v>臺大鄭江樓北側</x:v>
      </x:c>
      <x:c r="D113" s="35" t="n">
        <x:v>13</x:v>
      </x:c>
      <x:c r="E113" s="35" t="n">
        <x:v>261.15384615384613</x:v>
      </x:c>
      <x:c r="F113" s="35" t="n">
        <x:v>238.53846153846155</x:v>
      </x:c>
      <x:c r="G113" s="14" t="n">
        <x:v>0.7903136752136752</x:v>
      </x:c>
      <x:c r="H113" s="14" t="n">
        <x:v>0.9803410256410257</x:v>
      </x:c>
      <x:c r="I113" s="14" t="n">
        <x:v>0.9918794871794872</x:v>
      </x:c>
      <x:c r="J113" s="14" t="n">
        <x:v>0.6164107692307692</x:v>
      </x:c>
      <x:c r="K113" s="14" t="n">
        <x:v>0.9722205128205128</x:v>
      </x:c>
    </x:row>
    <x:row r="114">
      <x:c r="A114" s="12" t="str">
        <x:v>9/1–9/17平日</x:v>
      </x:c>
      <x:c r="B114" s="12" t="str">
        <x:v>500119085</x:v>
      </x:c>
      <x:c r="C114" s="12" t="str">
        <x:v>臺大電機二館東南側</x:v>
      </x:c>
      <x:c r="D114" s="35" t="n">
        <x:v>13</x:v>
      </x:c>
      <x:c r="E114" s="35" t="n">
        <x:v>210.23076923076923</x:v>
      </x:c>
      <x:c r="F114" s="35" t="n">
        <x:v>217.46153846153845</x:v>
      </x:c>
      <x:c r="G114" s="14" t="n">
        <x:v>0.7321222222222222</x:v>
      </x:c>
      <x:c r="H114" s="14" t="n">
        <x:v>0.9794846153846154</x:v>
      </x:c>
      <x:c r="I114" s="14" t="n">
        <x:v>0.9991435897435897</x:v>
      </x:c>
      <x:c r="J114" s="14" t="n">
        <x:v>0.5510292307692307</x:v>
      </x:c>
      <x:c r="K114" s="14" t="n">
        <x:v>0.717948717948718</x:v>
      </x:c>
    </x:row>
    <x:row r="115">
      <x:c r="A115" s="12" t="str">
        <x:v>9/1–9/17平日</x:v>
      </x:c>
      <x:c r="B115" s="12" t="str">
        <x:v>500119086</x:v>
      </x:c>
      <x:c r="C115" s="12" t="str">
        <x:v>臺大圖資系館北側</x:v>
      </x:c>
      <x:c r="D115" s="35" t="n">
        <x:v>13</x:v>
      </x:c>
      <x:c r="E115" s="35" t="n">
        <x:v>338.61538461538464</x:v>
      </x:c>
      <x:c r="F115" s="35" t="n">
        <x:v>338.9230769230769</x:v>
      </x:c>
      <x:c r="G115" s="14" t="n">
        <x:v>0.8277773504273505</x:v>
      </x:c>
      <x:c r="H115" s="14" t="n">
        <x:v>1</x:v>
      </x:c>
      <x:c r="I115" s="14" t="n">
        <x:v>0.9974333333333333</x:v>
      </x:c>
      <x:c r="J115" s="14" t="n">
        <x:v>0.7815369230769231</x:v>
      </x:c>
      <x:c r="K115" s="14" t="n">
        <x:v>0.9752153846153846</x:v>
      </x:c>
    </x:row>
    <x:row r="116">
      <x:c r="A116" s="12" t="str">
        <x:v>9/1–9/17平日</x:v>
      </x:c>
      <x:c r="B116" s="12" t="str">
        <x:v>500119087</x:v>
      </x:c>
      <x:c r="C116" s="12" t="str">
        <x:v>臺大總圖書館西南側</x:v>
      </x:c>
      <x:c r="D116" s="35" t="n">
        <x:v>13</x:v>
      </x:c>
      <x:c r="E116" s="35" t="n">
        <x:v>471.46153846153845</x:v>
      </x:c>
      <x:c r="F116" s="35" t="n">
        <x:v>503.2307692307692</x:v>
      </x:c>
      <x:c r="G116" s="14" t="n">
        <x:v>0.8427346153846154</x:v>
      </x:c>
      <x:c r="H116" s="14" t="n">
        <x:v>1</x:v>
      </x:c>
      <x:c r="I116" s="14" t="n">
        <x:v>1</x:v>
      </x:c>
      <x:c r="J116" s="14" t="n">
        <x:v>0.8248707692307692</x:v>
      </x:c>
      <x:c r="K116" s="14" t="n">
        <x:v>0.9965820512820512</x:v>
      </x:c>
    </x:row>
    <x:row r="117">
      <x:c r="A117" s="12" t="str">
        <x:v>9/1–9/17平日</x:v>
      </x:c>
      <x:c r="B117" s="12" t="str">
        <x:v>500119088</x:v>
      </x:c>
      <x:c r="C117" s="12" t="str">
        <x:v>臺大黑森林西側</x:v>
      </x:c>
      <x:c r="D117" s="35" t="n">
        <x:v>13</x:v>
      </x:c>
      <x:c r="E117" s="35" t="n">
        <x:v>394.7692307692308</x:v>
      </x:c>
      <x:c r="F117" s="35" t="n">
        <x:v>386.53846153846155</x:v>
      </x:c>
      <x:c r="G117" s="14" t="n">
        <x:v>0.9086880341880342</x:v>
      </x:c>
      <x:c r="H117" s="14" t="n">
        <x:v>0.9538435897435897</x:v>
      </x:c>
      <x:c r="I117" s="14" t="n">
        <x:v>0.9517076923076923</x:v>
      </x:c>
      <x:c r="J117" s="14" t="n">
        <x:v>0.8315338461538462</x:v>
      </x:c>
      <x:c r="K117" s="14" t="n">
        <x:v>0.9764974358974359</x:v>
      </x:c>
    </x:row>
    <x:row r="118">
      <x:c r="A118" s="12" t="str">
        <x:v>9/1–9/17平日</x:v>
      </x:c>
      <x:c r="B118" s="12" t="str">
        <x:v>500119089</x:v>
      </x:c>
      <x:c r="C118" s="12" t="str">
        <x:v>臺大獸醫館南側</x:v>
      </x:c>
      <x:c r="D118" s="35" t="n">
        <x:v>13</x:v>
      </x:c>
      <x:c r="E118" s="35" t="n">
        <x:v>209.3846153846154</x:v>
      </x:c>
      <x:c r="F118" s="35" t="n">
        <x:v>194.76923076923077</x:v>
      </x:c>
      <x:c r="G118" s="14" t="n">
        <x:v>0.8636752136752137</x:v>
      </x:c>
      <x:c r="H118" s="14" t="n">
        <x:v>0.9965820512820512</x:v>
      </x:c>
      <x:c r="I118" s="14" t="n">
        <x:v>0.9991461538461538</x:v>
      </x:c>
      <x:c r="J118" s="14" t="n">
        <x:v>0.70692</x:v>
      </x:c>
      <x:c r="K118" s="14" t="n">
        <x:v>0.8867512820512821</x:v>
      </x:c>
    </x:row>
    <x:row r="119">
      <x:c r="A119" s="12" t="str">
        <x:v>9/1–9/17平日</x:v>
      </x:c>
      <x:c r="B119" s="12" t="str">
        <x:v>500119090</x:v>
      </x:c>
      <x:c r="C119" s="12" t="str">
        <x:v>臺大新體育館東南側</x:v>
      </x:c>
      <x:c r="D119" s="35" t="n">
        <x:v>13</x:v>
      </x:c>
      <x:c r="E119" s="35" t="n">
        <x:v>532.4615384615385</x:v>
      </x:c>
      <x:c r="F119" s="35" t="n">
        <x:v>547.3076923076923</x:v>
      </x:c>
      <x:c r="G119" s="14" t="n">
        <x:v>0.9106123931623932</x:v>
      </x:c>
      <x:c r="H119" s="14" t="n">
        <x:v>0.9910256410256411</x:v>
      </x:c>
      <x:c r="I119" s="14" t="n">
        <x:v>0.9923076923076923</x:v>
      </x:c>
      <x:c r="J119" s="14" t="n">
        <x:v>0.9679476923076923</x:v>
      </x:c>
      <x:c r="K119" s="14" t="n">
        <x:v>0.9576897435897436</x:v>
      </x:c>
    </x:row>
    <x:row r="120">
      <x:c r="A120" s="12" t="str">
        <x:v>9/1–9/17平日</x:v>
      </x:c>
      <x:c r="B120" s="12" t="str">
        <x:v>500119091</x:v>
      </x:c>
      <x:c r="C120" s="12" t="str">
        <x:v>臺大明達館北側(員工宿舍)</x:v>
      </x:c>
      <x:c r="D120" s="35" t="n">
        <x:v>13</x:v>
      </x:c>
      <x:c r="E120" s="35" t="n">
        <x:v>76.23076923076923</x:v>
      </x:c>
      <x:c r="F120" s="35" t="n">
        <x:v>54.46153846153846</x:v>
      </x:c>
      <x:c r="G120" s="14" t="n">
        <x:v>0.934117094017094</x:v>
      </x:c>
      <x:c r="H120" s="14" t="n">
        <x:v>0.9675205128205128</x:v>
      </x:c>
      <x:c r="I120" s="14" t="n">
        <x:v>0.9645307692307692</x:v>
      </x:c>
      <x:c r="J120" s="14" t="n">
        <x:v>0.8533369230769231</x:v>
      </x:c>
      <x:c r="K120" s="14" t="n">
        <x:v>1</x:v>
      </x:c>
    </x:row>
    <x:row r="121">
      <x:c r="A121" s="12" t="str">
        <x:v>9/1–9/17平日</x:v>
      </x:c>
      <x:c r="B121" s="12" t="str">
        <x:v>500119092</x:v>
      </x:c>
      <x:c r="C121" s="12" t="str">
        <x:v>臺大管理學院一館</x:v>
      </x:c>
      <x:c r="D121" s="35" t="n">
        <x:v>13</x:v>
      </x:c>
      <x:c r="E121" s="35" t="n">
        <x:v>232.69230769230768</x:v>
      </x:c>
      <x:c r="F121" s="35" t="n">
        <x:v>224.07692307692307</x:v>
      </x:c>
      <x:c r="G121" s="14" t="n">
        <x:v>0.7653863247863247</x:v>
      </x:c>
      <x:c r="H121" s="14" t="n">
        <x:v>0.981625641025641</x:v>
      </x:c>
      <x:c r="I121" s="14" t="n">
        <x:v>0.9290564102564103</x:v>
      </x:c>
      <x:c r="J121" s="14" t="n">
        <x:v>0.6420553846153846</x:v>
      </x:c>
      <x:c r="K121" s="14" t="n">
        <x:v>0.9546974358974359</x:v>
      </x:c>
    </x:row>
    <x:row r="122">
      <x:c r="A122" s="12" t="str">
        <x:v>9/1–9/17平日</x:v>
      </x:c>
      <x:c r="B122" s="12" t="str">
        <x:v>500119093</x:v>
      </x:c>
      <x:c r="C122" s="12" t="str">
        <x:v>臺大禮賢樓西側</x:v>
      </x:c>
      <x:c r="D122" s="35" t="n">
        <x:v>13</x:v>
      </x:c>
      <x:c r="E122" s="35" t="n">
        <x:v>95.23076923076923</x:v>
      </x:c>
      <x:c r="F122" s="35" t="n">
        <x:v>71.53846153846153</x:v>
      </x:c>
      <x:c r="G122" s="14" t="n">
        <x:v>0.7930905982905982</x:v>
      </x:c>
      <x:c r="H122" s="14" t="n">
        <x:v>0.8948692307692308</x:v>
      </x:c>
      <x:c r="I122" s="14" t="n">
        <x:v>0.791448717948718</x:v>
      </x:c>
      <x:c r="J122" s="14" t="n">
        <x:v>0.7848738461538461</x:v>
      </x:c>
      <x:c r="K122" s="14" t="n">
        <x:v>1</x:v>
      </x:c>
    </x:row>
    <x:row r="123">
      <x:c r="A123" s="12" t="str">
        <x:v>9/1–9/17平日</x:v>
      </x:c>
      <x:c r="B123" s="12" t="str">
        <x:v>500119094</x:v>
      </x:c>
      <x:c r="C123" s="12" t="str">
        <x:v>臺大大一女餐廳廣場</x:v>
      </x:c>
      <x:c r="D123" s="35" t="n">
        <x:v>13</x:v>
      </x:c>
      <x:c r="E123" s="35" t="n">
        <x:v>278.84615384615387</x:v>
      </x:c>
      <x:c r="F123" s="35" t="n">
        <x:v>273.38461538461536</x:v>
      </x:c>
      <x:c r="G123" s="14" t="n">
        <x:v>0.789241452991453</x:v>
      </x:c>
      <x:c r="H123" s="14" t="n">
        <x:v>0.4734974358974359</x:v>
      </x:c>
      <x:c r="I123" s="14" t="n">
        <x:v>0.851274358974359</x:v>
      </x:c>
      <x:c r="J123" s="14" t="n">
        <x:v>1</x:v>
      </x:c>
      <x:c r="K123" s="14" t="n">
        <x:v>1</x:v>
      </x:c>
    </x:row>
    <x:row r="124">
      <x:c r="A124" s="12" t="str">
        <x:v>9/1–9/17平日</x:v>
      </x:c>
      <x:c r="B124" s="12" t="str">
        <x:v>500119095</x:v>
      </x:c>
      <x:c r="C124" s="12" t="str">
        <x:v>臺大學新館</x:v>
      </x:c>
      <x:c r="D124" s="35" t="n">
        <x:v>13</x:v>
      </x:c>
      <x:c r="E124" s="35" t="n">
        <x:v>249.92307692307693</x:v>
      </x:c>
      <x:c r="F124" s="35" t="n">
        <x:v>244.46153846153845</x:v>
      </x:c>
      <x:c r="G124" s="14" t="n">
        <x:v>0.837392735042735</x:v>
      </x:c>
      <x:c r="H124" s="14" t="n">
        <x:v>0.9940179487179487</x:v>
      </x:c>
      <x:c r="I124" s="14" t="n">
        <x:v>0.9905974358974359</x:v>
      </x:c>
      <x:c r="J124" s="14" t="n">
        <x:v>0.7469230769230769</x:v>
      </x:c>
      <x:c r="K124" s="14" t="n">
        <x:v>0.8888846153846154</x:v>
      </x:c>
    </x:row>
    <x:row r="125">
      <x:c r="A125" s="12" t="str">
        <x:v>9/1–9/17平日</x:v>
      </x:c>
      <x:c r="B125" s="12" t="str">
        <x:v>500119096</x:v>
      </x:c>
      <x:c r="C125" s="12" t="str">
        <x:v>臺大水源舍區C棟</x:v>
      </x:c>
      <x:c r="D125" s="35" t="n">
        <x:v>13</x:v>
      </x:c>
      <x:c r="E125" s="35" t="n">
        <x:v>80.46153846153847</x:v>
      </x:c>
      <x:c r="F125" s="35" t="n">
        <x:v>65.3076923076923</x:v>
      </x:c>
      <x:c r="G125" s="14" t="n">
        <x:v>0.8608273504273505</x:v>
      </x:c>
      <x:c r="H125" s="14" t="n">
        <x:v>0.8260692307692308</x:v>
      </x:c>
      <x:c r="I125" s="14" t="n">
        <x:v>0.7149589743589744</x:v>
      </x:c>
      <x:c r="J125" s="14" t="n">
        <x:v>0.9625661538461538</x:v>
      </x:c>
      <x:c r="K125" s="14" t="n">
        <x:v>1</x:v>
      </x:c>
    </x:row>
    <x:row r="126">
      <x:c r="A126" s="12" t="str">
        <x:v>9/1–9/17平日</x:v>
      </x:c>
      <x:c r="B126" s="12" t="str">
        <x:v>500119097</x:v>
      </x:c>
      <x:c r="C126" s="12" t="str">
        <x:v>臺大人文館</x:v>
      </x:c>
      <x:c r="D126" s="35" t="n">
        <x:v>13</x:v>
      </x:c>
      <x:c r="E126" s="35" t="n">
        <x:v>286.9230769230769</x:v>
      </x:c>
      <x:c r="F126" s="35" t="n">
        <x:v>213.76923076923077</x:v>
      </x:c>
      <x:c r="G126" s="14" t="n">
        <x:v>0.889458547008547</x:v>
      </x:c>
      <x:c r="H126" s="14" t="n">
        <x:v>0.8059871794871795</x:v>
      </x:c>
      <x:c r="I126" s="14" t="n">
        <x:v>0.9551282051282052</x:v>
      </x:c>
      <x:c r="J126" s="14" t="n">
        <x:v>0.9794876923076923</x:v>
      </x:c>
      <x:c r="K126" s="14" t="n">
        <x:v>1</x:v>
      </x:c>
    </x:row>
    <x:row r="127">
      <x:c r="A127" s="12" t="str">
        <x:v>9/1–9/17平日</x:v>
      </x:c>
      <x:c r="B127" s="12" t="str">
        <x:v>500119098</x:v>
      </x:c>
      <x:c r="C127" s="12" t="str">
        <x:v>臺大數學研究中心(東側)</x:v>
      </x:c>
      <x:c r="D127" s="35" t="n">
        <x:v>13</x:v>
      </x:c>
      <x:c r="E127" s="35" t="n">
        <x:v>318.2307692307692</x:v>
      </x:c>
      <x:c r="F127" s="35" t="n">
        <x:v>331.84615384615387</x:v>
      </x:c>
      <x:c r="G127" s="14" t="n">
        <x:v>0.8774222222222222</x:v>
      </x:c>
      <x:c r="H127" s="14" t="n">
        <x:v>0.9692307692307692</x:v>
      </x:c>
      <x:c r="I127" s="14" t="n">
        <x:v>1</x:v>
      </x:c>
      <x:c r="J127" s="14" t="n">
        <x:v>0.8217969230769231</x:v>
      </x:c>
      <x:c r="K127" s="14" t="n">
        <x:v>0.9952974358974359</x:v>
      </x:c>
    </x:row>
    <x:row r="128">
      <x:c r="A128" s="12" t="str">
        <x:v>9/1–9/17平日</x:v>
      </x:c>
      <x:c r="B128" s="12" t="str">
        <x:v>500119099</x:v>
      </x:c>
      <x:c r="C128" s="12" t="str">
        <x:v>臺大博理館北側</x:v>
      </x:c>
      <x:c r="D128" s="35" t="n">
        <x:v>13</x:v>
      </x:c>
      <x:c r="E128" s="35" t="n">
        <x:v>49.23076923076923</x:v>
      </x:c>
      <x:c r="F128" s="35" t="n">
        <x:v>40.92307692307692</x:v>
      </x:c>
      <x:c r="G128" s="14" t="n">
        <x:v>0.8568376068376068</x:v>
      </x:c>
      <x:c r="H128" s="14" t="n">
        <x:v>0.9632487179487179</x:v>
      </x:c>
      <x:c r="I128" s="14" t="n">
        <x:v>0.985897435897436</x:v>
      </x:c>
      <x:c r="J128" s="14" t="n">
        <x:v>0.7764092307692307</x:v>
      </x:c>
      <x:c r="K128" s="14" t="n">
        <x:v>0.9995717948717948</x:v>
      </x:c>
    </x:row>
    <x:row r="129">
      <x:c r="A129" s="12" t="str">
        <x:v>9/1–9/17平日</x:v>
      </x:c>
      <x:c r="B129" s="12" t="str">
        <x:v>500119100</x:v>
      </x:c>
      <x:c r="C129" s="12" t="str">
        <x:v>臺大博理館東側</x:v>
      </x:c>
      <x:c r="D129" s="35" t="n">
        <x:v>13</x:v>
      </x:c>
      <x:c r="E129" s="35" t="n">
        <x:v>78.3076923076923</x:v>
      </x:c>
      <x:c r="F129" s="35" t="n">
        <x:v>72.61538461538461</x:v>
      </x:c>
      <x:c r="G129" s="14" t="n">
        <x:v>0.8183051282051282</x:v>
      </x:c>
      <x:c r="H129" s="14" t="n">
        <x:v>0.9927358974358974</x:v>
      </x:c>
      <x:c r="I129" s="14" t="n">
        <x:v>0.9888897435897436</x:v>
      </x:c>
      <x:c r="J129" s="14" t="n">
        <x:v>0.6823092307692308</x:v>
      </x:c>
      <x:c r="K129" s="14" t="n">
        <x:v>0.8632461538461539</x:v>
      </x:c>
    </x:row>
    <x:row r="130">
      <x:c r="A130" s="12" t="str">
        <x:v>9/1–9/17平日</x:v>
      </x:c>
      <x:c r="B130" s="12" t="str">
        <x:v>500119101</x:v>
      </x:c>
      <x:c r="C130" s="12" t="str">
        <x:v>臺大德田館東北側</x:v>
      </x:c>
      <x:c r="D130" s="35" t="n">
        <x:v>13</x:v>
      </x:c>
      <x:c r="E130" s="35" t="n">
        <x:v>176.69230769230768</x:v>
      </x:c>
      <x:c r="F130" s="35" t="n">
        <x:v>171.69230769230768</x:v>
      </x:c>
      <x:c r="G130" s="14" t="n">
        <x:v>0.8035611111111111</x:v>
      </x:c>
      <x:c r="H130" s="14" t="n">
        <x:v>0.9632461538461539</x:v>
      </x:c>
      <x:c r="I130" s="14" t="n">
        <x:v>1</x:v>
      </x:c>
      <x:c r="J130" s="14" t="n">
        <x:v>0.7138461538461538</x:v>
      </x:c>
      <x:c r="K130" s="14" t="n">
        <x:v>0.9970076923076923</x:v>
      </x:c>
    </x:row>
    <x:row r="131">
      <x:c r="A131" s="12" t="str">
        <x:v>9/1–9/17平日</x:v>
      </x:c>
      <x:c r="B131" s="12" t="str">
        <x:v>500119102</x:v>
      </x:c>
      <x:c r="C131" s="12" t="str">
        <x:v>臺大普通教學館東側</x:v>
      </x:c>
      <x:c r="D131" s="35" t="n">
        <x:v>13</x:v>
      </x:c>
      <x:c r="E131" s="35" t="n">
        <x:v>594</x:v>
      </x:c>
      <x:c r="F131" s="35" t="n">
        <x:v>603.9230769230769</x:v>
      </x:c>
      <x:c r="G131" s="14" t="n">
        <x:v>0.8225790598290599</x:v>
      </x:c>
      <x:c r="H131" s="14" t="n">
        <x:v>0.985897435897436</x:v>
      </x:c>
      <x:c r="I131" s="14" t="n">
        <x:v>0.9897461538461538</x:v>
      </x:c>
      <x:c r="J131" s="14" t="n">
        <x:v>0.8082061538461538</x:v>
      </x:c>
      <x:c r="K131" s="14" t="n">
        <x:v>0.9376076923076923</x:v>
      </x:c>
    </x:row>
    <x:row r="132">
      <x:c r="A132" s="12" t="str">
        <x:v>9/1–9/17平日</x:v>
      </x:c>
      <x:c r="B132" s="12" t="str">
        <x:v>500119103</x:v>
      </x:c>
      <x:c r="C132" s="12" t="str">
        <x:v>臺大次震宇宙館西側</x:v>
      </x:c>
      <x:c r="D132" s="35" t="n">
        <x:v>13</x:v>
      </x:c>
      <x:c r="E132" s="35" t="n">
        <x:v>165.69230769230768</x:v>
      </x:c>
      <x:c r="F132" s="35" t="n">
        <x:v>162.84615384615384</x:v>
      </x:c>
      <x:c r="G132" s="14" t="n">
        <x:v>0.8991465811965812</x:v>
      </x:c>
      <x:c r="H132" s="14" t="n">
        <x:v>0.9871794871794872</x:v>
      </x:c>
      <x:c r="I132" s="14" t="n">
        <x:v>0.9974358974358974</x:v>
      </x:c>
      <x:c r="J132" s="14" t="n">
        <x:v>0.9138476923076924</x:v>
      </x:c>
      <x:c r="K132" s="14" t="n">
        <x:v>0.9854692307692308</x:v>
      </x:c>
    </x:row>
    <x:row r="133">
      <x:c r="A133" s="12" t="str">
        <x:v>9/7–9/17平日</x:v>
      </x:c>
      <x:c r="B133" s="12" t="str">
        <x:v>500119005</x:v>
      </x:c>
      <x:c r="C133" s="12" t="str">
        <x:v>臺大水源舍區A棟</x:v>
      </x:c>
      <x:c r="D133" s="35" t="n">
        <x:v>9</x:v>
      </x:c>
      <x:c r="E133" s="35" t="n">
        <x:v>232.11111111111111</x:v>
      </x:c>
      <x:c r="F133" s="35" t="n">
        <x:v>229.77777777777777</x:v>
      </x:c>
      <x:c r="G133" s="14" t="n">
        <x:v>0.7887858024691358</x:v>
      </x:c>
      <x:c r="H133" s="14" t="n">
        <x:v>0.6685185185185185</x:v>
      </x:c>
      <x:c r="I133" s="14" t="n">
        <x:v>0.502462962962963</x:v>
      </x:c>
      <x:c r="J133" s="14" t="n">
        <x:v>0.9681466666666667</x:v>
      </x:c>
      <x:c r="K133" s="14" t="n">
        <x:v>0.9913592592592593</x:v>
      </x:c>
    </x:row>
    <x:row r="134">
      <x:c r="A134" s="12" t="str">
        <x:v>9/7–9/17平日</x:v>
      </x:c>
      <x:c r="B134" s="12" t="str">
        <x:v>500119006</x:v>
      </x:c>
      <x:c r="C134" s="12" t="str">
        <x:v>臺大卓越研究大樓</x:v>
      </x:c>
      <x:c r="D134" s="35" t="n">
        <x:v>9</x:v>
      </x:c>
      <x:c r="E134" s="35" t="n">
        <x:v>206.88888888888889</x:v>
      </x:c>
      <x:c r="F134" s="35" t="n">
        <x:v>188.66666666666666</x:v>
      </x:c>
      <x:c r="G134" s="14" t="n">
        <x:v>0.8229432098765432</x:v>
      </x:c>
      <x:c r="H134" s="14" t="n">
        <x:v>0.7524740740740741</x:v>
      </x:c>
      <x:c r="I134" s="14" t="n">
        <x:v>0.6660481481481482</x:v>
      </x:c>
      <x:c r="J134" s="14" t="n">
        <x:v>0.9244444444444444</x:v>
      </x:c>
      <x:c r="K134" s="14" t="n">
        <x:v>1</x:v>
      </x:c>
    </x:row>
    <x:row r="135">
      <x:c r="A135" s="12" t="str">
        <x:v>9/7–9/17平日</x:v>
      </x:c>
      <x:c r="B135" s="12" t="str">
        <x:v>500119007</x:v>
      </x:c>
      <x:c r="C135" s="12" t="str">
        <x:v>臺大水源修齊會館</x:v>
      </x:c>
      <x:c r="D135" s="35" t="n">
        <x:v>9</x:v>
      </x:c>
      <x:c r="E135" s="35" t="n">
        <x:v>127.55555555555556</x:v>
      </x:c>
      <x:c r="F135" s="35" t="n">
        <x:v>120.22222222222223</x:v>
      </x:c>
      <x:c r="G135" s="14" t="n">
        <x:v>0.7963981481481481</x:v>
      </x:c>
      <x:c r="H135" s="14" t="n">
        <x:v>0.693825925925926</x:v>
      </x:c>
      <x:c r="I135" s="14" t="n">
        <x:v>0.5401148148148148</x:v>
      </x:c>
      <x:c r="J135" s="14" t="n">
        <x:v>0.9577777777777777</x:v>
      </x:c>
      <x:c r="K135" s="14" t="n">
        <x:v>1</x:v>
      </x:c>
    </x:row>
    <x:row r="136">
      <x:c r="A136" s="12" t="str">
        <x:v>9/7–9/17平日</x:v>
      </x:c>
      <x:c r="B136" s="12" t="str">
        <x:v>500119008</x:v>
      </x:c>
      <x:c r="C136" s="12" t="str">
        <x:v>臺大檔案展示館</x:v>
      </x:c>
      <x:c r="D136" s="35" t="n">
        <x:v>9</x:v>
      </x:c>
      <x:c r="E136" s="35" t="n">
        <x:v>41.333333333333336</x:v>
      </x:c>
      <x:c r="F136" s="35" t="n">
        <x:v>36.888888888888886</x:v>
      </x:c>
      <x:c r="G136" s="14" t="n">
        <x:v>0.8489722222222222</x:v>
      </x:c>
      <x:c r="H136" s="14" t="n">
        <x:v>0.762962962962963</x:v>
      </x:c>
      <x:c r="I136" s="14" t="n">
        <x:v>0.7851888888888889</x:v>
      </x:c>
      <x:c r="J136" s="14" t="n">
        <x:v>0.9037044444444444</x:v>
      </x:c>
      <x:c r="K136" s="14" t="n">
        <x:v>0.895062962962963</x:v>
      </x:c>
    </x:row>
    <x:row r="137">
      <x:c r="A137" s="12" t="str">
        <x:v>9/7–9/17平日</x:v>
      </x:c>
      <x:c r="B137" s="12" t="str">
        <x:v>500119009</x:v>
      </x:c>
      <x:c r="C137" s="12" t="str">
        <x:v>臺大水源舍區B棟</x:v>
      </x:c>
      <x:c r="D137" s="35" t="n">
        <x:v>9</x:v>
      </x:c>
      <x:c r="E137" s="35" t="n">
        <x:v>299.1111111111111</x:v>
      </x:c>
      <x:c r="F137" s="35" t="n">
        <x:v>305.8888888888889</x:v>
      </x:c>
      <x:c r="G137" s="14" t="n">
        <x:v>0.7852882716049383</x:v>
      </x:c>
      <x:c r="H137" s="14" t="n">
        <x:v>0.6135777777777778</x:v>
      </x:c>
      <x:c r="I137" s="14" t="n">
        <x:v>0.5345740740740741</x:v>
      </x:c>
      <x:c r="J137" s="14" t="n">
        <x:v>0.9851844444444444</x:v>
      </x:c>
      <x:c r="K137" s="14" t="n">
        <x:v>0.9975296296296297</x:v>
      </x:c>
    </x:row>
    <x:row r="138">
      <x:c r="A138" s="12" t="str">
        <x:v>9/7–9/17平日</x:v>
      </x:c>
      <x:c r="B138" s="12" t="str">
        <x:v>500119043</x:v>
      </x:c>
      <x:c r="C138" s="12" t="str">
        <x:v>臺大男八舍東側</x:v>
      </x:c>
      <x:c r="D138" s="35" t="n">
        <x:v>9</x:v>
      </x:c>
      <x:c r="E138" s="35" t="n">
        <x:v>303.1111111111111</x:v>
      </x:c>
      <x:c r="F138" s="35" t="n">
        <x:v>300.3333333333333</x:v>
      </x:c>
      <x:c r="G138" s="14" t="n">
        <x:v>0.8446512345679013</x:v>
      </x:c>
      <x:c r="H138" s="14" t="n">
        <x:v>0.7148111111111111</x:v>
      </x:c>
      <x:c r="I138" s="14" t="n">
        <x:v>0.7691370370370371</x:v>
      </x:c>
      <x:c r="J138" s="14" t="n">
        <x:v>0.9251866666666667</x:v>
      </x:c>
      <x:c r="K138" s="14" t="n">
        <x:v>1</x:v>
      </x:c>
    </x:row>
    <x:row r="139">
      <x:c r="A139" s="12" t="str">
        <x:v>9/7–9/17平日</x:v>
      </x:c>
      <x:c r="B139" s="12" t="str">
        <x:v>500119044</x:v>
      </x:c>
      <x:c r="C139" s="12" t="str">
        <x:v>臺大禮賢樓東南側</x:v>
      </x:c>
      <x:c r="D139" s="35" t="n">
        <x:v>9</x:v>
      </x:c>
      <x:c r="E139" s="35" t="n">
        <x:v>240.22222222222223</x:v>
      </x:c>
      <x:c r="F139" s="35" t="n">
        <x:v>217.55555555555554</x:v>
      </x:c>
      <x:c r="G139" s="14" t="n">
        <x:v>0.8606975308641975</x:v>
      </x:c>
      <x:c r="H139" s="14" t="n">
        <x:v>0.9481481481481482</x:v>
      </x:c>
      <x:c r="I139" s="14" t="n">
        <x:v>0.8740703703703704</x:v>
      </x:c>
      <x:c r="J139" s="14" t="n">
        <x:v>0.8203688888888889</x:v>
      </x:c>
      <x:c r="K139" s="14" t="n">
        <x:v>0.9938259259259259</x:v>
      </x:c>
    </x:row>
    <x:row r="140">
      <x:c r="A140" s="12" t="str">
        <x:v>9/7–9/17平日</x:v>
      </x:c>
      <x:c r="B140" s="12" t="str">
        <x:v>500119045</x:v>
      </x:c>
      <x:c r="C140" s="12" t="str">
        <x:v>臺大農業陳列館北側</x:v>
      </x:c>
      <x:c r="D140" s="35" t="n">
        <x:v>9</x:v>
      </x:c>
      <x:c r="E140" s="35" t="n">
        <x:v>380.77777777777777</x:v>
      </x:c>
      <x:c r="F140" s="35" t="n">
        <x:v>352.55555555555554</x:v>
      </x:c>
      <x:c r="G140" s="14" t="n">
        <x:v>0.8572006172839506</x:v>
      </x:c>
      <x:c r="H140" s="14" t="n">
        <x:v>0.6963</x:v>
      </x:c>
      <x:c r="I140" s="14" t="n">
        <x:v>0.9444407407407407</x:v>
      </x:c>
      <x:c r="J140" s="14" t="n">
        <x:v>1</x:v>
      </x:c>
      <x:c r="K140" s="14" t="n">
        <x:v>1</x:v>
      </x:c>
    </x:row>
    <x:row r="141">
      <x:c r="A141" s="12" t="str">
        <x:v>9/7–9/17平日</x:v>
      </x:c>
      <x:c r="B141" s="12" t="str">
        <x:v>500119046</x:v>
      </x:c>
      <x:c r="C141" s="12" t="str">
        <x:v>臺大管理學院二館北側</x:v>
      </x:c>
      <x:c r="D141" s="35" t="n">
        <x:v>9</x:v>
      </x:c>
      <x:c r="E141" s="35" t="n">
        <x:v>313.55555555555554</x:v>
      </x:c>
      <x:c r="F141" s="35" t="n">
        <x:v>312.6666666666667</x:v>
      </x:c>
      <x:c r="G141" s="14" t="n">
        <x:v>0.8709882716049383</x:v>
      </x:c>
      <x:c r="H141" s="14" t="n">
        <x:v>0.8925925925925926</x:v>
      </x:c>
      <x:c r="I141" s="14" t="n">
        <x:v>0.8814851851851851</x:v>
      </x:c>
      <x:c r="J141" s="14" t="n">
        <x:v>0.96148</x:v>
      </x:c>
      <x:c r="K141" s="14" t="n">
        <x:v>0.9950629629629629</x:v>
      </x:c>
    </x:row>
    <x:row r="142">
      <x:c r="A142" s="12" t="str">
        <x:v>9/7–9/17平日</x:v>
      </x:c>
      <x:c r="B142" s="12" t="str">
        <x:v>500119047</x:v>
      </x:c>
      <x:c r="C142" s="12" t="str">
        <x:v>臺大土木系館</x:v>
      </x:c>
      <x:c r="D142" s="35" t="n">
        <x:v>9</x:v>
      </x:c>
      <x:c r="E142" s="35" t="n">
        <x:v>257.77777777777777</x:v>
      </x:c>
      <x:c r="F142" s="35" t="n">
        <x:v>216.66666666666666</x:v>
      </x:c>
      <x:c r="G142" s="14" t="n">
        <x:v>0.8771604938271605</x:v>
      </x:c>
      <x:c r="H142" s="14" t="n">
        <x:v>1</x:v>
      </x:c>
      <x:c r="I142" s="14" t="n">
        <x:v>0.9981481481481481</x:v>
      </x:c>
      <x:c r="J142" s="14" t="n">
        <x:v>0.8418511111111111</x:v>
      </x:c>
      <x:c r="K142" s="14" t="n">
        <x:v>0.9611148148148149</x:v>
      </x:c>
    </x:row>
    <x:row r="143">
      <x:c r="A143" s="12" t="str">
        <x:v>9/7–9/17平日</x:v>
      </x:c>
      <x:c r="B143" s="12" t="str">
        <x:v>500119048</x:v>
      </x:c>
      <x:c r="C143" s="12" t="str">
        <x:v>臺大大一女舍北側</x:v>
      </x:c>
      <x:c r="D143" s="35" t="n">
        <x:v>9</x:v>
      </x:c>
      <x:c r="E143" s="35" t="n">
        <x:v>277.22222222222223</x:v>
      </x:c>
      <x:c r="F143" s="35" t="n">
        <x:v>292.44444444444446</x:v>
      </x:c>
      <x:c r="G143" s="14" t="n">
        <x:v>0.7792185185185185</x:v>
      </x:c>
      <x:c r="H143" s="14" t="n">
        <x:v>0.4284</x:v>
      </x:c>
      <x:c r="I143" s="14" t="n">
        <x:v>0.6790074074074074</x:v>
      </x:c>
      <x:c r="J143" s="14" t="n">
        <x:v>1</x:v>
      </x:c>
      <x:c r="K143" s="14" t="n">
        <x:v>1</x:v>
      </x:c>
    </x:row>
    <x:row r="144">
      <x:c r="A144" s="12" t="str">
        <x:v>9/7–9/17平日</x:v>
      </x:c>
      <x:c r="B144" s="12" t="str">
        <x:v>500119049</x:v>
      </x:c>
      <x:c r="C144" s="12" t="str">
        <x:v>臺大女九舍西南側</x:v>
      </x:c>
      <x:c r="D144" s="35" t="n">
        <x:v>9</x:v>
      </x:c>
      <x:c r="E144" s="35" t="n">
        <x:v>183.22222222222223</x:v>
      </x:c>
      <x:c r="F144" s="35" t="n">
        <x:v>177.66666666666666</x:v>
      </x:c>
      <x:c r="G144" s="14" t="n">
        <x:v>0.8519561728395062</x:v>
      </x:c>
      <x:c r="H144" s="14" t="n">
        <x:v>1</x:v>
      </x:c>
      <x:c r="I144" s="14" t="n">
        <x:v>0.9913592592592593</x:v>
      </x:c>
      <x:c r="J144" s="14" t="n">
        <x:v>0.7866666666666666</x:v>
      </x:c>
      <x:c r="K144" s="14" t="n">
        <x:v>0.8037074074074074</x:v>
      </x:c>
    </x:row>
    <x:row r="145">
      <x:c r="A145" s="12" t="str">
        <x:v>9/7–9/17平日</x:v>
      </x:c>
      <x:c r="B145" s="12" t="str">
        <x:v>500119050</x:v>
      </x:c>
      <x:c r="C145" s="12" t="str">
        <x:v>臺大小福樓東側</x:v>
      </x:c>
      <x:c r="D145" s="35" t="n">
        <x:v>9</x:v>
      </x:c>
      <x:c r="E145" s="35" t="n">
        <x:v>533.3333333333334</x:v>
      </x:c>
      <x:c r="F145" s="35" t="n">
        <x:v>578.5555555555555</x:v>
      </x:c>
      <x:c r="G145" s="14" t="n">
        <x:v>0.7863154320987654</x:v>
      </x:c>
      <x:c r="H145" s="14" t="n">
        <x:v>0.9808629629629629</x:v>
      </x:c>
      <x:c r="I145" s="14" t="n">
        <x:v>0.9913555555555555</x:v>
      </x:c>
      <x:c r="J145" s="14" t="n">
        <x:v>0.7466622222222222</x:v>
      </x:c>
      <x:c r="K145" s="14" t="n">
        <x:v>0.9</x:v>
      </x:c>
    </x:row>
    <x:row r="146">
      <x:c r="A146" s="12" t="str">
        <x:v>9/7–9/17平日</x:v>
      </x:c>
      <x:c r="B146" s="12" t="str">
        <x:v>500119051</x:v>
      </x:c>
      <x:c r="C146" s="12" t="str">
        <x:v>臺大立體機車停車場</x:v>
      </x:c>
      <x:c r="D146" s="35" t="n">
        <x:v>9</x:v>
      </x:c>
      <x:c r="E146" s="35" t="n">
        <x:v>319.77777777777777</x:v>
      </x:c>
      <x:c r="F146" s="35" t="n">
        <x:v>318.77777777777777</x:v>
      </x:c>
      <x:c r="G146" s="14" t="n">
        <x:v>0.8507185185185185</x:v>
      </x:c>
      <x:c r="H146" s="14" t="n">
        <x:v>0.9654296296296296</x:v>
      </x:c>
      <x:c r="I146" s="14" t="n">
        <x:v>0.9179037037037037</x:v>
      </x:c>
      <x:c r="J146" s="14" t="n">
        <x:v>0.77444</x:v>
      </x:c>
      <x:c r="K146" s="14" t="n">
        <x:v>0.9802481481481482</x:v>
      </x:c>
    </x:row>
    <x:row r="147">
      <x:c r="A147" s="12" t="str">
        <x:v>9/7–9/17平日</x:v>
      </x:c>
      <x:c r="B147" s="12" t="str">
        <x:v>500119052</x:v>
      </x:c>
      <x:c r="C147" s="12" t="str">
        <x:v>臺大工綜館南側</x:v>
      </x:c>
      <x:c r="D147" s="35" t="n">
        <x:v>9</x:v>
      </x:c>
      <x:c r="E147" s="35" t="n">
        <x:v>564</x:v>
      </x:c>
      <x:c r="F147" s="35" t="n">
        <x:v>576.7777777777778</x:v>
      </x:c>
      <x:c r="G147" s="14" t="n">
        <x:v>0.8118283950617284</x:v>
      </x:c>
      <x:c r="H147" s="14" t="n">
        <x:v>0.9981481481481481</x:v>
      </x:c>
      <x:c r="I147" s="14" t="n">
        <x:v>1</x:v>
      </x:c>
      <x:c r="J147" s="14" t="n">
        <x:v>0.7611044444444445</x:v>
      </x:c>
      <x:c r="K147" s="14" t="n">
        <x:v>0.7913592592592592</x:v>
      </x:c>
    </x:row>
    <x:row r="148">
      <x:c r="A148" s="12" t="str">
        <x:v>9/7–9/17平日</x:v>
      </x:c>
      <x:c r="B148" s="12" t="str">
        <x:v>500119053</x:v>
      </x:c>
      <x:c r="C148" s="12" t="str">
        <x:v>臺大天文數學館南側</x:v>
      </x:c>
      <x:c r="D148" s="35" t="n">
        <x:v>9</x:v>
      </x:c>
      <x:c r="E148" s="35" t="n">
        <x:v>306.1111111111111</x:v>
      </x:c>
      <x:c r="F148" s="35" t="n">
        <x:v>312</x:v>
      </x:c>
      <x:c r="G148" s="14" t="n">
        <x:v>0.8608012345679013</x:v>
      </x:c>
      <x:c r="H148" s="14" t="n">
        <x:v>1</x:v>
      </x:c>
      <x:c r="I148" s="14" t="n">
        <x:v>1</x:v>
      </x:c>
      <x:c r="J148" s="14" t="n">
        <x:v>0.8348066666666667</x:v>
      </x:c>
      <x:c r="K148" s="14" t="n">
        <x:v>0.8944444444444445</x:v>
      </x:c>
    </x:row>
    <x:row r="149">
      <x:c r="A149" s="12" t="str">
        <x:v>9/7–9/17平日</x:v>
      </x:c>
      <x:c r="B149" s="12" t="str">
        <x:v>500119054</x:v>
      </x:c>
      <x:c r="C149" s="12" t="str">
        <x:v>臺大心理系館南側</x:v>
      </x:c>
      <x:c r="D149" s="35" t="n">
        <x:v>9</x:v>
      </x:c>
      <x:c r="E149" s="35" t="n">
        <x:v>241.44444444444446</x:v>
      </x:c>
      <x:c r="F149" s="35" t="n">
        <x:v>257</x:v>
      </x:c>
      <x:c r="G149" s="14" t="n">
        <x:v>0.7673864197530864</x:v>
      </x:c>
      <x:c r="H149" s="14" t="n">
        <x:v>1</x:v>
      </x:c>
      <x:c r="I149" s="14" t="n">
        <x:v>1</x:v>
      </x:c>
      <x:c r="J149" s="14" t="n">
        <x:v>0.6851822222222222</x:v>
      </x:c>
      <x:c r="K149" s="14" t="n">
        <x:v>0.7216074074074074</x:v>
      </x:c>
    </x:row>
    <x:row r="150">
      <x:c r="A150" s="12" t="str">
        <x:v>9/7–9/17平日</x:v>
      </x:c>
      <x:c r="B150" s="12" t="str">
        <x:v>500119055</x:v>
      </x:c>
      <x:c r="C150" s="12" t="str">
        <x:v>臺大樂學館東側</x:v>
      </x:c>
      <x:c r="D150" s="35" t="n">
        <x:v>9</x:v>
      </x:c>
      <x:c r="E150" s="35" t="n">
        <x:v>551.8888888888889</x:v>
      </x:c>
      <x:c r="F150" s="35" t="n">
        <x:v>525.2222222222222</x:v>
      </x:c>
      <x:c r="G150" s="14" t="n">
        <x:v>0.8497938271604938</x:v>
      </x:c>
      <x:c r="H150" s="14" t="n">
        <x:v>0.9814814814814815</x:v>
      </x:c>
      <x:c r="I150" s="14" t="n">
        <x:v>0.9481444444444445</x:v>
      </x:c>
      <x:c r="J150" s="14" t="n">
        <x:v>0.82</x:v>
      </x:c>
      <x:c r="K150" s="14" t="n">
        <x:v>0.9895074074074074</x:v>
      </x:c>
    </x:row>
    <x:row r="151">
      <x:c r="A151" s="12" t="str">
        <x:v>9/7–9/17平日</x:v>
      </x:c>
      <x:c r="B151" s="12" t="str">
        <x:v>500119056</x:v>
      </x:c>
      <x:c r="C151" s="12" t="str">
        <x:v>臺大農化新館西側</x:v>
      </x:c>
      <x:c r="D151" s="35" t="n">
        <x:v>9</x:v>
      </x:c>
      <x:c r="E151" s="35" t="n">
        <x:v>196.11111111111111</x:v>
      </x:c>
      <x:c r="F151" s="35" t="n">
        <x:v>189.55555555555554</x:v>
      </x:c>
      <x:c r="G151" s="14" t="n">
        <x:v>0.7839518518518519</x:v>
      </x:c>
      <x:c r="H151" s="14" t="n">
        <x:v>0.6685185185185185</x:v>
      </x:c>
      <x:c r="I151" s="14" t="n">
        <x:v>0.8413555555555555</x:v>
      </x:c>
      <x:c r="J151" s="14" t="n">
        <x:v>0.8411133333333334</x:v>
      </x:c>
      <x:c r="K151" s="14" t="n">
        <x:v>1</x:v>
      </x:c>
    </x:row>
    <x:row r="152">
      <x:c r="A152" s="12" t="str">
        <x:v>9/7–9/17平日</x:v>
      </x:c>
      <x:c r="B152" s="12" t="str">
        <x:v>500119057</x:v>
      </x:c>
      <x:c r="C152" s="12" t="str">
        <x:v>臺大五號館西側</x:v>
      </x:c>
      <x:c r="D152" s="35" t="n">
        <x:v>9</x:v>
      </x:c>
      <x:c r="E152" s="35" t="n">
        <x:v>330.3333333333333</x:v>
      </x:c>
      <x:c r="F152" s="35" t="n">
        <x:v>310.6666666666667</x:v>
      </x:c>
      <x:c r="G152" s="14" t="n">
        <x:v>0.7426962962962963</x:v>
      </x:c>
      <x:c r="H152" s="14" t="n">
        <x:v>0.8679037037037037</x:v>
      </x:c>
      <x:c r="I152" s="14" t="n">
        <x:v>0.924074074074074</x:v>
      </x:c>
      <x:c r="J152" s="14" t="n">
        <x:v>0.6681466666666667</x:v>
      </x:c>
      <x:c r="K152" s="14" t="n">
        <x:v>1</x:v>
      </x:c>
    </x:row>
    <x:row r="153">
      <x:c r="A153" s="12" t="str">
        <x:v>9/7–9/17平日</x:v>
      </x:c>
      <x:c r="B153" s="12" t="str">
        <x:v>500119058</x:v>
      </x:c>
      <x:c r="C153" s="12" t="str">
        <x:v>臺大舊體育館西側</x:v>
      </x:c>
      <x:c r="D153" s="35" t="n">
        <x:v>9</x:v>
      </x:c>
      <x:c r="E153" s="35" t="n">
        <x:v>415.44444444444446</x:v>
      </x:c>
      <x:c r="F153" s="35" t="n">
        <x:v>441.6666666666667</x:v>
      </x:c>
      <x:c r="G153" s="14" t="n">
        <x:v>0.8575092592592592</x:v>
      </x:c>
      <x:c r="H153" s="14" t="n">
        <x:v>0.9716037037037037</x:v>
      </x:c>
      <x:c r="I153" s="14" t="n">
        <x:v>0.9728370370370371</x:v>
      </x:c>
      <x:c r="J153" s="14" t="n">
        <x:v>0.9581444444444445</x:v>
      </x:c>
      <x:c r="K153" s="14" t="n">
        <x:v>0.9203703703703704</x:v>
      </x:c>
    </x:row>
    <x:row r="154">
      <x:c r="A154" s="12" t="str">
        <x:v>9/7–9/17平日</x:v>
      </x:c>
      <x:c r="B154" s="12" t="str">
        <x:v>500119059</x:v>
      </x:c>
      <x:c r="C154" s="12" t="str">
        <x:v>臺大共同教室北側</x:v>
      </x:c>
      <x:c r="D154" s="35" t="n">
        <x:v>9</x:v>
      </x:c>
      <x:c r="E154" s="35" t="n">
        <x:v>477.1111111111111</x:v>
      </x:c>
      <x:c r="F154" s="35" t="n">
        <x:v>431.22222222222223</x:v>
      </x:c>
      <x:c r="G154" s="14" t="n">
        <x:v>0.8145067901234568</x:v>
      </x:c>
      <x:c r="H154" s="14" t="n">
        <x:v>0.9290074074074074</x:v>
      </x:c>
      <x:c r="I154" s="14" t="n">
        <x:v>0.9870333333333333</x:v>
      </x:c>
      <x:c r="J154" s="14" t="n">
        <x:v>0.8329666666666666</x:v>
      </x:c>
      <x:c r="K154" s="14" t="n">
        <x:v>1</x:v>
      </x:c>
    </x:row>
    <x:row r="155">
      <x:c r="A155" s="12" t="str">
        <x:v>9/7–9/17平日</x:v>
      </x:c>
      <x:c r="B155" s="12" t="str">
        <x:v>500119060</x:v>
      </x:c>
      <x:c r="C155" s="12" t="str">
        <x:v>臺大共同教室東南側</x:v>
      </x:c>
      <x:c r="D155" s="35" t="n">
        <x:v>9</x:v>
      </x:c>
      <x:c r="E155" s="35" t="n">
        <x:v>469.6666666666667</x:v>
      </x:c>
      <x:c r="F155" s="35" t="n">
        <x:v>454.1111111111111</x:v>
      </x:c>
      <x:c r="G155" s="14" t="n">
        <x:v>0.6928993827160493</x:v>
      </x:c>
      <x:c r="H155" s="14" t="n">
        <x:v>0.8123407407407407</x:v>
      </x:c>
      <x:c r="I155" s="14" t="n">
        <x:v>0.9012296296296296</x:v>
      </x:c>
      <x:c r="J155" s="14" t="n">
        <x:v>0.6644488888888889</x:v>
      </x:c>
      <x:c r="K155" s="14" t="n">
        <x:v>0.9703703703703703</x:v>
      </x:c>
    </x:row>
    <x:row r="156">
      <x:c r="A156" s="12" t="str">
        <x:v>9/7–9/17平日</x:v>
      </x:c>
      <x:c r="B156" s="12" t="str">
        <x:v>500119061</x:v>
      </x:c>
      <x:c r="C156" s="12" t="str">
        <x:v>臺大鹿鳴堂東側</x:v>
      </x:c>
      <x:c r="D156" s="35" t="n">
        <x:v>9</x:v>
      </x:c>
      <x:c r="E156" s="35" t="n">
        <x:v>432.8888888888889</x:v>
      </x:c>
      <x:c r="F156" s="35" t="n">
        <x:v>362.6666666666667</x:v>
      </x:c>
      <x:c r="G156" s="14" t="n">
        <x:v>0.737241975308642</x:v>
      </x:c>
      <x:c r="H156" s="14" t="n">
        <x:v>0.7913555555555556</x:v>
      </x:c>
      <x:c r="I156" s="14" t="n">
        <x:v>0.9327148148148148</x:v>
      </x:c>
      <x:c r="J156" s="14" t="n">
        <x:v>0.6792555555555555</x:v>
      </x:c>
      <x:c r="K156" s="14" t="n">
        <x:v>1</x:v>
      </x:c>
    </x:row>
    <x:row r="157">
      <x:c r="A157" s="12" t="str">
        <x:v>9/7–9/17平日</x:v>
      </x:c>
      <x:c r="B157" s="12" t="str">
        <x:v>500119062</x:v>
      </x:c>
      <x:c r="C157" s="12" t="str">
        <x:v>臺大公館停車場西北側</x:v>
      </x:c>
      <x:c r="D157" s="35" t="n">
        <x:v>9</x:v>
      </x:c>
      <x:c r="E157" s="35" t="n">
        <x:v>48.111111111111114</x:v>
      </x:c>
      <x:c r="F157" s="35" t="n">
        <x:v>39</x:v>
      </x:c>
      <x:c r="G157" s="14" t="n">
        <x:v>0.7524703703703703</x:v>
      </x:c>
      <x:c r="H157" s="14" t="n">
        <x:v>0.5555592592592593</x:v>
      </x:c>
      <x:c r="I157" s="14" t="n">
        <x:v>0.6833370370370371</x:v>
      </x:c>
      <x:c r="J157" s="14" t="n">
        <x:v>0.8903688888888889</x:v>
      </x:c>
      <x:c r="K157" s="14" t="n">
        <x:v>1</x:v>
      </x:c>
    </x:row>
    <x:row r="158">
      <x:c r="A158" s="12" t="str">
        <x:v>9/7–9/17平日</x:v>
      </x:c>
      <x:c r="B158" s="12" t="str">
        <x:v>500119063</x:v>
      </x:c>
      <x:c r="C158" s="12" t="str">
        <x:v>臺大第二行政大樓南側</x:v>
      </x:c>
      <x:c r="D158" s="35" t="n">
        <x:v>9</x:v>
      </x:c>
      <x:c r="E158" s="35" t="n">
        <x:v>233.22222222222223</x:v>
      </x:c>
      <x:c r="F158" s="35" t="n">
        <x:v>210.77777777777777</x:v>
      </x:c>
      <x:c r="G158" s="14" t="n">
        <x:v>0.7838462962962963</x:v>
      </x:c>
      <x:c r="H158" s="14" t="n">
        <x:v>0.6450592592592592</x:v>
      </x:c>
      <x:c r="I158" s="14" t="n">
        <x:v>0.8333296296296296</x:v>
      </x:c>
      <x:c r="J158" s="14" t="n">
        <x:v>0.8474088888888889</x:v>
      </x:c>
      <x:c r="K158" s="14" t="n">
        <x:v>1</x:v>
      </x:c>
    </x:row>
    <x:row r="159">
      <x:c r="A159" s="12" t="str">
        <x:v>9/7–9/17平日</x:v>
      </x:c>
      <x:c r="B159" s="12" t="str">
        <x:v>500119064</x:v>
      </x:c>
      <x:c r="C159" s="12" t="str">
        <x:v>臺大明達館機車停車場</x:v>
      </x:c>
      <x:c r="D159" s="35" t="n">
        <x:v>9</x:v>
      </x:c>
      <x:c r="E159" s="35" t="n">
        <x:v>279.3333333333333</x:v>
      </x:c>
      <x:c r="F159" s="35" t="n">
        <x:v>269.3333333333333</x:v>
      </x:c>
      <x:c r="G159" s="14" t="n">
        <x:v>0.8617283950617284</x:v>
      </x:c>
      <x:c r="H159" s="14" t="n">
        <x:v>0.9376518518518518</x:v>
      </x:c>
      <x:c r="I159" s="14" t="n">
        <x:v>0.9209888888888889</x:v>
      </x:c>
      <x:c r="J159" s="14" t="n">
        <x:v>0.7070355555555555</x:v>
      </x:c>
      <x:c r="K159" s="14" t="n">
        <x:v>1</x:v>
      </x:c>
    </x:row>
    <x:row r="160">
      <x:c r="A160" s="12" t="str">
        <x:v>9/7–9/17平日</x:v>
      </x:c>
      <x:c r="B160" s="12" t="str">
        <x:v>500119065</x:v>
      </x:c>
      <x:c r="C160" s="12" t="str">
        <x:v>臺大二號館</x:v>
      </x:c>
      <x:c r="D160" s="35" t="n">
        <x:v>9</x:v>
      </x:c>
      <x:c r="E160" s="35" t="n">
        <x:v>161</x:v>
      </x:c>
      <x:c r="F160" s="35" t="n">
        <x:v>150.44444444444446</x:v>
      </x:c>
      <x:c r="G160" s="14" t="n">
        <x:v>0.60535</x:v>
      </x:c>
      <x:c r="H160" s="14" t="n">
        <x:v>0.6444444444444445</x:v>
      </x:c>
      <x:c r="I160" s="14" t="n">
        <x:v>0.7598777777777778</x:v>
      </x:c>
      <x:c r="J160" s="14" t="n">
        <x:v>0.56852</x:v>
      </x:c>
      <x:c r="K160" s="14" t="n">
        <x:v>0.9950629629629629</x:v>
      </x:c>
    </x:row>
    <x:row r="161">
      <x:c r="A161" s="12" t="str">
        <x:v>9/7–9/17平日</x:v>
      </x:c>
      <x:c r="B161" s="12" t="str">
        <x:v>500119066</x:v>
      </x:c>
      <x:c r="C161" s="12" t="str">
        <x:v>臺大凝態館南側</x:v>
      </x:c>
      <x:c r="D161" s="35" t="n">
        <x:v>9</x:v>
      </x:c>
      <x:c r="E161" s="35" t="n">
        <x:v>232.11111111111111</x:v>
      </x:c>
      <x:c r="F161" s="35" t="n">
        <x:v>235.88888888888889</x:v>
      </x:c>
      <x:c r="G161" s="14" t="n">
        <x:v>0.8372413580246914</x:v>
      </x:c>
      <x:c r="H161" s="14" t="n">
        <x:v>0.9765444444444444</x:v>
      </x:c>
      <x:c r="I161" s="14" t="n">
        <x:v>0.9765407407407407</x:v>
      </x:c>
      <x:c r="J161" s="14" t="n">
        <x:v>0.8174044444444445</x:v>
      </x:c>
      <x:c r="K161" s="14" t="n">
        <x:v>0.9475259259259259</x:v>
      </x:c>
    </x:row>
    <x:row r="162">
      <x:c r="A162" s="12" t="str">
        <x:v>9/7–9/17平日</x:v>
      </x:c>
      <x:c r="B162" s="12" t="str">
        <x:v>500119067</x:v>
      </x:c>
      <x:c r="C162" s="12" t="str">
        <x:v>臺大社科院西側</x:v>
      </x:c>
      <x:c r="D162" s="35" t="n">
        <x:v>9</x:v>
      </x:c>
      <x:c r="E162" s="35" t="n">
        <x:v>627.4444444444445</x:v>
      </x:c>
      <x:c r="F162" s="35" t="n">
        <x:v>632.2222222222222</x:v>
      </x:c>
      <x:c r="G162" s="14" t="n">
        <x:v>0.8767487654320988</x:v>
      </x:c>
      <x:c r="H162" s="14" t="n">
        <x:v>1</x:v>
      </x:c>
      <x:c r="I162" s="14" t="n">
        <x:v>1</x:v>
      </x:c>
      <x:c r="J162" s="14" t="n">
        <x:v>0.8044444444444444</x:v>
      </x:c>
      <x:c r="K162" s="14" t="n">
        <x:v>0.8444407407407407</x:v>
      </x:c>
    </x:row>
    <x:row r="163">
      <x:c r="A163" s="12" t="str">
        <x:v>9/7–9/17平日</x:v>
      </x:c>
      <x:c r="B163" s="12" t="str">
        <x:v>500119068</x:v>
      </x:c>
      <x:c r="C163" s="12" t="str">
        <x:v>臺大社會系館南側</x:v>
      </x:c>
      <x:c r="D163" s="35" t="n">
        <x:v>9</x:v>
      </x:c>
      <x:c r="E163" s="35" t="n">
        <x:v>295.55555555555554</x:v>
      </x:c>
      <x:c r="F163" s="35" t="n">
        <x:v>302.8888888888889</x:v>
      </x:c>
      <x:c r="G163" s="14" t="n">
        <x:v>0.8652265432098766</x:v>
      </x:c>
      <x:c r="H163" s="14" t="n">
        <x:v>0.9895074074074074</x:v>
      </x:c>
      <x:c r="I163" s="14" t="n">
        <x:v>0.9962962962962963</x:v>
      </x:c>
      <x:c r="J163" s="14" t="n">
        <x:v>0.8355555555555556</x:v>
      </x:c>
      <x:c r="K163" s="14" t="n">
        <x:v>0.9932111111111112</x:v>
      </x:c>
    </x:row>
    <x:row r="164">
      <x:c r="A164" s="12" t="str">
        <x:v>9/7–9/17平日</x:v>
      </x:c>
      <x:c r="B164" s="12" t="str">
        <x:v>500119069</x:v>
      </x:c>
      <x:c r="C164" s="12" t="str">
        <x:v>臺大思亮館東南側</x:v>
      </x:c>
      <x:c r="D164" s="35" t="n">
        <x:v>9</x:v>
      </x:c>
      <x:c r="E164" s="35" t="n">
        <x:v>173.66666666666666</x:v>
      </x:c>
      <x:c r="F164" s="35" t="n">
        <x:v>178.66666666666666</x:v>
      </x:c>
      <x:c r="G164" s="14" t="n">
        <x:v>0.9414604938271605</x:v>
      </x:c>
      <x:c r="H164" s="14" t="n">
        <x:v>1</x:v>
      </x:c>
      <x:c r="I164" s="14" t="n">
        <x:v>1</x:v>
      </x:c>
      <x:c r="J164" s="14" t="n">
        <x:v>0.9433311111111111</x:v>
      </x:c>
      <x:c r="K164" s="14" t="n">
        <x:v>0.9444444444444444</x:v>
      </x:c>
    </x:row>
    <x:row r="165">
      <x:c r="A165" s="12" t="str">
        <x:v>9/7–9/17平日</x:v>
      </x:c>
      <x:c r="B165" s="12" t="str">
        <x:v>500119070</x:v>
      </x:c>
      <x:c r="C165" s="12" t="str">
        <x:v>臺大椰林小舖</x:v>
      </x:c>
      <x:c r="D165" s="35" t="n">
        <x:v>9</x:v>
      </x:c>
      <x:c r="E165" s="35" t="n">
        <x:v>520.1111111111111</x:v>
      </x:c>
      <x:c r="F165" s="35" t="n">
        <x:v>536.6666666666666</x:v>
      </x:c>
      <x:c r="G165" s="14" t="n">
        <x:v>0.8064808641975308</x:v>
      </x:c>
      <x:c r="H165" s="14" t="n">
        <x:v>0.4796333333333333</x:v>
      </x:c>
      <x:c r="I165" s="14" t="n">
        <x:v>0.8240666666666666</x:v>
      </x:c>
      <x:c r="J165" s="14" t="n">
        <x:v>0.9722222222222222</x:v>
      </x:c>
      <x:c r="K165" s="14" t="n">
        <x:v>1</x:v>
      </x:c>
    </x:row>
    <x:row r="166">
      <x:c r="A166" s="12" t="str">
        <x:v>9/7–9/17平日</x:v>
      </x:c>
      <x:c r="B166" s="12" t="str">
        <x:v>500119071</x:v>
      </x:c>
      <x:c r="C166" s="12" t="str">
        <x:v>臺大計資中心南側</x:v>
      </x:c>
      <x:c r="D166" s="35" t="n">
        <x:v>9</x:v>
      </x:c>
      <x:c r="E166" s="35" t="n">
        <x:v>246.22222222222223</x:v>
      </x:c>
      <x:c r="F166" s="35" t="n">
        <x:v>272.3333333333333</x:v>
      </x:c>
      <x:c r="G166" s="14" t="n">
        <x:v>0.8710907407407408</x:v>
      </x:c>
      <x:c r="H166" s="14" t="n">
        <x:v>1</x:v>
      </x:c>
      <x:c r="I166" s="14" t="n">
        <x:v>1</x:v>
      </x:c>
      <x:c r="J166" s="14" t="n">
        <x:v>0.8385177777777778</x:v>
      </x:c>
      <x:c r="K166" s="14" t="n">
        <x:v>0.9907407407407407</x:v>
      </x:c>
    </x:row>
    <x:row r="167">
      <x:c r="A167" s="12" t="str">
        <x:v>9/7–9/17平日</x:v>
      </x:c>
      <x:c r="B167" s="12" t="str">
        <x:v>500119072</x:v>
      </x:c>
      <x:c r="C167" s="12" t="str">
        <x:v>臺大原分所北側</x:v>
      </x:c>
      <x:c r="D167" s="35" t="n">
        <x:v>9</x:v>
      </x:c>
      <x:c r="E167" s="35" t="n">
        <x:v>204.66666666666666</x:v>
      </x:c>
      <x:c r="F167" s="35" t="n">
        <x:v>210.66666666666666</x:v>
      </x:c>
      <x:c r="G167" s="14" t="n">
        <x:v>0.9098777777777778</x:v>
      </x:c>
      <x:c r="H167" s="14" t="n">
        <x:v>0.9987666666666667</x:v>
      </x:c>
      <x:c r="I167" s="14" t="n">
        <x:v>0.9969148148148148</x:v>
      </x:c>
      <x:c r="J167" s="14" t="n">
        <x:v>0.8407422222222222</x:v>
      </x:c>
      <x:c r="K167" s="14" t="n">
        <x:v>0.7642</x:v>
      </x:c>
    </x:row>
    <x:row r="168">
      <x:c r="A168" s="12" t="str">
        <x:v>9/7–9/17平日</x:v>
      </x:c>
      <x:c r="B168" s="12" t="str">
        <x:v>500119074</x:v>
      </x:c>
      <x:c r="C168" s="12" t="str">
        <x:v>臺大生命科學館西北側</x:v>
      </x:c>
      <x:c r="D168" s="35" t="n">
        <x:v>9</x:v>
      </x:c>
      <x:c r="E168" s="35" t="n">
        <x:v>302.77777777777777</x:v>
      </x:c>
      <x:c r="F168" s="35" t="n">
        <x:v>280.3333333333333</x:v>
      </x:c>
      <x:c r="G168" s="14" t="n">
        <x:v>0.7200617283950618</x:v>
      </x:c>
      <x:c r="H168" s="14" t="n">
        <x:v>0.9253111111111111</x:v>
      </x:c>
      <x:c r="I168" s="14" t="n">
        <x:v>0.9611111111111111</x:v>
      </x:c>
      <x:c r="J168" s="14" t="n">
        <x:v>0.59556</x:v>
      </x:c>
      <x:c r="K168" s="14" t="n">
        <x:v>0.9962962962962963</x:v>
      </x:c>
    </x:row>
    <x:row r="169">
      <x:c r="A169" s="12" t="str">
        <x:v>9/7–9/17平日</x:v>
      </x:c>
      <x:c r="B169" s="12" t="str">
        <x:v>500119075</x:v>
      </x:c>
      <x:c r="C169" s="12" t="str">
        <x:v>臺大第一活動中心西南側</x:v>
      </x:c>
      <x:c r="D169" s="35" t="n">
        <x:v>9</x:v>
      </x:c>
      <x:c r="E169" s="35" t="n">
        <x:v>1353.4444444444443</x:v>
      </x:c>
      <x:c r="F169" s="35" t="n">
        <x:v>1424.888888888889</x:v>
      </x:c>
      <x:c r="G169" s="14" t="n">
        <x:v>0.8554512345679013</x:v>
      </x:c>
      <x:c r="H169" s="14" t="n">
        <x:v>1</x:v>
      </x:c>
      <x:c r="I169" s="14" t="n">
        <x:v>1</x:v>
      </x:c>
      <x:c r="J169" s="14" t="n">
        <x:v>0.8222244444444444</x:v>
      </x:c>
      <x:c r="K169" s="14" t="n">
        <x:v>0.9333370370370371</x:v>
      </x:c>
    </x:row>
    <x:row r="170">
      <x:c r="A170" s="12" t="str">
        <x:v>9/7–9/17平日</x:v>
      </x:c>
      <x:c r="B170" s="12" t="str">
        <x:v>500119076</x:v>
      </x:c>
      <x:c r="C170" s="12" t="str">
        <x:v>臺大博理館西側</x:v>
      </x:c>
      <x:c r="D170" s="35" t="n">
        <x:v>9</x:v>
      </x:c>
      <x:c r="E170" s="35" t="n">
        <x:v>274</x:v>
      </x:c>
      <x:c r="F170" s="35" t="n">
        <x:v>296</x:v>
      </x:c>
      <x:c r="G170" s="14" t="n">
        <x:v>0.8155358024691358</x:v>
      </x:c>
      <x:c r="H170" s="14" t="n">
        <x:v>0.9901222222222222</x:v>
      </x:c>
      <x:c r="I170" s="14" t="n">
        <x:v>0.9993814814814814</x:v>
      </x:c>
      <x:c r="J170" s="14" t="n">
        <x:v>0.6640777777777778</x:v>
      </x:c>
      <x:c r="K170" s="14" t="n">
        <x:v>0.7518518518518519</x:v>
      </x:c>
    </x:row>
    <x:row r="171">
      <x:c r="A171" s="12" t="str">
        <x:v>9/7–9/17平日</x:v>
      </x:c>
      <x:c r="B171" s="12" t="str">
        <x:v>500119077</x:v>
      </x:c>
      <x:c r="C171" s="12" t="str">
        <x:v>臺大博雅館西側</x:v>
      </x:c>
      <x:c r="D171" s="35" t="n">
        <x:v>9</x:v>
      </x:c>
      <x:c r="E171" s="35" t="n">
        <x:v>262.8888888888889</x:v>
      </x:c>
      <x:c r="F171" s="35" t="n">
        <x:v>270.1111111111111</x:v>
      </x:c>
      <x:c r="G171" s="14" t="n">
        <x:v>0.9459876543209876</x:v>
      </x:c>
      <x:c r="H171" s="14" t="n">
        <x:v>1</x:v>
      </x:c>
      <x:c r="I171" s="14" t="n">
        <x:v>1</x:v>
      </x:c>
      <x:c r="J171" s="14" t="n">
        <x:v>0.9877777777777778</x:v>
      </x:c>
      <x:c r="K171" s="14" t="n">
        <x:v>1</x:v>
      </x:c>
    </x:row>
    <x:row r="172">
      <x:c r="A172" s="12" t="str">
        <x:v>9/7–9/17平日</x:v>
      </x:c>
      <x:c r="B172" s="12" t="str">
        <x:v>500119078</x:v>
      </x:c>
      <x:c r="C172" s="12" t="str">
        <x:v>臺大森林館北側</x:v>
      </x:c>
      <x:c r="D172" s="35" t="n">
        <x:v>9</x:v>
      </x:c>
      <x:c r="E172" s="35" t="n">
        <x:v>117.44444444444444</x:v>
      </x:c>
      <x:c r="F172" s="35" t="n">
        <x:v>109.33333333333333</x:v>
      </x:c>
      <x:c r="G172" s="14" t="n">
        <x:v>0.6582333333333333</x:v>
      </x:c>
      <x:c r="H172" s="14" t="n">
        <x:v>0.9160518518518519</x:v>
      </x:c>
      <x:c r="I172" s="14" t="n">
        <x:v>0.9376592592592593</x:v>
      </x:c>
      <x:c r="J172" s="14" t="n">
        <x:v>0.46333555555555556</x:v>
      </x:c>
      <x:c r="K172" s="14" t="n">
        <x:v>0.9259222222222222</x:v>
      </x:c>
    </x:row>
    <x:row r="173">
      <x:c r="A173" s="12" t="str">
        <x:v>9/7–9/17平日</x:v>
      </x:c>
      <x:c r="B173" s="12" t="str">
        <x:v>500119079</x:v>
      </x:c>
      <x:c r="C173" s="12" t="str">
        <x:v>臺大一號館</x:v>
      </x:c>
      <x:c r="D173" s="35" t="n">
        <x:v>9</x:v>
      </x:c>
      <x:c r="E173" s="35" t="n">
        <x:v>297.1111111111111</x:v>
      </x:c>
      <x:c r="F173" s="35" t="n">
        <x:v>227.11111111111111</x:v>
      </x:c>
      <x:c r="G173" s="14" t="n">
        <x:v>0.8217080246913581</x:v>
      </x:c>
      <x:c r="H173" s="14" t="n">
        <x:v>0.5907407407407408</x:v>
      </x:c>
      <x:c r="I173" s="14" t="n">
        <x:v>0.8376518518518519</x:v>
      </x:c>
      <x:c r="J173" s="14" t="n">
        <x:v>0.95926</x:v>
      </x:c>
      <x:c r="K173" s="14" t="n">
        <x:v>1</x:v>
      </x:c>
    </x:row>
    <x:row r="174">
      <x:c r="A174" s="12" t="str">
        <x:v>9/7–9/17平日</x:v>
      </x:c>
      <x:c r="B174" s="12" t="str">
        <x:v>500119080</x:v>
      </x:c>
      <x:c r="C174" s="12" t="str">
        <x:v>臺大小小福西南側</x:v>
      </x:c>
      <x:c r="D174" s="35" t="n">
        <x:v>9</x:v>
      </x:c>
      <x:c r="E174" s="35" t="n">
        <x:v>117.44444444444444</x:v>
      </x:c>
      <x:c r="F174" s="35" t="n">
        <x:v>114.44444444444444</x:v>
      </x:c>
      <x:c r="G174" s="14" t="n">
        <x:v>0.6309691358024692</x:v>
      </x:c>
      <x:c r="H174" s="14" t="n">
        <x:v>0.5413592592592592</x:v>
      </x:c>
      <x:c r="I174" s="14" t="n">
        <x:v>0.791974074074074</x:v>
      </x:c>
      <x:c r="J174" s="14" t="n">
        <x:v>0.6140777777777778</x:v>
      </x:c>
      <x:c r="K174" s="14" t="n">
        <x:v>1</x:v>
      </x:c>
    </x:row>
    <x:row r="175">
      <x:c r="A175" s="12" t="str">
        <x:v>9/7–9/17平日</x:v>
      </x:c>
      <x:c r="B175" s="12" t="str">
        <x:v>500119081</x:v>
      </x:c>
      <x:c r="C175" s="12" t="str">
        <x:v>臺大教研館北側</x:v>
      </x:c>
      <x:c r="D175" s="35" t="n">
        <x:v>9</x:v>
      </x:c>
      <x:c r="E175" s="35" t="n">
        <x:v>226.11111111111111</x:v>
      </x:c>
      <x:c r="F175" s="35" t="n">
        <x:v>221.44444444444446</x:v>
      </x:c>
      <x:c r="G175" s="14" t="n">
        <x:v>0.7573018518518518</x:v>
      </x:c>
      <x:c r="H175" s="14" t="n">
        <x:v>0.9993814814814814</x:v>
      </x:c>
      <x:c r="I175" s="14" t="n">
        <x:v>1</x:v>
      </x:c>
      <x:c r="J175" s="14" t="n">
        <x:v>0.6114733333333333</x:v>
      </x:c>
      <x:c r="K175" s="14" t="n">
        <x:v>0.919137037037037</x:v>
      </x:c>
    </x:row>
    <x:row r="176">
      <x:c r="A176" s="12" t="str">
        <x:v>9/7–9/17平日</x:v>
      </x:c>
      <x:c r="B176" s="12" t="str">
        <x:v>500119082</x:v>
      </x:c>
      <x:c r="C176" s="12" t="str">
        <x:v>臺大四號館東北側</x:v>
      </x:c>
      <x:c r="D176" s="35" t="n">
        <x:v>9</x:v>
      </x:c>
      <x:c r="E176" s="35" t="n">
        <x:v>152.22222222222223</x:v>
      </x:c>
      <x:c r="F176" s="35" t="n">
        <x:v>91.77777777777777</x:v>
      </x:c>
      <x:c r="G176" s="14" t="n">
        <x:v>0.801953086419753</x:v>
      </x:c>
      <x:c r="H176" s="14" t="n">
        <x:v>0.8209851851851852</x:v>
      </x:c>
      <x:c r="I176" s="14" t="n">
        <x:v>0.9203666666666667</x:v>
      </x:c>
      <x:c r="J176" s="14" t="n">
        <x:v>0.8092577777777777</x:v>
      </x:c>
      <x:c r="K176" s="14" t="n">
        <x:v>1</x:v>
      </x:c>
    </x:row>
    <x:row r="177">
      <x:c r="A177" s="12" t="str">
        <x:v>9/7–9/17平日</x:v>
      </x:c>
      <x:c r="B177" s="12" t="str">
        <x:v>500119083</x:v>
      </x:c>
      <x:c r="C177" s="12" t="str">
        <x:v>臺大新生教室南側</x:v>
      </x:c>
      <x:c r="D177" s="35" t="n">
        <x:v>9</x:v>
      </x:c>
      <x:c r="E177" s="35" t="n">
        <x:v>387.6666666666667</x:v>
      </x:c>
      <x:c r="F177" s="35" t="n">
        <x:v>397.55555555555554</x:v>
      </x:c>
      <x:c r="G177" s="14" t="n">
        <x:v>0.773045061728395</x:v>
      </x:c>
      <x:c r="H177" s="14" t="n">
        <x:v>0.9969111111111111</x:v>
      </x:c>
      <x:c r="I177" s="14" t="n">
        <x:v>0.9685185185185186</x:v>
      </x:c>
      <x:c r="J177" s="14" t="n">
        <x:v>0.6799977777777778</x:v>
      </x:c>
      <x:c r="K177" s="14" t="n">
        <x:v>0.8321037037037037</x:v>
      </x:c>
    </x:row>
    <x:row r="178">
      <x:c r="A178" s="12" t="str">
        <x:v>9/7–9/17平日</x:v>
      </x:c>
      <x:c r="B178" s="12" t="str">
        <x:v>500119084</x:v>
      </x:c>
      <x:c r="C178" s="12" t="str">
        <x:v>臺大鄭江樓北側</x:v>
      </x:c>
      <x:c r="D178" s="35" t="n">
        <x:v>9</x:v>
      </x:c>
      <x:c r="E178" s="35" t="n">
        <x:v>328.6666666666667</x:v>
      </x:c>
      <x:c r="F178" s="35" t="n">
        <x:v>299.6666666666667</x:v>
      </x:c>
      <x:c r="G178" s="14" t="n">
        <x:v>0.7669759259259259</x:v>
      </x:c>
      <x:c r="H178" s="14" t="n">
        <x:v>0.9716037037037037</x:v>
      </x:c>
      <x:c r="I178" s="14" t="n">
        <x:v>0.9882703703703704</x:v>
      </x:c>
      <x:c r="J178" s="14" t="n">
        <x:v>0.5722222222222222</x:v>
      </x:c>
      <x:c r="K178" s="14" t="n">
        <x:v>0.9598740740740741</x:v>
      </x:c>
    </x:row>
    <x:row r="179">
      <x:c r="A179" s="12" t="str">
        <x:v>9/7–9/17平日</x:v>
      </x:c>
      <x:c r="B179" s="12" t="str">
        <x:v>500119085</x:v>
      </x:c>
      <x:c r="C179" s="12" t="str">
        <x:v>臺大電機二館東南側</x:v>
      </x:c>
      <x:c r="D179" s="35" t="n">
        <x:v>9</x:v>
      </x:c>
      <x:c r="E179" s="35" t="n">
        <x:v>261.8888888888889</x:v>
      </x:c>
      <x:c r="F179" s="35" t="n">
        <x:v>261.1111111111111</x:v>
      </x:c>
      <x:c r="G179" s="14" t="n">
        <x:v>0.7155345679012346</x:v>
      </x:c>
      <x:c r="H179" s="14" t="n">
        <x:v>0.9722185185185185</x:v>
      </x:c>
      <x:c r="I179" s="14" t="n">
        <x:v>0.998762962962963</x:v>
      </x:c>
      <x:c r="J179" s="14" t="n">
        <x:v>0.5470422222222222</x:v>
      </x:c>
      <x:c r="K179" s="14" t="n">
        <x:v>0.6419777777777778</x:v>
      </x:c>
    </x:row>
    <x:row r="180">
      <x:c r="A180" s="12" t="str">
        <x:v>9/7–9/17平日</x:v>
      </x:c>
      <x:c r="B180" s="12" t="str">
        <x:v>500119086</x:v>
      </x:c>
      <x:c r="C180" s="12" t="str">
        <x:v>臺大圖資系館北側</x:v>
      </x:c>
      <x:c r="D180" s="35" t="n">
        <x:v>9</x:v>
      </x:c>
      <x:c r="E180" s="35" t="n">
        <x:v>444.1111111111111</x:v>
      </x:c>
      <x:c r="F180" s="35" t="n">
        <x:v>438.1111111111111</x:v>
      </x:c>
      <x:c r="G180" s="14" t="n">
        <x:v>0.7995876543209877</x:v>
      </x:c>
      <x:c r="H180" s="14" t="n">
        <x:v>1</x:v>
      </x:c>
      <x:c r="I180" s="14" t="n">
        <x:v>0.9962925925925926</x:v>
      </x:c>
      <x:c r="J180" s="14" t="n">
        <x:v>0.7544422222222222</x:v>
      </x:c>
      <x:c r="K180" s="14" t="n">
        <x:v>0.9642</x:v>
      </x:c>
    </x:row>
    <x:row r="181">
      <x:c r="A181" s="12" t="str">
        <x:v>9/7–9/17平日</x:v>
      </x:c>
      <x:c r="B181" s="12" t="str">
        <x:v>500119087</x:v>
      </x:c>
      <x:c r="C181" s="12" t="str">
        <x:v>臺大總圖書館西南側</x:v>
      </x:c>
      <x:c r="D181" s="35" t="n">
        <x:v>9</x:v>
      </x:c>
      <x:c r="E181" s="35" t="n">
        <x:v>578.7777777777778</x:v>
      </x:c>
      <x:c r="F181" s="35" t="n">
        <x:v>609.7777777777778</x:v>
      </x:c>
      <x:c r="G181" s="14" t="n">
        <x:v>0.825</x:v>
      </x:c>
      <x:c r="H181" s="14" t="n">
        <x:v>1</x:v>
      </x:c>
      <x:c r="I181" s="14" t="n">
        <x:v>1</x:v>
      </x:c>
      <x:c r="J181" s="14" t="n">
        <x:v>0.7725911111111111</x:v>
      </x:c>
      <x:c r="K181" s="14" t="n">
        <x:v>1</x:v>
      </x:c>
    </x:row>
    <x:row r="182">
      <x:c r="A182" s="12" t="str">
        <x:v>9/7–9/17平日</x:v>
      </x:c>
      <x:c r="B182" s="12" t="str">
        <x:v>500119088</x:v>
      </x:c>
      <x:c r="C182" s="12" t="str">
        <x:v>臺大黑森林西側</x:v>
      </x:c>
      <x:c r="D182" s="35" t="n">
        <x:v>9</x:v>
      </x:c>
      <x:c r="E182" s="35" t="n">
        <x:v>498</x:v>
      </x:c>
      <x:c r="F182" s="35" t="n">
        <x:v>487.3333333333333</x:v>
      </x:c>
      <x:c r="G182" s="14" t="n">
        <x:v>0.9056567901234568</x:v>
      </x:c>
      <x:c r="H182" s="14" t="n">
        <x:v>0.9530851851851851</x:v>
      </x:c>
      <x:c r="I182" s="14" t="n">
        <x:v>0.9740703703703704</x:v>
      </x:c>
      <x:c r="J182" s="14" t="n">
        <x:v>0.8303644444444445</x:v>
      </x:c>
      <x:c r="K182" s="14" t="n">
        <x:v>0.9709888888888889</x:v>
      </x:c>
    </x:row>
    <x:row r="183">
      <x:c r="A183" s="12" t="str">
        <x:v>9/7–9/17平日</x:v>
      </x:c>
      <x:c r="B183" s="12" t="str">
        <x:v>500119089</x:v>
      </x:c>
      <x:c r="C183" s="12" t="str">
        <x:v>臺大獸醫館南側</x:v>
      </x:c>
      <x:c r="D183" s="35" t="n">
        <x:v>9</x:v>
      </x:c>
      <x:c r="E183" s="35" t="n">
        <x:v>249.88888888888889</x:v>
      </x:c>
      <x:c r="F183" s="35" t="n">
        <x:v>236</x:v>
      </x:c>
      <x:c r="G183" s="14" t="n">
        <x:v>0.8546302469135802</x:v>
      </x:c>
      <x:c r="H183" s="14" t="n">
        <x:v>0.9950629629629629</x:v>
      </x:c>
      <x:c r="I183" s="14" t="n">
        <x:v>0.9987666666666667</x:v>
      </x:c>
      <x:c r="J183" s="14" t="n">
        <x:v>0.7137</x:v>
      </x:c>
      <x:c r="K183" s="14" t="n">
        <x:v>0.8537037037037037</x:v>
      </x:c>
    </x:row>
    <x:row r="184">
      <x:c r="A184" s="12" t="str">
        <x:v>9/7–9/17平日</x:v>
      </x:c>
      <x:c r="B184" s="12" t="str">
        <x:v>500119090</x:v>
      </x:c>
      <x:c r="C184" s="12" t="str">
        <x:v>臺大新體育館東南側</x:v>
      </x:c>
      <x:c r="D184" s="35" t="n">
        <x:v>9</x:v>
      </x:c>
      <x:c r="E184" s="35" t="n">
        <x:v>659.7777777777778</x:v>
      </x:c>
      <x:c r="F184" s="35" t="n">
        <x:v>671.2222222222222</x:v>
      </x:c>
      <x:c r="G184" s="14" t="n">
        <x:v>0.8944444444444445</x:v>
      </x:c>
      <x:c r="H184" s="14" t="n">
        <x:v>0.987037037037037</x:v>
      </x:c>
      <x:c r="I184" s="14" t="n">
        <x:v>0.9888888888888889</x:v>
      </x:c>
      <x:c r="J184" s="14" t="n">
        <x:v>0.9537022222222222</x:v>
      </x:c>
      <x:c r="K184" s="14" t="n">
        <x:v>0.9388851851851852</x:v>
      </x:c>
    </x:row>
    <x:row r="185">
      <x:c r="A185" s="12" t="str">
        <x:v>9/7–9/17平日</x:v>
      </x:c>
      <x:c r="B185" s="12" t="str">
        <x:v>500119091</x:v>
      </x:c>
      <x:c r="C185" s="12" t="str">
        <x:v>臺大明達館北側(員工宿舍)</x:v>
      </x:c>
      <x:c r="D185" s="35" t="n">
        <x:v>9</x:v>
      </x:c>
      <x:c r="E185" s="35" t="n">
        <x:v>89.66666666666667</x:v>
      </x:c>
      <x:c r="F185" s="35" t="n">
        <x:v>64.66666666666667</x:v>
      </x:c>
      <x:c r="G185" s="14" t="n">
        <x:v>0.9297320987654321</x:v>
      </x:c>
      <x:c r="H185" s="14" t="n">
        <x:v>0.9530851851851851</x:v>
      </x:c>
      <x:c r="I185" s="14" t="n">
        <x:v>0.9950629629629629</x:v>
      </x:c>
      <x:c r="J185" s="14" t="n">
        <x:v>0.8500022222222222</x:v>
      </x:c>
      <x:c r="K185" s="14" t="n">
        <x:v>1</x:v>
      </x:c>
    </x:row>
    <x:row r="186">
      <x:c r="A186" s="12" t="str">
        <x:v>9/7–9/17平日</x:v>
      </x:c>
      <x:c r="B186" s="12" t="str">
        <x:v>500119092</x:v>
      </x:c>
      <x:c r="C186" s="12" t="str">
        <x:v>臺大管理學院一館</x:v>
      </x:c>
      <x:c r="D186" s="35" t="n">
        <x:v>9</x:v>
      </x:c>
      <x:c r="E186" s="35" t="n">
        <x:v>284.1111111111111</x:v>
      </x:c>
      <x:c r="F186" s="35" t="n">
        <x:v>276.8888888888889</x:v>
      </x:c>
      <x:c r="G186" s="14" t="n">
        <x:v>0.7200635802469136</x:v>
      </x:c>
      <x:c r="H186" s="14" t="n">
        <x:v>0.9734592592592592</x:v>
      </x:c>
      <x:c r="I186" s="14" t="n">
        <x:v>0.9191296296296296</x:v>
      </x:c>
      <x:c r="J186" s="14" t="n">
        <x:v>0.5566711111111111</x:v>
      </x:c>
      <x:c r="K186" s="14" t="n">
        <x:v>0.9345629629629629</x:v>
      </x:c>
    </x:row>
    <x:row r="187">
      <x:c r="A187" s="12" t="str">
        <x:v>9/7–9/17平日</x:v>
      </x:c>
      <x:c r="B187" s="12" t="str">
        <x:v>500119093</x:v>
      </x:c>
      <x:c r="C187" s="12" t="str">
        <x:v>臺大禮賢樓西側</x:v>
      </x:c>
      <x:c r="D187" s="35" t="n">
        <x:v>9</x:v>
      </x:c>
      <x:c r="E187" s="35" t="n">
        <x:v>116.11111111111111</x:v>
      </x:c>
      <x:c r="F187" s="35" t="n">
        <x:v>86.22222222222223</x:v>
      </x:c>
      <x:c r="G187" s="14" t="n">
        <x:v>0.7292179012345679</x:v>
      </x:c>
      <x:c r="H187" s="14" t="n">
        <x:v>0.8499962962962962</x:v>
      </x:c>
      <x:c r="I187" s="14" t="n">
        <x:v>0.7487592592592592</x:v>
      </x:c>
      <x:c r="J187" s="14" t="n">
        <x:v>0.7029666666666666</x:v>
      </x:c>
      <x:c r="K187" s="14" t="n">
        <x:v>1</x:v>
      </x:c>
    </x:row>
    <x:row r="188">
      <x:c r="A188" s="12" t="str">
        <x:v>9/7–9/17平日</x:v>
      </x:c>
      <x:c r="B188" s="12" t="str">
        <x:v>500119094</x:v>
      </x:c>
      <x:c r="C188" s="12" t="str">
        <x:v>臺大大一女餐廳廣場</x:v>
      </x:c>
      <x:c r="D188" s="35" t="n">
        <x:v>9</x:v>
      </x:c>
      <x:c r="E188" s="35" t="n">
        <x:v>311.6666666666667</x:v>
      </x:c>
      <x:c r="F188" s="35" t="n">
        <x:v>312.3333333333333</x:v>
      </x:c>
      <x:c r="G188" s="14" t="n">
        <x:v>0.7619296296296296</x:v>
      </x:c>
      <x:c r="H188" s="14" t="n">
        <x:v>0.4148</x:v>
      </x:c>
      <x:c r="I188" s="14" t="n">
        <x:v>0.8191296296296297</x:v>
      </x:c>
      <x:c r="J188" s="14" t="n">
        <x:v>1</x:v>
      </x:c>
      <x:c r="K188" s="14" t="n">
        <x:v>1</x:v>
      </x:c>
    </x:row>
    <x:row r="189">
      <x:c r="A189" s="12" t="str">
        <x:v>9/7–9/17平日</x:v>
      </x:c>
      <x:c r="B189" s="12" t="str">
        <x:v>500119095</x:v>
      </x:c>
      <x:c r="C189" s="12" t="str">
        <x:v>臺大學新館</x:v>
      </x:c>
      <x:c r="D189" s="35" t="n">
        <x:v>9</x:v>
      </x:c>
      <x:c r="E189" s="35" t="n">
        <x:v>316.22222222222223</x:v>
      </x:c>
      <x:c r="F189" s="35" t="n">
        <x:v>308.22222222222223</x:v>
      </x:c>
      <x:c r="G189" s="14" t="n">
        <x:v>0.7651228395061729</x:v>
      </x:c>
      <x:c r="H189" s="14" t="n">
        <x:v>0.9913592592592593</x:v>
      </x:c>
      <x:c r="I189" s="14" t="n">
        <x:v>0.9864185185185185</x:v>
      </x:c>
      <x:c r="J189" s="14" t="n">
        <x:v>0.6344444444444445</x:v>
      </x:c>
      <x:c r="K189" s="14" t="n">
        <x:v>0.8413518518518519</x:v>
      </x:c>
    </x:row>
    <x:row r="190">
      <x:c r="A190" s="12" t="str">
        <x:v>9/7–9/17平日</x:v>
      </x:c>
      <x:c r="B190" s="12" t="str">
        <x:v>500119096</x:v>
      </x:c>
      <x:c r="C190" s="12" t="str">
        <x:v>臺大水源舍區C棟</x:v>
      </x:c>
      <x:c r="D190" s="35" t="n">
        <x:v>9</x:v>
      </x:c>
      <x:c r="E190" s="35" t="n">
        <x:v>95.22222222222223</x:v>
      </x:c>
      <x:c r="F190" s="35" t="n">
        <x:v>80.33333333333333</x:v>
      </x:c>
      <x:c r="G190" s="14" t="n">
        <x:v>0.8198574074074074</x:v>
      </x:c>
      <x:c r="H190" s="14" t="n">
        <x:v>0.7549407407407408</x:v>
      </x:c>
      <x:c r="I190" s="14" t="n">
        <x:v>0.6228407407407407</x:v>
      </x:c>
      <x:c r="J190" s="14" t="n">
        <x:v>0.9788911111111112</x:v>
      </x:c>
      <x:c r="K190" s="14" t="n">
        <x:v>1</x:v>
      </x:c>
    </x:row>
    <x:row r="191">
      <x:c r="A191" s="12" t="str">
        <x:v>9/7–9/17平日</x:v>
      </x:c>
      <x:c r="B191" s="12" t="str">
        <x:v>500119097</x:v>
      </x:c>
      <x:c r="C191" s="12" t="str">
        <x:v>臺大人文館</x:v>
      </x:c>
      <x:c r="D191" s="35" t="n">
        <x:v>9</x:v>
      </x:c>
      <x:c r="E191" s="35" t="n">
        <x:v>362.55555555555554</x:v>
      </x:c>
      <x:c r="F191" s="35" t="n">
        <x:v>272.3333333333333</x:v>
      </x:c>
      <x:c r="G191" s="14" t="n">
        <x:v>0.8475302469135803</x:v>
      </x:c>
      <x:c r="H191" s="14" t="n">
        <x:v>0.7574111111111111</x:v>
      </x:c>
      <x:c r="I191" s="14" t="n">
        <x:v>0.9351851851851852</x:v>
      </x:c>
      <x:c r="J191" s="14" t="n">
        <x:v>0.9703711111111111</x:v>
      </x:c>
      <x:c r="K191" s="14" t="n">
        <x:v>1</x:v>
      </x:c>
    </x:row>
    <x:row r="192">
      <x:c r="A192" s="12" t="str">
        <x:v>9/7–9/17平日</x:v>
      </x:c>
      <x:c r="B192" s="12" t="str">
        <x:v>500119098</x:v>
      </x:c>
      <x:c r="C192" s="12" t="str">
        <x:v>臺大數學研究中心(東側)</x:v>
      </x:c>
      <x:c r="D192" s="35" t="n">
        <x:v>9</x:v>
      </x:c>
      <x:c r="E192" s="35" t="n">
        <x:v>413.6666666666667</x:v>
      </x:c>
      <x:c r="F192" s="35" t="n">
        <x:v>431.44444444444446</x:v>
      </x:c>
      <x:c r="G192" s="14" t="n">
        <x:v>0.842387037037037</x:v>
      </x:c>
      <x:c r="H192" s="14" t="n">
        <x:v>0.9827148148148148</x:v>
      </x:c>
      <x:c r="I192" s="14" t="n">
        <x:v>1</x:v>
      </x:c>
      <x:c r="J192" s="14" t="n">
        <x:v>0.7614844444444444</x:v>
      </x:c>
      <x:c r="K192" s="14" t="n">
        <x:v>0.9932074074074074</x:v>
      </x:c>
    </x:row>
    <x:row r="193">
      <x:c r="A193" s="12" t="str">
        <x:v>9/7–9/17平日</x:v>
      </x:c>
      <x:c r="B193" s="12" t="str">
        <x:v>500119099</x:v>
      </x:c>
      <x:c r="C193" s="12" t="str">
        <x:v>臺大博理館北側</x:v>
      </x:c>
      <x:c r="D193" s="35" t="n">
        <x:v>9</x:v>
      </x:c>
      <x:c r="E193" s="35" t="n">
        <x:v>62.888888888888886</x:v>
      </x:c>
      <x:c r="F193" s="35" t="n">
        <x:v>54.888888888888886</x:v>
      </x:c>
      <x:c r="G193" s="14" t="n">
        <x:v>0.811008024691358</x:v>
      </x:c>
      <x:c r="H193" s="14" t="n">
        <x:v>0.9469148148148148</x:v>
      </x:c>
      <x:c r="I193" s="14" t="n">
        <x:v>0.9796296296296296</x:v>
      </x:c>
      <x:c r="J193" s="14" t="n">
        <x:v>0.7151844444444444</x:v>
      </x:c>
      <x:c r="K193" s="14" t="n">
        <x:v>0.9993814814814814</x:v>
      </x:c>
    </x:row>
    <x:row r="194">
      <x:c r="A194" s="12" t="str">
        <x:v>9/7–9/17平日</x:v>
      </x:c>
      <x:c r="B194" s="12" t="str">
        <x:v>500119100</x:v>
      </x:c>
      <x:c r="C194" s="12" t="str">
        <x:v>臺大博理館東側</x:v>
      </x:c>
      <x:c r="D194" s="35" t="n">
        <x:v>9</x:v>
      </x:c>
      <x:c r="E194" s="35" t="n">
        <x:v>96.66666666666667</x:v>
      </x:c>
      <x:c r="F194" s="35" t="n">
        <x:v>90.66666666666667</x:v>
      </x:c>
      <x:c r="G194" s="14" t="n">
        <x:v>0.7885808641975308</x:v>
      </x:c>
      <x:c r="H194" s="14" t="n">
        <x:v>0.9895074074074074</x:v>
      </x:c>
      <x:c r="I194" s="14" t="n">
        <x:v>1</x:v>
      </x:c>
      <x:c r="J194" s="14" t="n">
        <x:v>0.6018555555555556</x:v>
      </x:c>
      <x:c r="K194" s="14" t="n">
        <x:v>0.8024666666666667</x:v>
      </x:c>
    </x:row>
    <x:row r="195">
      <x:c r="A195" s="12" t="str">
        <x:v>9/7–9/17平日</x:v>
      </x:c>
      <x:c r="B195" s="12" t="str">
        <x:v>500119101</x:v>
      </x:c>
      <x:c r="C195" s="12" t="str">
        <x:v>臺大德田館東北側</x:v>
      </x:c>
      <x:c r="D195" s="35" t="n">
        <x:v>9</x:v>
      </x:c>
      <x:c r="E195" s="35" t="n">
        <x:v>224.44444444444446</x:v>
      </x:c>
      <x:c r="F195" s="35" t="n">
        <x:v>223.44444444444446</x:v>
      </x:c>
      <x:c r="G195" s="14" t="n">
        <x:v>0.7462962962962963</x:v>
      </x:c>
      <x:c r="H195" s="14" t="n">
        <x:v>0.9469111111111111</x:v>
      </x:c>
      <x:c r="I195" s="14" t="n">
        <x:v>1</x:v>
      </x:c>
      <x:c r="J195" s="14" t="n">
        <x:v>0.6311111111111111</x:v>
      </x:c>
      <x:c r="K195" s="14" t="n">
        <x:v>0.9956777777777778</x:v>
      </x:c>
    </x:row>
    <x:row r="196">
      <x:c r="A196" s="12" t="str">
        <x:v>9/7–9/17平日</x:v>
      </x:c>
      <x:c r="B196" s="12" t="str">
        <x:v>500119102</x:v>
      </x:c>
      <x:c r="C196" s="12" t="str">
        <x:v>臺大普通教學館東側</x:v>
      </x:c>
      <x:c r="D196" s="35" t="n">
        <x:v>9</x:v>
      </x:c>
      <x:c r="E196" s="35" t="n">
        <x:v>789.7777777777778</x:v>
      </x:c>
      <x:c r="F196" s="35" t="n">
        <x:v>803.3333333333334</x:v>
      </x:c>
      <x:c r="G196" s="14" t="n">
        <x:v>0.7860092592592592</x:v>
      </x:c>
      <x:c r="H196" s="14" t="n">
        <x:v>0.9796296296296296</x:v>
      </x:c>
      <x:c r="I196" s="14" t="n">
        <x:v>0.9851888888888889</x:v>
      </x:c>
      <x:c r="J196" s="14" t="n">
        <x:v>0.7500022222222222</x:v>
      </x:c>
      <x:c r="K196" s="14" t="n">
        <x:v>0.9123481481481481</x:v>
      </x:c>
    </x:row>
    <x:row r="197">
      <x:c r="A197" s="12" t="str">
        <x:v>9/7–9/17平日</x:v>
      </x:c>
      <x:c r="B197" s="12" t="str">
        <x:v>500119103</x:v>
      </x:c>
      <x:c r="C197" s="12" t="str">
        <x:v>臺大次震宇宙館西側</x:v>
      </x:c>
      <x:c r="D197" s="35" t="n">
        <x:v>9</x:v>
      </x:c>
      <x:c r="E197" s="35" t="n">
        <x:v>198.55555555555554</x:v>
      </x:c>
      <x:c r="F197" s="35" t="n">
        <x:v>192.44444444444446</x:v>
      </x:c>
      <x:c r="G197" s="14" t="n">
        <x:v>0.8639938271604938</x:v>
      </x:c>
      <x:c r="H197" s="14" t="n">
        <x:v>0.9814814814814815</x:v>
      </x:c>
      <x:c r="I197" s="14" t="n">
        <x:v>0.9962962962962963</x:v>
      </x:c>
      <x:c r="J197" s="14" t="n">
        <x:v>0.9029666666666667</x:v>
      </x:c>
      <x:c r="K197" s="14" t="n">
        <x:v>0.9790111111111112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de51f2b19ca4f1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  <x:col min="5" max="5" width="31" hidden="0" customWidth="1"/>
    <x:col min="6" max="6" width="16" hidden="0" customWidth="1"/>
    <x:col min="7" max="7" width="31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2" customHeight="1">
      <x:c r="A1" s="17" t="str">
        <x:v>ZZB 調度路線彙總（2026/9/1–9/10）</x:v>
      </x:c>
      <x:c r="B1" s="17" t="str">
        <x:v>ZZB 調度路線彙總（2026/9/1–9/10）</x:v>
      </x:c>
      <x:c r="C1" s="17" t="str">
        <x:v>ZZB 調度路線彙總（2026/9/1–9/10）</x:v>
      </x:c>
      <x:c r="D1" s="17" t="str">
        <x:v>ZZB 調度路線彙總（2026/9/1–9/10）</x:v>
      </x:c>
      <x:c r="E1" s="17" t="str">
        <x:v>ZZB 調度路線彙總（2026/9/1–9/10）</x:v>
      </x:c>
      <x:c r="F1" s="17" t="str">
        <x:v>ZZB 調度路線彙總（2026/9/1–9/10）</x:v>
      </x:c>
      <x:c r="G1" s="17" t="str">
        <x:v>ZZB 調度路線彙總（2026/9/1–9/10）</x:v>
      </x:c>
      <x:c r="H1" s="17" t="str">
        <x:v>ZZB 調度路線彙總（2026/9/1–9/10）</x:v>
      </x:c>
      <x:c r="I1" s="17" t="str">
        <x:v>ZZB 調度路線彙總（2026/9/1–9/10）</x:v>
      </x:c>
      <x:c r="J1" s="17" t="str">
        <x:v>ZZB 調度路線彙總（2026/9/1–9/10）</x:v>
      </x:c>
      <x:c r="K1" s="17" t="str">
        <x:v>ZZB 調度路線彙總（2026/9/1–9/10）</x:v>
      </x:c>
      <x:c r="L1" s="17" t="str">
        <x:v>ZZB 調度路線彙總（2026/9/1–9/10）</x:v>
      </x:c>
      <x:c r="M1" s="17" t="str">
        <x:v>ZZB 調度路線彙總（2026/9/1–9/10）</x:v>
      </x:c>
      <x:c r="N1" s="17" t="str">
        <x:v>ZZB 調度路線彙總（2026/9/1–9/10）</x:v>
      </x:c>
      <x:c r="O1" s="17" t="str">
        <x:v>ZZB 調度路線彙總（2026/9/1–9/10）</x:v>
      </x:c>
      <x:c r="P1" s="17" t="str">
        <x:v>ZZB 調度路線彙總（2026/9/1–9/10）</x:v>
      </x:c>
      <x:c r="Q1" s="17" t="str">
        <x:v>ZZB 調度路線彙總（2026/9/1–9/10）</x:v>
      </x:c>
      <x:c r="R1" s="17" t="str">
        <x:v>ZZB 調度路線彙總（2026/9/1–9/10）</x:v>
      </x:c>
      <x:c r="S1" s="17" t="str">
        <x:v>ZZB 調度路線彙總（2026/9/1–9/10）</x:v>
      </x:c>
      <x:c r="T1" s="17" t="str">
        <x:v>ZZB 調度路線彙總（2026/9/1–9/10）</x:v>
      </x:c>
      <x:c r="U1" s="17" t="str">
        <x:v>ZZB 調度路線彙總（2026/9/1–9/10）</x:v>
      </x:c>
      <x:c r="V1" s="17" t="str">
        <x:v>ZZB 調度路線彙總（2026/9/1–9/10）</x:v>
      </x:c>
    </x:row>
    <x:row r="2" ht="34" customHeight="1">
      <x:c r="A2" s="23" t="str">
        <x:v>日期</x:v>
      </x:c>
      <x:c r="B2" s="23" t="str">
        <x:v>調出小時</x:v>
      </x:c>
      <x:c r="C2" s="23" t="str">
        <x:v>時段</x:v>
      </x:c>
      <x:c r="D2" s="23" t="str">
        <x:v>調出站代碼</x:v>
      </x:c>
      <x:c r="E2" s="23" t="str">
        <x:v>調出站名稱</x:v>
      </x:c>
      <x:c r="F2" s="23" t="str">
        <x:v>調入站代碼</x:v>
      </x:c>
      <x:c r="G2" s="23" t="str">
        <x:v>調入站名稱</x:v>
      </x:c>
      <x:c r="H2" s="23" t="str">
        <x:v>線型</x:v>
      </x:c>
      <x:c r="I2" s="23" t="str">
        <x:v>車輛數</x:v>
      </x:c>
      <x:c r="J2" s="23" t="str">
        <x:v>車號</x:v>
      </x:c>
      <x:c r="K2" s="23" t="str">
        <x:v>調度數量</x:v>
      </x:c>
      <x:c r="L2" s="23" t="str">
        <x:v>2.0</x:v>
      </x:c>
      <x:c r="M2" s="23" t="str">
        <x:v>2.0E</x:v>
      </x:c>
      <x:c r="N2" s="23" t="str">
        <x:v>路線段數</x:v>
      </x:c>
      <x:c r="O2" s="23" t="str">
        <x:v>調出緯度</x:v>
      </x:c>
      <x:c r="P2" s="23" t="str">
        <x:v>調出經度</x:v>
      </x:c>
      <x:c r="Q2" s="23" t="str">
        <x:v>調入緯度</x:v>
      </x:c>
      <x:c r="R2" s="23" t="str">
        <x:v>調入經度</x:v>
      </x:c>
      <x:c r="S2" s="23" t="str">
        <x:v>兩端500119</x:v>
      </x:c>
      <x:c r="T2" s="23" t="str">
        <x:v>虛線理由</x:v>
      </x:c>
      <x:c r="U2" s="23" t="str">
        <x:v>調出行政區</x:v>
      </x:c>
      <x:c r="V2" s="23" t="str">
        <x:v>調入行政區</x:v>
      </x:c>
    </x:row>
    <x:row r="3">
      <x:c r="A3" s="12" t="str">
        <x:v>2026-09-01</x:v>
      </x:c>
      <x:c r="B3" s="12" t="str">
        <x:v>00:00</x:v>
      </x:c>
      <x:c r="C3" s="12" t="str">
        <x:v>00–05</x:v>
      </x:c>
      <x:c r="D3" s="12" t="str">
        <x:v>500101181</x:v>
      </x:c>
      <x:c r="E3" s="12" t="str">
        <x:v>捷運公館站(3號出口)</x:v>
      </x:c>
      <x:c r="F3" s="12" t="str">
        <x:v>500101276</x:v>
      </x:c>
      <x:c r="G3" s="12" t="str">
        <x:v>羅斯福新生南路口</x:v>
      </x:c>
      <x:c r="H3" s="12" t="str">
        <x:v>虛線</x:v>
      </x:c>
      <x:c r="I3" s="13" t="n">
        <x:v>1</x:v>
      </x:c>
      <x:c r="J3" s="12" t="str">
        <x:v>ZZB-0003</x:v>
      </x:c>
      <x:c r="K3" s="13" t="n">
        <x:v>10</x:v>
      </x:c>
      <x:c r="L3" s="13" t="n">
        <x:v>10</x:v>
      </x:c>
      <x:c r="M3" s="13" t="n">
        <x:v>0</x:v>
      </x:c>
      <x:c r="N3" s="13" t="n">
        <x:v>1</x:v>
      </x:c>
      <x:c r="O3" s="36" t="n">
        <x:v>25.01551</x:v>
      </x:c>
      <x:c r="P3" s="36" t="n">
        <x:v>121.53374</x:v>
      </x:c>
      <x:c r="Q3" s="36" t="n">
        <x:v>25.01604</x:v>
      </x:c>
      <x:c r="R3" s="36" t="n">
        <x:v>121.53316</x:v>
      </x:c>
      <x:c r="S3" s="12" t="str">
        <x:v>否</x:v>
      </x:c>
      <x:c r="T3" s="12" t="str">
        <x:v>任一端站碼非500119*</x:v>
      </x:c>
      <x:c r="U3" s="12" t="str"/>
      <x:c r="V3" s="12" t="str"/>
    </x:row>
    <x:row r="4">
      <x:c r="A4" s="12" t="str">
        <x:v>2026-09-01</x:v>
      </x:c>
      <x:c r="B4" s="12" t="str">
        <x:v>00:00</x:v>
      </x:c>
      <x:c r="C4" s="12" t="str">
        <x:v>00–05</x:v>
      </x:c>
      <x:c r="D4" s="12" t="str">
        <x:v>500112050</x:v>
      </x:c>
      <x:c r="E4" s="12" t="str">
        <x:v>五常公園</x:v>
      </x:c>
      <x:c r="F4" s="12" t="str">
        <x:v>500112013</x:v>
      </x:c>
      <x:c r="G4" s="12" t="str">
        <x:v>興雅國中</x:v>
      </x:c>
      <x:c r="H4" s="12" t="str">
        <x:v>虛線</x:v>
      </x:c>
      <x:c r="I4" s="13" t="n">
        <x:v>1</x:v>
      </x:c>
      <x:c r="J4" s="12" t="str">
        <x:v>ZZB-0008</x:v>
      </x:c>
      <x:c r="K4" s="13" t="n">
        <x:v>3</x:v>
      </x:c>
      <x:c r="L4" s="13" t="n">
        <x:v>3</x:v>
      </x:c>
      <x:c r="M4" s="13" t="n">
        <x:v>0</x:v>
      </x:c>
      <x:c r="N4" s="13" t="n">
        <x:v>1</x:v>
      </x:c>
      <x:c r="O4" s="36" t="n">
        <x:v>25.04797</x:v>
      </x:c>
      <x:c r="P4" s="36" t="n">
        <x:v>121.57432</x:v>
      </x:c>
      <x:c r="Q4" s="36" t="n">
        <x:v>25.03616</x:v>
      </x:c>
      <x:c r="R4" s="36" t="n">
        <x:v>121.56983</x:v>
      </x:c>
      <x:c r="S4" s="12" t="str">
        <x:v>否</x:v>
      </x:c>
      <x:c r="T4" s="12" t="str">
        <x:v>任一端站碼非500119*</x:v>
      </x:c>
      <x:c r="U4" s="12" t="str"/>
      <x:c r="V4" s="12" t="str"/>
    </x:row>
    <x:row r="5">
      <x:c r="A5" s="12" t="str">
        <x:v>2026-09-01</x:v>
      </x:c>
      <x:c r="B5" s="12" t="str">
        <x:v>00:00</x:v>
      </x:c>
      <x:c r="C5" s="12" t="str">
        <x:v>00–05</x:v>
      </x:c>
      <x:c r="D5" s="12" t="str">
        <x:v>500112050</x:v>
      </x:c>
      <x:c r="E5" s="12" t="str">
        <x:v>五常公園</x:v>
      </x:c>
      <x:c r="F5" s="12" t="str">
        <x:v>500112029</x:v>
      </x:c>
      <x:c r="G5" s="12" t="str">
        <x:v>臺北市政府</x:v>
      </x:c>
      <x:c r="H5" s="12" t="str">
        <x:v>虛線</x:v>
      </x:c>
      <x:c r="I5" s="13" t="n">
        <x:v>1</x:v>
      </x:c>
      <x:c r="J5" s="12" t="str">
        <x:v>ZZB-0008</x:v>
      </x:c>
      <x:c r="K5" s="13" t="n">
        <x:v>2</x:v>
      </x:c>
      <x:c r="L5" s="13" t="n">
        <x:v>2</x:v>
      </x:c>
      <x:c r="M5" s="13" t="n">
        <x:v>0</x:v>
      </x:c>
      <x:c r="N5" s="13" t="n">
        <x:v>1</x:v>
      </x:c>
      <x:c r="O5" s="36" t="n">
        <x:v>25.04797</x:v>
      </x:c>
      <x:c r="P5" s="36" t="n">
        <x:v>121.57432</x:v>
      </x:c>
      <x:c r="Q5" s="36" t="n">
        <x:v>25.03801</x:v>
      </x:c>
      <x:c r="R5" s="36" t="n">
        <x:v>121.56541</x:v>
      </x:c>
      <x:c r="S5" s="12" t="str">
        <x:v>否</x:v>
      </x:c>
      <x:c r="T5" s="12" t="str">
        <x:v>任一端站碼非500119*</x:v>
      </x:c>
      <x:c r="U5" s="12" t="str"/>
      <x:c r="V5" s="12" t="str"/>
    </x:row>
    <x:row r="6">
      <x:c r="A6" s="12" t="str">
        <x:v>2026-09-01</x:v>
      </x:c>
      <x:c r="B6" s="12" t="str">
        <x:v>00:00</x:v>
      </x:c>
      <x:c r="C6" s="12" t="str">
        <x:v>00–05</x:v>
      </x:c>
      <x:c r="D6" s="12" t="str">
        <x:v>500112050</x:v>
      </x:c>
      <x:c r="E6" s="12" t="str">
        <x:v>五常公園</x:v>
      </x:c>
      <x:c r="F6" s="12" t="str">
        <x:v>500112089</x:v>
      </x:c>
      <x:c r="G6" s="12" t="str">
        <x:v>富生公園</x:v>
      </x:c>
      <x:c r="H6" s="12" t="str">
        <x:v>虛線</x:v>
      </x:c>
      <x:c r="I6" s="13" t="n">
        <x:v>1</x:v>
      </x:c>
      <x:c r="J6" s="12" t="str">
        <x:v>ZZB-0008</x:v>
      </x:c>
      <x:c r="K6" s="13" t="n">
        <x:v>10</x:v>
      </x:c>
      <x:c r="L6" s="13" t="n">
        <x:v>10</x:v>
      </x:c>
      <x:c r="M6" s="13" t="n">
        <x:v>0</x:v>
      </x:c>
      <x:c r="N6" s="13" t="n">
        <x:v>1</x:v>
      </x:c>
      <x:c r="O6" s="36" t="n">
        <x:v>25.04797</x:v>
      </x:c>
      <x:c r="P6" s="36" t="n">
        <x:v>121.57432</x:v>
      </x:c>
      <x:c r="Q6" s="36" t="n">
        <x:v>25.04116</x:v>
      </x:c>
      <x:c r="R6" s="36" t="n">
        <x:v>121.5706</x:v>
      </x:c>
      <x:c r="S6" s="12" t="str">
        <x:v>否</x:v>
      </x:c>
      <x:c r="T6" s="12" t="str">
        <x:v>任一端站碼非500119*</x:v>
      </x:c>
      <x:c r="U6" s="12" t="str"/>
      <x:c r="V6" s="12" t="str"/>
    </x:row>
    <x:row r="7">
      <x:c r="A7" s="12" t="str">
        <x:v>2026-09-01</x:v>
      </x:c>
      <x:c r="B7" s="12" t="str">
        <x:v>00:00</x:v>
      </x:c>
      <x:c r="C7" s="12" t="str">
        <x:v>00–05</x:v>
      </x:c>
      <x:c r="D7" s="12" t="str">
        <x:v>500112127</x:v>
      </x:c>
      <x:c r="E7" s="12" t="str">
        <x:v>永吉路120巷15弄口</x:v>
      </x:c>
      <x:c r="F7" s="12" t="str">
        <x:v>500110050</x:v>
      </x:c>
      <x:c r="G7" s="12" t="str">
        <x:v>捷運松山站(2號出口)</x:v>
      </x:c>
      <x:c r="H7" s="12" t="str">
        <x:v>虛線</x:v>
      </x:c>
      <x:c r="I7" s="13" t="n">
        <x:v>1</x:v>
      </x:c>
      <x:c r="J7" s="12" t="str">
        <x:v>ZZB-0008</x:v>
      </x:c>
      <x:c r="K7" s="13" t="n">
        <x:v>7</x:v>
      </x:c>
      <x:c r="L7" s="13" t="n">
        <x:v>7</x:v>
      </x:c>
      <x:c r="M7" s="13" t="n">
        <x:v>0</x:v>
      </x:c>
      <x:c r="N7" s="13" t="n">
        <x:v>1</x:v>
      </x:c>
      <x:c r="O7" s="36" t="n">
        <x:v>25.04501</x:v>
      </x:c>
      <x:c r="P7" s="36" t="n">
        <x:v>121.57028</x:v>
      </x:c>
      <x:c r="Q7" s="36" t="n">
        <x:v>25.05013</x:v>
      </x:c>
      <x:c r="R7" s="36" t="n">
        <x:v>121.57635</x:v>
      </x:c>
      <x:c r="S7" s="12" t="str">
        <x:v>否</x:v>
      </x:c>
      <x:c r="T7" s="12" t="str">
        <x:v>任一端站碼非500119*</x:v>
      </x:c>
      <x:c r="U7" s="12" t="str"/>
      <x:c r="V7" s="12" t="str"/>
    </x:row>
    <x:row r="8">
      <x:c r="A8" s="12" t="str">
        <x:v>2026-09-01</x:v>
      </x:c>
      <x:c r="B8" s="12" t="str">
        <x:v>00:00</x:v>
      </x:c>
      <x:c r="C8" s="12" t="str">
        <x:v>00–05</x:v>
      </x:c>
      <x:c r="D8" s="12" t="str">
        <x:v>500112127</x:v>
      </x:c>
      <x:c r="E8" s="12" t="str">
        <x:v>永吉路120巷15弄口</x:v>
      </x:c>
      <x:c r="F8" s="12" t="str">
        <x:v>500110070</x:v>
      </x:c>
      <x:c r="G8" s="12" t="str">
        <x:v>捷運松山站(1號出口)</x:v>
      </x:c>
      <x:c r="H8" s="12" t="str">
        <x:v>虛線</x:v>
      </x:c>
      <x:c r="I8" s="13" t="n">
        <x:v>1</x:v>
      </x:c>
      <x:c r="J8" s="12" t="str">
        <x:v>ZZB-0008</x:v>
      </x:c>
      <x:c r="K8" s="13" t="n">
        <x:v>8</x:v>
      </x:c>
      <x:c r="L8" s="13" t="n">
        <x:v>8</x:v>
      </x:c>
      <x:c r="M8" s="13" t="n">
        <x:v>0</x:v>
      </x:c>
      <x:c r="N8" s="13" t="n">
        <x:v>1</x:v>
      </x:c>
      <x:c r="O8" s="36" t="n">
        <x:v>25.04501</x:v>
      </x:c>
      <x:c r="P8" s="36" t="n">
        <x:v>121.57028</x:v>
      </x:c>
      <x:c r="Q8" s="36" t="n">
        <x:v>25.05014</x:v>
      </x:c>
      <x:c r="R8" s="36" t="n">
        <x:v>121.57692</x:v>
      </x:c>
      <x:c r="S8" s="12" t="str">
        <x:v>否</x:v>
      </x:c>
      <x:c r="T8" s="12" t="str">
        <x:v>任一端站碼非500119*</x:v>
      </x:c>
      <x:c r="U8" s="12" t="str"/>
      <x:c r="V8" s="12" t="str"/>
    </x:row>
    <x:row r="9">
      <x:c r="A9" s="12" t="str">
        <x:v>2026-09-01</x:v>
      </x:c>
      <x:c r="B9" s="12" t="str">
        <x:v>01:00</x:v>
      </x:c>
      <x:c r="C9" s="12" t="str">
        <x:v>00–05</x:v>
      </x:c>
      <x:c r="D9" s="12" t="str">
        <x:v>500112099</x:v>
      </x:c>
      <x:c r="E9" s="12" t="str">
        <x:v>廣慈博愛園區(西側)</x:v>
      </x:c>
      <x:c r="F9" s="12" t="str">
        <x:v>500112049</x:v>
      </x:c>
      <x:c r="G9" s="12" t="str">
        <x:v>松山車站</x:v>
      </x:c>
      <x:c r="H9" s="12" t="str">
        <x:v>虛線</x:v>
      </x:c>
      <x:c r="I9" s="13" t="n">
        <x:v>1</x:v>
      </x:c>
      <x:c r="J9" s="12" t="str">
        <x:v>ZZB-0008</x:v>
      </x:c>
      <x:c r="K9" s="13" t="n">
        <x:v>8</x:v>
      </x:c>
      <x:c r="L9" s="13" t="n">
        <x:v>8</x:v>
      </x:c>
      <x:c r="M9" s="13" t="n">
        <x:v>0</x:v>
      </x:c>
      <x:c r="N9" s="13" t="n">
        <x:v>1</x:v>
      </x:c>
      <x:c r="O9" s="36" t="n">
        <x:v>25.03866</x:v>
      </x:c>
      <x:c r="P9" s="36" t="n">
        <x:v>121.58082</x:v>
      </x:c>
      <x:c r="Q9" s="36" t="n">
        <x:v>25.0489</x:v>
      </x:c>
      <x:c r="R9" s="36" t="n">
        <x:v>121.57841</x:v>
      </x:c>
      <x:c r="S9" s="12" t="str">
        <x:v>否</x:v>
      </x:c>
      <x:c r="T9" s="12" t="str">
        <x:v>任一端站碼非500119*</x:v>
      </x:c>
      <x:c r="U9" s="12" t="str"/>
      <x:c r="V9" s="12" t="str"/>
    </x:row>
    <x:row r="10">
      <x:c r="A10" s="12" t="str">
        <x:v>2026-09-01</x:v>
      </x:c>
      <x:c r="B10" s="12" t="str">
        <x:v>01:00</x:v>
      </x:c>
      <x:c r="C10" s="12" t="str">
        <x:v>00–05</x:v>
      </x:c>
      <x:c r="D10" s="12" t="str">
        <x:v>500112099</x:v>
      </x:c>
      <x:c r="E10" s="12" t="str">
        <x:v>廣慈博愛園區(西側)</x:v>
      </x:c>
      <x:c r="F10" s="12" t="str">
        <x:v>500112058</x:v>
      </x:c>
      <x:c r="G10" s="12" t="str">
        <x:v>捷運後山埤站(2號出口)</x:v>
      </x:c>
      <x:c r="H10" s="12" t="str">
        <x:v>虛線</x:v>
      </x:c>
      <x:c r="I10" s="13" t="n">
        <x:v>1</x:v>
      </x:c>
      <x:c r="J10" s="12" t="str">
        <x:v>ZZB-0008</x:v>
      </x:c>
      <x:c r="K10" s="13" t="n">
        <x:v>7</x:v>
      </x:c>
      <x:c r="L10" s="13" t="n">
        <x:v>7</x:v>
      </x:c>
      <x:c r="M10" s="13" t="n">
        <x:v>0</x:v>
      </x:c>
      <x:c r="N10" s="13" t="n">
        <x:v>1</x:v>
      </x:c>
      <x:c r="O10" s="36" t="n">
        <x:v>25.03866</x:v>
      </x:c>
      <x:c r="P10" s="36" t="n">
        <x:v>121.58082</x:v>
      </x:c>
      <x:c r="Q10" s="36" t="n">
        <x:v>25.04395</x:v>
      </x:c>
      <x:c r="R10" s="36" t="n">
        <x:v>121.58184</x:v>
      </x:c>
      <x:c r="S10" s="12" t="str">
        <x:v>否</x:v>
      </x:c>
      <x:c r="T10" s="12" t="str">
        <x:v>任一端站碼非500119*</x:v>
      </x:c>
      <x:c r="U10" s="12" t="str"/>
      <x:c r="V10" s="12" t="str"/>
    </x:row>
    <x:row r="11">
      <x:c r="A11" s="12" t="str">
        <x:v>2026-09-01</x:v>
      </x:c>
      <x:c r="B11" s="12" t="str">
        <x:v>04:00</x:v>
      </x:c>
      <x:c r="C11" s="12" t="str">
        <x:v>00–05</x:v>
      </x:c>
      <x:c r="D11" s="12" t="str">
        <x:v>500111070</x:v>
      </x:c>
      <x:c r="E11" s="12" t="str">
        <x:v>玉成公園(成福路178巷口)</x:v>
      </x:c>
      <x:c r="F11" s="12" t="str">
        <x:v>500110003</x:v>
      </x:c>
      <x:c r="G11" s="12" t="str">
        <x:v>塔悠八德路口</x:v>
      </x:c>
      <x:c r="H11" s="12" t="str">
        <x:v>虛線</x:v>
      </x:c>
      <x:c r="I11" s="13" t="n">
        <x:v>1</x:v>
      </x:c>
      <x:c r="J11" s="12" t="str">
        <x:v>ZZB-0008</x:v>
      </x:c>
      <x:c r="K11" s="13" t="n">
        <x:v>15</x:v>
      </x:c>
      <x:c r="L11" s="13" t="n">
        <x:v>15</x:v>
      </x:c>
      <x:c r="M11" s="13" t="n">
        <x:v>0</x:v>
      </x:c>
      <x:c r="N11" s="13" t="n">
        <x:v>1</x:v>
      </x:c>
      <x:c r="O11" s="36" t="n">
        <x:v>25.04177</x:v>
      </x:c>
      <x:c r="P11" s="36" t="n">
        <x:v>121.58735</x:v>
      </x:c>
      <x:c r="Q11" s="36" t="n">
        <x:v>25.05009</x:v>
      </x:c>
      <x:c r="R11" s="36" t="n">
        <x:v>121.57202</x:v>
      </x:c>
      <x:c r="S11" s="12" t="str">
        <x:v>否</x:v>
      </x:c>
      <x:c r="T11" s="12" t="str">
        <x:v>任一端站碼非500119*</x:v>
      </x:c>
      <x:c r="U11" s="12" t="str"/>
      <x:c r="V11" s="12" t="str"/>
    </x:row>
    <x:row r="12">
      <x:c r="A12" s="12" t="str">
        <x:v>2026-09-01</x:v>
      </x:c>
      <x:c r="B12" s="12" t="str">
        <x:v>04:00</x:v>
      </x:c>
      <x:c r="C12" s="12" t="str">
        <x:v>00–05</x:v>
      </x:c>
      <x:c r="D12" s="12" t="str">
        <x:v>500111073</x:v>
      </x:c>
      <x:c r="E12" s="12" t="str">
        <x:v>成福路197巷口</x:v>
      </x:c>
      <x:c r="F12" s="12" t="str">
        <x:v>500111117</x:v>
      </x:c>
      <x:c r="G12" s="12" t="str">
        <x:v>昆陽東新街口</x:v>
      </x:c>
      <x:c r="H12" s="12" t="str">
        <x:v>虛線</x:v>
      </x:c>
      <x:c r="I12" s="13" t="n">
        <x:v>1</x:v>
      </x:c>
      <x:c r="J12" s="12" t="str">
        <x:v>ZZB-0008</x:v>
      </x:c>
      <x:c r="K12" s="13" t="n">
        <x:v>15</x:v>
      </x:c>
      <x:c r="L12" s="13" t="n">
        <x:v>15</x:v>
      </x:c>
      <x:c r="M12" s="13" t="n">
        <x:v>0</x:v>
      </x:c>
      <x:c r="N12" s="13" t="n">
        <x:v>1</x:v>
      </x:c>
      <x:c r="O12" s="36" t="n">
        <x:v>25.04066</x:v>
      </x:c>
      <x:c r="P12" s="36" t="n">
        <x:v>121.58877</x:v>
      </x:c>
      <x:c r="Q12" s="36" t="n">
        <x:v>25.04857</x:v>
      </x:c>
      <x:c r="R12" s="36" t="n">
        <x:v>121.59401</x:v>
      </x:c>
      <x:c r="S12" s="12" t="str">
        <x:v>否</x:v>
      </x:c>
      <x:c r="T12" s="12" t="str">
        <x:v>任一端站碼非500119*</x:v>
      </x:c>
      <x:c r="U12" s="12" t="str"/>
      <x:c r="V12" s="12" t="str"/>
    </x:row>
    <x:row r="13">
      <x:c r="A13" s="12" t="str">
        <x:v>2026-09-01</x:v>
      </x:c>
      <x:c r="B13" s="12" t="str">
        <x:v>08:00</x:v>
      </x:c>
      <x:c r="C13" s="12" t="str">
        <x:v>06–09</x:v>
      </x:c>
      <x:c r="D13" s="12" t="str">
        <x:v>500119050</x:v>
      </x:c>
      <x:c r="E13" s="12" t="str">
        <x:v>臺大小福樓東側</x:v>
      </x:c>
      <x:c r="F13" s="12" t="str">
        <x:v>500119097</x:v>
      </x:c>
      <x:c r="G13" s="12" t="str">
        <x:v>臺大人文館</x:v>
      </x:c>
      <x:c r="H13" s="12" t="str">
        <x:v>實線</x:v>
      </x:c>
      <x:c r="I13" s="13" t="n">
        <x:v>1</x:v>
      </x:c>
      <x:c r="J13" s="12" t="str">
        <x:v>ZZB-0004</x:v>
      </x:c>
      <x:c r="K13" s="13" t="n">
        <x:v>14</x:v>
      </x:c>
      <x:c r="L13" s="13" t="n">
        <x:v>14</x:v>
      </x:c>
      <x:c r="M13" s="13" t="n">
        <x:v>0</x:v>
      </x:c>
      <x:c r="N13" s="13" t="n">
        <x:v>2</x:v>
      </x:c>
      <x:c r="O13" s="36" t="n">
        <x:v>25.01846</x:v>
      </x:c>
      <x:c r="P13" s="36" t="n">
        <x:v>121.5376</x:v>
      </x:c>
      <x:c r="Q13" s="36" t="n">
        <x:v>25.0182</x:v>
      </x:c>
      <x:c r="R13" s="36" t="n">
        <x:v>121.53476</x:v>
      </x:c>
      <x:c r="S13" s="12" t="str">
        <x:v>是</x:v>
      </x:c>
      <x:c r="T13" s="12" t="str"/>
      <x:c r="U13" s="12" t="str"/>
      <x:c r="V13" s="12" t="str"/>
    </x:row>
    <x:row r="14">
      <x:c r="A14" s="12" t="str">
        <x:v>2026-09-01</x:v>
      </x:c>
      <x:c r="B14" s="12" t="str">
        <x:v>08:00</x:v>
      </x:c>
      <x:c r="C14" s="12" t="str">
        <x:v>06–09</x:v>
      </x:c>
      <x:c r="D14" s="12" t="str">
        <x:v>500119052</x:v>
      </x:c>
      <x:c r="E14" s="12" t="str">
        <x:v>臺大工綜館南側</x:v>
      </x:c>
      <x:c r="F14" s="12" t="str">
        <x:v>500119045</x:v>
      </x:c>
      <x:c r="G14" s="12" t="str">
        <x:v>臺大農業陳列館北側</x:v>
      </x:c>
      <x:c r="H14" s="12" t="str">
        <x:v>實線</x:v>
      </x:c>
      <x:c r="I14" s="13" t="n">
        <x:v>1</x:v>
      </x:c>
      <x:c r="J14" s="12" t="str">
        <x:v>ZZB-0005</x:v>
      </x:c>
      <x:c r="K14" s="13" t="n">
        <x:v>7</x:v>
      </x:c>
      <x:c r="L14" s="13" t="n">
        <x:v>5</x:v>
      </x:c>
      <x:c r="M14" s="13" t="n">
        <x:v>2</x:v>
      </x:c>
      <x:c r="N14" s="13" t="n">
        <x:v>2</x:v>
      </x:c>
      <x:c r="O14" s="36" t="n">
        <x:v>25.01857</x:v>
      </x:c>
      <x:c r="P14" s="36" t="n">
        <x:v>121.54059</x:v>
      </x:c>
      <x:c r="Q14" s="36" t="n">
        <x:v>25.01839</x:v>
      </x:c>
      <x:c r="R14" s="36" t="n">
        <x:v>121.53404</x:v>
      </x:c>
      <x:c r="S14" s="12" t="str">
        <x:v>是</x:v>
      </x:c>
      <x:c r="T14" s="12" t="str"/>
      <x:c r="U14" s="12" t="str"/>
      <x:c r="V14" s="12" t="str"/>
    </x:row>
    <x:row r="15">
      <x:c r="A15" s="12" t="str">
        <x:v>2026-09-01</x:v>
      </x:c>
      <x:c r="B15" s="12" t="str">
        <x:v>08:00</x:v>
      </x:c>
      <x:c r="C15" s="12" t="str">
        <x:v>06–09</x:v>
      </x:c>
      <x:c r="D15" s="12" t="str">
        <x:v>500119078</x:v>
      </x:c>
      <x:c r="E15" s="12" t="str">
        <x:v>臺大森林館北側</x:v>
      </x:c>
      <x:c r="F15" s="12" t="str">
        <x:v>500119060</x:v>
      </x:c>
      <x:c r="G15" s="12" t="str">
        <x:v>臺大共同教室東南側</x:v>
      </x:c>
      <x:c r="H15" s="12" t="str">
        <x:v>實線</x:v>
      </x:c>
      <x:c r="I15" s="13" t="n">
        <x:v>1</x:v>
      </x:c>
      <x:c r="J15" s="12" t="str">
        <x:v>ZZB-0003</x:v>
      </x:c>
      <x:c r="K15" s="13" t="n">
        <x:v>7</x:v>
      </x:c>
      <x:c r="L15" s="13" t="n">
        <x:v>6</x:v>
      </x:c>
      <x:c r="M15" s="13" t="n">
        <x:v>1</x:v>
      </x:c>
      <x:c r="N15" s="13" t="n">
        <x:v>2</x:v>
      </x:c>
      <x:c r="O15" s="36" t="n">
        <x:v>25.01704</x:v>
      </x:c>
      <x:c r="P15" s="36" t="n">
        <x:v>121.53888</x:v>
      </x:c>
      <x:c r="Q15" s="36" t="n">
        <x:v>25.01566</x:v>
      </x:c>
      <x:c r="R15" s="36" t="n">
        <x:v>121.53786</x:v>
      </x:c>
      <x:c r="S15" s="12" t="str">
        <x:v>是</x:v>
      </x:c>
      <x:c r="T15" s="12" t="str"/>
      <x:c r="U15" s="12" t="str"/>
      <x:c r="V15" s="12" t="str"/>
    </x:row>
    <x:row r="16">
      <x:c r="A16" s="12" t="str">
        <x:v>2026-09-01</x:v>
      </x:c>
      <x:c r="B16" s="12" t="str">
        <x:v>08:00</x:v>
      </x:c>
      <x:c r="C16" s="12" t="str">
        <x:v>06–09</x:v>
      </x:c>
      <x:c r="D16" s="12" t="str">
        <x:v>500119086</x:v>
      </x:c>
      <x:c r="E16" s="12" t="str">
        <x:v>臺大圖資系館北側</x:v>
      </x:c>
      <x:c r="F16" s="12" t="str">
        <x:v>500119059</x:v>
      </x:c>
      <x:c r="G16" s="12" t="str">
        <x:v>臺大共同教室北側</x:v>
      </x:c>
      <x:c r="H16" s="12" t="str">
        <x:v>實線</x:v>
      </x:c>
      <x:c r="I16" s="13" t="n">
        <x:v>1</x:v>
      </x:c>
      <x:c r="J16" s="12" t="str">
        <x:v>ZZB-0003</x:v>
      </x:c>
      <x:c r="K16" s="13" t="n">
        <x:v>7</x:v>
      </x:c>
      <x:c r="L16" s="13" t="n">
        <x:v>7</x:v>
      </x:c>
      <x:c r="M16" s="13" t="n">
        <x:v>0</x:v>
      </x:c>
      <x:c r="N16" s="13" t="n">
        <x:v>1</x:v>
      </x:c>
      <x:c r="O16" s="36" t="n">
        <x:v>25.01804</x:v>
      </x:c>
      <x:c r="P16" s="36" t="n">
        <x:v>121.53928</x:v>
      </x:c>
      <x:c r="Q16" s="36" t="n">
        <x:v>25.01595</x:v>
      </x:c>
      <x:c r="R16" s="36" t="n">
        <x:v>121.53791</x:v>
      </x:c>
      <x:c r="S16" s="12" t="str">
        <x:v>是</x:v>
      </x:c>
      <x:c r="T16" s="12" t="str"/>
      <x:c r="U16" s="12" t="str"/>
      <x:c r="V16" s="12" t="str"/>
    </x:row>
    <x:row r="17">
      <x:c r="A17" s="12" t="str">
        <x:v>2026-09-01</x:v>
      </x:c>
      <x:c r="B17" s="12" t="str">
        <x:v>08:00</x:v>
      </x:c>
      <x:c r="C17" s="12" t="str">
        <x:v>06–09</x:v>
      </x:c>
      <x:c r="D17" s="12" t="str">
        <x:v>500119087</x:v>
      </x:c>
      <x:c r="E17" s="12" t="str">
        <x:v>臺大總圖書館西南側</x:v>
      </x:c>
      <x:c r="F17" s="12" t="str">
        <x:v>500119097</x:v>
      </x:c>
      <x:c r="G17" s="12" t="str">
        <x:v>臺大人文館</x:v>
      </x:c>
      <x:c r="H17" s="12" t="str">
        <x:v>實線</x:v>
      </x:c>
      <x:c r="I17" s="13" t="n">
        <x:v>1</x:v>
      </x:c>
      <x:c r="J17" s="12" t="str">
        <x:v>ZZB-0004</x:v>
      </x:c>
      <x:c r="K17" s="13" t="n">
        <x:v>7</x:v>
      </x:c>
      <x:c r="L17" s="13" t="n">
        <x:v>7</x:v>
      </x:c>
      <x:c r="M17" s="13" t="n">
        <x:v>0</x:v>
      </x:c>
      <x:c r="N17" s="13" t="n">
        <x:v>1</x:v>
      </x:c>
      <x:c r="O17" s="36" t="n">
        <x:v>25.0169</x:v>
      </x:c>
      <x:c r="P17" s="36" t="n">
        <x:v>121.54031</x:v>
      </x:c>
      <x:c r="Q17" s="36" t="n">
        <x:v>25.0182</x:v>
      </x:c>
      <x:c r="R17" s="36" t="n">
        <x:v>121.53476</x:v>
      </x:c>
      <x:c r="S17" s="12" t="str">
        <x:v>是</x:v>
      </x:c>
      <x:c r="T17" s="12" t="str"/>
      <x:c r="U17" s="12" t="str"/>
      <x:c r="V17" s="12" t="str"/>
    </x:row>
    <x:row r="18">
      <x:c r="A18" s="12" t="str">
        <x:v>2026-09-01</x:v>
      </x:c>
      <x:c r="B18" s="12" t="str">
        <x:v>09:00</x:v>
      </x:c>
      <x:c r="C18" s="12" t="str">
        <x:v>06–09</x:v>
      </x:c>
      <x:c r="D18" s="12" t="str">
        <x:v>500119047</x:v>
      </x:c>
      <x:c r="E18" s="12" t="str">
        <x:v>臺大土木系館</x:v>
      </x:c>
      <x:c r="F18" s="12" t="str">
        <x:v>500119059</x:v>
      </x:c>
      <x:c r="G18" s="12" t="str">
        <x:v>臺大共同教室北側</x:v>
      </x:c>
      <x:c r="H18" s="12" t="str">
        <x:v>實線</x:v>
      </x:c>
      <x:c r="I18" s="13" t="n">
        <x:v>1</x:v>
      </x:c>
      <x:c r="J18" s="12" t="str">
        <x:v>ZZB-0003</x:v>
      </x:c>
      <x:c r="K18" s="13" t="n">
        <x:v>7</x:v>
      </x:c>
      <x:c r="L18" s="13" t="n">
        <x:v>7</x:v>
      </x:c>
      <x:c r="M18" s="13" t="n">
        <x:v>0</x:v>
      </x:c>
      <x:c r="N18" s="13" t="n">
        <x:v>1</x:v>
      </x:c>
      <x:c r="O18" s="36" t="n">
        <x:v>25.01761</x:v>
      </x:c>
      <x:c r="P18" s="36" t="n">
        <x:v>121.53844</x:v>
      </x:c>
      <x:c r="Q18" s="36" t="n">
        <x:v>25.01595</x:v>
      </x:c>
      <x:c r="R18" s="36" t="n">
        <x:v>121.53791</x:v>
      </x:c>
      <x:c r="S18" s="12" t="str">
        <x:v>是</x:v>
      </x:c>
      <x:c r="T18" s="12" t="str"/>
      <x:c r="U18" s="12" t="str"/>
      <x:c r="V18" s="12" t="str"/>
    </x:row>
    <x:row r="19">
      <x:c r="A19" s="12" t="str">
        <x:v>2026-09-01</x:v>
      </x:c>
      <x:c r="B19" s="12" t="str">
        <x:v>09:00</x:v>
      </x:c>
      <x:c r="C19" s="12" t="str">
        <x:v>06–09</x:v>
      </x:c>
      <x:c r="D19" s="12" t="str">
        <x:v>500119050</x:v>
      </x:c>
      <x:c r="E19" s="12" t="str">
        <x:v>臺大小福樓東側</x:v>
      </x:c>
      <x:c r="F19" s="12" t="str">
        <x:v>500119097</x:v>
      </x:c>
      <x:c r="G19" s="12" t="str">
        <x:v>臺大人文館</x:v>
      </x:c>
      <x:c r="H19" s="12" t="str">
        <x:v>實線</x:v>
      </x:c>
      <x:c r="I19" s="13" t="n">
        <x:v>1</x:v>
      </x:c>
      <x:c r="J19" s="12" t="str">
        <x:v>ZZB-0004</x:v>
      </x:c>
      <x:c r="K19" s="13" t="n">
        <x:v>14</x:v>
      </x:c>
      <x:c r="L19" s="13" t="n">
        <x:v>14</x:v>
      </x:c>
      <x:c r="M19" s="13" t="n">
        <x:v>0</x:v>
      </x:c>
      <x:c r="N19" s="13" t="n">
        <x:v>2</x:v>
      </x:c>
      <x:c r="O19" s="36" t="n">
        <x:v>25.01846</x:v>
      </x:c>
      <x:c r="P19" s="36" t="n">
        <x:v>121.5376</x:v>
      </x:c>
      <x:c r="Q19" s="36" t="n">
        <x:v>25.0182</x:v>
      </x:c>
      <x:c r="R19" s="36" t="n">
        <x:v>121.53476</x:v>
      </x:c>
      <x:c r="S19" s="12" t="str">
        <x:v>是</x:v>
      </x:c>
      <x:c r="T19" s="12" t="str"/>
      <x:c r="U19" s="12" t="str"/>
      <x:c r="V19" s="12" t="str"/>
    </x:row>
    <x:row r="20">
      <x:c r="A20" s="12" t="str">
        <x:v>2026-09-01</x:v>
      </x:c>
      <x:c r="B20" s="12" t="str">
        <x:v>09:00</x:v>
      </x:c>
      <x:c r="C20" s="12" t="str">
        <x:v>06–09</x:v>
      </x:c>
      <x:c r="D20" s="12" t="str">
        <x:v>500119066</x:v>
      </x:c>
      <x:c r="E20" s="12" t="str">
        <x:v>臺大凝態館南側</x:v>
      </x:c>
      <x:c r="F20" s="12" t="str">
        <x:v>500119097</x:v>
      </x:c>
      <x:c r="G20" s="12" t="str">
        <x:v>臺大人文館</x:v>
      </x:c>
      <x:c r="H20" s="12" t="str">
        <x:v>實線</x:v>
      </x:c>
      <x:c r="I20" s="13" t="n">
        <x:v>1</x:v>
      </x:c>
      <x:c r="J20" s="12" t="str">
        <x:v>ZZB-0004</x:v>
      </x:c>
      <x:c r="K20" s="13" t="n">
        <x:v>7</x:v>
      </x:c>
      <x:c r="L20" s="13" t="n">
        <x:v>7</x:v>
      </x:c>
      <x:c r="M20" s="13" t="n">
        <x:v>0</x:v>
      </x:c>
      <x:c r="N20" s="13" t="n">
        <x:v>1</x:v>
      </x:c>
      <x:c r="O20" s="36" t="n">
        <x:v>25.02157</x:v>
      </x:c>
      <x:c r="P20" s="36" t="n">
        <x:v>121.53633</x:v>
      </x:c>
      <x:c r="Q20" s="36" t="n">
        <x:v>25.0182</x:v>
      </x:c>
      <x:c r="R20" s="36" t="n">
        <x:v>121.53476</x:v>
      </x:c>
      <x:c r="S20" s="12" t="str">
        <x:v>是</x:v>
      </x:c>
      <x:c r="T20" s="12" t="str"/>
      <x:c r="U20" s="12" t="str"/>
      <x:c r="V20" s="12" t="str"/>
    </x:row>
    <x:row r="21">
      <x:c r="A21" s="12" t="str">
        <x:v>2026-09-01</x:v>
      </x:c>
      <x:c r="B21" s="12" t="str">
        <x:v>09:00</x:v>
      </x:c>
      <x:c r="C21" s="12" t="str">
        <x:v>06–09</x:v>
      </x:c>
      <x:c r="D21" s="12" t="str">
        <x:v>500119069</x:v>
      </x:c>
      <x:c r="E21" s="12" t="str">
        <x:v>臺大思亮館東南側</x:v>
      </x:c>
      <x:c r="F21" s="12" t="str">
        <x:v>500119060</x:v>
      </x:c>
      <x:c r="G21" s="12" t="str">
        <x:v>臺大共同教室東南側</x:v>
      </x:c>
      <x:c r="H21" s="12" t="str">
        <x:v>實線</x:v>
      </x:c>
      <x:c r="I21" s="13" t="n">
        <x:v>1</x:v>
      </x:c>
      <x:c r="J21" s="12" t="str">
        <x:v>ZZB-0003</x:v>
      </x:c>
      <x:c r="K21" s="13" t="n">
        <x:v>7</x:v>
      </x:c>
      <x:c r="L21" s="13" t="n">
        <x:v>7</x:v>
      </x:c>
      <x:c r="M21" s="13" t="n">
        <x:v>0</x:v>
      </x:c>
      <x:c r="N21" s="13" t="n">
        <x:v>1</x:v>
      </x:c>
      <x:c r="O21" s="36" t="n">
        <x:v>25.02074</x:v>
      </x:c>
      <x:c r="P21" s="36" t="n">
        <x:v>121.53906</x:v>
      </x:c>
      <x:c r="Q21" s="36" t="n">
        <x:v>25.01566</x:v>
      </x:c>
      <x:c r="R21" s="36" t="n">
        <x:v>121.53786</x:v>
      </x:c>
      <x:c r="S21" s="12" t="str">
        <x:v>是</x:v>
      </x:c>
      <x:c r="T21" s="12" t="str"/>
      <x:c r="U21" s="12" t="str"/>
      <x:c r="V21" s="12" t="str"/>
    </x:row>
    <x:row r="22">
      <x:c r="A22" s="12" t="str">
        <x:v>2026-09-01</x:v>
      </x:c>
      <x:c r="B22" s="12" t="str">
        <x:v>09:00</x:v>
      </x:c>
      <x:c r="C22" s="12" t="str">
        <x:v>06–09</x:v>
      </x:c>
      <x:c r="D22" s="12" t="str">
        <x:v>500119078</x:v>
      </x:c>
      <x:c r="E22" s="12" t="str">
        <x:v>臺大森林館北側</x:v>
      </x:c>
      <x:c r="F22" s="12" t="str">
        <x:v>500119074</x:v>
      </x:c>
      <x:c r="G22" s="12" t="str">
        <x:v>臺大生命科學館西北側</x:v>
      </x:c>
      <x:c r="H22" s="12" t="str">
        <x:v>實線</x:v>
      </x:c>
      <x:c r="I22" s="13" t="n">
        <x:v>1</x:v>
      </x:c>
      <x:c r="J22" s="12" t="str">
        <x:v>ZZB-0003</x:v>
      </x:c>
      <x:c r="K22" s="13" t="n">
        <x:v>7</x:v>
      </x:c>
      <x:c r="L22" s="13" t="n">
        <x:v>7</x:v>
      </x:c>
      <x:c r="M22" s="13" t="n">
        <x:v>0</x:v>
      </x:c>
      <x:c r="N22" s="13" t="n">
        <x:v>1</x:v>
      </x:c>
      <x:c r="O22" s="36" t="n">
        <x:v>25.01704</x:v>
      </x:c>
      <x:c r="P22" s="36" t="n">
        <x:v>121.53888</x:v>
      </x:c>
      <x:c r="Q22" s="36" t="n">
        <x:v>25.01548</x:v>
      </x:c>
      <x:c r="R22" s="36" t="n">
        <x:v>121.53825</x:v>
      </x:c>
      <x:c r="S22" s="12" t="str">
        <x:v>是</x:v>
      </x:c>
      <x:c r="T22" s="12" t="str"/>
      <x:c r="U22" s="12" t="str"/>
      <x:c r="V22" s="12" t="str"/>
    </x:row>
    <x:row r="23">
      <x:c r="A23" s="12" t="str">
        <x:v>2026-09-01</x:v>
      </x:c>
      <x:c r="B23" s="12" t="str">
        <x:v>09:00</x:v>
      </x:c>
      <x:c r="C23" s="12" t="str">
        <x:v>06–09</x:v>
      </x:c>
      <x:c r="D23" s="12" t="str">
        <x:v>500119087</x:v>
      </x:c>
      <x:c r="E23" s="12" t="str">
        <x:v>臺大總圖書館西南側</x:v>
      </x:c>
      <x:c r="F23" s="12" t="str">
        <x:v>500119045</x:v>
      </x:c>
      <x:c r="G23" s="12" t="str">
        <x:v>臺大農業陳列館北側</x:v>
      </x:c>
      <x:c r="H23" s="12" t="str">
        <x:v>實線</x:v>
      </x:c>
      <x:c r="I23" s="13" t="n">
        <x:v>1</x:v>
      </x:c>
      <x:c r="J23" s="12" t="str">
        <x:v>ZZB-0005</x:v>
      </x:c>
      <x:c r="K23" s="13" t="n">
        <x:v>14</x:v>
      </x:c>
      <x:c r="L23" s="13" t="n">
        <x:v>6</x:v>
      </x:c>
      <x:c r="M23" s="13" t="n">
        <x:v>8</x:v>
      </x:c>
      <x:c r="N23" s="13" t="n">
        <x:v>3</x:v>
      </x:c>
      <x:c r="O23" s="36" t="n">
        <x:v>25.0169</x:v>
      </x:c>
      <x:c r="P23" s="36" t="n">
        <x:v>121.54031</x:v>
      </x:c>
      <x:c r="Q23" s="36" t="n">
        <x:v>25.01839</x:v>
      </x:c>
      <x:c r="R23" s="36" t="n">
        <x:v>121.53404</x:v>
      </x:c>
      <x:c r="S23" s="12" t="str">
        <x:v>是</x:v>
      </x:c>
      <x:c r="T23" s="12" t="str"/>
      <x:c r="U23" s="12" t="str"/>
      <x:c r="V23" s="12" t="str"/>
    </x:row>
    <x:row r="24">
      <x:c r="A24" s="12" t="str">
        <x:v>2026-09-01</x:v>
      </x:c>
      <x:c r="B24" s="12" t="str">
        <x:v>10:00</x:v>
      </x:c>
      <x:c r="C24" s="12" t="str">
        <x:v>10–13</x:v>
      </x:c>
      <x:c r="D24" s="12" t="str">
        <x:v>500119050</x:v>
      </x:c>
      <x:c r="E24" s="12" t="str">
        <x:v>臺大小福樓東側</x:v>
      </x:c>
      <x:c r="F24" s="12" t="str">
        <x:v>500119091</x:v>
      </x:c>
      <x:c r="G24" s="12" t="str">
        <x:v>臺大明達館北側(員工宿舍)</x:v>
      </x:c>
      <x:c r="H24" s="12" t="str">
        <x:v>實線</x:v>
      </x:c>
      <x:c r="I24" s="13" t="n">
        <x:v>1</x:v>
      </x:c>
      <x:c r="J24" s="12" t="str">
        <x:v>ZZB-0004</x:v>
      </x:c>
      <x:c r="K24" s="13" t="n">
        <x:v>7</x:v>
      </x:c>
      <x:c r="L24" s="13" t="n">
        <x:v>7</x:v>
      </x:c>
      <x:c r="M24" s="13" t="n">
        <x:v>0</x:v>
      </x:c>
      <x:c r="N24" s="13" t="n">
        <x:v>1</x:v>
      </x:c>
      <x:c r="O24" s="36" t="n">
        <x:v>25.01846</x:v>
      </x:c>
      <x:c r="P24" s="36" t="n">
        <x:v>121.5376</x:v>
      </x:c>
      <x:c r="Q24" s="36" t="n">
        <x:v>25.01816</x:v>
      </x:c>
      <x:c r="R24" s="36" t="n">
        <x:v>121.54469</x:v>
      </x:c>
      <x:c r="S24" s="12" t="str">
        <x:v>是</x:v>
      </x:c>
      <x:c r="T24" s="12" t="str"/>
      <x:c r="U24" s="12" t="str"/>
      <x:c r="V24" s="12" t="str"/>
    </x:row>
    <x:row r="25">
      <x:c r="A25" s="12" t="str">
        <x:v>2026-09-01</x:v>
      </x:c>
      <x:c r="B25" s="12" t="str">
        <x:v>10:00</x:v>
      </x:c>
      <x:c r="C25" s="12" t="str">
        <x:v>10–13</x:v>
      </x:c>
      <x:c r="D25" s="12" t="str">
        <x:v>500119075</x:v>
      </x:c>
      <x:c r="E25" s="12" t="str">
        <x:v>臺大第一活動中心西南側</x:v>
      </x:c>
      <x:c r="F25" s="12" t="str">
        <x:v>500119061</x:v>
      </x:c>
      <x:c r="G25" s="12" t="str">
        <x:v>臺大鹿鳴堂東側</x:v>
      </x:c>
      <x:c r="H25" s="12" t="str">
        <x:v>實線</x:v>
      </x:c>
      <x:c r="I25" s="13" t="n">
        <x:v>1</x:v>
      </x:c>
      <x:c r="J25" s="12" t="str">
        <x:v>ZZB-0003</x:v>
      </x:c>
      <x:c r="K25" s="13" t="n">
        <x:v>7</x:v>
      </x:c>
      <x:c r="L25" s="13" t="n">
        <x:v>7</x:v>
      </x:c>
      <x:c r="M25" s="13" t="n">
        <x:v>0</x:v>
      </x:c>
      <x:c r="N25" s="13" t="n">
        <x:v>1</x:v>
      </x:c>
      <x:c r="O25" s="36" t="n">
        <x:v>25.01761</x:v>
      </x:c>
      <x:c r="P25" s="36" t="n">
        <x:v>121.53995</x:v>
      </x:c>
      <x:c r="Q25" s="36" t="n">
        <x:v>25.01511</x:v>
      </x:c>
      <x:c r="R25" s="36" t="n">
        <x:v>121.53786</x:v>
      </x:c>
      <x:c r="S25" s="12" t="str">
        <x:v>是</x:v>
      </x:c>
      <x:c r="T25" s="12" t="str"/>
      <x:c r="U25" s="12" t="str"/>
      <x:c r="V25" s="12" t="str"/>
    </x:row>
    <x:row r="26">
      <x:c r="A26" s="12" t="str">
        <x:v>2026-09-01</x:v>
      </x:c>
      <x:c r="B26" s="12" t="str">
        <x:v>10:00</x:v>
      </x:c>
      <x:c r="C26" s="12" t="str">
        <x:v>10–13</x:v>
      </x:c>
      <x:c r="D26" s="12" t="str">
        <x:v>500119078</x:v>
      </x:c>
      <x:c r="E26" s="12" t="str">
        <x:v>臺大森林館北側</x:v>
      </x:c>
      <x:c r="F26" s="12" t="str">
        <x:v>500119074</x:v>
      </x:c>
      <x:c r="G26" s="12" t="str">
        <x:v>臺大生命科學館西北側</x:v>
      </x:c>
      <x:c r="H26" s="12" t="str">
        <x:v>實線</x:v>
      </x:c>
      <x:c r="I26" s="13" t="n">
        <x:v>1</x:v>
      </x:c>
      <x:c r="J26" s="12" t="str">
        <x:v>ZZB-0003</x:v>
      </x:c>
      <x:c r="K26" s="13" t="n">
        <x:v>7</x:v>
      </x:c>
      <x:c r="L26" s="13" t="n">
        <x:v>7</x:v>
      </x:c>
      <x:c r="M26" s="13" t="n">
        <x:v>0</x:v>
      </x:c>
      <x:c r="N26" s="13" t="n">
        <x:v>1</x:v>
      </x:c>
      <x:c r="O26" s="36" t="n">
        <x:v>25.01704</x:v>
      </x:c>
      <x:c r="P26" s="36" t="n">
        <x:v>121.53888</x:v>
      </x:c>
      <x:c r="Q26" s="36" t="n">
        <x:v>25.01548</x:v>
      </x:c>
      <x:c r="R26" s="36" t="n">
        <x:v>121.53825</x:v>
      </x:c>
      <x:c r="S26" s="12" t="str">
        <x:v>是</x:v>
      </x:c>
      <x:c r="T26" s="12" t="str"/>
      <x:c r="U26" s="12" t="str"/>
      <x:c r="V26" s="12" t="str"/>
    </x:row>
    <x:row r="27">
      <x:c r="A27" s="12" t="str">
        <x:v>2026-09-01</x:v>
      </x:c>
      <x:c r="B27" s="12" t="str">
        <x:v>10:00</x:v>
      </x:c>
      <x:c r="C27" s="12" t="str">
        <x:v>10–13</x:v>
      </x:c>
      <x:c r="D27" s="12" t="str">
        <x:v>500119085</x:v>
      </x:c>
      <x:c r="E27" s="12" t="str">
        <x:v>臺大電機二館東南側</x:v>
      </x:c>
      <x:c r="F27" s="12" t="str">
        <x:v>500101032</x:v>
      </x:c>
      <x:c r="G27" s="12" t="str">
        <x:v>臺大男一舍前</x:v>
      </x:c>
      <x:c r="H27" s="12" t="str">
        <x:v>虛線</x:v>
      </x:c>
      <x:c r="I27" s="13" t="n">
        <x:v>1</x:v>
      </x:c>
      <x:c r="J27" s="12" t="str">
        <x:v>ZZB-0005</x:v>
      </x:c>
      <x:c r="K27" s="13" t="n">
        <x:v>14</x:v>
      </x:c>
      <x:c r="L27" s="13" t="n">
        <x:v>14</x:v>
      </x:c>
      <x:c r="M27" s="13" t="n">
        <x:v>0</x:v>
      </x:c>
      <x:c r="N27" s="13" t="n">
        <x:v>2</x:v>
      </x:c>
      <x:c r="O27" s="36" t="n">
        <x:v>25.01857</x:v>
      </x:c>
      <x:c r="P27" s="36" t="n">
        <x:v>121.54247</x:v>
      </x:c>
      <x:c r="Q27" s="36" t="n">
        <x:v>25.01637</x:v>
      </x:c>
      <x:c r="R27" s="36" t="n">
        <x:v>121.54535</x:v>
      </x:c>
      <x:c r="S27" s="12" t="str">
        <x:v>否</x:v>
      </x:c>
      <x:c r="T27" s="12" t="str">
        <x:v>任一端站碼非500119*</x:v>
      </x:c>
      <x:c r="U27" s="12" t="str"/>
      <x:c r="V27" s="12" t="str"/>
    </x:row>
    <x:row r="28">
      <x:c r="A28" s="12" t="str">
        <x:v>2026-09-01</x:v>
      </x:c>
      <x:c r="B28" s="12" t="str">
        <x:v>10:00</x:v>
      </x:c>
      <x:c r="C28" s="12" t="str">
        <x:v>10–13</x:v>
      </x:c>
      <x:c r="D28" s="12" t="str">
        <x:v>500119086</x:v>
      </x:c>
      <x:c r="E28" s="12" t="str">
        <x:v>臺大圖資系館北側</x:v>
      </x:c>
      <x:c r="F28" s="12" t="str">
        <x:v>500119094</x:v>
      </x:c>
      <x:c r="G28" s="12" t="str">
        <x:v>臺大大一女餐廳廣場</x:v>
      </x:c>
      <x:c r="H28" s="12" t="str">
        <x:v>實線</x:v>
      </x:c>
      <x:c r="I28" s="13" t="n">
        <x:v>1</x:v>
      </x:c>
      <x:c r="J28" s="12" t="str">
        <x:v>ZZB-0003</x:v>
      </x:c>
      <x:c r="K28" s="13" t="n">
        <x:v>7</x:v>
      </x:c>
      <x:c r="L28" s="13" t="n">
        <x:v>7</x:v>
      </x:c>
      <x:c r="M28" s="13" t="n">
        <x:v>0</x:v>
      </x:c>
      <x:c r="N28" s="13" t="n">
        <x:v>1</x:v>
      </x:c>
      <x:c r="O28" s="36" t="n">
        <x:v>25.01804</x:v>
      </x:c>
      <x:c r="P28" s="36" t="n">
        <x:v>121.53928</x:v>
      </x:c>
      <x:c r="Q28" s="36" t="n">
        <x:v>25.01479</x:v>
      </x:c>
      <x:c r="R28" s="36" t="n">
        <x:v>121.53494</x:v>
      </x:c>
      <x:c r="S28" s="12" t="str">
        <x:v>是</x:v>
      </x:c>
      <x:c r="T28" s="12" t="str"/>
      <x:c r="U28" s="12" t="str"/>
      <x:c r="V28" s="12" t="str"/>
    </x:row>
    <x:row r="29">
      <x:c r="A29" s="12" t="str">
        <x:v>2026-09-01</x:v>
      </x:c>
      <x:c r="B29" s="12" t="str">
        <x:v>11:00</x:v>
      </x:c>
      <x:c r="C29" s="12" t="str">
        <x:v>10–13</x:v>
      </x:c>
      <x:c r="D29" s="12" t="str">
        <x:v>500119087</x:v>
      </x:c>
      <x:c r="E29" s="12" t="str">
        <x:v>臺大總圖書館西南側</x:v>
      </x:c>
      <x:c r="F29" s="12" t="str">
        <x:v>500119091</x:v>
      </x:c>
      <x:c r="G29" s="12" t="str">
        <x:v>臺大明達館北側(員工宿舍)</x:v>
      </x:c>
      <x:c r="H29" s="12" t="str">
        <x:v>實線</x:v>
      </x:c>
      <x:c r="I29" s="13" t="n">
        <x:v>1</x:v>
      </x:c>
      <x:c r="J29" s="12" t="str">
        <x:v>ZZB-0003</x:v>
      </x:c>
      <x:c r="K29" s="13" t="n">
        <x:v>7</x:v>
      </x:c>
      <x:c r="L29" s="13" t="n">
        <x:v>6</x:v>
      </x:c>
      <x:c r="M29" s="13" t="n">
        <x:v>1</x:v>
      </x:c>
      <x:c r="N29" s="13" t="n">
        <x:v>2</x:v>
      </x:c>
      <x:c r="O29" s="36" t="n">
        <x:v>25.0169</x:v>
      </x:c>
      <x:c r="P29" s="36" t="n">
        <x:v>121.54031</x:v>
      </x:c>
      <x:c r="Q29" s="36" t="n">
        <x:v>25.01816</x:v>
      </x:c>
      <x:c r="R29" s="36" t="n">
        <x:v>121.54469</x:v>
      </x:c>
      <x:c r="S29" s="12" t="str">
        <x:v>是</x:v>
      </x:c>
      <x:c r="T29" s="12" t="str"/>
      <x:c r="U29" s="12" t="str"/>
      <x:c r="V29" s="12" t="str"/>
    </x:row>
    <x:row r="30">
      <x:c r="A30" s="12" t="str">
        <x:v>2026-09-01</x:v>
      </x:c>
      <x:c r="B30" s="12" t="str">
        <x:v>12:00</x:v>
      </x:c>
      <x:c r="C30" s="12" t="str">
        <x:v>10–13</x:v>
      </x:c>
      <x:c r="D30" s="12" t="str">
        <x:v>500119085</x:v>
      </x:c>
      <x:c r="E30" s="12" t="str">
        <x:v>臺大電機二館東南側</x:v>
      </x:c>
      <x:c r="F30" s="12" t="str">
        <x:v>500119087</x:v>
      </x:c>
      <x:c r="G30" s="12" t="str">
        <x:v>臺大總圖書館西南側</x:v>
      </x:c>
      <x:c r="H30" s="12" t="str">
        <x:v>實線</x:v>
      </x:c>
      <x:c r="I30" s="13" t="n">
        <x:v>1</x:v>
      </x:c>
      <x:c r="J30" s="12" t="str">
        <x:v>ZZB-0003</x:v>
      </x:c>
      <x:c r="K30" s="13" t="n">
        <x:v>7</x:v>
      </x:c>
      <x:c r="L30" s="13" t="n">
        <x:v>7</x:v>
      </x:c>
      <x:c r="M30" s="13" t="n">
        <x:v>0</x:v>
      </x:c>
      <x:c r="N30" s="13" t="n">
        <x:v>1</x:v>
      </x:c>
      <x:c r="O30" s="36" t="n">
        <x:v>25.01857</x:v>
      </x:c>
      <x:c r="P30" s="36" t="n">
        <x:v>121.54247</x:v>
      </x:c>
      <x:c r="Q30" s="36" t="n">
        <x:v>25.0169</x:v>
      </x:c>
      <x:c r="R30" s="36" t="n">
        <x:v>121.54031</x:v>
      </x:c>
      <x:c r="S30" s="12" t="str">
        <x:v>是</x:v>
      </x:c>
      <x:c r="T30" s="12" t="str"/>
      <x:c r="U30" s="12" t="str"/>
      <x:c r="V30" s="12" t="str"/>
    </x:row>
    <x:row r="31">
      <x:c r="A31" s="12" t="str">
        <x:v>2026-09-01</x:v>
      </x:c>
      <x:c r="B31" s="12" t="str">
        <x:v>12:00</x:v>
      </x:c>
      <x:c r="C31" s="12" t="str">
        <x:v>10–13</x:v>
      </x:c>
      <x:c r="D31" s="12" t="str">
        <x:v>500119086</x:v>
      </x:c>
      <x:c r="E31" s="12" t="str">
        <x:v>臺大圖資系館北側</x:v>
      </x:c>
      <x:c r="F31" s="12" t="str">
        <x:v>500119059</x:v>
      </x:c>
      <x:c r="G31" s="12" t="str">
        <x:v>臺大共同教室北側</x:v>
      </x:c>
      <x:c r="H31" s="12" t="str">
        <x:v>實線</x:v>
      </x:c>
      <x:c r="I31" s="13" t="n">
        <x:v>1</x:v>
      </x:c>
      <x:c r="J31" s="12" t="str">
        <x:v>ZZB-0003</x:v>
      </x:c>
      <x:c r="K31" s="13" t="n">
        <x:v>7</x:v>
      </x:c>
      <x:c r="L31" s="13" t="n">
        <x:v>7</x:v>
      </x:c>
      <x:c r="M31" s="13" t="n">
        <x:v>0</x:v>
      </x:c>
      <x:c r="N31" s="13" t="n">
        <x:v>1</x:v>
      </x:c>
      <x:c r="O31" s="36" t="n">
        <x:v>25.01804</x:v>
      </x:c>
      <x:c r="P31" s="36" t="n">
        <x:v>121.53928</x:v>
      </x:c>
      <x:c r="Q31" s="36" t="n">
        <x:v>25.01595</x:v>
      </x:c>
      <x:c r="R31" s="36" t="n">
        <x:v>121.53791</x:v>
      </x:c>
      <x:c r="S31" s="12" t="str">
        <x:v>是</x:v>
      </x:c>
      <x:c r="T31" s="12" t="str"/>
      <x:c r="U31" s="12" t="str"/>
      <x:c r="V31" s="12" t="str"/>
    </x:row>
    <x:row r="32">
      <x:c r="A32" s="12" t="str">
        <x:v>2026-09-01</x:v>
      </x:c>
      <x:c r="B32" s="12" t="str">
        <x:v>13:00</x:v>
      </x:c>
      <x:c r="C32" s="12" t="str">
        <x:v>10–13</x:v>
      </x:c>
      <x:c r="D32" s="12" t="str">
        <x:v>500119076</x:v>
      </x:c>
      <x:c r="E32" s="12" t="str">
        <x:v>臺大博理館西側</x:v>
      </x:c>
      <x:c r="F32" s="12" t="str">
        <x:v>500119097</x:v>
      </x:c>
      <x:c r="G32" s="12" t="str">
        <x:v>臺大人文館</x:v>
      </x:c>
      <x:c r="H32" s="12" t="str">
        <x:v>實線</x:v>
      </x:c>
      <x:c r="I32" s="13" t="n">
        <x:v>1</x:v>
      </x:c>
      <x:c r="J32" s="12" t="str">
        <x:v>ZZB-0004</x:v>
      </x:c>
      <x:c r="K32" s="13" t="n">
        <x:v>7</x:v>
      </x:c>
      <x:c r="L32" s="13" t="n">
        <x:v>7</x:v>
      </x:c>
      <x:c r="M32" s="13" t="n">
        <x:v>0</x:v>
      </x:c>
      <x:c r="N32" s="13" t="n">
        <x:v>1</x:v>
      </x:c>
      <x:c r="O32" s="36" t="n">
        <x:v>25.01922</x:v>
      </x:c>
      <x:c r="P32" s="36" t="n">
        <x:v>121.54195</x:v>
      </x:c>
      <x:c r="Q32" s="36" t="n">
        <x:v>25.0182</x:v>
      </x:c>
      <x:c r="R32" s="36" t="n">
        <x:v>121.53476</x:v>
      </x:c>
      <x:c r="S32" s="12" t="str">
        <x:v>是</x:v>
      </x:c>
      <x:c r="T32" s="12" t="str"/>
      <x:c r="U32" s="12" t="str"/>
      <x:c r="V32" s="12" t="str"/>
    </x:row>
    <x:row r="33">
      <x:c r="A33" s="12" t="str">
        <x:v>2026-09-01</x:v>
      </x:c>
      <x:c r="B33" s="12" t="str">
        <x:v>13:00</x:v>
      </x:c>
      <x:c r="C33" s="12" t="str">
        <x:v>10–13</x:v>
      </x:c>
      <x:c r="D33" s="12" t="str">
        <x:v>500119083</x:v>
      </x:c>
      <x:c r="E33" s="12" t="str">
        <x:v>臺大新生教室南側</x:v>
      </x:c>
      <x:c r="F33" s="12" t="str">
        <x:v>500119061</x:v>
      </x:c>
      <x:c r="G33" s="12" t="str">
        <x:v>臺大鹿鳴堂東側</x:v>
      </x:c>
      <x:c r="H33" s="12" t="str">
        <x:v>實線</x:v>
      </x:c>
      <x:c r="I33" s="13" t="n">
        <x:v>1</x:v>
      </x:c>
      <x:c r="J33" s="12" t="str">
        <x:v>ZZB-0003</x:v>
      </x:c>
      <x:c r="K33" s="13" t="n">
        <x:v>7</x:v>
      </x:c>
      <x:c r="L33" s="13" t="n">
        <x:v>7</x:v>
      </x:c>
      <x:c r="M33" s="13" t="n">
        <x:v>0</x:v>
      </x:c>
      <x:c r="N33" s="13" t="n">
        <x:v>1</x:v>
      </x:c>
      <x:c r="O33" s="36" t="n">
        <x:v>25.0196</x:v>
      </x:c>
      <x:c r="P33" s="36" t="n">
        <x:v>121.53846</x:v>
      </x:c>
      <x:c r="Q33" s="36" t="n">
        <x:v>25.01511</x:v>
      </x:c>
      <x:c r="R33" s="36" t="n">
        <x:v>121.53786</x:v>
      </x:c>
      <x:c r="S33" s="12" t="str">
        <x:v>是</x:v>
      </x:c>
      <x:c r="T33" s="12" t="str"/>
      <x:c r="U33" s="12" t="str"/>
      <x:c r="V33" s="12" t="str"/>
    </x:row>
    <x:row r="34">
      <x:c r="A34" s="12" t="str">
        <x:v>2026-09-01</x:v>
      </x:c>
      <x:c r="B34" s="12" t="str">
        <x:v>13:00</x:v>
      </x:c>
      <x:c r="C34" s="12" t="str">
        <x:v>10–13</x:v>
      </x:c>
      <x:c r="D34" s="12" t="str">
        <x:v>500119085</x:v>
      </x:c>
      <x:c r="E34" s="12" t="str">
        <x:v>臺大電機二館東南側</x:v>
      </x:c>
      <x:c r="F34" s="12" t="str">
        <x:v>500119064</x:v>
      </x:c>
      <x:c r="G34" s="12" t="str">
        <x:v>臺大明達館機車停車場</x:v>
      </x:c>
      <x:c r="H34" s="12" t="str">
        <x:v>實線</x:v>
      </x:c>
      <x:c r="I34" s="13" t="n">
        <x:v>1</x:v>
      </x:c>
      <x:c r="J34" s="12" t="str">
        <x:v>ZZB-0002</x:v>
      </x:c>
      <x:c r="K34" s="13" t="n">
        <x:v>7</x:v>
      </x:c>
      <x:c r="L34" s="13" t="n">
        <x:v>5</x:v>
      </x:c>
      <x:c r="M34" s="13" t="n">
        <x:v>2</x:v>
      </x:c>
      <x:c r="N34" s="13" t="n">
        <x:v>2</x:v>
      </x:c>
      <x:c r="O34" s="36" t="n">
        <x:v>25.01857</x:v>
      </x:c>
      <x:c r="P34" s="36" t="n">
        <x:v>121.54247</x:v>
      </x:c>
      <x:c r="Q34" s="36" t="n">
        <x:v>25.01754</x:v>
      </x:c>
      <x:c r="R34" s="36" t="n">
        <x:v>121.54398</x:v>
      </x:c>
      <x:c r="S34" s="12" t="str">
        <x:v>是</x:v>
      </x:c>
      <x:c r="T34" s="12" t="str"/>
      <x:c r="U34" s="12" t="str"/>
      <x:c r="V34" s="12" t="str"/>
    </x:row>
    <x:row r="35">
      <x:c r="A35" s="12" t="str">
        <x:v>2026-09-01</x:v>
      </x:c>
      <x:c r="B35" s="12" t="str">
        <x:v>13:00</x:v>
      </x:c>
      <x:c r="C35" s="12" t="str">
        <x:v>10–13</x:v>
      </x:c>
      <x:c r="D35" s="12" t="str">
        <x:v>500119085</x:v>
      </x:c>
      <x:c r="E35" s="12" t="str">
        <x:v>臺大電機二館東南側</x:v>
      </x:c>
      <x:c r="F35" s="12" t="str">
        <x:v>500119091</x:v>
      </x:c>
      <x:c r="G35" s="12" t="str">
        <x:v>臺大明達館北側(員工宿舍)</x:v>
      </x:c>
      <x:c r="H35" s="12" t="str">
        <x:v>實線</x:v>
      </x:c>
      <x:c r="I35" s="13" t="n">
        <x:v>1</x:v>
      </x:c>
      <x:c r="J35" s="12" t="str">
        <x:v>ZZB-0002</x:v>
      </x:c>
      <x:c r="K35" s="13" t="n">
        <x:v>7</x:v>
      </x:c>
      <x:c r="L35" s="13" t="n">
        <x:v>7</x:v>
      </x:c>
      <x:c r="M35" s="13" t="n">
        <x:v>0</x:v>
      </x:c>
      <x:c r="N35" s="13" t="n">
        <x:v>1</x:v>
      </x:c>
      <x:c r="O35" s="36" t="n">
        <x:v>25.01857</x:v>
      </x:c>
      <x:c r="P35" s="36" t="n">
        <x:v>121.54247</x:v>
      </x:c>
      <x:c r="Q35" s="36" t="n">
        <x:v>25.01816</x:v>
      </x:c>
      <x:c r="R35" s="36" t="n">
        <x:v>121.54469</x:v>
      </x:c>
      <x:c r="S35" s="12" t="str">
        <x:v>是</x:v>
      </x:c>
      <x:c r="T35" s="12" t="str"/>
      <x:c r="U35" s="12" t="str"/>
      <x:c r="V35" s="12" t="str"/>
    </x:row>
    <x:row r="36">
      <x:c r="A36" s="12" t="str">
        <x:v>2026-09-01</x:v>
      </x:c>
      <x:c r="B36" s="12" t="str">
        <x:v>13:00</x:v>
      </x:c>
      <x:c r="C36" s="12" t="str">
        <x:v>10–13</x:v>
      </x:c>
      <x:c r="D36" s="12" t="str">
        <x:v>500119086</x:v>
      </x:c>
      <x:c r="E36" s="12" t="str">
        <x:v>臺大圖資系館北側</x:v>
      </x:c>
      <x:c r="F36" s="12" t="str">
        <x:v>500119064</x:v>
      </x:c>
      <x:c r="G36" s="12" t="str">
        <x:v>臺大明達館機車停車場</x:v>
      </x:c>
      <x:c r="H36" s="12" t="str">
        <x:v>實線</x:v>
      </x:c>
      <x:c r="I36" s="13" t="n">
        <x:v>1</x:v>
      </x:c>
      <x:c r="J36" s="12" t="str">
        <x:v>ZZB-0003</x:v>
      </x:c>
      <x:c r="K36" s="13" t="n">
        <x:v>7</x:v>
      </x:c>
      <x:c r="L36" s="13" t="n">
        <x:v>5</x:v>
      </x:c>
      <x:c r="M36" s="13" t="n">
        <x:v>2</x:v>
      </x:c>
      <x:c r="N36" s="13" t="n">
        <x:v>2</x:v>
      </x:c>
      <x:c r="O36" s="36" t="n">
        <x:v>25.01804</x:v>
      </x:c>
      <x:c r="P36" s="36" t="n">
        <x:v>121.53928</x:v>
      </x:c>
      <x:c r="Q36" s="36" t="n">
        <x:v>25.01754</x:v>
      </x:c>
      <x:c r="R36" s="36" t="n">
        <x:v>121.54398</x:v>
      </x:c>
      <x:c r="S36" s="12" t="str">
        <x:v>是</x:v>
      </x:c>
      <x:c r="T36" s="12" t="str"/>
      <x:c r="U36" s="12" t="str"/>
      <x:c r="V36" s="12" t="str"/>
    </x:row>
    <x:row r="37">
      <x:c r="A37" s="12" t="str">
        <x:v>2026-09-01</x:v>
      </x:c>
      <x:c r="B37" s="12" t="str">
        <x:v>13:00</x:v>
      </x:c>
      <x:c r="C37" s="12" t="str">
        <x:v>10–13</x:v>
      </x:c>
      <x:c r="D37" s="12" t="str">
        <x:v>500119087</x:v>
      </x:c>
      <x:c r="E37" s="12" t="str">
        <x:v>臺大總圖書館西南側</x:v>
      </x:c>
      <x:c r="F37" s="12" t="str">
        <x:v>500119060</x:v>
      </x:c>
      <x:c r="G37" s="12" t="str">
        <x:v>臺大共同教室東南側</x:v>
      </x:c>
      <x:c r="H37" s="12" t="str">
        <x:v>實線</x:v>
      </x:c>
      <x:c r="I37" s="13" t="n">
        <x:v>1</x:v>
      </x:c>
      <x:c r="J37" s="12" t="str">
        <x:v>ZZB-0003</x:v>
      </x:c>
      <x:c r="K37" s="13" t="n">
        <x:v>7</x:v>
      </x:c>
      <x:c r="L37" s="13" t="n">
        <x:v>7</x:v>
      </x:c>
      <x:c r="M37" s="13" t="n">
        <x:v>0</x:v>
      </x:c>
      <x:c r="N37" s="13" t="n">
        <x:v>1</x:v>
      </x:c>
      <x:c r="O37" s="36" t="n">
        <x:v>25.0169</x:v>
      </x:c>
      <x:c r="P37" s="36" t="n">
        <x:v>121.54031</x:v>
      </x:c>
      <x:c r="Q37" s="36" t="n">
        <x:v>25.01566</x:v>
      </x:c>
      <x:c r="R37" s="36" t="n">
        <x:v>121.53786</x:v>
      </x:c>
      <x:c r="S37" s="12" t="str">
        <x:v>是</x:v>
      </x:c>
      <x:c r="T37" s="12" t="str"/>
      <x:c r="U37" s="12" t="str"/>
      <x:c r="V37" s="12" t="str"/>
    </x:row>
    <x:row r="38">
      <x:c r="A38" s="12" t="str">
        <x:v>2026-09-01</x:v>
      </x:c>
      <x:c r="B38" s="12" t="str">
        <x:v>14:00</x:v>
      </x:c>
      <x:c r="C38" s="12" t="str">
        <x:v>14–17</x:v>
      </x:c>
      <x:c r="D38" s="12" t="str">
        <x:v>500119074</x:v>
      </x:c>
      <x:c r="E38" s="12" t="str">
        <x:v>臺大生命科學館西北側</x:v>
      </x:c>
      <x:c r="F38" s="12" t="str">
        <x:v>500119091</x:v>
      </x:c>
      <x:c r="G38" s="12" t="str">
        <x:v>臺大明達館北側(員工宿舍)</x:v>
      </x:c>
      <x:c r="H38" s="12" t="str">
        <x:v>實線</x:v>
      </x:c>
      <x:c r="I38" s="13" t="n">
        <x:v>1</x:v>
      </x:c>
      <x:c r="J38" s="12" t="str">
        <x:v>ZZB-0003</x:v>
      </x:c>
      <x:c r="K38" s="13" t="n">
        <x:v>5</x:v>
      </x:c>
      <x:c r="L38" s="13" t="n">
        <x:v>4</x:v>
      </x:c>
      <x:c r="M38" s="13" t="n">
        <x:v>1</x:v>
      </x:c>
      <x:c r="N38" s="13" t="n">
        <x:v>2</x:v>
      </x:c>
      <x:c r="O38" s="36" t="n">
        <x:v>25.01548</x:v>
      </x:c>
      <x:c r="P38" s="36" t="n">
        <x:v>121.53825</x:v>
      </x:c>
      <x:c r="Q38" s="36" t="n">
        <x:v>25.01816</x:v>
      </x:c>
      <x:c r="R38" s="36" t="n">
        <x:v>121.54469</x:v>
      </x:c>
      <x:c r="S38" s="12" t="str">
        <x:v>是</x:v>
      </x:c>
      <x:c r="T38" s="12" t="str"/>
      <x:c r="U38" s="12" t="str"/>
      <x:c r="V38" s="12" t="str"/>
    </x:row>
    <x:row r="39">
      <x:c r="A39" s="12" t="str">
        <x:v>2026-09-02</x:v>
      </x:c>
      <x:c r="B39" s="12" t="str">
        <x:v>08:00</x:v>
      </x:c>
      <x:c r="C39" s="12" t="str">
        <x:v>06–09</x:v>
      </x:c>
      <x:c r="D39" s="12" t="str">
        <x:v>500119050</x:v>
      </x:c>
      <x:c r="E39" s="12" t="str">
        <x:v>臺大小福樓東側</x:v>
      </x:c>
      <x:c r="F39" s="12" t="str">
        <x:v>500119045</x:v>
      </x:c>
      <x:c r="G39" s="12" t="str">
        <x:v>臺大農業陳列館北側</x:v>
      </x:c>
      <x:c r="H39" s="12" t="str">
        <x:v>實線</x:v>
      </x:c>
      <x:c r="I39" s="13" t="n">
        <x:v>1</x:v>
      </x:c>
      <x:c r="J39" s="12" t="str">
        <x:v>ZZB-0002</x:v>
      </x:c>
      <x:c r="K39" s="13" t="n">
        <x:v>14</x:v>
      </x:c>
      <x:c r="L39" s="13" t="n">
        <x:v>14</x:v>
      </x:c>
      <x:c r="M39" s="13" t="n">
        <x:v>0</x:v>
      </x:c>
      <x:c r="N39" s="13" t="n">
        <x:v>2</x:v>
      </x:c>
      <x:c r="O39" s="36" t="n">
        <x:v>25.01846</x:v>
      </x:c>
      <x:c r="P39" s="36" t="n">
        <x:v>121.5376</x:v>
      </x:c>
      <x:c r="Q39" s="36" t="n">
        <x:v>25.01839</x:v>
      </x:c>
      <x:c r="R39" s="36" t="n">
        <x:v>121.53404</x:v>
      </x:c>
      <x:c r="S39" s="12" t="str">
        <x:v>是</x:v>
      </x:c>
      <x:c r="T39" s="12" t="str"/>
      <x:c r="U39" s="12" t="str"/>
      <x:c r="V39" s="12" t="str"/>
    </x:row>
    <x:row r="40">
      <x:c r="A40" s="12" t="str">
        <x:v>2026-09-02</x:v>
      </x:c>
      <x:c r="B40" s="12" t="str">
        <x:v>08:00</x:v>
      </x:c>
      <x:c r="C40" s="12" t="str">
        <x:v>06–09</x:v>
      </x:c>
      <x:c r="D40" s="12" t="str">
        <x:v>500119072</x:v>
      </x:c>
      <x:c r="E40" s="12" t="str">
        <x:v>臺大原分所北側</x:v>
      </x:c>
      <x:c r="F40" s="12" t="str">
        <x:v>500119059</x:v>
      </x:c>
      <x:c r="G40" s="12" t="str">
        <x:v>臺大共同教室北側</x:v>
      </x:c>
      <x:c r="H40" s="12" t="str">
        <x:v>實線</x:v>
      </x:c>
      <x:c r="I40" s="13" t="n">
        <x:v>1</x:v>
      </x:c>
      <x:c r="J40" s="12" t="str">
        <x:v>ZZB-0003</x:v>
      </x:c>
      <x:c r="K40" s="13" t="n">
        <x:v>7</x:v>
      </x:c>
      <x:c r="L40" s="13" t="n">
        <x:v>6</x:v>
      </x:c>
      <x:c r="M40" s="13" t="n">
        <x:v>1</x:v>
      </x:c>
      <x:c r="N40" s="13" t="n">
        <x:v>2</x:v>
      </x:c>
      <x:c r="O40" s="36" t="n">
        <x:v>25.01881</x:v>
      </x:c>
      <x:c r="P40" s="36" t="n">
        <x:v>121.53868</x:v>
      </x:c>
      <x:c r="Q40" s="36" t="n">
        <x:v>25.01595</x:v>
      </x:c>
      <x:c r="R40" s="36" t="n">
        <x:v>121.53791</x:v>
      </x:c>
      <x:c r="S40" s="12" t="str">
        <x:v>是</x:v>
      </x:c>
      <x:c r="T40" s="12" t="str"/>
      <x:c r="U40" s="12" t="str"/>
      <x:c r="V40" s="12" t="str"/>
    </x:row>
    <x:row r="41">
      <x:c r="A41" s="12" t="str">
        <x:v>2026-09-02</x:v>
      </x:c>
      <x:c r="B41" s="12" t="str">
        <x:v>08:00</x:v>
      </x:c>
      <x:c r="C41" s="12" t="str">
        <x:v>06–09</x:v>
      </x:c>
      <x:c r="D41" s="12" t="str">
        <x:v>500119087</x:v>
      </x:c>
      <x:c r="E41" s="12" t="str">
        <x:v>臺大總圖書館西南側</x:v>
      </x:c>
      <x:c r="F41" s="12" t="str">
        <x:v>500119059</x:v>
      </x:c>
      <x:c r="G41" s="12" t="str">
        <x:v>臺大共同教室北側</x:v>
      </x:c>
      <x:c r="H41" s="12" t="str">
        <x:v>實線</x:v>
      </x:c>
      <x:c r="I41" s="13" t="n">
        <x:v>1</x:v>
      </x:c>
      <x:c r="J41" s="12" t="str">
        <x:v>ZZB-0003</x:v>
      </x:c>
      <x:c r="K41" s="13" t="n">
        <x:v>7</x:v>
      </x:c>
      <x:c r="L41" s="13" t="n">
        <x:v>7</x:v>
      </x:c>
      <x:c r="M41" s="13" t="n">
        <x:v>0</x:v>
      </x:c>
      <x:c r="N41" s="13" t="n">
        <x:v>1</x:v>
      </x:c>
      <x:c r="O41" s="36" t="n">
        <x:v>25.0169</x:v>
      </x:c>
      <x:c r="P41" s="36" t="n">
        <x:v>121.54031</x:v>
      </x:c>
      <x:c r="Q41" s="36" t="n">
        <x:v>25.01595</x:v>
      </x:c>
      <x:c r="R41" s="36" t="n">
        <x:v>121.53791</x:v>
      </x:c>
      <x:c r="S41" s="12" t="str">
        <x:v>是</x:v>
      </x:c>
      <x:c r="T41" s="12" t="str"/>
      <x:c r="U41" s="12" t="str"/>
      <x:c r="V41" s="12" t="str"/>
    </x:row>
    <x:row r="42">
      <x:c r="A42" s="12" t="str">
        <x:v>2026-09-02</x:v>
      </x:c>
      <x:c r="B42" s="12" t="str">
        <x:v>08:00</x:v>
      </x:c>
      <x:c r="C42" s="12" t="str">
        <x:v>06–09</x:v>
      </x:c>
      <x:c r="D42" s="12" t="str">
        <x:v>500119087</x:v>
      </x:c>
      <x:c r="E42" s="12" t="str">
        <x:v>臺大總圖書館西南側</x:v>
      </x:c>
      <x:c r="F42" s="12" t="str">
        <x:v>500119061</x:v>
      </x:c>
      <x:c r="G42" s="12" t="str">
        <x:v>臺大鹿鳴堂東側</x:v>
      </x:c>
      <x:c r="H42" s="12" t="str">
        <x:v>實線</x:v>
      </x:c>
      <x:c r="I42" s="13" t="n">
        <x:v>1</x:v>
      </x:c>
      <x:c r="J42" s="12" t="str">
        <x:v>ZZB-0003</x:v>
      </x:c>
      <x:c r="K42" s="13" t="n">
        <x:v>7</x:v>
      </x:c>
      <x:c r="L42" s="13" t="n">
        <x:v>7</x:v>
      </x:c>
      <x:c r="M42" s="13" t="n">
        <x:v>0</x:v>
      </x:c>
      <x:c r="N42" s="13" t="n">
        <x:v>1</x:v>
      </x:c>
      <x:c r="O42" s="36" t="n">
        <x:v>25.0169</x:v>
      </x:c>
      <x:c r="P42" s="36" t="n">
        <x:v>121.54031</x:v>
      </x:c>
      <x:c r="Q42" s="36" t="n">
        <x:v>25.01511</x:v>
      </x:c>
      <x:c r="R42" s="36" t="n">
        <x:v>121.53786</x:v>
      </x:c>
      <x:c r="S42" s="12" t="str">
        <x:v>是</x:v>
      </x:c>
      <x:c r="T42" s="12" t="str"/>
      <x:c r="U42" s="12" t="str"/>
      <x:c r="V42" s="12" t="str"/>
    </x:row>
    <x:row r="43">
      <x:c r="A43" s="12" t="str">
        <x:v>2026-09-02</x:v>
      </x:c>
      <x:c r="B43" s="12" t="str">
        <x:v>08:00</x:v>
      </x:c>
      <x:c r="C43" s="12" t="str">
        <x:v>06–09</x:v>
      </x:c>
      <x:c r="D43" s="12" t="str">
        <x:v>500119087</x:v>
      </x:c>
      <x:c r="E43" s="12" t="str">
        <x:v>臺大總圖書館西南側</x:v>
      </x:c>
      <x:c r="F43" s="12" t="str">
        <x:v>500119082</x:v>
      </x:c>
      <x:c r="G43" s="12" t="str">
        <x:v>臺大四號館東北側</x:v>
      </x:c>
      <x:c r="H43" s="12" t="str">
        <x:v>實線</x:v>
      </x:c>
      <x:c r="I43" s="13" t="n">
        <x:v>1</x:v>
      </x:c>
      <x:c r="J43" s="12" t="str">
        <x:v>ZZB-0004</x:v>
      </x:c>
      <x:c r="K43" s="13" t="n">
        <x:v>14</x:v>
      </x:c>
      <x:c r="L43" s="13" t="n">
        <x:v>13</x:v>
      </x:c>
      <x:c r="M43" s="13" t="n">
        <x:v>1</x:v>
      </x:c>
      <x:c r="N43" s="13" t="n">
        <x:v>3</x:v>
      </x:c>
      <x:c r="O43" s="36" t="n">
        <x:v>25.0169</x:v>
      </x:c>
      <x:c r="P43" s="36" t="n">
        <x:v>121.54031</x:v>
      </x:c>
      <x:c r="Q43" s="36" t="n">
        <x:v>25.01703</x:v>
      </x:c>
      <x:c r="R43" s="36" t="n">
        <x:v>121.53781</x:v>
      </x:c>
      <x:c r="S43" s="12" t="str">
        <x:v>是</x:v>
      </x:c>
      <x:c r="T43" s="12" t="str"/>
      <x:c r="U43" s="12" t="str"/>
      <x:c r="V43" s="12" t="str"/>
    </x:row>
    <x:row r="44">
      <x:c r="A44" s="12" t="str">
        <x:v>2026-09-02</x:v>
      </x:c>
      <x:c r="B44" s="12" t="str">
        <x:v>08:00</x:v>
      </x:c>
      <x:c r="C44" s="12" t="str">
        <x:v>06–09</x:v>
      </x:c>
      <x:c r="D44" s="12" t="str">
        <x:v>500119087</x:v>
      </x:c>
      <x:c r="E44" s="12" t="str">
        <x:v>臺大總圖書館西南側</x:v>
      </x:c>
      <x:c r="F44" s="12" t="str">
        <x:v>500119097</x:v>
      </x:c>
      <x:c r="G44" s="12" t="str">
        <x:v>臺大人文館</x:v>
      </x:c>
      <x:c r="H44" s="12" t="str">
        <x:v>實線</x:v>
      </x:c>
      <x:c r="I44" s="13" t="n">
        <x:v>1</x:v>
      </x:c>
      <x:c r="J44" s="12" t="str">
        <x:v>ZZB-0004</x:v>
      </x:c>
      <x:c r="K44" s="13" t="n">
        <x:v>7</x:v>
      </x:c>
      <x:c r="L44" s="13" t="n">
        <x:v>7</x:v>
      </x:c>
      <x:c r="M44" s="13" t="n">
        <x:v>0</x:v>
      </x:c>
      <x:c r="N44" s="13" t="n">
        <x:v>1</x:v>
      </x:c>
      <x:c r="O44" s="36" t="n">
        <x:v>25.0169</x:v>
      </x:c>
      <x:c r="P44" s="36" t="n">
        <x:v>121.54031</x:v>
      </x:c>
      <x:c r="Q44" s="36" t="n">
        <x:v>25.0182</x:v>
      </x:c>
      <x:c r="R44" s="36" t="n">
        <x:v>121.53476</x:v>
      </x:c>
      <x:c r="S44" s="12" t="str">
        <x:v>是</x:v>
      </x:c>
      <x:c r="T44" s="12" t="str"/>
      <x:c r="U44" s="12" t="str"/>
      <x:c r="V44" s="12" t="str"/>
    </x:row>
    <x:row r="45">
      <x:c r="A45" s="12" t="str">
        <x:v>2026-09-02</x:v>
      </x:c>
      <x:c r="B45" s="12" t="str">
        <x:v>09:00</x:v>
      </x:c>
      <x:c r="C45" s="12" t="str">
        <x:v>06–09</x:v>
      </x:c>
      <x:c r="D45" s="12" t="str">
        <x:v>500119083</x:v>
      </x:c>
      <x:c r="E45" s="12" t="str">
        <x:v>臺大新生教室南側</x:v>
      </x:c>
      <x:c r="F45" s="12" t="str">
        <x:v>500119059</x:v>
      </x:c>
      <x:c r="G45" s="12" t="str">
        <x:v>臺大共同教室北側</x:v>
      </x:c>
      <x:c r="H45" s="12" t="str">
        <x:v>實線</x:v>
      </x:c>
      <x:c r="I45" s="13" t="n">
        <x:v>1</x:v>
      </x:c>
      <x:c r="J45" s="12" t="str">
        <x:v>ZZB-0003</x:v>
      </x:c>
      <x:c r="K45" s="13" t="n">
        <x:v>1</x:v>
      </x:c>
      <x:c r="L45" s="13" t="n">
        <x:v>0</x:v>
      </x:c>
      <x:c r="M45" s="13" t="n">
        <x:v>1</x:v>
      </x:c>
      <x:c r="N45" s="13" t="n">
        <x:v>1</x:v>
      </x:c>
      <x:c r="O45" s="36" t="n">
        <x:v>25.0196</x:v>
      </x:c>
      <x:c r="P45" s="36" t="n">
        <x:v>121.53846</x:v>
      </x:c>
      <x:c r="Q45" s="36" t="n">
        <x:v>25.01595</x:v>
      </x:c>
      <x:c r="R45" s="36" t="n">
        <x:v>121.53791</x:v>
      </x:c>
      <x:c r="S45" s="12" t="str">
        <x:v>是</x:v>
      </x:c>
      <x:c r="T45" s="12" t="str"/>
      <x:c r="U45" s="12" t="str"/>
      <x:c r="V45" s="12" t="str"/>
    </x:row>
    <x:row r="46">
      <x:c r="A46" s="12" t="str">
        <x:v>2026-09-02</x:v>
      </x:c>
      <x:c r="B46" s="12" t="str">
        <x:v>09:00</x:v>
      </x:c>
      <x:c r="C46" s="12" t="str">
        <x:v>06–09</x:v>
      </x:c>
      <x:c r="D46" s="12" t="str">
        <x:v>500119083</x:v>
      </x:c>
      <x:c r="E46" s="12" t="str">
        <x:v>臺大新生教室南側</x:v>
      </x:c>
      <x:c r="F46" s="12" t="str">
        <x:v>500119061</x:v>
      </x:c>
      <x:c r="G46" s="12" t="str">
        <x:v>臺大鹿鳴堂東側</x:v>
      </x:c>
      <x:c r="H46" s="12" t="str">
        <x:v>實線</x:v>
      </x:c>
      <x:c r="I46" s="13" t="n">
        <x:v>1</x:v>
      </x:c>
      <x:c r="J46" s="12" t="str">
        <x:v>ZZB-0003</x:v>
      </x:c>
      <x:c r="K46" s="13" t="n">
        <x:v>6</x:v>
      </x:c>
      <x:c r="L46" s="13" t="n">
        <x:v>6</x:v>
      </x:c>
      <x:c r="M46" s="13" t="n">
        <x:v>0</x:v>
      </x:c>
      <x:c r="N46" s="13" t="n">
        <x:v>1</x:v>
      </x:c>
      <x:c r="O46" s="36" t="n">
        <x:v>25.0196</x:v>
      </x:c>
      <x:c r="P46" s="36" t="n">
        <x:v>121.53846</x:v>
      </x:c>
      <x:c r="Q46" s="36" t="n">
        <x:v>25.01511</x:v>
      </x:c>
      <x:c r="R46" s="36" t="n">
        <x:v>121.53786</x:v>
      </x:c>
      <x:c r="S46" s="12" t="str">
        <x:v>是</x:v>
      </x:c>
      <x:c r="T46" s="12" t="str"/>
      <x:c r="U46" s="12" t="str"/>
      <x:c r="V46" s="12" t="str"/>
    </x:row>
    <x:row r="47">
      <x:c r="A47" s="12" t="str">
        <x:v>2026-09-02</x:v>
      </x:c>
      <x:c r="B47" s="12" t="str">
        <x:v>09:00</x:v>
      </x:c>
      <x:c r="C47" s="12" t="str">
        <x:v>06–09</x:v>
      </x:c>
      <x:c r="D47" s="12" t="str">
        <x:v>500119086</x:v>
      </x:c>
      <x:c r="E47" s="12" t="str">
        <x:v>臺大圖資系館北側</x:v>
      </x:c>
      <x:c r="F47" s="12" t="str">
        <x:v>500119059</x:v>
      </x:c>
      <x:c r="G47" s="12" t="str">
        <x:v>臺大共同教室北側</x:v>
      </x:c>
      <x:c r="H47" s="12" t="str">
        <x:v>實線</x:v>
      </x:c>
      <x:c r="I47" s="13" t="n">
        <x:v>1</x:v>
      </x:c>
      <x:c r="J47" s="12" t="str">
        <x:v>ZZB-0003</x:v>
      </x:c>
      <x:c r="K47" s="13" t="n">
        <x:v>1</x:v>
      </x:c>
      <x:c r="L47" s="13" t="n">
        <x:v>1</x:v>
      </x:c>
      <x:c r="M47" s="13" t="n">
        <x:v>0</x:v>
      </x:c>
      <x:c r="N47" s="13" t="n">
        <x:v>1</x:v>
      </x:c>
      <x:c r="O47" s="36" t="n">
        <x:v>25.01804</x:v>
      </x:c>
      <x:c r="P47" s="36" t="n">
        <x:v>121.53928</x:v>
      </x:c>
      <x:c r="Q47" s="36" t="n">
        <x:v>25.01595</x:v>
      </x:c>
      <x:c r="R47" s="36" t="n">
        <x:v>121.53791</x:v>
      </x:c>
      <x:c r="S47" s="12" t="str">
        <x:v>是</x:v>
      </x:c>
      <x:c r="T47" s="12" t="str"/>
      <x:c r="U47" s="12" t="str"/>
      <x:c r="V47" s="12" t="str"/>
    </x:row>
    <x:row r="48">
      <x:c r="A48" s="12" t="str">
        <x:v>2026-09-02</x:v>
      </x:c>
      <x:c r="B48" s="12" t="str">
        <x:v>09:00</x:v>
      </x:c>
      <x:c r="C48" s="12" t="str">
        <x:v>06–09</x:v>
      </x:c>
      <x:c r="D48" s="12" t="str">
        <x:v>500119086</x:v>
      </x:c>
      <x:c r="E48" s="12" t="str">
        <x:v>臺大圖資系館北側</x:v>
      </x:c>
      <x:c r="F48" s="12" t="str">
        <x:v>500119074</x:v>
      </x:c>
      <x:c r="G48" s="12" t="str">
        <x:v>臺大生命科學館西北側</x:v>
      </x:c>
      <x:c r="H48" s="12" t="str">
        <x:v>實線</x:v>
      </x:c>
      <x:c r="I48" s="13" t="n">
        <x:v>1</x:v>
      </x:c>
      <x:c r="J48" s="12" t="str">
        <x:v>ZZB-0003</x:v>
      </x:c>
      <x:c r="K48" s="13" t="n">
        <x:v>6</x:v>
      </x:c>
      <x:c r="L48" s="13" t="n">
        <x:v>6</x:v>
      </x:c>
      <x:c r="M48" s="13" t="n">
        <x:v>0</x:v>
      </x:c>
      <x:c r="N48" s="13" t="n">
        <x:v>1</x:v>
      </x:c>
      <x:c r="O48" s="36" t="n">
        <x:v>25.01804</x:v>
      </x:c>
      <x:c r="P48" s="36" t="n">
        <x:v>121.53928</x:v>
      </x:c>
      <x:c r="Q48" s="36" t="n">
        <x:v>25.01548</x:v>
      </x:c>
      <x:c r="R48" s="36" t="n">
        <x:v>121.53825</x:v>
      </x:c>
      <x:c r="S48" s="12" t="str">
        <x:v>是</x:v>
      </x:c>
      <x:c r="T48" s="12" t="str"/>
      <x:c r="U48" s="12" t="str"/>
      <x:c r="V48" s="12" t="str"/>
    </x:row>
    <x:row r="49">
      <x:c r="A49" s="12" t="str">
        <x:v>2026-09-02</x:v>
      </x:c>
      <x:c r="B49" s="12" t="str">
        <x:v>09:00</x:v>
      </x:c>
      <x:c r="C49" s="12" t="str">
        <x:v>06–09</x:v>
      </x:c>
      <x:c r="D49" s="12" t="str">
        <x:v>500119087</x:v>
      </x:c>
      <x:c r="E49" s="12" t="str">
        <x:v>臺大總圖書館西南側</x:v>
      </x:c>
      <x:c r="F49" s="12" t="str">
        <x:v>500101032</x:v>
      </x:c>
      <x:c r="G49" s="12" t="str">
        <x:v>臺大男一舍前</x:v>
      </x:c>
      <x:c r="H49" s="12" t="str">
        <x:v>虛線</x:v>
      </x:c>
      <x:c r="I49" s="13" t="n">
        <x:v>1</x:v>
      </x:c>
      <x:c r="J49" s="12" t="str">
        <x:v>ZZB-0004</x:v>
      </x:c>
      <x:c r="K49" s="13" t="n">
        <x:v>7</x:v>
      </x:c>
      <x:c r="L49" s="13" t="n">
        <x:v>6</x:v>
      </x:c>
      <x:c r="M49" s="13" t="n">
        <x:v>1</x:v>
      </x:c>
      <x:c r="N49" s="13" t="n">
        <x:v>2</x:v>
      </x:c>
      <x:c r="O49" s="36" t="n">
        <x:v>25.0169</x:v>
      </x:c>
      <x:c r="P49" s="36" t="n">
        <x:v>121.54031</x:v>
      </x:c>
      <x:c r="Q49" s="36" t="n">
        <x:v>25.01637</x:v>
      </x:c>
      <x:c r="R49" s="36" t="n">
        <x:v>121.54535</x:v>
      </x:c>
      <x:c r="S49" s="12" t="str">
        <x:v>否</x:v>
      </x:c>
      <x:c r="T49" s="12" t="str">
        <x:v>任一端站碼非500119*</x:v>
      </x:c>
      <x:c r="U49" s="12" t="str"/>
      <x:c r="V49" s="12" t="str"/>
    </x:row>
    <x:row r="50">
      <x:c r="A50" s="12" t="str">
        <x:v>2026-09-02</x:v>
      </x:c>
      <x:c r="B50" s="12" t="str">
        <x:v>09:00</x:v>
      </x:c>
      <x:c r="C50" s="12" t="str">
        <x:v>06–09</x:v>
      </x:c>
      <x:c r="D50" s="12" t="str">
        <x:v>500119087</x:v>
      </x:c>
      <x:c r="E50" s="12" t="str">
        <x:v>臺大總圖書館西南側</x:v>
      </x:c>
      <x:c r="F50" s="12" t="str">
        <x:v>500119059</x:v>
      </x:c>
      <x:c r="G50" s="12" t="str">
        <x:v>臺大共同教室北側</x:v>
      </x:c>
      <x:c r="H50" s="12" t="str">
        <x:v>實線</x:v>
      </x:c>
      <x:c r="I50" s="13" t="n">
        <x:v>1</x:v>
      </x:c>
      <x:c r="J50" s="12" t="str">
        <x:v>ZZB-0003</x:v>
      </x:c>
      <x:c r="K50" s="13" t="n">
        <x:v>5</x:v>
      </x:c>
      <x:c r="L50" s="13" t="n">
        <x:v>5</x:v>
      </x:c>
      <x:c r="M50" s="13" t="n">
        <x:v>0</x:v>
      </x:c>
      <x:c r="N50" s="13" t="n">
        <x:v>1</x:v>
      </x:c>
      <x:c r="O50" s="36" t="n">
        <x:v>25.0169</x:v>
      </x:c>
      <x:c r="P50" s="36" t="n">
        <x:v>121.54031</x:v>
      </x:c>
      <x:c r="Q50" s="36" t="n">
        <x:v>25.01595</x:v>
      </x:c>
      <x:c r="R50" s="36" t="n">
        <x:v>121.53791</x:v>
      </x:c>
      <x:c r="S50" s="12" t="str">
        <x:v>是</x:v>
      </x:c>
      <x:c r="T50" s="12" t="str"/>
      <x:c r="U50" s="12" t="str"/>
      <x:c r="V50" s="12" t="str"/>
    </x:row>
    <x:row r="51">
      <x:c r="A51" s="12" t="str">
        <x:v>2026-09-02</x:v>
      </x:c>
      <x:c r="B51" s="12" t="str">
        <x:v>09:00</x:v>
      </x:c>
      <x:c r="C51" s="12" t="str">
        <x:v>06–09</x:v>
      </x:c>
      <x:c r="D51" s="12" t="str">
        <x:v>500119087</x:v>
      </x:c>
      <x:c r="E51" s="12" t="str">
        <x:v>臺大總圖書館西南側</x:v>
      </x:c>
      <x:c r="F51" s="12" t="str">
        <x:v>500119061</x:v>
      </x:c>
      <x:c r="G51" s="12" t="str">
        <x:v>臺大鹿鳴堂東側</x:v>
      </x:c>
      <x:c r="H51" s="12" t="str">
        <x:v>實線</x:v>
      </x:c>
      <x:c r="I51" s="13" t="n">
        <x:v>1</x:v>
      </x:c>
      <x:c r="J51" s="12" t="str">
        <x:v>ZZB-0003</x:v>
      </x:c>
      <x:c r="K51" s="13" t="n">
        <x:v>8</x:v>
      </x:c>
      <x:c r="L51" s="13" t="n">
        <x:v>8</x:v>
      </x:c>
      <x:c r="M51" s="13" t="n">
        <x:v>0</x:v>
      </x:c>
      <x:c r="N51" s="13" t="n">
        <x:v>2</x:v>
      </x:c>
      <x:c r="O51" s="36" t="n">
        <x:v>25.0169</x:v>
      </x:c>
      <x:c r="P51" s="36" t="n">
        <x:v>121.54031</x:v>
      </x:c>
      <x:c r="Q51" s="36" t="n">
        <x:v>25.01511</x:v>
      </x:c>
      <x:c r="R51" s="36" t="n">
        <x:v>121.53786</x:v>
      </x:c>
      <x:c r="S51" s="12" t="str">
        <x:v>是</x:v>
      </x:c>
      <x:c r="T51" s="12" t="str"/>
      <x:c r="U51" s="12" t="str"/>
      <x:c r="V51" s="12" t="str"/>
    </x:row>
    <x:row r="52">
      <x:c r="A52" s="12" t="str">
        <x:v>2026-09-02</x:v>
      </x:c>
      <x:c r="B52" s="12" t="str">
        <x:v>09:00</x:v>
      </x:c>
      <x:c r="C52" s="12" t="str">
        <x:v>06–09</x:v>
      </x:c>
      <x:c r="D52" s="12" t="str">
        <x:v>500119087</x:v>
      </x:c>
      <x:c r="E52" s="12" t="str">
        <x:v>臺大總圖書館西南側</x:v>
      </x:c>
      <x:c r="F52" s="12" t="str">
        <x:v>500119074</x:v>
      </x:c>
      <x:c r="G52" s="12" t="str">
        <x:v>臺大生命科學館西北側</x:v>
      </x:c>
      <x:c r="H52" s="12" t="str">
        <x:v>實線</x:v>
      </x:c>
      <x:c r="I52" s="13" t="n">
        <x:v>1</x:v>
      </x:c>
      <x:c r="J52" s="12" t="str">
        <x:v>ZZB-0003</x:v>
      </x:c>
      <x:c r="K52" s="13" t="n">
        <x:v>1</x:v>
      </x:c>
      <x:c r="L52" s="13" t="n">
        <x:v>0</x:v>
      </x:c>
      <x:c r="M52" s="13" t="n">
        <x:v>1</x:v>
      </x:c>
      <x:c r="N52" s="13" t="n">
        <x:v>1</x:v>
      </x:c>
      <x:c r="O52" s="36" t="n">
        <x:v>25.0169</x:v>
      </x:c>
      <x:c r="P52" s="36" t="n">
        <x:v>121.54031</x:v>
      </x:c>
      <x:c r="Q52" s="36" t="n">
        <x:v>25.01548</x:v>
      </x:c>
      <x:c r="R52" s="36" t="n">
        <x:v>121.53825</x:v>
      </x:c>
      <x:c r="S52" s="12" t="str">
        <x:v>是</x:v>
      </x:c>
      <x:c r="T52" s="12" t="str"/>
      <x:c r="U52" s="12" t="str"/>
      <x:c r="V52" s="12" t="str"/>
    </x:row>
    <x:row r="53">
      <x:c r="A53" s="12" t="str">
        <x:v>2026-09-02</x:v>
      </x:c>
      <x:c r="B53" s="12" t="str">
        <x:v>09:00</x:v>
      </x:c>
      <x:c r="C53" s="12" t="str">
        <x:v>06–09</x:v>
      </x:c>
      <x:c r="D53" s="12" t="str">
        <x:v>500119087</x:v>
      </x:c>
      <x:c r="E53" s="12" t="str">
        <x:v>臺大總圖書館西南側</x:v>
      </x:c>
      <x:c r="F53" s="12" t="str">
        <x:v>500119097</x:v>
      </x:c>
      <x:c r="G53" s="12" t="str">
        <x:v>臺大人文館</x:v>
      </x:c>
      <x:c r="H53" s="12" t="str">
        <x:v>實線</x:v>
      </x:c>
      <x:c r="I53" s="13" t="n">
        <x:v>1</x:v>
      </x:c>
      <x:c r="J53" s="12" t="str">
        <x:v>ZZB-0004</x:v>
      </x:c>
      <x:c r="K53" s="13" t="n">
        <x:v>7</x:v>
      </x:c>
      <x:c r="L53" s="13" t="n">
        <x:v>7</x:v>
      </x:c>
      <x:c r="M53" s="13" t="n">
        <x:v>0</x:v>
      </x:c>
      <x:c r="N53" s="13" t="n">
        <x:v>1</x:v>
      </x:c>
      <x:c r="O53" s="36" t="n">
        <x:v>25.0169</x:v>
      </x:c>
      <x:c r="P53" s="36" t="n">
        <x:v>121.54031</x:v>
      </x:c>
      <x:c r="Q53" s="36" t="n">
        <x:v>25.0182</x:v>
      </x:c>
      <x:c r="R53" s="36" t="n">
        <x:v>121.53476</x:v>
      </x:c>
      <x:c r="S53" s="12" t="str">
        <x:v>是</x:v>
      </x:c>
      <x:c r="T53" s="12" t="str"/>
      <x:c r="U53" s="12" t="str"/>
      <x:c r="V53" s="12" t="str"/>
    </x:row>
    <x:row r="54">
      <x:c r="A54" s="12" t="str">
        <x:v>2026-09-02</x:v>
      </x:c>
      <x:c r="B54" s="12" t="str">
        <x:v>09:00</x:v>
      </x:c>
      <x:c r="C54" s="12" t="str">
        <x:v>06–09</x:v>
      </x:c>
      <x:c r="D54" s="12" t="str">
        <x:v>500119102</x:v>
      </x:c>
      <x:c r="E54" s="12" t="str">
        <x:v>臺大普通教學館東側</x:v>
      </x:c>
      <x:c r="F54" s="12" t="str">
        <x:v>500101276</x:v>
      </x:c>
      <x:c r="G54" s="12" t="str">
        <x:v>羅斯福新生南路口</x:v>
      </x:c>
      <x:c r="H54" s="12" t="str">
        <x:v>虛線</x:v>
      </x:c>
      <x:c r="I54" s="13" t="n">
        <x:v>1</x:v>
      </x:c>
      <x:c r="J54" s="12" t="str">
        <x:v>ZZB-0002</x:v>
      </x:c>
      <x:c r="K54" s="13" t="n">
        <x:v>7</x:v>
      </x:c>
      <x:c r="L54" s="13" t="n">
        <x:v>7</x:v>
      </x:c>
      <x:c r="M54" s="13" t="n">
        <x:v>0</x:v>
      </x:c>
      <x:c r="N54" s="13" t="n">
        <x:v>1</x:v>
      </x:c>
      <x:c r="O54" s="36" t="n">
        <x:v>25.01861</x:v>
      </x:c>
      <x:c r="P54" s="36" t="n">
        <x:v>121.53717</x:v>
      </x:c>
      <x:c r="Q54" s="36" t="n">
        <x:v>25.01604</x:v>
      </x:c>
      <x:c r="R54" s="36" t="n">
        <x:v>121.53316</x:v>
      </x:c>
      <x:c r="S54" s="12" t="str">
        <x:v>否</x:v>
      </x:c>
      <x:c r="T54" s="12" t="str">
        <x:v>任一端站碼非500119*</x:v>
      </x:c>
      <x:c r="U54" s="12" t="str"/>
      <x:c r="V54" s="12" t="str"/>
    </x:row>
    <x:row r="55">
      <x:c r="A55" s="12" t="str">
        <x:v>2026-09-02</x:v>
      </x:c>
      <x:c r="B55" s="12" t="str">
        <x:v>09:00</x:v>
      </x:c>
      <x:c r="C55" s="12" t="str">
        <x:v>06–09</x:v>
      </x:c>
      <x:c r="D55" s="12" t="str">
        <x:v>500119102</x:v>
      </x:c>
      <x:c r="E55" s="12" t="str">
        <x:v>臺大普通教學館東側</x:v>
      </x:c>
      <x:c r="F55" s="12" t="str">
        <x:v>500119045</x:v>
      </x:c>
      <x:c r="G55" s="12" t="str">
        <x:v>臺大農業陳列館北側</x:v>
      </x:c>
      <x:c r="H55" s="12" t="str">
        <x:v>實線</x:v>
      </x:c>
      <x:c r="I55" s="13" t="n">
        <x:v>1</x:v>
      </x:c>
      <x:c r="J55" s="12" t="str">
        <x:v>ZZB-0002</x:v>
      </x:c>
      <x:c r="K55" s="13" t="n">
        <x:v>7</x:v>
      </x:c>
      <x:c r="L55" s="13" t="n">
        <x:v>7</x:v>
      </x:c>
      <x:c r="M55" s="13" t="n">
        <x:v>0</x:v>
      </x:c>
      <x:c r="N55" s="13" t="n">
        <x:v>1</x:v>
      </x:c>
      <x:c r="O55" s="36" t="n">
        <x:v>25.01861</x:v>
      </x:c>
      <x:c r="P55" s="36" t="n">
        <x:v>121.53717</x:v>
      </x:c>
      <x:c r="Q55" s="36" t="n">
        <x:v>25.01839</x:v>
      </x:c>
      <x:c r="R55" s="36" t="n">
        <x:v>121.53404</x:v>
      </x:c>
      <x:c r="S55" s="12" t="str">
        <x:v>是</x:v>
      </x:c>
      <x:c r="T55" s="12" t="str"/>
      <x:c r="U55" s="12" t="str"/>
      <x:c r="V55" s="12" t="str"/>
    </x:row>
    <x:row r="56">
      <x:c r="A56" s="12" t="str">
        <x:v>2026-09-02</x:v>
      </x:c>
      <x:c r="B56" s="12" t="str">
        <x:v>10:00</x:v>
      </x:c>
      <x:c r="C56" s="12" t="str">
        <x:v>10–13</x:v>
      </x:c>
      <x:c r="D56" s="12" t="str">
        <x:v>500119047</x:v>
      </x:c>
      <x:c r="E56" s="12" t="str">
        <x:v>臺大土木系館</x:v>
      </x:c>
      <x:c r="F56" s="12" t="str">
        <x:v>500119094</x:v>
      </x:c>
      <x:c r="G56" s="12" t="str">
        <x:v>臺大大一女餐廳廣場</x:v>
      </x:c>
      <x:c r="H56" s="12" t="str">
        <x:v>實線</x:v>
      </x:c>
      <x:c r="I56" s="13" t="n">
        <x:v>1</x:v>
      </x:c>
      <x:c r="J56" s="12" t="str">
        <x:v>ZZB-0003</x:v>
      </x:c>
      <x:c r="K56" s="13" t="n">
        <x:v>7</x:v>
      </x:c>
      <x:c r="L56" s="13" t="n">
        <x:v>7</x:v>
      </x:c>
      <x:c r="M56" s="13" t="n">
        <x:v>0</x:v>
      </x:c>
      <x:c r="N56" s="13" t="n">
        <x:v>1</x:v>
      </x:c>
      <x:c r="O56" s="36" t="n">
        <x:v>25.01761</x:v>
      </x:c>
      <x:c r="P56" s="36" t="n">
        <x:v>121.53844</x:v>
      </x:c>
      <x:c r="Q56" s="36" t="n">
        <x:v>25.01479</x:v>
      </x:c>
      <x:c r="R56" s="36" t="n">
        <x:v>121.53494</x:v>
      </x:c>
      <x:c r="S56" s="12" t="str">
        <x:v>是</x:v>
      </x:c>
      <x:c r="T56" s="12" t="str"/>
      <x:c r="U56" s="12" t="str"/>
      <x:c r="V56" s="12" t="str"/>
    </x:row>
    <x:row r="57">
      <x:c r="A57" s="12" t="str">
        <x:v>2026-09-02</x:v>
      </x:c>
      <x:c r="B57" s="12" t="str">
        <x:v>10:00</x:v>
      </x:c>
      <x:c r="C57" s="12" t="str">
        <x:v>10–13</x:v>
      </x:c>
      <x:c r="D57" s="12" t="str">
        <x:v>500119050</x:v>
      </x:c>
      <x:c r="E57" s="12" t="str">
        <x:v>臺大小福樓東側</x:v>
      </x:c>
      <x:c r="F57" s="12" t="str">
        <x:v>500101193</x:v>
      </x:c>
      <x:c r="G57" s="12" t="str">
        <x:v>基隆長興路口</x:v>
      </x:c>
      <x:c r="H57" s="12" t="str">
        <x:v>虛線</x:v>
      </x:c>
      <x:c r="I57" s="13" t="n">
        <x:v>1</x:v>
      </x:c>
      <x:c r="J57" s="12" t="str">
        <x:v>ZZB-0002</x:v>
      </x:c>
      <x:c r="K57" s="13" t="n">
        <x:v>7</x:v>
      </x:c>
      <x:c r="L57" s="13" t="n">
        <x:v>7</x:v>
      </x:c>
      <x:c r="M57" s="13" t="n">
        <x:v>0</x:v>
      </x:c>
      <x:c r="N57" s="13" t="n">
        <x:v>1</x:v>
      </x:c>
      <x:c r="O57" s="36" t="n">
        <x:v>25.01846</x:v>
      </x:c>
      <x:c r="P57" s="36" t="n">
        <x:v>121.5376</x:v>
      </x:c>
      <x:c r="Q57" s="36" t="n">
        <x:v>25.01705</x:v>
      </x:c>
      <x:c r="R57" s="36" t="n">
        <x:v>121.54435</x:v>
      </x:c>
      <x:c r="S57" s="12" t="str">
        <x:v>否</x:v>
      </x:c>
      <x:c r="T57" s="12" t="str">
        <x:v>任一端站碼非500119*</x:v>
      </x:c>
      <x:c r="U57" s="12" t="str"/>
      <x:c r="V57" s="12" t="str"/>
    </x:row>
    <x:row r="58">
      <x:c r="A58" s="12" t="str">
        <x:v>2026-09-02</x:v>
      </x:c>
      <x:c r="B58" s="12" t="str">
        <x:v>10:00</x:v>
      </x:c>
      <x:c r="C58" s="12" t="str">
        <x:v>10–13</x:v>
      </x:c>
      <x:c r="D58" s="12" t="str">
        <x:v>500119050</x:v>
      </x:c>
      <x:c r="E58" s="12" t="str">
        <x:v>臺大小福樓東側</x:v>
      </x:c>
      <x:c r="F58" s="12" t="str">
        <x:v>500101276</x:v>
      </x:c>
      <x:c r="G58" s="12" t="str">
        <x:v>羅斯福新生南路口</x:v>
      </x:c>
      <x:c r="H58" s="12" t="str">
        <x:v>虛線</x:v>
      </x:c>
      <x:c r="I58" s="13" t="n">
        <x:v>1</x:v>
      </x:c>
      <x:c r="J58" s="12" t="str">
        <x:v>ZZB-0002</x:v>
      </x:c>
      <x:c r="K58" s="13" t="n">
        <x:v>7</x:v>
      </x:c>
      <x:c r="L58" s="13" t="n">
        <x:v>7</x:v>
      </x:c>
      <x:c r="M58" s="13" t="n">
        <x:v>0</x:v>
      </x:c>
      <x:c r="N58" s="13" t="n">
        <x:v>1</x:v>
      </x:c>
      <x:c r="O58" s="36" t="n">
        <x:v>25.01846</x:v>
      </x:c>
      <x:c r="P58" s="36" t="n">
        <x:v>121.5376</x:v>
      </x:c>
      <x:c r="Q58" s="36" t="n">
        <x:v>25.01604</x:v>
      </x:c>
      <x:c r="R58" s="36" t="n">
        <x:v>121.53316</x:v>
      </x:c>
      <x:c r="S58" s="12" t="str">
        <x:v>否</x:v>
      </x:c>
      <x:c r="T58" s="12" t="str">
        <x:v>任一端站碼非500119*</x:v>
      </x:c>
      <x:c r="U58" s="12" t="str"/>
      <x:c r="V58" s="12" t="str"/>
    </x:row>
    <x:row r="59">
      <x:c r="A59" s="12" t="str">
        <x:v>2026-09-02</x:v>
      </x:c>
      <x:c r="B59" s="12" t="str">
        <x:v>10:00</x:v>
      </x:c>
      <x:c r="C59" s="12" t="str">
        <x:v>10–13</x:v>
      </x:c>
      <x:c r="D59" s="12" t="str">
        <x:v>500119052</x:v>
      </x:c>
      <x:c r="E59" s="12" t="str">
        <x:v>臺大工綜館南側</x:v>
      </x:c>
      <x:c r="F59" s="12" t="str">
        <x:v>500119091</x:v>
      </x:c>
      <x:c r="G59" s="12" t="str">
        <x:v>臺大明達館北側(員工宿舍)</x:v>
      </x:c>
      <x:c r="H59" s="12" t="str">
        <x:v>實線</x:v>
      </x:c>
      <x:c r="I59" s="13" t="n">
        <x:v>1</x:v>
      </x:c>
      <x:c r="J59" s="12" t="str">
        <x:v>ZZB-0004</x:v>
      </x:c>
      <x:c r="K59" s="13" t="n">
        <x:v>7</x:v>
      </x:c>
      <x:c r="L59" s="13" t="n">
        <x:v>7</x:v>
      </x:c>
      <x:c r="M59" s="13" t="n">
        <x:v>0</x:v>
      </x:c>
      <x:c r="N59" s="13" t="n">
        <x:v>1</x:v>
      </x:c>
      <x:c r="O59" s="36" t="n">
        <x:v>25.01857</x:v>
      </x:c>
      <x:c r="P59" s="36" t="n">
        <x:v>121.54059</x:v>
      </x:c>
      <x:c r="Q59" s="36" t="n">
        <x:v>25.01816</x:v>
      </x:c>
      <x:c r="R59" s="36" t="n">
        <x:v>121.54469</x:v>
      </x:c>
      <x:c r="S59" s="12" t="str">
        <x:v>是</x:v>
      </x:c>
      <x:c r="T59" s="12" t="str"/>
      <x:c r="U59" s="12" t="str"/>
      <x:c r="V59" s="12" t="str"/>
    </x:row>
    <x:row r="60">
      <x:c r="A60" s="12" t="str">
        <x:v>2026-09-02</x:v>
      </x:c>
      <x:c r="B60" s="12" t="str">
        <x:v>10:00</x:v>
      </x:c>
      <x:c r="C60" s="12" t="str">
        <x:v>10–13</x:v>
      </x:c>
      <x:c r="D60" s="12" t="str">
        <x:v>500119085</x:v>
      </x:c>
      <x:c r="E60" s="12" t="str">
        <x:v>臺大電機二館東南側</x:v>
      </x:c>
      <x:c r="F60" s="12" t="str">
        <x:v>500101032</x:v>
      </x:c>
      <x:c r="G60" s="12" t="str">
        <x:v>臺大男一舍前</x:v>
      </x:c>
      <x:c r="H60" s="12" t="str">
        <x:v>虛線</x:v>
      </x:c>
      <x:c r="I60" s="13" t="n">
        <x:v>1</x:v>
      </x:c>
      <x:c r="J60" s="12" t="str">
        <x:v>ZZB-0004</x:v>
      </x:c>
      <x:c r="K60" s="13" t="n">
        <x:v>7</x:v>
      </x:c>
      <x:c r="L60" s="13" t="n">
        <x:v>7</x:v>
      </x:c>
      <x:c r="M60" s="13" t="n">
        <x:v>0</x:v>
      </x:c>
      <x:c r="N60" s="13" t="n">
        <x:v>1</x:v>
      </x:c>
      <x:c r="O60" s="36" t="n">
        <x:v>25.01857</x:v>
      </x:c>
      <x:c r="P60" s="36" t="n">
        <x:v>121.54247</x:v>
      </x:c>
      <x:c r="Q60" s="36" t="n">
        <x:v>25.01637</x:v>
      </x:c>
      <x:c r="R60" s="36" t="n">
        <x:v>121.54535</x:v>
      </x:c>
      <x:c r="S60" s="12" t="str">
        <x:v>否</x:v>
      </x:c>
      <x:c r="T60" s="12" t="str">
        <x:v>任一端站碼非500119*</x:v>
      </x:c>
      <x:c r="U60" s="12" t="str"/>
      <x:c r="V60" s="12" t="str"/>
    </x:row>
    <x:row r="61">
      <x:c r="A61" s="12" t="str">
        <x:v>2026-09-02</x:v>
      </x:c>
      <x:c r="B61" s="12" t="str">
        <x:v>10:00</x:v>
      </x:c>
      <x:c r="C61" s="12" t="str">
        <x:v>10–13</x:v>
      </x:c>
      <x:c r="D61" s="12" t="str">
        <x:v>500119085</x:v>
      </x:c>
      <x:c r="E61" s="12" t="str">
        <x:v>臺大電機二館東南側</x:v>
      </x:c>
      <x:c r="F61" s="12" t="str">
        <x:v>500119064</x:v>
      </x:c>
      <x:c r="G61" s="12" t="str">
        <x:v>臺大明達館機車停車場</x:v>
      </x:c>
      <x:c r="H61" s="12" t="str">
        <x:v>實線</x:v>
      </x:c>
      <x:c r="I61" s="13" t="n">
        <x:v>1</x:v>
      </x:c>
      <x:c r="J61" s="12" t="str">
        <x:v>ZZB-0004</x:v>
      </x:c>
      <x:c r="K61" s="13" t="n">
        <x:v>7</x:v>
      </x:c>
      <x:c r="L61" s="13" t="n">
        <x:v>6</x:v>
      </x:c>
      <x:c r="M61" s="13" t="n">
        <x:v>1</x:v>
      </x:c>
      <x:c r="N61" s="13" t="n">
        <x:v>2</x:v>
      </x:c>
      <x:c r="O61" s="36" t="n">
        <x:v>25.01857</x:v>
      </x:c>
      <x:c r="P61" s="36" t="n">
        <x:v>121.54247</x:v>
      </x:c>
      <x:c r="Q61" s="36" t="n">
        <x:v>25.01754</x:v>
      </x:c>
      <x:c r="R61" s="36" t="n">
        <x:v>121.54398</x:v>
      </x:c>
      <x:c r="S61" s="12" t="str">
        <x:v>是</x:v>
      </x:c>
      <x:c r="T61" s="12" t="str"/>
      <x:c r="U61" s="12" t="str"/>
      <x:c r="V61" s="12" t="str"/>
    </x:row>
    <x:row r="62">
      <x:c r="A62" s="12" t="str">
        <x:v>2026-09-02</x:v>
      </x:c>
      <x:c r="B62" s="12" t="str">
        <x:v>10:00</x:v>
      </x:c>
      <x:c r="C62" s="12" t="str">
        <x:v>10–13</x:v>
      </x:c>
      <x:c r="D62" s="12" t="str">
        <x:v>500119087</x:v>
      </x:c>
      <x:c r="E62" s="12" t="str">
        <x:v>臺大總圖書館西南側</x:v>
      </x:c>
      <x:c r="F62" s="12" t="str">
        <x:v>500119059</x:v>
      </x:c>
      <x:c r="G62" s="12" t="str">
        <x:v>臺大共同教室北側</x:v>
      </x:c>
      <x:c r="H62" s="12" t="str">
        <x:v>實線</x:v>
      </x:c>
      <x:c r="I62" s="13" t="n">
        <x:v>1</x:v>
      </x:c>
      <x:c r="J62" s="12" t="str">
        <x:v>ZZB-0003</x:v>
      </x:c>
      <x:c r="K62" s="13" t="n">
        <x:v>7</x:v>
      </x:c>
      <x:c r="L62" s="13" t="n">
        <x:v>7</x:v>
      </x:c>
      <x:c r="M62" s="13" t="n">
        <x:v>0</x:v>
      </x:c>
      <x:c r="N62" s="13" t="n">
        <x:v>1</x:v>
      </x:c>
      <x:c r="O62" s="36" t="n">
        <x:v>25.0169</x:v>
      </x:c>
      <x:c r="P62" s="36" t="n">
        <x:v>121.54031</x:v>
      </x:c>
      <x:c r="Q62" s="36" t="n">
        <x:v>25.01595</x:v>
      </x:c>
      <x:c r="R62" s="36" t="n">
        <x:v>121.53791</x:v>
      </x:c>
      <x:c r="S62" s="12" t="str">
        <x:v>是</x:v>
      </x:c>
      <x:c r="T62" s="12" t="str"/>
      <x:c r="U62" s="12" t="str"/>
      <x:c r="V62" s="12" t="str"/>
    </x:row>
    <x:row r="63">
      <x:c r="A63" s="12" t="str">
        <x:v>2026-09-02</x:v>
      </x:c>
      <x:c r="B63" s="12" t="str">
        <x:v>10:00</x:v>
      </x:c>
      <x:c r="C63" s="12" t="str">
        <x:v>10–13</x:v>
      </x:c>
      <x:c r="D63" s="12" t="str">
        <x:v>500119102</x:v>
      </x:c>
      <x:c r="E63" s="12" t="str">
        <x:v>臺大普通教學館東側</x:v>
      </x:c>
      <x:c r="F63" s="12" t="str">
        <x:v>500119045</x:v>
      </x:c>
      <x:c r="G63" s="12" t="str">
        <x:v>臺大農業陳列館北側</x:v>
      </x:c>
      <x:c r="H63" s="12" t="str">
        <x:v>實線</x:v>
      </x:c>
      <x:c r="I63" s="13" t="n">
        <x:v>1</x:v>
      </x:c>
      <x:c r="J63" s="12" t="str">
        <x:v>ZZB-0002</x:v>
      </x:c>
      <x:c r="K63" s="13" t="n">
        <x:v>7</x:v>
      </x:c>
      <x:c r="L63" s="13" t="n">
        <x:v>7</x:v>
      </x:c>
      <x:c r="M63" s="13" t="n">
        <x:v>0</x:v>
      </x:c>
      <x:c r="N63" s="13" t="n">
        <x:v>1</x:v>
      </x:c>
      <x:c r="O63" s="36" t="n">
        <x:v>25.01861</x:v>
      </x:c>
      <x:c r="P63" s="36" t="n">
        <x:v>121.53717</x:v>
      </x:c>
      <x:c r="Q63" s="36" t="n">
        <x:v>25.01839</x:v>
      </x:c>
      <x:c r="R63" s="36" t="n">
        <x:v>121.53404</x:v>
      </x:c>
      <x:c r="S63" s="12" t="str">
        <x:v>是</x:v>
      </x:c>
      <x:c r="T63" s="12" t="str"/>
      <x:c r="U63" s="12" t="str"/>
      <x:c r="V63" s="12" t="str"/>
    </x:row>
    <x:row r="64">
      <x:c r="A64" s="12" t="str">
        <x:v>2026-09-02</x:v>
      </x:c>
      <x:c r="B64" s="12" t="str">
        <x:v>11:00</x:v>
      </x:c>
      <x:c r="C64" s="12" t="str">
        <x:v>10–13</x:v>
      </x:c>
      <x:c r="D64" s="12" t="str">
        <x:v>500119086</x:v>
      </x:c>
      <x:c r="E64" s="12" t="str">
        <x:v>臺大圖資系館北側</x:v>
      </x:c>
      <x:c r="F64" s="12" t="str">
        <x:v>500119060</x:v>
      </x:c>
      <x:c r="G64" s="12" t="str">
        <x:v>臺大共同教室東南側</x:v>
      </x:c>
      <x:c r="H64" s="12" t="str">
        <x:v>實線</x:v>
      </x:c>
      <x:c r="I64" s="13" t="n">
        <x:v>1</x:v>
      </x:c>
      <x:c r="J64" s="12" t="str">
        <x:v>ZZB-0003</x:v>
      </x:c>
      <x:c r="K64" s="13" t="n">
        <x:v>7</x:v>
      </x:c>
      <x:c r="L64" s="13" t="n">
        <x:v>7</x:v>
      </x:c>
      <x:c r="M64" s="13" t="n">
        <x:v>0</x:v>
      </x:c>
      <x:c r="N64" s="13" t="n">
        <x:v>1</x:v>
      </x:c>
      <x:c r="O64" s="36" t="n">
        <x:v>25.01804</x:v>
      </x:c>
      <x:c r="P64" s="36" t="n">
        <x:v>121.53928</x:v>
      </x:c>
      <x:c r="Q64" s="36" t="n">
        <x:v>25.01566</x:v>
      </x:c>
      <x:c r="R64" s="36" t="n">
        <x:v>121.53786</x:v>
      </x:c>
      <x:c r="S64" s="12" t="str">
        <x:v>是</x:v>
      </x:c>
      <x:c r="T64" s="12" t="str"/>
      <x:c r="U64" s="12" t="str"/>
      <x:c r="V64" s="12" t="str"/>
    </x:row>
    <x:row r="65">
      <x:c r="A65" s="12" t="str">
        <x:v>2026-09-02</x:v>
      </x:c>
      <x:c r="B65" s="12" t="str">
        <x:v>12:00</x:v>
      </x:c>
      <x:c r="C65" s="12" t="str">
        <x:v>10–13</x:v>
      </x:c>
      <x:c r="D65" s="12" t="str">
        <x:v>500119050</x:v>
      </x:c>
      <x:c r="E65" s="12" t="str">
        <x:v>臺大小福樓東側</x:v>
      </x:c>
      <x:c r="F65" s="12" t="str">
        <x:v>500119045</x:v>
      </x:c>
      <x:c r="G65" s="12" t="str">
        <x:v>臺大農業陳列館北側</x:v>
      </x:c>
      <x:c r="H65" s="12" t="str">
        <x:v>實線</x:v>
      </x:c>
      <x:c r="I65" s="13" t="n">
        <x:v>1</x:v>
      </x:c>
      <x:c r="J65" s="12" t="str">
        <x:v>ZZB-0004</x:v>
      </x:c>
      <x:c r="K65" s="13" t="n">
        <x:v>7</x:v>
      </x:c>
      <x:c r="L65" s="13" t="n">
        <x:v>7</x:v>
      </x:c>
      <x:c r="M65" s="13" t="n">
        <x:v>0</x:v>
      </x:c>
      <x:c r="N65" s="13" t="n">
        <x:v>1</x:v>
      </x:c>
      <x:c r="O65" s="36" t="n">
        <x:v>25.01846</x:v>
      </x:c>
      <x:c r="P65" s="36" t="n">
        <x:v>121.5376</x:v>
      </x:c>
      <x:c r="Q65" s="36" t="n">
        <x:v>25.01839</x:v>
      </x:c>
      <x:c r="R65" s="36" t="n">
        <x:v>121.53404</x:v>
      </x:c>
      <x:c r="S65" s="12" t="str">
        <x:v>是</x:v>
      </x:c>
      <x:c r="T65" s="12" t="str"/>
      <x:c r="U65" s="12" t="str"/>
      <x:c r="V65" s="12" t="str"/>
    </x:row>
    <x:row r="66">
      <x:c r="A66" s="12" t="str">
        <x:v>2026-09-02</x:v>
      </x:c>
      <x:c r="B66" s="12" t="str">
        <x:v>12:00</x:v>
      </x:c>
      <x:c r="C66" s="12" t="str">
        <x:v>10–13</x:v>
      </x:c>
      <x:c r="D66" s="12" t="str">
        <x:v>500119085</x:v>
      </x:c>
      <x:c r="E66" s="12" t="str">
        <x:v>臺大電機二館東南側</x:v>
      </x:c>
      <x:c r="F66" s="12" t="str">
        <x:v>500119064</x:v>
      </x:c>
      <x:c r="G66" s="12" t="str">
        <x:v>臺大明達館機車停車場</x:v>
      </x:c>
      <x:c r="H66" s="12" t="str">
        <x:v>實線</x:v>
      </x:c>
      <x:c r="I66" s="13" t="n">
        <x:v>1</x:v>
      </x:c>
      <x:c r="J66" s="12" t="str">
        <x:v>ZZB-0002</x:v>
      </x:c>
      <x:c r="K66" s="13" t="n">
        <x:v>7</x:v>
      </x:c>
      <x:c r="L66" s="13" t="n">
        <x:v>7</x:v>
      </x:c>
      <x:c r="M66" s="13" t="n">
        <x:v>0</x:v>
      </x:c>
      <x:c r="N66" s="13" t="n">
        <x:v>1</x:v>
      </x:c>
      <x:c r="O66" s="36" t="n">
        <x:v>25.01857</x:v>
      </x:c>
      <x:c r="P66" s="36" t="n">
        <x:v>121.54247</x:v>
      </x:c>
      <x:c r="Q66" s="36" t="n">
        <x:v>25.01754</x:v>
      </x:c>
      <x:c r="R66" s="36" t="n">
        <x:v>121.54398</x:v>
      </x:c>
      <x:c r="S66" s="12" t="str">
        <x:v>是</x:v>
      </x:c>
      <x:c r="T66" s="12" t="str"/>
      <x:c r="U66" s="12" t="str"/>
      <x:c r="V66" s="12" t="str"/>
    </x:row>
    <x:row r="67">
      <x:c r="A67" s="12" t="str">
        <x:v>2026-09-02</x:v>
      </x:c>
      <x:c r="B67" s="12" t="str">
        <x:v>12:00</x:v>
      </x:c>
      <x:c r="C67" s="12" t="str">
        <x:v>10–13</x:v>
      </x:c>
      <x:c r="D67" s="12" t="str">
        <x:v>500119086</x:v>
      </x:c>
      <x:c r="E67" s="12" t="str">
        <x:v>臺大圖資系館北側</x:v>
      </x:c>
      <x:c r="F67" s="12" t="str">
        <x:v>500119061</x:v>
      </x:c>
      <x:c r="G67" s="12" t="str">
        <x:v>臺大鹿鳴堂東側</x:v>
      </x:c>
      <x:c r="H67" s="12" t="str">
        <x:v>實線</x:v>
      </x:c>
      <x:c r="I67" s="13" t="n">
        <x:v>1</x:v>
      </x:c>
      <x:c r="J67" s="12" t="str">
        <x:v>ZZB-0003</x:v>
      </x:c>
      <x:c r="K67" s="13" t="n">
        <x:v>7</x:v>
      </x:c>
      <x:c r="L67" s="13" t="n">
        <x:v>7</x:v>
      </x:c>
      <x:c r="M67" s="13" t="n">
        <x:v>0</x:v>
      </x:c>
      <x:c r="N67" s="13" t="n">
        <x:v>1</x:v>
      </x:c>
      <x:c r="O67" s="36" t="n">
        <x:v>25.01804</x:v>
      </x:c>
      <x:c r="P67" s="36" t="n">
        <x:v>121.53928</x:v>
      </x:c>
      <x:c r="Q67" s="36" t="n">
        <x:v>25.01511</x:v>
      </x:c>
      <x:c r="R67" s="36" t="n">
        <x:v>121.53786</x:v>
      </x:c>
      <x:c r="S67" s="12" t="str">
        <x:v>是</x:v>
      </x:c>
      <x:c r="T67" s="12" t="str"/>
      <x:c r="U67" s="12" t="str"/>
      <x:c r="V67" s="12" t="str"/>
    </x:row>
    <x:row r="68">
      <x:c r="A68" s="12" t="str">
        <x:v>2026-09-02</x:v>
      </x:c>
      <x:c r="B68" s="12" t="str">
        <x:v>12:00</x:v>
      </x:c>
      <x:c r="C68" s="12" t="str">
        <x:v>10–13</x:v>
      </x:c>
      <x:c r="D68" s="12" t="str">
        <x:v>500119098</x:v>
      </x:c>
      <x:c r="E68" s="12" t="str">
        <x:v>臺大數學研究中心(東側)</x:v>
      </x:c>
      <x:c r="F68" s="12" t="str">
        <x:v>500119061</x:v>
      </x:c>
      <x:c r="G68" s="12" t="str">
        <x:v>臺大鹿鳴堂東側</x:v>
      </x:c>
      <x:c r="H68" s="12" t="str">
        <x:v>實線</x:v>
      </x:c>
      <x:c r="I68" s="13" t="n">
        <x:v>1</x:v>
      </x:c>
      <x:c r="J68" s="12" t="str">
        <x:v>ZZB-0003</x:v>
      </x:c>
      <x:c r="K68" s="13" t="n">
        <x:v>1</x:v>
      </x:c>
      <x:c r="L68" s="13" t="n">
        <x:v>1</x:v>
      </x:c>
      <x:c r="M68" s="13" t="n">
        <x:v>0</x:v>
      </x:c>
      <x:c r="N68" s="13" t="n">
        <x:v>1</x:v>
      </x:c>
      <x:c r="O68" s="36" t="n">
        <x:v>25.02004</x:v>
      </x:c>
      <x:c r="P68" s="36" t="n">
        <x:v>121.53881</x:v>
      </x:c>
      <x:c r="Q68" s="36" t="n">
        <x:v>25.01511</x:v>
      </x:c>
      <x:c r="R68" s="36" t="n">
        <x:v>121.53786</x:v>
      </x:c>
      <x:c r="S68" s="12" t="str">
        <x:v>是</x:v>
      </x:c>
      <x:c r="T68" s="12" t="str"/>
      <x:c r="U68" s="12" t="str"/>
      <x:c r="V68" s="12" t="str"/>
    </x:row>
    <x:row r="69">
      <x:c r="A69" s="12" t="str">
        <x:v>2026-09-02</x:v>
      </x:c>
      <x:c r="B69" s="12" t="str">
        <x:v>12:00</x:v>
      </x:c>
      <x:c r="C69" s="12" t="str">
        <x:v>10–13</x:v>
      </x:c>
      <x:c r="D69" s="12" t="str">
        <x:v>500119098</x:v>
      </x:c>
      <x:c r="E69" s="12" t="str">
        <x:v>臺大數學研究中心(東側)</x:v>
      </x:c>
      <x:c r="F69" s="12" t="str">
        <x:v>500119074</x:v>
      </x:c>
      <x:c r="G69" s="12" t="str">
        <x:v>臺大生命科學館西北側</x:v>
      </x:c>
      <x:c r="H69" s="12" t="str">
        <x:v>實線</x:v>
      </x:c>
      <x:c r="I69" s="13" t="n">
        <x:v>1</x:v>
      </x:c>
      <x:c r="J69" s="12" t="str">
        <x:v>ZZB-0003</x:v>
      </x:c>
      <x:c r="K69" s="13" t="n">
        <x:v>6</x:v>
      </x:c>
      <x:c r="L69" s="13" t="n">
        <x:v>6</x:v>
      </x:c>
      <x:c r="M69" s="13" t="n">
        <x:v>0</x:v>
      </x:c>
      <x:c r="N69" s="13" t="n">
        <x:v>1</x:v>
      </x:c>
      <x:c r="O69" s="36" t="n">
        <x:v>25.02004</x:v>
      </x:c>
      <x:c r="P69" s="36" t="n">
        <x:v>121.53881</x:v>
      </x:c>
      <x:c r="Q69" s="36" t="n">
        <x:v>25.01548</x:v>
      </x:c>
      <x:c r="R69" s="36" t="n">
        <x:v>121.53825</x:v>
      </x:c>
      <x:c r="S69" s="12" t="str">
        <x:v>是</x:v>
      </x:c>
      <x:c r="T69" s="12" t="str"/>
      <x:c r="U69" s="12" t="str"/>
      <x:c r="V69" s="12" t="str"/>
    </x:row>
    <x:row r="70">
      <x:c r="A70" s="12" t="str">
        <x:v>2026-09-02</x:v>
      </x:c>
      <x:c r="B70" s="12" t="str">
        <x:v>13:00</x:v>
      </x:c>
      <x:c r="C70" s="12" t="str">
        <x:v>10–13</x:v>
      </x:c>
      <x:c r="D70" s="12" t="str">
        <x:v>500119050</x:v>
      </x:c>
      <x:c r="E70" s="12" t="str">
        <x:v>臺大小福樓東側</x:v>
      </x:c>
      <x:c r="F70" s="12" t="str">
        <x:v>500119056</x:v>
      </x:c>
      <x:c r="G70" s="12" t="str">
        <x:v>臺大農化新館西側</x:v>
      </x:c>
      <x:c r="H70" s="12" t="str">
        <x:v>實線</x:v>
      </x:c>
      <x:c r="I70" s="13" t="n">
        <x:v>1</x:v>
      </x:c>
      <x:c r="J70" s="12" t="str">
        <x:v>ZZB-0004</x:v>
      </x:c>
      <x:c r="K70" s="13" t="n">
        <x:v>14</x:v>
      </x:c>
      <x:c r="L70" s="13" t="n">
        <x:v>14</x:v>
      </x:c>
      <x:c r="M70" s="13" t="n">
        <x:v>0</x:v>
      </x:c>
      <x:c r="N70" s="13" t="n">
        <x:v>2</x:v>
      </x:c>
      <x:c r="O70" s="36" t="n">
        <x:v>25.01846</x:v>
      </x:c>
      <x:c r="P70" s="36" t="n">
        <x:v>121.5376</x:v>
      </x:c>
      <x:c r="Q70" s="36" t="n">
        <x:v>25.01627</x:v>
      </x:c>
      <x:c r="R70" s="36" t="n">
        <x:v>121.53535</x:v>
      </x:c>
      <x:c r="S70" s="12" t="str">
        <x:v>是</x:v>
      </x:c>
      <x:c r="T70" s="12" t="str"/>
      <x:c r="U70" s="12" t="str"/>
      <x:c r="V70" s="12" t="str"/>
    </x:row>
    <x:row r="71">
      <x:c r="A71" s="12" t="str">
        <x:v>2026-09-02</x:v>
      </x:c>
      <x:c r="B71" s="12" t="str">
        <x:v>13:00</x:v>
      </x:c>
      <x:c r="C71" s="12" t="str">
        <x:v>10–13</x:v>
      </x:c>
      <x:c r="D71" s="12" t="str">
        <x:v>500119050</x:v>
      </x:c>
      <x:c r="E71" s="12" t="str">
        <x:v>臺大小福樓東側</x:v>
      </x:c>
      <x:c r="F71" s="12" t="str">
        <x:v>500119078</x:v>
      </x:c>
      <x:c r="G71" s="12" t="str">
        <x:v>臺大森林館北側</x:v>
      </x:c>
      <x:c r="H71" s="12" t="str">
        <x:v>實線</x:v>
      </x:c>
      <x:c r="I71" s="13" t="n">
        <x:v>1</x:v>
      </x:c>
      <x:c r="J71" s="12" t="str">
        <x:v>ZZB-0004</x:v>
      </x:c>
      <x:c r="K71" s="13" t="n">
        <x:v>6</x:v>
      </x:c>
      <x:c r="L71" s="13" t="n">
        <x:v>6</x:v>
      </x:c>
      <x:c r="M71" s="13" t="n">
        <x:v>0</x:v>
      </x:c>
      <x:c r="N71" s="13" t="n">
        <x:v>1</x:v>
      </x:c>
      <x:c r="O71" s="36" t="n">
        <x:v>25.01846</x:v>
      </x:c>
      <x:c r="P71" s="36" t="n">
        <x:v>121.5376</x:v>
      </x:c>
      <x:c r="Q71" s="36" t="n">
        <x:v>25.01704</x:v>
      </x:c>
      <x:c r="R71" s="36" t="n">
        <x:v>121.53888</x:v>
      </x:c>
      <x:c r="S71" s="12" t="str">
        <x:v>是</x:v>
      </x:c>
      <x:c r="T71" s="12" t="str"/>
      <x:c r="U71" s="12" t="str"/>
      <x:c r="V71" s="12" t="str"/>
    </x:row>
    <x:row r="72">
      <x:c r="A72" s="12" t="str">
        <x:v>2026-09-02</x:v>
      </x:c>
      <x:c r="B72" s="12" t="str">
        <x:v>13:00</x:v>
      </x:c>
      <x:c r="C72" s="12" t="str">
        <x:v>10–13</x:v>
      </x:c>
      <x:c r="D72" s="12" t="str">
        <x:v>500119076</x:v>
      </x:c>
      <x:c r="E72" s="12" t="str">
        <x:v>臺大博理館西側</x:v>
      </x:c>
      <x:c r="F72" s="12" t="str">
        <x:v>500119064</x:v>
      </x:c>
      <x:c r="G72" s="12" t="str">
        <x:v>臺大明達館機車停車場</x:v>
      </x:c>
      <x:c r="H72" s="12" t="str">
        <x:v>實線</x:v>
      </x:c>
      <x:c r="I72" s="13" t="n">
        <x:v>1</x:v>
      </x:c>
      <x:c r="J72" s="12" t="str">
        <x:v>ZZB-0002</x:v>
      </x:c>
      <x:c r="K72" s="13" t="n">
        <x:v>7</x:v>
      </x:c>
      <x:c r="L72" s="13" t="n">
        <x:v>7</x:v>
      </x:c>
      <x:c r="M72" s="13" t="n">
        <x:v>0</x:v>
      </x:c>
      <x:c r="N72" s="13" t="n">
        <x:v>1</x:v>
      </x:c>
      <x:c r="O72" s="36" t="n">
        <x:v>25.01922</x:v>
      </x:c>
      <x:c r="P72" s="36" t="n">
        <x:v>121.54195</x:v>
      </x:c>
      <x:c r="Q72" s="36" t="n">
        <x:v>25.01754</x:v>
      </x:c>
      <x:c r="R72" s="36" t="n">
        <x:v>121.54398</x:v>
      </x:c>
      <x:c r="S72" s="12" t="str">
        <x:v>是</x:v>
      </x:c>
      <x:c r="T72" s="12" t="str"/>
      <x:c r="U72" s="12" t="str"/>
      <x:c r="V72" s="12" t="str"/>
    </x:row>
    <x:row r="73">
      <x:c r="A73" s="12" t="str">
        <x:v>2026-09-02</x:v>
      </x:c>
      <x:c r="B73" s="12" t="str">
        <x:v>13:00</x:v>
      </x:c>
      <x:c r="C73" s="12" t="str">
        <x:v>10–13</x:v>
      </x:c>
      <x:c r="D73" s="12" t="str">
        <x:v>500119085</x:v>
      </x:c>
      <x:c r="E73" s="12" t="str">
        <x:v>臺大電機二館東南側</x:v>
      </x:c>
      <x:c r="F73" s="12" t="str">
        <x:v>500119064</x:v>
      </x:c>
      <x:c r="G73" s="12" t="str">
        <x:v>臺大明達館機車停車場</x:v>
      </x:c>
      <x:c r="H73" s="12" t="str">
        <x:v>實線</x:v>
      </x:c>
      <x:c r="I73" s="13" t="n">
        <x:v>1</x:v>
      </x:c>
      <x:c r="J73" s="12" t="str">
        <x:v>ZZB-0002</x:v>
      </x:c>
      <x:c r="K73" s="13" t="n">
        <x:v>7</x:v>
      </x:c>
      <x:c r="L73" s="13" t="n">
        <x:v>7</x:v>
      </x:c>
      <x:c r="M73" s="13" t="n">
        <x:v>0</x:v>
      </x:c>
      <x:c r="N73" s="13" t="n">
        <x:v>1</x:v>
      </x:c>
      <x:c r="O73" s="36" t="n">
        <x:v>25.01857</x:v>
      </x:c>
      <x:c r="P73" s="36" t="n">
        <x:v>121.54247</x:v>
      </x:c>
      <x:c r="Q73" s="36" t="n">
        <x:v>25.01754</x:v>
      </x:c>
      <x:c r="R73" s="36" t="n">
        <x:v>121.54398</x:v>
      </x:c>
      <x:c r="S73" s="12" t="str">
        <x:v>是</x:v>
      </x:c>
      <x:c r="T73" s="12" t="str"/>
      <x:c r="U73" s="12" t="str"/>
      <x:c r="V73" s="12" t="str"/>
    </x:row>
    <x:row r="74">
      <x:c r="A74" s="12" t="str">
        <x:v>2026-09-02</x:v>
      </x:c>
      <x:c r="B74" s="12" t="str">
        <x:v>13:00</x:v>
      </x:c>
      <x:c r="C74" s="12" t="str">
        <x:v>10–13</x:v>
      </x:c>
      <x:c r="D74" s="12" t="str">
        <x:v>500119087</x:v>
      </x:c>
      <x:c r="E74" s="12" t="str">
        <x:v>臺大總圖書館西南側</x:v>
      </x:c>
      <x:c r="F74" s="12" t="str">
        <x:v>500119059</x:v>
      </x:c>
      <x:c r="G74" s="12" t="str">
        <x:v>臺大共同教室北側</x:v>
      </x:c>
      <x:c r="H74" s="12" t="str">
        <x:v>實線</x:v>
      </x:c>
      <x:c r="I74" s="13" t="n">
        <x:v>1</x:v>
      </x:c>
      <x:c r="J74" s="12" t="str">
        <x:v>ZZB-0003</x:v>
      </x:c>
      <x:c r="K74" s="13" t="n">
        <x:v>6</x:v>
      </x:c>
      <x:c r="L74" s="13" t="n">
        <x:v>6</x:v>
      </x:c>
      <x:c r="M74" s="13" t="n">
        <x:v>0</x:v>
      </x:c>
      <x:c r="N74" s="13" t="n">
        <x:v>1</x:v>
      </x:c>
      <x:c r="O74" s="36" t="n">
        <x:v>25.0169</x:v>
      </x:c>
      <x:c r="P74" s="36" t="n">
        <x:v>121.54031</x:v>
      </x:c>
      <x:c r="Q74" s="36" t="n">
        <x:v>25.01595</x:v>
      </x:c>
      <x:c r="R74" s="36" t="n">
        <x:v>121.53791</x:v>
      </x:c>
      <x:c r="S74" s="12" t="str">
        <x:v>是</x:v>
      </x:c>
      <x:c r="T74" s="12" t="str"/>
      <x:c r="U74" s="12" t="str"/>
      <x:c r="V74" s="12" t="str"/>
    </x:row>
    <x:row r="75">
      <x:c r="A75" s="12" t="str">
        <x:v>2026-09-02</x:v>
      </x:c>
      <x:c r="B75" s="12" t="str">
        <x:v>13:00</x:v>
      </x:c>
      <x:c r="C75" s="12" t="str">
        <x:v>10–13</x:v>
      </x:c>
      <x:c r="D75" s="12" t="str">
        <x:v>500119087</x:v>
      </x:c>
      <x:c r="E75" s="12" t="str">
        <x:v>臺大總圖書館西南側</x:v>
      </x:c>
      <x:c r="F75" s="12" t="str">
        <x:v>500119061</x:v>
      </x:c>
      <x:c r="G75" s="12" t="str">
        <x:v>臺大鹿鳴堂東側</x:v>
      </x:c>
      <x:c r="H75" s="12" t="str">
        <x:v>實線</x:v>
      </x:c>
      <x:c r="I75" s="13" t="n">
        <x:v>1</x:v>
      </x:c>
      <x:c r="J75" s="12" t="str">
        <x:v>ZZB-0003</x:v>
      </x:c>
      <x:c r="K75" s="13" t="n">
        <x:v>1</x:v>
      </x:c>
      <x:c r="L75" s="13" t="n">
        <x:v>0</x:v>
      </x:c>
      <x:c r="M75" s="13" t="n">
        <x:v>1</x:v>
      </x:c>
      <x:c r="N75" s="13" t="n">
        <x:v>1</x:v>
      </x:c>
      <x:c r="O75" s="36" t="n">
        <x:v>25.0169</x:v>
      </x:c>
      <x:c r="P75" s="36" t="n">
        <x:v>121.54031</x:v>
      </x:c>
      <x:c r="Q75" s="36" t="n">
        <x:v>25.01511</x:v>
      </x:c>
      <x:c r="R75" s="36" t="n">
        <x:v>121.53786</x:v>
      </x:c>
      <x:c r="S75" s="12" t="str">
        <x:v>是</x:v>
      </x:c>
      <x:c r="T75" s="12" t="str"/>
      <x:c r="U75" s="12" t="str"/>
      <x:c r="V75" s="12" t="str"/>
    </x:row>
    <x:row r="76">
      <x:c r="A76" s="12" t="str">
        <x:v>2026-09-02</x:v>
      </x:c>
      <x:c r="B76" s="12" t="str">
        <x:v>13:00</x:v>
      </x:c>
      <x:c r="C76" s="12" t="str">
        <x:v>10–13</x:v>
      </x:c>
      <x:c r="D76" s="12" t="str">
        <x:v>500119098</x:v>
      </x:c>
      <x:c r="E76" s="12" t="str">
        <x:v>臺大數學研究中心(東側)</x:v>
      </x:c>
      <x:c r="F76" s="12" t="str">
        <x:v>500119059</x:v>
      </x:c>
      <x:c r="G76" s="12" t="str">
        <x:v>臺大共同教室北側</x:v>
      </x:c>
      <x:c r="H76" s="12" t="str">
        <x:v>實線</x:v>
      </x:c>
      <x:c r="I76" s="13" t="n">
        <x:v>1</x:v>
      </x:c>
      <x:c r="J76" s="12" t="str">
        <x:v>ZZB-0003</x:v>
      </x:c>
      <x:c r="K76" s="13" t="n">
        <x:v>1</x:v>
      </x:c>
      <x:c r="L76" s="13" t="n">
        <x:v>1</x:v>
      </x:c>
      <x:c r="M76" s="13" t="n">
        <x:v>0</x:v>
      </x:c>
      <x:c r="N76" s="13" t="n">
        <x:v>1</x:v>
      </x:c>
      <x:c r="O76" s="36" t="n">
        <x:v>25.02004</x:v>
      </x:c>
      <x:c r="P76" s="36" t="n">
        <x:v>121.53881</x:v>
      </x:c>
      <x:c r="Q76" s="36" t="n">
        <x:v>25.01595</x:v>
      </x:c>
      <x:c r="R76" s="36" t="n">
        <x:v>121.53791</x:v>
      </x:c>
      <x:c r="S76" s="12" t="str">
        <x:v>是</x:v>
      </x:c>
      <x:c r="T76" s="12" t="str"/>
      <x:c r="U76" s="12" t="str"/>
      <x:c r="V76" s="12" t="str"/>
    </x:row>
    <x:row r="77">
      <x:c r="A77" s="12" t="str">
        <x:v>2026-09-02</x:v>
      </x:c>
      <x:c r="B77" s="12" t="str">
        <x:v>13:00</x:v>
      </x:c>
      <x:c r="C77" s="12" t="str">
        <x:v>10–13</x:v>
      </x:c>
      <x:c r="D77" s="12" t="str">
        <x:v>500119098</x:v>
      </x:c>
      <x:c r="E77" s="12" t="str">
        <x:v>臺大數學研究中心(東側)</x:v>
      </x:c>
      <x:c r="F77" s="12" t="str">
        <x:v>500119061</x:v>
      </x:c>
      <x:c r="G77" s="12" t="str">
        <x:v>臺大鹿鳴堂東側</x:v>
      </x:c>
      <x:c r="H77" s="12" t="str">
        <x:v>實線</x:v>
      </x:c>
      <x:c r="I77" s="13" t="n">
        <x:v>1</x:v>
      </x:c>
      <x:c r="J77" s="12" t="str">
        <x:v>ZZB-0003</x:v>
      </x:c>
      <x:c r="K77" s="13" t="n">
        <x:v>5</x:v>
      </x:c>
      <x:c r="L77" s="13" t="n">
        <x:v>5</x:v>
      </x:c>
      <x:c r="M77" s="13" t="n">
        <x:v>0</x:v>
      </x:c>
      <x:c r="N77" s="13" t="n">
        <x:v>1</x:v>
      </x:c>
      <x:c r="O77" s="36" t="n">
        <x:v>25.02004</x:v>
      </x:c>
      <x:c r="P77" s="36" t="n">
        <x:v>121.53881</x:v>
      </x:c>
      <x:c r="Q77" s="36" t="n">
        <x:v>25.01511</x:v>
      </x:c>
      <x:c r="R77" s="36" t="n">
        <x:v>121.53786</x:v>
      </x:c>
      <x:c r="S77" s="12" t="str">
        <x:v>是</x:v>
      </x:c>
      <x:c r="T77" s="12" t="str"/>
      <x:c r="U77" s="12" t="str"/>
      <x:c r="V77" s="12" t="str"/>
    </x:row>
    <x:row r="78">
      <x:c r="A78" s="12" t="str">
        <x:v>2026-09-02</x:v>
      </x:c>
      <x:c r="B78" s="12" t="str">
        <x:v>13:00</x:v>
      </x:c>
      <x:c r="C78" s="12" t="str">
        <x:v>10–13</x:v>
      </x:c>
      <x:c r="D78" s="12" t="str">
        <x:v>500119098</x:v>
      </x:c>
      <x:c r="E78" s="12" t="str">
        <x:v>臺大數學研究中心(東側)</x:v>
      </x:c>
      <x:c r="F78" s="12" t="str">
        <x:v>500119074</x:v>
      </x:c>
      <x:c r="G78" s="12" t="str">
        <x:v>臺大生命科學館西北側</x:v>
      </x:c>
      <x:c r="H78" s="12" t="str">
        <x:v>實線</x:v>
      </x:c>
      <x:c r="I78" s="13" t="n">
        <x:v>1</x:v>
      </x:c>
      <x:c r="J78" s="12" t="str">
        <x:v>ZZB-0003</x:v>
      </x:c>
      <x:c r="K78" s="13" t="n">
        <x:v>1</x:v>
      </x:c>
      <x:c r="L78" s="13" t="n">
        <x:v>0</x:v>
      </x:c>
      <x:c r="M78" s="13" t="n">
        <x:v>1</x:v>
      </x:c>
      <x:c r="N78" s="13" t="n">
        <x:v>1</x:v>
      </x:c>
      <x:c r="O78" s="36" t="n">
        <x:v>25.02004</x:v>
      </x:c>
      <x:c r="P78" s="36" t="n">
        <x:v>121.53881</x:v>
      </x:c>
      <x:c r="Q78" s="36" t="n">
        <x:v>25.01548</x:v>
      </x:c>
      <x:c r="R78" s="36" t="n">
        <x:v>121.53825</x:v>
      </x:c>
      <x:c r="S78" s="12" t="str">
        <x:v>是</x:v>
      </x:c>
      <x:c r="T78" s="12" t="str"/>
      <x:c r="U78" s="12" t="str"/>
      <x:c r="V78" s="12" t="str"/>
    </x:row>
    <x:row r="79">
      <x:c r="A79" s="12" t="str">
        <x:v>2026-09-02</x:v>
      </x:c>
      <x:c r="B79" s="12" t="str">
        <x:v>13:00</x:v>
      </x:c>
      <x:c r="C79" s="12" t="str">
        <x:v>10–13</x:v>
      </x:c>
      <x:c r="D79" s="12" t="str">
        <x:v>500119100</x:v>
      </x:c>
      <x:c r="E79" s="12" t="str">
        <x:v>臺大博理館東側</x:v>
      </x:c>
      <x:c r="F79" s="12" t="str">
        <x:v>500119091</x:v>
      </x:c>
      <x:c r="G79" s="12" t="str">
        <x:v>臺大明達館北側(員工宿舍)</x:v>
      </x:c>
      <x:c r="H79" s="12" t="str">
        <x:v>實線</x:v>
      </x:c>
      <x:c r="I79" s="13" t="n">
        <x:v>1</x:v>
      </x:c>
      <x:c r="J79" s="12" t="str">
        <x:v>ZZB-0002</x:v>
      </x:c>
      <x:c r="K79" s="13" t="n">
        <x:v>7</x:v>
      </x:c>
      <x:c r="L79" s="13" t="n">
        <x:v>7</x:v>
      </x:c>
      <x:c r="M79" s="13" t="n">
        <x:v>0</x:v>
      </x:c>
      <x:c r="N79" s="13" t="n">
        <x:v>1</x:v>
      </x:c>
      <x:c r="O79" s="36" t="n">
        <x:v>25.01929</x:v>
      </x:c>
      <x:c r="P79" s="36" t="n">
        <x:v>121.54264</x:v>
      </x:c>
      <x:c r="Q79" s="36" t="n">
        <x:v>25.01816</x:v>
      </x:c>
      <x:c r="R79" s="36" t="n">
        <x:v>121.54469</x:v>
      </x:c>
      <x:c r="S79" s="12" t="str">
        <x:v>是</x:v>
      </x:c>
      <x:c r="T79" s="12" t="str"/>
      <x:c r="U79" s="12" t="str"/>
      <x:c r="V79" s="12" t="str"/>
    </x:row>
    <x:row r="80">
      <x:c r="A80" s="12" t="str">
        <x:v>2026-09-02</x:v>
      </x:c>
      <x:c r="B80" s="12" t="str">
        <x:v>14:00</x:v>
      </x:c>
      <x:c r="C80" s="12" t="str">
        <x:v>14–17</x:v>
      </x:c>
      <x:c r="D80" s="12" t="str">
        <x:v>500119076</x:v>
      </x:c>
      <x:c r="E80" s="12" t="str">
        <x:v>臺大博理館西側</x:v>
      </x:c>
      <x:c r="F80" s="12" t="str">
        <x:v>500119064</x:v>
      </x:c>
      <x:c r="G80" s="12" t="str">
        <x:v>臺大明達館機車停車場</x:v>
      </x:c>
      <x:c r="H80" s="12" t="str">
        <x:v>實線</x:v>
      </x:c>
      <x:c r="I80" s="13" t="n">
        <x:v>1</x:v>
      </x:c>
      <x:c r="J80" s="12" t="str">
        <x:v>ZZB-0002</x:v>
      </x:c>
      <x:c r="K80" s="13" t="n">
        <x:v>7</x:v>
      </x:c>
      <x:c r="L80" s="13" t="n">
        <x:v>7</x:v>
      </x:c>
      <x:c r="M80" s="13" t="n">
        <x:v>0</x:v>
      </x:c>
      <x:c r="N80" s="13" t="n">
        <x:v>1</x:v>
      </x:c>
      <x:c r="O80" s="36" t="n">
        <x:v>25.01922</x:v>
      </x:c>
      <x:c r="P80" s="36" t="n">
        <x:v>121.54195</x:v>
      </x:c>
      <x:c r="Q80" s="36" t="n">
        <x:v>25.01754</x:v>
      </x:c>
      <x:c r="R80" s="36" t="n">
        <x:v>121.54398</x:v>
      </x:c>
      <x:c r="S80" s="12" t="str">
        <x:v>是</x:v>
      </x:c>
      <x:c r="T80" s="12" t="str"/>
      <x:c r="U80" s="12" t="str"/>
      <x:c r="V80" s="12" t="str"/>
    </x:row>
    <x:row r="81">
      <x:c r="A81" s="12" t="str">
        <x:v>2026-09-02</x:v>
      </x:c>
      <x:c r="B81" s="12" t="str">
        <x:v>14:00</x:v>
      </x:c>
      <x:c r="C81" s="12" t="str">
        <x:v>14–17</x:v>
      </x:c>
      <x:c r="D81" s="12" t="str">
        <x:v>500119078</x:v>
      </x:c>
      <x:c r="E81" s="12" t="str">
        <x:v>臺大森林館北側</x:v>
      </x:c>
      <x:c r="F81" s="12" t="str">
        <x:v>500119055</x:v>
      </x:c>
      <x:c r="G81" s="12" t="str">
        <x:v>臺大樂學館東側</x:v>
      </x:c>
      <x:c r="H81" s="12" t="str">
        <x:v>實線</x:v>
      </x:c>
      <x:c r="I81" s="13" t="n">
        <x:v>1</x:v>
      </x:c>
      <x:c r="J81" s="12" t="str">
        <x:v>ZZB-0003</x:v>
      </x:c>
      <x:c r="K81" s="13" t="n">
        <x:v>7</x:v>
      </x:c>
      <x:c r="L81" s="13" t="n">
        <x:v>7</x:v>
      </x:c>
      <x:c r="M81" s="13" t="n">
        <x:v>0</x:v>
      </x:c>
      <x:c r="N81" s="13" t="n">
        <x:v>1</x:v>
      </x:c>
      <x:c r="O81" s="36" t="n">
        <x:v>25.01704</x:v>
      </x:c>
      <x:c r="P81" s="36" t="n">
        <x:v>121.53888</x:v>
      </x:c>
      <x:c r="Q81" s="36" t="n">
        <x:v>25.01793</x:v>
      </x:c>
      <x:c r="R81" s="36" t="n">
        <x:v>121.53585</x:v>
      </x:c>
      <x:c r="S81" s="12" t="str">
        <x:v>是</x:v>
      </x:c>
      <x:c r="T81" s="12" t="str"/>
      <x:c r="U81" s="12" t="str"/>
      <x:c r="V81" s="12" t="str"/>
    </x:row>
    <x:row r="82">
      <x:c r="A82" s="12" t="str">
        <x:v>2026-09-02</x:v>
      </x:c>
      <x:c r="B82" s="12" t="str">
        <x:v>14:00</x:v>
      </x:c>
      <x:c r="C82" s="12" t="str">
        <x:v>14–17</x:v>
      </x:c>
      <x:c r="D82" s="12" t="str">
        <x:v>500119086</x:v>
      </x:c>
      <x:c r="E82" s="12" t="str">
        <x:v>臺大圖資系館北側</x:v>
      </x:c>
      <x:c r="F82" s="12" t="str">
        <x:v>500119091</x:v>
      </x:c>
      <x:c r="G82" s="12" t="str">
        <x:v>臺大明達館北側(員工宿舍)</x:v>
      </x:c>
      <x:c r="H82" s="12" t="str">
        <x:v>實線</x:v>
      </x:c>
      <x:c r="I82" s="13" t="n">
        <x:v>1</x:v>
      </x:c>
      <x:c r="J82" s="12" t="str">
        <x:v>ZZB-0003</x:v>
      </x:c>
      <x:c r="K82" s="13" t="n">
        <x:v>7</x:v>
      </x:c>
      <x:c r="L82" s="13" t="n">
        <x:v>7</x:v>
      </x:c>
      <x:c r="M82" s="13" t="n">
        <x:v>0</x:v>
      </x:c>
      <x:c r="N82" s="13" t="n">
        <x:v>1</x:v>
      </x:c>
      <x:c r="O82" s="36" t="n">
        <x:v>25.01804</x:v>
      </x:c>
      <x:c r="P82" s="36" t="n">
        <x:v>121.53928</x:v>
      </x:c>
      <x:c r="Q82" s="36" t="n">
        <x:v>25.01816</x:v>
      </x:c>
      <x:c r="R82" s="36" t="n">
        <x:v>121.54469</x:v>
      </x:c>
      <x:c r="S82" s="12" t="str">
        <x:v>是</x:v>
      </x:c>
      <x:c r="T82" s="12" t="str"/>
      <x:c r="U82" s="12" t="str"/>
      <x:c r="V82" s="12" t="str"/>
    </x:row>
    <x:row r="83">
      <x:c r="A83" s="12" t="str">
        <x:v>2026-09-02</x:v>
      </x:c>
      <x:c r="B83" s="12" t="str">
        <x:v>17:00</x:v>
      </x:c>
      <x:c r="C83" s="12" t="str">
        <x:v>14–17</x:v>
      </x:c>
      <x:c r="D83" s="12" t="str">
        <x:v>500101276</x:v>
      </x:c>
      <x:c r="E83" s="12" t="str">
        <x:v>羅斯福新生南路口</x:v>
      </x:c>
      <x:c r="F83" s="12" t="str">
        <x:v>500119055</x:v>
      </x:c>
      <x:c r="G83" s="12" t="str">
        <x:v>臺大樂學館東側</x:v>
      </x:c>
      <x:c r="H83" s="12" t="str">
        <x:v>虛線</x:v>
      </x:c>
      <x:c r="I83" s="13" t="n">
        <x:v>1</x:v>
      </x:c>
      <x:c r="J83" s="12" t="str">
        <x:v>ZZB-0003</x:v>
      </x:c>
      <x:c r="K83" s="13" t="n">
        <x:v>8</x:v>
      </x:c>
      <x:c r="L83" s="13" t="n">
        <x:v>8</x:v>
      </x:c>
      <x:c r="M83" s="13" t="n">
        <x:v>0</x:v>
      </x:c>
      <x:c r="N83" s="13" t="n">
        <x:v>2</x:v>
      </x:c>
      <x:c r="O83" s="36" t="n">
        <x:v>25.01604</x:v>
      </x:c>
      <x:c r="P83" s="36" t="n">
        <x:v>121.53316</x:v>
      </x:c>
      <x:c r="Q83" s="36" t="n">
        <x:v>25.01793</x:v>
      </x:c>
      <x:c r="R83" s="36" t="n">
        <x:v>121.53585</x:v>
      </x:c>
      <x:c r="S83" s="12" t="str">
        <x:v>否</x:v>
      </x:c>
      <x:c r="T83" s="12" t="str">
        <x:v>任一端站碼非500119*</x:v>
      </x:c>
      <x:c r="U83" s="12" t="str"/>
      <x:c r="V83" s="12" t="str"/>
    </x:row>
    <x:row r="84">
      <x:c r="A84" s="12" t="str">
        <x:v>2026-09-02</x:v>
      </x:c>
      <x:c r="B84" s="12" t="str">
        <x:v>17:00</x:v>
      </x:c>
      <x:c r="C84" s="12" t="str">
        <x:v>14–17</x:v>
      </x:c>
      <x:c r="D84" s="12" t="str">
        <x:v>500101276</x:v>
      </x:c>
      <x:c r="E84" s="12" t="str">
        <x:v>羅斯福新生南路口</x:v>
      </x:c>
      <x:c r="F84" s="12" t="str">
        <x:v>500119065</x:v>
      </x:c>
      <x:c r="G84" s="12" t="str">
        <x:v>臺大二號館</x:v>
      </x:c>
      <x:c r="H84" s="12" t="str">
        <x:v>虛線</x:v>
      </x:c>
      <x:c r="I84" s="13" t="n">
        <x:v>1</x:v>
      </x:c>
      <x:c r="J84" s="12" t="str">
        <x:v>ZZB-0003</x:v>
      </x:c>
      <x:c r="K84" s="13" t="n">
        <x:v>6</x:v>
      </x:c>
      <x:c r="L84" s="13" t="n">
        <x:v>6</x:v>
      </x:c>
      <x:c r="M84" s="13" t="n">
        <x:v>0</x:v>
      </x:c>
      <x:c r="N84" s="13" t="n">
        <x:v>1</x:v>
      </x:c>
      <x:c r="O84" s="36" t="n">
        <x:v>25.01604</x:v>
      </x:c>
      <x:c r="P84" s="36" t="n">
        <x:v>121.53316</x:v>
      </x:c>
      <x:c r="Q84" s="36" t="n">
        <x:v>25.01699</x:v>
      </x:c>
      <x:c r="R84" s="36" t="n">
        <x:v>121.53574</x:v>
      </x:c>
      <x:c r="S84" s="12" t="str">
        <x:v>否</x:v>
      </x:c>
      <x:c r="T84" s="12" t="str">
        <x:v>任一端站碼非500119*</x:v>
      </x:c>
      <x:c r="U84" s="12" t="str"/>
      <x:c r="V84" s="12" t="str"/>
    </x:row>
    <x:row r="85">
      <x:c r="A85" s="12" t="str">
        <x:v>2026-09-02</x:v>
      </x:c>
      <x:c r="B85" s="12" t="str">
        <x:v>17:00</x:v>
      </x:c>
      <x:c r="C85" s="12" t="str">
        <x:v>14–17</x:v>
      </x:c>
      <x:c r="D85" s="12" t="str">
        <x:v>500101276</x:v>
      </x:c>
      <x:c r="E85" s="12" t="str">
        <x:v>羅斯福新生南路口</x:v>
      </x:c>
      <x:c r="F85" s="12" t="str">
        <x:v>500119078</x:v>
      </x:c>
      <x:c r="G85" s="12" t="str">
        <x:v>臺大森林館北側</x:v>
      </x:c>
      <x:c r="H85" s="12" t="str">
        <x:v>虛線</x:v>
      </x:c>
      <x:c r="I85" s="13" t="n">
        <x:v>1</x:v>
      </x:c>
      <x:c r="J85" s="12" t="str">
        <x:v>ZZB-0004</x:v>
      </x:c>
      <x:c r="K85" s="13" t="n">
        <x:v>7</x:v>
      </x:c>
      <x:c r="L85" s="13" t="n">
        <x:v>7</x:v>
      </x:c>
      <x:c r="M85" s="13" t="n">
        <x:v>0</x:v>
      </x:c>
      <x:c r="N85" s="13" t="n">
        <x:v>2</x:v>
      </x:c>
      <x:c r="O85" s="36" t="n">
        <x:v>25.01604</x:v>
      </x:c>
      <x:c r="P85" s="36" t="n">
        <x:v>121.53316</x:v>
      </x:c>
      <x:c r="Q85" s="36" t="n">
        <x:v>25.01704</x:v>
      </x:c>
      <x:c r="R85" s="36" t="n">
        <x:v>121.53888</x:v>
      </x:c>
      <x:c r="S85" s="12" t="str">
        <x:v>否</x:v>
      </x:c>
      <x:c r="T85" s="12" t="str">
        <x:v>任一端站碼非500119*</x:v>
      </x:c>
      <x:c r="U85" s="12" t="str"/>
      <x:c r="V85" s="12" t="str"/>
    </x:row>
    <x:row r="86">
      <x:c r="A86" s="12" t="str">
        <x:v>2026-09-02</x:v>
      </x:c>
      <x:c r="B86" s="12" t="str">
        <x:v>17:00</x:v>
      </x:c>
      <x:c r="C86" s="12" t="str">
        <x:v>14–17</x:v>
      </x:c>
      <x:c r="D86" s="12" t="str">
        <x:v>500101276</x:v>
      </x:c>
      <x:c r="E86" s="12" t="str">
        <x:v>羅斯福新生南路口</x:v>
      </x:c>
      <x:c r="F86" s="12" t="str">
        <x:v>500119079</x:v>
      </x:c>
      <x:c r="G86" s="12" t="str">
        <x:v>臺大一號館</x:v>
      </x:c>
      <x:c r="H86" s="12" t="str">
        <x:v>虛線</x:v>
      </x:c>
      <x:c r="I86" s="13" t="n">
        <x:v>1</x:v>
      </x:c>
      <x:c r="J86" s="12" t="str">
        <x:v>ZZB-0003</x:v>
      </x:c>
      <x:c r="K86" s="13" t="n">
        <x:v>2</x:v>
      </x:c>
      <x:c r="L86" s="13" t="n">
        <x:v>2</x:v>
      </x:c>
      <x:c r="M86" s="13" t="n">
        <x:v>0</x:v>
      </x:c>
      <x:c r="N86" s="13" t="n">
        <x:v>2</x:v>
      </x:c>
      <x:c r="O86" s="36" t="n">
        <x:v>25.01604</x:v>
      </x:c>
      <x:c r="P86" s="36" t="n">
        <x:v>121.53316</x:v>
      </x:c>
      <x:c r="Q86" s="36" t="n">
        <x:v>25.01698</x:v>
      </x:c>
      <x:c r="R86" s="36" t="n">
        <x:v>121.53455</x:v>
      </x:c>
      <x:c r="S86" s="12" t="str">
        <x:v>否</x:v>
      </x:c>
      <x:c r="T86" s="12" t="str">
        <x:v>任一端站碼非500119*</x:v>
      </x:c>
      <x:c r="U86" s="12" t="str"/>
      <x:c r="V86" s="12" t="str"/>
    </x:row>
    <x:row r="87">
      <x:c r="A87" s="12" t="str">
        <x:v>2026-09-02</x:v>
      </x:c>
      <x:c r="B87" s="12" t="str">
        <x:v>17:00</x:v>
      </x:c>
      <x:c r="C87" s="12" t="str">
        <x:v>14–17</x:v>
      </x:c>
      <x:c r="D87" s="12" t="str">
        <x:v>500119045</x:v>
      </x:c>
      <x:c r="E87" s="12" t="str">
        <x:v>臺大農業陳列館北側</x:v>
      </x:c>
      <x:c r="F87" s="12" t="str">
        <x:v>500119050</x:v>
      </x:c>
      <x:c r="G87" s="12" t="str">
        <x:v>臺大小福樓東側</x:v>
      </x:c>
      <x:c r="H87" s="12" t="str">
        <x:v>實線</x:v>
      </x:c>
      <x:c r="I87" s="13" t="n">
        <x:v>1</x:v>
      </x:c>
      <x:c r="J87" s="12" t="str">
        <x:v>ZZB-0002</x:v>
      </x:c>
      <x:c r="K87" s="13" t="n">
        <x:v>7</x:v>
      </x:c>
      <x:c r="L87" s="13" t="n">
        <x:v>7</x:v>
      </x:c>
      <x:c r="M87" s="13" t="n">
        <x:v>0</x:v>
      </x:c>
      <x:c r="N87" s="13" t="n">
        <x:v>1</x:v>
      </x:c>
      <x:c r="O87" s="36" t="n">
        <x:v>25.01839</x:v>
      </x:c>
      <x:c r="P87" s="36" t="n">
        <x:v>121.53404</x:v>
      </x:c>
      <x:c r="Q87" s="36" t="n">
        <x:v>25.01846</x:v>
      </x:c>
      <x:c r="R87" s="36" t="n">
        <x:v>121.5376</x:v>
      </x:c>
      <x:c r="S87" s="12" t="str">
        <x:v>是</x:v>
      </x:c>
      <x:c r="T87" s="12" t="str"/>
      <x:c r="U87" s="12" t="str"/>
      <x:c r="V87" s="12" t="str"/>
    </x:row>
    <x:row r="88">
      <x:c r="A88" s="12" t="str">
        <x:v>2026-09-02</x:v>
      </x:c>
      <x:c r="B88" s="12" t="str">
        <x:v>17:00</x:v>
      </x:c>
      <x:c r="C88" s="12" t="str">
        <x:v>14–17</x:v>
      </x:c>
      <x:c r="D88" s="12" t="str">
        <x:v>500119045</x:v>
      </x:c>
      <x:c r="E88" s="12" t="str">
        <x:v>臺大農業陳列館北側</x:v>
      </x:c>
      <x:c r="F88" s="12" t="str">
        <x:v>500119055</x:v>
      </x:c>
      <x:c r="G88" s="12" t="str">
        <x:v>臺大樂學館東側</x:v>
      </x:c>
      <x:c r="H88" s="12" t="str">
        <x:v>實線</x:v>
      </x:c>
      <x:c r="I88" s="13" t="n">
        <x:v>1</x:v>
      </x:c>
      <x:c r="J88" s="12" t="str">
        <x:v>ZZB-0003</x:v>
      </x:c>
      <x:c r="K88" s="13" t="n">
        <x:v>1</x:v>
      </x:c>
      <x:c r="L88" s="13" t="n">
        <x:v>1</x:v>
      </x:c>
      <x:c r="M88" s="13" t="n">
        <x:v>0</x:v>
      </x:c>
      <x:c r="N88" s="13" t="n">
        <x:v>1</x:v>
      </x:c>
      <x:c r="O88" s="36" t="n">
        <x:v>25.01839</x:v>
      </x:c>
      <x:c r="P88" s="36" t="n">
        <x:v>121.53404</x:v>
      </x:c>
      <x:c r="Q88" s="36" t="n">
        <x:v>25.01793</x:v>
      </x:c>
      <x:c r="R88" s="36" t="n">
        <x:v>121.53585</x:v>
      </x:c>
      <x:c r="S88" s="12" t="str">
        <x:v>是</x:v>
      </x:c>
      <x:c r="T88" s="12" t="str"/>
      <x:c r="U88" s="12" t="str"/>
      <x:c r="V88" s="12" t="str"/>
    </x:row>
    <x:row r="89">
      <x:c r="A89" s="12" t="str">
        <x:v>2026-09-02</x:v>
      </x:c>
      <x:c r="B89" s="12" t="str">
        <x:v>17:00</x:v>
      </x:c>
      <x:c r="C89" s="12" t="str">
        <x:v>14–17</x:v>
      </x:c>
      <x:c r="D89" s="12" t="str">
        <x:v>500119045</x:v>
      </x:c>
      <x:c r="E89" s="12" t="str">
        <x:v>臺大農業陳列館北側</x:v>
      </x:c>
      <x:c r="F89" s="12" t="str">
        <x:v>500119079</x:v>
      </x:c>
      <x:c r="G89" s="12" t="str">
        <x:v>臺大一號館</x:v>
      </x:c>
      <x:c r="H89" s="12" t="str">
        <x:v>實線</x:v>
      </x:c>
      <x:c r="I89" s="13" t="n">
        <x:v>1</x:v>
      </x:c>
      <x:c r="J89" s="12" t="str">
        <x:v>ZZB-0003</x:v>
      </x:c>
      <x:c r="K89" s="13" t="n">
        <x:v>7</x:v>
      </x:c>
      <x:c r="L89" s="13" t="n">
        <x:v>7</x:v>
      </x:c>
      <x:c r="M89" s="13" t="n">
        <x:v>0</x:v>
      </x:c>
      <x:c r="N89" s="13" t="n">
        <x:v>1</x:v>
      </x:c>
      <x:c r="O89" s="36" t="n">
        <x:v>25.01839</x:v>
      </x:c>
      <x:c r="P89" s="36" t="n">
        <x:v>121.53404</x:v>
      </x:c>
      <x:c r="Q89" s="36" t="n">
        <x:v>25.01698</x:v>
      </x:c>
      <x:c r="R89" s="36" t="n">
        <x:v>121.53455</x:v>
      </x:c>
      <x:c r="S89" s="12" t="str">
        <x:v>是</x:v>
      </x:c>
      <x:c r="T89" s="12" t="str"/>
      <x:c r="U89" s="12" t="str"/>
      <x:c r="V89" s="12" t="str"/>
    </x:row>
    <x:row r="90">
      <x:c r="A90" s="12" t="str">
        <x:v>2026-09-02</x:v>
      </x:c>
      <x:c r="B90" s="12" t="str">
        <x:v>18:00</x:v>
      </x:c>
      <x:c r="C90" s="12" t="str">
        <x:v>18–21</x:v>
      </x:c>
      <x:c r="D90" s="12" t="str">
        <x:v>500101276</x:v>
      </x:c>
      <x:c r="E90" s="12" t="str">
        <x:v>羅斯福新生南路口</x:v>
      </x:c>
      <x:c r="F90" s="12" t="str">
        <x:v>500119050</x:v>
      </x:c>
      <x:c r="G90" s="12" t="str">
        <x:v>臺大小福樓東側</x:v>
      </x:c>
      <x:c r="H90" s="12" t="str">
        <x:v>虛線</x:v>
      </x:c>
      <x:c r="I90" s="13" t="n">
        <x:v>1</x:v>
      </x:c>
      <x:c r="J90" s="12" t="str">
        <x:v>ZZB-0003</x:v>
      </x:c>
      <x:c r="K90" s="13" t="n">
        <x:v>6</x:v>
      </x:c>
      <x:c r="L90" s="13" t="n">
        <x:v>6</x:v>
      </x:c>
      <x:c r="M90" s="13" t="n">
        <x:v>0</x:v>
      </x:c>
      <x:c r="N90" s="13" t="n">
        <x:v>2</x:v>
      </x:c>
      <x:c r="O90" s="36" t="n">
        <x:v>25.01604</x:v>
      </x:c>
      <x:c r="P90" s="36" t="n">
        <x:v>121.53316</x:v>
      </x:c>
      <x:c r="Q90" s="36" t="n">
        <x:v>25.01846</x:v>
      </x:c>
      <x:c r="R90" s="36" t="n">
        <x:v>121.5376</x:v>
      </x:c>
      <x:c r="S90" s="12" t="str">
        <x:v>否</x:v>
      </x:c>
      <x:c r="T90" s="12" t="str">
        <x:v>任一端站碼非500119*</x:v>
      </x:c>
      <x:c r="U90" s="12" t="str"/>
      <x:c r="V90" s="12" t="str"/>
    </x:row>
    <x:row r="91">
      <x:c r="A91" s="12" t="str">
        <x:v>2026-09-02</x:v>
      </x:c>
      <x:c r="B91" s="12" t="str">
        <x:v>18:00</x:v>
      </x:c>
      <x:c r="C91" s="12" t="str">
        <x:v>18–21</x:v>
      </x:c>
      <x:c r="D91" s="12" t="str">
        <x:v>500101276</x:v>
      </x:c>
      <x:c r="E91" s="12" t="str">
        <x:v>羅斯福新生南路口</x:v>
      </x:c>
      <x:c r="F91" s="12" t="str">
        <x:v>500119061</x:v>
      </x:c>
      <x:c r="G91" s="12" t="str">
        <x:v>臺大鹿鳴堂東側</x:v>
      </x:c>
      <x:c r="H91" s="12" t="str">
        <x:v>虛線</x:v>
      </x:c>
      <x:c r="I91" s="13" t="n">
        <x:v>1</x:v>
      </x:c>
      <x:c r="J91" s="12" t="str">
        <x:v>ZZB-0004</x:v>
      </x:c>
      <x:c r="K91" s="13" t="n">
        <x:v>6</x:v>
      </x:c>
      <x:c r="L91" s="13" t="n">
        <x:v>6</x:v>
      </x:c>
      <x:c r="M91" s="13" t="n">
        <x:v>0</x:v>
      </x:c>
      <x:c r="N91" s="13" t="n">
        <x:v>1</x:v>
      </x:c>
      <x:c r="O91" s="36" t="n">
        <x:v>25.01604</x:v>
      </x:c>
      <x:c r="P91" s="36" t="n">
        <x:v>121.53316</x:v>
      </x:c>
      <x:c r="Q91" s="36" t="n">
        <x:v>25.01511</x:v>
      </x:c>
      <x:c r="R91" s="36" t="n">
        <x:v>121.53786</x:v>
      </x:c>
      <x:c r="S91" s="12" t="str">
        <x:v>否</x:v>
      </x:c>
      <x:c r="T91" s="12" t="str">
        <x:v>任一端站碼非500119*</x:v>
      </x:c>
      <x:c r="U91" s="12" t="str"/>
      <x:c r="V91" s="12" t="str"/>
    </x:row>
    <x:row r="92">
      <x:c r="A92" s="12" t="str">
        <x:v>2026-09-02</x:v>
      </x:c>
      <x:c r="B92" s="12" t="str">
        <x:v>18:00</x:v>
      </x:c>
      <x:c r="C92" s="12" t="str">
        <x:v>18–21</x:v>
      </x:c>
      <x:c r="D92" s="12" t="str">
        <x:v>500101276</x:v>
      </x:c>
      <x:c r="E92" s="12" t="str">
        <x:v>羅斯福新生南路口</x:v>
      </x:c>
      <x:c r="F92" s="12" t="str">
        <x:v>500119065</x:v>
      </x:c>
      <x:c r="G92" s="12" t="str">
        <x:v>臺大二號館</x:v>
      </x:c>
      <x:c r="H92" s="12" t="str">
        <x:v>虛線</x:v>
      </x:c>
      <x:c r="I92" s="13" t="n">
        <x:v>1</x:v>
      </x:c>
      <x:c r="J92" s="12" t="str">
        <x:v>ZZB-0003</x:v>
      </x:c>
      <x:c r="K92" s="13" t="n">
        <x:v>1</x:v>
      </x:c>
      <x:c r="L92" s="13" t="n">
        <x:v>0</x:v>
      </x:c>
      <x:c r="M92" s="13" t="n">
        <x:v>1</x:v>
      </x:c>
      <x:c r="N92" s="13" t="n">
        <x:v>1</x:v>
      </x:c>
      <x:c r="O92" s="36" t="n">
        <x:v>25.01604</x:v>
      </x:c>
      <x:c r="P92" s="36" t="n">
        <x:v>121.53316</x:v>
      </x:c>
      <x:c r="Q92" s="36" t="n">
        <x:v>25.01699</x:v>
      </x:c>
      <x:c r="R92" s="36" t="n">
        <x:v>121.53574</x:v>
      </x:c>
      <x:c r="S92" s="12" t="str">
        <x:v>否</x:v>
      </x:c>
      <x:c r="T92" s="12" t="str">
        <x:v>任一端站碼非500119*</x:v>
      </x:c>
      <x:c r="U92" s="12" t="str"/>
      <x:c r="V92" s="12" t="str"/>
    </x:row>
    <x:row r="93">
      <x:c r="A93" s="12" t="str">
        <x:v>2026-09-02</x:v>
      </x:c>
      <x:c r="B93" s="12" t="str">
        <x:v>18:00</x:v>
      </x:c>
      <x:c r="C93" s="12" t="str">
        <x:v>18–21</x:v>
      </x:c>
      <x:c r="D93" s="12" t="str">
        <x:v>500101276</x:v>
      </x:c>
      <x:c r="E93" s="12" t="str">
        <x:v>羅斯福新生南路口</x:v>
      </x:c>
      <x:c r="F93" s="12" t="str">
        <x:v>500119078</x:v>
      </x:c>
      <x:c r="G93" s="12" t="str">
        <x:v>臺大森林館北側</x:v>
      </x:c>
      <x:c r="H93" s="12" t="str">
        <x:v>虛線</x:v>
      </x:c>
      <x:c r="I93" s="13" t="n">
        <x:v>1</x:v>
      </x:c>
      <x:c r="J93" s="12" t="str">
        <x:v>ZZB-0004</x:v>
      </x:c>
      <x:c r="K93" s="13" t="n">
        <x:v>1</x:v>
      </x:c>
      <x:c r="L93" s="13" t="n">
        <x:v>1</x:v>
      </x:c>
      <x:c r="M93" s="13" t="n">
        <x:v>0</x:v>
      </x:c>
      <x:c r="N93" s="13" t="n">
        <x:v>1</x:v>
      </x:c>
      <x:c r="O93" s="36" t="n">
        <x:v>25.01604</x:v>
      </x:c>
      <x:c r="P93" s="36" t="n">
        <x:v>121.53316</x:v>
      </x:c>
      <x:c r="Q93" s="36" t="n">
        <x:v>25.01704</x:v>
      </x:c>
      <x:c r="R93" s="36" t="n">
        <x:v>121.53888</x:v>
      </x:c>
      <x:c r="S93" s="12" t="str">
        <x:v>否</x:v>
      </x:c>
      <x:c r="T93" s="12" t="str">
        <x:v>任一端站碼非500119*</x:v>
      </x:c>
      <x:c r="U93" s="12" t="str"/>
      <x:c r="V93" s="12" t="str"/>
    </x:row>
    <x:row r="94">
      <x:c r="A94" s="12" t="str">
        <x:v>2026-09-02</x:v>
      </x:c>
      <x:c r="B94" s="12" t="str">
        <x:v>18:00</x:v>
      </x:c>
      <x:c r="C94" s="12" t="str">
        <x:v>18–21</x:v>
      </x:c>
      <x:c r="D94" s="12" t="str">
        <x:v>500101276</x:v>
      </x:c>
      <x:c r="E94" s="12" t="str">
        <x:v>羅斯福新生南路口</x:v>
      </x:c>
      <x:c r="F94" s="12" t="str">
        <x:v>500119079</x:v>
      </x:c>
      <x:c r="G94" s="12" t="str">
        <x:v>臺大一號館</x:v>
      </x:c>
      <x:c r="H94" s="12" t="str">
        <x:v>虛線</x:v>
      </x:c>
      <x:c r="I94" s="13" t="n">
        <x:v>1</x:v>
      </x:c>
      <x:c r="J94" s="12" t="str">
        <x:v>ZZB-0003</x:v>
      </x:c>
      <x:c r="K94" s="13" t="n">
        <x:v>6</x:v>
      </x:c>
      <x:c r="L94" s="13" t="n">
        <x:v>5</x:v>
      </x:c>
      <x:c r="M94" s="13" t="n">
        <x:v>1</x:v>
      </x:c>
      <x:c r="N94" s="13" t="n">
        <x:v>2</x:v>
      </x:c>
      <x:c r="O94" s="36" t="n">
        <x:v>25.01604</x:v>
      </x:c>
      <x:c r="P94" s="36" t="n">
        <x:v>121.53316</x:v>
      </x:c>
      <x:c r="Q94" s="36" t="n">
        <x:v>25.01698</x:v>
      </x:c>
      <x:c r="R94" s="36" t="n">
        <x:v>121.53455</x:v>
      </x:c>
      <x:c r="S94" s="12" t="str">
        <x:v>否</x:v>
      </x:c>
      <x:c r="T94" s="12" t="str">
        <x:v>任一端站碼非500119*</x:v>
      </x:c>
      <x:c r="U94" s="12" t="str"/>
      <x:c r="V94" s="12" t="str"/>
    </x:row>
    <x:row r="95">
      <x:c r="A95" s="12" t="str">
        <x:v>2026-09-02</x:v>
      </x:c>
      <x:c r="B95" s="12" t="str">
        <x:v>18:00</x:v>
      </x:c>
      <x:c r="C95" s="12" t="str">
        <x:v>18–21</x:v>
      </x:c>
      <x:c r="D95" s="12" t="str">
        <x:v>500101276</x:v>
      </x:c>
      <x:c r="E95" s="12" t="str">
        <x:v>羅斯福新生南路口</x:v>
      </x:c>
      <x:c r="F95" s="12" t="str">
        <x:v>500119082</x:v>
      </x:c>
      <x:c r="G95" s="12" t="str">
        <x:v>臺大四號館東北側</x:v>
      </x:c>
      <x:c r="H95" s="12" t="str">
        <x:v>虛線</x:v>
      </x:c>
      <x:c r="I95" s="13" t="n">
        <x:v>1</x:v>
      </x:c>
      <x:c r="J95" s="12" t="str">
        <x:v>ZZB-0003</x:v>
      </x:c>
      <x:c r="K95" s="13" t="n">
        <x:v>1</x:v>
      </x:c>
      <x:c r="L95" s="13" t="n">
        <x:v>1</x:v>
      </x:c>
      <x:c r="M95" s="13" t="n">
        <x:v>0</x:v>
      </x:c>
      <x:c r="N95" s="13" t="n">
        <x:v>1</x:v>
      </x:c>
      <x:c r="O95" s="36" t="n">
        <x:v>25.01604</x:v>
      </x:c>
      <x:c r="P95" s="36" t="n">
        <x:v>121.53316</x:v>
      </x:c>
      <x:c r="Q95" s="36" t="n">
        <x:v>25.01703</x:v>
      </x:c>
      <x:c r="R95" s="36" t="n">
        <x:v>121.53781</x:v>
      </x:c>
      <x:c r="S95" s="12" t="str">
        <x:v>否</x:v>
      </x:c>
      <x:c r="T95" s="12" t="str">
        <x:v>任一端站碼非500119*</x:v>
      </x:c>
      <x:c r="U95" s="12" t="str"/>
      <x:c r="V95" s="12" t="str"/>
    </x:row>
    <x:row r="96">
      <x:c r="A96" s="12" t="str">
        <x:v>2026-09-02</x:v>
      </x:c>
      <x:c r="B96" s="12" t="str">
        <x:v>18:00</x:v>
      </x:c>
      <x:c r="C96" s="12" t="str">
        <x:v>18–21</x:v>
      </x:c>
      <x:c r="D96" s="12" t="str">
        <x:v>500101276</x:v>
      </x:c>
      <x:c r="E96" s="12" t="str">
        <x:v>羅斯福新生南路口</x:v>
      </x:c>
      <x:c r="F96" s="12" t="str">
        <x:v>500119086</x:v>
      </x:c>
      <x:c r="G96" s="12" t="str">
        <x:v>臺大圖資系館北側</x:v>
      </x:c>
      <x:c r="H96" s="12" t="str">
        <x:v>虛線</x:v>
      </x:c>
      <x:c r="I96" s="13" t="n">
        <x:v>1</x:v>
      </x:c>
      <x:c r="J96" s="12" t="str">
        <x:v>ZZB-0004</x:v>
      </x:c>
      <x:c r="K96" s="13" t="n">
        <x:v>14</x:v>
      </x:c>
      <x:c r="L96" s="13" t="n">
        <x:v>14</x:v>
      </x:c>
      <x:c r="M96" s="13" t="n">
        <x:v>0</x:v>
      </x:c>
      <x:c r="N96" s="13" t="n">
        <x:v>4</x:v>
      </x:c>
      <x:c r="O96" s="36" t="n">
        <x:v>25.01604</x:v>
      </x:c>
      <x:c r="P96" s="36" t="n">
        <x:v>121.53316</x:v>
      </x:c>
      <x:c r="Q96" s="36" t="n">
        <x:v>25.01804</x:v>
      </x:c>
      <x:c r="R96" s="36" t="n">
        <x:v>121.53928</x:v>
      </x:c>
      <x:c r="S96" s="12" t="str">
        <x:v>否</x:v>
      </x:c>
      <x:c r="T96" s="12" t="str">
        <x:v>任一端站碼非500119*</x:v>
      </x:c>
      <x:c r="U96" s="12" t="str"/>
      <x:c r="V96" s="12" t="str"/>
    </x:row>
    <x:row r="97">
      <x:c r="A97" s="12" t="str">
        <x:v>2026-09-02</x:v>
      </x:c>
      <x:c r="B97" s="12" t="str">
        <x:v>18:00</x:v>
      </x:c>
      <x:c r="C97" s="12" t="str">
        <x:v>18–21</x:v>
      </x:c>
      <x:c r="D97" s="12" t="str">
        <x:v>500119045</x:v>
      </x:c>
      <x:c r="E97" s="12" t="str">
        <x:v>臺大農業陳列館北側</x:v>
      </x:c>
      <x:c r="F97" s="12" t="str">
        <x:v>500119050</x:v>
      </x:c>
      <x:c r="G97" s="12" t="str">
        <x:v>臺大小福樓東側</x:v>
      </x:c>
      <x:c r="H97" s="12" t="str">
        <x:v>實線</x:v>
      </x:c>
      <x:c r="I97" s="13" t="n">
        <x:v>2</x:v>
      </x:c>
      <x:c r="J97" s="12" t="str">
        <x:v>ZZB-0002、ZZB-0003</x:v>
      </x:c>
      <x:c r="K97" s="13" t="n">
        <x:v>15</x:v>
      </x:c>
      <x:c r="L97" s="13" t="n">
        <x:v>14</x:v>
      </x:c>
      <x:c r="M97" s="13" t="n">
        <x:v>1</x:v>
      </x:c>
      <x:c r="N97" s="13" t="n">
        <x:v>3</x:v>
      </x:c>
      <x:c r="O97" s="36" t="n">
        <x:v>25.01839</x:v>
      </x:c>
      <x:c r="P97" s="36" t="n">
        <x:v>121.53404</x:v>
      </x:c>
      <x:c r="Q97" s="36" t="n">
        <x:v>25.01846</x:v>
      </x:c>
      <x:c r="R97" s="36" t="n">
        <x:v>121.5376</x:v>
      </x:c>
      <x:c r="S97" s="12" t="str">
        <x:v>是</x:v>
      </x:c>
      <x:c r="T97" s="12" t="str"/>
      <x:c r="U97" s="12" t="str"/>
      <x:c r="V97" s="12" t="str"/>
    </x:row>
    <x:row r="98">
      <x:c r="A98" s="12" t="str">
        <x:v>2026-09-02</x:v>
      </x:c>
      <x:c r="B98" s="12" t="str">
        <x:v>18:00</x:v>
      </x:c>
      <x:c r="C98" s="12" t="str">
        <x:v>18–21</x:v>
      </x:c>
      <x:c r="D98" s="12" t="str">
        <x:v>500119045</x:v>
      </x:c>
      <x:c r="E98" s="12" t="str">
        <x:v>臺大農業陳列館北側</x:v>
      </x:c>
      <x:c r="F98" s="12" t="str">
        <x:v>500119055</x:v>
      </x:c>
      <x:c r="G98" s="12" t="str">
        <x:v>臺大樂學館東側</x:v>
      </x:c>
      <x:c r="H98" s="12" t="str">
        <x:v>實線</x:v>
      </x:c>
      <x:c r="I98" s="13" t="n">
        <x:v>1</x:v>
      </x:c>
      <x:c r="J98" s="12" t="str">
        <x:v>ZZB-0003</x:v>
      </x:c>
      <x:c r="K98" s="13" t="n">
        <x:v>1</x:v>
      </x:c>
      <x:c r="L98" s="13" t="n">
        <x:v>1</x:v>
      </x:c>
      <x:c r="M98" s="13" t="n">
        <x:v>0</x:v>
      </x:c>
      <x:c r="N98" s="13" t="n">
        <x:v>1</x:v>
      </x:c>
      <x:c r="O98" s="36" t="n">
        <x:v>25.01839</x:v>
      </x:c>
      <x:c r="P98" s="36" t="n">
        <x:v>121.53404</x:v>
      </x:c>
      <x:c r="Q98" s="36" t="n">
        <x:v>25.01793</x:v>
      </x:c>
      <x:c r="R98" s="36" t="n">
        <x:v>121.53585</x:v>
      </x:c>
      <x:c r="S98" s="12" t="str">
        <x:v>是</x:v>
      </x:c>
      <x:c r="T98" s="12" t="str"/>
      <x:c r="U98" s="12" t="str"/>
      <x:c r="V98" s="12" t="str"/>
    </x:row>
    <x:row r="99">
      <x:c r="A99" s="12" t="str">
        <x:v>2026-09-02</x:v>
      </x:c>
      <x:c r="B99" s="12" t="str">
        <x:v>18:00</x:v>
      </x:c>
      <x:c r="C99" s="12" t="str">
        <x:v>18–21</x:v>
      </x:c>
      <x:c r="D99" s="12" t="str">
        <x:v>500119045</x:v>
      </x:c>
      <x:c r="E99" s="12" t="str">
        <x:v>臺大農業陳列館北側</x:v>
      </x:c>
      <x:c r="F99" s="12" t="str">
        <x:v>500119082</x:v>
      </x:c>
      <x:c r="G99" s="12" t="str">
        <x:v>臺大四號館東北側</x:v>
      </x:c>
      <x:c r="H99" s="12" t="str">
        <x:v>實線</x:v>
      </x:c>
      <x:c r="I99" s="13" t="n">
        <x:v>1</x:v>
      </x:c>
      <x:c r="J99" s="12" t="str">
        <x:v>ZZB-0003</x:v>
      </x:c>
      <x:c r="K99" s="13" t="n">
        <x:v>5</x:v>
      </x:c>
      <x:c r="L99" s="13" t="n">
        <x:v>5</x:v>
      </x:c>
      <x:c r="M99" s="13" t="n">
        <x:v>0</x:v>
      </x:c>
      <x:c r="N99" s="13" t="n">
        <x:v>1</x:v>
      </x:c>
      <x:c r="O99" s="36" t="n">
        <x:v>25.01839</x:v>
      </x:c>
      <x:c r="P99" s="36" t="n">
        <x:v>121.53404</x:v>
      </x:c>
      <x:c r="Q99" s="36" t="n">
        <x:v>25.01703</x:v>
      </x:c>
      <x:c r="R99" s="36" t="n">
        <x:v>121.53781</x:v>
      </x:c>
      <x:c r="S99" s="12" t="str">
        <x:v>是</x:v>
      </x:c>
      <x:c r="T99" s="12" t="str"/>
      <x:c r="U99" s="12" t="str"/>
      <x:c r="V99" s="12" t="str"/>
    </x:row>
    <x:row r="100">
      <x:c r="A100" s="12" t="str">
        <x:v>2026-09-02</x:v>
      </x:c>
      <x:c r="B100" s="12" t="str">
        <x:v>18:00</x:v>
      </x:c>
      <x:c r="C100" s="12" t="str">
        <x:v>18–21</x:v>
      </x:c>
      <x:c r="D100" s="12" t="str">
        <x:v>500119070</x:v>
      </x:c>
      <x:c r="E100" s="12" t="str">
        <x:v>臺大椰林小舖</x:v>
      </x:c>
      <x:c r="F100" s="12" t="str">
        <x:v>500119061</x:v>
      </x:c>
      <x:c r="G100" s="12" t="str">
        <x:v>臺大鹿鳴堂東側</x:v>
      </x:c>
      <x:c r="H100" s="12" t="str">
        <x:v>實線</x:v>
      </x:c>
      <x:c r="I100" s="13" t="n">
        <x:v>1</x:v>
      </x:c>
      <x:c r="J100" s="12" t="str">
        <x:v>ZZB-0002</x:v>
      </x:c>
      <x:c r="K100" s="13" t="n">
        <x:v>7</x:v>
      </x:c>
      <x:c r="L100" s="13" t="n">
        <x:v>7</x:v>
      </x:c>
      <x:c r="M100" s="13" t="n">
        <x:v>0</x:v>
      </x:c>
      <x:c r="N100" s="13" t="n">
        <x:v>1</x:v>
      </x:c>
      <x:c r="O100" s="36" t="n">
        <x:v>25.01561</x:v>
      </x:c>
      <x:c r="P100" s="36" t="n">
        <x:v>121.53583</x:v>
      </x:c>
      <x:c r="Q100" s="36" t="n">
        <x:v>25.01511</x:v>
      </x:c>
      <x:c r="R100" s="36" t="n">
        <x:v>121.53786</x:v>
      </x:c>
      <x:c r="S100" s="12" t="str">
        <x:v>是</x:v>
      </x:c>
      <x:c r="T100" s="12" t="str"/>
      <x:c r="U100" s="12" t="str"/>
      <x:c r="V100" s="12" t="str"/>
    </x:row>
    <x:row r="101">
      <x:c r="A101" s="12" t="str">
        <x:v>2026-09-02</x:v>
      </x:c>
      <x:c r="B101" s="12" t="str">
        <x:v>19:00</x:v>
      </x:c>
      <x:c r="C101" s="12" t="str">
        <x:v>18–21</x:v>
      </x:c>
      <x:c r="D101" s="12" t="str">
        <x:v>500101276</x:v>
      </x:c>
      <x:c r="E101" s="12" t="str">
        <x:v>羅斯福新生南路口</x:v>
      </x:c>
      <x:c r="F101" s="12" t="str">
        <x:v>500119055</x:v>
      </x:c>
      <x:c r="G101" s="12" t="str">
        <x:v>臺大樂學館東側</x:v>
      </x:c>
      <x:c r="H101" s="12" t="str">
        <x:v>虛線</x:v>
      </x:c>
      <x:c r="I101" s="13" t="n">
        <x:v>1</x:v>
      </x:c>
      <x:c r="J101" s="12" t="str">
        <x:v>ZZB-0003</x:v>
      </x:c>
      <x:c r="K101" s="13" t="n">
        <x:v>6</x:v>
      </x:c>
      <x:c r="L101" s="13" t="n">
        <x:v>4</x:v>
      </x:c>
      <x:c r="M101" s="13" t="n">
        <x:v>2</x:v>
      </x:c>
      <x:c r="N101" s="13" t="n">
        <x:v>2</x:v>
      </x:c>
      <x:c r="O101" s="36" t="n">
        <x:v>25.01604</x:v>
      </x:c>
      <x:c r="P101" s="36" t="n">
        <x:v>121.53316</x:v>
      </x:c>
      <x:c r="Q101" s="36" t="n">
        <x:v>25.01793</x:v>
      </x:c>
      <x:c r="R101" s="36" t="n">
        <x:v>121.53585</x:v>
      </x:c>
      <x:c r="S101" s="12" t="str">
        <x:v>否</x:v>
      </x:c>
      <x:c r="T101" s="12" t="str">
        <x:v>任一端站碼非500119*</x:v>
      </x:c>
      <x:c r="U101" s="12" t="str"/>
      <x:c r="V101" s="12" t="str"/>
    </x:row>
    <x:row r="102">
      <x:c r="A102" s="12" t="str">
        <x:v>2026-09-02</x:v>
      </x:c>
      <x:c r="B102" s="12" t="str">
        <x:v>19:00</x:v>
      </x:c>
      <x:c r="C102" s="12" t="str">
        <x:v>18–21</x:v>
      </x:c>
      <x:c r="D102" s="12" t="str">
        <x:v>500101276</x:v>
      </x:c>
      <x:c r="E102" s="12" t="str">
        <x:v>羅斯福新生南路口</x:v>
      </x:c>
      <x:c r="F102" s="12" t="str">
        <x:v>500119082</x:v>
      </x:c>
      <x:c r="G102" s="12" t="str">
        <x:v>臺大四號館東北側</x:v>
      </x:c>
      <x:c r="H102" s="12" t="str">
        <x:v>虛線</x:v>
      </x:c>
      <x:c r="I102" s="13" t="n">
        <x:v>1</x:v>
      </x:c>
      <x:c r="J102" s="12" t="str">
        <x:v>ZZB-0003</x:v>
      </x:c>
      <x:c r="K102" s="13" t="n">
        <x:v>1</x:v>
      </x:c>
      <x:c r="L102" s="13" t="n">
        <x:v>0</x:v>
      </x:c>
      <x:c r="M102" s="13" t="n">
        <x:v>1</x:v>
      </x:c>
      <x:c r="N102" s="13" t="n">
        <x:v>1</x:v>
      </x:c>
      <x:c r="O102" s="36" t="n">
        <x:v>25.01604</x:v>
      </x:c>
      <x:c r="P102" s="36" t="n">
        <x:v>121.53316</x:v>
      </x:c>
      <x:c r="Q102" s="36" t="n">
        <x:v>25.01703</x:v>
      </x:c>
      <x:c r="R102" s="36" t="n">
        <x:v>121.53781</x:v>
      </x:c>
      <x:c r="S102" s="12" t="str">
        <x:v>否</x:v>
      </x:c>
      <x:c r="T102" s="12" t="str">
        <x:v>任一端站碼非500119*</x:v>
      </x:c>
      <x:c r="U102" s="12" t="str"/>
      <x:c r="V102" s="12" t="str"/>
    </x:row>
    <x:row r="103">
      <x:c r="A103" s="12" t="str">
        <x:v>2026-09-02</x:v>
      </x:c>
      <x:c r="B103" s="12" t="str">
        <x:v>19:00</x:v>
      </x:c>
      <x:c r="C103" s="12" t="str">
        <x:v>18–21</x:v>
      </x:c>
      <x:c r="D103" s="12" t="str">
        <x:v>500101276</x:v>
      </x:c>
      <x:c r="E103" s="12" t="str">
        <x:v>羅斯福新生南路口</x:v>
      </x:c>
      <x:c r="F103" s="12" t="str">
        <x:v>500119089</x:v>
      </x:c>
      <x:c r="G103" s="12" t="str">
        <x:v>臺大獸醫館南側</x:v>
      </x:c>
      <x:c r="H103" s="12" t="str">
        <x:v>虛線</x:v>
      </x:c>
      <x:c r="I103" s="13" t="n">
        <x:v>1</x:v>
      </x:c>
      <x:c r="J103" s="12" t="str">
        <x:v>ZZB-0003</x:v>
      </x:c>
      <x:c r="K103" s="13" t="n">
        <x:v>7</x:v>
      </x:c>
      <x:c r="L103" s="13" t="n">
        <x:v>7</x:v>
      </x:c>
      <x:c r="M103" s="13" t="n">
        <x:v>0</x:v>
      </x:c>
      <x:c r="N103" s="13" t="n">
        <x:v>2</x:v>
      </x:c>
      <x:c r="O103" s="36" t="n">
        <x:v>25.01604</x:v>
      </x:c>
      <x:c r="P103" s="36" t="n">
        <x:v>121.53316</x:v>
      </x:c>
      <x:c r="Q103" s="36" t="n">
        <x:v>25.01791</x:v>
      </x:c>
      <x:c r="R103" s="36" t="n">
        <x:v>121.54242</x:v>
      </x:c>
      <x:c r="S103" s="12" t="str">
        <x:v>否</x:v>
      </x:c>
      <x:c r="T103" s="12" t="str">
        <x:v>任一端站碼非500119*</x:v>
      </x:c>
      <x:c r="U103" s="12" t="str"/>
      <x:c r="V103" s="12" t="str"/>
    </x:row>
    <x:row r="104">
      <x:c r="A104" s="12" t="str">
        <x:v>2026-09-02</x:v>
      </x:c>
      <x:c r="B104" s="12" t="str">
        <x:v>19:00</x:v>
      </x:c>
      <x:c r="C104" s="12" t="str">
        <x:v>18–21</x:v>
      </x:c>
      <x:c r="D104" s="12" t="str">
        <x:v>500119048</x:v>
      </x:c>
      <x:c r="E104" s="12" t="str">
        <x:v>臺大大一女舍北側</x:v>
      </x:c>
      <x:c r="F104" s="12" t="str">
        <x:v>500119074</x:v>
      </x:c>
      <x:c r="G104" s="12" t="str">
        <x:v>臺大生命科學館西北側</x:v>
      </x:c>
      <x:c r="H104" s="12" t="str">
        <x:v>實線</x:v>
      </x:c>
      <x:c r="I104" s="13" t="n">
        <x:v>1</x:v>
      </x:c>
      <x:c r="J104" s="12" t="str">
        <x:v>ZZB-0002</x:v>
      </x:c>
      <x:c r="K104" s="13" t="n">
        <x:v>7</x:v>
      </x:c>
      <x:c r="L104" s="13" t="n">
        <x:v>7</x:v>
      </x:c>
      <x:c r="M104" s="13" t="n">
        <x:v>0</x:v>
      </x:c>
      <x:c r="N104" s="13" t="n">
        <x:v>1</x:v>
      </x:c>
      <x:c r="O104" s="36" t="n">
        <x:v>25.01547</x:v>
      </x:c>
      <x:c r="P104" s="36" t="n">
        <x:v>121.53436</x:v>
      </x:c>
      <x:c r="Q104" s="36" t="n">
        <x:v>25.01548</x:v>
      </x:c>
      <x:c r="R104" s="36" t="n">
        <x:v>121.53825</x:v>
      </x:c>
      <x:c r="S104" s="12" t="str">
        <x:v>是</x:v>
      </x:c>
      <x:c r="T104" s="12" t="str"/>
      <x:c r="U104" s="12" t="str"/>
      <x:c r="V104" s="12" t="str"/>
    </x:row>
    <x:row r="105">
      <x:c r="A105" s="12" t="str">
        <x:v>2026-09-02</x:v>
      </x:c>
      <x:c r="B105" s="12" t="str">
        <x:v>19:00</x:v>
      </x:c>
      <x:c r="C105" s="12" t="str">
        <x:v>18–21</x:v>
      </x:c>
      <x:c r="D105" s="12" t="str">
        <x:v>500119070</x:v>
      </x:c>
      <x:c r="E105" s="12" t="str">
        <x:v>臺大椰林小舖</x:v>
      </x:c>
      <x:c r="F105" s="12" t="str">
        <x:v>500119061</x:v>
      </x:c>
      <x:c r="G105" s="12" t="str">
        <x:v>臺大鹿鳴堂東側</x:v>
      </x:c>
      <x:c r="H105" s="12" t="str">
        <x:v>實線</x:v>
      </x:c>
      <x:c r="I105" s="13" t="n">
        <x:v>1</x:v>
      </x:c>
      <x:c r="J105" s="12" t="str">
        <x:v>ZZB-0002</x:v>
      </x:c>
      <x:c r="K105" s="13" t="n">
        <x:v>7</x:v>
      </x:c>
      <x:c r="L105" s="13" t="n">
        <x:v>7</x:v>
      </x:c>
      <x:c r="M105" s="13" t="n">
        <x:v>0</x:v>
      </x:c>
      <x:c r="N105" s="13" t="n">
        <x:v>1</x:v>
      </x:c>
      <x:c r="O105" s="36" t="n">
        <x:v>25.01561</x:v>
      </x:c>
      <x:c r="P105" s="36" t="n">
        <x:v>121.53583</x:v>
      </x:c>
      <x:c r="Q105" s="36" t="n">
        <x:v>25.01511</x:v>
      </x:c>
      <x:c r="R105" s="36" t="n">
        <x:v>121.53786</x:v>
      </x:c>
      <x:c r="S105" s="12" t="str">
        <x:v>是</x:v>
      </x:c>
      <x:c r="T105" s="12" t="str"/>
      <x:c r="U105" s="12" t="str"/>
      <x:c r="V105" s="12" t="str"/>
    </x:row>
    <x:row r="106">
      <x:c r="A106" s="12" t="str">
        <x:v>2026-09-02</x:v>
      </x:c>
      <x:c r="B106" s="12" t="str">
        <x:v>21:00</x:v>
      </x:c>
      <x:c r="C106" s="12" t="str">
        <x:v>18–21</x:v>
      </x:c>
      <x:c r="D106" s="12" t="str">
        <x:v>500101181</x:v>
      </x:c>
      <x:c r="E106" s="12" t="str">
        <x:v>捷運公館站(3號出口)</x:v>
      </x:c>
      <x:c r="F106" s="12" t="str">
        <x:v>500119061</x:v>
      </x:c>
      <x:c r="G106" s="12" t="str">
        <x:v>臺大鹿鳴堂東側</x:v>
      </x:c>
      <x:c r="H106" s="12" t="str">
        <x:v>虛線</x:v>
      </x:c>
      <x:c r="I106" s="13" t="n">
        <x:v>1</x:v>
      </x:c>
      <x:c r="J106" s="12" t="str">
        <x:v>ZZB-0004</x:v>
      </x:c>
      <x:c r="K106" s="13" t="n">
        <x:v>1</x:v>
      </x:c>
      <x:c r="L106" s="13" t="n">
        <x:v>1</x:v>
      </x:c>
      <x:c r="M106" s="13" t="n">
        <x:v>0</x:v>
      </x:c>
      <x:c r="N106" s="13" t="n">
        <x:v>1</x:v>
      </x:c>
      <x:c r="O106" s="36" t="n">
        <x:v>25.01551</x:v>
      </x:c>
      <x:c r="P106" s="36" t="n">
        <x:v>121.53374</x:v>
      </x:c>
      <x:c r="Q106" s="36" t="n">
        <x:v>25.01511</x:v>
      </x:c>
      <x:c r="R106" s="36" t="n">
        <x:v>121.53786</x:v>
      </x:c>
      <x:c r="S106" s="12" t="str">
        <x:v>否</x:v>
      </x:c>
      <x:c r="T106" s="12" t="str">
        <x:v>任一端站碼非500119*</x:v>
      </x:c>
      <x:c r="U106" s="12" t="str"/>
      <x:c r="V106" s="12" t="str"/>
    </x:row>
    <x:row r="107">
      <x:c r="A107" s="12" t="str">
        <x:v>2026-09-02</x:v>
      </x:c>
      <x:c r="B107" s="12" t="str">
        <x:v>21:00</x:v>
      </x:c>
      <x:c r="C107" s="12" t="str">
        <x:v>18–21</x:v>
      </x:c>
      <x:c r="D107" s="12" t="str">
        <x:v>500101181</x:v>
      </x:c>
      <x:c r="E107" s="12" t="str">
        <x:v>捷運公館站(3號出口)</x:v>
      </x:c>
      <x:c r="F107" s="12" t="str">
        <x:v>500119086</x:v>
      </x:c>
      <x:c r="G107" s="12" t="str">
        <x:v>臺大圖資系館北側</x:v>
      </x:c>
      <x:c r="H107" s="12" t="str">
        <x:v>虛線</x:v>
      </x:c>
      <x:c r="I107" s="13" t="n">
        <x:v>1</x:v>
      </x:c>
      <x:c r="J107" s="12" t="str">
        <x:v>ZZB-0004</x:v>
      </x:c>
      <x:c r="K107" s="13" t="n">
        <x:v>6</x:v>
      </x:c>
      <x:c r="L107" s="13" t="n">
        <x:v>6</x:v>
      </x:c>
      <x:c r="M107" s="13" t="n">
        <x:v>0</x:v>
      </x:c>
      <x:c r="N107" s="13" t="n">
        <x:v>1</x:v>
      </x:c>
      <x:c r="O107" s="36" t="n">
        <x:v>25.01551</x:v>
      </x:c>
      <x:c r="P107" s="36" t="n">
        <x:v>121.53374</x:v>
      </x:c>
      <x:c r="Q107" s="36" t="n">
        <x:v>25.01804</x:v>
      </x:c>
      <x:c r="R107" s="36" t="n">
        <x:v>121.53928</x:v>
      </x:c>
      <x:c r="S107" s="12" t="str">
        <x:v>否</x:v>
      </x:c>
      <x:c r="T107" s="12" t="str">
        <x:v>任一端站碼非500119*</x:v>
      </x:c>
      <x:c r="U107" s="12" t="str"/>
      <x:c r="V107" s="12" t="str"/>
    </x:row>
    <x:row r="108">
      <x:c r="A108" s="12" t="str">
        <x:v>2026-09-02</x:v>
      </x:c>
      <x:c r="B108" s="12" t="str">
        <x:v>22:00</x:v>
      </x:c>
      <x:c r="C108" s="12" t="str">
        <x:v>22–23</x:v>
      </x:c>
      <x:c r="D108" s="12" t="str">
        <x:v>500101181</x:v>
      </x:c>
      <x:c r="E108" s="12" t="str">
        <x:v>捷運公館站(3號出口)</x:v>
      </x:c>
      <x:c r="F108" s="12" t="str">
        <x:v>500101181</x:v>
      </x:c>
      <x:c r="G108" s="12" t="str">
        <x:v>捷運公館站(3號出口)</x:v>
      </x:c>
      <x:c r="H108" s="12" t="str">
        <x:v>虛線</x:v>
      </x:c>
      <x:c r="I108" s="13" t="n">
        <x:v>1</x:v>
      </x:c>
      <x:c r="J108" s="12" t="str">
        <x:v>ZZB-0004</x:v>
      </x:c>
      <x:c r="K108" s="13" t="n">
        <x:v>28</x:v>
      </x:c>
      <x:c r="L108" s="13" t="n">
        <x:v>28</x:v>
      </x:c>
      <x:c r="M108" s="13" t="n">
        <x:v>0</x:v>
      </x:c>
      <x:c r="N108" s="13" t="n">
        <x:v>4</x:v>
      </x:c>
      <x:c r="O108" s="36" t="n">
        <x:v>25.01551</x:v>
      </x:c>
      <x:c r="P108" s="36" t="n">
        <x:v>121.53374</x:v>
      </x:c>
      <x:c r="Q108" s="36" t="n">
        <x:v>25.01551</x:v>
      </x:c>
      <x:c r="R108" s="36" t="n">
        <x:v>121.53374</x:v>
      </x:c>
      <x:c r="S108" s="12" t="str">
        <x:v>否</x:v>
      </x:c>
      <x:c r="T108" s="12" t="str">
        <x:v>任一端站碼非500119*</x:v>
      </x:c>
      <x:c r="U108" s="12" t="str"/>
      <x:c r="V108" s="12" t="str"/>
    </x:row>
    <x:row r="109">
      <x:c r="A109" s="12" t="str">
        <x:v>2026-09-02</x:v>
      </x:c>
      <x:c r="B109" s="12" t="str">
        <x:v>22:00</x:v>
      </x:c>
      <x:c r="C109" s="12" t="str">
        <x:v>22–23</x:v>
      </x:c>
      <x:c r="D109" s="12" t="str">
        <x:v>500101181</x:v>
      </x:c>
      <x:c r="E109" s="12" t="str">
        <x:v>捷運公館站(3號出口)</x:v>
      </x:c>
      <x:c r="F109" s="12" t="str">
        <x:v>500119047</x:v>
      </x:c>
      <x:c r="G109" s="12" t="str">
        <x:v>臺大土木系館</x:v>
      </x:c>
      <x:c r="H109" s="12" t="str">
        <x:v>虛線</x:v>
      </x:c>
      <x:c r="I109" s="13" t="n">
        <x:v>1</x:v>
      </x:c>
      <x:c r="J109" s="12" t="str">
        <x:v>ZZB-0004</x:v>
      </x:c>
      <x:c r="K109" s="13" t="n">
        <x:v>4</x:v>
      </x:c>
      <x:c r="L109" s="13" t="n">
        <x:v>4</x:v>
      </x:c>
      <x:c r="M109" s="13" t="n">
        <x:v>0</x:v>
      </x:c>
      <x:c r="N109" s="13" t="n">
        <x:v>2</x:v>
      </x:c>
      <x:c r="O109" s="36" t="n">
        <x:v>25.01551</x:v>
      </x:c>
      <x:c r="P109" s="36" t="n">
        <x:v>121.53374</x:v>
      </x:c>
      <x:c r="Q109" s="36" t="n">
        <x:v>25.01761</x:v>
      </x:c>
      <x:c r="R109" s="36" t="n">
        <x:v>121.53844</x:v>
      </x:c>
      <x:c r="S109" s="12" t="str">
        <x:v>否</x:v>
      </x:c>
      <x:c r="T109" s="12" t="str">
        <x:v>任一端站碼非500119*</x:v>
      </x:c>
      <x:c r="U109" s="12" t="str"/>
      <x:c r="V109" s="12" t="str"/>
    </x:row>
    <x:row r="110">
      <x:c r="A110" s="12" t="str">
        <x:v>2026-09-02</x:v>
      </x:c>
      <x:c r="B110" s="12" t="str">
        <x:v>22:00</x:v>
      </x:c>
      <x:c r="C110" s="12" t="str">
        <x:v>22–23</x:v>
      </x:c>
      <x:c r="D110" s="12" t="str">
        <x:v>500101181</x:v>
      </x:c>
      <x:c r="E110" s="12" t="str">
        <x:v>捷運公館站(3號出口)</x:v>
      </x:c>
      <x:c r="F110" s="12" t="str">
        <x:v>500119059</x:v>
      </x:c>
      <x:c r="G110" s="12" t="str">
        <x:v>臺大共同教室北側</x:v>
      </x:c>
      <x:c r="H110" s="12" t="str">
        <x:v>虛線</x:v>
      </x:c>
      <x:c r="I110" s="13" t="n">
        <x:v>1</x:v>
      </x:c>
      <x:c r="J110" s="12" t="str">
        <x:v>ZZB-0004</x:v>
      </x:c>
      <x:c r="K110" s="13" t="n">
        <x:v>3</x:v>
      </x:c>
      <x:c r="L110" s="13" t="n">
        <x:v>3</x:v>
      </x:c>
      <x:c r="M110" s="13" t="n">
        <x:v>0</x:v>
      </x:c>
      <x:c r="N110" s="13" t="n">
        <x:v>1</x:v>
      </x:c>
      <x:c r="O110" s="36" t="n">
        <x:v>25.01551</x:v>
      </x:c>
      <x:c r="P110" s="36" t="n">
        <x:v>121.53374</x:v>
      </x:c>
      <x:c r="Q110" s="36" t="n">
        <x:v>25.01595</x:v>
      </x:c>
      <x:c r="R110" s="36" t="n">
        <x:v>121.53791</x:v>
      </x:c>
      <x:c r="S110" s="12" t="str">
        <x:v>否</x:v>
      </x:c>
      <x:c r="T110" s="12" t="str">
        <x:v>任一端站碼非500119*</x:v>
      </x:c>
      <x:c r="U110" s="12" t="str"/>
      <x:c r="V110" s="12" t="str"/>
    </x:row>
    <x:row r="111">
      <x:c r="A111" s="12" t="str">
        <x:v>2026-09-02</x:v>
      </x:c>
      <x:c r="B111" s="12" t="str">
        <x:v>22:00</x:v>
      </x:c>
      <x:c r="C111" s="12" t="str">
        <x:v>22–23</x:v>
      </x:c>
      <x:c r="D111" s="12" t="str">
        <x:v>500101181</x:v>
      </x:c>
      <x:c r="E111" s="12" t="str">
        <x:v>捷運公館站(3號出口)</x:v>
      </x:c>
      <x:c r="F111" s="12" t="str">
        <x:v>500119078</x:v>
      </x:c>
      <x:c r="G111" s="12" t="str">
        <x:v>臺大森林館北側</x:v>
      </x:c>
      <x:c r="H111" s="12" t="str">
        <x:v>虛線</x:v>
      </x:c>
      <x:c r="I111" s="13" t="n">
        <x:v>1</x:v>
      </x:c>
      <x:c r="J111" s="12" t="str">
        <x:v>ZZB-0004</x:v>
      </x:c>
      <x:c r="K111" s="13" t="n">
        <x:v>4</x:v>
      </x:c>
      <x:c r="L111" s="13" t="n">
        <x:v>4</x:v>
      </x:c>
      <x:c r="M111" s="13" t="n">
        <x:v>0</x:v>
      </x:c>
      <x:c r="N111" s="13" t="n">
        <x:v>1</x:v>
      </x:c>
      <x:c r="O111" s="36" t="n">
        <x:v>25.01551</x:v>
      </x:c>
      <x:c r="P111" s="36" t="n">
        <x:v>121.53374</x:v>
      </x:c>
      <x:c r="Q111" s="36" t="n">
        <x:v>25.01704</x:v>
      </x:c>
      <x:c r="R111" s="36" t="n">
        <x:v>121.53888</x:v>
      </x:c>
      <x:c r="S111" s="12" t="str">
        <x:v>否</x:v>
      </x:c>
      <x:c r="T111" s="12" t="str">
        <x:v>任一端站碼非500119*</x:v>
      </x:c>
      <x:c r="U111" s="12" t="str"/>
      <x:c r="V111" s="12" t="str"/>
    </x:row>
    <x:row r="112">
      <x:c r="A112" s="12" t="str">
        <x:v>2026-09-02</x:v>
      </x:c>
      <x:c r="B112" s="12" t="str">
        <x:v>22:00</x:v>
      </x:c>
      <x:c r="C112" s="12" t="str">
        <x:v>22–23</x:v>
      </x:c>
      <x:c r="D112" s="12" t="str">
        <x:v>500101181</x:v>
      </x:c>
      <x:c r="E112" s="12" t="str">
        <x:v>捷運公館站(3號出口)</x:v>
      </x:c>
      <x:c r="F112" s="12" t="str">
        <x:v>500119082</x:v>
      </x:c>
      <x:c r="G112" s="12" t="str">
        <x:v>臺大四號館東北側</x:v>
      </x:c>
      <x:c r="H112" s="12" t="str">
        <x:v>虛線</x:v>
      </x:c>
      <x:c r="I112" s="13" t="n">
        <x:v>1</x:v>
      </x:c>
      <x:c r="J112" s="12" t="str">
        <x:v>ZZB-0004</x:v>
      </x:c>
      <x:c r="K112" s="13" t="n">
        <x:v>3</x:v>
      </x:c>
      <x:c r="L112" s="13" t="n">
        <x:v>3</x:v>
      </x:c>
      <x:c r="M112" s="13" t="n">
        <x:v>0</x:v>
      </x:c>
      <x:c r="N112" s="13" t="n">
        <x:v>1</x:v>
      </x:c>
      <x:c r="O112" s="36" t="n">
        <x:v>25.01551</x:v>
      </x:c>
      <x:c r="P112" s="36" t="n">
        <x:v>121.53374</x:v>
      </x:c>
      <x:c r="Q112" s="36" t="n">
        <x:v>25.01703</x:v>
      </x:c>
      <x:c r="R112" s="36" t="n">
        <x:v>121.53781</x:v>
      </x:c>
      <x:c r="S112" s="12" t="str">
        <x:v>否</x:v>
      </x:c>
      <x:c r="T112" s="12" t="str">
        <x:v>任一端站碼非500119*</x:v>
      </x:c>
      <x:c r="U112" s="12" t="str"/>
      <x:c r="V112" s="12" t="str"/>
    </x:row>
    <x:row r="113">
      <x:c r="A113" s="12" t="str">
        <x:v>2026-09-02</x:v>
      </x:c>
      <x:c r="B113" s="12" t="str">
        <x:v>22:00</x:v>
      </x:c>
      <x:c r="C113" s="12" t="str">
        <x:v>22–23</x:v>
      </x:c>
      <x:c r="D113" s="12" t="str">
        <x:v>500101181</x:v>
      </x:c>
      <x:c r="E113" s="12" t="str">
        <x:v>捷運公館站(3號出口)</x:v>
      </x:c>
      <x:c r="F113" s="12" t="str">
        <x:v>500119086</x:v>
      </x:c>
      <x:c r="G113" s="12" t="str">
        <x:v>臺大圖資系館北側</x:v>
      </x:c>
      <x:c r="H113" s="12" t="str">
        <x:v>虛線</x:v>
      </x:c>
      <x:c r="I113" s="13" t="n">
        <x:v>1</x:v>
      </x:c>
      <x:c r="J113" s="12" t="str">
        <x:v>ZZB-0004</x:v>
      </x:c>
      <x:c r="K113" s="13" t="n">
        <x:v>1</x:v>
      </x:c>
      <x:c r="L113" s="13" t="n">
        <x:v>1</x:v>
      </x:c>
      <x:c r="M113" s="13" t="n">
        <x:v>0</x:v>
      </x:c>
      <x:c r="N113" s="13" t="n">
        <x:v>1</x:v>
      </x:c>
      <x:c r="O113" s="36" t="n">
        <x:v>25.01551</x:v>
      </x:c>
      <x:c r="P113" s="36" t="n">
        <x:v>121.53374</x:v>
      </x:c>
      <x:c r="Q113" s="36" t="n">
        <x:v>25.01804</x:v>
      </x:c>
      <x:c r="R113" s="36" t="n">
        <x:v>121.53928</x:v>
      </x:c>
      <x:c r="S113" s="12" t="str">
        <x:v>否</x:v>
      </x:c>
      <x:c r="T113" s="12" t="str">
        <x:v>任一端站碼非500119*</x:v>
      </x:c>
      <x:c r="U113" s="12" t="str"/>
      <x:c r="V113" s="12" t="str"/>
    </x:row>
    <x:row r="114">
      <x:c r="A114" s="12" t="str">
        <x:v>2026-09-02</x:v>
      </x:c>
      <x:c r="B114" s="12" t="str">
        <x:v>23:00</x:v>
      </x:c>
      <x:c r="C114" s="12" t="str">
        <x:v>22–23</x:v>
      </x:c>
      <x:c r="D114" s="12" t="str">
        <x:v>500101181</x:v>
      </x:c>
      <x:c r="E114" s="12" t="str">
        <x:v>捷運公館站(3號出口)</x:v>
      </x:c>
      <x:c r="F114" s="12" t="str">
        <x:v>500101181</x:v>
      </x:c>
      <x:c r="G114" s="12" t="str">
        <x:v>捷運公館站(3號出口)</x:v>
      </x:c>
      <x:c r="H114" s="12" t="str">
        <x:v>虛線</x:v>
      </x:c>
      <x:c r="I114" s="13" t="n">
        <x:v>1</x:v>
      </x:c>
      <x:c r="J114" s="12" t="str">
        <x:v>ZZB-0004</x:v>
      </x:c>
      <x:c r="K114" s="13" t="n">
        <x:v>14</x:v>
      </x:c>
      <x:c r="L114" s="13" t="n">
        <x:v>14</x:v>
      </x:c>
      <x:c r="M114" s="13" t="n">
        <x:v>0</x:v>
      </x:c>
      <x:c r="N114" s="13" t="n">
        <x:v>3</x:v>
      </x:c>
      <x:c r="O114" s="36" t="n">
        <x:v>25.01551</x:v>
      </x:c>
      <x:c r="P114" s="36" t="n">
        <x:v>121.53374</x:v>
      </x:c>
      <x:c r="Q114" s="36" t="n">
        <x:v>25.01551</x:v>
      </x:c>
      <x:c r="R114" s="36" t="n">
        <x:v>121.53374</x:v>
      </x:c>
      <x:c r="S114" s="12" t="str">
        <x:v>否</x:v>
      </x:c>
      <x:c r="T114" s="12" t="str">
        <x:v>任一端站碼非500119*</x:v>
      </x:c>
      <x:c r="U114" s="12" t="str"/>
      <x:c r="V114" s="12" t="str"/>
    </x:row>
    <x:row r="115">
      <x:c r="A115" s="12" t="str">
        <x:v>2026-09-02</x:v>
      </x:c>
      <x:c r="B115" s="12" t="str">
        <x:v>23:00</x:v>
      </x:c>
      <x:c r="C115" s="12" t="str">
        <x:v>22–23</x:v>
      </x:c>
      <x:c r="D115" s="12" t="str">
        <x:v>500101181</x:v>
      </x:c>
      <x:c r="E115" s="12" t="str">
        <x:v>捷運公館站(3號出口)</x:v>
      </x:c>
      <x:c r="F115" s="12" t="str">
        <x:v>500119047</x:v>
      </x:c>
      <x:c r="G115" s="12" t="str">
        <x:v>臺大土木系館</x:v>
      </x:c>
      <x:c r="H115" s="12" t="str">
        <x:v>虛線</x:v>
      </x:c>
      <x:c r="I115" s="13" t="n">
        <x:v>1</x:v>
      </x:c>
      <x:c r="J115" s="12" t="str">
        <x:v>ZZB-0004</x:v>
      </x:c>
      <x:c r="K115" s="13" t="n">
        <x:v>4</x:v>
      </x:c>
      <x:c r="L115" s="13" t="n">
        <x:v>4</x:v>
      </x:c>
      <x:c r="M115" s="13" t="n">
        <x:v>0</x:v>
      </x:c>
      <x:c r="N115" s="13" t="n">
        <x:v>1</x:v>
      </x:c>
      <x:c r="O115" s="36" t="n">
        <x:v>25.01551</x:v>
      </x:c>
      <x:c r="P115" s="36" t="n">
        <x:v>121.53374</x:v>
      </x:c>
      <x:c r="Q115" s="36" t="n">
        <x:v>25.01761</x:v>
      </x:c>
      <x:c r="R115" s="36" t="n">
        <x:v>121.53844</x:v>
      </x:c>
      <x:c r="S115" s="12" t="str">
        <x:v>否</x:v>
      </x:c>
      <x:c r="T115" s="12" t="str">
        <x:v>任一端站碼非500119*</x:v>
      </x:c>
      <x:c r="U115" s="12" t="str"/>
      <x:c r="V115" s="12" t="str"/>
    </x:row>
    <x:row r="116">
      <x:c r="A116" s="12" t="str">
        <x:v>2026-09-02</x:v>
      </x:c>
      <x:c r="B116" s="12" t="str">
        <x:v>23:00</x:v>
      </x:c>
      <x:c r="C116" s="12" t="str">
        <x:v>22–23</x:v>
      </x:c>
      <x:c r="D116" s="12" t="str">
        <x:v>500101181</x:v>
      </x:c>
      <x:c r="E116" s="12" t="str">
        <x:v>捷運公館站(3號出口)</x:v>
      </x:c>
      <x:c r="F116" s="12" t="str">
        <x:v>500119059</x:v>
      </x:c>
      <x:c r="G116" s="12" t="str">
        <x:v>臺大共同教室北側</x:v>
      </x:c>
      <x:c r="H116" s="12" t="str">
        <x:v>虛線</x:v>
      </x:c>
      <x:c r="I116" s="13" t="n">
        <x:v>1</x:v>
      </x:c>
      <x:c r="J116" s="12" t="str">
        <x:v>ZZB-0004</x:v>
      </x:c>
      <x:c r="K116" s="13" t="n">
        <x:v>2</x:v>
      </x:c>
      <x:c r="L116" s="13" t="n">
        <x:v>2</x:v>
      </x:c>
      <x:c r="M116" s="13" t="n">
        <x:v>0</x:v>
      </x:c>
      <x:c r="N116" s="13" t="n">
        <x:v>1</x:v>
      </x:c>
      <x:c r="O116" s="36" t="n">
        <x:v>25.01551</x:v>
      </x:c>
      <x:c r="P116" s="36" t="n">
        <x:v>121.53374</x:v>
      </x:c>
      <x:c r="Q116" s="36" t="n">
        <x:v>25.01595</x:v>
      </x:c>
      <x:c r="R116" s="36" t="n">
        <x:v>121.53791</x:v>
      </x:c>
      <x:c r="S116" s="12" t="str">
        <x:v>否</x:v>
      </x:c>
      <x:c r="T116" s="12" t="str">
        <x:v>任一端站碼非500119*</x:v>
      </x:c>
      <x:c r="U116" s="12" t="str"/>
      <x:c r="V116" s="12" t="str"/>
    </x:row>
    <x:row r="117">
      <x:c r="A117" s="12" t="str">
        <x:v>2026-09-02</x:v>
      </x:c>
      <x:c r="B117" s="12" t="str">
        <x:v>23:00</x:v>
      </x:c>
      <x:c r="C117" s="12" t="str">
        <x:v>22–23</x:v>
      </x:c>
      <x:c r="D117" s="12" t="str">
        <x:v>500101181</x:v>
      </x:c>
      <x:c r="E117" s="12" t="str">
        <x:v>捷運公館站(3號出口)</x:v>
      </x:c>
      <x:c r="F117" s="12" t="str">
        <x:v>500119060</x:v>
      </x:c>
      <x:c r="G117" s="12" t="str">
        <x:v>臺大共同教室東南側</x:v>
      </x:c>
      <x:c r="H117" s="12" t="str">
        <x:v>虛線</x:v>
      </x:c>
      <x:c r="I117" s="13" t="n">
        <x:v>1</x:v>
      </x:c>
      <x:c r="J117" s="12" t="str">
        <x:v>ZZB-0004</x:v>
      </x:c>
      <x:c r="K117" s="13" t="n">
        <x:v>2</x:v>
      </x:c>
      <x:c r="L117" s="13" t="n">
        <x:v>2</x:v>
      </x:c>
      <x:c r="M117" s="13" t="n">
        <x:v>0</x:v>
      </x:c>
      <x:c r="N117" s="13" t="n">
        <x:v>1</x:v>
      </x:c>
      <x:c r="O117" s="36" t="n">
        <x:v>25.01551</x:v>
      </x:c>
      <x:c r="P117" s="36" t="n">
        <x:v>121.53374</x:v>
      </x:c>
      <x:c r="Q117" s="36" t="n">
        <x:v>25.01566</x:v>
      </x:c>
      <x:c r="R117" s="36" t="n">
        <x:v>121.53786</x:v>
      </x:c>
      <x:c r="S117" s="12" t="str">
        <x:v>否</x:v>
      </x:c>
      <x:c r="T117" s="12" t="str">
        <x:v>任一端站碼非500119*</x:v>
      </x:c>
      <x:c r="U117" s="12" t="str"/>
      <x:c r="V117" s="12" t="str"/>
    </x:row>
    <x:row r="118">
      <x:c r="A118" s="12" t="str">
        <x:v>2026-09-02</x:v>
      </x:c>
      <x:c r="B118" s="12" t="str">
        <x:v>23:00</x:v>
      </x:c>
      <x:c r="C118" s="12" t="str">
        <x:v>22–23</x:v>
      </x:c>
      <x:c r="D118" s="12" t="str">
        <x:v>500101181</x:v>
      </x:c>
      <x:c r="E118" s="12" t="str">
        <x:v>捷運公館站(3號出口)</x:v>
      </x:c>
      <x:c r="F118" s="12" t="str">
        <x:v>500119061</x:v>
      </x:c>
      <x:c r="G118" s="12" t="str">
        <x:v>臺大鹿鳴堂東側</x:v>
      </x:c>
      <x:c r="H118" s="12" t="str">
        <x:v>虛線</x:v>
      </x:c>
      <x:c r="I118" s="13" t="n">
        <x:v>1</x:v>
      </x:c>
      <x:c r="J118" s="12" t="str">
        <x:v>ZZB-0004</x:v>
      </x:c>
      <x:c r="K118" s="13" t="n">
        <x:v>3</x:v>
      </x:c>
      <x:c r="L118" s="13" t="n">
        <x:v>3</x:v>
      </x:c>
      <x:c r="M118" s="13" t="n">
        <x:v>0</x:v>
      </x:c>
      <x:c r="N118" s="13" t="n">
        <x:v>1</x:v>
      </x:c>
      <x:c r="O118" s="36" t="n">
        <x:v>25.01551</x:v>
      </x:c>
      <x:c r="P118" s="36" t="n">
        <x:v>121.53374</x:v>
      </x:c>
      <x:c r="Q118" s="36" t="n">
        <x:v>25.01511</x:v>
      </x:c>
      <x:c r="R118" s="36" t="n">
        <x:v>121.53786</x:v>
      </x:c>
      <x:c r="S118" s="12" t="str">
        <x:v>否</x:v>
      </x:c>
      <x:c r="T118" s="12" t="str">
        <x:v>任一端站碼非500119*</x:v>
      </x:c>
      <x:c r="U118" s="12" t="str"/>
      <x:c r="V118" s="12" t="str"/>
    </x:row>
    <x:row r="119">
      <x:c r="A119" s="12" t="str">
        <x:v>2026-09-02</x:v>
      </x:c>
      <x:c r="B119" s="12" t="str">
        <x:v>23:00</x:v>
      </x:c>
      <x:c r="C119" s="12" t="str">
        <x:v>22–23</x:v>
      </x:c>
      <x:c r="D119" s="12" t="str">
        <x:v>500101181</x:v>
      </x:c>
      <x:c r="E119" s="12" t="str">
        <x:v>捷運公館站(3號出口)</x:v>
      </x:c>
      <x:c r="F119" s="12" t="str">
        <x:v>500119086</x:v>
      </x:c>
      <x:c r="G119" s="12" t="str">
        <x:v>臺大圖資系館北側</x:v>
      </x:c>
      <x:c r="H119" s="12" t="str">
        <x:v>虛線</x:v>
      </x:c>
      <x:c r="I119" s="13" t="n">
        <x:v>1</x:v>
      </x:c>
      <x:c r="J119" s="12" t="str">
        <x:v>ZZB-0004</x:v>
      </x:c>
      <x:c r="K119" s="13" t="n">
        <x:v>3</x:v>
      </x:c>
      <x:c r="L119" s="13" t="n">
        <x:v>3</x:v>
      </x:c>
      <x:c r="M119" s="13" t="n">
        <x:v>0</x:v>
      </x:c>
      <x:c r="N119" s="13" t="n">
        <x:v>1</x:v>
      </x:c>
      <x:c r="O119" s="36" t="n">
        <x:v>25.01551</x:v>
      </x:c>
      <x:c r="P119" s="36" t="n">
        <x:v>121.53374</x:v>
      </x:c>
      <x:c r="Q119" s="36" t="n">
        <x:v>25.01804</x:v>
      </x:c>
      <x:c r="R119" s="36" t="n">
        <x:v>121.53928</x:v>
      </x:c>
      <x:c r="S119" s="12" t="str">
        <x:v>否</x:v>
      </x:c>
      <x:c r="T119" s="12" t="str">
        <x:v>任一端站碼非500119*</x:v>
      </x:c>
      <x:c r="U119" s="12" t="str"/>
      <x:c r="V119" s="12" t="str"/>
    </x:row>
    <x:row r="120">
      <x:c r="A120" s="12" t="str">
        <x:v>2026-09-03</x:v>
      </x:c>
      <x:c r="B120" s="12" t="str">
        <x:v>08:00</x:v>
      </x:c>
      <x:c r="C120" s="12" t="str">
        <x:v>06–09</x:v>
      </x:c>
      <x:c r="D120" s="12" t="str">
        <x:v>500119078</x:v>
      </x:c>
      <x:c r="E120" s="12" t="str">
        <x:v>臺大森林館北側</x:v>
      </x:c>
      <x:c r="F120" s="12" t="str">
        <x:v>500119059</x:v>
      </x:c>
      <x:c r="G120" s="12" t="str">
        <x:v>臺大共同教室北側</x:v>
      </x:c>
      <x:c r="H120" s="12" t="str">
        <x:v>實線</x:v>
      </x:c>
      <x:c r="I120" s="13" t="n">
        <x:v>1</x:v>
      </x:c>
      <x:c r="J120" s="12" t="str">
        <x:v>ZZB-0004</x:v>
      </x:c>
      <x:c r="K120" s="13" t="n">
        <x:v>7</x:v>
      </x:c>
      <x:c r="L120" s="13" t="n">
        <x:v>6</x:v>
      </x:c>
      <x:c r="M120" s="13" t="n">
        <x:v>1</x:v>
      </x:c>
      <x:c r="N120" s="13" t="n">
        <x:v>2</x:v>
      </x:c>
      <x:c r="O120" s="36" t="n">
        <x:v>25.01704</x:v>
      </x:c>
      <x:c r="P120" s="36" t="n">
        <x:v>121.53888</x:v>
      </x:c>
      <x:c r="Q120" s="36" t="n">
        <x:v>25.01595</x:v>
      </x:c>
      <x:c r="R120" s="36" t="n">
        <x:v>121.53791</x:v>
      </x:c>
      <x:c r="S120" s="12" t="str">
        <x:v>是</x:v>
      </x:c>
      <x:c r="T120" s="12" t="str"/>
      <x:c r="U120" s="12" t="str"/>
      <x:c r="V120" s="12" t="str"/>
    </x:row>
    <x:row r="121">
      <x:c r="A121" s="12" t="str">
        <x:v>2026-09-03</x:v>
      </x:c>
      <x:c r="B121" s="12" t="str">
        <x:v>08:00</x:v>
      </x:c>
      <x:c r="C121" s="12" t="str">
        <x:v>06–09</x:v>
      </x:c>
      <x:c r="D121" s="12" t="str">
        <x:v>500119086</x:v>
      </x:c>
      <x:c r="E121" s="12" t="str">
        <x:v>臺大圖資系館北側</x:v>
      </x:c>
      <x:c r="F121" s="12" t="str">
        <x:v>500119061</x:v>
      </x:c>
      <x:c r="G121" s="12" t="str">
        <x:v>臺大鹿鳴堂東側</x:v>
      </x:c>
      <x:c r="H121" s="12" t="str">
        <x:v>實線</x:v>
      </x:c>
      <x:c r="I121" s="13" t="n">
        <x:v>1</x:v>
      </x:c>
      <x:c r="J121" s="12" t="str">
        <x:v>ZZB-0004</x:v>
      </x:c>
      <x:c r="K121" s="13" t="n">
        <x:v>7</x:v>
      </x:c>
      <x:c r="L121" s="13" t="n">
        <x:v>7</x:v>
      </x:c>
      <x:c r="M121" s="13" t="n">
        <x:v>0</x:v>
      </x:c>
      <x:c r="N121" s="13" t="n">
        <x:v>1</x:v>
      </x:c>
      <x:c r="O121" s="36" t="n">
        <x:v>25.01804</x:v>
      </x:c>
      <x:c r="P121" s="36" t="n">
        <x:v>121.53928</x:v>
      </x:c>
      <x:c r="Q121" s="36" t="n">
        <x:v>25.01511</x:v>
      </x:c>
      <x:c r="R121" s="36" t="n">
        <x:v>121.53786</x:v>
      </x:c>
      <x:c r="S121" s="12" t="str">
        <x:v>是</x:v>
      </x:c>
      <x:c r="T121" s="12" t="str"/>
      <x:c r="U121" s="12" t="str"/>
      <x:c r="V121" s="12" t="str"/>
    </x:row>
    <x:row r="122">
      <x:c r="A122" s="12" t="str">
        <x:v>2026-09-03</x:v>
      </x:c>
      <x:c r="B122" s="12" t="str">
        <x:v>09:00</x:v>
      </x:c>
      <x:c r="C122" s="12" t="str">
        <x:v>06–09</x:v>
      </x:c>
      <x:c r="D122" s="12" t="str">
        <x:v>500119078</x:v>
      </x:c>
      <x:c r="E122" s="12" t="str">
        <x:v>臺大森林館北側</x:v>
      </x:c>
      <x:c r="F122" s="12" t="str">
        <x:v>500119094</x:v>
      </x:c>
      <x:c r="G122" s="12" t="str">
        <x:v>臺大大一女餐廳廣場</x:v>
      </x:c>
      <x:c r="H122" s="12" t="str">
        <x:v>實線</x:v>
      </x:c>
      <x:c r="I122" s="13" t="n">
        <x:v>1</x:v>
      </x:c>
      <x:c r="J122" s="12" t="str">
        <x:v>ZZB-0004</x:v>
      </x:c>
      <x:c r="K122" s="13" t="n">
        <x:v>7</x:v>
      </x:c>
      <x:c r="L122" s="13" t="n">
        <x:v>7</x:v>
      </x:c>
      <x:c r="M122" s="13" t="n">
        <x:v>0</x:v>
      </x:c>
      <x:c r="N122" s="13" t="n">
        <x:v>1</x:v>
      </x:c>
      <x:c r="O122" s="36" t="n">
        <x:v>25.01704</x:v>
      </x:c>
      <x:c r="P122" s="36" t="n">
        <x:v>121.53888</x:v>
      </x:c>
      <x:c r="Q122" s="36" t="n">
        <x:v>25.01479</x:v>
      </x:c>
      <x:c r="R122" s="36" t="n">
        <x:v>121.53494</x:v>
      </x:c>
      <x:c r="S122" s="12" t="str">
        <x:v>是</x:v>
      </x:c>
      <x:c r="T122" s="12" t="str"/>
      <x:c r="U122" s="12" t="str"/>
      <x:c r="V122" s="12" t="str"/>
    </x:row>
    <x:row r="123">
      <x:c r="A123" s="12" t="str">
        <x:v>2026-09-03</x:v>
      </x:c>
      <x:c r="B123" s="12" t="str">
        <x:v>09:00</x:v>
      </x:c>
      <x:c r="C123" s="12" t="str">
        <x:v>06–09</x:v>
      </x:c>
      <x:c r="D123" s="12" t="str">
        <x:v>500119086</x:v>
      </x:c>
      <x:c r="E123" s="12" t="str">
        <x:v>臺大圖資系館北側</x:v>
      </x:c>
      <x:c r="F123" s="12" t="str">
        <x:v>500119060</x:v>
      </x:c>
      <x:c r="G123" s="12" t="str">
        <x:v>臺大共同教室東南側</x:v>
      </x:c>
      <x:c r="H123" s="12" t="str">
        <x:v>實線</x:v>
      </x:c>
      <x:c r="I123" s="13" t="n">
        <x:v>1</x:v>
      </x:c>
      <x:c r="J123" s="12" t="str">
        <x:v>ZZB-0004</x:v>
      </x:c>
      <x:c r="K123" s="13" t="n">
        <x:v>7</x:v>
      </x:c>
      <x:c r="L123" s="13" t="n">
        <x:v>7</x:v>
      </x:c>
      <x:c r="M123" s="13" t="n">
        <x:v>0</x:v>
      </x:c>
      <x:c r="N123" s="13" t="n">
        <x:v>1</x:v>
      </x:c>
      <x:c r="O123" s="36" t="n">
        <x:v>25.01804</x:v>
      </x:c>
      <x:c r="P123" s="36" t="n">
        <x:v>121.53928</x:v>
      </x:c>
      <x:c r="Q123" s="36" t="n">
        <x:v>25.01566</x:v>
      </x:c>
      <x:c r="R123" s="36" t="n">
        <x:v>121.53786</x:v>
      </x:c>
      <x:c r="S123" s="12" t="str">
        <x:v>是</x:v>
      </x:c>
      <x:c r="T123" s="12" t="str"/>
      <x:c r="U123" s="12" t="str"/>
      <x:c r="V123" s="12" t="str"/>
    </x:row>
    <x:row r="124">
      <x:c r="A124" s="12" t="str">
        <x:v>2026-09-03</x:v>
      </x:c>
      <x:c r="B124" s="12" t="str">
        <x:v>09:00</x:v>
      </x:c>
      <x:c r="C124" s="12" t="str">
        <x:v>06–09</x:v>
      </x:c>
      <x:c r="D124" s="12" t="str">
        <x:v>500119087</x:v>
      </x:c>
      <x:c r="E124" s="12" t="str">
        <x:v>臺大總圖書館西南側</x:v>
      </x:c>
      <x:c r="F124" s="12" t="str">
        <x:v>500119061</x:v>
      </x:c>
      <x:c r="G124" s="12" t="str">
        <x:v>臺大鹿鳴堂東側</x:v>
      </x:c>
      <x:c r="H124" s="12" t="str">
        <x:v>實線</x:v>
      </x:c>
      <x:c r="I124" s="13" t="n">
        <x:v>1</x:v>
      </x:c>
      <x:c r="J124" s="12" t="str">
        <x:v>ZZB-0004</x:v>
      </x:c>
      <x:c r="K124" s="13" t="n">
        <x:v>7</x:v>
      </x:c>
      <x:c r="L124" s="13" t="n">
        <x:v>7</x:v>
      </x:c>
      <x:c r="M124" s="13" t="n">
        <x:v>0</x:v>
      </x:c>
      <x:c r="N124" s="13" t="n">
        <x:v>1</x:v>
      </x:c>
      <x:c r="O124" s="36" t="n">
        <x:v>25.0169</x:v>
      </x:c>
      <x:c r="P124" s="36" t="n">
        <x:v>121.54031</x:v>
      </x:c>
      <x:c r="Q124" s="36" t="n">
        <x:v>25.01511</x:v>
      </x:c>
      <x:c r="R124" s="36" t="n">
        <x:v>121.53786</x:v>
      </x:c>
      <x:c r="S124" s="12" t="str">
        <x:v>是</x:v>
      </x:c>
      <x:c r="T124" s="12" t="str"/>
      <x:c r="U124" s="12" t="str"/>
      <x:c r="V124" s="12" t="str"/>
    </x:row>
    <x:row r="125">
      <x:c r="A125" s="12" t="str">
        <x:v>2026-09-03</x:v>
      </x:c>
      <x:c r="B125" s="12" t="str">
        <x:v>10:00</x:v>
      </x:c>
      <x:c r="C125" s="12" t="str">
        <x:v>10–13</x:v>
      </x:c>
      <x:c r="D125" s="12" t="str">
        <x:v>500119074</x:v>
      </x:c>
      <x:c r="E125" s="12" t="str">
        <x:v>臺大生命科學館西北側</x:v>
      </x:c>
      <x:c r="F125" s="12" t="str">
        <x:v>500119094</x:v>
      </x:c>
      <x:c r="G125" s="12" t="str">
        <x:v>臺大大一女餐廳廣場</x:v>
      </x:c>
      <x:c r="H125" s="12" t="str">
        <x:v>實線</x:v>
      </x:c>
      <x:c r="I125" s="13" t="n">
        <x:v>1</x:v>
      </x:c>
      <x:c r="J125" s="12" t="str">
        <x:v>ZZB-0004</x:v>
      </x:c>
      <x:c r="K125" s="13" t="n">
        <x:v>7</x:v>
      </x:c>
      <x:c r="L125" s="13" t="n">
        <x:v>6</x:v>
      </x:c>
      <x:c r="M125" s="13" t="n">
        <x:v>1</x:v>
      </x:c>
      <x:c r="N125" s="13" t="n">
        <x:v>2</x:v>
      </x:c>
      <x:c r="O125" s="36" t="n">
        <x:v>25.01548</x:v>
      </x:c>
      <x:c r="P125" s="36" t="n">
        <x:v>121.53825</x:v>
      </x:c>
      <x:c r="Q125" s="36" t="n">
        <x:v>25.01479</x:v>
      </x:c>
      <x:c r="R125" s="36" t="n">
        <x:v>121.53494</x:v>
      </x:c>
      <x:c r="S125" s="12" t="str">
        <x:v>是</x:v>
      </x:c>
      <x:c r="T125" s="12" t="str"/>
      <x:c r="U125" s="12" t="str"/>
      <x:c r="V125" s="12" t="str"/>
    </x:row>
    <x:row r="126">
      <x:c r="A126" s="12" t="str">
        <x:v>2026-09-03</x:v>
      </x:c>
      <x:c r="B126" s="12" t="str">
        <x:v>10:00</x:v>
      </x:c>
      <x:c r="C126" s="12" t="str">
        <x:v>10–13</x:v>
      </x:c>
      <x:c r="D126" s="12" t="str">
        <x:v>500119086</x:v>
      </x:c>
      <x:c r="E126" s="12" t="str">
        <x:v>臺大圖資系館北側</x:v>
      </x:c>
      <x:c r="F126" s="12" t="str">
        <x:v>500119059</x:v>
      </x:c>
      <x:c r="G126" s="12" t="str">
        <x:v>臺大共同教室北側</x:v>
      </x:c>
      <x:c r="H126" s="12" t="str">
        <x:v>實線</x:v>
      </x:c>
      <x:c r="I126" s="13" t="n">
        <x:v>1</x:v>
      </x:c>
      <x:c r="J126" s="12" t="str">
        <x:v>ZZB-0004</x:v>
      </x:c>
      <x:c r="K126" s="13" t="n">
        <x:v>7</x:v>
      </x:c>
      <x:c r="L126" s="13" t="n">
        <x:v>7</x:v>
      </x:c>
      <x:c r="M126" s="13" t="n">
        <x:v>0</x:v>
      </x:c>
      <x:c r="N126" s="13" t="n">
        <x:v>1</x:v>
      </x:c>
      <x:c r="O126" s="36" t="n">
        <x:v>25.01804</x:v>
      </x:c>
      <x:c r="P126" s="36" t="n">
        <x:v>121.53928</x:v>
      </x:c>
      <x:c r="Q126" s="36" t="n">
        <x:v>25.01595</x:v>
      </x:c>
      <x:c r="R126" s="36" t="n">
        <x:v>121.53791</x:v>
      </x:c>
      <x:c r="S126" s="12" t="str">
        <x:v>是</x:v>
      </x:c>
      <x:c r="T126" s="12" t="str"/>
      <x:c r="U126" s="12" t="str"/>
      <x:c r="V126" s="12" t="str"/>
    </x:row>
    <x:row r="127">
      <x:c r="A127" s="12" t="str">
        <x:v>2026-09-03</x:v>
      </x:c>
      <x:c r="B127" s="12" t="str">
        <x:v>10:00</x:v>
      </x:c>
      <x:c r="C127" s="12" t="str">
        <x:v>10–13</x:v>
      </x:c>
      <x:c r="D127" s="12" t="str">
        <x:v>500119087</x:v>
      </x:c>
      <x:c r="E127" s="12" t="str">
        <x:v>臺大總圖書館西南側</x:v>
      </x:c>
      <x:c r="F127" s="12" t="str">
        <x:v>500119060</x:v>
      </x:c>
      <x:c r="G127" s="12" t="str">
        <x:v>臺大共同教室東南側</x:v>
      </x:c>
      <x:c r="H127" s="12" t="str">
        <x:v>實線</x:v>
      </x:c>
      <x:c r="I127" s="13" t="n">
        <x:v>1</x:v>
      </x:c>
      <x:c r="J127" s="12" t="str">
        <x:v>ZZB-0004</x:v>
      </x:c>
      <x:c r="K127" s="13" t="n">
        <x:v>7</x:v>
      </x:c>
      <x:c r="L127" s="13" t="n">
        <x:v>5</x:v>
      </x:c>
      <x:c r="M127" s="13" t="n">
        <x:v>2</x:v>
      </x:c>
      <x:c r="N127" s="13" t="n">
        <x:v>2</x:v>
      </x:c>
      <x:c r="O127" s="36" t="n">
        <x:v>25.0169</x:v>
      </x:c>
      <x:c r="P127" s="36" t="n">
        <x:v>121.54031</x:v>
      </x:c>
      <x:c r="Q127" s="36" t="n">
        <x:v>25.01566</x:v>
      </x:c>
      <x:c r="R127" s="36" t="n">
        <x:v>121.53786</x:v>
      </x:c>
      <x:c r="S127" s="12" t="str">
        <x:v>是</x:v>
      </x:c>
      <x:c r="T127" s="12" t="str"/>
      <x:c r="U127" s="12" t="str"/>
      <x:c r="V127" s="12" t="str"/>
    </x:row>
    <x:row r="128">
      <x:c r="A128" s="12" t="str">
        <x:v>2026-09-03</x:v>
      </x:c>
      <x:c r="B128" s="12" t="str">
        <x:v>10:00</x:v>
      </x:c>
      <x:c r="C128" s="12" t="str">
        <x:v>10–13</x:v>
      </x:c>
      <x:c r="D128" s="12" t="str">
        <x:v>500119087</x:v>
      </x:c>
      <x:c r="E128" s="12" t="str">
        <x:v>臺大總圖書館西南側</x:v>
      </x:c>
      <x:c r="F128" s="12" t="str">
        <x:v>500119061</x:v>
      </x:c>
      <x:c r="G128" s="12" t="str">
        <x:v>臺大鹿鳴堂東側</x:v>
      </x:c>
      <x:c r="H128" s="12" t="str">
        <x:v>實線</x:v>
      </x:c>
      <x:c r="I128" s="13" t="n">
        <x:v>1</x:v>
      </x:c>
      <x:c r="J128" s="12" t="str">
        <x:v>ZZB-0004</x:v>
      </x:c>
      <x:c r="K128" s="13" t="n">
        <x:v>7</x:v>
      </x:c>
      <x:c r="L128" s="13" t="n">
        <x:v>7</x:v>
      </x:c>
      <x:c r="M128" s="13" t="n">
        <x:v>0</x:v>
      </x:c>
      <x:c r="N128" s="13" t="n">
        <x:v>1</x:v>
      </x:c>
      <x:c r="O128" s="36" t="n">
        <x:v>25.0169</x:v>
      </x:c>
      <x:c r="P128" s="36" t="n">
        <x:v>121.54031</x:v>
      </x:c>
      <x:c r="Q128" s="36" t="n">
        <x:v>25.01511</x:v>
      </x:c>
      <x:c r="R128" s="36" t="n">
        <x:v>121.53786</x:v>
      </x:c>
      <x:c r="S128" s="12" t="str">
        <x:v>是</x:v>
      </x:c>
      <x:c r="T128" s="12" t="str"/>
      <x:c r="U128" s="12" t="str"/>
      <x:c r="V128" s="12" t="str"/>
    </x:row>
    <x:row r="129">
      <x:c r="A129" s="12" t="str">
        <x:v>2026-09-03</x:v>
      </x:c>
      <x:c r="B129" s="12" t="str">
        <x:v>11:00</x:v>
      </x:c>
      <x:c r="C129" s="12" t="str">
        <x:v>10–13</x:v>
      </x:c>
      <x:c r="D129" s="12" t="str">
        <x:v>500119083</x:v>
      </x:c>
      <x:c r="E129" s="12" t="str">
        <x:v>臺大新生教室南側</x:v>
      </x:c>
      <x:c r="F129" s="12" t="str">
        <x:v>500119070</x:v>
      </x:c>
      <x:c r="G129" s="12" t="str">
        <x:v>臺大椰林小舖</x:v>
      </x:c>
      <x:c r="H129" s="12" t="str">
        <x:v>實線</x:v>
      </x:c>
      <x:c r="I129" s="13" t="n">
        <x:v>1</x:v>
      </x:c>
      <x:c r="J129" s="12" t="str">
        <x:v>ZZB-0004</x:v>
      </x:c>
      <x:c r="K129" s="13" t="n">
        <x:v>7</x:v>
      </x:c>
      <x:c r="L129" s="13" t="n">
        <x:v>7</x:v>
      </x:c>
      <x:c r="M129" s="13" t="n">
        <x:v>0</x:v>
      </x:c>
      <x:c r="N129" s="13" t="n">
        <x:v>1</x:v>
      </x:c>
      <x:c r="O129" s="36" t="n">
        <x:v>25.0196</x:v>
      </x:c>
      <x:c r="P129" s="36" t="n">
        <x:v>121.53846</x:v>
      </x:c>
      <x:c r="Q129" s="36" t="n">
        <x:v>25.01561</x:v>
      </x:c>
      <x:c r="R129" s="36" t="n">
        <x:v>121.53583</x:v>
      </x:c>
      <x:c r="S129" s="12" t="str">
        <x:v>是</x:v>
      </x:c>
      <x:c r="T129" s="12" t="str"/>
      <x:c r="U129" s="12" t="str"/>
      <x:c r="V129" s="12" t="str"/>
    </x:row>
    <x:row r="130">
      <x:c r="A130" s="12" t="str">
        <x:v>2026-09-03</x:v>
      </x:c>
      <x:c r="B130" s="12" t="str">
        <x:v>12:00</x:v>
      </x:c>
      <x:c r="C130" s="12" t="str">
        <x:v>10–13</x:v>
      </x:c>
      <x:c r="D130" s="12" t="str">
        <x:v>500119086</x:v>
      </x:c>
      <x:c r="E130" s="12" t="str">
        <x:v>臺大圖資系館北側</x:v>
      </x:c>
      <x:c r="F130" s="12" t="str">
        <x:v>500119061</x:v>
      </x:c>
      <x:c r="G130" s="12" t="str">
        <x:v>臺大鹿鳴堂東側</x:v>
      </x:c>
      <x:c r="H130" s="12" t="str">
        <x:v>實線</x:v>
      </x:c>
      <x:c r="I130" s="13" t="n">
        <x:v>1</x:v>
      </x:c>
      <x:c r="J130" s="12" t="str">
        <x:v>ZZB-0004</x:v>
      </x:c>
      <x:c r="K130" s="13" t="n">
        <x:v>7</x:v>
      </x:c>
      <x:c r="L130" s="13" t="n">
        <x:v>7</x:v>
      </x:c>
      <x:c r="M130" s="13" t="n">
        <x:v>0</x:v>
      </x:c>
      <x:c r="N130" s="13" t="n">
        <x:v>1</x:v>
      </x:c>
      <x:c r="O130" s="36" t="n">
        <x:v>25.01804</x:v>
      </x:c>
      <x:c r="P130" s="36" t="n">
        <x:v>121.53928</x:v>
      </x:c>
      <x:c r="Q130" s="36" t="n">
        <x:v>25.01511</x:v>
      </x:c>
      <x:c r="R130" s="36" t="n">
        <x:v>121.53786</x:v>
      </x:c>
      <x:c r="S130" s="12" t="str">
        <x:v>是</x:v>
      </x:c>
      <x:c r="T130" s="12" t="str"/>
      <x:c r="U130" s="12" t="str"/>
      <x:c r="V130" s="12" t="str"/>
    </x:row>
    <x:row r="131">
      <x:c r="A131" s="12" t="str">
        <x:v>2026-09-03</x:v>
      </x:c>
      <x:c r="B131" s="12" t="str">
        <x:v>13:00</x:v>
      </x:c>
      <x:c r="C131" s="12" t="str">
        <x:v>10–13</x:v>
      </x:c>
      <x:c r="D131" s="12" t="str">
        <x:v>500119050</x:v>
      </x:c>
      <x:c r="E131" s="12" t="str">
        <x:v>臺大小福樓東側</x:v>
      </x:c>
      <x:c r="F131" s="12" t="str">
        <x:v>500119070</x:v>
      </x:c>
      <x:c r="G131" s="12" t="str">
        <x:v>臺大椰林小舖</x:v>
      </x:c>
      <x:c r="H131" s="12" t="str">
        <x:v>實線</x:v>
      </x:c>
      <x:c r="I131" s="13" t="n">
        <x:v>1</x:v>
      </x:c>
      <x:c r="J131" s="12" t="str">
        <x:v>ZZB-0004</x:v>
      </x:c>
      <x:c r="K131" s="13" t="n">
        <x:v>7</x:v>
      </x:c>
      <x:c r="L131" s="13" t="n">
        <x:v>5</x:v>
      </x:c>
      <x:c r="M131" s="13" t="n">
        <x:v>2</x:v>
      </x:c>
      <x:c r="N131" s="13" t="n">
        <x:v>2</x:v>
      </x:c>
      <x:c r="O131" s="36" t="n">
        <x:v>25.01846</x:v>
      </x:c>
      <x:c r="P131" s="36" t="n">
        <x:v>121.5376</x:v>
      </x:c>
      <x:c r="Q131" s="36" t="n">
        <x:v>25.01561</x:v>
      </x:c>
      <x:c r="R131" s="36" t="n">
        <x:v>121.53583</x:v>
      </x:c>
      <x:c r="S131" s="12" t="str">
        <x:v>是</x:v>
      </x:c>
      <x:c r="T131" s="12" t="str"/>
      <x:c r="U131" s="12" t="str"/>
      <x:c r="V131" s="12" t="str"/>
    </x:row>
    <x:row r="132">
      <x:c r="A132" s="12" t="str">
        <x:v>2026-09-03</x:v>
      </x:c>
      <x:c r="B132" s="12" t="str">
        <x:v>13:00</x:v>
      </x:c>
      <x:c r="C132" s="12" t="str">
        <x:v>10–13</x:v>
      </x:c>
      <x:c r="D132" s="12" t="str">
        <x:v>500119054</x:v>
      </x:c>
      <x:c r="E132" s="12" t="str">
        <x:v>臺大心理系館南側</x:v>
      </x:c>
      <x:c r="F132" s="12" t="str">
        <x:v>500119048</x:v>
      </x:c>
      <x:c r="G132" s="12" t="str">
        <x:v>臺大大一女舍北側</x:v>
      </x:c>
      <x:c r="H132" s="12" t="str">
        <x:v>實線</x:v>
      </x:c>
      <x:c r="I132" s="13" t="n">
        <x:v>1</x:v>
      </x:c>
      <x:c r="J132" s="12" t="str">
        <x:v>ZZB-0004</x:v>
      </x:c>
      <x:c r="K132" s="13" t="n">
        <x:v>7</x:v>
      </x:c>
      <x:c r="L132" s="13" t="n">
        <x:v>6</x:v>
      </x:c>
      <x:c r="M132" s="13" t="n">
        <x:v>1</x:v>
      </x:c>
      <x:c r="N132" s="13" t="n">
        <x:v>2</x:v>
      </x:c>
      <x:c r="O132" s="36" t="n">
        <x:v>25.01941</x:v>
      </x:c>
      <x:c r="P132" s="36" t="n">
        <x:v>121.5404</x:v>
      </x:c>
      <x:c r="Q132" s="36" t="n">
        <x:v>25.01547</x:v>
      </x:c>
      <x:c r="R132" s="36" t="n">
        <x:v>121.53436</x:v>
      </x:c>
      <x:c r="S132" s="12" t="str">
        <x:v>是</x:v>
      </x:c>
      <x:c r="T132" s="12" t="str"/>
      <x:c r="U132" s="12" t="str"/>
      <x:c r="V132" s="12" t="str"/>
    </x:row>
    <x:row r="133">
      <x:c r="A133" s="12" t="str">
        <x:v>2026-09-03</x:v>
      </x:c>
      <x:c r="B133" s="12" t="str">
        <x:v>13:00</x:v>
      </x:c>
      <x:c r="C133" s="12" t="str">
        <x:v>10–13</x:v>
      </x:c>
      <x:c r="D133" s="12" t="str">
        <x:v>500119054</x:v>
      </x:c>
      <x:c r="E133" s="12" t="str">
        <x:v>臺大心理系館南側</x:v>
      </x:c>
      <x:c r="F133" s="12" t="str">
        <x:v>500119094</x:v>
      </x:c>
      <x:c r="G133" s="12" t="str">
        <x:v>臺大大一女餐廳廣場</x:v>
      </x:c>
      <x:c r="H133" s="12" t="str">
        <x:v>實線</x:v>
      </x:c>
      <x:c r="I133" s="13" t="n">
        <x:v>1</x:v>
      </x:c>
      <x:c r="J133" s="12" t="str">
        <x:v>ZZB-0004</x:v>
      </x:c>
      <x:c r="K133" s="13" t="n">
        <x:v>7</x:v>
      </x:c>
      <x:c r="L133" s="13" t="n">
        <x:v>7</x:v>
      </x:c>
      <x:c r="M133" s="13" t="n">
        <x:v>0</x:v>
      </x:c>
      <x:c r="N133" s="13" t="n">
        <x:v>1</x:v>
      </x:c>
      <x:c r="O133" s="36" t="n">
        <x:v>25.01941</x:v>
      </x:c>
      <x:c r="P133" s="36" t="n">
        <x:v>121.5404</x:v>
      </x:c>
      <x:c r="Q133" s="36" t="n">
        <x:v>25.01479</x:v>
      </x:c>
      <x:c r="R133" s="36" t="n">
        <x:v>121.53494</x:v>
      </x:c>
      <x:c r="S133" s="12" t="str">
        <x:v>是</x:v>
      </x:c>
      <x:c r="T133" s="12" t="str"/>
      <x:c r="U133" s="12" t="str"/>
      <x:c r="V133" s="12" t="str"/>
    </x:row>
    <x:row r="134">
      <x:c r="A134" s="12" t="str">
        <x:v>2026-09-03</x:v>
      </x:c>
      <x:c r="B134" s="12" t="str">
        <x:v>14:00</x:v>
      </x:c>
      <x:c r="C134" s="12" t="str">
        <x:v>14–17</x:v>
      </x:c>
      <x:c r="D134" s="12" t="str">
        <x:v>500119074</x:v>
      </x:c>
      <x:c r="E134" s="12" t="str">
        <x:v>臺大生命科學館西北側</x:v>
      </x:c>
      <x:c r="F134" s="12" t="str">
        <x:v>500119091</x:v>
      </x:c>
      <x:c r="G134" s="12" t="str">
        <x:v>臺大明達館北側(員工宿舍)</x:v>
      </x:c>
      <x:c r="H134" s="12" t="str">
        <x:v>實線</x:v>
      </x:c>
      <x:c r="I134" s="13" t="n">
        <x:v>1</x:v>
      </x:c>
      <x:c r="J134" s="12" t="str">
        <x:v>ZZB-0004</x:v>
      </x:c>
      <x:c r="K134" s="13" t="n">
        <x:v>7</x:v>
      </x:c>
      <x:c r="L134" s="13" t="n">
        <x:v>6</x:v>
      </x:c>
      <x:c r="M134" s="13" t="n">
        <x:v>1</x:v>
      </x:c>
      <x:c r="N134" s="13" t="n">
        <x:v>2</x:v>
      </x:c>
      <x:c r="O134" s="36" t="n">
        <x:v>25.01548</x:v>
      </x:c>
      <x:c r="P134" s="36" t="n">
        <x:v>121.53825</x:v>
      </x:c>
      <x:c r="Q134" s="36" t="n">
        <x:v>25.01816</x:v>
      </x:c>
      <x:c r="R134" s="36" t="n">
        <x:v>121.54469</x:v>
      </x:c>
      <x:c r="S134" s="12" t="str">
        <x:v>是</x:v>
      </x:c>
      <x:c r="T134" s="12" t="str"/>
      <x:c r="U134" s="12" t="str"/>
      <x:c r="V134" s="12" t="str"/>
    </x:row>
    <x:row r="135">
      <x:c r="A135" s="12" t="str">
        <x:v>2026-09-04</x:v>
      </x:c>
      <x:c r="B135" s="12" t="str">
        <x:v>07:00</x:v>
      </x:c>
      <x:c r="C135" s="12" t="str">
        <x:v>06–09</x:v>
      </x:c>
      <x:c r="D135" s="12" t="str">
        <x:v>500119052</x:v>
      </x:c>
      <x:c r="E135" s="12" t="str">
        <x:v>臺大工綜館南側</x:v>
      </x:c>
      <x:c r="F135" s="12" t="str">
        <x:v>500119059</x:v>
      </x:c>
      <x:c r="G135" s="12" t="str">
        <x:v>臺大共同教室北側</x:v>
      </x:c>
      <x:c r="H135" s="12" t="str">
        <x:v>實線</x:v>
      </x:c>
      <x:c r="I135" s="13" t="n">
        <x:v>1</x:v>
      </x:c>
      <x:c r="J135" s="12" t="str">
        <x:v>ZZB-0004</x:v>
      </x:c>
      <x:c r="K135" s="13" t="n">
        <x:v>7</x:v>
      </x:c>
      <x:c r="L135" s="13" t="n">
        <x:v>7</x:v>
      </x:c>
      <x:c r="M135" s="13" t="n">
        <x:v>0</x:v>
      </x:c>
      <x:c r="N135" s="13" t="n">
        <x:v>1</x:v>
      </x:c>
      <x:c r="O135" s="36" t="n">
        <x:v>25.01857</x:v>
      </x:c>
      <x:c r="P135" s="36" t="n">
        <x:v>121.54059</x:v>
      </x:c>
      <x:c r="Q135" s="36" t="n">
        <x:v>25.01595</x:v>
      </x:c>
      <x:c r="R135" s="36" t="n">
        <x:v>121.53791</x:v>
      </x:c>
      <x:c r="S135" s="12" t="str">
        <x:v>是</x:v>
      </x:c>
      <x:c r="T135" s="12" t="str"/>
      <x:c r="U135" s="12" t="str"/>
      <x:c r="V135" s="12" t="str"/>
    </x:row>
    <x:row r="136">
      <x:c r="A136" s="12" t="str">
        <x:v>2026-09-04</x:v>
      </x:c>
      <x:c r="B136" s="12" t="str">
        <x:v>08:00</x:v>
      </x:c>
      <x:c r="C136" s="12" t="str">
        <x:v>06–09</x:v>
      </x:c>
      <x:c r="D136" s="12" t="str">
        <x:v>500119049</x:v>
      </x:c>
      <x:c r="E136" s="12" t="str">
        <x:v>臺大女九舍西南側</x:v>
      </x:c>
      <x:c r="F136" s="12" t="str">
        <x:v>500119061</x:v>
      </x:c>
      <x:c r="G136" s="12" t="str">
        <x:v>臺大鹿鳴堂東側</x:v>
      </x:c>
      <x:c r="H136" s="12" t="str">
        <x:v>實線</x:v>
      </x:c>
      <x:c r="I136" s="13" t="n">
        <x:v>1</x:v>
      </x:c>
      <x:c r="J136" s="12" t="str">
        <x:v>ZZB-0004</x:v>
      </x:c>
      <x:c r="K136" s="13" t="n">
        <x:v>7</x:v>
      </x:c>
      <x:c r="L136" s="13" t="n">
        <x:v>7</x:v>
      </x:c>
      <x:c r="M136" s="13" t="n">
        <x:v>0</x:v>
      </x:c>
      <x:c r="N136" s="13" t="n">
        <x:v>1</x:v>
      </x:c>
      <x:c r="O136" s="36" t="n">
        <x:v>25.01981</x:v>
      </x:c>
      <x:c r="P136" s="36" t="n">
        <x:v>121.53903</x:v>
      </x:c>
      <x:c r="Q136" s="36" t="n">
        <x:v>25.01511</x:v>
      </x:c>
      <x:c r="R136" s="36" t="n">
        <x:v>121.53786</x:v>
      </x:c>
      <x:c r="S136" s="12" t="str">
        <x:v>是</x:v>
      </x:c>
      <x:c r="T136" s="12" t="str"/>
      <x:c r="U136" s="12" t="str"/>
      <x:c r="V136" s="12" t="str"/>
    </x:row>
    <x:row r="137">
      <x:c r="A137" s="12" t="str">
        <x:v>2026-09-04</x:v>
      </x:c>
      <x:c r="B137" s="12" t="str">
        <x:v>08:00</x:v>
      </x:c>
      <x:c r="C137" s="12" t="str">
        <x:v>06–09</x:v>
      </x:c>
      <x:c r="D137" s="12" t="str">
        <x:v>500119065</x:v>
      </x:c>
      <x:c r="E137" s="12" t="str">
        <x:v>臺大二號館</x:v>
      </x:c>
      <x:c r="F137" s="12" t="str">
        <x:v>500119060</x:v>
      </x:c>
      <x:c r="G137" s="12" t="str">
        <x:v>臺大共同教室東南側</x:v>
      </x:c>
      <x:c r="H137" s="12" t="str">
        <x:v>實線</x:v>
      </x:c>
      <x:c r="I137" s="13" t="n">
        <x:v>1</x:v>
      </x:c>
      <x:c r="J137" s="12" t="str">
        <x:v>ZZB-0004</x:v>
      </x:c>
      <x:c r="K137" s="13" t="n">
        <x:v>7</x:v>
      </x:c>
      <x:c r="L137" s="13" t="n">
        <x:v>6</x:v>
      </x:c>
      <x:c r="M137" s="13" t="n">
        <x:v>1</x:v>
      </x:c>
      <x:c r="N137" s="13" t="n">
        <x:v>2</x:v>
      </x:c>
      <x:c r="O137" s="36" t="n">
        <x:v>25.01699</x:v>
      </x:c>
      <x:c r="P137" s="36" t="n">
        <x:v>121.53574</x:v>
      </x:c>
      <x:c r="Q137" s="36" t="n">
        <x:v>25.01566</x:v>
      </x:c>
      <x:c r="R137" s="36" t="n">
        <x:v>121.53786</x:v>
      </x:c>
      <x:c r="S137" s="12" t="str">
        <x:v>是</x:v>
      </x:c>
      <x:c r="T137" s="12" t="str"/>
      <x:c r="U137" s="12" t="str"/>
      <x:c r="V137" s="12" t="str"/>
    </x:row>
    <x:row r="138">
      <x:c r="A138" s="12" t="str">
        <x:v>2026-09-04</x:v>
      </x:c>
      <x:c r="B138" s="12" t="str">
        <x:v>09:00</x:v>
      </x:c>
      <x:c r="C138" s="12" t="str">
        <x:v>06–09</x:v>
      </x:c>
      <x:c r="D138" s="12" t="str">
        <x:v>500119072</x:v>
      </x:c>
      <x:c r="E138" s="12" t="str">
        <x:v>臺大原分所北側</x:v>
      </x:c>
      <x:c r="F138" s="12" t="str">
        <x:v>500119048</x:v>
      </x:c>
      <x:c r="G138" s="12" t="str">
        <x:v>臺大大一女舍北側</x:v>
      </x:c>
      <x:c r="H138" s="12" t="str">
        <x:v>實線</x:v>
      </x:c>
      <x:c r="I138" s="13" t="n">
        <x:v>1</x:v>
      </x:c>
      <x:c r="J138" s="12" t="str">
        <x:v>ZZB-0004</x:v>
      </x:c>
      <x:c r="K138" s="13" t="n">
        <x:v>7</x:v>
      </x:c>
      <x:c r="L138" s="13" t="n">
        <x:v>7</x:v>
      </x:c>
      <x:c r="M138" s="13" t="n">
        <x:v>0</x:v>
      </x:c>
      <x:c r="N138" s="13" t="n">
        <x:v>1</x:v>
      </x:c>
      <x:c r="O138" s="36" t="n">
        <x:v>25.01881</x:v>
      </x:c>
      <x:c r="P138" s="36" t="n">
        <x:v>121.53868</x:v>
      </x:c>
      <x:c r="Q138" s="36" t="n">
        <x:v>25.01547</x:v>
      </x:c>
      <x:c r="R138" s="36" t="n">
        <x:v>121.53436</x:v>
      </x:c>
      <x:c r="S138" s="12" t="str">
        <x:v>是</x:v>
      </x:c>
      <x:c r="T138" s="12" t="str"/>
      <x:c r="U138" s="12" t="str"/>
      <x:c r="V138" s="12" t="str"/>
    </x:row>
    <x:row r="139">
      <x:c r="A139" s="12" t="str">
        <x:v>2026-09-04</x:v>
      </x:c>
      <x:c r="B139" s="12" t="str">
        <x:v>09:00</x:v>
      </x:c>
      <x:c r="C139" s="12" t="str">
        <x:v>06–09</x:v>
      </x:c>
      <x:c r="D139" s="12" t="str">
        <x:v>500119072</x:v>
      </x:c>
      <x:c r="E139" s="12" t="str">
        <x:v>臺大原分所北側</x:v>
      </x:c>
      <x:c r="F139" s="12" t="str">
        <x:v>500119060</x:v>
      </x:c>
      <x:c r="G139" s="12" t="str">
        <x:v>臺大共同教室東南側</x:v>
      </x:c>
      <x:c r="H139" s="12" t="str">
        <x:v>實線</x:v>
      </x:c>
      <x:c r="I139" s="13" t="n">
        <x:v>1</x:v>
      </x:c>
      <x:c r="J139" s="12" t="str">
        <x:v>ZZB-0004</x:v>
      </x:c>
      <x:c r="K139" s="13" t="n">
        <x:v>7</x:v>
      </x:c>
      <x:c r="L139" s="13" t="n">
        <x:v>7</x:v>
      </x:c>
      <x:c r="M139" s="13" t="n">
        <x:v>0</x:v>
      </x:c>
      <x:c r="N139" s="13" t="n">
        <x:v>1</x:v>
      </x:c>
      <x:c r="O139" s="36" t="n">
        <x:v>25.01881</x:v>
      </x:c>
      <x:c r="P139" s="36" t="n">
        <x:v>121.53868</x:v>
      </x:c>
      <x:c r="Q139" s="36" t="n">
        <x:v>25.01566</x:v>
      </x:c>
      <x:c r="R139" s="36" t="n">
        <x:v>121.53786</x:v>
      </x:c>
      <x:c r="S139" s="12" t="str">
        <x:v>是</x:v>
      </x:c>
      <x:c r="T139" s="12" t="str"/>
      <x:c r="U139" s="12" t="str"/>
      <x:c r="V139" s="12" t="str"/>
    </x:row>
    <x:row r="140">
      <x:c r="A140" s="12" t="str">
        <x:v>2026-09-04</x:v>
      </x:c>
      <x:c r="B140" s="12" t="str">
        <x:v>09:00</x:v>
      </x:c>
      <x:c r="C140" s="12" t="str">
        <x:v>06–09</x:v>
      </x:c>
      <x:c r="D140" s="12" t="str">
        <x:v>500119075</x:v>
      </x:c>
      <x:c r="E140" s="12" t="str">
        <x:v>臺大第一活動中心西南側</x:v>
      </x:c>
      <x:c r="F140" s="12" t="str">
        <x:v>500119094</x:v>
      </x:c>
      <x:c r="G140" s="12" t="str">
        <x:v>臺大大一女餐廳廣場</x:v>
      </x:c>
      <x:c r="H140" s="12" t="str">
        <x:v>實線</x:v>
      </x:c>
      <x:c r="I140" s="13" t="n">
        <x:v>1</x:v>
      </x:c>
      <x:c r="J140" s="12" t="str">
        <x:v>ZZB-0004</x:v>
      </x:c>
      <x:c r="K140" s="13" t="n">
        <x:v>7</x:v>
      </x:c>
      <x:c r="L140" s="13" t="n">
        <x:v>7</x:v>
      </x:c>
      <x:c r="M140" s="13" t="n">
        <x:v>0</x:v>
      </x:c>
      <x:c r="N140" s="13" t="n">
        <x:v>1</x:v>
      </x:c>
      <x:c r="O140" s="36" t="n">
        <x:v>25.01761</x:v>
      </x:c>
      <x:c r="P140" s="36" t="n">
        <x:v>121.53995</x:v>
      </x:c>
      <x:c r="Q140" s="36" t="n">
        <x:v>25.01479</x:v>
      </x:c>
      <x:c r="R140" s="36" t="n">
        <x:v>121.53494</x:v>
      </x:c>
      <x:c r="S140" s="12" t="str">
        <x:v>是</x:v>
      </x:c>
      <x:c r="T140" s="12" t="str"/>
      <x:c r="U140" s="12" t="str"/>
      <x:c r="V140" s="12" t="str"/>
    </x:row>
    <x:row r="141">
      <x:c r="A141" s="12" t="str">
        <x:v>2026-09-04</x:v>
      </x:c>
      <x:c r="B141" s="12" t="str">
        <x:v>10:00</x:v>
      </x:c>
      <x:c r="C141" s="12" t="str">
        <x:v>10–13</x:v>
      </x:c>
      <x:c r="D141" s="12" t="str">
        <x:v>500119056</x:v>
      </x:c>
      <x:c r="E141" s="12" t="str">
        <x:v>臺大農化新館西側</x:v>
      </x:c>
      <x:c r="F141" s="12" t="str">
        <x:v>500119094</x:v>
      </x:c>
      <x:c r="G141" s="12" t="str">
        <x:v>臺大大一女餐廳廣場</x:v>
      </x:c>
      <x:c r="H141" s="12" t="str">
        <x:v>實線</x:v>
      </x:c>
      <x:c r="I141" s="13" t="n">
        <x:v>1</x:v>
      </x:c>
      <x:c r="J141" s="12" t="str">
        <x:v>ZZB-0004</x:v>
      </x:c>
      <x:c r="K141" s="13" t="n">
        <x:v>4</x:v>
      </x:c>
      <x:c r="L141" s="13" t="n">
        <x:v>3</x:v>
      </x:c>
      <x:c r="M141" s="13" t="n">
        <x:v>1</x:v>
      </x:c>
      <x:c r="N141" s="13" t="n">
        <x:v>2</x:v>
      </x:c>
      <x:c r="O141" s="36" t="n">
        <x:v>25.01627</x:v>
      </x:c>
      <x:c r="P141" s="36" t="n">
        <x:v>121.53535</x:v>
      </x:c>
      <x:c r="Q141" s="36" t="n">
        <x:v>25.01479</x:v>
      </x:c>
      <x:c r="R141" s="36" t="n">
        <x:v>121.53494</x:v>
      </x:c>
      <x:c r="S141" s="12" t="str">
        <x:v>是</x:v>
      </x:c>
      <x:c r="T141" s="12" t="str"/>
      <x:c r="U141" s="12" t="str"/>
      <x:c r="V141" s="12" t="str"/>
    </x:row>
    <x:row r="142">
      <x:c r="A142" s="12" t="str">
        <x:v>2026-09-04</x:v>
      </x:c>
      <x:c r="B142" s="12" t="str">
        <x:v>10:00</x:v>
      </x:c>
      <x:c r="C142" s="12" t="str">
        <x:v>10–13</x:v>
      </x:c>
      <x:c r="D142" s="12" t="str">
        <x:v>500119078</x:v>
      </x:c>
      <x:c r="E142" s="12" t="str">
        <x:v>臺大森林館北側</x:v>
      </x:c>
      <x:c r="F142" s="12" t="str">
        <x:v>500119094</x:v>
      </x:c>
      <x:c r="G142" s="12" t="str">
        <x:v>臺大大一女餐廳廣場</x:v>
      </x:c>
      <x:c r="H142" s="12" t="str">
        <x:v>實線</x:v>
      </x:c>
      <x:c r="I142" s="13" t="n">
        <x:v>1</x:v>
      </x:c>
      <x:c r="J142" s="12" t="str">
        <x:v>ZZB-0004</x:v>
      </x:c>
      <x:c r="K142" s="13" t="n">
        <x:v>3</x:v>
      </x:c>
      <x:c r="L142" s="13" t="n">
        <x:v>3</x:v>
      </x:c>
      <x:c r="M142" s="13" t="n">
        <x:v>0</x:v>
      </x:c>
      <x:c r="N142" s="13" t="n">
        <x:v>1</x:v>
      </x:c>
      <x:c r="O142" s="36" t="n">
        <x:v>25.01704</x:v>
      </x:c>
      <x:c r="P142" s="36" t="n">
        <x:v>121.53888</x:v>
      </x:c>
      <x:c r="Q142" s="36" t="n">
        <x:v>25.01479</x:v>
      </x:c>
      <x:c r="R142" s="36" t="n">
        <x:v>121.53494</x:v>
      </x:c>
      <x:c r="S142" s="12" t="str">
        <x:v>是</x:v>
      </x:c>
      <x:c r="T142" s="12" t="str"/>
      <x:c r="U142" s="12" t="str"/>
      <x:c r="V142" s="12" t="str"/>
    </x:row>
    <x:row r="143">
      <x:c r="A143" s="12" t="str">
        <x:v>2026-09-04</x:v>
      </x:c>
      <x:c r="B143" s="12" t="str">
        <x:v>10:00</x:v>
      </x:c>
      <x:c r="C143" s="12" t="str">
        <x:v>10–13</x:v>
      </x:c>
      <x:c r="D143" s="12" t="str">
        <x:v>500119083</x:v>
      </x:c>
      <x:c r="E143" s="12" t="str">
        <x:v>臺大新生教室南側</x:v>
      </x:c>
      <x:c r="F143" s="12" t="str">
        <x:v>500119048</x:v>
      </x:c>
      <x:c r="G143" s="12" t="str">
        <x:v>臺大大一女舍北側</x:v>
      </x:c>
      <x:c r="H143" s="12" t="str">
        <x:v>實線</x:v>
      </x:c>
      <x:c r="I143" s="13" t="n">
        <x:v>1</x:v>
      </x:c>
      <x:c r="J143" s="12" t="str">
        <x:v>ZZB-0004</x:v>
      </x:c>
      <x:c r="K143" s="13" t="n">
        <x:v>7</x:v>
      </x:c>
      <x:c r="L143" s="13" t="n">
        <x:v>7</x:v>
      </x:c>
      <x:c r="M143" s="13" t="n">
        <x:v>0</x:v>
      </x:c>
      <x:c r="N143" s="13" t="n">
        <x:v>1</x:v>
      </x:c>
      <x:c r="O143" s="36" t="n">
        <x:v>25.0196</x:v>
      </x:c>
      <x:c r="P143" s="36" t="n">
        <x:v>121.53846</x:v>
      </x:c>
      <x:c r="Q143" s="36" t="n">
        <x:v>25.01547</x:v>
      </x:c>
      <x:c r="R143" s="36" t="n">
        <x:v>121.53436</x:v>
      </x:c>
      <x:c r="S143" s="12" t="str">
        <x:v>是</x:v>
      </x:c>
      <x:c r="T143" s="12" t="str"/>
      <x:c r="U143" s="12" t="str"/>
      <x:c r="V143" s="12" t="str"/>
    </x:row>
    <x:row r="144">
      <x:c r="A144" s="12" t="str">
        <x:v>2026-09-04</x:v>
      </x:c>
      <x:c r="B144" s="12" t="str">
        <x:v>11:00</x:v>
      </x:c>
      <x:c r="C144" s="12" t="str">
        <x:v>10–13</x:v>
      </x:c>
      <x:c r="D144" s="12" t="str">
        <x:v>500119086</x:v>
      </x:c>
      <x:c r="E144" s="12" t="str">
        <x:v>臺大圖資系館北側</x:v>
      </x:c>
      <x:c r="F144" s="12" t="str">
        <x:v>500119094</x:v>
      </x:c>
      <x:c r="G144" s="12" t="str">
        <x:v>臺大大一女餐廳廣場</x:v>
      </x:c>
      <x:c r="H144" s="12" t="str">
        <x:v>實線</x:v>
      </x:c>
      <x:c r="I144" s="13" t="n">
        <x:v>1</x:v>
      </x:c>
      <x:c r="J144" s="12" t="str">
        <x:v>ZZB-0004</x:v>
      </x:c>
      <x:c r="K144" s="13" t="n">
        <x:v>7</x:v>
      </x:c>
      <x:c r="L144" s="13" t="n">
        <x:v>7</x:v>
      </x:c>
      <x:c r="M144" s="13" t="n">
        <x:v>0</x:v>
      </x:c>
      <x:c r="N144" s="13" t="n">
        <x:v>1</x:v>
      </x:c>
      <x:c r="O144" s="36" t="n">
        <x:v>25.01804</x:v>
      </x:c>
      <x:c r="P144" s="36" t="n">
        <x:v>121.53928</x:v>
      </x:c>
      <x:c r="Q144" s="36" t="n">
        <x:v>25.01479</x:v>
      </x:c>
      <x:c r="R144" s="36" t="n">
        <x:v>121.53494</x:v>
      </x:c>
      <x:c r="S144" s="12" t="str">
        <x:v>是</x:v>
      </x:c>
      <x:c r="T144" s="12" t="str"/>
      <x:c r="U144" s="12" t="str"/>
      <x:c r="V144" s="12" t="str"/>
    </x:row>
    <x:row r="145">
      <x:c r="A145" s="12" t="str">
        <x:v>2026-09-04</x:v>
      </x:c>
      <x:c r="B145" s="12" t="str">
        <x:v>12:00</x:v>
      </x:c>
      <x:c r="C145" s="12" t="str">
        <x:v>10–13</x:v>
      </x:c>
      <x:c r="D145" s="12" t="str">
        <x:v>500119083</x:v>
      </x:c>
      <x:c r="E145" s="12" t="str">
        <x:v>臺大新生教室南側</x:v>
      </x:c>
      <x:c r="F145" s="12" t="str">
        <x:v>500119060</x:v>
      </x:c>
      <x:c r="G145" s="12" t="str">
        <x:v>臺大共同教室東南側</x:v>
      </x:c>
      <x:c r="H145" s="12" t="str">
        <x:v>實線</x:v>
      </x:c>
      <x:c r="I145" s="13" t="n">
        <x:v>1</x:v>
      </x:c>
      <x:c r="J145" s="12" t="str">
        <x:v>ZZB-0004</x:v>
      </x:c>
      <x:c r="K145" s="13" t="n">
        <x:v>7</x:v>
      </x:c>
      <x:c r="L145" s="13" t="n">
        <x:v>7</x:v>
      </x:c>
      <x:c r="M145" s="13" t="n">
        <x:v>0</x:v>
      </x:c>
      <x:c r="N145" s="13" t="n">
        <x:v>1</x:v>
      </x:c>
      <x:c r="O145" s="36" t="n">
        <x:v>25.0196</x:v>
      </x:c>
      <x:c r="P145" s="36" t="n">
        <x:v>121.53846</x:v>
      </x:c>
      <x:c r="Q145" s="36" t="n">
        <x:v>25.01566</x:v>
      </x:c>
      <x:c r="R145" s="36" t="n">
        <x:v>121.53786</x:v>
      </x:c>
      <x:c r="S145" s="12" t="str">
        <x:v>是</x:v>
      </x:c>
      <x:c r="T145" s="12" t="str"/>
      <x:c r="U145" s="12" t="str"/>
      <x:c r="V145" s="12" t="str"/>
    </x:row>
    <x:row r="146">
      <x:c r="A146" s="12" t="str">
        <x:v>2026-09-04</x:v>
      </x:c>
      <x:c r="B146" s="12" t="str">
        <x:v>13:00</x:v>
      </x:c>
      <x:c r="C146" s="12" t="str">
        <x:v>10–13</x:v>
      </x:c>
      <x:c r="D146" s="12" t="str">
        <x:v>500119053</x:v>
      </x:c>
      <x:c r="E146" s="12" t="str">
        <x:v>臺大天文數學館南側</x:v>
      </x:c>
      <x:c r="F146" s="12" t="str">
        <x:v>500119048</x:v>
      </x:c>
      <x:c r="G146" s="12" t="str">
        <x:v>臺大大一女舍北側</x:v>
      </x:c>
      <x:c r="H146" s="12" t="str">
        <x:v>實線</x:v>
      </x:c>
      <x:c r="I146" s="13" t="n">
        <x:v>1</x:v>
      </x:c>
      <x:c r="J146" s="12" t="str">
        <x:v>ZZB-0004</x:v>
      </x:c>
      <x:c r="K146" s="13" t="n">
        <x:v>7</x:v>
      </x:c>
      <x:c r="L146" s="13" t="n">
        <x:v>7</x:v>
      </x:c>
      <x:c r="M146" s="13" t="n">
        <x:v>0</x:v>
      </x:c>
      <x:c r="N146" s="13" t="n">
        <x:v>1</x:v>
      </x:c>
      <x:c r="O146" s="36" t="n">
        <x:v>25.02108</x:v>
      </x:c>
      <x:c r="P146" s="36" t="n">
        <x:v>121.53783</x:v>
      </x:c>
      <x:c r="Q146" s="36" t="n">
        <x:v>25.01547</x:v>
      </x:c>
      <x:c r="R146" s="36" t="n">
        <x:v>121.53436</x:v>
      </x:c>
      <x:c r="S146" s="12" t="str">
        <x:v>是</x:v>
      </x:c>
      <x:c r="T146" s="12" t="str"/>
      <x:c r="U146" s="12" t="str"/>
      <x:c r="V146" s="12" t="str"/>
    </x:row>
    <x:row r="147">
      <x:c r="A147" s="12" t="str">
        <x:v>2026-09-04</x:v>
      </x:c>
      <x:c r="B147" s="12" t="str">
        <x:v>13:00</x:v>
      </x:c>
      <x:c r="C147" s="12" t="str">
        <x:v>10–13</x:v>
      </x:c>
      <x:c r="D147" s="12" t="str">
        <x:v>500119072</x:v>
      </x:c>
      <x:c r="E147" s="12" t="str">
        <x:v>臺大原分所北側</x:v>
      </x:c>
      <x:c r="F147" s="12" t="str">
        <x:v>500119094</x:v>
      </x:c>
      <x:c r="G147" s="12" t="str">
        <x:v>臺大大一女餐廳廣場</x:v>
      </x:c>
      <x:c r="H147" s="12" t="str">
        <x:v>實線</x:v>
      </x:c>
      <x:c r="I147" s="13" t="n">
        <x:v>1</x:v>
      </x:c>
      <x:c r="J147" s="12" t="str">
        <x:v>ZZB-0004</x:v>
      </x:c>
      <x:c r="K147" s="13" t="n">
        <x:v>7</x:v>
      </x:c>
      <x:c r="L147" s="13" t="n">
        <x:v>5</x:v>
      </x:c>
      <x:c r="M147" s="13" t="n">
        <x:v>2</x:v>
      </x:c>
      <x:c r="N147" s="13" t="n">
        <x:v>2</x:v>
      </x:c>
      <x:c r="O147" s="36" t="n">
        <x:v>25.01881</x:v>
      </x:c>
      <x:c r="P147" s="36" t="n">
        <x:v>121.53868</x:v>
      </x:c>
      <x:c r="Q147" s="36" t="n">
        <x:v>25.01479</x:v>
      </x:c>
      <x:c r="R147" s="36" t="n">
        <x:v>121.53494</x:v>
      </x:c>
      <x:c r="S147" s="12" t="str">
        <x:v>是</x:v>
      </x:c>
      <x:c r="T147" s="12" t="str"/>
      <x:c r="U147" s="12" t="str"/>
      <x:c r="V147" s="12" t="str"/>
    </x:row>
    <x:row r="148">
      <x:c r="A148" s="12" t="str">
        <x:v>2026-09-04</x:v>
      </x:c>
      <x:c r="B148" s="12" t="str">
        <x:v>13:00</x:v>
      </x:c>
      <x:c r="C148" s="12" t="str">
        <x:v>10–13</x:v>
      </x:c>
      <x:c r="D148" s="12" t="str">
        <x:v>500119074</x:v>
      </x:c>
      <x:c r="E148" s="12" t="str">
        <x:v>臺大生命科學館西北側</x:v>
      </x:c>
      <x:c r="F148" s="12" t="str">
        <x:v>500119048</x:v>
      </x:c>
      <x:c r="G148" s="12" t="str">
        <x:v>臺大大一女舍北側</x:v>
      </x:c>
      <x:c r="H148" s="12" t="str">
        <x:v>實線</x:v>
      </x:c>
      <x:c r="I148" s="13" t="n">
        <x:v>1</x:v>
      </x:c>
      <x:c r="J148" s="12" t="str">
        <x:v>ZZB-0004</x:v>
      </x:c>
      <x:c r="K148" s="13" t="n">
        <x:v>7</x:v>
      </x:c>
      <x:c r="L148" s="13" t="n">
        <x:v>7</x:v>
      </x:c>
      <x:c r="M148" s="13" t="n">
        <x:v>0</x:v>
      </x:c>
      <x:c r="N148" s="13" t="n">
        <x:v>1</x:v>
      </x:c>
      <x:c r="O148" s="36" t="n">
        <x:v>25.01548</x:v>
      </x:c>
      <x:c r="P148" s="36" t="n">
        <x:v>121.53825</x:v>
      </x:c>
      <x:c r="Q148" s="36" t="n">
        <x:v>25.01547</x:v>
      </x:c>
      <x:c r="R148" s="36" t="n">
        <x:v>121.53436</x:v>
      </x:c>
      <x:c r="S148" s="12" t="str">
        <x:v>是</x:v>
      </x:c>
      <x:c r="T148" s="12" t="str"/>
      <x:c r="U148" s="12" t="str"/>
      <x:c r="V148" s="12" t="str"/>
    </x:row>
    <x:row r="149">
      <x:c r="A149" s="12" t="str">
        <x:v>2026-09-04</x:v>
      </x:c>
      <x:c r="B149" s="12" t="str">
        <x:v>14:00</x:v>
      </x:c>
      <x:c r="C149" s="12" t="str">
        <x:v>14–17</x:v>
      </x:c>
      <x:c r="D149" s="12" t="str">
        <x:v>500119086</x:v>
      </x:c>
      <x:c r="E149" s="12" t="str">
        <x:v>臺大圖資系館北側</x:v>
      </x:c>
      <x:c r="F149" s="12" t="str">
        <x:v>500119091</x:v>
      </x:c>
      <x:c r="G149" s="12" t="str">
        <x:v>臺大明達館北側(員工宿舍)</x:v>
      </x:c>
      <x:c r="H149" s="12" t="str">
        <x:v>實線</x:v>
      </x:c>
      <x:c r="I149" s="13" t="n">
        <x:v>1</x:v>
      </x:c>
      <x:c r="J149" s="12" t="str">
        <x:v>ZZB-0004</x:v>
      </x:c>
      <x:c r="K149" s="13" t="n">
        <x:v>3</x:v>
      </x:c>
      <x:c r="L149" s="13" t="n">
        <x:v>3</x:v>
      </x:c>
      <x:c r="M149" s="13" t="n">
        <x:v>0</x:v>
      </x:c>
      <x:c r="N149" s="13" t="n">
        <x:v>1</x:v>
      </x:c>
      <x:c r="O149" s="36" t="n">
        <x:v>25.01804</x:v>
      </x:c>
      <x:c r="P149" s="36" t="n">
        <x:v>121.53928</x:v>
      </x:c>
      <x:c r="Q149" s="36" t="n">
        <x:v>25.01816</x:v>
      </x:c>
      <x:c r="R149" s="36" t="n">
        <x:v>121.54469</x:v>
      </x:c>
      <x:c r="S149" s="12" t="str">
        <x:v>是</x:v>
      </x:c>
      <x:c r="T149" s="12" t="str"/>
      <x:c r="U149" s="12" t="str"/>
      <x:c r="V149" s="12" t="str"/>
    </x:row>
    <x:row r="150">
      <x:c r="A150" s="12" t="str">
        <x:v>2026-09-07</x:v>
      </x:c>
      <x:c r="B150" s="12" t="str">
        <x:v>07:00</x:v>
      </x:c>
      <x:c r="C150" s="12" t="str">
        <x:v>06–09</x:v>
      </x:c>
      <x:c r="D150" s="12" t="str">
        <x:v>500119047</x:v>
      </x:c>
      <x:c r="E150" s="12" t="str">
        <x:v>臺大土木系館</x:v>
      </x:c>
      <x:c r="F150" s="12" t="str">
        <x:v>500119059</x:v>
      </x:c>
      <x:c r="G150" s="12" t="str">
        <x:v>臺大共同教室北側</x:v>
      </x:c>
      <x:c r="H150" s="12" t="str">
        <x:v>實線</x:v>
      </x:c>
      <x:c r="I150" s="13" t="n">
        <x:v>1</x:v>
      </x:c>
      <x:c r="J150" s="12" t="str">
        <x:v>ZZB-0001</x:v>
      </x:c>
      <x:c r="K150" s="13" t="n">
        <x:v>7</x:v>
      </x:c>
      <x:c r="L150" s="13" t="n">
        <x:v>7</x:v>
      </x:c>
      <x:c r="M150" s="13" t="n">
        <x:v>0</x:v>
      </x:c>
      <x:c r="N150" s="13" t="n">
        <x:v>1</x:v>
      </x:c>
      <x:c r="O150" s="36" t="n">
        <x:v>25.01761</x:v>
      </x:c>
      <x:c r="P150" s="36" t="n">
        <x:v>121.53844</x:v>
      </x:c>
      <x:c r="Q150" s="36" t="n">
        <x:v>25.01595</x:v>
      </x:c>
      <x:c r="R150" s="36" t="n">
        <x:v>121.53791</x:v>
      </x:c>
      <x:c r="S150" s="12" t="str">
        <x:v>是</x:v>
      </x:c>
      <x:c r="T150" s="12" t="str"/>
      <x:c r="U150" s="12" t="str"/>
      <x:c r="V150" s="12" t="str"/>
    </x:row>
    <x:row r="151">
      <x:c r="A151" s="12" t="str">
        <x:v>2026-09-07</x:v>
      </x:c>
      <x:c r="B151" s="12" t="str">
        <x:v>08:00</x:v>
      </x:c>
      <x:c r="C151" s="12" t="str">
        <x:v>06–09</x:v>
      </x:c>
      <x:c r="D151" s="12" t="str">
        <x:v>500119050</x:v>
      </x:c>
      <x:c r="E151" s="12" t="str">
        <x:v>臺大小福樓東側</x:v>
      </x:c>
      <x:c r="F151" s="12" t="str">
        <x:v>500119082</x:v>
      </x:c>
      <x:c r="G151" s="12" t="str">
        <x:v>臺大四號館東北側</x:v>
      </x:c>
      <x:c r="H151" s="12" t="str">
        <x:v>實線</x:v>
      </x:c>
      <x:c r="I151" s="13" t="n">
        <x:v>1</x:v>
      </x:c>
      <x:c r="J151" s="12" t="str">
        <x:v>ZZB-0004</x:v>
      </x:c>
      <x:c r="K151" s="13" t="n">
        <x:v>1</x:v>
      </x:c>
      <x:c r="L151" s="13" t="n">
        <x:v>0</x:v>
      </x:c>
      <x:c r="M151" s="13" t="n">
        <x:v>1</x:v>
      </x:c>
      <x:c r="N151" s="13" t="n">
        <x:v>1</x:v>
      </x:c>
      <x:c r="O151" s="36" t="n">
        <x:v>25.01846</x:v>
      </x:c>
      <x:c r="P151" s="36" t="n">
        <x:v>121.5376</x:v>
      </x:c>
      <x:c r="Q151" s="36" t="n">
        <x:v>25.01703</x:v>
      </x:c>
      <x:c r="R151" s="36" t="n">
        <x:v>121.53781</x:v>
      </x:c>
      <x:c r="S151" s="12" t="str">
        <x:v>是</x:v>
      </x:c>
      <x:c r="T151" s="12" t="str"/>
      <x:c r="U151" s="12" t="str"/>
      <x:c r="V151" s="12" t="str"/>
    </x:row>
    <x:row r="152">
      <x:c r="A152" s="12" t="str">
        <x:v>2026-09-07</x:v>
      </x:c>
      <x:c r="B152" s="12" t="str">
        <x:v>08:00</x:v>
      </x:c>
      <x:c r="C152" s="12" t="str">
        <x:v>06–09</x:v>
      </x:c>
      <x:c r="D152" s="12" t="str">
        <x:v>500119050</x:v>
      </x:c>
      <x:c r="E152" s="12" t="str">
        <x:v>臺大小福樓東側</x:v>
      </x:c>
      <x:c r="F152" s="12" t="str">
        <x:v>500119097</x:v>
      </x:c>
      <x:c r="G152" s="12" t="str">
        <x:v>臺大人文館</x:v>
      </x:c>
      <x:c r="H152" s="12" t="str">
        <x:v>實線</x:v>
      </x:c>
      <x:c r="I152" s="13" t="n">
        <x:v>1</x:v>
      </x:c>
      <x:c r="J152" s="12" t="str">
        <x:v>ZZB-0004</x:v>
      </x:c>
      <x:c r="K152" s="13" t="n">
        <x:v>20</x:v>
      </x:c>
      <x:c r="L152" s="13" t="n">
        <x:v>18</x:v>
      </x:c>
      <x:c r="M152" s="13" t="n">
        <x:v>2</x:v>
      </x:c>
      <x:c r="N152" s="13" t="n">
        <x:v>5</x:v>
      </x:c>
      <x:c r="O152" s="36" t="n">
        <x:v>25.01846</x:v>
      </x:c>
      <x:c r="P152" s="36" t="n">
        <x:v>121.5376</x:v>
      </x:c>
      <x:c r="Q152" s="36" t="n">
        <x:v>25.0182</x:v>
      </x:c>
      <x:c r="R152" s="36" t="n">
        <x:v>121.53476</x:v>
      </x:c>
      <x:c r="S152" s="12" t="str">
        <x:v>是</x:v>
      </x:c>
      <x:c r="T152" s="12" t="str"/>
      <x:c r="U152" s="12" t="str"/>
      <x:c r="V152" s="12" t="str"/>
    </x:row>
    <x:row r="153">
      <x:c r="A153" s="12" t="str">
        <x:v>2026-09-07</x:v>
      </x:c>
      <x:c r="B153" s="12" t="str">
        <x:v>08:00</x:v>
      </x:c>
      <x:c r="C153" s="12" t="str">
        <x:v>06–09</x:v>
      </x:c>
      <x:c r="D153" s="12" t="str">
        <x:v>500119086</x:v>
      </x:c>
      <x:c r="E153" s="12" t="str">
        <x:v>臺大圖資系館北側</x:v>
      </x:c>
      <x:c r="F153" s="12" t="str">
        <x:v>500119060</x:v>
      </x:c>
      <x:c r="G153" s="12" t="str">
        <x:v>臺大共同教室東南側</x:v>
      </x:c>
      <x:c r="H153" s="12" t="str">
        <x:v>實線</x:v>
      </x:c>
      <x:c r="I153" s="13" t="n">
        <x:v>1</x:v>
      </x:c>
      <x:c r="J153" s="12" t="str">
        <x:v>ZZB-0001</x:v>
      </x:c>
      <x:c r="K153" s="13" t="n">
        <x:v>7</x:v>
      </x:c>
      <x:c r="L153" s="13" t="n">
        <x:v>7</x:v>
      </x:c>
      <x:c r="M153" s="13" t="n">
        <x:v>0</x:v>
      </x:c>
      <x:c r="N153" s="13" t="n">
        <x:v>1</x:v>
      </x:c>
      <x:c r="O153" s="36" t="n">
        <x:v>25.01804</x:v>
      </x:c>
      <x:c r="P153" s="36" t="n">
        <x:v>121.53928</x:v>
      </x:c>
      <x:c r="Q153" s="36" t="n">
        <x:v>25.01566</x:v>
      </x:c>
      <x:c r="R153" s="36" t="n">
        <x:v>121.53786</x:v>
      </x:c>
      <x:c r="S153" s="12" t="str">
        <x:v>是</x:v>
      </x:c>
      <x:c r="T153" s="12" t="str"/>
      <x:c r="U153" s="12" t="str"/>
      <x:c r="V153" s="12" t="str"/>
    </x:row>
    <x:row r="154">
      <x:c r="A154" s="12" t="str">
        <x:v>2026-09-07</x:v>
      </x:c>
      <x:c r="B154" s="12" t="str">
        <x:v>08:00</x:v>
      </x:c>
      <x:c r="C154" s="12" t="str">
        <x:v>06–09</x:v>
      </x:c>
      <x:c r="D154" s="12" t="str">
        <x:v>500119087</x:v>
      </x:c>
      <x:c r="E154" s="12" t="str">
        <x:v>臺大總圖書館西南側</x:v>
      </x:c>
      <x:c r="F154" s="12" t="str">
        <x:v>500119061</x:v>
      </x:c>
      <x:c r="G154" s="12" t="str">
        <x:v>臺大鹿鳴堂東側</x:v>
      </x:c>
      <x:c r="H154" s="12" t="str">
        <x:v>實線</x:v>
      </x:c>
      <x:c r="I154" s="13" t="n">
        <x:v>1</x:v>
      </x:c>
      <x:c r="J154" s="12" t="str">
        <x:v>ZZB-0001</x:v>
      </x:c>
      <x:c r="K154" s="13" t="n">
        <x:v>7</x:v>
      </x:c>
      <x:c r="L154" s="13" t="n">
        <x:v>7</x:v>
      </x:c>
      <x:c r="M154" s="13" t="n">
        <x:v>0</x:v>
      </x:c>
      <x:c r="N154" s="13" t="n">
        <x:v>1</x:v>
      </x:c>
      <x:c r="O154" s="36" t="n">
        <x:v>25.0169</x:v>
      </x:c>
      <x:c r="P154" s="36" t="n">
        <x:v>121.54031</x:v>
      </x:c>
      <x:c r="Q154" s="36" t="n">
        <x:v>25.01511</x:v>
      </x:c>
      <x:c r="R154" s="36" t="n">
        <x:v>121.53786</x:v>
      </x:c>
      <x:c r="S154" s="12" t="str">
        <x:v>是</x:v>
      </x:c>
      <x:c r="T154" s="12" t="str"/>
      <x:c r="U154" s="12" t="str"/>
      <x:c r="V154" s="12" t="str"/>
    </x:row>
    <x:row r="155">
      <x:c r="A155" s="12" t="str">
        <x:v>2026-09-07</x:v>
      </x:c>
      <x:c r="B155" s="12" t="str">
        <x:v>08:00</x:v>
      </x:c>
      <x:c r="C155" s="12" t="str">
        <x:v>06–09</x:v>
      </x:c>
      <x:c r="D155" s="12" t="str">
        <x:v>500119087</x:v>
      </x:c>
      <x:c r="E155" s="12" t="str">
        <x:v>臺大總圖書館西南側</x:v>
      </x:c>
      <x:c r="F155" s="12" t="str">
        <x:v>500119074</x:v>
      </x:c>
      <x:c r="G155" s="12" t="str">
        <x:v>臺大生命科學館西北側</x:v>
      </x:c>
      <x:c r="H155" s="12" t="str">
        <x:v>實線</x:v>
      </x:c>
      <x:c r="I155" s="13" t="n">
        <x:v>1</x:v>
      </x:c>
      <x:c r="J155" s="12" t="str">
        <x:v>ZZB-0001</x:v>
      </x:c>
      <x:c r="K155" s="13" t="n">
        <x:v>7</x:v>
      </x:c>
      <x:c r="L155" s="13" t="n">
        <x:v>7</x:v>
      </x:c>
      <x:c r="M155" s="13" t="n">
        <x:v>0</x:v>
      </x:c>
      <x:c r="N155" s="13" t="n">
        <x:v>1</x:v>
      </x:c>
      <x:c r="O155" s="36" t="n">
        <x:v>25.0169</x:v>
      </x:c>
      <x:c r="P155" s="36" t="n">
        <x:v>121.54031</x:v>
      </x:c>
      <x:c r="Q155" s="36" t="n">
        <x:v>25.01548</x:v>
      </x:c>
      <x:c r="R155" s="36" t="n">
        <x:v>121.53825</x:v>
      </x:c>
      <x:c r="S155" s="12" t="str">
        <x:v>是</x:v>
      </x:c>
      <x:c r="T155" s="12" t="str"/>
      <x:c r="U155" s="12" t="str"/>
      <x:c r="V155" s="12" t="str"/>
    </x:row>
    <x:row r="156">
      <x:c r="A156" s="12" t="str">
        <x:v>2026-09-07</x:v>
      </x:c>
      <x:c r="B156" s="12" t="str">
        <x:v>09:00</x:v>
      </x:c>
      <x:c r="C156" s="12" t="str">
        <x:v>06–09</x:v>
      </x:c>
      <x:c r="D156" s="12" t="str">
        <x:v>500119050</x:v>
      </x:c>
      <x:c r="E156" s="12" t="str">
        <x:v>臺大小福樓東側</x:v>
      </x:c>
      <x:c r="F156" s="12" t="str">
        <x:v>500101032</x:v>
      </x:c>
      <x:c r="G156" s="12" t="str">
        <x:v>臺大男一舍前</x:v>
      </x:c>
      <x:c r="H156" s="12" t="str">
        <x:v>虛線</x:v>
      </x:c>
      <x:c r="I156" s="13" t="n">
        <x:v>1</x:v>
      </x:c>
      <x:c r="J156" s="12" t="str">
        <x:v>ZZB-0004</x:v>
      </x:c>
      <x:c r="K156" s="13" t="n">
        <x:v>5</x:v>
      </x:c>
      <x:c r="L156" s="13" t="n">
        <x:v>5</x:v>
      </x:c>
      <x:c r="M156" s="13" t="n">
        <x:v>0</x:v>
      </x:c>
      <x:c r="N156" s="13" t="n">
        <x:v>1</x:v>
      </x:c>
      <x:c r="O156" s="36" t="n">
        <x:v>25.01846</x:v>
      </x:c>
      <x:c r="P156" s="36" t="n">
        <x:v>121.5376</x:v>
      </x:c>
      <x:c r="Q156" s="36" t="n">
        <x:v>25.01637</x:v>
      </x:c>
      <x:c r="R156" s="36" t="n">
        <x:v>121.54535</x:v>
      </x:c>
      <x:c r="S156" s="12" t="str">
        <x:v>否</x:v>
      </x:c>
      <x:c r="T156" s="12" t="str">
        <x:v>任一端站碼非500119*</x:v>
      </x:c>
      <x:c r="U156" s="12" t="str"/>
      <x:c r="V156" s="12" t="str"/>
    </x:row>
    <x:row r="157">
      <x:c r="A157" s="12" t="str">
        <x:v>2026-09-07</x:v>
      </x:c>
      <x:c r="B157" s="12" t="str">
        <x:v>09:00</x:v>
      </x:c>
      <x:c r="C157" s="12" t="str">
        <x:v>06–09</x:v>
      </x:c>
      <x:c r="D157" s="12" t="str">
        <x:v>500119050</x:v>
      </x:c>
      <x:c r="E157" s="12" t="str">
        <x:v>臺大小福樓東側</x:v>
      </x:c>
      <x:c r="F157" s="12" t="str">
        <x:v>500119097</x:v>
      </x:c>
      <x:c r="G157" s="12" t="str">
        <x:v>臺大人文館</x:v>
      </x:c>
      <x:c r="H157" s="12" t="str">
        <x:v>實線</x:v>
      </x:c>
      <x:c r="I157" s="13" t="n">
        <x:v>1</x:v>
      </x:c>
      <x:c r="J157" s="12" t="str">
        <x:v>ZZB-0004</x:v>
      </x:c>
      <x:c r="K157" s="13" t="n">
        <x:v>10</x:v>
      </x:c>
      <x:c r="L157" s="13" t="n">
        <x:v>9</x:v>
      </x:c>
      <x:c r="M157" s="13" t="n">
        <x:v>1</x:v>
      </x:c>
      <x:c r="N157" s="13" t="n">
        <x:v>3</x:v>
      </x:c>
      <x:c r="O157" s="36" t="n">
        <x:v>25.01846</x:v>
      </x:c>
      <x:c r="P157" s="36" t="n">
        <x:v>121.5376</x:v>
      </x:c>
      <x:c r="Q157" s="36" t="n">
        <x:v>25.0182</x:v>
      </x:c>
      <x:c r="R157" s="36" t="n">
        <x:v>121.53476</x:v>
      </x:c>
      <x:c r="S157" s="12" t="str">
        <x:v>是</x:v>
      </x:c>
      <x:c r="T157" s="12" t="str"/>
      <x:c r="U157" s="12" t="str"/>
      <x:c r="V157" s="12" t="str"/>
    </x:row>
    <x:row r="158">
      <x:c r="A158" s="12" t="str">
        <x:v>2026-09-07</x:v>
      </x:c>
      <x:c r="B158" s="12" t="str">
        <x:v>09:00</x:v>
      </x:c>
      <x:c r="C158" s="12" t="str">
        <x:v>06–09</x:v>
      </x:c>
      <x:c r="D158" s="12" t="str">
        <x:v>500119072</x:v>
      </x:c>
      <x:c r="E158" s="12" t="str">
        <x:v>臺大原分所北側</x:v>
      </x:c>
      <x:c r="F158" s="12" t="str">
        <x:v>500119059</x:v>
      </x:c>
      <x:c r="G158" s="12" t="str">
        <x:v>臺大共同教室北側</x:v>
      </x:c>
      <x:c r="H158" s="12" t="str">
        <x:v>實線</x:v>
      </x:c>
      <x:c r="I158" s="13" t="n">
        <x:v>1</x:v>
      </x:c>
      <x:c r="J158" s="12" t="str">
        <x:v>ZZB-0001</x:v>
      </x:c>
      <x:c r="K158" s="13" t="n">
        <x:v>7</x:v>
      </x:c>
      <x:c r="L158" s="13" t="n">
        <x:v>6</x:v>
      </x:c>
      <x:c r="M158" s="13" t="n">
        <x:v>1</x:v>
      </x:c>
      <x:c r="N158" s="13" t="n">
        <x:v>2</x:v>
      </x:c>
      <x:c r="O158" s="36" t="n">
        <x:v>25.01881</x:v>
      </x:c>
      <x:c r="P158" s="36" t="n">
        <x:v>121.53868</x:v>
      </x:c>
      <x:c r="Q158" s="36" t="n">
        <x:v>25.01595</x:v>
      </x:c>
      <x:c r="R158" s="36" t="n">
        <x:v>121.53791</x:v>
      </x:c>
      <x:c r="S158" s="12" t="str">
        <x:v>是</x:v>
      </x:c>
      <x:c r="T158" s="12" t="str"/>
      <x:c r="U158" s="12" t="str"/>
      <x:c r="V158" s="12" t="str"/>
    </x:row>
    <x:row r="159">
      <x:c r="A159" s="12" t="str">
        <x:v>2026-09-07</x:v>
      </x:c>
      <x:c r="B159" s="12" t="str">
        <x:v>09:00</x:v>
      </x:c>
      <x:c r="C159" s="12" t="str">
        <x:v>06–09</x:v>
      </x:c>
      <x:c r="D159" s="12" t="str">
        <x:v>500119086</x:v>
      </x:c>
      <x:c r="E159" s="12" t="str">
        <x:v>臺大圖資系館北側</x:v>
      </x:c>
      <x:c r="F159" s="12" t="str">
        <x:v>500119061</x:v>
      </x:c>
      <x:c r="G159" s="12" t="str">
        <x:v>臺大鹿鳴堂東側</x:v>
      </x:c>
      <x:c r="H159" s="12" t="str">
        <x:v>實線</x:v>
      </x:c>
      <x:c r="I159" s="13" t="n">
        <x:v>1</x:v>
      </x:c>
      <x:c r="J159" s="12" t="str">
        <x:v>ZZB-0001</x:v>
      </x:c>
      <x:c r="K159" s="13" t="n">
        <x:v>7</x:v>
      </x:c>
      <x:c r="L159" s="13" t="n">
        <x:v>6</x:v>
      </x:c>
      <x:c r="M159" s="13" t="n">
        <x:v>1</x:v>
      </x:c>
      <x:c r="N159" s="13" t="n">
        <x:v>2</x:v>
      </x:c>
      <x:c r="O159" s="36" t="n">
        <x:v>25.01804</x:v>
      </x:c>
      <x:c r="P159" s="36" t="n">
        <x:v>121.53928</x:v>
      </x:c>
      <x:c r="Q159" s="36" t="n">
        <x:v>25.01511</x:v>
      </x:c>
      <x:c r="R159" s="36" t="n">
        <x:v>121.53786</x:v>
      </x:c>
      <x:c r="S159" s="12" t="str">
        <x:v>是</x:v>
      </x:c>
      <x:c r="T159" s="12" t="str"/>
      <x:c r="U159" s="12" t="str"/>
      <x:c r="V159" s="12" t="str"/>
    </x:row>
    <x:row r="160">
      <x:c r="A160" s="12" t="str">
        <x:v>2026-09-07</x:v>
      </x:c>
      <x:c r="B160" s="12" t="str">
        <x:v>09:00</x:v>
      </x:c>
      <x:c r="C160" s="12" t="str">
        <x:v>06–09</x:v>
      </x:c>
      <x:c r="D160" s="12" t="str">
        <x:v>500119102</x:v>
      </x:c>
      <x:c r="E160" s="12" t="str">
        <x:v>臺大普通教學館東側</x:v>
      </x:c>
      <x:c r="F160" s="12" t="str">
        <x:v>500119097</x:v>
      </x:c>
      <x:c r="G160" s="12" t="str">
        <x:v>臺大人文館</x:v>
      </x:c>
      <x:c r="H160" s="12" t="str">
        <x:v>實線</x:v>
      </x:c>
      <x:c r="I160" s="13" t="n">
        <x:v>1</x:v>
      </x:c>
      <x:c r="J160" s="12" t="str">
        <x:v>ZZB-0004</x:v>
      </x:c>
      <x:c r="K160" s="13" t="n">
        <x:v>4</x:v>
      </x:c>
      <x:c r="L160" s="13" t="n">
        <x:v>0</x:v>
      </x:c>
      <x:c r="M160" s="13" t="n">
        <x:v>4</x:v>
      </x:c>
      <x:c r="N160" s="13" t="n">
        <x:v>1</x:v>
      </x:c>
      <x:c r="O160" s="36" t="n">
        <x:v>25.01861</x:v>
      </x:c>
      <x:c r="P160" s="36" t="n">
        <x:v>121.53717</x:v>
      </x:c>
      <x:c r="Q160" s="36" t="n">
        <x:v>25.0182</x:v>
      </x:c>
      <x:c r="R160" s="36" t="n">
        <x:v>121.53476</x:v>
      </x:c>
      <x:c r="S160" s="12" t="str">
        <x:v>是</x:v>
      </x:c>
      <x:c r="T160" s="12" t="str"/>
      <x:c r="U160" s="12" t="str"/>
      <x:c r="V160" s="12" t="str"/>
    </x:row>
    <x:row r="161">
      <x:c r="A161" s="12" t="str">
        <x:v>2026-09-07</x:v>
      </x:c>
      <x:c r="B161" s="12" t="str">
        <x:v>10:00</x:v>
      </x:c>
      <x:c r="C161" s="12" t="str">
        <x:v>10–13</x:v>
      </x:c>
      <x:c r="D161" s="12" t="str">
        <x:v>500119083</x:v>
      </x:c>
      <x:c r="E161" s="12" t="str">
        <x:v>臺大新生教室南側</x:v>
      </x:c>
      <x:c r="F161" s="12" t="str">
        <x:v>500119060</x:v>
      </x:c>
      <x:c r="G161" s="12" t="str">
        <x:v>臺大共同教室東南側</x:v>
      </x:c>
      <x:c r="H161" s="12" t="str">
        <x:v>實線</x:v>
      </x:c>
      <x:c r="I161" s="13" t="n">
        <x:v>1</x:v>
      </x:c>
      <x:c r="J161" s="12" t="str">
        <x:v>ZZB-0001</x:v>
      </x:c>
      <x:c r="K161" s="13" t="n">
        <x:v>7</x:v>
      </x:c>
      <x:c r="L161" s="13" t="n">
        <x:v>7</x:v>
      </x:c>
      <x:c r="M161" s="13" t="n">
        <x:v>0</x:v>
      </x:c>
      <x:c r="N161" s="13" t="n">
        <x:v>1</x:v>
      </x:c>
      <x:c r="O161" s="36" t="n">
        <x:v>25.0196</x:v>
      </x:c>
      <x:c r="P161" s="36" t="n">
        <x:v>121.53846</x:v>
      </x:c>
      <x:c r="Q161" s="36" t="n">
        <x:v>25.01566</x:v>
      </x:c>
      <x:c r="R161" s="36" t="n">
        <x:v>121.53786</x:v>
      </x:c>
      <x:c r="S161" s="12" t="str">
        <x:v>是</x:v>
      </x:c>
      <x:c r="T161" s="12" t="str"/>
      <x:c r="U161" s="12" t="str"/>
      <x:c r="V161" s="12" t="str"/>
    </x:row>
    <x:row r="162">
      <x:c r="A162" s="12" t="str">
        <x:v>2026-09-07</x:v>
      </x:c>
      <x:c r="B162" s="12" t="str">
        <x:v>10:00</x:v>
      </x:c>
      <x:c r="C162" s="12" t="str">
        <x:v>10–13</x:v>
      </x:c>
      <x:c r="D162" s="12" t="str">
        <x:v>500119085</x:v>
      </x:c>
      <x:c r="E162" s="12" t="str">
        <x:v>臺大電機二館東南側</x:v>
      </x:c>
      <x:c r="F162" s="12" t="str">
        <x:v>500101032</x:v>
      </x:c>
      <x:c r="G162" s="12" t="str">
        <x:v>臺大男一舍前</x:v>
      </x:c>
      <x:c r="H162" s="12" t="str">
        <x:v>虛線</x:v>
      </x:c>
      <x:c r="I162" s="13" t="n">
        <x:v>1</x:v>
      </x:c>
      <x:c r="J162" s="12" t="str">
        <x:v>ZZB-0004</x:v>
      </x:c>
      <x:c r="K162" s="13" t="n">
        <x:v>9</x:v>
      </x:c>
      <x:c r="L162" s="13" t="n">
        <x:v>6</x:v>
      </x:c>
      <x:c r="M162" s="13" t="n">
        <x:v>3</x:v>
      </x:c>
      <x:c r="N162" s="13" t="n">
        <x:v>3</x:v>
      </x:c>
      <x:c r="O162" s="36" t="n">
        <x:v>25.01857</x:v>
      </x:c>
      <x:c r="P162" s="36" t="n">
        <x:v>121.54247</x:v>
      </x:c>
      <x:c r="Q162" s="36" t="n">
        <x:v>25.01637</x:v>
      </x:c>
      <x:c r="R162" s="36" t="n">
        <x:v>121.54535</x:v>
      </x:c>
      <x:c r="S162" s="12" t="str">
        <x:v>否</x:v>
      </x:c>
      <x:c r="T162" s="12" t="str">
        <x:v>任一端站碼非500119*</x:v>
      </x:c>
      <x:c r="U162" s="12" t="str"/>
      <x:c r="V162" s="12" t="str"/>
    </x:row>
    <x:row r="163">
      <x:c r="A163" s="12" t="str">
        <x:v>2026-09-07</x:v>
      </x:c>
      <x:c r="B163" s="12" t="str">
        <x:v>10:00</x:v>
      </x:c>
      <x:c r="C163" s="12" t="str">
        <x:v>10–13</x:v>
      </x:c>
      <x:c r="D163" s="12" t="str">
        <x:v>500119086</x:v>
      </x:c>
      <x:c r="E163" s="12" t="str">
        <x:v>臺大圖資系館北側</x:v>
      </x:c>
      <x:c r="F163" s="12" t="str">
        <x:v>500119094</x:v>
      </x:c>
      <x:c r="G163" s="12" t="str">
        <x:v>臺大大一女餐廳廣場</x:v>
      </x:c>
      <x:c r="H163" s="12" t="str">
        <x:v>實線</x:v>
      </x:c>
      <x:c r="I163" s="13" t="n">
        <x:v>1</x:v>
      </x:c>
      <x:c r="J163" s="12" t="str">
        <x:v>ZZB-0001</x:v>
      </x:c>
      <x:c r="K163" s="13" t="n">
        <x:v>7</x:v>
      </x:c>
      <x:c r="L163" s="13" t="n">
        <x:v>5</x:v>
      </x:c>
      <x:c r="M163" s="13" t="n">
        <x:v>2</x:v>
      </x:c>
      <x:c r="N163" s="13" t="n">
        <x:v>2</x:v>
      </x:c>
      <x:c r="O163" s="36" t="n">
        <x:v>25.01804</x:v>
      </x:c>
      <x:c r="P163" s="36" t="n">
        <x:v>121.53928</x:v>
      </x:c>
      <x:c r="Q163" s="36" t="n">
        <x:v>25.01479</x:v>
      </x:c>
      <x:c r="R163" s="36" t="n">
        <x:v>121.53494</x:v>
      </x:c>
      <x:c r="S163" s="12" t="str">
        <x:v>是</x:v>
      </x:c>
      <x:c r="T163" s="12" t="str"/>
      <x:c r="U163" s="12" t="str"/>
      <x:c r="V163" s="12" t="str"/>
    </x:row>
    <x:row r="164">
      <x:c r="A164" s="12" t="str">
        <x:v>2026-09-07</x:v>
      </x:c>
      <x:c r="B164" s="12" t="str">
        <x:v>10:00</x:v>
      </x:c>
      <x:c r="C164" s="12" t="str">
        <x:v>10–13</x:v>
      </x:c>
      <x:c r="D164" s="12" t="str">
        <x:v>500119091</x:v>
      </x:c>
      <x:c r="E164" s="12" t="str">
        <x:v>臺大明達館北側(員工宿舍)</x:v>
      </x:c>
      <x:c r="F164" s="12" t="str">
        <x:v>500119064</x:v>
      </x:c>
      <x:c r="G164" s="12" t="str">
        <x:v>臺大明達館機車停車場</x:v>
      </x:c>
      <x:c r="H164" s="12" t="str">
        <x:v>實線</x:v>
      </x:c>
      <x:c r="I164" s="13" t="n">
        <x:v>1</x:v>
      </x:c>
      <x:c r="J164" s="12" t="str">
        <x:v>ZZB-0004</x:v>
      </x:c>
      <x:c r="K164" s="13" t="n">
        <x:v>2</x:v>
      </x:c>
      <x:c r="L164" s="13" t="n">
        <x:v>2</x:v>
      </x:c>
      <x:c r="M164" s="13" t="n">
        <x:v>0</x:v>
      </x:c>
      <x:c r="N164" s="13" t="n">
        <x:v>1</x:v>
      </x:c>
      <x:c r="O164" s="36" t="n">
        <x:v>25.01816</x:v>
      </x:c>
      <x:c r="P164" s="36" t="n">
        <x:v>121.54469</x:v>
      </x:c>
      <x:c r="Q164" s="36" t="n">
        <x:v>25.01754</x:v>
      </x:c>
      <x:c r="R164" s="36" t="n">
        <x:v>121.54398</x:v>
      </x:c>
      <x:c r="S164" s="12" t="str">
        <x:v>是</x:v>
      </x:c>
      <x:c r="T164" s="12" t="str"/>
      <x:c r="U164" s="12" t="str"/>
      <x:c r="V164" s="12" t="str"/>
    </x:row>
    <x:row r="165">
      <x:c r="A165" s="12" t="str">
        <x:v>2026-09-07</x:v>
      </x:c>
      <x:c r="B165" s="12" t="str">
        <x:v>10:00</x:v>
      </x:c>
      <x:c r="C165" s="12" t="str">
        <x:v>10–13</x:v>
      </x:c>
      <x:c r="D165" s="12" t="str">
        <x:v>500119098</x:v>
      </x:c>
      <x:c r="E165" s="12" t="str">
        <x:v>臺大數學研究中心(東側)</x:v>
      </x:c>
      <x:c r="F165" s="12" t="str">
        <x:v>500119059</x:v>
      </x:c>
      <x:c r="G165" s="12" t="str">
        <x:v>臺大共同教室北側</x:v>
      </x:c>
      <x:c r="H165" s="12" t="str">
        <x:v>實線</x:v>
      </x:c>
      <x:c r="I165" s="13" t="n">
        <x:v>1</x:v>
      </x:c>
      <x:c r="J165" s="12" t="str">
        <x:v>ZZB-0001</x:v>
      </x:c>
      <x:c r="K165" s="13" t="n">
        <x:v>7</x:v>
      </x:c>
      <x:c r="L165" s="13" t="n">
        <x:v>6</x:v>
      </x:c>
      <x:c r="M165" s="13" t="n">
        <x:v>1</x:v>
      </x:c>
      <x:c r="N165" s="13" t="n">
        <x:v>2</x:v>
      </x:c>
      <x:c r="O165" s="36" t="n">
        <x:v>25.02004</x:v>
      </x:c>
      <x:c r="P165" s="36" t="n">
        <x:v>121.53881</x:v>
      </x:c>
      <x:c r="Q165" s="36" t="n">
        <x:v>25.01595</x:v>
      </x:c>
      <x:c r="R165" s="36" t="n">
        <x:v>121.53791</x:v>
      </x:c>
      <x:c r="S165" s="12" t="str">
        <x:v>是</x:v>
      </x:c>
      <x:c r="T165" s="12" t="str"/>
      <x:c r="U165" s="12" t="str"/>
      <x:c r="V165" s="12" t="str"/>
    </x:row>
    <x:row r="166">
      <x:c r="A166" s="12" t="str">
        <x:v>2026-09-07</x:v>
      </x:c>
      <x:c r="B166" s="12" t="str">
        <x:v>11:00</x:v>
      </x:c>
      <x:c r="C166" s="12" t="str">
        <x:v>10–13</x:v>
      </x:c>
      <x:c r="D166" s="12" t="str">
        <x:v>500119085</x:v>
      </x:c>
      <x:c r="E166" s="12" t="str">
        <x:v>臺大電機二館東南側</x:v>
      </x:c>
      <x:c r="F166" s="12" t="str">
        <x:v>500119091</x:v>
      </x:c>
      <x:c r="G166" s="12" t="str">
        <x:v>臺大明達館北側(員工宿舍)</x:v>
      </x:c>
      <x:c r="H166" s="12" t="str">
        <x:v>實線</x:v>
      </x:c>
      <x:c r="I166" s="13" t="n">
        <x:v>1</x:v>
      </x:c>
      <x:c r="J166" s="12" t="str">
        <x:v>ZZB-0001</x:v>
      </x:c>
      <x:c r="K166" s="13" t="n">
        <x:v>6</x:v>
      </x:c>
      <x:c r="L166" s="13" t="n">
        <x:v>6</x:v>
      </x:c>
      <x:c r="M166" s="13" t="n">
        <x:v>0</x:v>
      </x:c>
      <x:c r="N166" s="13" t="n">
        <x:v>1</x:v>
      </x:c>
      <x:c r="O166" s="36" t="n">
        <x:v>25.01857</x:v>
      </x:c>
      <x:c r="P166" s="36" t="n">
        <x:v>121.54247</x:v>
      </x:c>
      <x:c r="Q166" s="36" t="n">
        <x:v>25.01816</x:v>
      </x:c>
      <x:c r="R166" s="36" t="n">
        <x:v>121.54469</x:v>
      </x:c>
      <x:c r="S166" s="12" t="str">
        <x:v>是</x:v>
      </x:c>
      <x:c r="T166" s="12" t="str"/>
      <x:c r="U166" s="12" t="str"/>
      <x:c r="V166" s="12" t="str"/>
    </x:row>
    <x:row r="167">
      <x:c r="A167" s="12" t="str">
        <x:v>2026-09-07</x:v>
      </x:c>
      <x:c r="B167" s="12" t="str">
        <x:v>12:00</x:v>
      </x:c>
      <x:c r="C167" s="12" t="str">
        <x:v>10–13</x:v>
      </x:c>
      <x:c r="D167" s="12" t="str">
        <x:v>500119076</x:v>
      </x:c>
      <x:c r="E167" s="12" t="str">
        <x:v>臺大博理館西側</x:v>
      </x:c>
      <x:c r="F167" s="12" t="str">
        <x:v>500119086</x:v>
      </x:c>
      <x:c r="G167" s="12" t="str">
        <x:v>臺大圖資系館北側</x:v>
      </x:c>
      <x:c r="H167" s="12" t="str">
        <x:v>實線</x:v>
      </x:c>
      <x:c r="I167" s="13" t="n">
        <x:v>1</x:v>
      </x:c>
      <x:c r="J167" s="12" t="str">
        <x:v>ZZB-0001</x:v>
      </x:c>
      <x:c r="K167" s="13" t="n">
        <x:v>7</x:v>
      </x:c>
      <x:c r="L167" s="13" t="n">
        <x:v>7</x:v>
      </x:c>
      <x:c r="M167" s="13" t="n">
        <x:v>0</x:v>
      </x:c>
      <x:c r="N167" s="13" t="n">
        <x:v>1</x:v>
      </x:c>
      <x:c r="O167" s="36" t="n">
        <x:v>25.01922</x:v>
      </x:c>
      <x:c r="P167" s="36" t="n">
        <x:v>121.54195</x:v>
      </x:c>
      <x:c r="Q167" s="36" t="n">
        <x:v>25.01804</x:v>
      </x:c>
      <x:c r="R167" s="36" t="n">
        <x:v>121.53928</x:v>
      </x:c>
      <x:c r="S167" s="12" t="str">
        <x:v>是</x:v>
      </x:c>
      <x:c r="T167" s="12" t="str"/>
      <x:c r="U167" s="12" t="str"/>
      <x:c r="V167" s="12" t="str"/>
    </x:row>
    <x:row r="168">
      <x:c r="A168" s="12" t="str">
        <x:v>2026-09-07</x:v>
      </x:c>
      <x:c r="B168" s="12" t="str">
        <x:v>12:00</x:v>
      </x:c>
      <x:c r="C168" s="12" t="str">
        <x:v>10–13</x:v>
      </x:c>
      <x:c r="D168" s="12" t="str">
        <x:v>500119087</x:v>
      </x:c>
      <x:c r="E168" s="12" t="str">
        <x:v>臺大總圖書館西南側</x:v>
      </x:c>
      <x:c r="F168" s="12" t="str">
        <x:v>500119061</x:v>
      </x:c>
      <x:c r="G168" s="12" t="str">
        <x:v>臺大鹿鳴堂東側</x:v>
      </x:c>
      <x:c r="H168" s="12" t="str">
        <x:v>實線</x:v>
      </x:c>
      <x:c r="I168" s="13" t="n">
        <x:v>1</x:v>
      </x:c>
      <x:c r="J168" s="12" t="str">
        <x:v>ZZB-0001</x:v>
      </x:c>
      <x:c r="K168" s="13" t="n">
        <x:v>7</x:v>
      </x:c>
      <x:c r="L168" s="13" t="n">
        <x:v>6</x:v>
      </x:c>
      <x:c r="M168" s="13" t="n">
        <x:v>1</x:v>
      </x:c>
      <x:c r="N168" s="13" t="n">
        <x:v>2</x:v>
      </x:c>
      <x:c r="O168" s="36" t="n">
        <x:v>25.0169</x:v>
      </x:c>
      <x:c r="P168" s="36" t="n">
        <x:v>121.54031</x:v>
      </x:c>
      <x:c r="Q168" s="36" t="n">
        <x:v>25.01511</x:v>
      </x:c>
      <x:c r="R168" s="36" t="n">
        <x:v>121.53786</x:v>
      </x:c>
      <x:c r="S168" s="12" t="str">
        <x:v>是</x:v>
      </x:c>
      <x:c r="T168" s="12" t="str"/>
      <x:c r="U168" s="12" t="str"/>
      <x:c r="V168" s="12" t="str"/>
    </x:row>
    <x:row r="169">
      <x:c r="A169" s="12" t="str">
        <x:v>2026-09-07</x:v>
      </x:c>
      <x:c r="B169" s="12" t="str">
        <x:v>13:00</x:v>
      </x:c>
      <x:c r="C169" s="12" t="str">
        <x:v>10–13</x:v>
      </x:c>
      <x:c r="D169" s="12" t="str">
        <x:v>500119067</x:v>
      </x:c>
      <x:c r="E169" s="12" t="str">
        <x:v>臺大社科院西側</x:v>
      </x:c>
      <x:c r="F169" s="12" t="str">
        <x:v>500119061</x:v>
      </x:c>
      <x:c r="G169" s="12" t="str">
        <x:v>臺大鹿鳴堂東側</x:v>
      </x:c>
      <x:c r="H169" s="12" t="str">
        <x:v>實線</x:v>
      </x:c>
      <x:c r="I169" s="13" t="n">
        <x:v>1</x:v>
      </x:c>
      <x:c r="J169" s="12" t="str">
        <x:v>ZZB-0001</x:v>
      </x:c>
      <x:c r="K169" s="13" t="n">
        <x:v>7</x:v>
      </x:c>
      <x:c r="L169" s="13" t="n">
        <x:v>5</x:v>
      </x:c>
      <x:c r="M169" s="13" t="n">
        <x:v>2</x:v>
      </x:c>
      <x:c r="N169" s="13" t="n">
        <x:v>2</x:v>
      </x:c>
      <x:c r="O169" s="36" t="n">
        <x:v>25.02053</x:v>
      </x:c>
      <x:c r="P169" s="36" t="n">
        <x:v>121.54145</x:v>
      </x:c>
      <x:c r="Q169" s="36" t="n">
        <x:v>25.01511</x:v>
      </x:c>
      <x:c r="R169" s="36" t="n">
        <x:v>121.53786</x:v>
      </x:c>
      <x:c r="S169" s="12" t="str">
        <x:v>是</x:v>
      </x:c>
      <x:c r="T169" s="12" t="str"/>
      <x:c r="U169" s="12" t="str"/>
      <x:c r="V169" s="12" t="str"/>
    </x:row>
    <x:row r="170">
      <x:c r="A170" s="12" t="str">
        <x:v>2026-09-07</x:v>
      </x:c>
      <x:c r="B170" s="12" t="str">
        <x:v>13:00</x:v>
      </x:c>
      <x:c r="C170" s="12" t="str">
        <x:v>10–13</x:v>
      </x:c>
      <x:c r="D170" s="12" t="str">
        <x:v>500119076</x:v>
      </x:c>
      <x:c r="E170" s="12" t="str">
        <x:v>臺大博理館西側</x:v>
      </x:c>
      <x:c r="F170" s="12" t="str">
        <x:v>500119045</x:v>
      </x:c>
      <x:c r="G170" s="12" t="str">
        <x:v>臺大農業陳列館北側</x:v>
      </x:c>
      <x:c r="H170" s="12" t="str">
        <x:v>實線</x:v>
      </x:c>
      <x:c r="I170" s="13" t="n">
        <x:v>1</x:v>
      </x:c>
      <x:c r="J170" s="12" t="str">
        <x:v>ZZB-0004</x:v>
      </x:c>
      <x:c r="K170" s="13" t="n">
        <x:v>7</x:v>
      </x:c>
      <x:c r="L170" s="13" t="n">
        <x:v>7</x:v>
      </x:c>
      <x:c r="M170" s="13" t="n">
        <x:v>0</x:v>
      </x:c>
      <x:c r="N170" s="13" t="n">
        <x:v>1</x:v>
      </x:c>
      <x:c r="O170" s="36" t="n">
        <x:v>25.01922</x:v>
      </x:c>
      <x:c r="P170" s="36" t="n">
        <x:v>121.54195</x:v>
      </x:c>
      <x:c r="Q170" s="36" t="n">
        <x:v>25.01839</x:v>
      </x:c>
      <x:c r="R170" s="36" t="n">
        <x:v>121.53404</x:v>
      </x:c>
      <x:c r="S170" s="12" t="str">
        <x:v>是</x:v>
      </x:c>
      <x:c r="T170" s="12" t="str"/>
      <x:c r="U170" s="12" t="str"/>
      <x:c r="V170" s="12" t="str"/>
    </x:row>
    <x:row r="171">
      <x:c r="A171" s="12" t="str">
        <x:v>2026-09-07</x:v>
      </x:c>
      <x:c r="B171" s="12" t="str">
        <x:v>13:00</x:v>
      </x:c>
      <x:c r="C171" s="12" t="str">
        <x:v>10–13</x:v>
      </x:c>
      <x:c r="D171" s="12" t="str">
        <x:v>500119083</x:v>
      </x:c>
      <x:c r="E171" s="12" t="str">
        <x:v>臺大新生教室南側</x:v>
      </x:c>
      <x:c r="F171" s="12" t="str">
        <x:v>500119045</x:v>
      </x:c>
      <x:c r="G171" s="12" t="str">
        <x:v>臺大農業陳列館北側</x:v>
      </x:c>
      <x:c r="H171" s="12" t="str">
        <x:v>實線</x:v>
      </x:c>
      <x:c r="I171" s="13" t="n">
        <x:v>1</x:v>
      </x:c>
      <x:c r="J171" s="12" t="str">
        <x:v>ZZB-0004</x:v>
      </x:c>
      <x:c r="K171" s="13" t="n">
        <x:v>7</x:v>
      </x:c>
      <x:c r="L171" s="13" t="n">
        <x:v>7</x:v>
      </x:c>
      <x:c r="M171" s="13" t="n">
        <x:v>0</x:v>
      </x:c>
      <x:c r="N171" s="13" t="n">
        <x:v>1</x:v>
      </x:c>
      <x:c r="O171" s="36" t="n">
        <x:v>25.0196</x:v>
      </x:c>
      <x:c r="P171" s="36" t="n">
        <x:v>121.53846</x:v>
      </x:c>
      <x:c r="Q171" s="36" t="n">
        <x:v>25.01839</x:v>
      </x:c>
      <x:c r="R171" s="36" t="n">
        <x:v>121.53404</x:v>
      </x:c>
      <x:c r="S171" s="12" t="str">
        <x:v>是</x:v>
      </x:c>
      <x:c r="T171" s="12" t="str"/>
      <x:c r="U171" s="12" t="str"/>
      <x:c r="V171" s="12" t="str"/>
    </x:row>
    <x:row r="172">
      <x:c r="A172" s="12" t="str">
        <x:v>2026-09-07</x:v>
      </x:c>
      <x:c r="B172" s="12" t="str">
        <x:v>13:00</x:v>
      </x:c>
      <x:c r="C172" s="12" t="str">
        <x:v>10–13</x:v>
      </x:c>
      <x:c r="D172" s="12" t="str">
        <x:v>500119085</x:v>
      </x:c>
      <x:c r="E172" s="12" t="str">
        <x:v>臺大電機二館東南側</x:v>
      </x:c>
      <x:c r="F172" s="12" t="str">
        <x:v>500119045</x:v>
      </x:c>
      <x:c r="G172" s="12" t="str">
        <x:v>臺大農業陳列館北側</x:v>
      </x:c>
      <x:c r="H172" s="12" t="str">
        <x:v>實線</x:v>
      </x:c>
      <x:c r="I172" s="13" t="n">
        <x:v>1</x:v>
      </x:c>
      <x:c r="J172" s="12" t="str">
        <x:v>ZZB-0004</x:v>
      </x:c>
      <x:c r="K172" s="13" t="n">
        <x:v>7</x:v>
      </x:c>
      <x:c r="L172" s="13" t="n">
        <x:v>7</x:v>
      </x:c>
      <x:c r="M172" s="13" t="n">
        <x:v>0</x:v>
      </x:c>
      <x:c r="N172" s="13" t="n">
        <x:v>1</x:v>
      </x:c>
      <x:c r="O172" s="36" t="n">
        <x:v>25.01857</x:v>
      </x:c>
      <x:c r="P172" s="36" t="n">
        <x:v>121.54247</x:v>
      </x:c>
      <x:c r="Q172" s="36" t="n">
        <x:v>25.01839</x:v>
      </x:c>
      <x:c r="R172" s="36" t="n">
        <x:v>121.53404</x:v>
      </x:c>
      <x:c r="S172" s="12" t="str">
        <x:v>是</x:v>
      </x:c>
      <x:c r="T172" s="12" t="str"/>
      <x:c r="U172" s="12" t="str"/>
      <x:c r="V172" s="12" t="str"/>
    </x:row>
    <x:row r="173">
      <x:c r="A173" s="12" t="str">
        <x:v>2026-09-07</x:v>
      </x:c>
      <x:c r="B173" s="12" t="str">
        <x:v>13:00</x:v>
      </x:c>
      <x:c r="C173" s="12" t="str">
        <x:v>10–13</x:v>
      </x:c>
      <x:c r="D173" s="12" t="str">
        <x:v>500119086</x:v>
      </x:c>
      <x:c r="E173" s="12" t="str">
        <x:v>臺大圖資系館北側</x:v>
      </x:c>
      <x:c r="F173" s="12" t="str">
        <x:v>500119070</x:v>
      </x:c>
      <x:c r="G173" s="12" t="str">
        <x:v>臺大椰林小舖</x:v>
      </x:c>
      <x:c r="H173" s="12" t="str">
        <x:v>實線</x:v>
      </x:c>
      <x:c r="I173" s="13" t="n">
        <x:v>1</x:v>
      </x:c>
      <x:c r="J173" s="12" t="str">
        <x:v>ZZB-0001</x:v>
      </x:c>
      <x:c r="K173" s="13" t="n">
        <x:v>7</x:v>
      </x:c>
      <x:c r="L173" s="13" t="n">
        <x:v>6</x:v>
      </x:c>
      <x:c r="M173" s="13" t="n">
        <x:v>1</x:v>
      </x:c>
      <x:c r="N173" s="13" t="n">
        <x:v>2</x:v>
      </x:c>
      <x:c r="O173" s="36" t="n">
        <x:v>25.01804</x:v>
      </x:c>
      <x:c r="P173" s="36" t="n">
        <x:v>121.53928</x:v>
      </x:c>
      <x:c r="Q173" s="36" t="n">
        <x:v>25.01561</x:v>
      </x:c>
      <x:c r="R173" s="36" t="n">
        <x:v>121.53583</x:v>
      </x:c>
      <x:c r="S173" s="12" t="str">
        <x:v>是</x:v>
      </x:c>
      <x:c r="T173" s="12" t="str"/>
      <x:c r="U173" s="12" t="str"/>
      <x:c r="V173" s="12" t="str"/>
    </x:row>
    <x:row r="174">
      <x:c r="A174" s="12" t="str">
        <x:v>2026-09-07</x:v>
      </x:c>
      <x:c r="B174" s="12" t="str">
        <x:v>14:00</x:v>
      </x:c>
      <x:c r="C174" s="12" t="str">
        <x:v>14–17</x:v>
      </x:c>
      <x:c r="D174" s="12" t="str">
        <x:v>500119076</x:v>
      </x:c>
      <x:c r="E174" s="12" t="str">
        <x:v>臺大博理館西側</x:v>
      </x:c>
      <x:c r="F174" s="12" t="str">
        <x:v>500119045</x:v>
      </x:c>
      <x:c r="G174" s="12" t="str">
        <x:v>臺大農業陳列館北側</x:v>
      </x:c>
      <x:c r="H174" s="12" t="str">
        <x:v>實線</x:v>
      </x:c>
      <x:c r="I174" s="13" t="n">
        <x:v>1</x:v>
      </x:c>
      <x:c r="J174" s="12" t="str">
        <x:v>ZZB-0004</x:v>
      </x:c>
      <x:c r="K174" s="13" t="n">
        <x:v>14</x:v>
      </x:c>
      <x:c r="L174" s="13" t="n">
        <x:v>14</x:v>
      </x:c>
      <x:c r="M174" s="13" t="n">
        <x:v>0</x:v>
      </x:c>
      <x:c r="N174" s="13" t="n">
        <x:v>2</x:v>
      </x:c>
      <x:c r="O174" s="36" t="n">
        <x:v>25.01922</x:v>
      </x:c>
      <x:c r="P174" s="36" t="n">
        <x:v>121.54195</x:v>
      </x:c>
      <x:c r="Q174" s="36" t="n">
        <x:v>25.01839</x:v>
      </x:c>
      <x:c r="R174" s="36" t="n">
        <x:v>121.53404</x:v>
      </x:c>
      <x:c r="S174" s="12" t="str">
        <x:v>是</x:v>
      </x:c>
      <x:c r="T174" s="12" t="str"/>
      <x:c r="U174" s="12" t="str"/>
      <x:c r="V174" s="12" t="str"/>
    </x:row>
    <x:row r="175">
      <x:c r="A175" s="12" t="str">
        <x:v>2026-09-07</x:v>
      </x:c>
      <x:c r="B175" s="12" t="str">
        <x:v>14:00</x:v>
      </x:c>
      <x:c r="C175" s="12" t="str">
        <x:v>14–17</x:v>
      </x:c>
      <x:c r="D175" s="12" t="str">
        <x:v>500119098</x:v>
      </x:c>
      <x:c r="E175" s="12" t="str">
        <x:v>臺大數學研究中心(東側)</x:v>
      </x:c>
      <x:c r="F175" s="12" t="str">
        <x:v>500119094</x:v>
      </x:c>
      <x:c r="G175" s="12" t="str">
        <x:v>臺大大一女餐廳廣場</x:v>
      </x:c>
      <x:c r="H175" s="12" t="str">
        <x:v>實線</x:v>
      </x:c>
      <x:c r="I175" s="13" t="n">
        <x:v>1</x:v>
      </x:c>
      <x:c r="J175" s="12" t="str">
        <x:v>ZZB-0001</x:v>
      </x:c>
      <x:c r="K175" s="13" t="n">
        <x:v>7</x:v>
      </x:c>
      <x:c r="L175" s="13" t="n">
        <x:v>6</x:v>
      </x:c>
      <x:c r="M175" s="13" t="n">
        <x:v>1</x:v>
      </x:c>
      <x:c r="N175" s="13" t="n">
        <x:v>2</x:v>
      </x:c>
      <x:c r="O175" s="36" t="n">
        <x:v>25.02004</x:v>
      </x:c>
      <x:c r="P175" s="36" t="n">
        <x:v>121.53881</x:v>
      </x:c>
      <x:c r="Q175" s="36" t="n">
        <x:v>25.01479</x:v>
      </x:c>
      <x:c r="R175" s="36" t="n">
        <x:v>121.53494</x:v>
      </x:c>
      <x:c r="S175" s="12" t="str">
        <x:v>是</x:v>
      </x:c>
      <x:c r="T175" s="12" t="str"/>
      <x:c r="U175" s="12" t="str"/>
      <x:c r="V175" s="12" t="str"/>
    </x:row>
    <x:row r="176">
      <x:c r="A176" s="12" t="str">
        <x:v>2026-09-07</x:v>
      </x:c>
      <x:c r="B176" s="12" t="str">
        <x:v>14:00</x:v>
      </x:c>
      <x:c r="C176" s="12" t="str">
        <x:v>14–17</x:v>
      </x:c>
      <x:c r="D176" s="12" t="str">
        <x:v>500119102</x:v>
      </x:c>
      <x:c r="E176" s="12" t="str">
        <x:v>臺大普通教學館東側</x:v>
      </x:c>
      <x:c r="F176" s="12" t="str">
        <x:v>500119045</x:v>
      </x:c>
      <x:c r="G176" s="12" t="str">
        <x:v>臺大農業陳列館北側</x:v>
      </x:c>
      <x:c r="H176" s="12" t="str">
        <x:v>實線</x:v>
      </x:c>
      <x:c r="I176" s="13" t="n">
        <x:v>1</x:v>
      </x:c>
      <x:c r="J176" s="12" t="str">
        <x:v>ZZB-0004</x:v>
      </x:c>
      <x:c r="K176" s="13" t="n">
        <x:v>7</x:v>
      </x:c>
      <x:c r="L176" s="13" t="n">
        <x:v>7</x:v>
      </x:c>
      <x:c r="M176" s="13" t="n">
        <x:v>0</x:v>
      </x:c>
      <x:c r="N176" s="13" t="n">
        <x:v>1</x:v>
      </x:c>
      <x:c r="O176" s="36" t="n">
        <x:v>25.01861</x:v>
      </x:c>
      <x:c r="P176" s="36" t="n">
        <x:v>121.53717</x:v>
      </x:c>
      <x:c r="Q176" s="36" t="n">
        <x:v>25.01839</x:v>
      </x:c>
      <x:c r="R176" s="36" t="n">
        <x:v>121.53404</x:v>
      </x:c>
      <x:c r="S176" s="12" t="str">
        <x:v>是</x:v>
      </x:c>
      <x:c r="T176" s="12" t="str"/>
      <x:c r="U176" s="12" t="str"/>
      <x:c r="V176" s="12" t="str"/>
    </x:row>
    <x:row r="177">
      <x:c r="A177" s="12" t="str">
        <x:v>2026-09-07</x:v>
      </x:c>
      <x:c r="B177" s="12" t="str">
        <x:v>17:00</x:v>
      </x:c>
      <x:c r="C177" s="12" t="str">
        <x:v>14–17</x:v>
      </x:c>
      <x:c r="D177" s="12" t="str">
        <x:v>500101276</x:v>
      </x:c>
      <x:c r="E177" s="12" t="str">
        <x:v>羅斯福新生南路口</x:v>
      </x:c>
      <x:c r="F177" s="12" t="str">
        <x:v>500119055</x:v>
      </x:c>
      <x:c r="G177" s="12" t="str">
        <x:v>臺大樂學館東側</x:v>
      </x:c>
      <x:c r="H177" s="12" t="str">
        <x:v>虛線</x:v>
      </x:c>
      <x:c r="I177" s="13" t="n">
        <x:v>1</x:v>
      </x:c>
      <x:c r="J177" s="12" t="str">
        <x:v>ZZB-0004</x:v>
      </x:c>
      <x:c r="K177" s="13" t="n">
        <x:v>8</x:v>
      </x:c>
      <x:c r="L177" s="13" t="n">
        <x:v>8</x:v>
      </x:c>
      <x:c r="M177" s="13" t="n">
        <x:v>0</x:v>
      </x:c>
      <x:c r="N177" s="13" t="n">
        <x:v>1</x:v>
      </x:c>
      <x:c r="O177" s="36" t="n">
        <x:v>25.01604</x:v>
      </x:c>
      <x:c r="P177" s="36" t="n">
        <x:v>121.53316</x:v>
      </x:c>
      <x:c r="Q177" s="36" t="n">
        <x:v>25.01793</x:v>
      </x:c>
      <x:c r="R177" s="36" t="n">
        <x:v>121.53585</x:v>
      </x:c>
      <x:c r="S177" s="12" t="str">
        <x:v>否</x:v>
      </x:c>
      <x:c r="T177" s="12" t="str">
        <x:v>任一端站碼非500119*</x:v>
      </x:c>
      <x:c r="U177" s="12" t="str"/>
      <x:c r="V177" s="12" t="str"/>
    </x:row>
    <x:row r="178">
      <x:c r="A178" s="12" t="str">
        <x:v>2026-09-07</x:v>
      </x:c>
      <x:c r="B178" s="12" t="str">
        <x:v>17:00</x:v>
      </x:c>
      <x:c r="C178" s="12" t="str">
        <x:v>14–17</x:v>
      </x:c>
      <x:c r="D178" s="12" t="str">
        <x:v>500101276</x:v>
      </x:c>
      <x:c r="E178" s="12" t="str">
        <x:v>羅斯福新生南路口</x:v>
      </x:c>
      <x:c r="F178" s="12" t="str">
        <x:v>500119057</x:v>
      </x:c>
      <x:c r="G178" s="12" t="str">
        <x:v>臺大五號館西側</x:v>
      </x:c>
      <x:c r="H178" s="12" t="str">
        <x:v>虛線</x:v>
      </x:c>
      <x:c r="I178" s="13" t="n">
        <x:v>1</x:v>
      </x:c>
      <x:c r="J178" s="12" t="str">
        <x:v>ZZB-0004</x:v>
      </x:c>
      <x:c r="K178" s="13" t="n">
        <x:v>10</x:v>
      </x:c>
      <x:c r="L178" s="13" t="n">
        <x:v>10</x:v>
      </x:c>
      <x:c r="M178" s="13" t="n">
        <x:v>0</x:v>
      </x:c>
      <x:c r="N178" s="13" t="n">
        <x:v>1</x:v>
      </x:c>
      <x:c r="O178" s="36" t="n">
        <x:v>25.01604</x:v>
      </x:c>
      <x:c r="P178" s="36" t="n">
        <x:v>121.53316</x:v>
      </x:c>
      <x:c r="Q178" s="36" t="n">
        <x:v>25.01666</x:v>
      </x:c>
      <x:c r="R178" s="36" t="n">
        <x:v>121.53718</x:v>
      </x:c>
      <x:c r="S178" s="12" t="str">
        <x:v>否</x:v>
      </x:c>
      <x:c r="T178" s="12" t="str">
        <x:v>任一端站碼非500119*</x:v>
      </x:c>
      <x:c r="U178" s="12" t="str"/>
      <x:c r="V178" s="12" t="str"/>
    </x:row>
    <x:row r="179">
      <x:c r="A179" s="12" t="str">
        <x:v>2026-09-07</x:v>
      </x:c>
      <x:c r="B179" s="12" t="str">
        <x:v>17:00</x:v>
      </x:c>
      <x:c r="C179" s="12" t="str">
        <x:v>14–17</x:v>
      </x:c>
      <x:c r="D179" s="12" t="str">
        <x:v>500101276</x:v>
      </x:c>
      <x:c r="E179" s="12" t="str">
        <x:v>羅斯福新生南路口</x:v>
      </x:c>
      <x:c r="F179" s="12" t="str">
        <x:v>500119065</x:v>
      </x:c>
      <x:c r="G179" s="12" t="str">
        <x:v>臺大二號館</x:v>
      </x:c>
      <x:c r="H179" s="12" t="str">
        <x:v>虛線</x:v>
      </x:c>
      <x:c r="I179" s="13" t="n">
        <x:v>1</x:v>
      </x:c>
      <x:c r="J179" s="12" t="str">
        <x:v>ZZB-0004</x:v>
      </x:c>
      <x:c r="K179" s="13" t="n">
        <x:v>7</x:v>
      </x:c>
      <x:c r="L179" s="13" t="n">
        <x:v>7</x:v>
      </x:c>
      <x:c r="M179" s="13" t="n">
        <x:v>0</x:v>
      </x:c>
      <x:c r="N179" s="13" t="n">
        <x:v>1</x:v>
      </x:c>
      <x:c r="O179" s="36" t="n">
        <x:v>25.01604</x:v>
      </x:c>
      <x:c r="P179" s="36" t="n">
        <x:v>121.53316</x:v>
      </x:c>
      <x:c r="Q179" s="36" t="n">
        <x:v>25.01699</x:v>
      </x:c>
      <x:c r="R179" s="36" t="n">
        <x:v>121.53574</x:v>
      </x:c>
      <x:c r="S179" s="12" t="str">
        <x:v>否</x:v>
      </x:c>
      <x:c r="T179" s="12" t="str">
        <x:v>任一端站碼非500119*</x:v>
      </x:c>
      <x:c r="U179" s="12" t="str"/>
      <x:c r="V179" s="12" t="str"/>
    </x:row>
    <x:row r="180">
      <x:c r="A180" s="12" t="str">
        <x:v>2026-09-07</x:v>
      </x:c>
      <x:c r="B180" s="12" t="str">
        <x:v>17:00</x:v>
      </x:c>
      <x:c r="C180" s="12" t="str">
        <x:v>14–17</x:v>
      </x:c>
      <x:c r="D180" s="12" t="str">
        <x:v>500119045</x:v>
      </x:c>
      <x:c r="E180" s="12" t="str">
        <x:v>臺大農業陳列館北側</x:v>
      </x:c>
      <x:c r="F180" s="12" t="str">
        <x:v>500119050</x:v>
      </x:c>
      <x:c r="G180" s="12" t="str">
        <x:v>臺大小福樓東側</x:v>
      </x:c>
      <x:c r="H180" s="12" t="str">
        <x:v>實線</x:v>
      </x:c>
      <x:c r="I180" s="13" t="n">
        <x:v>1</x:v>
      </x:c>
      <x:c r="J180" s="12" t="str">
        <x:v>ZZB-0001</x:v>
      </x:c>
      <x:c r="K180" s="13" t="n">
        <x:v>21</x:v>
      </x:c>
      <x:c r="L180" s="13" t="n">
        <x:v>21</x:v>
      </x:c>
      <x:c r="M180" s="13" t="n">
        <x:v>0</x:v>
      </x:c>
      <x:c r="N180" s="13" t="n">
        <x:v>3</x:v>
      </x:c>
      <x:c r="O180" s="36" t="n">
        <x:v>25.01839</x:v>
      </x:c>
      <x:c r="P180" s="36" t="n">
        <x:v>121.53404</x:v>
      </x:c>
      <x:c r="Q180" s="36" t="n">
        <x:v>25.01846</x:v>
      </x:c>
      <x:c r="R180" s="36" t="n">
        <x:v>121.5376</x:v>
      </x:c>
      <x:c r="S180" s="12" t="str">
        <x:v>是</x:v>
      </x:c>
      <x:c r="T180" s="12" t="str"/>
      <x:c r="U180" s="12" t="str"/>
      <x:c r="V180" s="12" t="str"/>
    </x:row>
    <x:row r="181">
      <x:c r="A181" s="12" t="str">
        <x:v>2026-09-07</x:v>
      </x:c>
      <x:c r="B181" s="12" t="str">
        <x:v>18:00</x:v>
      </x:c>
      <x:c r="C181" s="12" t="str">
        <x:v>18–21</x:v>
      </x:c>
      <x:c r="D181" s="12" t="str">
        <x:v>500101276</x:v>
      </x:c>
      <x:c r="E181" s="12" t="str">
        <x:v>羅斯福新生南路口</x:v>
      </x:c>
      <x:c r="F181" s="12" t="str">
        <x:v>500119050</x:v>
      </x:c>
      <x:c r="G181" s="12" t="str">
        <x:v>臺大小福樓東側</x:v>
      </x:c>
      <x:c r="H181" s="12" t="str">
        <x:v>虛線</x:v>
      </x:c>
      <x:c r="I181" s="13" t="n">
        <x:v>1</x:v>
      </x:c>
      <x:c r="J181" s="12" t="str">
        <x:v>ZZB-0001</x:v>
      </x:c>
      <x:c r="K181" s="13" t="n">
        <x:v>7</x:v>
      </x:c>
      <x:c r="L181" s="13" t="n">
        <x:v>7</x:v>
      </x:c>
      <x:c r="M181" s="13" t="n">
        <x:v>0</x:v>
      </x:c>
      <x:c r="N181" s="13" t="n">
        <x:v>1</x:v>
      </x:c>
      <x:c r="O181" s="36" t="n">
        <x:v>25.01604</x:v>
      </x:c>
      <x:c r="P181" s="36" t="n">
        <x:v>121.53316</x:v>
      </x:c>
      <x:c r="Q181" s="36" t="n">
        <x:v>25.01846</x:v>
      </x:c>
      <x:c r="R181" s="36" t="n">
        <x:v>121.5376</x:v>
      </x:c>
      <x:c r="S181" s="12" t="str">
        <x:v>否</x:v>
      </x:c>
      <x:c r="T181" s="12" t="str">
        <x:v>任一端站碼非500119*</x:v>
      </x:c>
      <x:c r="U181" s="12" t="str"/>
      <x:c r="V181" s="12" t="str"/>
    </x:row>
    <x:row r="182">
      <x:c r="A182" s="12" t="str">
        <x:v>2026-09-07</x:v>
      </x:c>
      <x:c r="B182" s="12" t="str">
        <x:v>18:00</x:v>
      </x:c>
      <x:c r="C182" s="12" t="str">
        <x:v>18–21</x:v>
      </x:c>
      <x:c r="D182" s="12" t="str">
        <x:v>500101276</x:v>
      </x:c>
      <x:c r="E182" s="12" t="str">
        <x:v>羅斯福新生南路口</x:v>
      </x:c>
      <x:c r="F182" s="12" t="str">
        <x:v>500119055</x:v>
      </x:c>
      <x:c r="G182" s="12" t="str">
        <x:v>臺大樂學館東側</x:v>
      </x:c>
      <x:c r="H182" s="12" t="str">
        <x:v>虛線</x:v>
      </x:c>
      <x:c r="I182" s="13" t="n">
        <x:v>2</x:v>
      </x:c>
      <x:c r="J182" s="12" t="str">
        <x:v>ZZB-0001、ZZB-0004</x:v>
      </x:c>
      <x:c r="K182" s="13" t="n">
        <x:v>26</x:v>
      </x:c>
      <x:c r="L182" s="13" t="n">
        <x:v>24</x:v>
      </x:c>
      <x:c r="M182" s="13" t="n">
        <x:v>2</x:v>
      </x:c>
      <x:c r="N182" s="13" t="n">
        <x:v>4</x:v>
      </x:c>
      <x:c r="O182" s="36" t="n">
        <x:v>25.01604</x:v>
      </x:c>
      <x:c r="P182" s="36" t="n">
        <x:v>121.53316</x:v>
      </x:c>
      <x:c r="Q182" s="36" t="n">
        <x:v>25.01793</x:v>
      </x:c>
      <x:c r="R182" s="36" t="n">
        <x:v>121.53585</x:v>
      </x:c>
      <x:c r="S182" s="12" t="str">
        <x:v>否</x:v>
      </x:c>
      <x:c r="T182" s="12" t="str">
        <x:v>任一端站碼非500119*</x:v>
      </x:c>
      <x:c r="U182" s="12" t="str"/>
      <x:c r="V182" s="12" t="str"/>
    </x:row>
    <x:row r="183">
      <x:c r="A183" s="12" t="str">
        <x:v>2026-09-07</x:v>
      </x:c>
      <x:c r="B183" s="12" t="str">
        <x:v>18:00</x:v>
      </x:c>
      <x:c r="C183" s="12" t="str">
        <x:v>18–21</x:v>
      </x:c>
      <x:c r="D183" s="12" t="str">
        <x:v>500101276</x:v>
      </x:c>
      <x:c r="E183" s="12" t="str">
        <x:v>羅斯福新生南路口</x:v>
      </x:c>
      <x:c r="F183" s="12" t="str">
        <x:v>500119082</x:v>
      </x:c>
      <x:c r="G183" s="12" t="str">
        <x:v>臺大四號館東北側</x:v>
      </x:c>
      <x:c r="H183" s="12" t="str">
        <x:v>虛線</x:v>
      </x:c>
      <x:c r="I183" s="13" t="n">
        <x:v>1</x:v>
      </x:c>
      <x:c r="J183" s="12" t="str">
        <x:v>ZZB-0004</x:v>
      </x:c>
      <x:c r="K183" s="13" t="n">
        <x:v>9</x:v>
      </x:c>
      <x:c r="L183" s="13" t="n">
        <x:v>7</x:v>
      </x:c>
      <x:c r="M183" s="13" t="n">
        <x:v>2</x:v>
      </x:c>
      <x:c r="N183" s="13" t="n">
        <x:v>2</x:v>
      </x:c>
      <x:c r="O183" s="36" t="n">
        <x:v>25.01604</x:v>
      </x:c>
      <x:c r="P183" s="36" t="n">
        <x:v>121.53316</x:v>
      </x:c>
      <x:c r="Q183" s="36" t="n">
        <x:v>25.01703</x:v>
      </x:c>
      <x:c r="R183" s="36" t="n">
        <x:v>121.53781</x:v>
      </x:c>
      <x:c r="S183" s="12" t="str">
        <x:v>否</x:v>
      </x:c>
      <x:c r="T183" s="12" t="str">
        <x:v>任一端站碼非500119*</x:v>
      </x:c>
      <x:c r="U183" s="12" t="str"/>
      <x:c r="V183" s="12" t="str"/>
    </x:row>
    <x:row r="184">
      <x:c r="A184" s="12" t="str">
        <x:v>2026-09-07</x:v>
      </x:c>
      <x:c r="B184" s="12" t="str">
        <x:v>18:00</x:v>
      </x:c>
      <x:c r="C184" s="12" t="str">
        <x:v>18–21</x:v>
      </x:c>
      <x:c r="D184" s="12" t="str">
        <x:v>500119048</x:v>
      </x:c>
      <x:c r="E184" s="12" t="str">
        <x:v>臺大大一女舍北側</x:v>
      </x:c>
      <x:c r="F184" s="12" t="str">
        <x:v>500119061</x:v>
      </x:c>
      <x:c r="G184" s="12" t="str">
        <x:v>臺大鹿鳴堂東側</x:v>
      </x:c>
      <x:c r="H184" s="12" t="str">
        <x:v>實線</x:v>
      </x:c>
      <x:c r="I184" s="13" t="n">
        <x:v>1</x:v>
      </x:c>
      <x:c r="J184" s="12" t="str">
        <x:v>ZZB-0001</x:v>
      </x:c>
      <x:c r="K184" s="13" t="n">
        <x:v>7</x:v>
      </x:c>
      <x:c r="L184" s="13" t="n">
        <x:v>7</x:v>
      </x:c>
      <x:c r="M184" s="13" t="n">
        <x:v>0</x:v>
      </x:c>
      <x:c r="N184" s="13" t="n">
        <x:v>1</x:v>
      </x:c>
      <x:c r="O184" s="36" t="n">
        <x:v>25.01547</x:v>
      </x:c>
      <x:c r="P184" s="36" t="n">
        <x:v>121.53436</x:v>
      </x:c>
      <x:c r="Q184" s="36" t="n">
        <x:v>25.01511</x:v>
      </x:c>
      <x:c r="R184" s="36" t="n">
        <x:v>121.53786</x:v>
      </x:c>
      <x:c r="S184" s="12" t="str">
        <x:v>是</x:v>
      </x:c>
      <x:c r="T184" s="12" t="str"/>
      <x:c r="U184" s="12" t="str"/>
      <x:c r="V184" s="12" t="str"/>
    </x:row>
    <x:row r="185">
      <x:c r="A185" s="12" t="str">
        <x:v>2026-09-07</x:v>
      </x:c>
      <x:c r="B185" s="12" t="str">
        <x:v>18:00</x:v>
      </x:c>
      <x:c r="C185" s="12" t="str">
        <x:v>18–21</x:v>
      </x:c>
      <x:c r="D185" s="12" t="str">
        <x:v>500119070</x:v>
      </x:c>
      <x:c r="E185" s="12" t="str">
        <x:v>臺大椰林小舖</x:v>
      </x:c>
      <x:c r="F185" s="12" t="str">
        <x:v>500119061</x:v>
      </x:c>
      <x:c r="G185" s="12" t="str">
        <x:v>臺大鹿鳴堂東側</x:v>
      </x:c>
      <x:c r="H185" s="12" t="str">
        <x:v>實線</x:v>
      </x:c>
      <x:c r="I185" s="13" t="n">
        <x:v>1</x:v>
      </x:c>
      <x:c r="J185" s="12" t="str">
        <x:v>ZZB-0001</x:v>
      </x:c>
      <x:c r="K185" s="13" t="n">
        <x:v>7</x:v>
      </x:c>
      <x:c r="L185" s="13" t="n">
        <x:v>7</x:v>
      </x:c>
      <x:c r="M185" s="13" t="n">
        <x:v>0</x:v>
      </x:c>
      <x:c r="N185" s="13" t="n">
        <x:v>1</x:v>
      </x:c>
      <x:c r="O185" s="36" t="n">
        <x:v>25.01561</x:v>
      </x:c>
      <x:c r="P185" s="36" t="n">
        <x:v>121.53583</x:v>
      </x:c>
      <x:c r="Q185" s="36" t="n">
        <x:v>25.01511</x:v>
      </x:c>
      <x:c r="R185" s="36" t="n">
        <x:v>121.53786</x:v>
      </x:c>
      <x:c r="S185" s="12" t="str">
        <x:v>是</x:v>
      </x:c>
      <x:c r="T185" s="12" t="str"/>
      <x:c r="U185" s="12" t="str"/>
      <x:c r="V185" s="12" t="str"/>
    </x:row>
    <x:row r="186">
      <x:c r="A186" s="12" t="str">
        <x:v>2026-09-07</x:v>
      </x:c>
      <x:c r="B186" s="12" t="str">
        <x:v>19:00</x:v>
      </x:c>
      <x:c r="C186" s="12" t="str">
        <x:v>18–21</x:v>
      </x:c>
      <x:c r="D186" s="12" t="str">
        <x:v>500101276</x:v>
      </x:c>
      <x:c r="E186" s="12" t="str">
        <x:v>羅斯福新生南路口</x:v>
      </x:c>
      <x:c r="F186" s="12" t="str">
        <x:v>500119075</x:v>
      </x:c>
      <x:c r="G186" s="12" t="str">
        <x:v>臺大第一活動中心西南側</x:v>
      </x:c>
      <x:c r="H186" s="12" t="str">
        <x:v>虛線</x:v>
      </x:c>
      <x:c r="I186" s="13" t="n">
        <x:v>1</x:v>
      </x:c>
      <x:c r="J186" s="12" t="str">
        <x:v>ZZB-0004</x:v>
      </x:c>
      <x:c r="K186" s="13" t="n">
        <x:v>10</x:v>
      </x:c>
      <x:c r="L186" s="13" t="n">
        <x:v>10</x:v>
      </x:c>
      <x:c r="M186" s="13" t="n">
        <x:v>0</x:v>
      </x:c>
      <x:c r="N186" s="13" t="n">
        <x:v>1</x:v>
      </x:c>
      <x:c r="O186" s="36" t="n">
        <x:v>25.01604</x:v>
      </x:c>
      <x:c r="P186" s="36" t="n">
        <x:v>121.53316</x:v>
      </x:c>
      <x:c r="Q186" s="36" t="n">
        <x:v>25.01761</x:v>
      </x:c>
      <x:c r="R186" s="36" t="n">
        <x:v>121.53995</x:v>
      </x:c>
      <x:c r="S186" s="12" t="str">
        <x:v>否</x:v>
      </x:c>
      <x:c r="T186" s="12" t="str">
        <x:v>任一端站碼非500119*</x:v>
      </x:c>
      <x:c r="U186" s="12" t="str"/>
      <x:c r="V186" s="12" t="str"/>
    </x:row>
    <x:row r="187">
      <x:c r="A187" s="12" t="str">
        <x:v>2026-09-07</x:v>
      </x:c>
      <x:c r="B187" s="12" t="str">
        <x:v>19:00</x:v>
      </x:c>
      <x:c r="C187" s="12" t="str">
        <x:v>18–21</x:v>
      </x:c>
      <x:c r="D187" s="12" t="str">
        <x:v>500119094</x:v>
      </x:c>
      <x:c r="E187" s="12" t="str">
        <x:v>臺大大一女餐廳廣場</x:v>
      </x:c>
      <x:c r="F187" s="12" t="str">
        <x:v>500119061</x:v>
      </x:c>
      <x:c r="G187" s="12" t="str">
        <x:v>臺大鹿鳴堂東側</x:v>
      </x:c>
      <x:c r="H187" s="12" t="str">
        <x:v>實線</x:v>
      </x:c>
      <x:c r="I187" s="13" t="n">
        <x:v>1</x:v>
      </x:c>
      <x:c r="J187" s="12" t="str">
        <x:v>ZZB-0001</x:v>
      </x:c>
      <x:c r="K187" s="13" t="n">
        <x:v>7</x:v>
      </x:c>
      <x:c r="L187" s="13" t="n">
        <x:v>7</x:v>
      </x:c>
      <x:c r="M187" s="13" t="n">
        <x:v>0</x:v>
      </x:c>
      <x:c r="N187" s="13" t="n">
        <x:v>1</x:v>
      </x:c>
      <x:c r="O187" s="36" t="n">
        <x:v>25.01479</x:v>
      </x:c>
      <x:c r="P187" s="36" t="n">
        <x:v>121.53494</x:v>
      </x:c>
      <x:c r="Q187" s="36" t="n">
        <x:v>25.01511</x:v>
      </x:c>
      <x:c r="R187" s="36" t="n">
        <x:v>121.53786</x:v>
      </x:c>
      <x:c r="S187" s="12" t="str">
        <x:v>是</x:v>
      </x:c>
      <x:c r="T187" s="12" t="str"/>
      <x:c r="U187" s="12" t="str"/>
      <x:c r="V187" s="12" t="str"/>
    </x:row>
    <x:row r="188">
      <x:c r="A188" s="12" t="str">
        <x:v>2026-09-07</x:v>
      </x:c>
      <x:c r="B188" s="12" t="str">
        <x:v>20:00</x:v>
      </x:c>
      <x:c r="C188" s="12" t="str">
        <x:v>18–21</x:v>
      </x:c>
      <x:c r="D188" s="12" t="str">
        <x:v>500101276</x:v>
      </x:c>
      <x:c r="E188" s="12" t="str">
        <x:v>羅斯福新生南路口</x:v>
      </x:c>
      <x:c r="F188" s="12" t="str">
        <x:v>500119086</x:v>
      </x:c>
      <x:c r="G188" s="12" t="str">
        <x:v>臺大圖資系館北側</x:v>
      </x:c>
      <x:c r="H188" s="12" t="str">
        <x:v>虛線</x:v>
      </x:c>
      <x:c r="I188" s="13" t="n">
        <x:v>1</x:v>
      </x:c>
      <x:c r="J188" s="12" t="str">
        <x:v>ZZB-0004</x:v>
      </x:c>
      <x:c r="K188" s="13" t="n">
        <x:v>9</x:v>
      </x:c>
      <x:c r="L188" s="13" t="n">
        <x:v>7</x:v>
      </x:c>
      <x:c r="M188" s="13" t="n">
        <x:v>2</x:v>
      </x:c>
      <x:c r="N188" s="13" t="n">
        <x:v>2</x:v>
      </x:c>
      <x:c r="O188" s="36" t="n">
        <x:v>25.01604</x:v>
      </x:c>
      <x:c r="P188" s="36" t="n">
        <x:v>121.53316</x:v>
      </x:c>
      <x:c r="Q188" s="36" t="n">
        <x:v>25.01804</x:v>
      </x:c>
      <x:c r="R188" s="36" t="n">
        <x:v>121.53928</x:v>
      </x:c>
      <x:c r="S188" s="12" t="str">
        <x:v>否</x:v>
      </x:c>
      <x:c r="T188" s="12" t="str">
        <x:v>任一端站碼非500119*</x:v>
      </x:c>
      <x:c r="U188" s="12" t="str"/>
      <x:c r="V188" s="12" t="str"/>
    </x:row>
    <x:row r="189">
      <x:c r="A189" s="12" t="str">
        <x:v>2026-09-07</x:v>
      </x:c>
      <x:c r="B189" s="12" t="str">
        <x:v>22:00</x:v>
      </x:c>
      <x:c r="C189" s="12" t="str">
        <x:v>22–23</x:v>
      </x:c>
      <x:c r="D189" s="12" t="str">
        <x:v>500101181</x:v>
      </x:c>
      <x:c r="E189" s="12" t="str">
        <x:v>捷運公館站(3號出口)</x:v>
      </x:c>
      <x:c r="F189" s="12" t="str">
        <x:v>500101276</x:v>
      </x:c>
      <x:c r="G189" s="12" t="str">
        <x:v>羅斯福新生南路口</x:v>
      </x:c>
      <x:c r="H189" s="12" t="str">
        <x:v>虛線</x:v>
      </x:c>
      <x:c r="I189" s="13" t="n">
        <x:v>2</x:v>
      </x:c>
      <x:c r="J189" s="12" t="str">
        <x:v>ZZB-0001、ZZB-0004</x:v>
      </x:c>
      <x:c r="K189" s="13" t="n">
        <x:v>35</x:v>
      </x:c>
      <x:c r="L189" s="13" t="n">
        <x:v>35</x:v>
      </x:c>
      <x:c r="M189" s="13" t="n">
        <x:v>0</x:v>
      </x:c>
      <x:c r="N189" s="13" t="n">
        <x:v>5</x:v>
      </x:c>
      <x:c r="O189" s="36" t="n">
        <x:v>25.01551</x:v>
      </x:c>
      <x:c r="P189" s="36" t="n">
        <x:v>121.53374</x:v>
      </x:c>
      <x:c r="Q189" s="36" t="n">
        <x:v>25.01604</x:v>
      </x:c>
      <x:c r="R189" s="36" t="n">
        <x:v>121.53316</x:v>
      </x:c>
      <x:c r="S189" s="12" t="str">
        <x:v>否</x:v>
      </x:c>
      <x:c r="T189" s="12" t="str">
        <x:v>任一端站碼非500119*</x:v>
      </x:c>
      <x:c r="U189" s="12" t="str"/>
      <x:c r="V189" s="12" t="str"/>
    </x:row>
    <x:row r="190">
      <x:c r="A190" s="12" t="str">
        <x:v>2026-09-07</x:v>
      </x:c>
      <x:c r="B190" s="12" t="str">
        <x:v>23:00</x:v>
      </x:c>
      <x:c r="C190" s="12" t="str">
        <x:v>22–23</x:v>
      </x:c>
      <x:c r="D190" s="12" t="str">
        <x:v>500101181</x:v>
      </x:c>
      <x:c r="E190" s="12" t="str">
        <x:v>捷運公館站(3號出口)</x:v>
      </x:c>
      <x:c r="F190" s="12" t="str">
        <x:v>500101276</x:v>
      </x:c>
      <x:c r="G190" s="12" t="str">
        <x:v>羅斯福新生南路口</x:v>
      </x:c>
      <x:c r="H190" s="12" t="str">
        <x:v>虛線</x:v>
      </x:c>
      <x:c r="I190" s="13" t="n">
        <x:v>1</x:v>
      </x:c>
      <x:c r="J190" s="12" t="str">
        <x:v>ZZB-0004</x:v>
      </x:c>
      <x:c r="K190" s="13" t="n">
        <x:v>14</x:v>
      </x:c>
      <x:c r="L190" s="13" t="n">
        <x:v>14</x:v>
      </x:c>
      <x:c r="M190" s="13" t="n">
        <x:v>0</x:v>
      </x:c>
      <x:c r="N190" s="13" t="n">
        <x:v>1</x:v>
      </x:c>
      <x:c r="O190" s="36" t="n">
        <x:v>25.01551</x:v>
      </x:c>
      <x:c r="P190" s="36" t="n">
        <x:v>121.53374</x:v>
      </x:c>
      <x:c r="Q190" s="36" t="n">
        <x:v>25.01604</x:v>
      </x:c>
      <x:c r="R190" s="36" t="n">
        <x:v>121.53316</x:v>
      </x:c>
      <x:c r="S190" s="12" t="str">
        <x:v>否</x:v>
      </x:c>
      <x:c r="T190" s="12" t="str">
        <x:v>任一端站碼非500119*</x:v>
      </x:c>
      <x:c r="U190" s="12" t="str"/>
      <x:c r="V190" s="12" t="str"/>
    </x:row>
    <x:row r="191">
      <x:c r="A191" s="12" t="str">
        <x:v>2026-09-08</x:v>
      </x:c>
      <x:c r="B191" s="12" t="str">
        <x:v>00:00</x:v>
      </x:c>
      <x:c r="C191" s="12" t="str">
        <x:v>00–05</x:v>
      </x:c>
      <x:c r="D191" s="12" t="str">
        <x:v>500101181</x:v>
      </x:c>
      <x:c r="E191" s="12" t="str">
        <x:v>捷運公館站(3號出口)</x:v>
      </x:c>
      <x:c r="F191" s="12" t="str">
        <x:v>500101276</x:v>
      </x:c>
      <x:c r="G191" s="12" t="str">
        <x:v>羅斯福新生南路口</x:v>
      </x:c>
      <x:c r="H191" s="12" t="str">
        <x:v>虛線</x:v>
      </x:c>
      <x:c r="I191" s="13" t="n">
        <x:v>2</x:v>
      </x:c>
      <x:c r="J191" s="12" t="str">
        <x:v>ZZB-0001、ZZB-0004</x:v>
      </x:c>
      <x:c r="K191" s="13" t="n">
        <x:v>24</x:v>
      </x:c>
      <x:c r="L191" s="13" t="n">
        <x:v>24</x:v>
      </x:c>
      <x:c r="M191" s="13" t="n">
        <x:v>0</x:v>
      </x:c>
      <x:c r="N191" s="13" t="n">
        <x:v>3</x:v>
      </x:c>
      <x:c r="O191" s="36" t="n">
        <x:v>25.01551</x:v>
      </x:c>
      <x:c r="P191" s="36" t="n">
        <x:v>121.53374</x:v>
      </x:c>
      <x:c r="Q191" s="36" t="n">
        <x:v>25.01604</x:v>
      </x:c>
      <x:c r="R191" s="36" t="n">
        <x:v>121.53316</x:v>
      </x:c>
      <x:c r="S191" s="12" t="str">
        <x:v>否</x:v>
      </x:c>
      <x:c r="T191" s="12" t="str">
        <x:v>任一端站碼非500119*</x:v>
      </x:c>
      <x:c r="U191" s="12" t="str"/>
      <x:c r="V191" s="12" t="str"/>
    </x:row>
    <x:row r="192">
      <x:c r="A192" s="12" t="str">
        <x:v>2026-09-08</x:v>
      </x:c>
      <x:c r="B192" s="12" t="str">
        <x:v>07:00</x:v>
      </x:c>
      <x:c r="C192" s="12" t="str">
        <x:v>06–09</x:v>
      </x:c>
      <x:c r="D192" s="12" t="str">
        <x:v>500119052</x:v>
      </x:c>
      <x:c r="E192" s="12" t="str">
        <x:v>臺大工綜館南側</x:v>
      </x:c>
      <x:c r="F192" s="12" t="str">
        <x:v>500119061</x:v>
      </x:c>
      <x:c r="G192" s="12" t="str">
        <x:v>臺大鹿鳴堂東側</x:v>
      </x:c>
      <x:c r="H192" s="12" t="str">
        <x:v>實線</x:v>
      </x:c>
      <x:c r="I192" s="13" t="n">
        <x:v>1</x:v>
      </x:c>
      <x:c r="J192" s="12" t="str">
        <x:v>ZZB-0001</x:v>
      </x:c>
      <x:c r="K192" s="13" t="n">
        <x:v>7</x:v>
      </x:c>
      <x:c r="L192" s="13" t="n">
        <x:v>7</x:v>
      </x:c>
      <x:c r="M192" s="13" t="n">
        <x:v>0</x:v>
      </x:c>
      <x:c r="N192" s="13" t="n">
        <x:v>1</x:v>
      </x:c>
      <x:c r="O192" s="36" t="n">
        <x:v>25.01857</x:v>
      </x:c>
      <x:c r="P192" s="36" t="n">
        <x:v>121.54059</x:v>
      </x:c>
      <x:c r="Q192" s="36" t="n">
        <x:v>25.01511</x:v>
      </x:c>
      <x:c r="R192" s="36" t="n">
        <x:v>121.53786</x:v>
      </x:c>
      <x:c r="S192" s="12" t="str">
        <x:v>是</x:v>
      </x:c>
      <x:c r="T192" s="12" t="str"/>
      <x:c r="U192" s="12" t="str"/>
      <x:c r="V192" s="12" t="str"/>
    </x:row>
    <x:row r="193">
      <x:c r="A193" s="12" t="str">
        <x:v>2026-09-08</x:v>
      </x:c>
      <x:c r="B193" s="12" t="str">
        <x:v>08:00</x:v>
      </x:c>
      <x:c r="C193" s="12" t="str">
        <x:v>06–09</x:v>
      </x:c>
      <x:c r="D193" s="12" t="str">
        <x:v>500119050</x:v>
      </x:c>
      <x:c r="E193" s="12" t="str">
        <x:v>臺大小福樓東側</x:v>
      </x:c>
      <x:c r="F193" s="12" t="str">
        <x:v>500119045</x:v>
      </x:c>
      <x:c r="G193" s="12" t="str">
        <x:v>臺大農業陳列館北側</x:v>
      </x:c>
      <x:c r="H193" s="12" t="str">
        <x:v>實線</x:v>
      </x:c>
      <x:c r="I193" s="13" t="n">
        <x:v>1</x:v>
      </x:c>
      <x:c r="J193" s="12" t="str">
        <x:v>ZZB-0004</x:v>
      </x:c>
      <x:c r="K193" s="13" t="n">
        <x:v>14</x:v>
      </x:c>
      <x:c r="L193" s="13" t="n">
        <x:v>12</x:v>
      </x:c>
      <x:c r="M193" s="13" t="n">
        <x:v>2</x:v>
      </x:c>
      <x:c r="N193" s="13" t="n">
        <x:v>3</x:v>
      </x:c>
      <x:c r="O193" s="36" t="n">
        <x:v>25.01846</x:v>
      </x:c>
      <x:c r="P193" s="36" t="n">
        <x:v>121.5376</x:v>
      </x:c>
      <x:c r="Q193" s="36" t="n">
        <x:v>25.01839</x:v>
      </x:c>
      <x:c r="R193" s="36" t="n">
        <x:v>121.53404</x:v>
      </x:c>
      <x:c r="S193" s="12" t="str">
        <x:v>是</x:v>
      </x:c>
      <x:c r="T193" s="12" t="str"/>
      <x:c r="U193" s="12" t="str"/>
      <x:c r="V193" s="12" t="str"/>
    </x:row>
    <x:row r="194">
      <x:c r="A194" s="12" t="str">
        <x:v>2026-09-08</x:v>
      </x:c>
      <x:c r="B194" s="12" t="str">
        <x:v>08:00</x:v>
      </x:c>
      <x:c r="C194" s="12" t="str">
        <x:v>06–09</x:v>
      </x:c>
      <x:c r="D194" s="12" t="str">
        <x:v>500119050</x:v>
      </x:c>
      <x:c r="E194" s="12" t="str">
        <x:v>臺大小福樓東側</x:v>
      </x:c>
      <x:c r="F194" s="12" t="str">
        <x:v>500119097</x:v>
      </x:c>
      <x:c r="G194" s="12" t="str">
        <x:v>臺大人文館</x:v>
      </x:c>
      <x:c r="H194" s="12" t="str">
        <x:v>實線</x:v>
      </x:c>
      <x:c r="I194" s="13" t="n">
        <x:v>1</x:v>
      </x:c>
      <x:c r="J194" s="12" t="str">
        <x:v>ZZB-0004</x:v>
      </x:c>
      <x:c r="K194" s="13" t="n">
        <x:v>7</x:v>
      </x:c>
      <x:c r="L194" s="13" t="n">
        <x:v>5</x:v>
      </x:c>
      <x:c r="M194" s="13" t="n">
        <x:v>2</x:v>
      </x:c>
      <x:c r="N194" s="13" t="n">
        <x:v>2</x:v>
      </x:c>
      <x:c r="O194" s="36" t="n">
        <x:v>25.01846</x:v>
      </x:c>
      <x:c r="P194" s="36" t="n">
        <x:v>121.5376</x:v>
      </x:c>
      <x:c r="Q194" s="36" t="n">
        <x:v>25.0182</x:v>
      </x:c>
      <x:c r="R194" s="36" t="n">
        <x:v>121.53476</x:v>
      </x:c>
      <x:c r="S194" s="12" t="str">
        <x:v>是</x:v>
      </x:c>
      <x:c r="T194" s="12" t="str"/>
      <x:c r="U194" s="12" t="str"/>
      <x:c r="V194" s="12" t="str"/>
    </x:row>
    <x:row r="195">
      <x:c r="A195" s="12" t="str">
        <x:v>2026-09-08</x:v>
      </x:c>
      <x:c r="B195" s="12" t="str">
        <x:v>08:00</x:v>
      </x:c>
      <x:c r="C195" s="12" t="str">
        <x:v>06–09</x:v>
      </x:c>
      <x:c r="D195" s="12" t="str">
        <x:v>500119052</x:v>
      </x:c>
      <x:c r="E195" s="12" t="str">
        <x:v>臺大工綜館南側</x:v>
      </x:c>
      <x:c r="F195" s="12" t="str">
        <x:v>500119097</x:v>
      </x:c>
      <x:c r="G195" s="12" t="str">
        <x:v>臺大人文館</x:v>
      </x:c>
      <x:c r="H195" s="12" t="str">
        <x:v>實線</x:v>
      </x:c>
      <x:c r="I195" s="13" t="n">
        <x:v>1</x:v>
      </x:c>
      <x:c r="J195" s="12" t="str">
        <x:v>ZZB-0004</x:v>
      </x:c>
      <x:c r="K195" s="13" t="n">
        <x:v>7</x:v>
      </x:c>
      <x:c r="L195" s="13" t="n">
        <x:v>7</x:v>
      </x:c>
      <x:c r="M195" s="13" t="n">
        <x:v>0</x:v>
      </x:c>
      <x:c r="N195" s="13" t="n">
        <x:v>1</x:v>
      </x:c>
      <x:c r="O195" s="36" t="n">
        <x:v>25.01857</x:v>
      </x:c>
      <x:c r="P195" s="36" t="n">
        <x:v>121.54059</x:v>
      </x:c>
      <x:c r="Q195" s="36" t="n">
        <x:v>25.0182</x:v>
      </x:c>
      <x:c r="R195" s="36" t="n">
        <x:v>121.53476</x:v>
      </x:c>
      <x:c r="S195" s="12" t="str">
        <x:v>是</x:v>
      </x:c>
      <x:c r="T195" s="12" t="str"/>
      <x:c r="U195" s="12" t="str"/>
      <x:c r="V195" s="12" t="str"/>
    </x:row>
    <x:row r="196">
      <x:c r="A196" s="12" t="str">
        <x:v>2026-09-08</x:v>
      </x:c>
      <x:c r="B196" s="12" t="str">
        <x:v>08:00</x:v>
      </x:c>
      <x:c r="C196" s="12" t="str">
        <x:v>06–09</x:v>
      </x:c>
      <x:c r="D196" s="12" t="str">
        <x:v>500119086</x:v>
      </x:c>
      <x:c r="E196" s="12" t="str">
        <x:v>臺大圖資系館北側</x:v>
      </x:c>
      <x:c r="F196" s="12" t="str">
        <x:v>500119074</x:v>
      </x:c>
      <x:c r="G196" s="12" t="str">
        <x:v>臺大生命科學館西北側</x:v>
      </x:c>
      <x:c r="H196" s="12" t="str">
        <x:v>實線</x:v>
      </x:c>
      <x:c r="I196" s="13" t="n">
        <x:v>1</x:v>
      </x:c>
      <x:c r="J196" s="12" t="str">
        <x:v>ZZB-0001</x:v>
      </x:c>
      <x:c r="K196" s="13" t="n">
        <x:v>7</x:v>
      </x:c>
      <x:c r="L196" s="13" t="n">
        <x:v>6</x:v>
      </x:c>
      <x:c r="M196" s="13" t="n">
        <x:v>1</x:v>
      </x:c>
      <x:c r="N196" s="13" t="n">
        <x:v>2</x:v>
      </x:c>
      <x:c r="O196" s="36" t="n">
        <x:v>25.01804</x:v>
      </x:c>
      <x:c r="P196" s="36" t="n">
        <x:v>121.53928</x:v>
      </x:c>
      <x:c r="Q196" s="36" t="n">
        <x:v>25.01548</x:v>
      </x:c>
      <x:c r="R196" s="36" t="n">
        <x:v>121.53825</x:v>
      </x:c>
      <x:c r="S196" s="12" t="str">
        <x:v>是</x:v>
      </x:c>
      <x:c r="T196" s="12" t="str"/>
      <x:c r="U196" s="12" t="str"/>
      <x:c r="V196" s="12" t="str"/>
    </x:row>
    <x:row r="197">
      <x:c r="A197" s="12" t="str">
        <x:v>2026-09-08</x:v>
      </x:c>
      <x:c r="B197" s="12" t="str">
        <x:v>08:00</x:v>
      </x:c>
      <x:c r="C197" s="12" t="str">
        <x:v>06–09</x:v>
      </x:c>
      <x:c r="D197" s="12" t="str">
        <x:v>500119087</x:v>
      </x:c>
      <x:c r="E197" s="12" t="str">
        <x:v>臺大總圖書館西南側</x:v>
      </x:c>
      <x:c r="F197" s="12" t="str">
        <x:v>500119059</x:v>
      </x:c>
      <x:c r="G197" s="12" t="str">
        <x:v>臺大共同教室北側</x:v>
      </x:c>
      <x:c r="H197" s="12" t="str">
        <x:v>實線</x:v>
      </x:c>
      <x:c r="I197" s="13" t="n">
        <x:v>1</x:v>
      </x:c>
      <x:c r="J197" s="12" t="str">
        <x:v>ZZB-0001</x:v>
      </x:c>
      <x:c r="K197" s="13" t="n">
        <x:v>7</x:v>
      </x:c>
      <x:c r="L197" s="13" t="n">
        <x:v>7</x:v>
      </x:c>
      <x:c r="M197" s="13" t="n">
        <x:v>0</x:v>
      </x:c>
      <x:c r="N197" s="13" t="n">
        <x:v>1</x:v>
      </x:c>
      <x:c r="O197" s="36" t="n">
        <x:v>25.0169</x:v>
      </x:c>
      <x:c r="P197" s="36" t="n">
        <x:v>121.54031</x:v>
      </x:c>
      <x:c r="Q197" s="36" t="n">
        <x:v>25.01595</x:v>
      </x:c>
      <x:c r="R197" s="36" t="n">
        <x:v>121.53791</x:v>
      </x:c>
      <x:c r="S197" s="12" t="str">
        <x:v>是</x:v>
      </x:c>
      <x:c r="T197" s="12" t="str"/>
      <x:c r="U197" s="12" t="str"/>
      <x:c r="V197" s="12" t="str"/>
    </x:row>
    <x:row r="198">
      <x:c r="A198" s="12" t="str">
        <x:v>2026-09-08</x:v>
      </x:c>
      <x:c r="B198" s="12" t="str">
        <x:v>08:00</x:v>
      </x:c>
      <x:c r="C198" s="12" t="str">
        <x:v>06–09</x:v>
      </x:c>
      <x:c r="D198" s="12" t="str">
        <x:v>500119087</x:v>
      </x:c>
      <x:c r="E198" s="12" t="str">
        <x:v>臺大總圖書館西南側</x:v>
      </x:c>
      <x:c r="F198" s="12" t="str">
        <x:v>500119061</x:v>
      </x:c>
      <x:c r="G198" s="12" t="str">
        <x:v>臺大鹿鳴堂東側</x:v>
      </x:c>
      <x:c r="H198" s="12" t="str">
        <x:v>實線</x:v>
      </x:c>
      <x:c r="I198" s="13" t="n">
        <x:v>1</x:v>
      </x:c>
      <x:c r="J198" s="12" t="str">
        <x:v>ZZB-0001</x:v>
      </x:c>
      <x:c r="K198" s="13" t="n">
        <x:v>7</x:v>
      </x:c>
      <x:c r="L198" s="13" t="n">
        <x:v>7</x:v>
      </x:c>
      <x:c r="M198" s="13" t="n">
        <x:v>0</x:v>
      </x:c>
      <x:c r="N198" s="13" t="n">
        <x:v>1</x:v>
      </x:c>
      <x:c r="O198" s="36" t="n">
        <x:v>25.0169</x:v>
      </x:c>
      <x:c r="P198" s="36" t="n">
        <x:v>121.54031</x:v>
      </x:c>
      <x:c r="Q198" s="36" t="n">
        <x:v>25.01511</x:v>
      </x:c>
      <x:c r="R198" s="36" t="n">
        <x:v>121.53786</x:v>
      </x:c>
      <x:c r="S198" s="12" t="str">
        <x:v>是</x:v>
      </x:c>
      <x:c r="T198" s="12" t="str"/>
      <x:c r="U198" s="12" t="str"/>
      <x:c r="V198" s="12" t="str"/>
    </x:row>
    <x:row r="199">
      <x:c r="A199" s="12" t="str">
        <x:v>2026-09-08</x:v>
      </x:c>
      <x:c r="B199" s="12" t="str">
        <x:v>09:00</x:v>
      </x:c>
      <x:c r="C199" s="12" t="str">
        <x:v>06–09</x:v>
      </x:c>
      <x:c r="D199" s="12" t="str">
        <x:v>500119050</x:v>
      </x:c>
      <x:c r="E199" s="12" t="str">
        <x:v>臺大小福樓東側</x:v>
      </x:c>
      <x:c r="F199" s="12" t="str">
        <x:v>500101032</x:v>
      </x:c>
      <x:c r="G199" s="12" t="str">
        <x:v>臺大男一舍前</x:v>
      </x:c>
      <x:c r="H199" s="12" t="str">
        <x:v>虛線</x:v>
      </x:c>
      <x:c r="I199" s="13" t="n">
        <x:v>1</x:v>
      </x:c>
      <x:c r="J199" s="12" t="str">
        <x:v>ZZB-0004</x:v>
      </x:c>
      <x:c r="K199" s="13" t="n">
        <x:v>7</x:v>
      </x:c>
      <x:c r="L199" s="13" t="n">
        <x:v>7</x:v>
      </x:c>
      <x:c r="M199" s="13" t="n">
        <x:v>0</x:v>
      </x:c>
      <x:c r="N199" s="13" t="n">
        <x:v>1</x:v>
      </x:c>
      <x:c r="O199" s="36" t="n">
        <x:v>25.01846</x:v>
      </x:c>
      <x:c r="P199" s="36" t="n">
        <x:v>121.5376</x:v>
      </x:c>
      <x:c r="Q199" s="36" t="n">
        <x:v>25.01637</x:v>
      </x:c>
      <x:c r="R199" s="36" t="n">
        <x:v>121.54535</x:v>
      </x:c>
      <x:c r="S199" s="12" t="str">
        <x:v>否</x:v>
      </x:c>
      <x:c r="T199" s="12" t="str">
        <x:v>任一端站碼非500119*</x:v>
      </x:c>
      <x:c r="U199" s="12" t="str"/>
      <x:c r="V199" s="12" t="str"/>
    </x:row>
    <x:row r="200">
      <x:c r="A200" s="12" t="str">
        <x:v>2026-09-08</x:v>
      </x:c>
      <x:c r="B200" s="12" t="str">
        <x:v>09:00</x:v>
      </x:c>
      <x:c r="C200" s="12" t="str">
        <x:v>06–09</x:v>
      </x:c>
      <x:c r="D200" s="12" t="str">
        <x:v>500119050</x:v>
      </x:c>
      <x:c r="E200" s="12" t="str">
        <x:v>臺大小福樓東側</x:v>
      </x:c>
      <x:c r="F200" s="12" t="str">
        <x:v>500119097</x:v>
      </x:c>
      <x:c r="G200" s="12" t="str">
        <x:v>臺大人文館</x:v>
      </x:c>
      <x:c r="H200" s="12" t="str">
        <x:v>實線</x:v>
      </x:c>
      <x:c r="I200" s="13" t="n">
        <x:v>1</x:v>
      </x:c>
      <x:c r="J200" s="12" t="str">
        <x:v>ZZB-0004</x:v>
      </x:c>
      <x:c r="K200" s="13" t="n">
        <x:v>14</x:v>
      </x:c>
      <x:c r="L200" s="13" t="n">
        <x:v>13</x:v>
      </x:c>
      <x:c r="M200" s="13" t="n">
        <x:v>1</x:v>
      </x:c>
      <x:c r="N200" s="13" t="n">
        <x:v>3</x:v>
      </x:c>
      <x:c r="O200" s="36" t="n">
        <x:v>25.01846</x:v>
      </x:c>
      <x:c r="P200" s="36" t="n">
        <x:v>121.5376</x:v>
      </x:c>
      <x:c r="Q200" s="36" t="n">
        <x:v>25.0182</x:v>
      </x:c>
      <x:c r="R200" s="36" t="n">
        <x:v>121.53476</x:v>
      </x:c>
      <x:c r="S200" s="12" t="str">
        <x:v>是</x:v>
      </x:c>
      <x:c r="T200" s="12" t="str"/>
      <x:c r="U200" s="12" t="str"/>
      <x:c r="V200" s="12" t="str"/>
    </x:row>
    <x:row r="201">
      <x:c r="A201" s="12" t="str">
        <x:v>2026-09-08</x:v>
      </x:c>
      <x:c r="B201" s="12" t="str">
        <x:v>09:00</x:v>
      </x:c>
      <x:c r="C201" s="12" t="str">
        <x:v>06–09</x:v>
      </x:c>
      <x:c r="D201" s="12" t="str">
        <x:v>500119086</x:v>
      </x:c>
      <x:c r="E201" s="12" t="str">
        <x:v>臺大圖資系館北側</x:v>
      </x:c>
      <x:c r="F201" s="12" t="str">
        <x:v>500119059</x:v>
      </x:c>
      <x:c r="G201" s="12" t="str">
        <x:v>臺大共同教室北側</x:v>
      </x:c>
      <x:c r="H201" s="12" t="str">
        <x:v>實線</x:v>
      </x:c>
      <x:c r="I201" s="13" t="n">
        <x:v>1</x:v>
      </x:c>
      <x:c r="J201" s="12" t="str">
        <x:v>ZZB-0001</x:v>
      </x:c>
      <x:c r="K201" s="13" t="n">
        <x:v>14</x:v>
      </x:c>
      <x:c r="L201" s="13" t="n">
        <x:v>13</x:v>
      </x:c>
      <x:c r="M201" s="13" t="n">
        <x:v>1</x:v>
      </x:c>
      <x:c r="N201" s="13" t="n">
        <x:v>3</x:v>
      </x:c>
      <x:c r="O201" s="36" t="n">
        <x:v>25.01804</x:v>
      </x:c>
      <x:c r="P201" s="36" t="n">
        <x:v>121.53928</x:v>
      </x:c>
      <x:c r="Q201" s="36" t="n">
        <x:v>25.01595</x:v>
      </x:c>
      <x:c r="R201" s="36" t="n">
        <x:v>121.53791</x:v>
      </x:c>
      <x:c r="S201" s="12" t="str">
        <x:v>是</x:v>
      </x:c>
      <x:c r="T201" s="12" t="str"/>
      <x:c r="U201" s="12" t="str"/>
      <x:c r="V201" s="12" t="str"/>
    </x:row>
    <x:row r="202">
      <x:c r="A202" s="12" t="str">
        <x:v>2026-09-08</x:v>
      </x:c>
      <x:c r="B202" s="12" t="str">
        <x:v>09:00</x:v>
      </x:c>
      <x:c r="C202" s="12" t="str">
        <x:v>06–09</x:v>
      </x:c>
      <x:c r="D202" s="12" t="str">
        <x:v>500119086</x:v>
      </x:c>
      <x:c r="E202" s="12" t="str">
        <x:v>臺大圖資系館北側</x:v>
      </x:c>
      <x:c r="F202" s="12" t="str">
        <x:v>500119061</x:v>
      </x:c>
      <x:c r="G202" s="12" t="str">
        <x:v>臺大鹿鳴堂東側</x:v>
      </x:c>
      <x:c r="H202" s="12" t="str">
        <x:v>實線</x:v>
      </x:c>
      <x:c r="I202" s="13" t="n">
        <x:v>1</x:v>
      </x:c>
      <x:c r="J202" s="12" t="str">
        <x:v>ZZB-0001</x:v>
      </x:c>
      <x:c r="K202" s="13" t="n">
        <x:v>7</x:v>
      </x:c>
      <x:c r="L202" s="13" t="n">
        <x:v>7</x:v>
      </x:c>
      <x:c r="M202" s="13" t="n">
        <x:v>0</x:v>
      </x:c>
      <x:c r="N202" s="13" t="n">
        <x:v>1</x:v>
      </x:c>
      <x:c r="O202" s="36" t="n">
        <x:v>25.01804</x:v>
      </x:c>
      <x:c r="P202" s="36" t="n">
        <x:v>121.53928</x:v>
      </x:c>
      <x:c r="Q202" s="36" t="n">
        <x:v>25.01511</x:v>
      </x:c>
      <x:c r="R202" s="36" t="n">
        <x:v>121.53786</x:v>
      </x:c>
      <x:c r="S202" s="12" t="str">
        <x:v>是</x:v>
      </x:c>
      <x:c r="T202" s="12" t="str"/>
      <x:c r="U202" s="12" t="str"/>
      <x:c r="V202" s="12" t="str"/>
    </x:row>
    <x:row r="203">
      <x:c r="A203" s="12" t="str">
        <x:v>2026-09-08</x:v>
      </x:c>
      <x:c r="B203" s="12" t="str">
        <x:v>10:00</x:v>
      </x:c>
      <x:c r="C203" s="12" t="str">
        <x:v>10–13</x:v>
      </x:c>
      <x:c r="D203" s="12" t="str">
        <x:v>500119052</x:v>
      </x:c>
      <x:c r="E203" s="12" t="str">
        <x:v>臺大工綜館南側</x:v>
      </x:c>
      <x:c r="F203" s="12" t="str">
        <x:v>500101032</x:v>
      </x:c>
      <x:c r="G203" s="12" t="str">
        <x:v>臺大男一舍前</x:v>
      </x:c>
      <x:c r="H203" s="12" t="str">
        <x:v>虛線</x:v>
      </x:c>
      <x:c r="I203" s="13" t="n">
        <x:v>1</x:v>
      </x:c>
      <x:c r="J203" s="12" t="str">
        <x:v>ZZB-0004</x:v>
      </x:c>
      <x:c r="K203" s="13" t="n">
        <x:v>7</x:v>
      </x:c>
      <x:c r="L203" s="13" t="n">
        <x:v>6</x:v>
      </x:c>
      <x:c r="M203" s="13" t="n">
        <x:v>1</x:v>
      </x:c>
      <x:c r="N203" s="13" t="n">
        <x:v>2</x:v>
      </x:c>
      <x:c r="O203" s="36" t="n">
        <x:v>25.01857</x:v>
      </x:c>
      <x:c r="P203" s="36" t="n">
        <x:v>121.54059</x:v>
      </x:c>
      <x:c r="Q203" s="36" t="n">
        <x:v>25.01637</x:v>
      </x:c>
      <x:c r="R203" s="36" t="n">
        <x:v>121.54535</x:v>
      </x:c>
      <x:c r="S203" s="12" t="str">
        <x:v>否</x:v>
      </x:c>
      <x:c r="T203" s="12" t="str">
        <x:v>任一端站碼非500119*</x:v>
      </x:c>
      <x:c r="U203" s="12" t="str"/>
      <x:c r="V203" s="12" t="str"/>
    </x:row>
    <x:row r="204">
      <x:c r="A204" s="12" t="str">
        <x:v>2026-09-08</x:v>
      </x:c>
      <x:c r="B204" s="12" t="str">
        <x:v>10:00</x:v>
      </x:c>
      <x:c r="C204" s="12" t="str">
        <x:v>10–13</x:v>
      </x:c>
      <x:c r="D204" s="12" t="str">
        <x:v>500119083</x:v>
      </x:c>
      <x:c r="E204" s="12" t="str">
        <x:v>臺大新生教室南側</x:v>
      </x:c>
      <x:c r="F204" s="12" t="str">
        <x:v>500119070</x:v>
      </x:c>
      <x:c r="G204" s="12" t="str">
        <x:v>臺大椰林小舖</x:v>
      </x:c>
      <x:c r="H204" s="12" t="str">
        <x:v>實線</x:v>
      </x:c>
      <x:c r="I204" s="13" t="n">
        <x:v>1</x:v>
      </x:c>
      <x:c r="J204" s="12" t="str">
        <x:v>ZZB-0001</x:v>
      </x:c>
      <x:c r="K204" s="13" t="n">
        <x:v>7</x:v>
      </x:c>
      <x:c r="L204" s="13" t="n">
        <x:v>6</x:v>
      </x:c>
      <x:c r="M204" s="13" t="n">
        <x:v>1</x:v>
      </x:c>
      <x:c r="N204" s="13" t="n">
        <x:v>2</x:v>
      </x:c>
      <x:c r="O204" s="36" t="n">
        <x:v>25.0196</x:v>
      </x:c>
      <x:c r="P204" s="36" t="n">
        <x:v>121.53846</x:v>
      </x:c>
      <x:c r="Q204" s="36" t="n">
        <x:v>25.01561</x:v>
      </x:c>
      <x:c r="R204" s="36" t="n">
        <x:v>121.53583</x:v>
      </x:c>
      <x:c r="S204" s="12" t="str">
        <x:v>是</x:v>
      </x:c>
      <x:c r="T204" s="12" t="str"/>
      <x:c r="U204" s="12" t="str"/>
      <x:c r="V204" s="12" t="str"/>
    </x:row>
    <x:row r="205">
      <x:c r="A205" s="12" t="str">
        <x:v>2026-09-08</x:v>
      </x:c>
      <x:c r="B205" s="12" t="str">
        <x:v>10:00</x:v>
      </x:c>
      <x:c r="C205" s="12" t="str">
        <x:v>10–13</x:v>
      </x:c>
      <x:c r="D205" s="12" t="str">
        <x:v>500119085</x:v>
      </x:c>
      <x:c r="E205" s="12" t="str">
        <x:v>臺大電機二館東南側</x:v>
      </x:c>
      <x:c r="F205" s="12" t="str">
        <x:v>500119064</x:v>
      </x:c>
      <x:c r="G205" s="12" t="str">
        <x:v>臺大明達館機車停車場</x:v>
      </x:c>
      <x:c r="H205" s="12" t="str">
        <x:v>實線</x:v>
      </x:c>
      <x:c r="I205" s="13" t="n">
        <x:v>1</x:v>
      </x:c>
      <x:c r="J205" s="12" t="str">
        <x:v>ZZB-0004</x:v>
      </x:c>
      <x:c r="K205" s="13" t="n">
        <x:v>7</x:v>
      </x:c>
      <x:c r="L205" s="13" t="n">
        <x:v>6</x:v>
      </x:c>
      <x:c r="M205" s="13" t="n">
        <x:v>1</x:v>
      </x:c>
      <x:c r="N205" s="13" t="n">
        <x:v>2</x:v>
      </x:c>
      <x:c r="O205" s="36" t="n">
        <x:v>25.01857</x:v>
      </x:c>
      <x:c r="P205" s="36" t="n">
        <x:v>121.54247</x:v>
      </x:c>
      <x:c r="Q205" s="36" t="n">
        <x:v>25.01754</x:v>
      </x:c>
      <x:c r="R205" s="36" t="n">
        <x:v>121.54398</x:v>
      </x:c>
      <x:c r="S205" s="12" t="str">
        <x:v>是</x:v>
      </x:c>
      <x:c r="T205" s="12" t="str"/>
      <x:c r="U205" s="12" t="str"/>
      <x:c r="V205" s="12" t="str"/>
    </x:row>
    <x:row r="206">
      <x:c r="A206" s="12" t="str">
        <x:v>2026-09-08</x:v>
      </x:c>
      <x:c r="B206" s="12" t="str">
        <x:v>10:00</x:v>
      </x:c>
      <x:c r="C206" s="12" t="str">
        <x:v>10–13</x:v>
      </x:c>
      <x:c r="D206" s="12" t="str">
        <x:v>500119087</x:v>
      </x:c>
      <x:c r="E206" s="12" t="str">
        <x:v>臺大總圖書館西南側</x:v>
      </x:c>
      <x:c r="F206" s="12" t="str">
        <x:v>500119094</x:v>
      </x:c>
      <x:c r="G206" s="12" t="str">
        <x:v>臺大大一女餐廳廣場</x:v>
      </x:c>
      <x:c r="H206" s="12" t="str">
        <x:v>實線</x:v>
      </x:c>
      <x:c r="I206" s="13" t="n">
        <x:v>1</x:v>
      </x:c>
      <x:c r="J206" s="12" t="str">
        <x:v>ZZB-0001</x:v>
      </x:c>
      <x:c r="K206" s="13" t="n">
        <x:v>7</x:v>
      </x:c>
      <x:c r="L206" s="13" t="n">
        <x:v>5</x:v>
      </x:c>
      <x:c r="M206" s="13" t="n">
        <x:v>2</x:v>
      </x:c>
      <x:c r="N206" s="13" t="n">
        <x:v>2</x:v>
      </x:c>
      <x:c r="O206" s="36" t="n">
        <x:v>25.0169</x:v>
      </x:c>
      <x:c r="P206" s="36" t="n">
        <x:v>121.54031</x:v>
      </x:c>
      <x:c r="Q206" s="36" t="n">
        <x:v>25.01479</x:v>
      </x:c>
      <x:c r="R206" s="36" t="n">
        <x:v>121.53494</x:v>
      </x:c>
      <x:c r="S206" s="12" t="str">
        <x:v>是</x:v>
      </x:c>
      <x:c r="T206" s="12" t="str"/>
      <x:c r="U206" s="12" t="str"/>
      <x:c r="V206" s="12" t="str"/>
    </x:row>
    <x:row r="207">
      <x:c r="A207" s="12" t="str">
        <x:v>2026-09-08</x:v>
      </x:c>
      <x:c r="B207" s="12" t="str">
        <x:v>10:00</x:v>
      </x:c>
      <x:c r="C207" s="12" t="str">
        <x:v>10–13</x:v>
      </x:c>
      <x:c r="D207" s="12" t="str">
        <x:v>500119098</x:v>
      </x:c>
      <x:c r="E207" s="12" t="str">
        <x:v>臺大數學研究中心(東側)</x:v>
      </x:c>
      <x:c r="F207" s="12" t="str">
        <x:v>500119060</x:v>
      </x:c>
      <x:c r="G207" s="12" t="str">
        <x:v>臺大共同教室東南側</x:v>
      </x:c>
      <x:c r="H207" s="12" t="str">
        <x:v>實線</x:v>
      </x:c>
      <x:c r="I207" s="13" t="n">
        <x:v>1</x:v>
      </x:c>
      <x:c r="J207" s="12" t="str">
        <x:v>ZZB-0001</x:v>
      </x:c>
      <x:c r="K207" s="13" t="n">
        <x:v>7</x:v>
      </x:c>
      <x:c r="L207" s="13" t="n">
        <x:v>5</x:v>
      </x:c>
      <x:c r="M207" s="13" t="n">
        <x:v>2</x:v>
      </x:c>
      <x:c r="N207" s="13" t="n">
        <x:v>2</x:v>
      </x:c>
      <x:c r="O207" s="36" t="n">
        <x:v>25.02004</x:v>
      </x:c>
      <x:c r="P207" s="36" t="n">
        <x:v>121.53881</x:v>
      </x:c>
      <x:c r="Q207" s="36" t="n">
        <x:v>25.01566</x:v>
      </x:c>
      <x:c r="R207" s="36" t="n">
        <x:v>121.53786</x:v>
      </x:c>
      <x:c r="S207" s="12" t="str">
        <x:v>是</x:v>
      </x:c>
      <x:c r="T207" s="12" t="str"/>
      <x:c r="U207" s="12" t="str"/>
      <x:c r="V207" s="12" t="str"/>
    </x:row>
    <x:row r="208">
      <x:c r="A208" s="12" t="str">
        <x:v>2026-09-08</x:v>
      </x:c>
      <x:c r="B208" s="12" t="str">
        <x:v>11:00</x:v>
      </x:c>
      <x:c r="C208" s="12" t="str">
        <x:v>10–13</x:v>
      </x:c>
      <x:c r="D208" s="12" t="str">
        <x:v>500119087</x:v>
      </x:c>
      <x:c r="E208" s="12" t="str">
        <x:v>臺大總圖書館西南側</x:v>
      </x:c>
      <x:c r="F208" s="12" t="str">
        <x:v>500119091</x:v>
      </x:c>
      <x:c r="G208" s="12" t="str">
        <x:v>臺大明達館北側(員工宿舍)</x:v>
      </x:c>
      <x:c r="H208" s="12" t="str">
        <x:v>實線</x:v>
      </x:c>
      <x:c r="I208" s="13" t="n">
        <x:v>1</x:v>
      </x:c>
      <x:c r="J208" s="12" t="str">
        <x:v>ZZB-0001</x:v>
      </x:c>
      <x:c r="K208" s="13" t="n">
        <x:v>7</x:v>
      </x:c>
      <x:c r="L208" s="13" t="n">
        <x:v>5</x:v>
      </x:c>
      <x:c r="M208" s="13" t="n">
        <x:v>2</x:v>
      </x:c>
      <x:c r="N208" s="13" t="n">
        <x:v>2</x:v>
      </x:c>
      <x:c r="O208" s="36" t="n">
        <x:v>25.0169</x:v>
      </x:c>
      <x:c r="P208" s="36" t="n">
        <x:v>121.54031</x:v>
      </x:c>
      <x:c r="Q208" s="36" t="n">
        <x:v>25.01816</x:v>
      </x:c>
      <x:c r="R208" s="36" t="n">
        <x:v>121.54469</x:v>
      </x:c>
      <x:c r="S208" s="12" t="str">
        <x:v>是</x:v>
      </x:c>
      <x:c r="T208" s="12" t="str"/>
      <x:c r="U208" s="12" t="str"/>
      <x:c r="V208" s="12" t="str"/>
    </x:row>
    <x:row r="209">
      <x:c r="A209" s="12" t="str">
        <x:v>2026-09-08</x:v>
      </x:c>
      <x:c r="B209" s="12" t="str">
        <x:v>12:00</x:v>
      </x:c>
      <x:c r="C209" s="12" t="str">
        <x:v>10–13</x:v>
      </x:c>
      <x:c r="D209" s="12" t="str">
        <x:v>500119071</x:v>
      </x:c>
      <x:c r="E209" s="12" t="str">
        <x:v>臺大計資中心南側</x:v>
      </x:c>
      <x:c r="F209" s="12" t="str">
        <x:v>500119061</x:v>
      </x:c>
      <x:c r="G209" s="12" t="str">
        <x:v>臺大鹿鳴堂東側</x:v>
      </x:c>
      <x:c r="H209" s="12" t="str">
        <x:v>實線</x:v>
      </x:c>
      <x:c r="I209" s="13" t="n">
        <x:v>1</x:v>
      </x:c>
      <x:c r="J209" s="12" t="str">
        <x:v>ZZB-0001</x:v>
      </x:c>
      <x:c r="K209" s="13" t="n">
        <x:v>7</x:v>
      </x:c>
      <x:c r="L209" s="13" t="n">
        <x:v>0</x:v>
      </x:c>
      <x:c r="M209" s="13" t="n">
        <x:v>7</x:v>
      </x:c>
      <x:c r="N209" s="13" t="n">
        <x:v>1</x:v>
      </x:c>
      <x:c r="O209" s="36" t="n">
        <x:v>25.02036</x:v>
      </x:c>
      <x:c r="P209" s="36" t="n">
        <x:v>121.53992</x:v>
      </x:c>
      <x:c r="Q209" s="36" t="n">
        <x:v>25.01511</x:v>
      </x:c>
      <x:c r="R209" s="36" t="n">
        <x:v>121.53786</x:v>
      </x:c>
      <x:c r="S209" s="12" t="str">
        <x:v>是</x:v>
      </x:c>
      <x:c r="T209" s="12" t="str"/>
      <x:c r="U209" s="12" t="str"/>
      <x:c r="V209" s="12" t="str"/>
    </x:row>
    <x:row r="210">
      <x:c r="A210" s="12" t="str">
        <x:v>2026-09-08</x:v>
      </x:c>
      <x:c r="B210" s="12" t="str">
        <x:v>12:00</x:v>
      </x:c>
      <x:c r="C210" s="12" t="str">
        <x:v>10–13</x:v>
      </x:c>
      <x:c r="D210" s="12" t="str">
        <x:v>500119071</x:v>
      </x:c>
      <x:c r="E210" s="12" t="str">
        <x:v>臺大計資中心南側</x:v>
      </x:c>
      <x:c r="F210" s="12" t="str">
        <x:v>500119083</x:v>
      </x:c>
      <x:c r="G210" s="12" t="str">
        <x:v>臺大新生教室南側</x:v>
      </x:c>
      <x:c r="H210" s="12" t="str">
        <x:v>實線</x:v>
      </x:c>
      <x:c r="I210" s="13" t="n">
        <x:v>1</x:v>
      </x:c>
      <x:c r="J210" s="12" t="str">
        <x:v>ZZB-0001</x:v>
      </x:c>
      <x:c r="K210" s="13" t="n">
        <x:v>7</x:v>
      </x:c>
      <x:c r="L210" s="13" t="n">
        <x:v>6</x:v>
      </x:c>
      <x:c r="M210" s="13" t="n">
        <x:v>1</x:v>
      </x:c>
      <x:c r="N210" s="13" t="n">
        <x:v>2</x:v>
      </x:c>
      <x:c r="O210" s="36" t="n">
        <x:v>25.02036</x:v>
      </x:c>
      <x:c r="P210" s="36" t="n">
        <x:v>121.53992</x:v>
      </x:c>
      <x:c r="Q210" s="36" t="n">
        <x:v>25.0196</x:v>
      </x:c>
      <x:c r="R210" s="36" t="n">
        <x:v>121.53846</x:v>
      </x:c>
      <x:c r="S210" s="12" t="str">
        <x:v>是</x:v>
      </x:c>
      <x:c r="T210" s="12" t="str"/>
      <x:c r="U210" s="12" t="str"/>
      <x:c r="V210" s="12" t="str"/>
    </x:row>
    <x:row r="211">
      <x:c r="A211" s="12" t="str">
        <x:v>2026-09-08</x:v>
      </x:c>
      <x:c r="B211" s="12" t="str">
        <x:v>13:00</x:v>
      </x:c>
      <x:c r="C211" s="12" t="str">
        <x:v>10–13</x:v>
      </x:c>
      <x:c r="D211" s="12" t="str">
        <x:v>500119050</x:v>
      </x:c>
      <x:c r="E211" s="12" t="str">
        <x:v>臺大小福樓東側</x:v>
      </x:c>
      <x:c r="F211" s="12" t="str">
        <x:v>500119045</x:v>
      </x:c>
      <x:c r="G211" s="12" t="str">
        <x:v>臺大農業陳列館北側</x:v>
      </x:c>
      <x:c r="H211" s="12" t="str">
        <x:v>實線</x:v>
      </x:c>
      <x:c r="I211" s="13" t="n">
        <x:v>1</x:v>
      </x:c>
      <x:c r="J211" s="12" t="str">
        <x:v>ZZB-0004</x:v>
      </x:c>
      <x:c r="K211" s="13" t="n">
        <x:v>7</x:v>
      </x:c>
      <x:c r="L211" s="13" t="n">
        <x:v>7</x:v>
      </x:c>
      <x:c r="M211" s="13" t="n">
        <x:v>0</x:v>
      </x:c>
      <x:c r="N211" s="13" t="n">
        <x:v>1</x:v>
      </x:c>
      <x:c r="O211" s="36" t="n">
        <x:v>25.01846</x:v>
      </x:c>
      <x:c r="P211" s="36" t="n">
        <x:v>121.5376</x:v>
      </x:c>
      <x:c r="Q211" s="36" t="n">
        <x:v>25.01839</x:v>
      </x:c>
      <x:c r="R211" s="36" t="n">
        <x:v>121.53404</x:v>
      </x:c>
      <x:c r="S211" s="12" t="str">
        <x:v>是</x:v>
      </x:c>
      <x:c r="T211" s="12" t="str"/>
      <x:c r="U211" s="12" t="str"/>
      <x:c r="V211" s="12" t="str"/>
    </x:row>
    <x:row r="212">
      <x:c r="A212" s="12" t="str">
        <x:v>2026-09-08</x:v>
      </x:c>
      <x:c r="B212" s="12" t="str">
        <x:v>13:00</x:v>
      </x:c>
      <x:c r="C212" s="12" t="str">
        <x:v>10–13</x:v>
      </x:c>
      <x:c r="D212" s="12" t="str">
        <x:v>500119069</x:v>
      </x:c>
      <x:c r="E212" s="12" t="str">
        <x:v>臺大思亮館東南側</x:v>
      </x:c>
      <x:c r="F212" s="12" t="str">
        <x:v>500119045</x:v>
      </x:c>
      <x:c r="G212" s="12" t="str">
        <x:v>臺大農業陳列館北側</x:v>
      </x:c>
      <x:c r="H212" s="12" t="str">
        <x:v>實線</x:v>
      </x:c>
      <x:c r="I212" s="13" t="n">
        <x:v>1</x:v>
      </x:c>
      <x:c r="J212" s="12" t="str">
        <x:v>ZZB-0004</x:v>
      </x:c>
      <x:c r="K212" s="13" t="n">
        <x:v>7</x:v>
      </x:c>
      <x:c r="L212" s="13" t="n">
        <x:v>7</x:v>
      </x:c>
      <x:c r="M212" s="13" t="n">
        <x:v>0</x:v>
      </x:c>
      <x:c r="N212" s="13" t="n">
        <x:v>1</x:v>
      </x:c>
      <x:c r="O212" s="36" t="n">
        <x:v>25.02074</x:v>
      </x:c>
      <x:c r="P212" s="36" t="n">
        <x:v>121.53906</x:v>
      </x:c>
      <x:c r="Q212" s="36" t="n">
        <x:v>25.01839</x:v>
      </x:c>
      <x:c r="R212" s="36" t="n">
        <x:v>121.53404</x:v>
      </x:c>
      <x:c r="S212" s="12" t="str">
        <x:v>是</x:v>
      </x:c>
      <x:c r="T212" s="12" t="str"/>
      <x:c r="U212" s="12" t="str"/>
      <x:c r="V212" s="12" t="str"/>
    </x:row>
    <x:row r="213">
      <x:c r="A213" s="12" t="str">
        <x:v>2026-09-08</x:v>
      </x:c>
      <x:c r="B213" s="12" t="str">
        <x:v>13:00</x:v>
      </x:c>
      <x:c r="C213" s="12" t="str">
        <x:v>10–13</x:v>
      </x:c>
      <x:c r="D213" s="12" t="str">
        <x:v>500119076</x:v>
      </x:c>
      <x:c r="E213" s="12" t="str">
        <x:v>臺大博理館西側</x:v>
      </x:c>
      <x:c r="F213" s="12" t="str">
        <x:v>500119097</x:v>
      </x:c>
      <x:c r="G213" s="12" t="str">
        <x:v>臺大人文館</x:v>
      </x:c>
      <x:c r="H213" s="12" t="str">
        <x:v>實線</x:v>
      </x:c>
      <x:c r="I213" s="13" t="n">
        <x:v>1</x:v>
      </x:c>
      <x:c r="J213" s="12" t="str">
        <x:v>ZZB-0004</x:v>
      </x:c>
      <x:c r="K213" s="13" t="n">
        <x:v>7</x:v>
      </x:c>
      <x:c r="L213" s="13" t="n">
        <x:v>7</x:v>
      </x:c>
      <x:c r="M213" s="13" t="n">
        <x:v>0</x:v>
      </x:c>
      <x:c r="N213" s="13" t="n">
        <x:v>1</x:v>
      </x:c>
      <x:c r="O213" s="36" t="n">
        <x:v>25.01922</x:v>
      </x:c>
      <x:c r="P213" s="36" t="n">
        <x:v>121.54195</x:v>
      </x:c>
      <x:c r="Q213" s="36" t="n">
        <x:v>25.0182</x:v>
      </x:c>
      <x:c r="R213" s="36" t="n">
        <x:v>121.53476</x:v>
      </x:c>
      <x:c r="S213" s="12" t="str">
        <x:v>是</x:v>
      </x:c>
      <x:c r="T213" s="12" t="str"/>
      <x:c r="U213" s="12" t="str"/>
      <x:c r="V213" s="12" t="str"/>
    </x:row>
    <x:row r="214">
      <x:c r="A214" s="12" t="str">
        <x:v>2026-09-08</x:v>
      </x:c>
      <x:c r="B214" s="12" t="str">
        <x:v>13:00</x:v>
      </x:c>
      <x:c r="C214" s="12" t="str">
        <x:v>10–13</x:v>
      </x:c>
      <x:c r="D214" s="12" t="str">
        <x:v>500119083</x:v>
      </x:c>
      <x:c r="E214" s="12" t="str">
        <x:v>臺大新生教室南側</x:v>
      </x:c>
      <x:c r="F214" s="12" t="str">
        <x:v>500119045</x:v>
      </x:c>
      <x:c r="G214" s="12" t="str">
        <x:v>臺大農業陳列館北側</x:v>
      </x:c>
      <x:c r="H214" s="12" t="str">
        <x:v>實線</x:v>
      </x:c>
      <x:c r="I214" s="13" t="n">
        <x:v>1</x:v>
      </x:c>
      <x:c r="J214" s="12" t="str">
        <x:v>ZZB-0004</x:v>
      </x:c>
      <x:c r="K214" s="13" t="n">
        <x:v>7</x:v>
      </x:c>
      <x:c r="L214" s="13" t="n">
        <x:v>7</x:v>
      </x:c>
      <x:c r="M214" s="13" t="n">
        <x:v>0</x:v>
      </x:c>
      <x:c r="N214" s="13" t="n">
        <x:v>1</x:v>
      </x:c>
      <x:c r="O214" s="36" t="n">
        <x:v>25.0196</x:v>
      </x:c>
      <x:c r="P214" s="36" t="n">
        <x:v>121.53846</x:v>
      </x:c>
      <x:c r="Q214" s="36" t="n">
        <x:v>25.01839</x:v>
      </x:c>
      <x:c r="R214" s="36" t="n">
        <x:v>121.53404</x:v>
      </x:c>
      <x:c r="S214" s="12" t="str">
        <x:v>是</x:v>
      </x:c>
      <x:c r="T214" s="12" t="str"/>
      <x:c r="U214" s="12" t="str"/>
      <x:c r="V214" s="12" t="str"/>
    </x:row>
    <x:row r="215">
      <x:c r="A215" s="12" t="str">
        <x:v>2026-09-08</x:v>
      </x:c>
      <x:c r="B215" s="12" t="str">
        <x:v>13:00</x:v>
      </x:c>
      <x:c r="C215" s="12" t="str">
        <x:v>10–13</x:v>
      </x:c>
      <x:c r="D215" s="12" t="str">
        <x:v>500119086</x:v>
      </x:c>
      <x:c r="E215" s="12" t="str">
        <x:v>臺大圖資系館北側</x:v>
      </x:c>
      <x:c r="F215" s="12" t="str">
        <x:v>500119060</x:v>
      </x:c>
      <x:c r="G215" s="12" t="str">
        <x:v>臺大共同教室東南側</x:v>
      </x:c>
      <x:c r="H215" s="12" t="str">
        <x:v>實線</x:v>
      </x:c>
      <x:c r="I215" s="13" t="n">
        <x:v>1</x:v>
      </x:c>
      <x:c r="J215" s="12" t="str">
        <x:v>ZZB-0001</x:v>
      </x:c>
      <x:c r="K215" s="13" t="n">
        <x:v>7</x:v>
      </x:c>
      <x:c r="L215" s="13" t="n">
        <x:v>7</x:v>
      </x:c>
      <x:c r="M215" s="13" t="n">
        <x:v>0</x:v>
      </x:c>
      <x:c r="N215" s="13" t="n">
        <x:v>1</x:v>
      </x:c>
      <x:c r="O215" s="36" t="n">
        <x:v>25.01804</x:v>
      </x:c>
      <x:c r="P215" s="36" t="n">
        <x:v>121.53928</x:v>
      </x:c>
      <x:c r="Q215" s="36" t="n">
        <x:v>25.01566</x:v>
      </x:c>
      <x:c r="R215" s="36" t="n">
        <x:v>121.53786</x:v>
      </x:c>
      <x:c r="S215" s="12" t="str">
        <x:v>是</x:v>
      </x:c>
      <x:c r="T215" s="12" t="str"/>
      <x:c r="U215" s="12" t="str"/>
      <x:c r="V215" s="12" t="str"/>
    </x:row>
    <x:row r="216">
      <x:c r="A216" s="12" t="str">
        <x:v>2026-09-08</x:v>
      </x:c>
      <x:c r="B216" s="12" t="str">
        <x:v>13:00</x:v>
      </x:c>
      <x:c r="C216" s="12" t="str">
        <x:v>10–13</x:v>
      </x:c>
      <x:c r="D216" s="12" t="str">
        <x:v>500119087</x:v>
      </x:c>
      <x:c r="E216" s="12" t="str">
        <x:v>臺大總圖書館西南側</x:v>
      </x:c>
      <x:c r="F216" s="12" t="str">
        <x:v>500119074</x:v>
      </x:c>
      <x:c r="G216" s="12" t="str">
        <x:v>臺大生命科學館西北側</x:v>
      </x:c>
      <x:c r="H216" s="12" t="str">
        <x:v>實線</x:v>
      </x:c>
      <x:c r="I216" s="13" t="n">
        <x:v>1</x:v>
      </x:c>
      <x:c r="J216" s="12" t="str">
        <x:v>ZZB-0001</x:v>
      </x:c>
      <x:c r="K216" s="13" t="n">
        <x:v>7</x:v>
      </x:c>
      <x:c r="L216" s="13" t="n">
        <x:v>5</x:v>
      </x:c>
      <x:c r="M216" s="13" t="n">
        <x:v>2</x:v>
      </x:c>
      <x:c r="N216" s="13" t="n">
        <x:v>2</x:v>
      </x:c>
      <x:c r="O216" s="36" t="n">
        <x:v>25.0169</x:v>
      </x:c>
      <x:c r="P216" s="36" t="n">
        <x:v>121.54031</x:v>
      </x:c>
      <x:c r="Q216" s="36" t="n">
        <x:v>25.01548</x:v>
      </x:c>
      <x:c r="R216" s="36" t="n">
        <x:v>121.53825</x:v>
      </x:c>
      <x:c r="S216" s="12" t="str">
        <x:v>是</x:v>
      </x:c>
      <x:c r="T216" s="12" t="str"/>
      <x:c r="U216" s="12" t="str"/>
      <x:c r="V216" s="12" t="str"/>
    </x:row>
    <x:row r="217">
      <x:c r="A217" s="12" t="str">
        <x:v>2026-09-08</x:v>
      </x:c>
      <x:c r="B217" s="12" t="str">
        <x:v>14:00</x:v>
      </x:c>
      <x:c r="C217" s="12" t="str">
        <x:v>14–17</x:v>
      </x:c>
      <x:c r="D217" s="12" t="str">
        <x:v>500119071</x:v>
      </x:c>
      <x:c r="E217" s="12" t="str">
        <x:v>臺大計資中心南側</x:v>
      </x:c>
      <x:c r="F217" s="12" t="str">
        <x:v>500119045</x:v>
      </x:c>
      <x:c r="G217" s="12" t="str">
        <x:v>臺大農業陳列館北側</x:v>
      </x:c>
      <x:c r="H217" s="12" t="str">
        <x:v>實線</x:v>
      </x:c>
      <x:c r="I217" s="13" t="n">
        <x:v>1</x:v>
      </x:c>
      <x:c r="J217" s="12" t="str">
        <x:v>ZZB-0004</x:v>
      </x:c>
      <x:c r="K217" s="13" t="n">
        <x:v>7</x:v>
      </x:c>
      <x:c r="L217" s="13" t="n">
        <x:v>7</x:v>
      </x:c>
      <x:c r="M217" s="13" t="n">
        <x:v>0</x:v>
      </x:c>
      <x:c r="N217" s="13" t="n">
        <x:v>1</x:v>
      </x:c>
      <x:c r="O217" s="36" t="n">
        <x:v>25.02036</x:v>
      </x:c>
      <x:c r="P217" s="36" t="n">
        <x:v>121.53992</x:v>
      </x:c>
      <x:c r="Q217" s="36" t="n">
        <x:v>25.01839</x:v>
      </x:c>
      <x:c r="R217" s="36" t="n">
        <x:v>121.53404</x:v>
      </x:c>
      <x:c r="S217" s="12" t="str">
        <x:v>是</x:v>
      </x:c>
      <x:c r="T217" s="12" t="str"/>
      <x:c r="U217" s="12" t="str"/>
      <x:c r="V217" s="12" t="str"/>
    </x:row>
    <x:row r="218">
      <x:c r="A218" s="12" t="str">
        <x:v>2026-09-08</x:v>
      </x:c>
      <x:c r="B218" s="12" t="str">
        <x:v>14:00</x:v>
      </x:c>
      <x:c r="C218" s="12" t="str">
        <x:v>14–17</x:v>
      </x:c>
      <x:c r="D218" s="12" t="str">
        <x:v>500119086</x:v>
      </x:c>
      <x:c r="E218" s="12" t="str">
        <x:v>臺大圖資系館北側</x:v>
      </x:c>
      <x:c r="F218" s="12" t="str">
        <x:v>500119094</x:v>
      </x:c>
      <x:c r="G218" s="12" t="str">
        <x:v>臺大大一女餐廳廣場</x:v>
      </x:c>
      <x:c r="H218" s="12" t="str">
        <x:v>實線</x:v>
      </x:c>
      <x:c r="I218" s="13" t="n">
        <x:v>1</x:v>
      </x:c>
      <x:c r="J218" s="12" t="str">
        <x:v>ZZB-0001</x:v>
      </x:c>
      <x:c r="K218" s="13" t="n">
        <x:v>5</x:v>
      </x:c>
      <x:c r="L218" s="13" t="n">
        <x:v>5</x:v>
      </x:c>
      <x:c r="M218" s="13" t="n">
        <x:v>0</x:v>
      </x:c>
      <x:c r="N218" s="13" t="n">
        <x:v>1</x:v>
      </x:c>
      <x:c r="O218" s="36" t="n">
        <x:v>25.01804</x:v>
      </x:c>
      <x:c r="P218" s="36" t="n">
        <x:v>121.53928</x:v>
      </x:c>
      <x:c r="Q218" s="36" t="n">
        <x:v>25.01479</x:v>
      </x:c>
      <x:c r="R218" s="36" t="n">
        <x:v>121.53494</x:v>
      </x:c>
      <x:c r="S218" s="12" t="str">
        <x:v>是</x:v>
      </x:c>
      <x:c r="T218" s="12" t="str"/>
      <x:c r="U218" s="12" t="str"/>
      <x:c r="V218" s="12" t="str"/>
    </x:row>
    <x:row r="219">
      <x:c r="A219" s="12" t="str">
        <x:v>2026-09-08</x:v>
      </x:c>
      <x:c r="B219" s="12" t="str">
        <x:v>14:00</x:v>
      </x:c>
      <x:c r="C219" s="12" t="str">
        <x:v>14–17</x:v>
      </x:c>
      <x:c r="D219" s="12" t="str">
        <x:v>500119087</x:v>
      </x:c>
      <x:c r="E219" s="12" t="str">
        <x:v>臺大總圖書館西南側</x:v>
      </x:c>
      <x:c r="F219" s="12" t="str">
        <x:v>500119091</x:v>
      </x:c>
      <x:c r="G219" s="12" t="str">
        <x:v>臺大明達館北側(員工宿舍)</x:v>
      </x:c>
      <x:c r="H219" s="12" t="str">
        <x:v>實線</x:v>
      </x:c>
      <x:c r="I219" s="13" t="n">
        <x:v>1</x:v>
      </x:c>
      <x:c r="J219" s="12" t="str">
        <x:v>ZZB-0001</x:v>
      </x:c>
      <x:c r="K219" s="13" t="n">
        <x:v>3</x:v>
      </x:c>
      <x:c r="L219" s="13" t="n">
        <x:v>3</x:v>
      </x:c>
      <x:c r="M219" s="13" t="n">
        <x:v>0</x:v>
      </x:c>
      <x:c r="N219" s="13" t="n">
        <x:v>1</x:v>
      </x:c>
      <x:c r="O219" s="36" t="n">
        <x:v>25.0169</x:v>
      </x:c>
      <x:c r="P219" s="36" t="n">
        <x:v>121.54031</x:v>
      </x:c>
      <x:c r="Q219" s="36" t="n">
        <x:v>25.01816</x:v>
      </x:c>
      <x:c r="R219" s="36" t="n">
        <x:v>121.54469</x:v>
      </x:c>
      <x:c r="S219" s="12" t="str">
        <x:v>是</x:v>
      </x:c>
      <x:c r="T219" s="12" t="str"/>
      <x:c r="U219" s="12" t="str"/>
      <x:c r="V219" s="12" t="str"/>
    </x:row>
    <x:row r="220">
      <x:c r="A220" s="12" t="str">
        <x:v>2026-09-08</x:v>
      </x:c>
      <x:c r="B220" s="12" t="str">
        <x:v>14:00</x:v>
      </x:c>
      <x:c r="C220" s="12" t="str">
        <x:v>14–17</x:v>
      </x:c>
      <x:c r="D220" s="12" t="str">
        <x:v>500119087</x:v>
      </x:c>
      <x:c r="E220" s="12" t="str">
        <x:v>臺大總圖書館西南側</x:v>
      </x:c>
      <x:c r="F220" s="12" t="str">
        <x:v>500119094</x:v>
      </x:c>
      <x:c r="G220" s="12" t="str">
        <x:v>臺大大一女餐廳廣場</x:v>
      </x:c>
      <x:c r="H220" s="12" t="str">
        <x:v>實線</x:v>
      </x:c>
      <x:c r="I220" s="13" t="n">
        <x:v>1</x:v>
      </x:c>
      <x:c r="J220" s="12" t="str">
        <x:v>ZZB-0001</x:v>
      </x:c>
      <x:c r="K220" s="13" t="n">
        <x:v>2</x:v>
      </x:c>
      <x:c r="L220" s="13" t="n">
        <x:v>2</x:v>
      </x:c>
      <x:c r="M220" s="13" t="n">
        <x:v>0</x:v>
      </x:c>
      <x:c r="N220" s="13" t="n">
        <x:v>1</x:v>
      </x:c>
      <x:c r="O220" s="36" t="n">
        <x:v>25.0169</x:v>
      </x:c>
      <x:c r="P220" s="36" t="n">
        <x:v>121.54031</x:v>
      </x:c>
      <x:c r="Q220" s="36" t="n">
        <x:v>25.01479</x:v>
      </x:c>
      <x:c r="R220" s="36" t="n">
        <x:v>121.53494</x:v>
      </x:c>
      <x:c r="S220" s="12" t="str">
        <x:v>是</x:v>
      </x:c>
      <x:c r="T220" s="12" t="str"/>
      <x:c r="U220" s="12" t="str"/>
      <x:c r="V220" s="12" t="str"/>
    </x:row>
    <x:row r="221">
      <x:c r="A221" s="12" t="str">
        <x:v>2026-09-08</x:v>
      </x:c>
      <x:c r="B221" s="12" t="str">
        <x:v>17:00</x:v>
      </x:c>
      <x:c r="C221" s="12" t="str">
        <x:v>14–17</x:v>
      </x:c>
      <x:c r="D221" s="12" t="str">
        <x:v>500101276</x:v>
      </x:c>
      <x:c r="E221" s="12" t="str">
        <x:v>羅斯福新生南路口</x:v>
      </x:c>
      <x:c r="F221" s="12" t="str">
        <x:v>500119047</x:v>
      </x:c>
      <x:c r="G221" s="12" t="str">
        <x:v>臺大土木系館</x:v>
      </x:c>
      <x:c r="H221" s="12" t="str">
        <x:v>虛線</x:v>
      </x:c>
      <x:c r="I221" s="13" t="n">
        <x:v>1</x:v>
      </x:c>
      <x:c r="J221" s="12" t="str">
        <x:v>ZZB-0004</x:v>
      </x:c>
      <x:c r="K221" s="13" t="n">
        <x:v>20</x:v>
      </x:c>
      <x:c r="L221" s="13" t="n">
        <x:v>20</x:v>
      </x:c>
      <x:c r="M221" s="13" t="n">
        <x:v>0</x:v>
      </x:c>
      <x:c r="N221" s="13" t="n">
        <x:v>2</x:v>
      </x:c>
      <x:c r="O221" s="36" t="n">
        <x:v>25.01604</x:v>
      </x:c>
      <x:c r="P221" s="36" t="n">
        <x:v>121.53316</x:v>
      </x:c>
      <x:c r="Q221" s="36" t="n">
        <x:v>25.01761</x:v>
      </x:c>
      <x:c r="R221" s="36" t="n">
        <x:v>121.53844</x:v>
      </x:c>
      <x:c r="S221" s="12" t="str">
        <x:v>否</x:v>
      </x:c>
      <x:c r="T221" s="12" t="str">
        <x:v>任一端站碼非500119*</x:v>
      </x:c>
      <x:c r="U221" s="12" t="str"/>
      <x:c r="V221" s="12" t="str"/>
    </x:row>
    <x:row r="222">
      <x:c r="A222" s="12" t="str">
        <x:v>2026-09-08</x:v>
      </x:c>
      <x:c r="B222" s="12" t="str">
        <x:v>17:00</x:v>
      </x:c>
      <x:c r="C222" s="12" t="str">
        <x:v>14–17</x:v>
      </x:c>
      <x:c r="D222" s="12" t="str">
        <x:v>500119048</x:v>
      </x:c>
      <x:c r="E222" s="12" t="str">
        <x:v>臺大大一女舍北側</x:v>
      </x:c>
      <x:c r="F222" s="12" t="str">
        <x:v>500119059</x:v>
      </x:c>
      <x:c r="G222" s="12" t="str">
        <x:v>臺大共同教室北側</x:v>
      </x:c>
      <x:c r="H222" s="12" t="str">
        <x:v>實線</x:v>
      </x:c>
      <x:c r="I222" s="13" t="n">
        <x:v>1</x:v>
      </x:c>
      <x:c r="J222" s="12" t="str">
        <x:v>ZZB-0001</x:v>
      </x:c>
      <x:c r="K222" s="13" t="n">
        <x:v>7</x:v>
      </x:c>
      <x:c r="L222" s="13" t="n">
        <x:v>7</x:v>
      </x:c>
      <x:c r="M222" s="13" t="n">
        <x:v>0</x:v>
      </x:c>
      <x:c r="N222" s="13" t="n">
        <x:v>1</x:v>
      </x:c>
      <x:c r="O222" s="36" t="n">
        <x:v>25.01547</x:v>
      </x:c>
      <x:c r="P222" s="36" t="n">
        <x:v>121.53436</x:v>
      </x:c>
      <x:c r="Q222" s="36" t="n">
        <x:v>25.01595</x:v>
      </x:c>
      <x:c r="R222" s="36" t="n">
        <x:v>121.53791</x:v>
      </x:c>
      <x:c r="S222" s="12" t="str">
        <x:v>是</x:v>
      </x:c>
      <x:c r="T222" s="12" t="str"/>
      <x:c r="U222" s="12" t="str"/>
      <x:c r="V222" s="12" t="str"/>
    </x:row>
    <x:row r="223">
      <x:c r="A223" s="12" t="str">
        <x:v>2026-09-08</x:v>
      </x:c>
      <x:c r="B223" s="12" t="str">
        <x:v>18:00</x:v>
      </x:c>
      <x:c r="C223" s="12" t="str">
        <x:v>18–21</x:v>
      </x:c>
      <x:c r="D223" s="12" t="str">
        <x:v>500101276</x:v>
      </x:c>
      <x:c r="E223" s="12" t="str">
        <x:v>羅斯福新生南路口</x:v>
      </x:c>
      <x:c r="F223" s="12" t="str">
        <x:v>500119047</x:v>
      </x:c>
      <x:c r="G223" s="12" t="str">
        <x:v>臺大土木系館</x:v>
      </x:c>
      <x:c r="H223" s="12" t="str">
        <x:v>虛線</x:v>
      </x:c>
      <x:c r="I223" s="13" t="n">
        <x:v>1</x:v>
      </x:c>
      <x:c r="J223" s="12" t="str">
        <x:v>ZZB-0004</x:v>
      </x:c>
      <x:c r="K223" s="13" t="n">
        <x:v>9</x:v>
      </x:c>
      <x:c r="L223" s="13" t="n">
        <x:v>9</x:v>
      </x:c>
      <x:c r="M223" s="13" t="n">
        <x:v>0</x:v>
      </x:c>
      <x:c r="N223" s="13" t="n">
        <x:v>1</x:v>
      </x:c>
      <x:c r="O223" s="36" t="n">
        <x:v>25.01604</x:v>
      </x:c>
      <x:c r="P223" s="36" t="n">
        <x:v>121.53316</x:v>
      </x:c>
      <x:c r="Q223" s="36" t="n">
        <x:v>25.01761</x:v>
      </x:c>
      <x:c r="R223" s="36" t="n">
        <x:v>121.53844</x:v>
      </x:c>
      <x:c r="S223" s="12" t="str">
        <x:v>否</x:v>
      </x:c>
      <x:c r="T223" s="12" t="str">
        <x:v>任一端站碼非500119*</x:v>
      </x:c>
      <x:c r="U223" s="12" t="str"/>
      <x:c r="V223" s="12" t="str"/>
    </x:row>
    <x:row r="224">
      <x:c r="A224" s="12" t="str">
        <x:v>2026-09-08</x:v>
      </x:c>
      <x:c r="B224" s="12" t="str">
        <x:v>18:00</x:v>
      </x:c>
      <x:c r="C224" s="12" t="str">
        <x:v>18–21</x:v>
      </x:c>
      <x:c r="D224" s="12" t="str">
        <x:v>500101276</x:v>
      </x:c>
      <x:c r="E224" s="12" t="str">
        <x:v>羅斯福新生南路口</x:v>
      </x:c>
      <x:c r="F224" s="12" t="str">
        <x:v>500119050</x:v>
      </x:c>
      <x:c r="G224" s="12" t="str">
        <x:v>臺大小福樓東側</x:v>
      </x:c>
      <x:c r="H224" s="12" t="str">
        <x:v>虛線</x:v>
      </x:c>
      <x:c r="I224" s="13" t="n">
        <x:v>1</x:v>
      </x:c>
      <x:c r="J224" s="12" t="str">
        <x:v>ZZB-0004</x:v>
      </x:c>
      <x:c r="K224" s="13" t="n">
        <x:v>9</x:v>
      </x:c>
      <x:c r="L224" s="13" t="n">
        <x:v>8</x:v>
      </x:c>
      <x:c r="M224" s="13" t="n">
        <x:v>1</x:v>
      </x:c>
      <x:c r="N224" s="13" t="n">
        <x:v>2</x:v>
      </x:c>
      <x:c r="O224" s="36" t="n">
        <x:v>25.01604</x:v>
      </x:c>
      <x:c r="P224" s="36" t="n">
        <x:v>121.53316</x:v>
      </x:c>
      <x:c r="Q224" s="36" t="n">
        <x:v>25.01846</x:v>
      </x:c>
      <x:c r="R224" s="36" t="n">
        <x:v>121.5376</x:v>
      </x:c>
      <x:c r="S224" s="12" t="str">
        <x:v>否</x:v>
      </x:c>
      <x:c r="T224" s="12" t="str">
        <x:v>任一端站碼非500119*</x:v>
      </x:c>
      <x:c r="U224" s="12" t="str"/>
      <x:c r="V224" s="12" t="str"/>
    </x:row>
    <x:row r="225">
      <x:c r="A225" s="12" t="str">
        <x:v>2026-09-08</x:v>
      </x:c>
      <x:c r="B225" s="12" t="str">
        <x:v>18:00</x:v>
      </x:c>
      <x:c r="C225" s="12" t="str">
        <x:v>18–21</x:v>
      </x:c>
      <x:c r="D225" s="12" t="str">
        <x:v>500101276</x:v>
      </x:c>
      <x:c r="E225" s="12" t="str">
        <x:v>羅斯福新生南路口</x:v>
      </x:c>
      <x:c r="F225" s="12" t="str">
        <x:v>500119082</x:v>
      </x:c>
      <x:c r="G225" s="12" t="str">
        <x:v>臺大四號館東北側</x:v>
      </x:c>
      <x:c r="H225" s="12" t="str">
        <x:v>虛線</x:v>
      </x:c>
      <x:c r="I225" s="13" t="n">
        <x:v>1</x:v>
      </x:c>
      <x:c r="J225" s="12" t="str">
        <x:v>ZZB-0001</x:v>
      </x:c>
      <x:c r="K225" s="13" t="n">
        <x:v>14</x:v>
      </x:c>
      <x:c r="L225" s="13" t="n">
        <x:v>14</x:v>
      </x:c>
      <x:c r="M225" s="13" t="n">
        <x:v>0</x:v>
      </x:c>
      <x:c r="N225" s="13" t="n">
        <x:v>2</x:v>
      </x:c>
      <x:c r="O225" s="36" t="n">
        <x:v>25.01604</x:v>
      </x:c>
      <x:c r="P225" s="36" t="n">
        <x:v>121.53316</x:v>
      </x:c>
      <x:c r="Q225" s="36" t="n">
        <x:v>25.01703</x:v>
      </x:c>
      <x:c r="R225" s="36" t="n">
        <x:v>121.53781</x:v>
      </x:c>
      <x:c r="S225" s="12" t="str">
        <x:v>否</x:v>
      </x:c>
      <x:c r="T225" s="12" t="str">
        <x:v>任一端站碼非500119*</x:v>
      </x:c>
      <x:c r="U225" s="12" t="str"/>
      <x:c r="V225" s="12" t="str"/>
    </x:row>
    <x:row r="226">
      <x:c r="A226" s="12" t="str">
        <x:v>2026-09-08</x:v>
      </x:c>
      <x:c r="B226" s="12" t="str">
        <x:v>18:00</x:v>
      </x:c>
      <x:c r="C226" s="12" t="str">
        <x:v>18–21</x:v>
      </x:c>
      <x:c r="D226" s="12" t="str">
        <x:v>500119045</x:v>
      </x:c>
      <x:c r="E226" s="12" t="str">
        <x:v>臺大農業陳列館北側</x:v>
      </x:c>
      <x:c r="F226" s="12" t="str">
        <x:v>500119055</x:v>
      </x:c>
      <x:c r="G226" s="12" t="str">
        <x:v>臺大樂學館東側</x:v>
      </x:c>
      <x:c r="H226" s="12" t="str">
        <x:v>實線</x:v>
      </x:c>
      <x:c r="I226" s="13" t="n">
        <x:v>1</x:v>
      </x:c>
      <x:c r="J226" s="12" t="str">
        <x:v>ZZB-0004</x:v>
      </x:c>
      <x:c r="K226" s="13" t="n">
        <x:v>9</x:v>
      </x:c>
      <x:c r="L226" s="13" t="n">
        <x:v>8</x:v>
      </x:c>
      <x:c r="M226" s="13" t="n">
        <x:v>1</x:v>
      </x:c>
      <x:c r="N226" s="13" t="n">
        <x:v>2</x:v>
      </x:c>
      <x:c r="O226" s="36" t="n">
        <x:v>25.01839</x:v>
      </x:c>
      <x:c r="P226" s="36" t="n">
        <x:v>121.53404</x:v>
      </x:c>
      <x:c r="Q226" s="36" t="n">
        <x:v>25.01793</x:v>
      </x:c>
      <x:c r="R226" s="36" t="n">
        <x:v>121.53585</x:v>
      </x:c>
      <x:c r="S226" s="12" t="str">
        <x:v>是</x:v>
      </x:c>
      <x:c r="T226" s="12" t="str"/>
      <x:c r="U226" s="12" t="str"/>
      <x:c r="V226" s="12" t="str"/>
    </x:row>
    <x:row r="227">
      <x:c r="A227" s="12" t="str">
        <x:v>2026-09-08</x:v>
      </x:c>
      <x:c r="B227" s="12" t="str">
        <x:v>19:00</x:v>
      </x:c>
      <x:c r="C227" s="12" t="str">
        <x:v>18–21</x:v>
      </x:c>
      <x:c r="D227" s="12" t="str">
        <x:v>500101276</x:v>
      </x:c>
      <x:c r="E227" s="12" t="str">
        <x:v>羅斯福新生南路口</x:v>
      </x:c>
      <x:c r="F227" s="12" t="str">
        <x:v>500119075</x:v>
      </x:c>
      <x:c r="G227" s="12" t="str">
        <x:v>臺大第一活動中心西南側</x:v>
      </x:c>
      <x:c r="H227" s="12" t="str">
        <x:v>虛線</x:v>
      </x:c>
      <x:c r="I227" s="13" t="n">
        <x:v>1</x:v>
      </x:c>
      <x:c r="J227" s="12" t="str">
        <x:v>ZZB-0004</x:v>
      </x:c>
      <x:c r="K227" s="13" t="n">
        <x:v>9</x:v>
      </x:c>
      <x:c r="L227" s="13" t="n">
        <x:v>8</x:v>
      </x:c>
      <x:c r="M227" s="13" t="n">
        <x:v>1</x:v>
      </x:c>
      <x:c r="N227" s="13" t="n">
        <x:v>2</x:v>
      </x:c>
      <x:c r="O227" s="36" t="n">
        <x:v>25.01604</x:v>
      </x:c>
      <x:c r="P227" s="36" t="n">
        <x:v>121.53316</x:v>
      </x:c>
      <x:c r="Q227" s="36" t="n">
        <x:v>25.01761</x:v>
      </x:c>
      <x:c r="R227" s="36" t="n">
        <x:v>121.53995</x:v>
      </x:c>
      <x:c r="S227" s="12" t="str">
        <x:v>否</x:v>
      </x:c>
      <x:c r="T227" s="12" t="str">
        <x:v>任一端站碼非500119*</x:v>
      </x:c>
      <x:c r="U227" s="12" t="str"/>
      <x:c r="V227" s="12" t="str"/>
    </x:row>
    <x:row r="228">
      <x:c r="A228" s="12" t="str">
        <x:v>2026-09-08</x:v>
      </x:c>
      <x:c r="B228" s="12" t="str">
        <x:v>19:00</x:v>
      </x:c>
      <x:c r="C228" s="12" t="str">
        <x:v>18–21</x:v>
      </x:c>
      <x:c r="D228" s="12" t="str">
        <x:v>500101276</x:v>
      </x:c>
      <x:c r="E228" s="12" t="str">
        <x:v>羅斯福新生南路口</x:v>
      </x:c>
      <x:c r="F228" s="12" t="str">
        <x:v>500119082</x:v>
      </x:c>
      <x:c r="G228" s="12" t="str">
        <x:v>臺大四號館東北側</x:v>
      </x:c>
      <x:c r="H228" s="12" t="str">
        <x:v>虛線</x:v>
      </x:c>
      <x:c r="I228" s="13" t="n">
        <x:v>1</x:v>
      </x:c>
      <x:c r="J228" s="12" t="str">
        <x:v>ZZB-0001</x:v>
      </x:c>
      <x:c r="K228" s="13" t="n">
        <x:v>7</x:v>
      </x:c>
      <x:c r="L228" s="13" t="n">
        <x:v>7</x:v>
      </x:c>
      <x:c r="M228" s="13" t="n">
        <x:v>0</x:v>
      </x:c>
      <x:c r="N228" s="13" t="n">
        <x:v>1</x:v>
      </x:c>
      <x:c r="O228" s="36" t="n">
        <x:v>25.01604</x:v>
      </x:c>
      <x:c r="P228" s="36" t="n">
        <x:v>121.53316</x:v>
      </x:c>
      <x:c r="Q228" s="36" t="n">
        <x:v>25.01703</x:v>
      </x:c>
      <x:c r="R228" s="36" t="n">
        <x:v>121.53781</x:v>
      </x:c>
      <x:c r="S228" s="12" t="str">
        <x:v>否</x:v>
      </x:c>
      <x:c r="T228" s="12" t="str">
        <x:v>任一端站碼非500119*</x:v>
      </x:c>
      <x:c r="U228" s="12" t="str"/>
      <x:c r="V228" s="12" t="str"/>
    </x:row>
    <x:row r="229">
      <x:c r="A229" s="12" t="str">
        <x:v>2026-09-08</x:v>
      </x:c>
      <x:c r="B229" s="12" t="str">
        <x:v>19:00</x:v>
      </x:c>
      <x:c r="C229" s="12" t="str">
        <x:v>18–21</x:v>
      </x:c>
      <x:c r="D229" s="12" t="str">
        <x:v>500101276</x:v>
      </x:c>
      <x:c r="E229" s="12" t="str">
        <x:v>羅斯福新生南路口</x:v>
      </x:c>
      <x:c r="F229" s="12" t="str">
        <x:v>500119086</x:v>
      </x:c>
      <x:c r="G229" s="12" t="str">
        <x:v>臺大圖資系館北側</x:v>
      </x:c>
      <x:c r="H229" s="12" t="str">
        <x:v>虛線</x:v>
      </x:c>
      <x:c r="I229" s="13" t="n">
        <x:v>1</x:v>
      </x:c>
      <x:c r="J229" s="12" t="str">
        <x:v>ZZB-0004</x:v>
      </x:c>
      <x:c r="K229" s="13" t="n">
        <x:v>9</x:v>
      </x:c>
      <x:c r="L229" s="13" t="n">
        <x:v>8</x:v>
      </x:c>
      <x:c r="M229" s="13" t="n">
        <x:v>1</x:v>
      </x:c>
      <x:c r="N229" s="13" t="n">
        <x:v>2</x:v>
      </x:c>
      <x:c r="O229" s="36" t="n">
        <x:v>25.01604</x:v>
      </x:c>
      <x:c r="P229" s="36" t="n">
        <x:v>121.53316</x:v>
      </x:c>
      <x:c r="Q229" s="36" t="n">
        <x:v>25.01804</x:v>
      </x:c>
      <x:c r="R229" s="36" t="n">
        <x:v>121.53928</x:v>
      </x:c>
      <x:c r="S229" s="12" t="str">
        <x:v>否</x:v>
      </x:c>
      <x:c r="T229" s="12" t="str">
        <x:v>任一端站碼非500119*</x:v>
      </x:c>
      <x:c r="U229" s="12" t="str"/>
      <x:c r="V229" s="12" t="str"/>
    </x:row>
    <x:row r="230">
      <x:c r="A230" s="12" t="str">
        <x:v>2026-09-08</x:v>
      </x:c>
      <x:c r="B230" s="12" t="str">
        <x:v>21:00</x:v>
      </x:c>
      <x:c r="C230" s="12" t="str">
        <x:v>18–21</x:v>
      </x:c>
      <x:c r="D230" s="12" t="str">
        <x:v>500101181</x:v>
      </x:c>
      <x:c r="E230" s="12" t="str">
        <x:v>捷運公館站(3號出口)</x:v>
      </x:c>
      <x:c r="F230" s="12" t="str">
        <x:v>500119078</x:v>
      </x:c>
      <x:c r="G230" s="12" t="str">
        <x:v>臺大森林館北側</x:v>
      </x:c>
      <x:c r="H230" s="12" t="str">
        <x:v>虛線</x:v>
      </x:c>
      <x:c r="I230" s="13" t="n">
        <x:v>1</x:v>
      </x:c>
      <x:c r="J230" s="12" t="str">
        <x:v>ZZB-0004</x:v>
      </x:c>
      <x:c r="K230" s="13" t="n">
        <x:v>8</x:v>
      </x:c>
      <x:c r="L230" s="13" t="n">
        <x:v>8</x:v>
      </x:c>
      <x:c r="M230" s="13" t="n">
        <x:v>0</x:v>
      </x:c>
      <x:c r="N230" s="13" t="n">
        <x:v>1</x:v>
      </x:c>
      <x:c r="O230" s="36" t="n">
        <x:v>25.01551</x:v>
      </x:c>
      <x:c r="P230" s="36" t="n">
        <x:v>121.53374</x:v>
      </x:c>
      <x:c r="Q230" s="36" t="n">
        <x:v>25.01704</x:v>
      </x:c>
      <x:c r="R230" s="36" t="n">
        <x:v>121.53888</x:v>
      </x:c>
      <x:c r="S230" s="12" t="str">
        <x:v>否</x:v>
      </x:c>
      <x:c r="T230" s="12" t="str">
        <x:v>任一端站碼非500119*</x:v>
      </x:c>
      <x:c r="U230" s="12" t="str"/>
      <x:c r="V230" s="12" t="str"/>
    </x:row>
    <x:row r="231">
      <x:c r="A231" s="12" t="str">
        <x:v>2026-09-08</x:v>
      </x:c>
      <x:c r="B231" s="12" t="str">
        <x:v>21:00</x:v>
      </x:c>
      <x:c r="C231" s="12" t="str">
        <x:v>18–21</x:v>
      </x:c>
      <x:c r="D231" s="12" t="str">
        <x:v>500101181</x:v>
      </x:c>
      <x:c r="E231" s="12" t="str">
        <x:v>捷運公館站(3號出口)</x:v>
      </x:c>
      <x:c r="F231" s="12" t="str">
        <x:v>500119086</x:v>
      </x:c>
      <x:c r="G231" s="12" t="str">
        <x:v>臺大圖資系館北側</x:v>
      </x:c>
      <x:c r="H231" s="12" t="str">
        <x:v>虛線</x:v>
      </x:c>
      <x:c r="I231" s="13" t="n">
        <x:v>1</x:v>
      </x:c>
      <x:c r="J231" s="12" t="str">
        <x:v>ZZB-0001</x:v>
      </x:c>
      <x:c r="K231" s="13" t="n">
        <x:v>7</x:v>
      </x:c>
      <x:c r="L231" s="13" t="n">
        <x:v>7</x:v>
      </x:c>
      <x:c r="M231" s="13" t="n">
        <x:v>0</x:v>
      </x:c>
      <x:c r="N231" s="13" t="n">
        <x:v>1</x:v>
      </x:c>
      <x:c r="O231" s="36" t="n">
        <x:v>25.01551</x:v>
      </x:c>
      <x:c r="P231" s="36" t="n">
        <x:v>121.53374</x:v>
      </x:c>
      <x:c r="Q231" s="36" t="n">
        <x:v>25.01804</x:v>
      </x:c>
      <x:c r="R231" s="36" t="n">
        <x:v>121.53928</x:v>
      </x:c>
      <x:c r="S231" s="12" t="str">
        <x:v>否</x:v>
      </x:c>
      <x:c r="T231" s="12" t="str">
        <x:v>任一端站碼非500119*</x:v>
      </x:c>
      <x:c r="U231" s="12" t="str"/>
      <x:c r="V231" s="12" t="str"/>
    </x:row>
    <x:row r="232">
      <x:c r="A232" s="12" t="str">
        <x:v>2026-09-08</x:v>
      </x:c>
      <x:c r="B232" s="12" t="str">
        <x:v>22:00</x:v>
      </x:c>
      <x:c r="C232" s="12" t="str">
        <x:v>22–23</x:v>
      </x:c>
      <x:c r="D232" s="12" t="str">
        <x:v>500101181</x:v>
      </x:c>
      <x:c r="E232" s="12" t="str">
        <x:v>捷運公館站(3號出口)</x:v>
      </x:c>
      <x:c r="F232" s="12" t="str">
        <x:v>500101181</x:v>
      </x:c>
      <x:c r="G232" s="12" t="str">
        <x:v>捷運公館站(3號出口)</x:v>
      </x:c>
      <x:c r="H232" s="12" t="str">
        <x:v>虛線</x:v>
      </x:c>
      <x:c r="I232" s="13" t="n">
        <x:v>1</x:v>
      </x:c>
      <x:c r="J232" s="12" t="str">
        <x:v>ZZB-0001</x:v>
      </x:c>
      <x:c r="K232" s="13" t="n">
        <x:v>48</x:v>
      </x:c>
      <x:c r="L232" s="13" t="n">
        <x:v>48</x:v>
      </x:c>
      <x:c r="M232" s="13" t="n">
        <x:v>0</x:v>
      </x:c>
      <x:c r="N232" s="13" t="n">
        <x:v>4</x:v>
      </x:c>
      <x:c r="O232" s="36" t="n">
        <x:v>25.01551</x:v>
      </x:c>
      <x:c r="P232" s="36" t="n">
        <x:v>121.53374</x:v>
      </x:c>
      <x:c r="Q232" s="36" t="n">
        <x:v>25.01551</x:v>
      </x:c>
      <x:c r="R232" s="36" t="n">
        <x:v>121.53374</x:v>
      </x:c>
      <x:c r="S232" s="12" t="str">
        <x:v>否</x:v>
      </x:c>
      <x:c r="T232" s="12" t="str">
        <x:v>任一端站碼非500119*</x:v>
      </x:c>
      <x:c r="U232" s="12" t="str"/>
      <x:c r="V232" s="12" t="str"/>
    </x:row>
    <x:row r="233">
      <x:c r="A233" s="12" t="str">
        <x:v>2026-09-08</x:v>
      </x:c>
      <x:c r="B233" s="12" t="str">
        <x:v>22:00</x:v>
      </x:c>
      <x:c r="C233" s="12" t="str">
        <x:v>22–23</x:v>
      </x:c>
      <x:c r="D233" s="12" t="str">
        <x:v>500101181</x:v>
      </x:c>
      <x:c r="E233" s="12" t="str">
        <x:v>捷運公館站(3號出口)</x:v>
      </x:c>
      <x:c r="F233" s="12" t="str">
        <x:v>500101276</x:v>
      </x:c>
      <x:c r="G233" s="12" t="str">
        <x:v>羅斯福新生南路口</x:v>
      </x:c>
      <x:c r="H233" s="12" t="str">
        <x:v>虛線</x:v>
      </x:c>
      <x:c r="I233" s="13" t="n">
        <x:v>1</x:v>
      </x:c>
      <x:c r="J233" s="12" t="str">
        <x:v>ZZB-0004</x:v>
      </x:c>
      <x:c r="K233" s="13" t="n">
        <x:v>10</x:v>
      </x:c>
      <x:c r="L233" s="13" t="n">
        <x:v>10</x:v>
      </x:c>
      <x:c r="M233" s="13" t="n">
        <x:v>0</x:v>
      </x:c>
      <x:c r="N233" s="13" t="n">
        <x:v>1</x:v>
      </x:c>
      <x:c r="O233" s="36" t="n">
        <x:v>25.01551</x:v>
      </x:c>
      <x:c r="P233" s="36" t="n">
        <x:v>121.53374</x:v>
      </x:c>
      <x:c r="Q233" s="36" t="n">
        <x:v>25.01604</x:v>
      </x:c>
      <x:c r="R233" s="36" t="n">
        <x:v>121.53316</x:v>
      </x:c>
      <x:c r="S233" s="12" t="str">
        <x:v>否</x:v>
      </x:c>
      <x:c r="T233" s="12" t="str">
        <x:v>任一端站碼非500119*</x:v>
      </x:c>
      <x:c r="U233" s="12" t="str"/>
      <x:c r="V233" s="12" t="str"/>
    </x:row>
    <x:row r="234">
      <x:c r="A234" s="12" t="str">
        <x:v>2026-09-08</x:v>
      </x:c>
      <x:c r="B234" s="12" t="str">
        <x:v>22:00</x:v>
      </x:c>
      <x:c r="C234" s="12" t="str">
        <x:v>22–23</x:v>
      </x:c>
      <x:c r="D234" s="12" t="str">
        <x:v>500101181</x:v>
      </x:c>
      <x:c r="E234" s="12" t="str">
        <x:v>捷運公館站(3號出口)</x:v>
      </x:c>
      <x:c r="F234" s="12" t="str">
        <x:v>500119056</x:v>
      </x:c>
      <x:c r="G234" s="12" t="str">
        <x:v>臺大農化新館西側</x:v>
      </x:c>
      <x:c r="H234" s="12" t="str">
        <x:v>虛線</x:v>
      </x:c>
      <x:c r="I234" s="13" t="n">
        <x:v>1</x:v>
      </x:c>
      <x:c r="J234" s="12" t="str">
        <x:v>ZZB-0001</x:v>
      </x:c>
      <x:c r="K234" s="13" t="n">
        <x:v>3</x:v>
      </x:c>
      <x:c r="L234" s="13" t="n">
        <x:v>3</x:v>
      </x:c>
      <x:c r="M234" s="13" t="n">
        <x:v>0</x:v>
      </x:c>
      <x:c r="N234" s="13" t="n">
        <x:v>1</x:v>
      </x:c>
      <x:c r="O234" s="36" t="n">
        <x:v>25.01551</x:v>
      </x:c>
      <x:c r="P234" s="36" t="n">
        <x:v>121.53374</x:v>
      </x:c>
      <x:c r="Q234" s="36" t="n">
        <x:v>25.01627</x:v>
      </x:c>
      <x:c r="R234" s="36" t="n">
        <x:v>121.53535</x:v>
      </x:c>
      <x:c r="S234" s="12" t="str">
        <x:v>否</x:v>
      </x:c>
      <x:c r="T234" s="12" t="str">
        <x:v>任一端站碼非500119*</x:v>
      </x:c>
      <x:c r="U234" s="12" t="str"/>
      <x:c r="V234" s="12" t="str"/>
    </x:row>
    <x:row r="235">
      <x:c r="A235" s="12" t="str">
        <x:v>2026-09-08</x:v>
      </x:c>
      <x:c r="B235" s="12" t="str">
        <x:v>22:00</x:v>
      </x:c>
      <x:c r="C235" s="12" t="str">
        <x:v>22–23</x:v>
      </x:c>
      <x:c r="D235" s="12" t="str">
        <x:v>500101181</x:v>
      </x:c>
      <x:c r="E235" s="12" t="str">
        <x:v>捷運公館站(3號出口)</x:v>
      </x:c>
      <x:c r="F235" s="12" t="str">
        <x:v>500119061</x:v>
      </x:c>
      <x:c r="G235" s="12" t="str">
        <x:v>臺大鹿鳴堂東側</x:v>
      </x:c>
      <x:c r="H235" s="12" t="str">
        <x:v>虛線</x:v>
      </x:c>
      <x:c r="I235" s="13" t="n">
        <x:v>1</x:v>
      </x:c>
      <x:c r="J235" s="12" t="str">
        <x:v>ZZB-0001</x:v>
      </x:c>
      <x:c r="K235" s="13" t="n">
        <x:v>4</x:v>
      </x:c>
      <x:c r="L235" s="13" t="n">
        <x:v>4</x:v>
      </x:c>
      <x:c r="M235" s="13" t="n">
        <x:v>0</x:v>
      </x:c>
      <x:c r="N235" s="13" t="n">
        <x:v>1</x:v>
      </x:c>
      <x:c r="O235" s="36" t="n">
        <x:v>25.01551</x:v>
      </x:c>
      <x:c r="P235" s="36" t="n">
        <x:v>121.53374</x:v>
      </x:c>
      <x:c r="Q235" s="36" t="n">
        <x:v>25.01511</x:v>
      </x:c>
      <x:c r="R235" s="36" t="n">
        <x:v>121.53786</x:v>
      </x:c>
      <x:c r="S235" s="12" t="str">
        <x:v>否</x:v>
      </x:c>
      <x:c r="T235" s="12" t="str">
        <x:v>任一端站碼非500119*</x:v>
      </x:c>
      <x:c r="U235" s="12" t="str"/>
      <x:c r="V235" s="12" t="str"/>
    </x:row>
    <x:row r="236">
      <x:c r="A236" s="12" t="str">
        <x:v>2026-09-09</x:v>
      </x:c>
      <x:c r="B236" s="12" t="str">
        <x:v>07:00</x:v>
      </x:c>
      <x:c r="C236" s="12" t="str">
        <x:v>06–09</x:v>
      </x:c>
      <x:c r="D236" s="12" t="str">
        <x:v>500119052</x:v>
      </x:c>
      <x:c r="E236" s="12" t="str">
        <x:v>臺大工綜館南側</x:v>
      </x:c>
      <x:c r="F236" s="12" t="str">
        <x:v>500119074</x:v>
      </x:c>
      <x:c r="G236" s="12" t="str">
        <x:v>臺大生命科學館西北側</x:v>
      </x:c>
      <x:c r="H236" s="12" t="str">
        <x:v>實線</x:v>
      </x:c>
      <x:c r="I236" s="13" t="n">
        <x:v>1</x:v>
      </x:c>
      <x:c r="J236" s="12" t="str">
        <x:v>ZZB-0001</x:v>
      </x:c>
      <x:c r="K236" s="13" t="n">
        <x:v>7</x:v>
      </x:c>
      <x:c r="L236" s="13" t="n">
        <x:v>7</x:v>
      </x:c>
      <x:c r="M236" s="13" t="n">
        <x:v>0</x:v>
      </x:c>
      <x:c r="N236" s="13" t="n">
        <x:v>1</x:v>
      </x:c>
      <x:c r="O236" s="36" t="n">
        <x:v>25.01857</x:v>
      </x:c>
      <x:c r="P236" s="36" t="n">
        <x:v>121.54059</x:v>
      </x:c>
      <x:c r="Q236" s="36" t="n">
        <x:v>25.01548</x:v>
      </x:c>
      <x:c r="R236" s="36" t="n">
        <x:v>121.53825</x:v>
      </x:c>
      <x:c r="S236" s="12" t="str">
        <x:v>是</x:v>
      </x:c>
      <x:c r="T236" s="12" t="str"/>
      <x:c r="U236" s="12" t="str"/>
      <x:c r="V236" s="12" t="str"/>
    </x:row>
    <x:row r="237">
      <x:c r="A237" s="12" t="str">
        <x:v>2026-09-09</x:v>
      </x:c>
      <x:c r="B237" s="12" t="str">
        <x:v>08:00</x:v>
      </x:c>
      <x:c r="C237" s="12" t="str">
        <x:v>06–09</x:v>
      </x:c>
      <x:c r="D237" s="12" t="str">
        <x:v>500119050</x:v>
      </x:c>
      <x:c r="E237" s="12" t="str">
        <x:v>臺大小福樓東側</x:v>
      </x:c>
      <x:c r="F237" s="12" t="str">
        <x:v>500119097</x:v>
      </x:c>
      <x:c r="G237" s="12" t="str">
        <x:v>臺大人文館</x:v>
      </x:c>
      <x:c r="H237" s="12" t="str">
        <x:v>實線</x:v>
      </x:c>
      <x:c r="I237" s="13" t="n">
        <x:v>1</x:v>
      </x:c>
      <x:c r="J237" s="12" t="str">
        <x:v>ZZB-0004</x:v>
      </x:c>
      <x:c r="K237" s="13" t="n">
        <x:v>7</x:v>
      </x:c>
      <x:c r="L237" s="13" t="n">
        <x:v>7</x:v>
      </x:c>
      <x:c r="M237" s="13" t="n">
        <x:v>0</x:v>
      </x:c>
      <x:c r="N237" s="13" t="n">
        <x:v>1</x:v>
      </x:c>
      <x:c r="O237" s="36" t="n">
        <x:v>25.01846</x:v>
      </x:c>
      <x:c r="P237" s="36" t="n">
        <x:v>121.5376</x:v>
      </x:c>
      <x:c r="Q237" s="36" t="n">
        <x:v>25.0182</x:v>
      </x:c>
      <x:c r="R237" s="36" t="n">
        <x:v>121.53476</x:v>
      </x:c>
      <x:c r="S237" s="12" t="str">
        <x:v>是</x:v>
      </x:c>
      <x:c r="T237" s="12" t="str"/>
      <x:c r="U237" s="12" t="str"/>
      <x:c r="V237" s="12" t="str"/>
    </x:row>
    <x:row r="238">
      <x:c r="A238" s="12" t="str">
        <x:v>2026-09-09</x:v>
      </x:c>
      <x:c r="B238" s="12" t="str">
        <x:v>09:00</x:v>
      </x:c>
      <x:c r="C238" s="12" t="str">
        <x:v>06–09</x:v>
      </x:c>
      <x:c r="D238" s="12" t="str">
        <x:v>500119050</x:v>
      </x:c>
      <x:c r="E238" s="12" t="str">
        <x:v>臺大小福樓東側</x:v>
      </x:c>
      <x:c r="F238" s="12" t="str">
        <x:v>500119045</x:v>
      </x:c>
      <x:c r="G238" s="12" t="str">
        <x:v>臺大農業陳列館北側</x:v>
      </x:c>
      <x:c r="H238" s="12" t="str">
        <x:v>實線</x:v>
      </x:c>
      <x:c r="I238" s="13" t="n">
        <x:v>1</x:v>
      </x:c>
      <x:c r="J238" s="12" t="str">
        <x:v>ZZB-0004</x:v>
      </x:c>
      <x:c r="K238" s="13" t="n">
        <x:v>5</x:v>
      </x:c>
      <x:c r="L238" s="13" t="n">
        <x:v>0</x:v>
      </x:c>
      <x:c r="M238" s="13" t="n">
        <x:v>5</x:v>
      </x:c>
      <x:c r="N238" s="13" t="n">
        <x:v>1</x:v>
      </x:c>
      <x:c r="O238" s="36" t="n">
        <x:v>25.01846</x:v>
      </x:c>
      <x:c r="P238" s="36" t="n">
        <x:v>121.5376</x:v>
      </x:c>
      <x:c r="Q238" s="36" t="n">
        <x:v>25.01839</x:v>
      </x:c>
      <x:c r="R238" s="36" t="n">
        <x:v>121.53404</x:v>
      </x:c>
      <x:c r="S238" s="12" t="str">
        <x:v>是</x:v>
      </x:c>
      <x:c r="T238" s="12" t="str"/>
      <x:c r="U238" s="12" t="str"/>
      <x:c r="V238" s="12" t="str"/>
    </x:row>
    <x:row r="239">
      <x:c r="A239" s="12" t="str">
        <x:v>2026-09-09</x:v>
      </x:c>
      <x:c r="B239" s="12" t="str">
        <x:v>09:00</x:v>
      </x:c>
      <x:c r="C239" s="12" t="str">
        <x:v>06–09</x:v>
      </x:c>
      <x:c r="D239" s="12" t="str">
        <x:v>500119050</x:v>
      </x:c>
      <x:c r="E239" s="12" t="str">
        <x:v>臺大小福樓東側</x:v>
      </x:c>
      <x:c r="F239" s="12" t="str">
        <x:v>500119050</x:v>
      </x:c>
      <x:c r="G239" s="12" t="str">
        <x:v>臺大小福樓東側</x:v>
      </x:c>
      <x:c r="H239" s="12" t="str">
        <x:v>實線</x:v>
      </x:c>
      <x:c r="I239" s="13" t="n">
        <x:v>1</x:v>
      </x:c>
      <x:c r="J239" s="12" t="str">
        <x:v>ZZB-0004</x:v>
      </x:c>
      <x:c r="K239" s="13" t="n">
        <x:v>7</x:v>
      </x:c>
      <x:c r="L239" s="13" t="n">
        <x:v>7</x:v>
      </x:c>
      <x:c r="M239" s="13" t="n">
        <x:v>0</x:v>
      </x:c>
      <x:c r="N239" s="13" t="n">
        <x:v>1</x:v>
      </x:c>
      <x:c r="O239" s="36" t="n">
        <x:v>25.01846</x:v>
      </x:c>
      <x:c r="P239" s="36" t="n">
        <x:v>121.5376</x:v>
      </x:c>
      <x:c r="Q239" s="36" t="n">
        <x:v>25.01846</x:v>
      </x:c>
      <x:c r="R239" s="36" t="n">
        <x:v>121.5376</x:v>
      </x:c>
      <x:c r="S239" s="12" t="str">
        <x:v>是</x:v>
      </x:c>
      <x:c r="T239" s="12" t="str"/>
      <x:c r="U239" s="12" t="str"/>
      <x:c r="V239" s="12" t="str"/>
    </x:row>
    <x:row r="240">
      <x:c r="A240" s="12" t="str">
        <x:v>2026-09-09</x:v>
      </x:c>
      <x:c r="B240" s="12" t="str">
        <x:v>09:00</x:v>
      </x:c>
      <x:c r="C240" s="12" t="str">
        <x:v>06–09</x:v>
      </x:c>
      <x:c r="D240" s="12" t="str">
        <x:v>500119050</x:v>
      </x:c>
      <x:c r="E240" s="12" t="str">
        <x:v>臺大小福樓東側</x:v>
      </x:c>
      <x:c r="F240" s="12" t="str">
        <x:v>500119082</x:v>
      </x:c>
      <x:c r="G240" s="12" t="str">
        <x:v>臺大四號館東北側</x:v>
      </x:c>
      <x:c r="H240" s="12" t="str">
        <x:v>實線</x:v>
      </x:c>
      <x:c r="I240" s="13" t="n">
        <x:v>1</x:v>
      </x:c>
      <x:c r="J240" s="12" t="str">
        <x:v>ZZB-0004</x:v>
      </x:c>
      <x:c r="K240" s="13" t="n">
        <x:v>7</x:v>
      </x:c>
      <x:c r="L240" s="13" t="n">
        <x:v>3</x:v>
      </x:c>
      <x:c r="M240" s="13" t="n">
        <x:v>4</x:v>
      </x:c>
      <x:c r="N240" s="13" t="n">
        <x:v>2</x:v>
      </x:c>
      <x:c r="O240" s="36" t="n">
        <x:v>25.01846</x:v>
      </x:c>
      <x:c r="P240" s="36" t="n">
        <x:v>121.5376</x:v>
      </x:c>
      <x:c r="Q240" s="36" t="n">
        <x:v>25.01703</x:v>
      </x:c>
      <x:c r="R240" s="36" t="n">
        <x:v>121.53781</x:v>
      </x:c>
      <x:c r="S240" s="12" t="str">
        <x:v>是</x:v>
      </x:c>
      <x:c r="T240" s="12" t="str"/>
      <x:c r="U240" s="12" t="str"/>
      <x:c r="V240" s="12" t="str"/>
    </x:row>
    <x:row r="241">
      <x:c r="A241" s="12" t="str">
        <x:v>2026-09-09</x:v>
      </x:c>
      <x:c r="B241" s="12" t="str">
        <x:v>09:00</x:v>
      </x:c>
      <x:c r="C241" s="12" t="str">
        <x:v>06–09</x:v>
      </x:c>
      <x:c r="D241" s="12" t="str">
        <x:v>500119050</x:v>
      </x:c>
      <x:c r="E241" s="12" t="str">
        <x:v>臺大小福樓東側</x:v>
      </x:c>
      <x:c r="F241" s="12" t="str">
        <x:v>500119097</x:v>
      </x:c>
      <x:c r="G241" s="12" t="str">
        <x:v>臺大人文館</x:v>
      </x:c>
      <x:c r="H241" s="12" t="str">
        <x:v>實線</x:v>
      </x:c>
      <x:c r="I241" s="13" t="n">
        <x:v>1</x:v>
      </x:c>
      <x:c r="J241" s="12" t="str">
        <x:v>ZZB-0004</x:v>
      </x:c>
      <x:c r="K241" s="13" t="n">
        <x:v>2</x:v>
      </x:c>
      <x:c r="L241" s="13" t="n">
        <x:v>2</x:v>
      </x:c>
      <x:c r="M241" s="13" t="n">
        <x:v>0</x:v>
      </x:c>
      <x:c r="N241" s="13" t="n">
        <x:v>1</x:v>
      </x:c>
      <x:c r="O241" s="36" t="n">
        <x:v>25.01846</x:v>
      </x:c>
      <x:c r="P241" s="36" t="n">
        <x:v>121.5376</x:v>
      </x:c>
      <x:c r="Q241" s="36" t="n">
        <x:v>25.0182</x:v>
      </x:c>
      <x:c r="R241" s="36" t="n">
        <x:v>121.53476</x:v>
      </x:c>
      <x:c r="S241" s="12" t="str">
        <x:v>是</x:v>
      </x:c>
      <x:c r="T241" s="12" t="str"/>
      <x:c r="U241" s="12" t="str"/>
      <x:c r="V241" s="12" t="str"/>
    </x:row>
    <x:row r="242">
      <x:c r="A242" s="12" t="str">
        <x:v>2026-09-09</x:v>
      </x:c>
      <x:c r="B242" s="12" t="str">
        <x:v>09:00</x:v>
      </x:c>
      <x:c r="C242" s="12" t="str">
        <x:v>06–09</x:v>
      </x:c>
      <x:c r="D242" s="12" t="str">
        <x:v>500119072</x:v>
      </x:c>
      <x:c r="E242" s="12" t="str">
        <x:v>臺大原分所北側</x:v>
      </x:c>
      <x:c r="F242" s="12" t="str">
        <x:v>500119061</x:v>
      </x:c>
      <x:c r="G242" s="12" t="str">
        <x:v>臺大鹿鳴堂東側</x:v>
      </x:c>
      <x:c r="H242" s="12" t="str">
        <x:v>實線</x:v>
      </x:c>
      <x:c r="I242" s="13" t="n">
        <x:v>1</x:v>
      </x:c>
      <x:c r="J242" s="12" t="str">
        <x:v>ZZB-0001</x:v>
      </x:c>
      <x:c r="K242" s="13" t="n">
        <x:v>7</x:v>
      </x:c>
      <x:c r="L242" s="13" t="n">
        <x:v>6</x:v>
      </x:c>
      <x:c r="M242" s="13" t="n">
        <x:v>1</x:v>
      </x:c>
      <x:c r="N242" s="13" t="n">
        <x:v>2</x:v>
      </x:c>
      <x:c r="O242" s="36" t="n">
        <x:v>25.01881</x:v>
      </x:c>
      <x:c r="P242" s="36" t="n">
        <x:v>121.53868</x:v>
      </x:c>
      <x:c r="Q242" s="36" t="n">
        <x:v>25.01511</x:v>
      </x:c>
      <x:c r="R242" s="36" t="n">
        <x:v>121.53786</x:v>
      </x:c>
      <x:c r="S242" s="12" t="str">
        <x:v>是</x:v>
      </x:c>
      <x:c r="T242" s="12" t="str"/>
      <x:c r="U242" s="12" t="str"/>
      <x:c r="V242" s="12" t="str"/>
    </x:row>
    <x:row r="243">
      <x:c r="A243" s="12" t="str">
        <x:v>2026-09-09</x:v>
      </x:c>
      <x:c r="B243" s="12" t="str">
        <x:v>09:00</x:v>
      </x:c>
      <x:c r="C243" s="12" t="str">
        <x:v>06–09</x:v>
      </x:c>
      <x:c r="D243" s="12" t="str">
        <x:v>500119072</x:v>
      </x:c>
      <x:c r="E243" s="12" t="str">
        <x:v>臺大原分所北側</x:v>
      </x:c>
      <x:c r="F243" s="12" t="str">
        <x:v>500119082</x:v>
      </x:c>
      <x:c r="G243" s="12" t="str">
        <x:v>臺大四號館東北側</x:v>
      </x:c>
      <x:c r="H243" s="12" t="str">
        <x:v>實線</x:v>
      </x:c>
      <x:c r="I243" s="13" t="n">
        <x:v>1</x:v>
      </x:c>
      <x:c r="J243" s="12" t="str">
        <x:v>ZZB-0004</x:v>
      </x:c>
      <x:c r="K243" s="13" t="n">
        <x:v>7</x:v>
      </x:c>
      <x:c r="L243" s="13" t="n">
        <x:v>7</x:v>
      </x:c>
      <x:c r="M243" s="13" t="n">
        <x:v>0</x:v>
      </x:c>
      <x:c r="N243" s="13" t="n">
        <x:v>1</x:v>
      </x:c>
      <x:c r="O243" s="36" t="n">
        <x:v>25.01881</x:v>
      </x:c>
      <x:c r="P243" s="36" t="n">
        <x:v>121.53868</x:v>
      </x:c>
      <x:c r="Q243" s="36" t="n">
        <x:v>25.01703</x:v>
      </x:c>
      <x:c r="R243" s="36" t="n">
        <x:v>121.53781</x:v>
      </x:c>
      <x:c r="S243" s="12" t="str">
        <x:v>是</x:v>
      </x:c>
      <x:c r="T243" s="12" t="str"/>
      <x:c r="U243" s="12" t="str"/>
      <x:c r="V243" s="12" t="str"/>
    </x:row>
    <x:row r="244">
      <x:c r="A244" s="12" t="str">
        <x:v>2026-09-09</x:v>
      </x:c>
      <x:c r="B244" s="12" t="str">
        <x:v>09:00</x:v>
      </x:c>
      <x:c r="C244" s="12" t="str">
        <x:v>06–09</x:v>
      </x:c>
      <x:c r="D244" s="12" t="str">
        <x:v>500119087</x:v>
      </x:c>
      <x:c r="E244" s="12" t="str">
        <x:v>臺大總圖書館西南側</x:v>
      </x:c>
      <x:c r="F244" s="12" t="str">
        <x:v>500119059</x:v>
      </x:c>
      <x:c r="G244" s="12" t="str">
        <x:v>臺大共同教室北側</x:v>
      </x:c>
      <x:c r="H244" s="12" t="str">
        <x:v>實線</x:v>
      </x:c>
      <x:c r="I244" s="13" t="n">
        <x:v>1</x:v>
      </x:c>
      <x:c r="J244" s="12" t="str">
        <x:v>ZZB-0001</x:v>
      </x:c>
      <x:c r="K244" s="13" t="n">
        <x:v>7</x:v>
      </x:c>
      <x:c r="L244" s="13" t="n">
        <x:v>5</x:v>
      </x:c>
      <x:c r="M244" s="13" t="n">
        <x:v>2</x:v>
      </x:c>
      <x:c r="N244" s="13" t="n">
        <x:v>2</x:v>
      </x:c>
      <x:c r="O244" s="36" t="n">
        <x:v>25.0169</x:v>
      </x:c>
      <x:c r="P244" s="36" t="n">
        <x:v>121.54031</x:v>
      </x:c>
      <x:c r="Q244" s="36" t="n">
        <x:v>25.01595</x:v>
      </x:c>
      <x:c r="R244" s="36" t="n">
        <x:v>121.53791</x:v>
      </x:c>
      <x:c r="S244" s="12" t="str">
        <x:v>是</x:v>
      </x:c>
      <x:c r="T244" s="12" t="str"/>
      <x:c r="U244" s="12" t="str"/>
      <x:c r="V244" s="12" t="str"/>
    </x:row>
    <x:row r="245">
      <x:c r="A245" s="12" t="str">
        <x:v>2026-09-09</x:v>
      </x:c>
      <x:c r="B245" s="12" t="str">
        <x:v>10:00</x:v>
      </x:c>
      <x:c r="C245" s="12" t="str">
        <x:v>10–13</x:v>
      </x:c>
      <x:c r="D245" s="12" t="str">
        <x:v>500119050</x:v>
      </x:c>
      <x:c r="E245" s="12" t="str">
        <x:v>臺大小福樓東側</x:v>
      </x:c>
      <x:c r="F245" s="12" t="str">
        <x:v>500119082</x:v>
      </x:c>
      <x:c r="G245" s="12" t="str">
        <x:v>臺大四號館東北側</x:v>
      </x:c>
      <x:c r="H245" s="12" t="str">
        <x:v>實線</x:v>
      </x:c>
      <x:c r="I245" s="13" t="n">
        <x:v>1</x:v>
      </x:c>
      <x:c r="J245" s="12" t="str">
        <x:v>ZZB-0004</x:v>
      </x:c>
      <x:c r="K245" s="13" t="n">
        <x:v>7</x:v>
      </x:c>
      <x:c r="L245" s="13" t="n">
        <x:v>7</x:v>
      </x:c>
      <x:c r="M245" s="13" t="n">
        <x:v>0</x:v>
      </x:c>
      <x:c r="N245" s="13" t="n">
        <x:v>1</x:v>
      </x:c>
      <x:c r="O245" s="36" t="n">
        <x:v>25.01846</x:v>
      </x:c>
      <x:c r="P245" s="36" t="n">
        <x:v>121.5376</x:v>
      </x:c>
      <x:c r="Q245" s="36" t="n">
        <x:v>25.01703</x:v>
      </x:c>
      <x:c r="R245" s="36" t="n">
        <x:v>121.53781</x:v>
      </x:c>
      <x:c r="S245" s="12" t="str">
        <x:v>是</x:v>
      </x:c>
      <x:c r="T245" s="12" t="str"/>
      <x:c r="U245" s="12" t="str"/>
      <x:c r="V245" s="12" t="str"/>
    </x:row>
    <x:row r="246">
      <x:c r="A246" s="12" t="str">
        <x:v>2026-09-09</x:v>
      </x:c>
      <x:c r="B246" s="12" t="str">
        <x:v>10:00</x:v>
      </x:c>
      <x:c r="C246" s="12" t="str">
        <x:v>10–13</x:v>
      </x:c>
      <x:c r="D246" s="12" t="str">
        <x:v>500119050</x:v>
      </x:c>
      <x:c r="E246" s="12" t="str">
        <x:v>臺大小福樓東側</x:v>
      </x:c>
      <x:c r="F246" s="12" t="str">
        <x:v>500119097</x:v>
      </x:c>
      <x:c r="G246" s="12" t="str">
        <x:v>臺大人文館</x:v>
      </x:c>
      <x:c r="H246" s="12" t="str">
        <x:v>實線</x:v>
      </x:c>
      <x:c r="I246" s="13" t="n">
        <x:v>1</x:v>
      </x:c>
      <x:c r="J246" s="12" t="str">
        <x:v>ZZB-0004</x:v>
      </x:c>
      <x:c r="K246" s="13" t="n">
        <x:v>7</x:v>
      </x:c>
      <x:c r="L246" s="13" t="n">
        <x:v>7</x:v>
      </x:c>
      <x:c r="M246" s="13" t="n">
        <x:v>0</x:v>
      </x:c>
      <x:c r="N246" s="13" t="n">
        <x:v>1</x:v>
      </x:c>
      <x:c r="O246" s="36" t="n">
        <x:v>25.01846</x:v>
      </x:c>
      <x:c r="P246" s="36" t="n">
        <x:v>121.5376</x:v>
      </x:c>
      <x:c r="Q246" s="36" t="n">
        <x:v>25.0182</x:v>
      </x:c>
      <x:c r="R246" s="36" t="n">
        <x:v>121.53476</x:v>
      </x:c>
      <x:c r="S246" s="12" t="str">
        <x:v>是</x:v>
      </x:c>
      <x:c r="T246" s="12" t="str"/>
      <x:c r="U246" s="12" t="str"/>
      <x:c r="V246" s="12" t="str"/>
    </x:row>
    <x:row r="247">
      <x:c r="A247" s="12" t="str">
        <x:v>2026-09-09</x:v>
      </x:c>
      <x:c r="B247" s="12" t="str">
        <x:v>10:00</x:v>
      </x:c>
      <x:c r="C247" s="12" t="str">
        <x:v>10–13</x:v>
      </x:c>
      <x:c r="D247" s="12" t="str">
        <x:v>500119078</x:v>
      </x:c>
      <x:c r="E247" s="12" t="str">
        <x:v>臺大森林館北側</x:v>
      </x:c>
      <x:c r="F247" s="12" t="str">
        <x:v>500119059</x:v>
      </x:c>
      <x:c r="G247" s="12" t="str">
        <x:v>臺大共同教室北側</x:v>
      </x:c>
      <x:c r="H247" s="12" t="str">
        <x:v>實線</x:v>
      </x:c>
      <x:c r="I247" s="13" t="n">
        <x:v>1</x:v>
      </x:c>
      <x:c r="J247" s="12" t="str">
        <x:v>ZZB-0001</x:v>
      </x:c>
      <x:c r="K247" s="13" t="n">
        <x:v>4</x:v>
      </x:c>
      <x:c r="L247" s="13" t="n">
        <x:v>4</x:v>
      </x:c>
      <x:c r="M247" s="13" t="n">
        <x:v>0</x:v>
      </x:c>
      <x:c r="N247" s="13" t="n">
        <x:v>1</x:v>
      </x:c>
      <x:c r="O247" s="36" t="n">
        <x:v>25.01704</x:v>
      </x:c>
      <x:c r="P247" s="36" t="n">
        <x:v>121.53888</x:v>
      </x:c>
      <x:c r="Q247" s="36" t="n">
        <x:v>25.01595</x:v>
      </x:c>
      <x:c r="R247" s="36" t="n">
        <x:v>121.53791</x:v>
      </x:c>
      <x:c r="S247" s="12" t="str">
        <x:v>是</x:v>
      </x:c>
      <x:c r="T247" s="12" t="str"/>
      <x:c r="U247" s="12" t="str"/>
      <x:c r="V247" s="12" t="str"/>
    </x:row>
    <x:row r="248">
      <x:c r="A248" s="12" t="str">
        <x:v>2026-09-09</x:v>
      </x:c>
      <x:c r="B248" s="12" t="str">
        <x:v>10:00</x:v>
      </x:c>
      <x:c r="C248" s="12" t="str">
        <x:v>10–13</x:v>
      </x:c>
      <x:c r="D248" s="12" t="str">
        <x:v>500119083</x:v>
      </x:c>
      <x:c r="E248" s="12" t="str">
        <x:v>臺大新生教室南側</x:v>
      </x:c>
      <x:c r="F248" s="12" t="str">
        <x:v>500119064</x:v>
      </x:c>
      <x:c r="G248" s="12" t="str">
        <x:v>臺大明達館機車停車場</x:v>
      </x:c>
      <x:c r="H248" s="12" t="str">
        <x:v>實線</x:v>
      </x:c>
      <x:c r="I248" s="13" t="n">
        <x:v>1</x:v>
      </x:c>
      <x:c r="J248" s="12" t="str">
        <x:v>ZZB-0004</x:v>
      </x:c>
      <x:c r="K248" s="13" t="n">
        <x:v>7</x:v>
      </x:c>
      <x:c r="L248" s="13" t="n">
        <x:v>6</x:v>
      </x:c>
      <x:c r="M248" s="13" t="n">
        <x:v>1</x:v>
      </x:c>
      <x:c r="N248" s="13" t="n">
        <x:v>2</x:v>
      </x:c>
      <x:c r="O248" s="36" t="n">
        <x:v>25.0196</x:v>
      </x:c>
      <x:c r="P248" s="36" t="n">
        <x:v>121.53846</x:v>
      </x:c>
      <x:c r="Q248" s="36" t="n">
        <x:v>25.01754</x:v>
      </x:c>
      <x:c r="R248" s="36" t="n">
        <x:v>121.54398</x:v>
      </x:c>
      <x:c r="S248" s="12" t="str">
        <x:v>是</x:v>
      </x:c>
      <x:c r="T248" s="12" t="str"/>
      <x:c r="U248" s="12" t="str"/>
      <x:c r="V248" s="12" t="str"/>
    </x:row>
    <x:row r="249">
      <x:c r="A249" s="12" t="str">
        <x:v>2026-09-09</x:v>
      </x:c>
      <x:c r="B249" s="12" t="str">
        <x:v>10:00</x:v>
      </x:c>
      <x:c r="C249" s="12" t="str">
        <x:v>10–13</x:v>
      </x:c>
      <x:c r="D249" s="12" t="str">
        <x:v>500119086</x:v>
      </x:c>
      <x:c r="E249" s="12" t="str">
        <x:v>臺大圖資系館北側</x:v>
      </x:c>
      <x:c r="F249" s="12" t="str">
        <x:v>500119060</x:v>
      </x:c>
      <x:c r="G249" s="12" t="str">
        <x:v>臺大共同教室東南側</x:v>
      </x:c>
      <x:c r="H249" s="12" t="str">
        <x:v>實線</x:v>
      </x:c>
      <x:c r="I249" s="13" t="n">
        <x:v>1</x:v>
      </x:c>
      <x:c r="J249" s="12" t="str">
        <x:v>ZZB-0001</x:v>
      </x:c>
      <x:c r="K249" s="13" t="n">
        <x:v>7</x:v>
      </x:c>
      <x:c r="L249" s="13" t="n">
        <x:v>6</x:v>
      </x:c>
      <x:c r="M249" s="13" t="n">
        <x:v>1</x:v>
      </x:c>
      <x:c r="N249" s="13" t="n">
        <x:v>2</x:v>
      </x:c>
      <x:c r="O249" s="36" t="n">
        <x:v>25.01804</x:v>
      </x:c>
      <x:c r="P249" s="36" t="n">
        <x:v>121.53928</x:v>
      </x:c>
      <x:c r="Q249" s="36" t="n">
        <x:v>25.01566</x:v>
      </x:c>
      <x:c r="R249" s="36" t="n">
        <x:v>121.53786</x:v>
      </x:c>
      <x:c r="S249" s="12" t="str">
        <x:v>是</x:v>
      </x:c>
      <x:c r="T249" s="12" t="str"/>
      <x:c r="U249" s="12" t="str"/>
      <x:c r="V249" s="12" t="str"/>
    </x:row>
    <x:row r="250">
      <x:c r="A250" s="12" t="str">
        <x:v>2026-09-09</x:v>
      </x:c>
      <x:c r="B250" s="12" t="str">
        <x:v>10:00</x:v>
      </x:c>
      <x:c r="C250" s="12" t="str">
        <x:v>10–13</x:v>
      </x:c>
      <x:c r="D250" s="12" t="str">
        <x:v>500119087</x:v>
      </x:c>
      <x:c r="E250" s="12" t="str">
        <x:v>臺大總圖書館西南側</x:v>
      </x:c>
      <x:c r="F250" s="12" t="str">
        <x:v>500119059</x:v>
      </x:c>
      <x:c r="G250" s="12" t="str">
        <x:v>臺大共同教室北側</x:v>
      </x:c>
      <x:c r="H250" s="12" t="str">
        <x:v>實線</x:v>
      </x:c>
      <x:c r="I250" s="13" t="n">
        <x:v>1</x:v>
      </x:c>
      <x:c r="J250" s="12" t="str">
        <x:v>ZZB-0001</x:v>
      </x:c>
      <x:c r="K250" s="13" t="n">
        <x:v>3</x:v>
      </x:c>
      <x:c r="L250" s="13" t="n">
        <x:v>3</x:v>
      </x:c>
      <x:c r="M250" s="13" t="n">
        <x:v>0</x:v>
      </x:c>
      <x:c r="N250" s="13" t="n">
        <x:v>1</x:v>
      </x:c>
      <x:c r="O250" s="36" t="n">
        <x:v>25.0169</x:v>
      </x:c>
      <x:c r="P250" s="36" t="n">
        <x:v>121.54031</x:v>
      </x:c>
      <x:c r="Q250" s="36" t="n">
        <x:v>25.01595</x:v>
      </x:c>
      <x:c r="R250" s="36" t="n">
        <x:v>121.53791</x:v>
      </x:c>
      <x:c r="S250" s="12" t="str">
        <x:v>是</x:v>
      </x:c>
      <x:c r="T250" s="12" t="str"/>
      <x:c r="U250" s="12" t="str"/>
      <x:c r="V250" s="12" t="str"/>
    </x:row>
    <x:row r="251">
      <x:c r="A251" s="12" t="str">
        <x:v>2026-09-09</x:v>
      </x:c>
      <x:c r="B251" s="12" t="str">
        <x:v>10:00</x:v>
      </x:c>
      <x:c r="C251" s="12" t="str">
        <x:v>10–13</x:v>
      </x:c>
      <x:c r="D251" s="12" t="str">
        <x:v>500119098</x:v>
      </x:c>
      <x:c r="E251" s="12" t="str">
        <x:v>臺大數學研究中心(東側)</x:v>
      </x:c>
      <x:c r="F251" s="12" t="str">
        <x:v>500119094</x:v>
      </x:c>
      <x:c r="G251" s="12" t="str">
        <x:v>臺大大一女餐廳廣場</x:v>
      </x:c>
      <x:c r="H251" s="12" t="str">
        <x:v>實線</x:v>
      </x:c>
      <x:c r="I251" s="13" t="n">
        <x:v>1</x:v>
      </x:c>
      <x:c r="J251" s="12" t="str">
        <x:v>ZZB-0001</x:v>
      </x:c>
      <x:c r="K251" s="13" t="n">
        <x:v>7</x:v>
      </x:c>
      <x:c r="L251" s="13" t="n">
        <x:v>5</x:v>
      </x:c>
      <x:c r="M251" s="13" t="n">
        <x:v>2</x:v>
      </x:c>
      <x:c r="N251" s="13" t="n">
        <x:v>2</x:v>
      </x:c>
      <x:c r="O251" s="36" t="n">
        <x:v>25.02004</x:v>
      </x:c>
      <x:c r="P251" s="36" t="n">
        <x:v>121.53881</x:v>
      </x:c>
      <x:c r="Q251" s="36" t="n">
        <x:v>25.01479</x:v>
      </x:c>
      <x:c r="R251" s="36" t="n">
        <x:v>121.53494</x:v>
      </x:c>
      <x:c r="S251" s="12" t="str">
        <x:v>是</x:v>
      </x:c>
      <x:c r="T251" s="12" t="str"/>
      <x:c r="U251" s="12" t="str"/>
      <x:c r="V251" s="12" t="str"/>
    </x:row>
    <x:row r="252">
      <x:c r="A252" s="12" t="str">
        <x:v>2026-09-09</x:v>
      </x:c>
      <x:c r="B252" s="12" t="str">
        <x:v>11:00</x:v>
      </x:c>
      <x:c r="C252" s="12" t="str">
        <x:v>10–13</x:v>
      </x:c>
      <x:c r="D252" s="12" t="str">
        <x:v>500119085</x:v>
      </x:c>
      <x:c r="E252" s="12" t="str">
        <x:v>臺大電機二館東南側</x:v>
      </x:c>
      <x:c r="F252" s="12" t="str">
        <x:v>500119091</x:v>
      </x:c>
      <x:c r="G252" s="12" t="str">
        <x:v>臺大明達館北側(員工宿舍)</x:v>
      </x:c>
      <x:c r="H252" s="12" t="str">
        <x:v>實線</x:v>
      </x:c>
      <x:c r="I252" s="13" t="n">
        <x:v>1</x:v>
      </x:c>
      <x:c r="J252" s="12" t="str">
        <x:v>ZZB-0004</x:v>
      </x:c>
      <x:c r="K252" s="13" t="n">
        <x:v>7</x:v>
      </x:c>
      <x:c r="L252" s="13" t="n">
        <x:v>7</x:v>
      </x:c>
      <x:c r="M252" s="13" t="n">
        <x:v>0</x:v>
      </x:c>
      <x:c r="N252" s="13" t="n">
        <x:v>1</x:v>
      </x:c>
      <x:c r="O252" s="36" t="n">
        <x:v>25.01857</x:v>
      </x:c>
      <x:c r="P252" s="36" t="n">
        <x:v>121.54247</x:v>
      </x:c>
      <x:c r="Q252" s="36" t="n">
        <x:v>25.01816</x:v>
      </x:c>
      <x:c r="R252" s="36" t="n">
        <x:v>121.54469</x:v>
      </x:c>
      <x:c r="S252" s="12" t="str">
        <x:v>是</x:v>
      </x:c>
      <x:c r="T252" s="12" t="str"/>
      <x:c r="U252" s="12" t="str"/>
      <x:c r="V252" s="12" t="str"/>
    </x:row>
    <x:row r="253">
      <x:c r="A253" s="12" t="str">
        <x:v>2026-09-09</x:v>
      </x:c>
      <x:c r="B253" s="12" t="str">
        <x:v>11:00</x:v>
      </x:c>
      <x:c r="C253" s="12" t="str">
        <x:v>10–13</x:v>
      </x:c>
      <x:c r="D253" s="12" t="str">
        <x:v>500119087</x:v>
      </x:c>
      <x:c r="E253" s="12" t="str">
        <x:v>臺大總圖書館西南側</x:v>
      </x:c>
      <x:c r="F253" s="12" t="str">
        <x:v>500119091</x:v>
      </x:c>
      <x:c r="G253" s="12" t="str">
        <x:v>臺大明達館北側(員工宿舍)</x:v>
      </x:c>
      <x:c r="H253" s="12" t="str">
        <x:v>實線</x:v>
      </x:c>
      <x:c r="I253" s="13" t="n">
        <x:v>1</x:v>
      </x:c>
      <x:c r="J253" s="12" t="str">
        <x:v>ZZB-0001</x:v>
      </x:c>
      <x:c r="K253" s="13" t="n">
        <x:v>7</x:v>
      </x:c>
      <x:c r="L253" s="13" t="n">
        <x:v>7</x:v>
      </x:c>
      <x:c r="M253" s="13" t="n">
        <x:v>0</x:v>
      </x:c>
      <x:c r="N253" s="13" t="n">
        <x:v>1</x:v>
      </x:c>
      <x:c r="O253" s="36" t="n">
        <x:v>25.0169</x:v>
      </x:c>
      <x:c r="P253" s="36" t="n">
        <x:v>121.54031</x:v>
      </x:c>
      <x:c r="Q253" s="36" t="n">
        <x:v>25.01816</x:v>
      </x:c>
      <x:c r="R253" s="36" t="n">
        <x:v>121.54469</x:v>
      </x:c>
      <x:c r="S253" s="12" t="str">
        <x:v>是</x:v>
      </x:c>
      <x:c r="T253" s="12" t="str"/>
      <x:c r="U253" s="12" t="str"/>
      <x:c r="V253" s="12" t="str"/>
    </x:row>
    <x:row r="254">
      <x:c r="A254" s="12" t="str">
        <x:v>2026-09-09</x:v>
      </x:c>
      <x:c r="B254" s="12" t="str">
        <x:v>12:00</x:v>
      </x:c>
      <x:c r="C254" s="12" t="str">
        <x:v>10–13</x:v>
      </x:c>
      <x:c r="D254" s="12" t="str">
        <x:v>500119086</x:v>
      </x:c>
      <x:c r="E254" s="12" t="str">
        <x:v>臺大圖資系館北側</x:v>
      </x:c>
      <x:c r="F254" s="12" t="str">
        <x:v>500119061</x:v>
      </x:c>
      <x:c r="G254" s="12" t="str">
        <x:v>臺大鹿鳴堂東側</x:v>
      </x:c>
      <x:c r="H254" s="12" t="str">
        <x:v>實線</x:v>
      </x:c>
      <x:c r="I254" s="13" t="n">
        <x:v>1</x:v>
      </x:c>
      <x:c r="J254" s="12" t="str">
        <x:v>ZZB-0001</x:v>
      </x:c>
      <x:c r="K254" s="13" t="n">
        <x:v>7</x:v>
      </x:c>
      <x:c r="L254" s="13" t="n">
        <x:v>6</x:v>
      </x:c>
      <x:c r="M254" s="13" t="n">
        <x:v>1</x:v>
      </x:c>
      <x:c r="N254" s="13" t="n">
        <x:v>2</x:v>
      </x:c>
      <x:c r="O254" s="36" t="n">
        <x:v>25.01804</x:v>
      </x:c>
      <x:c r="P254" s="36" t="n">
        <x:v>121.53928</x:v>
      </x:c>
      <x:c r="Q254" s="36" t="n">
        <x:v>25.01511</x:v>
      </x:c>
      <x:c r="R254" s="36" t="n">
        <x:v>121.53786</x:v>
      </x:c>
      <x:c r="S254" s="12" t="str">
        <x:v>是</x:v>
      </x:c>
      <x:c r="T254" s="12" t="str"/>
      <x:c r="U254" s="12" t="str"/>
      <x:c r="V254" s="12" t="str"/>
    </x:row>
    <x:row r="255">
      <x:c r="A255" s="12" t="str">
        <x:v>2026-09-09</x:v>
      </x:c>
      <x:c r="B255" s="12" t="str">
        <x:v>12:00</x:v>
      </x:c>
      <x:c r="C255" s="12" t="str">
        <x:v>10–13</x:v>
      </x:c>
      <x:c r="D255" s="12" t="str">
        <x:v>500119087</x:v>
      </x:c>
      <x:c r="E255" s="12" t="str">
        <x:v>臺大總圖書館西南側</x:v>
      </x:c>
      <x:c r="F255" s="12" t="str">
        <x:v>500119074</x:v>
      </x:c>
      <x:c r="G255" s="12" t="str">
        <x:v>臺大生命科學館西北側</x:v>
      </x:c>
      <x:c r="H255" s="12" t="str">
        <x:v>實線</x:v>
      </x:c>
      <x:c r="I255" s="13" t="n">
        <x:v>1</x:v>
      </x:c>
      <x:c r="J255" s="12" t="str">
        <x:v>ZZB-0001</x:v>
      </x:c>
      <x:c r="K255" s="13" t="n">
        <x:v>7</x:v>
      </x:c>
      <x:c r="L255" s="13" t="n">
        <x:v>7</x:v>
      </x:c>
      <x:c r="M255" s="13" t="n">
        <x:v>0</x:v>
      </x:c>
      <x:c r="N255" s="13" t="n">
        <x:v>1</x:v>
      </x:c>
      <x:c r="O255" s="36" t="n">
        <x:v>25.0169</x:v>
      </x:c>
      <x:c r="P255" s="36" t="n">
        <x:v>121.54031</x:v>
      </x:c>
      <x:c r="Q255" s="36" t="n">
        <x:v>25.01548</x:v>
      </x:c>
      <x:c r="R255" s="36" t="n">
        <x:v>121.53825</x:v>
      </x:c>
      <x:c r="S255" s="12" t="str">
        <x:v>是</x:v>
      </x:c>
      <x:c r="T255" s="12" t="str"/>
      <x:c r="U255" s="12" t="str"/>
      <x:c r="V255" s="12" t="str"/>
    </x:row>
    <x:row r="256">
      <x:c r="A256" s="12" t="str">
        <x:v>2026-09-09</x:v>
      </x:c>
      <x:c r="B256" s="12" t="str">
        <x:v>13:00</x:v>
      </x:c>
      <x:c r="C256" s="12" t="str">
        <x:v>10–13</x:v>
      </x:c>
      <x:c r="D256" s="12" t="str">
        <x:v>500119050</x:v>
      </x:c>
      <x:c r="E256" s="12" t="str">
        <x:v>臺大小福樓東側</x:v>
      </x:c>
      <x:c r="F256" s="12" t="str">
        <x:v>500119045</x:v>
      </x:c>
      <x:c r="G256" s="12" t="str">
        <x:v>臺大農業陳列館北側</x:v>
      </x:c>
      <x:c r="H256" s="12" t="str">
        <x:v>實線</x:v>
      </x:c>
      <x:c r="I256" s="13" t="n">
        <x:v>1</x:v>
      </x:c>
      <x:c r="J256" s="12" t="str">
        <x:v>ZZB-0004</x:v>
      </x:c>
      <x:c r="K256" s="13" t="n">
        <x:v>21</x:v>
      </x:c>
      <x:c r="L256" s="13" t="n">
        <x:v>21</x:v>
      </x:c>
      <x:c r="M256" s="13" t="n">
        <x:v>0</x:v>
      </x:c>
      <x:c r="N256" s="13" t="n">
        <x:v>3</x:v>
      </x:c>
      <x:c r="O256" s="36" t="n">
        <x:v>25.01846</x:v>
      </x:c>
      <x:c r="P256" s="36" t="n">
        <x:v>121.5376</x:v>
      </x:c>
      <x:c r="Q256" s="36" t="n">
        <x:v>25.01839</x:v>
      </x:c>
      <x:c r="R256" s="36" t="n">
        <x:v>121.53404</x:v>
      </x:c>
      <x:c r="S256" s="12" t="str">
        <x:v>是</x:v>
      </x:c>
      <x:c r="T256" s="12" t="str"/>
      <x:c r="U256" s="12" t="str"/>
      <x:c r="V256" s="12" t="str"/>
    </x:row>
    <x:row r="257">
      <x:c r="A257" s="12" t="str">
        <x:v>2026-09-09</x:v>
      </x:c>
      <x:c r="B257" s="12" t="str">
        <x:v>13:00</x:v>
      </x:c>
      <x:c r="C257" s="12" t="str">
        <x:v>10–13</x:v>
      </x:c>
      <x:c r="D257" s="12" t="str">
        <x:v>500119052</x:v>
      </x:c>
      <x:c r="E257" s="12" t="str">
        <x:v>臺大工綜館南側</x:v>
      </x:c>
      <x:c r="F257" s="12" t="str">
        <x:v>500119045</x:v>
      </x:c>
      <x:c r="G257" s="12" t="str">
        <x:v>臺大農業陳列館北側</x:v>
      </x:c>
      <x:c r="H257" s="12" t="str">
        <x:v>實線</x:v>
      </x:c>
      <x:c r="I257" s="13" t="n">
        <x:v>1</x:v>
      </x:c>
      <x:c r="J257" s="12" t="str">
        <x:v>ZZB-0004</x:v>
      </x:c>
      <x:c r="K257" s="13" t="n">
        <x:v>7</x:v>
      </x:c>
      <x:c r="L257" s="13" t="n">
        <x:v>7</x:v>
      </x:c>
      <x:c r="M257" s="13" t="n">
        <x:v>0</x:v>
      </x:c>
      <x:c r="N257" s="13" t="n">
        <x:v>1</x:v>
      </x:c>
      <x:c r="O257" s="36" t="n">
        <x:v>25.01857</x:v>
      </x:c>
      <x:c r="P257" s="36" t="n">
        <x:v>121.54059</x:v>
      </x:c>
      <x:c r="Q257" s="36" t="n">
        <x:v>25.01839</x:v>
      </x:c>
      <x:c r="R257" s="36" t="n">
        <x:v>121.53404</x:v>
      </x:c>
      <x:c r="S257" s="12" t="str">
        <x:v>是</x:v>
      </x:c>
      <x:c r="T257" s="12" t="str"/>
      <x:c r="U257" s="12" t="str"/>
      <x:c r="V257" s="12" t="str"/>
    </x:row>
    <x:row r="258">
      <x:c r="A258" s="12" t="str">
        <x:v>2026-09-09</x:v>
      </x:c>
      <x:c r="B258" s="12" t="str">
        <x:v>13:00</x:v>
      </x:c>
      <x:c r="C258" s="12" t="str">
        <x:v>10–13</x:v>
      </x:c>
      <x:c r="D258" s="12" t="str">
        <x:v>500119072</x:v>
      </x:c>
      <x:c r="E258" s="12" t="str">
        <x:v>臺大原分所北側</x:v>
      </x:c>
      <x:c r="F258" s="12" t="str">
        <x:v>500119060</x:v>
      </x:c>
      <x:c r="G258" s="12" t="str">
        <x:v>臺大共同教室東南側</x:v>
      </x:c>
      <x:c r="H258" s="12" t="str">
        <x:v>實線</x:v>
      </x:c>
      <x:c r="I258" s="13" t="n">
        <x:v>1</x:v>
      </x:c>
      <x:c r="J258" s="12" t="str">
        <x:v>ZZB-0001</x:v>
      </x:c>
      <x:c r="K258" s="13" t="n">
        <x:v>7</x:v>
      </x:c>
      <x:c r="L258" s="13" t="n">
        <x:v>7</x:v>
      </x:c>
      <x:c r="M258" s="13" t="n">
        <x:v>0</x:v>
      </x:c>
      <x:c r="N258" s="13" t="n">
        <x:v>1</x:v>
      </x:c>
      <x:c r="O258" s="36" t="n">
        <x:v>25.01881</x:v>
      </x:c>
      <x:c r="P258" s="36" t="n">
        <x:v>121.53868</x:v>
      </x:c>
      <x:c r="Q258" s="36" t="n">
        <x:v>25.01566</x:v>
      </x:c>
      <x:c r="R258" s="36" t="n">
        <x:v>121.53786</x:v>
      </x:c>
      <x:c r="S258" s="12" t="str">
        <x:v>是</x:v>
      </x:c>
      <x:c r="T258" s="12" t="str"/>
      <x:c r="U258" s="12" t="str"/>
      <x:c r="V258" s="12" t="str"/>
    </x:row>
    <x:row r="259">
      <x:c r="A259" s="12" t="str">
        <x:v>2026-09-09</x:v>
      </x:c>
      <x:c r="B259" s="12" t="str">
        <x:v>13:00</x:v>
      </x:c>
      <x:c r="C259" s="12" t="str">
        <x:v>10–13</x:v>
      </x:c>
      <x:c r="D259" s="12" t="str">
        <x:v>500119083</x:v>
      </x:c>
      <x:c r="E259" s="12" t="str">
        <x:v>臺大新生教室南側</x:v>
      </x:c>
      <x:c r="F259" s="12" t="str">
        <x:v>500119097</x:v>
      </x:c>
      <x:c r="G259" s="12" t="str">
        <x:v>臺大人文館</x:v>
      </x:c>
      <x:c r="H259" s="12" t="str">
        <x:v>實線</x:v>
      </x:c>
      <x:c r="I259" s="13" t="n">
        <x:v>1</x:v>
      </x:c>
      <x:c r="J259" s="12" t="str">
        <x:v>ZZB-0004</x:v>
      </x:c>
      <x:c r="K259" s="13" t="n">
        <x:v>7</x:v>
      </x:c>
      <x:c r="L259" s="13" t="n">
        <x:v>7</x:v>
      </x:c>
      <x:c r="M259" s="13" t="n">
        <x:v>0</x:v>
      </x:c>
      <x:c r="N259" s="13" t="n">
        <x:v>1</x:v>
      </x:c>
      <x:c r="O259" s="36" t="n">
        <x:v>25.0196</x:v>
      </x:c>
      <x:c r="P259" s="36" t="n">
        <x:v>121.53846</x:v>
      </x:c>
      <x:c r="Q259" s="36" t="n">
        <x:v>25.0182</x:v>
      </x:c>
      <x:c r="R259" s="36" t="n">
        <x:v>121.53476</x:v>
      </x:c>
      <x:c r="S259" s="12" t="str">
        <x:v>是</x:v>
      </x:c>
      <x:c r="T259" s="12" t="str"/>
      <x:c r="U259" s="12" t="str"/>
      <x:c r="V259" s="12" t="str"/>
    </x:row>
    <x:row r="260">
      <x:c r="A260" s="12" t="str">
        <x:v>2026-09-09</x:v>
      </x:c>
      <x:c r="B260" s="12" t="str">
        <x:v>13:00</x:v>
      </x:c>
      <x:c r="C260" s="12" t="str">
        <x:v>10–13</x:v>
      </x:c>
      <x:c r="D260" s="12" t="str">
        <x:v>500119098</x:v>
      </x:c>
      <x:c r="E260" s="12" t="str">
        <x:v>臺大數學研究中心(東側)</x:v>
      </x:c>
      <x:c r="F260" s="12" t="str">
        <x:v>500119059</x:v>
      </x:c>
      <x:c r="G260" s="12" t="str">
        <x:v>臺大共同教室北側</x:v>
      </x:c>
      <x:c r="H260" s="12" t="str">
        <x:v>實線</x:v>
      </x:c>
      <x:c r="I260" s="13" t="n">
        <x:v>1</x:v>
      </x:c>
      <x:c r="J260" s="12" t="str">
        <x:v>ZZB-0001</x:v>
      </x:c>
      <x:c r="K260" s="13" t="n">
        <x:v>7</x:v>
      </x:c>
      <x:c r="L260" s="13" t="n">
        <x:v>5</x:v>
      </x:c>
      <x:c r="M260" s="13" t="n">
        <x:v>2</x:v>
      </x:c>
      <x:c r="N260" s="13" t="n">
        <x:v>2</x:v>
      </x:c>
      <x:c r="O260" s="36" t="n">
        <x:v>25.02004</x:v>
      </x:c>
      <x:c r="P260" s="36" t="n">
        <x:v>121.53881</x:v>
      </x:c>
      <x:c r="Q260" s="36" t="n">
        <x:v>25.01595</x:v>
      </x:c>
      <x:c r="R260" s="36" t="n">
        <x:v>121.53791</x:v>
      </x:c>
      <x:c r="S260" s="12" t="str">
        <x:v>是</x:v>
      </x:c>
      <x:c r="T260" s="12" t="str"/>
      <x:c r="U260" s="12" t="str"/>
      <x:c r="V260" s="12" t="str"/>
    </x:row>
    <x:row r="261">
      <x:c r="A261" s="12" t="str">
        <x:v>2026-09-09</x:v>
      </x:c>
      <x:c r="B261" s="12" t="str">
        <x:v>14:00</x:v>
      </x:c>
      <x:c r="C261" s="12" t="str">
        <x:v>14–17</x:v>
      </x:c>
      <x:c r="D261" s="12" t="str">
        <x:v>500119050</x:v>
      </x:c>
      <x:c r="E261" s="12" t="str">
        <x:v>臺大小福樓東側</x:v>
      </x:c>
      <x:c r="F261" s="12" t="str">
        <x:v>500119045</x:v>
      </x:c>
      <x:c r="G261" s="12" t="str">
        <x:v>臺大農業陳列館北側</x:v>
      </x:c>
      <x:c r="H261" s="12" t="str">
        <x:v>實線</x:v>
      </x:c>
      <x:c r="I261" s="13" t="n">
        <x:v>1</x:v>
      </x:c>
      <x:c r="J261" s="12" t="str">
        <x:v>ZZB-0004</x:v>
      </x:c>
      <x:c r="K261" s="13" t="n">
        <x:v>7</x:v>
      </x:c>
      <x:c r="L261" s="13" t="n">
        <x:v>7</x:v>
      </x:c>
      <x:c r="M261" s="13" t="n">
        <x:v>0</x:v>
      </x:c>
      <x:c r="N261" s="13" t="n">
        <x:v>1</x:v>
      </x:c>
      <x:c r="O261" s="36" t="n">
        <x:v>25.01846</x:v>
      </x:c>
      <x:c r="P261" s="36" t="n">
        <x:v>121.5376</x:v>
      </x:c>
      <x:c r="Q261" s="36" t="n">
        <x:v>25.01839</x:v>
      </x:c>
      <x:c r="R261" s="36" t="n">
        <x:v>121.53404</x:v>
      </x:c>
      <x:c r="S261" s="12" t="str">
        <x:v>是</x:v>
      </x:c>
      <x:c r="T261" s="12" t="str"/>
      <x:c r="U261" s="12" t="str"/>
      <x:c r="V261" s="12" t="str"/>
    </x:row>
    <x:row r="262">
      <x:c r="A262" s="12" t="str">
        <x:v>2026-09-09</x:v>
      </x:c>
      <x:c r="B262" s="12" t="str">
        <x:v>14:00</x:v>
      </x:c>
      <x:c r="C262" s="12" t="str">
        <x:v>14–17</x:v>
      </x:c>
      <x:c r="D262" s="12" t="str">
        <x:v>500119069</x:v>
      </x:c>
      <x:c r="E262" s="12" t="str">
        <x:v>臺大思亮館東南側</x:v>
      </x:c>
      <x:c r="F262" s="12" t="str">
        <x:v>500119045</x:v>
      </x:c>
      <x:c r="G262" s="12" t="str">
        <x:v>臺大農業陳列館北側</x:v>
      </x:c>
      <x:c r="H262" s="12" t="str">
        <x:v>實線</x:v>
      </x:c>
      <x:c r="I262" s="13" t="n">
        <x:v>1</x:v>
      </x:c>
      <x:c r="J262" s="12" t="str">
        <x:v>ZZB-0004</x:v>
      </x:c>
      <x:c r="K262" s="13" t="n">
        <x:v>7</x:v>
      </x:c>
      <x:c r="L262" s="13" t="n">
        <x:v>7</x:v>
      </x:c>
      <x:c r="M262" s="13" t="n">
        <x:v>0</x:v>
      </x:c>
      <x:c r="N262" s="13" t="n">
        <x:v>1</x:v>
      </x:c>
      <x:c r="O262" s="36" t="n">
        <x:v>25.02074</x:v>
      </x:c>
      <x:c r="P262" s="36" t="n">
        <x:v>121.53906</x:v>
      </x:c>
      <x:c r="Q262" s="36" t="n">
        <x:v>25.01839</x:v>
      </x:c>
      <x:c r="R262" s="36" t="n">
        <x:v>121.53404</x:v>
      </x:c>
      <x:c r="S262" s="12" t="str">
        <x:v>是</x:v>
      </x:c>
      <x:c r="T262" s="12" t="str"/>
      <x:c r="U262" s="12" t="str"/>
      <x:c r="V262" s="12" t="str"/>
    </x:row>
    <x:row r="263">
      <x:c r="A263" s="12" t="str">
        <x:v>2026-09-09</x:v>
      </x:c>
      <x:c r="B263" s="12" t="str">
        <x:v>14:00</x:v>
      </x:c>
      <x:c r="C263" s="12" t="str">
        <x:v>14–17</x:v>
      </x:c>
      <x:c r="D263" s="12" t="str">
        <x:v>500119072</x:v>
      </x:c>
      <x:c r="E263" s="12" t="str">
        <x:v>臺大原分所北側</x:v>
      </x:c>
      <x:c r="F263" s="12" t="str">
        <x:v>500119091</x:v>
      </x:c>
      <x:c r="G263" s="12" t="str">
        <x:v>臺大明達館北側(員工宿舍)</x:v>
      </x:c>
      <x:c r="H263" s="12" t="str">
        <x:v>實線</x:v>
      </x:c>
      <x:c r="I263" s="13" t="n">
        <x:v>1</x:v>
      </x:c>
      <x:c r="J263" s="12" t="str">
        <x:v>ZZB-0001</x:v>
      </x:c>
      <x:c r="K263" s="13" t="n">
        <x:v>3</x:v>
      </x:c>
      <x:c r="L263" s="13" t="n">
        <x:v>3</x:v>
      </x:c>
      <x:c r="M263" s="13" t="n">
        <x:v>0</x:v>
      </x:c>
      <x:c r="N263" s="13" t="n">
        <x:v>1</x:v>
      </x:c>
      <x:c r="O263" s="36" t="n">
        <x:v>25.01881</x:v>
      </x:c>
      <x:c r="P263" s="36" t="n">
        <x:v>121.53868</x:v>
      </x:c>
      <x:c r="Q263" s="36" t="n">
        <x:v>25.01816</x:v>
      </x:c>
      <x:c r="R263" s="36" t="n">
        <x:v>121.54469</x:v>
      </x:c>
      <x:c r="S263" s="12" t="str">
        <x:v>是</x:v>
      </x:c>
      <x:c r="T263" s="12" t="str"/>
      <x:c r="U263" s="12" t="str"/>
      <x:c r="V263" s="12" t="str"/>
    </x:row>
    <x:row r="264">
      <x:c r="A264" s="12" t="str">
        <x:v>2026-09-09</x:v>
      </x:c>
      <x:c r="B264" s="12" t="str">
        <x:v>17:00</x:v>
      </x:c>
      <x:c r="C264" s="12" t="str">
        <x:v>14–17</x:v>
      </x:c>
      <x:c r="D264" s="12" t="str">
        <x:v>500101276</x:v>
      </x:c>
      <x:c r="E264" s="12" t="str">
        <x:v>羅斯福新生南路口</x:v>
      </x:c>
      <x:c r="F264" s="12" t="str">
        <x:v>500119047</x:v>
      </x:c>
      <x:c r="G264" s="12" t="str">
        <x:v>臺大土木系館</x:v>
      </x:c>
      <x:c r="H264" s="12" t="str">
        <x:v>虛線</x:v>
      </x:c>
      <x:c r="I264" s="13" t="n">
        <x:v>1</x:v>
      </x:c>
      <x:c r="J264" s="12" t="str">
        <x:v>ZZB-0004</x:v>
      </x:c>
      <x:c r="K264" s="13" t="n">
        <x:v>7</x:v>
      </x:c>
      <x:c r="L264" s="13" t="n">
        <x:v>7</x:v>
      </x:c>
      <x:c r="M264" s="13" t="n">
        <x:v>0</x:v>
      </x:c>
      <x:c r="N264" s="13" t="n">
        <x:v>1</x:v>
      </x:c>
      <x:c r="O264" s="36" t="n">
        <x:v>25.01604</x:v>
      </x:c>
      <x:c r="P264" s="36" t="n">
        <x:v>121.53316</x:v>
      </x:c>
      <x:c r="Q264" s="36" t="n">
        <x:v>25.01761</x:v>
      </x:c>
      <x:c r="R264" s="36" t="n">
        <x:v>121.53844</x:v>
      </x:c>
      <x:c r="S264" s="12" t="str">
        <x:v>否</x:v>
      </x:c>
      <x:c r="T264" s="12" t="str">
        <x:v>任一端站碼非500119*</x:v>
      </x:c>
      <x:c r="U264" s="12" t="str"/>
      <x:c r="V264" s="12" t="str"/>
    </x:row>
    <x:row r="265">
      <x:c r="A265" s="12" t="str">
        <x:v>2026-09-09</x:v>
      </x:c>
      <x:c r="B265" s="12" t="str">
        <x:v>17:00</x:v>
      </x:c>
      <x:c r="C265" s="12" t="str">
        <x:v>14–17</x:v>
      </x:c>
      <x:c r="D265" s="12" t="str">
        <x:v>500101276</x:v>
      </x:c>
      <x:c r="E265" s="12" t="str">
        <x:v>羅斯福新生南路口</x:v>
      </x:c>
      <x:c r="F265" s="12" t="str">
        <x:v>500119050</x:v>
      </x:c>
      <x:c r="G265" s="12" t="str">
        <x:v>臺大小福樓東側</x:v>
      </x:c>
      <x:c r="H265" s="12" t="str">
        <x:v>虛線</x:v>
      </x:c>
      <x:c r="I265" s="13" t="n">
        <x:v>1</x:v>
      </x:c>
      <x:c r="J265" s="12" t="str">
        <x:v>ZZB-0004</x:v>
      </x:c>
      <x:c r="K265" s="13" t="n">
        <x:v>7</x:v>
      </x:c>
      <x:c r="L265" s="13" t="n">
        <x:v>7</x:v>
      </x:c>
      <x:c r="M265" s="13" t="n">
        <x:v>0</x:v>
      </x:c>
      <x:c r="N265" s="13" t="n">
        <x:v>1</x:v>
      </x:c>
      <x:c r="O265" s="36" t="n">
        <x:v>25.01604</x:v>
      </x:c>
      <x:c r="P265" s="36" t="n">
        <x:v>121.53316</x:v>
      </x:c>
      <x:c r="Q265" s="36" t="n">
        <x:v>25.01846</x:v>
      </x:c>
      <x:c r="R265" s="36" t="n">
        <x:v>121.5376</x:v>
      </x:c>
      <x:c r="S265" s="12" t="str">
        <x:v>否</x:v>
      </x:c>
      <x:c r="T265" s="12" t="str">
        <x:v>任一端站碼非500119*</x:v>
      </x:c>
      <x:c r="U265" s="12" t="str"/>
      <x:c r="V265" s="12" t="str"/>
    </x:row>
    <x:row r="266">
      <x:c r="A266" s="12" t="str">
        <x:v>2026-09-09</x:v>
      </x:c>
      <x:c r="B266" s="12" t="str">
        <x:v>17:00</x:v>
      </x:c>
      <x:c r="C266" s="12" t="str">
        <x:v>14–17</x:v>
      </x:c>
      <x:c r="D266" s="12" t="str">
        <x:v>500101276</x:v>
      </x:c>
      <x:c r="E266" s="12" t="str">
        <x:v>羅斯福新生南路口</x:v>
      </x:c>
      <x:c r="F266" s="12" t="str">
        <x:v>500119059</x:v>
      </x:c>
      <x:c r="G266" s="12" t="str">
        <x:v>臺大共同教室北側</x:v>
      </x:c>
      <x:c r="H266" s="12" t="str">
        <x:v>虛線</x:v>
      </x:c>
      <x:c r="I266" s="13" t="n">
        <x:v>1</x:v>
      </x:c>
      <x:c r="J266" s="12" t="str">
        <x:v>ZZB-0001</x:v>
      </x:c>
      <x:c r="K266" s="13" t="n">
        <x:v>7</x:v>
      </x:c>
      <x:c r="L266" s="13" t="n">
        <x:v>7</x:v>
      </x:c>
      <x:c r="M266" s="13" t="n">
        <x:v>0</x:v>
      </x:c>
      <x:c r="N266" s="13" t="n">
        <x:v>1</x:v>
      </x:c>
      <x:c r="O266" s="36" t="n">
        <x:v>25.01604</x:v>
      </x:c>
      <x:c r="P266" s="36" t="n">
        <x:v>121.53316</x:v>
      </x:c>
      <x:c r="Q266" s="36" t="n">
        <x:v>25.01595</x:v>
      </x:c>
      <x:c r="R266" s="36" t="n">
        <x:v>121.53791</x:v>
      </x:c>
      <x:c r="S266" s="12" t="str">
        <x:v>否</x:v>
      </x:c>
      <x:c r="T266" s="12" t="str">
        <x:v>任一端站碼非500119*</x:v>
      </x:c>
      <x:c r="U266" s="12" t="str"/>
      <x:c r="V266" s="12" t="str"/>
    </x:row>
    <x:row r="267">
      <x:c r="A267" s="12" t="str">
        <x:v>2026-09-09</x:v>
      </x:c>
      <x:c r="B267" s="12" t="str">
        <x:v>17:00</x:v>
      </x:c>
      <x:c r="C267" s="12" t="str">
        <x:v>14–17</x:v>
      </x:c>
      <x:c r="D267" s="12" t="str">
        <x:v>500119048</x:v>
      </x:c>
      <x:c r="E267" s="12" t="str">
        <x:v>臺大大一女舍北側</x:v>
      </x:c>
      <x:c r="F267" s="12" t="str">
        <x:v>500119059</x:v>
      </x:c>
      <x:c r="G267" s="12" t="str">
        <x:v>臺大共同教室北側</x:v>
      </x:c>
      <x:c r="H267" s="12" t="str">
        <x:v>實線</x:v>
      </x:c>
      <x:c r="I267" s="13" t="n">
        <x:v>1</x:v>
      </x:c>
      <x:c r="J267" s="12" t="str">
        <x:v>ZZB-0001</x:v>
      </x:c>
      <x:c r="K267" s="13" t="n">
        <x:v>7</x:v>
      </x:c>
      <x:c r="L267" s="13" t="n">
        <x:v>7</x:v>
      </x:c>
      <x:c r="M267" s="13" t="n">
        <x:v>0</x:v>
      </x:c>
      <x:c r="N267" s="13" t="n">
        <x:v>1</x:v>
      </x:c>
      <x:c r="O267" s="36" t="n">
        <x:v>25.01547</x:v>
      </x:c>
      <x:c r="P267" s="36" t="n">
        <x:v>121.53436</x:v>
      </x:c>
      <x:c r="Q267" s="36" t="n">
        <x:v>25.01595</x:v>
      </x:c>
      <x:c r="R267" s="36" t="n">
        <x:v>121.53791</x:v>
      </x:c>
      <x:c r="S267" s="12" t="str">
        <x:v>是</x:v>
      </x:c>
      <x:c r="T267" s="12" t="str"/>
      <x:c r="U267" s="12" t="str"/>
      <x:c r="V267" s="12" t="str"/>
    </x:row>
    <x:row r="268">
      <x:c r="A268" s="12" t="str">
        <x:v>2026-09-09</x:v>
      </x:c>
      <x:c r="B268" s="12" t="str">
        <x:v>17:00</x:v>
      </x:c>
      <x:c r="C268" s="12" t="str">
        <x:v>14–17</x:v>
      </x:c>
      <x:c r="D268" s="12" t="str">
        <x:v>500119048</x:v>
      </x:c>
      <x:c r="E268" s="12" t="str">
        <x:v>臺大大一女舍北側</x:v>
      </x:c>
      <x:c r="F268" s="12" t="str">
        <x:v>500119086</x:v>
      </x:c>
      <x:c r="G268" s="12" t="str">
        <x:v>臺大圖資系館北側</x:v>
      </x:c>
      <x:c r="H268" s="12" t="str">
        <x:v>實線</x:v>
      </x:c>
      <x:c r="I268" s="13" t="n">
        <x:v>1</x:v>
      </x:c>
      <x:c r="J268" s="12" t="str">
        <x:v>ZZB-0004</x:v>
      </x:c>
      <x:c r="K268" s="13" t="n">
        <x:v>7</x:v>
      </x:c>
      <x:c r="L268" s="13" t="n">
        <x:v>7</x:v>
      </x:c>
      <x:c r="M268" s="13" t="n">
        <x:v>0</x:v>
      </x:c>
      <x:c r="N268" s="13" t="n">
        <x:v>1</x:v>
      </x:c>
      <x:c r="O268" s="36" t="n">
        <x:v>25.01547</x:v>
      </x:c>
      <x:c r="P268" s="36" t="n">
        <x:v>121.53436</x:v>
      </x:c>
      <x:c r="Q268" s="36" t="n">
        <x:v>25.01804</x:v>
      </x:c>
      <x:c r="R268" s="36" t="n">
        <x:v>121.53928</x:v>
      </x:c>
      <x:c r="S268" s="12" t="str">
        <x:v>是</x:v>
      </x:c>
      <x:c r="T268" s="12" t="str"/>
      <x:c r="U268" s="12" t="str"/>
      <x:c r="V268" s="12" t="str"/>
    </x:row>
    <x:row r="269">
      <x:c r="A269" s="12" t="str">
        <x:v>2026-09-09</x:v>
      </x:c>
      <x:c r="B269" s="12" t="str">
        <x:v>18:00</x:v>
      </x:c>
      <x:c r="C269" s="12" t="str">
        <x:v>18–21</x:v>
      </x:c>
      <x:c r="D269" s="12" t="str">
        <x:v>500101276</x:v>
      </x:c>
      <x:c r="E269" s="12" t="str">
        <x:v>羅斯福新生南路口</x:v>
      </x:c>
      <x:c r="F269" s="12" t="str">
        <x:v>500119047</x:v>
      </x:c>
      <x:c r="G269" s="12" t="str">
        <x:v>臺大土木系館</x:v>
      </x:c>
      <x:c r="H269" s="12" t="str">
        <x:v>虛線</x:v>
      </x:c>
      <x:c r="I269" s="13" t="n">
        <x:v>1</x:v>
      </x:c>
      <x:c r="J269" s="12" t="str">
        <x:v>ZZB-0004</x:v>
      </x:c>
      <x:c r="K269" s="13" t="n">
        <x:v>7</x:v>
      </x:c>
      <x:c r="L269" s="13" t="n">
        <x:v>7</x:v>
      </x:c>
      <x:c r="M269" s="13" t="n">
        <x:v>0</x:v>
      </x:c>
      <x:c r="N269" s="13" t="n">
        <x:v>1</x:v>
      </x:c>
      <x:c r="O269" s="36" t="n">
        <x:v>25.01604</x:v>
      </x:c>
      <x:c r="P269" s="36" t="n">
        <x:v>121.53316</x:v>
      </x:c>
      <x:c r="Q269" s="36" t="n">
        <x:v>25.01761</x:v>
      </x:c>
      <x:c r="R269" s="36" t="n">
        <x:v>121.53844</x:v>
      </x:c>
      <x:c r="S269" s="12" t="str">
        <x:v>否</x:v>
      </x:c>
      <x:c r="T269" s="12" t="str">
        <x:v>任一端站碼非500119*</x:v>
      </x:c>
      <x:c r="U269" s="12" t="str"/>
      <x:c r="V269" s="12" t="str"/>
    </x:row>
    <x:row r="270">
      <x:c r="A270" s="12" t="str">
        <x:v>2026-09-09</x:v>
      </x:c>
      <x:c r="B270" s="12" t="str">
        <x:v>18:00</x:v>
      </x:c>
      <x:c r="C270" s="12" t="str">
        <x:v>18–21</x:v>
      </x:c>
      <x:c r="D270" s="12" t="str">
        <x:v>500101276</x:v>
      </x:c>
      <x:c r="E270" s="12" t="str">
        <x:v>羅斯福新生南路口</x:v>
      </x:c>
      <x:c r="F270" s="12" t="str">
        <x:v>500119086</x:v>
      </x:c>
      <x:c r="G270" s="12" t="str">
        <x:v>臺大圖資系館北側</x:v>
      </x:c>
      <x:c r="H270" s="12" t="str">
        <x:v>虛線</x:v>
      </x:c>
      <x:c r="I270" s="13" t="n">
        <x:v>1</x:v>
      </x:c>
      <x:c r="J270" s="12" t="str">
        <x:v>ZZB-0004</x:v>
      </x:c>
      <x:c r="K270" s="13" t="n">
        <x:v>7</x:v>
      </x:c>
      <x:c r="L270" s="13" t="n">
        <x:v>7</x:v>
      </x:c>
      <x:c r="M270" s="13" t="n">
        <x:v>0</x:v>
      </x:c>
      <x:c r="N270" s="13" t="n">
        <x:v>1</x:v>
      </x:c>
      <x:c r="O270" s="36" t="n">
        <x:v>25.01604</x:v>
      </x:c>
      <x:c r="P270" s="36" t="n">
        <x:v>121.53316</x:v>
      </x:c>
      <x:c r="Q270" s="36" t="n">
        <x:v>25.01804</x:v>
      </x:c>
      <x:c r="R270" s="36" t="n">
        <x:v>121.53928</x:v>
      </x:c>
      <x:c r="S270" s="12" t="str">
        <x:v>否</x:v>
      </x:c>
      <x:c r="T270" s="12" t="str">
        <x:v>任一端站碼非500119*</x:v>
      </x:c>
      <x:c r="U270" s="12" t="str"/>
      <x:c r="V270" s="12" t="str"/>
    </x:row>
    <x:row r="271">
      <x:c r="A271" s="12" t="str">
        <x:v>2026-09-09</x:v>
      </x:c>
      <x:c r="B271" s="12" t="str">
        <x:v>18:00</x:v>
      </x:c>
      <x:c r="C271" s="12" t="str">
        <x:v>18–21</x:v>
      </x:c>
      <x:c r="D271" s="12" t="str">
        <x:v>500119094</x:v>
      </x:c>
      <x:c r="E271" s="12" t="str">
        <x:v>臺大大一女餐廳廣場</x:v>
      </x:c>
      <x:c r="F271" s="12" t="str">
        <x:v>500119061</x:v>
      </x:c>
      <x:c r="G271" s="12" t="str">
        <x:v>臺大鹿鳴堂東側</x:v>
      </x:c>
      <x:c r="H271" s="12" t="str">
        <x:v>實線</x:v>
      </x:c>
      <x:c r="I271" s="13" t="n">
        <x:v>1</x:v>
      </x:c>
      <x:c r="J271" s="12" t="str">
        <x:v>ZZB-0001</x:v>
      </x:c>
      <x:c r="K271" s="13" t="n">
        <x:v>7</x:v>
      </x:c>
      <x:c r="L271" s="13" t="n">
        <x:v>7</x:v>
      </x:c>
      <x:c r="M271" s="13" t="n">
        <x:v>0</x:v>
      </x:c>
      <x:c r="N271" s="13" t="n">
        <x:v>1</x:v>
      </x:c>
      <x:c r="O271" s="36" t="n">
        <x:v>25.01479</x:v>
      </x:c>
      <x:c r="P271" s="36" t="n">
        <x:v>121.53494</x:v>
      </x:c>
      <x:c r="Q271" s="36" t="n">
        <x:v>25.01511</x:v>
      </x:c>
      <x:c r="R271" s="36" t="n">
        <x:v>121.53786</x:v>
      </x:c>
      <x:c r="S271" s="12" t="str">
        <x:v>是</x:v>
      </x:c>
      <x:c r="T271" s="12" t="str"/>
      <x:c r="U271" s="12" t="str"/>
      <x:c r="V271" s="12" t="str"/>
    </x:row>
    <x:row r="272">
      <x:c r="A272" s="12" t="str">
        <x:v>2026-09-09</x:v>
      </x:c>
      <x:c r="B272" s="12" t="str">
        <x:v>21:00</x:v>
      </x:c>
      <x:c r="C272" s="12" t="str">
        <x:v>18–21</x:v>
      </x:c>
      <x:c r="D272" s="12" t="str">
        <x:v>500101181</x:v>
      </x:c>
      <x:c r="E272" s="12" t="str">
        <x:v>捷運公館站(3號出口)</x:v>
      </x:c>
      <x:c r="F272" s="12" t="str">
        <x:v>500119056</x:v>
      </x:c>
      <x:c r="G272" s="12" t="str">
        <x:v>臺大農化新館西側</x:v>
      </x:c>
      <x:c r="H272" s="12" t="str">
        <x:v>虛線</x:v>
      </x:c>
      <x:c r="I272" s="13" t="n">
        <x:v>1</x:v>
      </x:c>
      <x:c r="J272" s="12" t="str">
        <x:v>ZZB-0001</x:v>
      </x:c>
      <x:c r="K272" s="13" t="n">
        <x:v>7</x:v>
      </x:c>
      <x:c r="L272" s="13" t="n">
        <x:v>7</x:v>
      </x:c>
      <x:c r="M272" s="13" t="n">
        <x:v>0</x:v>
      </x:c>
      <x:c r="N272" s="13" t="n">
        <x:v>1</x:v>
      </x:c>
      <x:c r="O272" s="36" t="n">
        <x:v>25.01551</x:v>
      </x:c>
      <x:c r="P272" s="36" t="n">
        <x:v>121.53374</x:v>
      </x:c>
      <x:c r="Q272" s="36" t="n">
        <x:v>25.01627</x:v>
      </x:c>
      <x:c r="R272" s="36" t="n">
        <x:v>121.53535</x:v>
      </x:c>
      <x:c r="S272" s="12" t="str">
        <x:v>否</x:v>
      </x:c>
      <x:c r="T272" s="12" t="str">
        <x:v>任一端站碼非500119*</x:v>
      </x:c>
      <x:c r="U272" s="12" t="str"/>
      <x:c r="V272" s="12" t="str"/>
    </x:row>
    <x:row r="273">
      <x:c r="A273" s="12" t="str">
        <x:v>2026-09-09</x:v>
      </x:c>
      <x:c r="B273" s="12" t="str">
        <x:v>21:00</x:v>
      </x:c>
      <x:c r="C273" s="12" t="str">
        <x:v>18–21</x:v>
      </x:c>
      <x:c r="D273" s="12" t="str">
        <x:v>500101181</x:v>
      </x:c>
      <x:c r="E273" s="12" t="str">
        <x:v>捷運公館站(3號出口)</x:v>
      </x:c>
      <x:c r="F273" s="12" t="str">
        <x:v>500119057</x:v>
      </x:c>
      <x:c r="G273" s="12" t="str">
        <x:v>臺大五號館西側</x:v>
      </x:c>
      <x:c r="H273" s="12" t="str">
        <x:v>虛線</x:v>
      </x:c>
      <x:c r="I273" s="13" t="n">
        <x:v>1</x:v>
      </x:c>
      <x:c r="J273" s="12" t="str">
        <x:v>ZZB-0004</x:v>
      </x:c>
      <x:c r="K273" s="13" t="n">
        <x:v>4</x:v>
      </x:c>
      <x:c r="L273" s="13" t="n">
        <x:v>4</x:v>
      </x:c>
      <x:c r="M273" s="13" t="n">
        <x:v>0</x:v>
      </x:c>
      <x:c r="N273" s="13" t="n">
        <x:v>1</x:v>
      </x:c>
      <x:c r="O273" s="36" t="n">
        <x:v>25.01551</x:v>
      </x:c>
      <x:c r="P273" s="36" t="n">
        <x:v>121.53374</x:v>
      </x:c>
      <x:c r="Q273" s="36" t="n">
        <x:v>25.01666</x:v>
      </x:c>
      <x:c r="R273" s="36" t="n">
        <x:v>121.53718</x:v>
      </x:c>
      <x:c r="S273" s="12" t="str">
        <x:v>否</x:v>
      </x:c>
      <x:c r="T273" s="12" t="str">
        <x:v>任一端站碼非500119*</x:v>
      </x:c>
      <x:c r="U273" s="12" t="str"/>
      <x:c r="V273" s="12" t="str"/>
    </x:row>
    <x:row r="274">
      <x:c r="A274" s="12" t="str">
        <x:v>2026-09-09</x:v>
      </x:c>
      <x:c r="B274" s="12" t="str">
        <x:v>21:00</x:v>
      </x:c>
      <x:c r="C274" s="12" t="str">
        <x:v>18–21</x:v>
      </x:c>
      <x:c r="D274" s="12" t="str">
        <x:v>500101181</x:v>
      </x:c>
      <x:c r="E274" s="12" t="str">
        <x:v>捷運公館站(3號出口)</x:v>
      </x:c>
      <x:c r="F274" s="12" t="str">
        <x:v>500119065</x:v>
      </x:c>
      <x:c r="G274" s="12" t="str">
        <x:v>臺大二號館</x:v>
      </x:c>
      <x:c r="H274" s="12" t="str">
        <x:v>虛線</x:v>
      </x:c>
      <x:c r="I274" s="13" t="n">
        <x:v>1</x:v>
      </x:c>
      <x:c r="J274" s="12" t="str">
        <x:v>ZZB-0004</x:v>
      </x:c>
      <x:c r="K274" s="13" t="n">
        <x:v>7</x:v>
      </x:c>
      <x:c r="L274" s="13" t="n">
        <x:v>7</x:v>
      </x:c>
      <x:c r="M274" s="13" t="n">
        <x:v>0</x:v>
      </x:c>
      <x:c r="N274" s="13" t="n">
        <x:v>1</x:v>
      </x:c>
      <x:c r="O274" s="36" t="n">
        <x:v>25.01551</x:v>
      </x:c>
      <x:c r="P274" s="36" t="n">
        <x:v>121.53374</x:v>
      </x:c>
      <x:c r="Q274" s="36" t="n">
        <x:v>25.01699</x:v>
      </x:c>
      <x:c r="R274" s="36" t="n">
        <x:v>121.53574</x:v>
      </x:c>
      <x:c r="S274" s="12" t="str">
        <x:v>否</x:v>
      </x:c>
      <x:c r="T274" s="12" t="str">
        <x:v>任一端站碼非500119*</x:v>
      </x:c>
      <x:c r="U274" s="12" t="str"/>
      <x:c r="V274" s="12" t="str"/>
    </x:row>
    <x:row r="275">
      <x:c r="A275" s="12" t="str">
        <x:v>2026-09-09</x:v>
      </x:c>
      <x:c r="B275" s="12" t="str">
        <x:v>22:00</x:v>
      </x:c>
      <x:c r="C275" s="12" t="str">
        <x:v>22–23</x:v>
      </x:c>
      <x:c r="D275" s="12" t="str">
        <x:v>500101181</x:v>
      </x:c>
      <x:c r="E275" s="12" t="str">
        <x:v>捷運公館站(3號出口)</x:v>
      </x:c>
      <x:c r="F275" s="12" t="str">
        <x:v>500101181</x:v>
      </x:c>
      <x:c r="G275" s="12" t="str">
        <x:v>捷運公館站(3號出口)</x:v>
      </x:c>
      <x:c r="H275" s="12" t="str">
        <x:v>虛線</x:v>
      </x:c>
      <x:c r="I275" s="13" t="n">
        <x:v>1</x:v>
      </x:c>
      <x:c r="J275" s="12" t="str">
        <x:v>ZZB-0001</x:v>
      </x:c>
      <x:c r="K275" s="13" t="n">
        <x:v>15</x:v>
      </x:c>
      <x:c r="L275" s="13" t="n">
        <x:v>15</x:v>
      </x:c>
      <x:c r="M275" s="13" t="n">
        <x:v>0</x:v>
      </x:c>
      <x:c r="N275" s="13" t="n">
        <x:v>1</x:v>
      </x:c>
      <x:c r="O275" s="36" t="n">
        <x:v>25.01551</x:v>
      </x:c>
      <x:c r="P275" s="36" t="n">
        <x:v>121.53374</x:v>
      </x:c>
      <x:c r="Q275" s="36" t="n">
        <x:v>25.01551</x:v>
      </x:c>
      <x:c r="R275" s="36" t="n">
        <x:v>121.53374</x:v>
      </x:c>
      <x:c r="S275" s="12" t="str">
        <x:v>否</x:v>
      </x:c>
      <x:c r="T275" s="12" t="str">
        <x:v>任一端站碼非500119*</x:v>
      </x:c>
      <x:c r="U275" s="12" t="str"/>
      <x:c r="V275" s="12" t="str"/>
    </x:row>
    <x:row r="276">
      <x:c r="A276" s="12" t="str">
        <x:v>2026-09-09</x:v>
      </x:c>
      <x:c r="B276" s="12" t="str">
        <x:v>22:00</x:v>
      </x:c>
      <x:c r="C276" s="12" t="str">
        <x:v>22–23</x:v>
      </x:c>
      <x:c r="D276" s="12" t="str">
        <x:v>500101181</x:v>
      </x:c>
      <x:c r="E276" s="12" t="str">
        <x:v>捷運公館站(3號出口)</x:v>
      </x:c>
      <x:c r="F276" s="12" t="str">
        <x:v>500119082</x:v>
      </x:c>
      <x:c r="G276" s="12" t="str">
        <x:v>臺大四號館東北側</x:v>
      </x:c>
      <x:c r="H276" s="12" t="str">
        <x:v>虛線</x:v>
      </x:c>
      <x:c r="I276" s="13" t="n">
        <x:v>1</x:v>
      </x:c>
      <x:c r="J276" s="12" t="str">
        <x:v>ZZB-0004</x:v>
      </x:c>
      <x:c r="K276" s="13" t="n">
        <x:v>9</x:v>
      </x:c>
      <x:c r="L276" s="13" t="n">
        <x:v>9</x:v>
      </x:c>
      <x:c r="M276" s="13" t="n">
        <x:v>0</x:v>
      </x:c>
      <x:c r="N276" s="13" t="n">
        <x:v>1</x:v>
      </x:c>
      <x:c r="O276" s="36" t="n">
        <x:v>25.01551</x:v>
      </x:c>
      <x:c r="P276" s="36" t="n">
        <x:v>121.53374</x:v>
      </x:c>
      <x:c r="Q276" s="36" t="n">
        <x:v>25.01703</x:v>
      </x:c>
      <x:c r="R276" s="36" t="n">
        <x:v>121.53781</x:v>
      </x:c>
      <x:c r="S276" s="12" t="str">
        <x:v>否</x:v>
      </x:c>
      <x:c r="T276" s="12" t="str">
        <x:v>任一端站碼非500119*</x:v>
      </x:c>
      <x:c r="U276" s="12" t="str"/>
      <x:c r="V276" s="12" t="str"/>
    </x:row>
    <x:row r="277">
      <x:c r="A277" s="12" t="str">
        <x:v>2026-09-09</x:v>
      </x:c>
      <x:c r="B277" s="12" t="str">
        <x:v>23:00</x:v>
      </x:c>
      <x:c r="C277" s="12" t="str">
        <x:v>22–23</x:v>
      </x:c>
      <x:c r="D277" s="12" t="str">
        <x:v>500101181</x:v>
      </x:c>
      <x:c r="E277" s="12" t="str">
        <x:v>捷運公館站(3號出口)</x:v>
      </x:c>
      <x:c r="F277" s="12" t="str">
        <x:v>500101276</x:v>
      </x:c>
      <x:c r="G277" s="12" t="str">
        <x:v>羅斯福新生南路口</x:v>
      </x:c>
      <x:c r="H277" s="12" t="str">
        <x:v>虛線</x:v>
      </x:c>
      <x:c r="I277" s="13" t="n">
        <x:v>1</x:v>
      </x:c>
      <x:c r="J277" s="12" t="str">
        <x:v>ZZB-0004</x:v>
      </x:c>
      <x:c r="K277" s="13" t="n">
        <x:v>10</x:v>
      </x:c>
      <x:c r="L277" s="13" t="n">
        <x:v>10</x:v>
      </x:c>
      <x:c r="M277" s="13" t="n">
        <x:v>0</x:v>
      </x:c>
      <x:c r="N277" s="13" t="n">
        <x:v>1</x:v>
      </x:c>
      <x:c r="O277" s="36" t="n">
        <x:v>25.01551</x:v>
      </x:c>
      <x:c r="P277" s="36" t="n">
        <x:v>121.53374</x:v>
      </x:c>
      <x:c r="Q277" s="36" t="n">
        <x:v>25.01604</x:v>
      </x:c>
      <x:c r="R277" s="36" t="n">
        <x:v>121.53316</x:v>
      </x:c>
      <x:c r="S277" s="12" t="str">
        <x:v>否</x:v>
      </x:c>
      <x:c r="T277" s="12" t="str">
        <x:v>任一端站碼非500119*</x:v>
      </x:c>
      <x:c r="U277" s="12" t="str"/>
      <x:c r="V277" s="12" t="str"/>
    </x:row>
    <x:row r="278">
      <x:c r="A278" s="12" t="str">
        <x:v>2026-09-10</x:v>
      </x:c>
      <x:c r="B278" s="12" t="str">
        <x:v>00:00</x:v>
      </x:c>
      <x:c r="C278" s="12" t="str">
        <x:v>00–05</x:v>
      </x:c>
      <x:c r="D278" s="12" t="str">
        <x:v>500101181</x:v>
      </x:c>
      <x:c r="E278" s="12" t="str">
        <x:v>捷運公館站(3號出口)</x:v>
      </x:c>
      <x:c r="F278" s="12" t="str">
        <x:v>500101276</x:v>
      </x:c>
      <x:c r="G278" s="12" t="str">
        <x:v>羅斯福新生南路口</x:v>
      </x:c>
      <x:c r="H278" s="12" t="str">
        <x:v>虛線</x:v>
      </x:c>
      <x:c r="I278" s="13" t="n">
        <x:v>1</x:v>
      </x:c>
      <x:c r="J278" s="12" t="str">
        <x:v>ZZB-0004</x:v>
      </x:c>
      <x:c r="K278" s="13" t="n">
        <x:v>12</x:v>
      </x:c>
      <x:c r="L278" s="13" t="n">
        <x:v>12</x:v>
      </x:c>
      <x:c r="M278" s="13" t="n">
        <x:v>0</x:v>
      </x:c>
      <x:c r="N278" s="13" t="n">
        <x:v>1</x:v>
      </x:c>
      <x:c r="O278" s="36" t="n">
        <x:v>25.01551</x:v>
      </x:c>
      <x:c r="P278" s="36" t="n">
        <x:v>121.53374</x:v>
      </x:c>
      <x:c r="Q278" s="36" t="n">
        <x:v>25.01604</x:v>
      </x:c>
      <x:c r="R278" s="36" t="n">
        <x:v>121.53316</x:v>
      </x:c>
      <x:c r="S278" s="12" t="str">
        <x:v>否</x:v>
      </x:c>
      <x:c r="T278" s="12" t="str">
        <x:v>任一端站碼非500119*</x:v>
      </x:c>
      <x:c r="U278" s="12" t="str"/>
      <x:c r="V278" s="12" t="str"/>
    </x:row>
    <x:row r="279">
      <x:c r="A279" s="12" t="str">
        <x:v>2026-09-10</x:v>
      </x:c>
      <x:c r="B279" s="12" t="str">
        <x:v>08:00</x:v>
      </x:c>
      <x:c r="C279" s="12" t="str">
        <x:v>06–09</x:v>
      </x:c>
      <x:c r="D279" s="12" t="str">
        <x:v>500119052</x:v>
      </x:c>
      <x:c r="E279" s="12" t="str">
        <x:v>臺大工綜館南側</x:v>
      </x:c>
      <x:c r="F279" s="12" t="str">
        <x:v>500119059</x:v>
      </x:c>
      <x:c r="G279" s="12" t="str">
        <x:v>臺大共同教室北側</x:v>
      </x:c>
      <x:c r="H279" s="12" t="str">
        <x:v>實線</x:v>
      </x:c>
      <x:c r="I279" s="13" t="n">
        <x:v>1</x:v>
      </x:c>
      <x:c r="J279" s="12" t="str">
        <x:v>ZZB-0002</x:v>
      </x:c>
      <x:c r="K279" s="13" t="n">
        <x:v>4</x:v>
      </x:c>
      <x:c r="L279" s="13" t="n">
        <x:v>4</x:v>
      </x:c>
      <x:c r="M279" s="13" t="n">
        <x:v>0</x:v>
      </x:c>
      <x:c r="N279" s="13" t="n">
        <x:v>1</x:v>
      </x:c>
      <x:c r="O279" s="36" t="n">
        <x:v>25.01857</x:v>
      </x:c>
      <x:c r="P279" s="36" t="n">
        <x:v>121.54059</x:v>
      </x:c>
      <x:c r="Q279" s="36" t="n">
        <x:v>25.01595</x:v>
      </x:c>
      <x:c r="R279" s="36" t="n">
        <x:v>121.53791</x:v>
      </x:c>
      <x:c r="S279" s="12" t="str">
        <x:v>是</x:v>
      </x:c>
      <x:c r="T279" s="12" t="str"/>
      <x:c r="U279" s="12" t="str"/>
      <x:c r="V279" s="12" t="str"/>
    </x:row>
    <x:row r="280">
      <x:c r="A280" s="12" t="str">
        <x:v>2026-09-10</x:v>
      </x:c>
      <x:c r="B280" s="12" t="str">
        <x:v>08:00</x:v>
      </x:c>
      <x:c r="C280" s="12" t="str">
        <x:v>06–09</x:v>
      </x:c>
      <x:c r="D280" s="12" t="str">
        <x:v>500119086</x:v>
      </x:c>
      <x:c r="E280" s="12" t="str">
        <x:v>臺大圖資系館北側</x:v>
      </x:c>
      <x:c r="F280" s="12" t="str">
        <x:v>500119059</x:v>
      </x:c>
      <x:c r="G280" s="12" t="str">
        <x:v>臺大共同教室北側</x:v>
      </x:c>
      <x:c r="H280" s="12" t="str">
        <x:v>實線</x:v>
      </x:c>
      <x:c r="I280" s="13" t="n">
        <x:v>1</x:v>
      </x:c>
      <x:c r="J280" s="12" t="str">
        <x:v>ZZB-0002</x:v>
      </x:c>
      <x:c r="K280" s="13" t="n">
        <x:v>3</x:v>
      </x:c>
      <x:c r="L280" s="13" t="n">
        <x:v>3</x:v>
      </x:c>
      <x:c r="M280" s="13" t="n">
        <x:v>0</x:v>
      </x:c>
      <x:c r="N280" s="13" t="n">
        <x:v>1</x:v>
      </x:c>
      <x:c r="O280" s="36" t="n">
        <x:v>25.01804</x:v>
      </x:c>
      <x:c r="P280" s="36" t="n">
        <x:v>121.53928</x:v>
      </x:c>
      <x:c r="Q280" s="36" t="n">
        <x:v>25.01595</x:v>
      </x:c>
      <x:c r="R280" s="36" t="n">
        <x:v>121.53791</x:v>
      </x:c>
      <x:c r="S280" s="12" t="str">
        <x:v>是</x:v>
      </x:c>
      <x:c r="T280" s="12" t="str"/>
      <x:c r="U280" s="12" t="str"/>
      <x:c r="V280" s="12" t="str"/>
    </x:row>
  </x:sheetData>
  <x:mergeCells>
    <x:mergeCell ref="A1:V1"/>
  </x:mergeCells>
  <x:conditionalFormatting sqref="H3:H280">
    <x:cfRule type="containsText" dxfId="6" priority="1" operator="containsText" text="虛線"/>
  </x:conditionalFormatting>
  <x:pageMargins left="0.7" right="0.7" top="0.75" bottom="0.75" header="0.3" footer="0.3"/>
  <x:tableParts count="1">
    <x:tablePart xmlns:r="http://schemas.openxmlformats.org/officeDocument/2006/relationships" r:id="R9f4e1df11751492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  <x:col min="10" max="10" width="31" hidden="0" customWidth="1"/>
    <x:col min="11" max="11" width="16" hidden="0" customWidth="1"/>
    <x:col min="12" max="12" width="31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3" t="str">
        <x:v>ZZB 時間序重建調出→調入配對</x:v>
      </x:c>
      <x:c r="B1" s="3" t="str">
        <x:v>ZZB 時間序重建調出→調入配對</x:v>
      </x:c>
      <x:c r="C1" s="3" t="str">
        <x:v>ZZB 時間序重建調出→調入配對</x:v>
      </x:c>
      <x:c r="D1" s="3" t="str">
        <x:v>ZZB 時間序重建調出→調入配對</x:v>
      </x:c>
      <x:c r="E1" s="3" t="str">
        <x:v>ZZB 時間序重建調出→調入配對</x:v>
      </x:c>
      <x:c r="F1" s="3" t="str">
        <x:v>ZZB 時間序重建調出→調入配對</x:v>
      </x:c>
      <x:c r="G1" s="3" t="str">
        <x:v>ZZB 時間序重建調出→調入配對</x:v>
      </x:c>
      <x:c r="H1" s="3" t="str">
        <x:v>ZZB 時間序重建調出→調入配對</x:v>
      </x:c>
      <x:c r="I1" s="3" t="str">
        <x:v>ZZB 時間序重建調出→調入配對</x:v>
      </x:c>
      <x:c r="J1" s="3" t="str">
        <x:v>ZZB 時間序重建調出→調入配對</x:v>
      </x:c>
      <x:c r="K1" s="3" t="str">
        <x:v>ZZB 時間序重建調出→調入配對</x:v>
      </x:c>
      <x:c r="L1" s="3" t="str">
        <x:v>ZZB 時間序重建調出→調入配對</x:v>
      </x:c>
      <x:c r="M1" s="3" t="str">
        <x:v>ZZB 時間序重建調出→調入配對</x:v>
      </x:c>
      <x:c r="N1" s="3" t="str">
        <x:v>ZZB 時間序重建調出→調入配對</x:v>
      </x:c>
      <x:c r="O1" s="3" t="str">
        <x:v>ZZB 時間序重建調出→調入配對</x:v>
      </x:c>
      <x:c r="P1" s="3" t="str">
        <x:v>ZZB 時間序重建調出→調入配對</x:v>
      </x:c>
    </x:row>
    <x:row r="2" ht="34" customHeight="1">
      <x:c r="A2" s="9" t="str">
        <x:v>日期</x:v>
      </x:c>
      <x:c r="B2" s="9" t="str">
        <x:v>車號</x:v>
      </x:c>
      <x:c r="C2" s="9" t="str">
        <x:v>車種</x:v>
      </x:c>
      <x:c r="D2" s="9" t="str">
        <x:v>配對數量</x:v>
      </x:c>
      <x:c r="E2" s="9" t="str">
        <x:v>調出時間</x:v>
      </x:c>
      <x:c r="F2" s="9" t="str">
        <x:v>調入時間</x:v>
      </x:c>
      <x:c r="G2" s="9" t="str">
        <x:v>調出小時</x:v>
      </x:c>
      <x:c r="H2" s="9" t="str">
        <x:v>時段</x:v>
      </x:c>
      <x:c r="I2" s="9" t="str">
        <x:v>調出站代碼</x:v>
      </x:c>
      <x:c r="J2" s="9" t="str">
        <x:v>調出站名稱</x:v>
      </x:c>
      <x:c r="K2" s="9" t="str">
        <x:v>調入站代碼</x:v>
      </x:c>
      <x:c r="L2" s="9" t="str">
        <x:v>調入站名稱</x:v>
      </x:c>
      <x:c r="M2" s="9" t="str">
        <x:v>線型</x:v>
      </x:c>
      <x:c r="N2" s="9" t="str">
        <x:v>調出行政區</x:v>
      </x:c>
      <x:c r="O2" s="9" t="str">
        <x:v>調入行政區</x:v>
      </x:c>
      <x:c r="P2" s="9" t="str">
        <x:v>備註</x:v>
      </x:c>
    </x:row>
    <x:row r="3">
      <x:c r="A3" s="12" t="str">
        <x:v>2026-09-01</x:v>
      </x:c>
      <x:c r="B3" s="12" t="str">
        <x:v>ZZB-0002</x:v>
      </x:c>
      <x:c r="C3" s="12" t="str">
        <x:v>2.0</x:v>
      </x:c>
      <x:c r="D3" s="13" t="n">
        <x:v>5</x:v>
      </x:c>
      <x:c r="E3" s="12" t="str">
        <x:v>2026-09-01 13:29:01</x:v>
      </x:c>
      <x:c r="F3" s="12" t="str">
        <x:v>2026-09-01 13:36:36</x:v>
      </x:c>
      <x:c r="G3" s="12" t="str">
        <x:v>13:00</x:v>
      </x:c>
      <x:c r="H3" s="12" t="str">
        <x:v>10–13</x:v>
      </x:c>
      <x:c r="I3" s="12" t="str">
        <x:v>500119085</x:v>
      </x:c>
      <x:c r="J3" s="12" t="str">
        <x:v>臺大電機二館東南側</x:v>
      </x:c>
      <x:c r="K3" s="12" t="str">
        <x:v>500119064</x:v>
      </x:c>
      <x:c r="L3" s="12" t="str">
        <x:v>臺大明達館機車停車場</x:v>
      </x:c>
      <x:c r="M3" s="12" t="str">
        <x:v>實線</x:v>
      </x:c>
      <x:c r="N3" s="12" t="str">
        <x:v>臺大公館校區</x:v>
      </x:c>
      <x:c r="O3" s="12" t="str">
        <x:v>臺大公館校區</x:v>
      </x:c>
      <x:c r="P3" s="12" t="str">
        <x:v>兩端均500119*</x:v>
      </x:c>
    </x:row>
    <x:row r="4">
      <x:c r="A4" s="12" t="str">
        <x:v>2026-09-01</x:v>
      </x:c>
      <x:c r="B4" s="12" t="str">
        <x:v>ZZB-0002</x:v>
      </x:c>
      <x:c r="C4" s="12" t="str">
        <x:v>2.0</x:v>
      </x:c>
      <x:c r="D4" s="13" t="n">
        <x:v>7</x:v>
      </x:c>
      <x:c r="E4" s="12" t="str">
        <x:v>2026-09-01 13:59:49</x:v>
      </x:c>
      <x:c r="F4" s="12" t="str">
        <x:v>2026-09-01 14:07:48</x:v>
      </x:c>
      <x:c r="G4" s="12" t="str">
        <x:v>13:00</x:v>
      </x:c>
      <x:c r="H4" s="12" t="str">
        <x:v>10–13</x:v>
      </x:c>
      <x:c r="I4" s="12" t="str">
        <x:v>500119085</x:v>
      </x:c>
      <x:c r="J4" s="12" t="str">
        <x:v>臺大電機二館東南側</x:v>
      </x:c>
      <x:c r="K4" s="12" t="str">
        <x:v>500119091</x:v>
      </x:c>
      <x:c r="L4" s="12" t="str">
        <x:v>臺大明達館北側(員工宿舍)</x:v>
      </x:c>
      <x:c r="M4" s="12" t="str">
        <x:v>實線</x:v>
      </x:c>
      <x:c r="N4" s="12" t="str">
        <x:v>臺大公館校區</x:v>
      </x:c>
      <x:c r="O4" s="12" t="str">
        <x:v>臺大公館校區</x:v>
      </x:c>
      <x:c r="P4" s="12" t="str">
        <x:v>兩端均500119*</x:v>
      </x:c>
    </x:row>
    <x:row r="5">
      <x:c r="A5" s="12" t="str">
        <x:v>2026-09-01</x:v>
      </x:c>
      <x:c r="B5" s="12" t="str">
        <x:v>ZZB-0002</x:v>
      </x:c>
      <x:c r="C5" s="12" t="str">
        <x:v>2.0E</x:v>
      </x:c>
      <x:c r="D5" s="13" t="n">
        <x:v>2</x:v>
      </x:c>
      <x:c r="E5" s="12" t="str">
        <x:v>2026-09-01 13:29:01</x:v>
      </x:c>
      <x:c r="F5" s="12" t="str">
        <x:v>2026-09-01 13:36:36</x:v>
      </x:c>
      <x:c r="G5" s="12" t="str">
        <x:v>13:00</x:v>
      </x:c>
      <x:c r="H5" s="12" t="str">
        <x:v>10–13</x:v>
      </x:c>
      <x:c r="I5" s="12" t="str">
        <x:v>500119085</x:v>
      </x:c>
      <x:c r="J5" s="12" t="str">
        <x:v>臺大電機二館東南側</x:v>
      </x:c>
      <x:c r="K5" s="12" t="str">
        <x:v>500119064</x:v>
      </x:c>
      <x:c r="L5" s="12" t="str">
        <x:v>臺大明達館機車停車場</x:v>
      </x:c>
      <x:c r="M5" s="12" t="str">
        <x:v>實線</x:v>
      </x:c>
      <x:c r="N5" s="12" t="str">
        <x:v>臺大公館校區</x:v>
      </x:c>
      <x:c r="O5" s="12" t="str">
        <x:v>臺大公館校區</x:v>
      </x:c>
      <x:c r="P5" s="12" t="str">
        <x:v>兩端均500119*</x:v>
      </x:c>
    </x:row>
    <x:row r="6">
      <x:c r="A6" s="12" t="str">
        <x:v>2026-09-01</x:v>
      </x:c>
      <x:c r="B6" s="12" t="str">
        <x:v>ZZB-0003</x:v>
      </x:c>
      <x:c r="C6" s="12" t="str">
        <x:v>2.0</x:v>
      </x:c>
      <x:c r="D6" s="13" t="n">
        <x:v>10</x:v>
      </x:c>
      <x:c r="E6" s="12" t="str">
        <x:v>2026-09-01 00:07:36</x:v>
      </x:c>
      <x:c r="F6" s="12" t="str">
        <x:v>2026-09-01 00:07:48</x:v>
      </x:c>
      <x:c r="G6" s="12" t="str">
        <x:v>00:00</x:v>
      </x:c>
      <x:c r="H6" s="12" t="str">
        <x:v>00–05</x:v>
      </x:c>
      <x:c r="I6" s="12" t="str">
        <x:v>500101181</x:v>
      </x:c>
      <x:c r="J6" s="12" t="str">
        <x:v>捷運公館站(3號出口)</x:v>
      </x:c>
      <x:c r="K6" s="12" t="str">
        <x:v>500101276</x:v>
      </x:c>
      <x:c r="L6" s="12" t="str">
        <x:v>羅斯福新生南路口</x:v>
      </x:c>
      <x:c r="M6" s="12" t="str">
        <x:v>虛線</x:v>
      </x:c>
      <x:c r="N6" s="12" t="str">
        <x:v>大安區</x:v>
      </x:c>
      <x:c r="O6" s="12" t="str">
        <x:v>大安區</x:v>
      </x:c>
      <x:c r="P6" s="12" t="str">
        <x:v>任一端非500119*</x:v>
      </x:c>
    </x:row>
    <x:row r="7">
      <x:c r="A7" s="12" t="str">
        <x:v>2026-09-01</x:v>
      </x:c>
      <x:c r="B7" s="12" t="str">
        <x:v>ZZB-0003</x:v>
      </x:c>
      <x:c r="C7" s="12" t="str">
        <x:v>2.0</x:v>
      </x:c>
      <x:c r="D7" s="13" t="n">
        <x:v>7</x:v>
      </x:c>
      <x:c r="E7" s="12" t="str">
        <x:v>2026-09-01 08:26:34</x:v>
      </x:c>
      <x:c r="F7" s="12" t="str">
        <x:v>2026-09-01 08:26:48</x:v>
      </x:c>
      <x:c r="G7" s="12" t="str">
        <x:v>08:00</x:v>
      </x:c>
      <x:c r="H7" s="12" t="str">
        <x:v>06–09</x:v>
      </x:c>
      <x:c r="I7" s="12" t="str">
        <x:v>500119086</x:v>
      </x:c>
      <x:c r="J7" s="12" t="str">
        <x:v>臺大圖資系館北側</x:v>
      </x:c>
      <x:c r="K7" s="12" t="str">
        <x:v>500119059</x:v>
      </x:c>
      <x:c r="L7" s="12" t="str">
        <x:v>臺大共同教室北側</x:v>
      </x:c>
      <x:c r="M7" s="12" t="str">
        <x:v>實線</x:v>
      </x:c>
      <x:c r="N7" s="12" t="str">
        <x:v>臺大公館校區</x:v>
      </x:c>
      <x:c r="O7" s="12" t="str">
        <x:v>臺大公館校區</x:v>
      </x:c>
      <x:c r="P7" s="12" t="str">
        <x:v>兩端均500119*</x:v>
      </x:c>
    </x:row>
    <x:row r="8">
      <x:c r="A8" s="12" t="str">
        <x:v>2026-09-01</x:v>
      </x:c>
      <x:c r="B8" s="12" t="str">
        <x:v>ZZB-0003</x:v>
      </x:c>
      <x:c r="C8" s="12" t="str">
        <x:v>2.0</x:v>
      </x:c>
      <x:c r="D8" s="13" t="n">
        <x:v>6</x:v>
      </x:c>
      <x:c r="E8" s="12" t="str">
        <x:v>2026-09-01 08:42:33</x:v>
      </x:c>
      <x:c r="F8" s="12" t="str">
        <x:v>2026-09-01 08:42:56</x:v>
      </x:c>
      <x:c r="G8" s="12" t="str">
        <x:v>08:00</x:v>
      </x:c>
      <x:c r="H8" s="12" t="str">
        <x:v>06–09</x:v>
      </x:c>
      <x:c r="I8" s="12" t="str">
        <x:v>500119078</x:v>
      </x:c>
      <x:c r="J8" s="12" t="str">
        <x:v>臺大森林館北側</x:v>
      </x:c>
      <x:c r="K8" s="12" t="str">
        <x:v>500119060</x:v>
      </x:c>
      <x:c r="L8" s="12" t="str">
        <x:v>臺大共同教室東南側</x:v>
      </x:c>
      <x:c r="M8" s="12" t="str">
        <x:v>實線</x:v>
      </x:c>
      <x:c r="N8" s="12" t="str">
        <x:v>臺大公館校區</x:v>
      </x:c>
      <x:c r="O8" s="12" t="str">
        <x:v>臺大公館校區</x:v>
      </x:c>
      <x:c r="P8" s="12" t="str">
        <x:v>兩端均500119*</x:v>
      </x:c>
    </x:row>
    <x:row r="9">
      <x:c r="A9" s="12" t="str">
        <x:v>2026-09-01</x:v>
      </x:c>
      <x:c r="B9" s="12" t="str">
        <x:v>ZZB-0003</x:v>
      </x:c>
      <x:c r="C9" s="12" t="str">
        <x:v>2.0</x:v>
      </x:c>
      <x:c r="D9" s="13" t="n">
        <x:v>7</x:v>
      </x:c>
      <x:c r="E9" s="12" t="str">
        <x:v>2026-09-01 09:03:11</x:v>
      </x:c>
      <x:c r="F9" s="12" t="str">
        <x:v>2026-09-01 09:03:26</x:v>
      </x:c>
      <x:c r="G9" s="12" t="str">
        <x:v>09:00</x:v>
      </x:c>
      <x:c r="H9" s="12" t="str">
        <x:v>06–09</x:v>
      </x:c>
      <x:c r="I9" s="12" t="str">
        <x:v>500119078</x:v>
      </x:c>
      <x:c r="J9" s="12" t="str">
        <x:v>臺大森林館北側</x:v>
      </x:c>
      <x:c r="K9" s="12" t="str">
        <x:v>500119074</x:v>
      </x:c>
      <x:c r="L9" s="12" t="str">
        <x:v>臺大生命科學館西北側</x:v>
      </x:c>
      <x:c r="M9" s="12" t="str">
        <x:v>實線</x:v>
      </x:c>
      <x:c r="N9" s="12" t="str">
        <x:v>臺大公館校區</x:v>
      </x:c>
      <x:c r="O9" s="12" t="str">
        <x:v>臺大公館校區</x:v>
      </x:c>
      <x:c r="P9" s="12" t="str">
        <x:v>兩端均500119*</x:v>
      </x:c>
    </x:row>
    <x:row r="10">
      <x:c r="A10" s="12" t="str">
        <x:v>2026-09-01</x:v>
      </x:c>
      <x:c r="B10" s="12" t="str">
        <x:v>ZZB-0003</x:v>
      </x:c>
      <x:c r="C10" s="12" t="str">
        <x:v>2.0</x:v>
      </x:c>
      <x:c r="D10" s="13" t="n">
        <x:v>7</x:v>
      </x:c>
      <x:c r="E10" s="12" t="str">
        <x:v>2026-09-01 09:20:52</x:v>
      </x:c>
      <x:c r="F10" s="12" t="str">
        <x:v>2026-09-01 09:21:05</x:v>
      </x:c>
      <x:c r="G10" s="12" t="str">
        <x:v>09:00</x:v>
      </x:c>
      <x:c r="H10" s="12" t="str">
        <x:v>06–09</x:v>
      </x:c>
      <x:c r="I10" s="12" t="str">
        <x:v>500119047</x:v>
      </x:c>
      <x:c r="J10" s="12" t="str">
        <x:v>臺大土木系館</x:v>
      </x:c>
      <x:c r="K10" s="12" t="str">
        <x:v>500119059</x:v>
      </x:c>
      <x:c r="L10" s="12" t="str">
        <x:v>臺大共同教室北側</x:v>
      </x:c>
      <x:c r="M10" s="12" t="str">
        <x:v>實線</x:v>
      </x:c>
      <x:c r="N10" s="12" t="str">
        <x:v>臺大公館校區</x:v>
      </x:c>
      <x:c r="O10" s="12" t="str">
        <x:v>臺大公館校區</x:v>
      </x:c>
      <x:c r="P10" s="12" t="str">
        <x:v>兩端均500119*</x:v>
      </x:c>
    </x:row>
    <x:row r="11">
      <x:c r="A11" s="12" t="str">
        <x:v>2026-09-01</x:v>
      </x:c>
      <x:c r="B11" s="12" t="str">
        <x:v>ZZB-0003</x:v>
      </x:c>
      <x:c r="C11" s="12" t="str">
        <x:v>2.0</x:v>
      </x:c>
      <x:c r="D11" s="13" t="n">
        <x:v>7</x:v>
      </x:c>
      <x:c r="E11" s="12" t="str">
        <x:v>2026-09-01 09:40:57</x:v>
      </x:c>
      <x:c r="F11" s="12" t="str">
        <x:v>2026-09-01 09:41:28</x:v>
      </x:c>
      <x:c r="G11" s="12" t="str">
        <x:v>09:00</x:v>
      </x:c>
      <x:c r="H11" s="12" t="str">
        <x:v>06–09</x:v>
      </x:c>
      <x:c r="I11" s="12" t="str">
        <x:v>500119069</x:v>
      </x:c>
      <x:c r="J11" s="12" t="str">
        <x:v>臺大思亮館東南側</x:v>
      </x:c>
      <x:c r="K11" s="12" t="str">
        <x:v>500119060</x:v>
      </x:c>
      <x:c r="L11" s="12" t="str">
        <x:v>臺大共同教室東南側</x:v>
      </x:c>
      <x:c r="M11" s="12" t="str">
        <x:v>實線</x:v>
      </x:c>
      <x:c r="N11" s="12" t="str">
        <x:v>臺大公館校區</x:v>
      </x:c>
      <x:c r="O11" s="12" t="str">
        <x:v>臺大公館校區</x:v>
      </x:c>
      <x:c r="P11" s="12" t="str">
        <x:v>兩端均500119*</x:v>
      </x:c>
    </x:row>
    <x:row r="12">
      <x:c r="A12" s="12" t="str">
        <x:v>2026-09-01</x:v>
      </x:c>
      <x:c r="B12" s="12" t="str">
        <x:v>ZZB-0003</x:v>
      </x:c>
      <x:c r="C12" s="12" t="str">
        <x:v>2.0</x:v>
      </x:c>
      <x:c r="D12" s="13" t="n">
        <x:v>7</x:v>
      </x:c>
      <x:c r="E12" s="12" t="str">
        <x:v>2026-09-01 10:09:04</x:v>
      </x:c>
      <x:c r="F12" s="12" t="str">
        <x:v>2026-09-01 10:09:19</x:v>
      </x:c>
      <x:c r="G12" s="12" t="str">
        <x:v>10:00</x:v>
      </x:c>
      <x:c r="H12" s="12" t="str">
        <x:v>10–13</x:v>
      </x:c>
      <x:c r="I12" s="12" t="str">
        <x:v>500119075</x:v>
      </x:c>
      <x:c r="J12" s="12" t="str">
        <x:v>臺大第一活動中心西南側</x:v>
      </x:c>
      <x:c r="K12" s="12" t="str">
        <x:v>500119061</x:v>
      </x:c>
      <x:c r="L12" s="12" t="str">
        <x:v>臺大鹿鳴堂東側</x:v>
      </x:c>
      <x:c r="M12" s="12" t="str">
        <x:v>實線</x:v>
      </x:c>
      <x:c r="N12" s="12" t="str">
        <x:v>臺大公館校區</x:v>
      </x:c>
      <x:c r="O12" s="12" t="str">
        <x:v>臺大公館校區</x:v>
      </x:c>
      <x:c r="P12" s="12" t="str">
        <x:v>兩端均500119*</x:v>
      </x:c>
    </x:row>
    <x:row r="13">
      <x:c r="A13" s="12" t="str">
        <x:v>2026-09-01</x:v>
      </x:c>
      <x:c r="B13" s="12" t="str">
        <x:v>ZZB-0003</x:v>
      </x:c>
      <x:c r="C13" s="12" t="str">
        <x:v>2.0</x:v>
      </x:c>
      <x:c r="D13" s="13" t="n">
        <x:v>7</x:v>
      </x:c>
      <x:c r="E13" s="12" t="str">
        <x:v>2026-09-01 10:27:34</x:v>
      </x:c>
      <x:c r="F13" s="12" t="str">
        <x:v>2026-09-01 10:27:47</x:v>
      </x:c>
      <x:c r="G13" s="12" t="str">
        <x:v>10:00</x:v>
      </x:c>
      <x:c r="H13" s="12" t="str">
        <x:v>10–13</x:v>
      </x:c>
      <x:c r="I13" s="12" t="str">
        <x:v>500119078</x:v>
      </x:c>
      <x:c r="J13" s="12" t="str">
        <x:v>臺大森林館北側</x:v>
      </x:c>
      <x:c r="K13" s="12" t="str">
        <x:v>500119074</x:v>
      </x:c>
      <x:c r="L13" s="12" t="str">
        <x:v>臺大生命科學館西北側</x:v>
      </x:c>
      <x:c r="M13" s="12" t="str">
        <x:v>實線</x:v>
      </x:c>
      <x:c r="N13" s="12" t="str">
        <x:v>臺大公館校區</x:v>
      </x:c>
      <x:c r="O13" s="12" t="str">
        <x:v>臺大公館校區</x:v>
      </x:c>
      <x:c r="P13" s="12" t="str">
        <x:v>兩端均500119*</x:v>
      </x:c>
    </x:row>
    <x:row r="14">
      <x:c r="A14" s="12" t="str">
        <x:v>2026-09-01</x:v>
      </x:c>
      <x:c r="B14" s="12" t="str">
        <x:v>ZZB-0003</x:v>
      </x:c>
      <x:c r="C14" s="12" t="str">
        <x:v>2.0</x:v>
      </x:c>
      <x:c r="D14" s="13" t="n">
        <x:v>7</x:v>
      </x:c>
      <x:c r="E14" s="12" t="str">
        <x:v>2026-09-01 10:46:29</x:v>
      </x:c>
      <x:c r="F14" s="12" t="str">
        <x:v>2026-09-01 10:46:43</x:v>
      </x:c>
      <x:c r="G14" s="12" t="str">
        <x:v>10:00</x:v>
      </x:c>
      <x:c r="H14" s="12" t="str">
        <x:v>10–13</x:v>
      </x:c>
      <x:c r="I14" s="12" t="str">
        <x:v>500119086</x:v>
      </x:c>
      <x:c r="J14" s="12" t="str">
        <x:v>臺大圖資系館北側</x:v>
      </x:c>
      <x:c r="K14" s="12" t="str">
        <x:v>500119094</x:v>
      </x:c>
      <x:c r="L14" s="12" t="str">
        <x:v>臺大大一女餐廳廣場</x:v>
      </x:c>
      <x:c r="M14" s="12" t="str">
        <x:v>實線</x:v>
      </x:c>
      <x:c r="N14" s="12" t="str">
        <x:v>臺大公館校區</x:v>
      </x:c>
      <x:c r="O14" s="12" t="str">
        <x:v>臺大公館校區</x:v>
      </x:c>
      <x:c r="P14" s="12" t="str">
        <x:v>兩端均500119*</x:v>
      </x:c>
    </x:row>
    <x:row r="15">
      <x:c r="A15" s="12" t="str">
        <x:v>2026-09-01</x:v>
      </x:c>
      <x:c r="B15" s="12" t="str">
        <x:v>ZZB-0003</x:v>
      </x:c>
      <x:c r="C15" s="12" t="str">
        <x:v>2.0</x:v>
      </x:c>
      <x:c r="D15" s="13" t="n">
        <x:v>6</x:v>
      </x:c>
      <x:c r="E15" s="12" t="str">
        <x:v>2026-09-01 11:24:00</x:v>
      </x:c>
      <x:c r="F15" s="12" t="str">
        <x:v>2026-09-01 11:24:14</x:v>
      </x:c>
      <x:c r="G15" s="12" t="str">
        <x:v>11:00</x:v>
      </x:c>
      <x:c r="H15" s="12" t="str">
        <x:v>10–13</x:v>
      </x:c>
      <x:c r="I15" s="12" t="str">
        <x:v>500119087</x:v>
      </x:c>
      <x:c r="J15" s="12" t="str">
        <x:v>臺大總圖書館西南側</x:v>
      </x:c>
      <x:c r="K15" s="12" t="str">
        <x:v>500119091</x:v>
      </x:c>
      <x:c r="L15" s="12" t="str">
        <x:v>臺大明達館北側(員工宿舍)</x:v>
      </x:c>
      <x:c r="M15" s="12" t="str">
        <x:v>實線</x:v>
      </x:c>
      <x:c r="N15" s="12" t="str">
        <x:v>臺大公館校區</x:v>
      </x:c>
      <x:c r="O15" s="12" t="str">
        <x:v>臺大公館校區</x:v>
      </x:c>
      <x:c r="P15" s="12" t="str">
        <x:v>兩端均500119*</x:v>
      </x:c>
    </x:row>
    <x:row r="16">
      <x:c r="A16" s="12" t="str">
        <x:v>2026-09-01</x:v>
      </x:c>
      <x:c r="B16" s="12" t="str">
        <x:v>ZZB-0003</x:v>
      </x:c>
      <x:c r="C16" s="12" t="str">
        <x:v>2.0</x:v>
      </x:c>
      <x:c r="D16" s="13" t="n">
        <x:v>7</x:v>
      </x:c>
      <x:c r="E16" s="12" t="str">
        <x:v>2026-09-01 12:21:15</x:v>
      </x:c>
      <x:c r="F16" s="12" t="str">
        <x:v>2026-09-01 12:21:28</x:v>
      </x:c>
      <x:c r="G16" s="12" t="str">
        <x:v>12:00</x:v>
      </x:c>
      <x:c r="H16" s="12" t="str">
        <x:v>10–13</x:v>
      </x:c>
      <x:c r="I16" s="12" t="str">
        <x:v>500119085</x:v>
      </x:c>
      <x:c r="J16" s="12" t="str">
        <x:v>臺大電機二館東南側</x:v>
      </x:c>
      <x:c r="K16" s="12" t="str">
        <x:v>500119087</x:v>
      </x:c>
      <x:c r="L16" s="12" t="str">
        <x:v>臺大總圖書館西南側</x:v>
      </x:c>
      <x:c r="M16" s="12" t="str">
        <x:v>實線</x:v>
      </x:c>
      <x:c r="N16" s="12" t="str">
        <x:v>臺大公館校區</x:v>
      </x:c>
      <x:c r="O16" s="12" t="str">
        <x:v>臺大公館校區</x:v>
      </x:c>
      <x:c r="P16" s="12" t="str">
        <x:v>兩端均500119*</x:v>
      </x:c>
    </x:row>
    <x:row r="17">
      <x:c r="A17" s="12" t="str">
        <x:v>2026-09-01</x:v>
      </x:c>
      <x:c r="B17" s="12" t="str">
        <x:v>ZZB-0003</x:v>
      </x:c>
      <x:c r="C17" s="12" t="str">
        <x:v>2.0</x:v>
      </x:c>
      <x:c r="D17" s="13" t="n">
        <x:v>7</x:v>
      </x:c>
      <x:c r="E17" s="12" t="str">
        <x:v>2026-09-01 12:45:21</x:v>
      </x:c>
      <x:c r="F17" s="12" t="str">
        <x:v>2026-09-01 12:45:34</x:v>
      </x:c>
      <x:c r="G17" s="12" t="str">
        <x:v>12:00</x:v>
      </x:c>
      <x:c r="H17" s="12" t="str">
        <x:v>10–13</x:v>
      </x:c>
      <x:c r="I17" s="12" t="str">
        <x:v>500119086</x:v>
      </x:c>
      <x:c r="J17" s="12" t="str">
        <x:v>臺大圖資系館北側</x:v>
      </x:c>
      <x:c r="K17" s="12" t="str">
        <x:v>500119059</x:v>
      </x:c>
      <x:c r="L17" s="12" t="str">
        <x:v>臺大共同教室北側</x:v>
      </x:c>
      <x:c r="M17" s="12" t="str">
        <x:v>實線</x:v>
      </x:c>
      <x:c r="N17" s="12" t="str">
        <x:v>臺大公館校區</x:v>
      </x:c>
      <x:c r="O17" s="12" t="str">
        <x:v>臺大公館校區</x:v>
      </x:c>
      <x:c r="P17" s="12" t="str">
        <x:v>兩端均500119*</x:v>
      </x:c>
    </x:row>
    <x:row r="18">
      <x:c r="A18" s="12" t="str">
        <x:v>2026-09-01</x:v>
      </x:c>
      <x:c r="B18" s="12" t="str">
        <x:v>ZZB-0003</x:v>
      </x:c>
      <x:c r="C18" s="12" t="str">
        <x:v>2.0</x:v>
      </x:c>
      <x:c r="D18" s="13" t="n">
        <x:v>7</x:v>
      </x:c>
      <x:c r="E18" s="12" t="str">
        <x:v>2026-09-01 13:03:56</x:v>
      </x:c>
      <x:c r="F18" s="12" t="str">
        <x:v>2026-09-01 13:04:09</x:v>
      </x:c>
      <x:c r="G18" s="12" t="str">
        <x:v>13:00</x:v>
      </x:c>
      <x:c r="H18" s="12" t="str">
        <x:v>10–13</x:v>
      </x:c>
      <x:c r="I18" s="12" t="str">
        <x:v>500119083</x:v>
      </x:c>
      <x:c r="J18" s="12" t="str">
        <x:v>臺大新生教室南側</x:v>
      </x:c>
      <x:c r="K18" s="12" t="str">
        <x:v>500119061</x:v>
      </x:c>
      <x:c r="L18" s="12" t="str">
        <x:v>臺大鹿鳴堂東側</x:v>
      </x:c>
      <x:c r="M18" s="12" t="str">
        <x:v>實線</x:v>
      </x:c>
      <x:c r="N18" s="12" t="str">
        <x:v>臺大公館校區</x:v>
      </x:c>
      <x:c r="O18" s="12" t="str">
        <x:v>臺大公館校區</x:v>
      </x:c>
      <x:c r="P18" s="12" t="str">
        <x:v>兩端均500119*</x:v>
      </x:c>
    </x:row>
    <x:row r="19">
      <x:c r="A19" s="12" t="str">
        <x:v>2026-09-01</x:v>
      </x:c>
      <x:c r="B19" s="12" t="str">
        <x:v>ZZB-0003</x:v>
      </x:c>
      <x:c r="C19" s="12" t="str">
        <x:v>2.0</x:v>
      </x:c>
      <x:c r="D19" s="13" t="n">
        <x:v>7</x:v>
      </x:c>
      <x:c r="E19" s="12" t="str">
        <x:v>2026-09-01 13:29:35</x:v>
      </x:c>
      <x:c r="F19" s="12" t="str">
        <x:v>2026-09-01 13:30:09</x:v>
      </x:c>
      <x:c r="G19" s="12" t="str">
        <x:v>13:00</x:v>
      </x:c>
      <x:c r="H19" s="12" t="str">
        <x:v>10–13</x:v>
      </x:c>
      <x:c r="I19" s="12" t="str">
        <x:v>500119087</x:v>
      </x:c>
      <x:c r="J19" s="12" t="str">
        <x:v>臺大總圖書館西南側</x:v>
      </x:c>
      <x:c r="K19" s="12" t="str">
        <x:v>500119060</x:v>
      </x:c>
      <x:c r="L19" s="12" t="str">
        <x:v>臺大共同教室東南側</x:v>
      </x:c>
      <x:c r="M19" s="12" t="str">
        <x:v>實線</x:v>
      </x:c>
      <x:c r="N19" s="12" t="str">
        <x:v>臺大公館校區</x:v>
      </x:c>
      <x:c r="O19" s="12" t="str">
        <x:v>臺大公館校區</x:v>
      </x:c>
      <x:c r="P19" s="12" t="str">
        <x:v>兩端均500119*</x:v>
      </x:c>
    </x:row>
    <x:row r="20">
      <x:c r="A20" s="12" t="str">
        <x:v>2026-09-01</x:v>
      </x:c>
      <x:c r="B20" s="12" t="str">
        <x:v>ZZB-0003</x:v>
      </x:c>
      <x:c r="C20" s="12" t="str">
        <x:v>2.0</x:v>
      </x:c>
      <x:c r="D20" s="13" t="n">
        <x:v>5</x:v>
      </x:c>
      <x:c r="E20" s="12" t="str">
        <x:v>2026-09-01 13:49:30</x:v>
      </x:c>
      <x:c r="F20" s="12" t="str">
        <x:v>2026-09-01 13:49:48</x:v>
      </x:c>
      <x:c r="G20" s="12" t="str">
        <x:v>13:00</x:v>
      </x:c>
      <x:c r="H20" s="12" t="str">
        <x:v>10–13</x:v>
      </x:c>
      <x:c r="I20" s="12" t="str">
        <x:v>500119086</x:v>
      </x:c>
      <x:c r="J20" s="12" t="str">
        <x:v>臺大圖資系館北側</x:v>
      </x:c>
      <x:c r="K20" s="12" t="str">
        <x:v>500119064</x:v>
      </x:c>
      <x:c r="L20" s="12" t="str">
        <x:v>臺大明達館機車停車場</x:v>
      </x:c>
      <x:c r="M20" s="12" t="str">
        <x:v>實線</x:v>
      </x:c>
      <x:c r="N20" s="12" t="str">
        <x:v>臺大公館校區</x:v>
      </x:c>
      <x:c r="O20" s="12" t="str">
        <x:v>臺大公館校區</x:v>
      </x:c>
      <x:c r="P20" s="12" t="str">
        <x:v>兩端均500119*</x:v>
      </x:c>
    </x:row>
    <x:row r="21">
      <x:c r="A21" s="12" t="str">
        <x:v>2026-09-01</x:v>
      </x:c>
      <x:c r="B21" s="12" t="str">
        <x:v>ZZB-0003</x:v>
      </x:c>
      <x:c r="C21" s="12" t="str">
        <x:v>2.0</x:v>
      </x:c>
      <x:c r="D21" s="13" t="n">
        <x:v>4</x:v>
      </x:c>
      <x:c r="E21" s="12" t="str">
        <x:v>2026-09-01 14:21:05</x:v>
      </x:c>
      <x:c r="F21" s="12" t="str">
        <x:v>2026-09-01 14:21:19</x:v>
      </x:c>
      <x:c r="G21" s="12" t="str">
        <x:v>14:00</x:v>
      </x:c>
      <x:c r="H21" s="12" t="str">
        <x:v>14–17</x:v>
      </x:c>
      <x:c r="I21" s="12" t="str">
        <x:v>500119074</x:v>
      </x:c>
      <x:c r="J21" s="12" t="str">
        <x:v>臺大生命科學館西北側</x:v>
      </x:c>
      <x:c r="K21" s="12" t="str">
        <x:v>500119091</x:v>
      </x:c>
      <x:c r="L21" s="12" t="str">
        <x:v>臺大明達館北側(員工宿舍)</x:v>
      </x:c>
      <x:c r="M21" s="12" t="str">
        <x:v>實線</x:v>
      </x:c>
      <x:c r="N21" s="12" t="str">
        <x:v>臺大公館校區</x:v>
      </x:c>
      <x:c r="O21" s="12" t="str">
        <x:v>臺大公館校區</x:v>
      </x:c>
      <x:c r="P21" s="12" t="str">
        <x:v>兩端均500119*</x:v>
      </x:c>
    </x:row>
    <x:row r="22">
      <x:c r="A22" s="12" t="str">
        <x:v>2026-09-01</x:v>
      </x:c>
      <x:c r="B22" s="12" t="str">
        <x:v>ZZB-0003</x:v>
      </x:c>
      <x:c r="C22" s="12" t="str">
        <x:v>2.0E</x:v>
      </x:c>
      <x:c r="D22" s="13" t="n">
        <x:v>1</x:v>
      </x:c>
      <x:c r="E22" s="12" t="str">
        <x:v>2026-09-01 08:42:33</x:v>
      </x:c>
      <x:c r="F22" s="12" t="str">
        <x:v>2026-09-01 08:42:56</x:v>
      </x:c>
      <x:c r="G22" s="12" t="str">
        <x:v>08:00</x:v>
      </x:c>
      <x:c r="H22" s="12" t="str">
        <x:v>06–09</x:v>
      </x:c>
      <x:c r="I22" s="12" t="str">
        <x:v>500119078</x:v>
      </x:c>
      <x:c r="J22" s="12" t="str">
        <x:v>臺大森林館北側</x:v>
      </x:c>
      <x:c r="K22" s="12" t="str">
        <x:v>500119060</x:v>
      </x:c>
      <x:c r="L22" s="12" t="str">
        <x:v>臺大共同教室東南側</x:v>
      </x:c>
      <x:c r="M22" s="12" t="str">
        <x:v>實線</x:v>
      </x:c>
      <x:c r="N22" s="12" t="str">
        <x:v>臺大公館校區</x:v>
      </x:c>
      <x:c r="O22" s="12" t="str">
        <x:v>臺大公館校區</x:v>
      </x:c>
      <x:c r="P22" s="12" t="str">
        <x:v>兩端均500119*</x:v>
      </x:c>
    </x:row>
    <x:row r="23">
      <x:c r="A23" s="12" t="str">
        <x:v>2026-09-01</x:v>
      </x:c>
      <x:c r="B23" s="12" t="str">
        <x:v>ZZB-0003</x:v>
      </x:c>
      <x:c r="C23" s="12" t="str">
        <x:v>2.0E</x:v>
      </x:c>
      <x:c r="D23" s="13" t="n">
        <x:v>1</x:v>
      </x:c>
      <x:c r="E23" s="12" t="str">
        <x:v>2026-09-01 11:24:00</x:v>
      </x:c>
      <x:c r="F23" s="12" t="str">
        <x:v>2026-09-01 11:24:14</x:v>
      </x:c>
      <x:c r="G23" s="12" t="str">
        <x:v>11:00</x:v>
      </x:c>
      <x:c r="H23" s="12" t="str">
        <x:v>10–13</x:v>
      </x:c>
      <x:c r="I23" s="12" t="str">
        <x:v>500119087</x:v>
      </x:c>
      <x:c r="J23" s="12" t="str">
        <x:v>臺大總圖書館西南側</x:v>
      </x:c>
      <x:c r="K23" s="12" t="str">
        <x:v>500119091</x:v>
      </x:c>
      <x:c r="L23" s="12" t="str">
        <x:v>臺大明達館北側(員工宿舍)</x:v>
      </x:c>
      <x:c r="M23" s="12" t="str">
        <x:v>實線</x:v>
      </x:c>
      <x:c r="N23" s="12" t="str">
        <x:v>臺大公館校區</x:v>
      </x:c>
      <x:c r="O23" s="12" t="str">
        <x:v>臺大公館校區</x:v>
      </x:c>
      <x:c r="P23" s="12" t="str">
        <x:v>兩端均500119*</x:v>
      </x:c>
    </x:row>
    <x:row r="24">
      <x:c r="A24" s="12" t="str">
        <x:v>2026-09-01</x:v>
      </x:c>
      <x:c r="B24" s="12" t="str">
        <x:v>ZZB-0003</x:v>
      </x:c>
      <x:c r="C24" s="12" t="str">
        <x:v>2.0E</x:v>
      </x:c>
      <x:c r="D24" s="13" t="n">
        <x:v>2</x:v>
      </x:c>
      <x:c r="E24" s="12" t="str">
        <x:v>2026-09-01 13:49:30</x:v>
      </x:c>
      <x:c r="F24" s="12" t="str">
        <x:v>2026-09-01 13:49:48</x:v>
      </x:c>
      <x:c r="G24" s="12" t="str">
        <x:v>13:00</x:v>
      </x:c>
      <x:c r="H24" s="12" t="str">
        <x:v>10–13</x:v>
      </x:c>
      <x:c r="I24" s="12" t="str">
        <x:v>500119086</x:v>
      </x:c>
      <x:c r="J24" s="12" t="str">
        <x:v>臺大圖資系館北側</x:v>
      </x:c>
      <x:c r="K24" s="12" t="str">
        <x:v>500119064</x:v>
      </x:c>
      <x:c r="L24" s="12" t="str">
        <x:v>臺大明達館機車停車場</x:v>
      </x:c>
      <x:c r="M24" s="12" t="str">
        <x:v>實線</x:v>
      </x:c>
      <x:c r="N24" s="12" t="str">
        <x:v>臺大公館校區</x:v>
      </x:c>
      <x:c r="O24" s="12" t="str">
        <x:v>臺大公館校區</x:v>
      </x:c>
      <x:c r="P24" s="12" t="str">
        <x:v>兩端均500119*</x:v>
      </x:c>
    </x:row>
    <x:row r="25">
      <x:c r="A25" s="12" t="str">
        <x:v>2026-09-01</x:v>
      </x:c>
      <x:c r="B25" s="12" t="str">
        <x:v>ZZB-0003</x:v>
      </x:c>
      <x:c r="C25" s="12" t="str">
        <x:v>2.0E</x:v>
      </x:c>
      <x:c r="D25" s="13" t="n">
        <x:v>1</x:v>
      </x:c>
      <x:c r="E25" s="12" t="str">
        <x:v>2026-09-01 14:21:05</x:v>
      </x:c>
      <x:c r="F25" s="12" t="str">
        <x:v>2026-09-01 14:21:19</x:v>
      </x:c>
      <x:c r="G25" s="12" t="str">
        <x:v>14:00</x:v>
      </x:c>
      <x:c r="H25" s="12" t="str">
        <x:v>14–17</x:v>
      </x:c>
      <x:c r="I25" s="12" t="str">
        <x:v>500119074</x:v>
      </x:c>
      <x:c r="J25" s="12" t="str">
        <x:v>臺大生命科學館西北側</x:v>
      </x:c>
      <x:c r="K25" s="12" t="str">
        <x:v>500119091</x:v>
      </x:c>
      <x:c r="L25" s="12" t="str">
        <x:v>臺大明達館北側(員工宿舍)</x:v>
      </x:c>
      <x:c r="M25" s="12" t="str">
        <x:v>實線</x:v>
      </x:c>
      <x:c r="N25" s="12" t="str">
        <x:v>臺大公館校區</x:v>
      </x:c>
      <x:c r="O25" s="12" t="str">
        <x:v>臺大公館校區</x:v>
      </x:c>
      <x:c r="P25" s="12" t="str">
        <x:v>兩端均500119*</x:v>
      </x:c>
    </x:row>
    <x:row r="26">
      <x:c r="A26" s="12" t="str">
        <x:v>2026-09-01</x:v>
      </x:c>
      <x:c r="B26" s="12" t="str">
        <x:v>ZZB-0004</x:v>
      </x:c>
      <x:c r="C26" s="12" t="str">
        <x:v>2.0</x:v>
      </x:c>
      <x:c r="D26" s="13" t="n">
        <x:v>7</x:v>
      </x:c>
      <x:c r="E26" s="12" t="str">
        <x:v>2026-09-01 08:05:26</x:v>
      </x:c>
      <x:c r="F26" s="12" t="str">
        <x:v>2026-09-01 08:12:34</x:v>
      </x:c>
      <x:c r="G26" s="12" t="str">
        <x:v>08:00</x:v>
      </x:c>
      <x:c r="H26" s="12" t="str">
        <x:v>06–09</x:v>
      </x:c>
      <x:c r="I26" s="12" t="str">
        <x:v>500119050</x:v>
      </x:c>
      <x:c r="J26" s="12" t="str">
        <x:v>臺大小福樓東側</x:v>
      </x:c>
      <x:c r="K26" s="12" t="str">
        <x:v>500119097</x:v>
      </x:c>
      <x:c r="L26" s="12" t="str">
        <x:v>臺大人文館</x:v>
      </x:c>
      <x:c r="M26" s="12" t="str">
        <x:v>實線</x:v>
      </x:c>
      <x:c r="N26" s="12" t="str">
        <x:v>臺大公館校區</x:v>
      </x:c>
      <x:c r="O26" s="12" t="str">
        <x:v>臺大公館校區</x:v>
      </x:c>
      <x:c r="P26" s="12" t="str">
        <x:v>兩端均500119*</x:v>
      </x:c>
    </x:row>
    <x:row r="27">
      <x:c r="A27" s="12" t="str">
        <x:v>2026-09-01</x:v>
      </x:c>
      <x:c r="B27" s="12" t="str">
        <x:v>ZZB-0004</x:v>
      </x:c>
      <x:c r="C27" s="12" t="str">
        <x:v>2.0</x:v>
      </x:c>
      <x:c r="D27" s="13" t="n">
        <x:v>7</x:v>
      </x:c>
      <x:c r="E27" s="12" t="str">
        <x:v>2026-09-01 08:33:08</x:v>
      </x:c>
      <x:c r="F27" s="12" t="str">
        <x:v>2026-09-01 08:41:08</x:v>
      </x:c>
      <x:c r="G27" s="12" t="str">
        <x:v>08:00</x:v>
      </x:c>
      <x:c r="H27" s="12" t="str">
        <x:v>06–09</x:v>
      </x:c>
      <x:c r="I27" s="12" t="str">
        <x:v>500119087</x:v>
      </x:c>
      <x:c r="J27" s="12" t="str">
        <x:v>臺大總圖書館西南側</x:v>
      </x:c>
      <x:c r="K27" s="12" t="str">
        <x:v>500119097</x:v>
      </x:c>
      <x:c r="L27" s="12" t="str">
        <x:v>臺大人文館</x:v>
      </x:c>
      <x:c r="M27" s="12" t="str">
        <x:v>實線</x:v>
      </x:c>
      <x:c r="N27" s="12" t="str">
        <x:v>臺大公館校區</x:v>
      </x:c>
      <x:c r="O27" s="12" t="str">
        <x:v>臺大公館校區</x:v>
      </x:c>
      <x:c r="P27" s="12" t="str">
        <x:v>兩端均500119*</x:v>
      </x:c>
    </x:row>
    <x:row r="28">
      <x:c r="A28" s="12" t="str">
        <x:v>2026-09-01</x:v>
      </x:c>
      <x:c r="B28" s="12" t="str">
        <x:v>ZZB-0004</x:v>
      </x:c>
      <x:c r="C28" s="12" t="str">
        <x:v>2.0</x:v>
      </x:c>
      <x:c r="D28" s="13" t="n">
        <x:v>7</x:v>
      </x:c>
      <x:c r="E28" s="12" t="str">
        <x:v>2026-09-01 08:48:52</x:v>
      </x:c>
      <x:c r="F28" s="12" t="str">
        <x:v>2026-09-01 08:54:48</x:v>
      </x:c>
      <x:c r="G28" s="12" t="str">
        <x:v>08:00</x:v>
      </x:c>
      <x:c r="H28" s="12" t="str">
        <x:v>06–09</x:v>
      </x:c>
      <x:c r="I28" s="12" t="str">
        <x:v>500119050</x:v>
      </x:c>
      <x:c r="J28" s="12" t="str">
        <x:v>臺大小福樓東側</x:v>
      </x:c>
      <x:c r="K28" s="12" t="str">
        <x:v>500119097</x:v>
      </x:c>
      <x:c r="L28" s="12" t="str">
        <x:v>臺大人文館</x:v>
      </x:c>
      <x:c r="M28" s="12" t="str">
        <x:v>實線</x:v>
      </x:c>
      <x:c r="N28" s="12" t="str">
        <x:v>臺大公館校區</x:v>
      </x:c>
      <x:c r="O28" s="12" t="str">
        <x:v>臺大公館校區</x:v>
      </x:c>
      <x:c r="P28" s="12" t="str">
        <x:v>兩端均500119*</x:v>
      </x:c>
    </x:row>
    <x:row r="29">
      <x:c r="A29" s="12" t="str">
        <x:v>2026-09-01</x:v>
      </x:c>
      <x:c r="B29" s="12" t="str">
        <x:v>ZZB-0004</x:v>
      </x:c>
      <x:c r="C29" s="12" t="str">
        <x:v>2.0</x:v>
      </x:c>
      <x:c r="D29" s="13" t="n">
        <x:v>7</x:v>
      </x:c>
      <x:c r="E29" s="12" t="str">
        <x:v>2026-09-01 09:04:47</x:v>
      </x:c>
      <x:c r="F29" s="12" t="str">
        <x:v>2026-09-01 09:10:37</x:v>
      </x:c>
      <x:c r="G29" s="12" t="str">
        <x:v>09:00</x:v>
      </x:c>
      <x:c r="H29" s="12" t="str">
        <x:v>06–09</x:v>
      </x:c>
      <x:c r="I29" s="12" t="str">
        <x:v>500119050</x:v>
      </x:c>
      <x:c r="J29" s="12" t="str">
        <x:v>臺大小福樓東側</x:v>
      </x:c>
      <x:c r="K29" s="12" t="str">
        <x:v>500119097</x:v>
      </x:c>
      <x:c r="L29" s="12" t="str">
        <x:v>臺大人文館</x:v>
      </x:c>
      <x:c r="M29" s="12" t="str">
        <x:v>實線</x:v>
      </x:c>
      <x:c r="N29" s="12" t="str">
        <x:v>臺大公館校區</x:v>
      </x:c>
      <x:c r="O29" s="12" t="str">
        <x:v>臺大公館校區</x:v>
      </x:c>
      <x:c r="P29" s="12" t="str">
        <x:v>兩端均500119*</x:v>
      </x:c>
    </x:row>
    <x:row r="30">
      <x:c r="A30" s="12" t="str">
        <x:v>2026-09-01</x:v>
      </x:c>
      <x:c r="B30" s="12" t="str">
        <x:v>ZZB-0004</x:v>
      </x:c>
      <x:c r="C30" s="12" t="str">
        <x:v>2.0</x:v>
      </x:c>
      <x:c r="D30" s="13" t="n">
        <x:v>7</x:v>
      </x:c>
      <x:c r="E30" s="12" t="str">
        <x:v>2026-09-01 09:19:55</x:v>
      </x:c>
      <x:c r="F30" s="12" t="str">
        <x:v>2026-09-01 09:26:53</x:v>
      </x:c>
      <x:c r="G30" s="12" t="str">
        <x:v>09:00</x:v>
      </x:c>
      <x:c r="H30" s="12" t="str">
        <x:v>06–09</x:v>
      </x:c>
      <x:c r="I30" s="12" t="str">
        <x:v>500119050</x:v>
      </x:c>
      <x:c r="J30" s="12" t="str">
        <x:v>臺大小福樓東側</x:v>
      </x:c>
      <x:c r="K30" s="12" t="str">
        <x:v>500119097</x:v>
      </x:c>
      <x:c r="L30" s="12" t="str">
        <x:v>臺大人文館</x:v>
      </x:c>
      <x:c r="M30" s="12" t="str">
        <x:v>實線</x:v>
      </x:c>
      <x:c r="N30" s="12" t="str">
        <x:v>臺大公館校區</x:v>
      </x:c>
      <x:c r="O30" s="12" t="str">
        <x:v>臺大公館校區</x:v>
      </x:c>
      <x:c r="P30" s="12" t="str">
        <x:v>兩端均500119*</x:v>
      </x:c>
    </x:row>
    <x:row r="31">
      <x:c r="A31" s="12" t="str">
        <x:v>2026-09-01</x:v>
      </x:c>
      <x:c r="B31" s="12" t="str">
        <x:v>ZZB-0004</x:v>
      </x:c>
      <x:c r="C31" s="12" t="str">
        <x:v>2.0</x:v>
      </x:c>
      <x:c r="D31" s="13" t="n">
        <x:v>7</x:v>
      </x:c>
      <x:c r="E31" s="12" t="str">
        <x:v>2026-09-01 09:53:45</x:v>
      </x:c>
      <x:c r="F31" s="12" t="str">
        <x:v>2026-09-01 10:02:11</x:v>
      </x:c>
      <x:c r="G31" s="12" t="str">
        <x:v>09:00</x:v>
      </x:c>
      <x:c r="H31" s="12" t="str">
        <x:v>06–09</x:v>
      </x:c>
      <x:c r="I31" s="12" t="str">
        <x:v>500119066</x:v>
      </x:c>
      <x:c r="J31" s="12" t="str">
        <x:v>臺大凝態館南側</x:v>
      </x:c>
      <x:c r="K31" s="12" t="str">
        <x:v>500119097</x:v>
      </x:c>
      <x:c r="L31" s="12" t="str">
        <x:v>臺大人文館</x:v>
      </x:c>
      <x:c r="M31" s="12" t="str">
        <x:v>實線</x:v>
      </x:c>
      <x:c r="N31" s="12" t="str">
        <x:v>臺大公館校區</x:v>
      </x:c>
      <x:c r="O31" s="12" t="str">
        <x:v>臺大公館校區</x:v>
      </x:c>
      <x:c r="P31" s="12" t="str">
        <x:v>兩端均500119*</x:v>
      </x:c>
    </x:row>
    <x:row r="32">
      <x:c r="A32" s="12" t="str">
        <x:v>2026-09-01</x:v>
      </x:c>
      <x:c r="B32" s="12" t="str">
        <x:v>ZZB-0004</x:v>
      </x:c>
      <x:c r="C32" s="12" t="str">
        <x:v>2.0</x:v>
      </x:c>
      <x:c r="D32" s="13" t="n">
        <x:v>7</x:v>
      </x:c>
      <x:c r="E32" s="12" t="str">
        <x:v>2026-09-01 10:13:22</x:v>
      </x:c>
      <x:c r="F32" s="12" t="str">
        <x:v>2026-09-01 10:41:38</x:v>
      </x:c>
      <x:c r="G32" s="12" t="str">
        <x:v>10:00</x:v>
      </x:c>
      <x:c r="H32" s="12" t="str">
        <x:v>10–13</x:v>
      </x:c>
      <x:c r="I32" s="12" t="str">
        <x:v>500119050</x:v>
      </x:c>
      <x:c r="J32" s="12" t="str">
        <x:v>臺大小福樓東側</x:v>
      </x:c>
      <x:c r="K32" s="12" t="str">
        <x:v>500119091</x:v>
      </x:c>
      <x:c r="L32" s="12" t="str">
        <x:v>臺大明達館北側(員工宿舍)</x:v>
      </x:c>
      <x:c r="M32" s="12" t="str">
        <x:v>實線</x:v>
      </x:c>
      <x:c r="N32" s="12" t="str">
        <x:v>臺大公館校區</x:v>
      </x:c>
      <x:c r="O32" s="12" t="str">
        <x:v>臺大公館校區</x:v>
      </x:c>
      <x:c r="P32" s="12" t="str">
        <x:v>兩端均500119*</x:v>
      </x:c>
    </x:row>
    <x:row r="33">
      <x:c r="A33" s="12" t="str">
        <x:v>2026-09-01</x:v>
      </x:c>
      <x:c r="B33" s="12" t="str">
        <x:v>ZZB-0004</x:v>
      </x:c>
      <x:c r="C33" s="12" t="str">
        <x:v>2.0</x:v>
      </x:c>
      <x:c r="D33" s="13" t="n">
        <x:v>7</x:v>
      </x:c>
      <x:c r="E33" s="12" t="str">
        <x:v>2026-09-01 13:36:32</x:v>
      </x:c>
      <x:c r="F33" s="12" t="str">
        <x:v>2026-09-01 13:37:00</x:v>
      </x:c>
      <x:c r="G33" s="12" t="str">
        <x:v>13:00</x:v>
      </x:c>
      <x:c r="H33" s="12" t="str">
        <x:v>10–13</x:v>
      </x:c>
      <x:c r="I33" s="12" t="str">
        <x:v>500119076</x:v>
      </x:c>
      <x:c r="J33" s="12" t="str">
        <x:v>臺大博理館西側</x:v>
      </x:c>
      <x:c r="K33" s="12" t="str">
        <x:v>500119097</x:v>
      </x:c>
      <x:c r="L33" s="12" t="str">
        <x:v>臺大人文館</x:v>
      </x:c>
      <x:c r="M33" s="12" t="str">
        <x:v>實線</x:v>
      </x:c>
      <x:c r="N33" s="12" t="str">
        <x:v>臺大公館校區</x:v>
      </x:c>
      <x:c r="O33" s="12" t="str">
        <x:v>臺大公館校區</x:v>
      </x:c>
      <x:c r="P33" s="12" t="str">
        <x:v>兩端均500119*</x:v>
      </x:c>
    </x:row>
    <x:row r="34">
      <x:c r="A34" s="12" t="str">
        <x:v>2026-09-01</x:v>
      </x:c>
      <x:c r="B34" s="12" t="str">
        <x:v>ZZB-0005</x:v>
      </x:c>
      <x:c r="C34" s="12" t="str">
        <x:v>2.0</x:v>
      </x:c>
      <x:c r="D34" s="13" t="n">
        <x:v>5</x:v>
      </x:c>
      <x:c r="E34" s="12" t="str">
        <x:v>2026-09-01 08:30:44</x:v>
      </x:c>
      <x:c r="F34" s="12" t="str">
        <x:v>2026-09-01 08:45:18</x:v>
      </x:c>
      <x:c r="G34" s="12" t="str">
        <x:v>08:00</x:v>
      </x:c>
      <x:c r="H34" s="12" t="str">
        <x:v>06–09</x:v>
      </x:c>
      <x:c r="I34" s="12" t="str">
        <x:v>500119052</x:v>
      </x:c>
      <x:c r="J34" s="12" t="str">
        <x:v>臺大工綜館南側</x:v>
      </x:c>
      <x:c r="K34" s="12" t="str">
        <x:v>500119045</x:v>
      </x:c>
      <x:c r="L34" s="12" t="str">
        <x:v>臺大農業陳列館北側</x:v>
      </x:c>
      <x:c r="M34" s="12" t="str">
        <x:v>實線</x:v>
      </x:c>
      <x:c r="N34" s="12" t="str">
        <x:v>臺大公館校區</x:v>
      </x:c>
      <x:c r="O34" s="12" t="str">
        <x:v>臺大公館校區</x:v>
      </x:c>
      <x:c r="P34" s="12" t="str">
        <x:v>兩端均500119*</x:v>
      </x:c>
    </x:row>
    <x:row r="35">
      <x:c r="A35" s="12" t="str">
        <x:v>2026-09-01</x:v>
      </x:c>
      <x:c r="B35" s="12" t="str">
        <x:v>ZZB-0005</x:v>
      </x:c>
      <x:c r="C35" s="12" t="str">
        <x:v>2.0</x:v>
      </x:c>
      <x:c r="D35" s="13" t="n">
        <x:v>6</x:v>
      </x:c>
      <x:c r="E35" s="12" t="str">
        <x:v>2026-09-01 09:37:10</x:v>
      </x:c>
      <x:c r="F35" s="12" t="str">
        <x:v>2026-09-01 09:46:53</x:v>
      </x:c>
      <x:c r="G35" s="12" t="str">
        <x:v>09:00</x:v>
      </x:c>
      <x:c r="H35" s="12" t="str">
        <x:v>06–09</x:v>
      </x:c>
      <x:c r="I35" s="12" t="str">
        <x:v>500119087</x:v>
      </x:c>
      <x:c r="J35" s="12" t="str">
        <x:v>臺大總圖書館西南側</x:v>
      </x:c>
      <x:c r="K35" s="12" t="str">
        <x:v>500119045</x:v>
      </x:c>
      <x:c r="L35" s="12" t="str">
        <x:v>臺大農業陳列館北側</x:v>
      </x:c>
      <x:c r="M35" s="12" t="str">
        <x:v>實線</x:v>
      </x:c>
      <x:c r="N35" s="12" t="str">
        <x:v>臺大公館校區</x:v>
      </x:c>
      <x:c r="O35" s="12" t="str">
        <x:v>臺大公館校區</x:v>
      </x:c>
      <x:c r="P35" s="12" t="str">
        <x:v>兩端均500119*</x:v>
      </x:c>
    </x:row>
    <x:row r="36">
      <x:c r="A36" s="12" t="str">
        <x:v>2026-09-01</x:v>
      </x:c>
      <x:c r="B36" s="12" t="str">
        <x:v>ZZB-0005</x:v>
      </x:c>
      <x:c r="C36" s="12" t="str">
        <x:v>2.0</x:v>
      </x:c>
      <x:c r="D36" s="13" t="n">
        <x:v>7</x:v>
      </x:c>
      <x:c r="E36" s="12" t="str">
        <x:v>2026-09-01 10:11:17</x:v>
      </x:c>
      <x:c r="F36" s="12" t="str">
        <x:v>2026-09-01 10:11:36</x:v>
      </x:c>
      <x:c r="G36" s="12" t="str">
        <x:v>10:00</x:v>
      </x:c>
      <x:c r="H36" s="12" t="str">
        <x:v>10–13</x:v>
      </x:c>
      <x:c r="I36" s="12" t="str">
        <x:v>500119085</x:v>
      </x:c>
      <x:c r="J36" s="12" t="str">
        <x:v>臺大電機二館東南側</x:v>
      </x:c>
      <x:c r="K36" s="12" t="str">
        <x:v>500101032</x:v>
      </x:c>
      <x:c r="L36" s="12" t="str">
        <x:v>臺大男一舍前</x:v>
      </x:c>
      <x:c r="M36" s="12" t="str">
        <x:v>虛線</x:v>
      </x:c>
      <x:c r="N36" s="12" t="str">
        <x:v>臺大公館校區</x:v>
      </x:c>
      <x:c r="O36" s="12" t="str">
        <x:v>大安區</x:v>
      </x:c>
      <x:c r="P36" s="12" t="str">
        <x:v>任一端非500119*</x:v>
      </x:c>
    </x:row>
    <x:row r="37">
      <x:c r="A37" s="12" t="str">
        <x:v>2026-09-01</x:v>
      </x:c>
      <x:c r="B37" s="12" t="str">
        <x:v>ZZB-0005</x:v>
      </x:c>
      <x:c r="C37" s="12" t="str">
        <x:v>2.0</x:v>
      </x:c>
      <x:c r="D37" s="13" t="n">
        <x:v>7</x:v>
      </x:c>
      <x:c r="E37" s="12" t="str">
        <x:v>2026-09-01 10:29:48</x:v>
      </x:c>
      <x:c r="F37" s="12" t="str">
        <x:v>2026-09-01 10:48:19</x:v>
      </x:c>
      <x:c r="G37" s="12" t="str">
        <x:v>10:00</x:v>
      </x:c>
      <x:c r="H37" s="12" t="str">
        <x:v>10–13</x:v>
      </x:c>
      <x:c r="I37" s="12" t="str">
        <x:v>500119085</x:v>
      </x:c>
      <x:c r="J37" s="12" t="str">
        <x:v>臺大電機二館東南側</x:v>
      </x:c>
      <x:c r="K37" s="12" t="str">
        <x:v>500101032</x:v>
      </x:c>
      <x:c r="L37" s="12" t="str">
        <x:v>臺大男一舍前</x:v>
      </x:c>
      <x:c r="M37" s="12" t="str">
        <x:v>虛線</x:v>
      </x:c>
      <x:c r="N37" s="12" t="str">
        <x:v>臺大公館校區</x:v>
      </x:c>
      <x:c r="O37" s="12" t="str">
        <x:v>大安區</x:v>
      </x:c>
      <x:c r="P37" s="12" t="str">
        <x:v>任一端非500119*</x:v>
      </x:c>
    </x:row>
    <x:row r="38">
      <x:c r="A38" s="12" t="str">
        <x:v>2026-09-01</x:v>
      </x:c>
      <x:c r="B38" s="12" t="str">
        <x:v>ZZB-0005</x:v>
      </x:c>
      <x:c r="C38" s="12" t="str">
        <x:v>2.0E</x:v>
      </x:c>
      <x:c r="D38" s="13" t="n">
        <x:v>2</x:v>
      </x:c>
      <x:c r="E38" s="12" t="str">
        <x:v>2026-09-01 08:30:44</x:v>
      </x:c>
      <x:c r="F38" s="12" t="str">
        <x:v>2026-09-01 08:45:18</x:v>
      </x:c>
      <x:c r="G38" s="12" t="str">
        <x:v>08:00</x:v>
      </x:c>
      <x:c r="H38" s="12" t="str">
        <x:v>06–09</x:v>
      </x:c>
      <x:c r="I38" s="12" t="str">
        <x:v>500119052</x:v>
      </x:c>
      <x:c r="J38" s="12" t="str">
        <x:v>臺大工綜館南側</x:v>
      </x:c>
      <x:c r="K38" s="12" t="str">
        <x:v>500119045</x:v>
      </x:c>
      <x:c r="L38" s="12" t="str">
        <x:v>臺大農業陳列館北側</x:v>
      </x:c>
      <x:c r="M38" s="12" t="str">
        <x:v>實線</x:v>
      </x:c>
      <x:c r="N38" s="12" t="str">
        <x:v>臺大公館校區</x:v>
      </x:c>
      <x:c r="O38" s="12" t="str">
        <x:v>臺大公館校區</x:v>
      </x:c>
      <x:c r="P38" s="12" t="str">
        <x:v>兩端均500119*</x:v>
      </x:c>
    </x:row>
    <x:row r="39">
      <x:c r="A39" s="12" t="str">
        <x:v>2026-09-01</x:v>
      </x:c>
      <x:c r="B39" s="12" t="str">
        <x:v>ZZB-0005</x:v>
      </x:c>
      <x:c r="C39" s="12" t="str">
        <x:v>2.0E</x:v>
      </x:c>
      <x:c r="D39" s="13" t="n">
        <x:v>7</x:v>
      </x:c>
      <x:c r="E39" s="12" t="str">
        <x:v>2026-09-01 09:03:52</x:v>
      </x:c>
      <x:c r="F39" s="12" t="str">
        <x:v>2026-09-01 09:17:46</x:v>
      </x:c>
      <x:c r="G39" s="12" t="str">
        <x:v>09:00</x:v>
      </x:c>
      <x:c r="H39" s="12" t="str">
        <x:v>06–09</x:v>
      </x:c>
      <x:c r="I39" s="12" t="str">
        <x:v>500119087</x:v>
      </x:c>
      <x:c r="J39" s="12" t="str">
        <x:v>臺大總圖書館西南側</x:v>
      </x:c>
      <x:c r="K39" s="12" t="str">
        <x:v>500119045</x:v>
      </x:c>
      <x:c r="L39" s="12" t="str">
        <x:v>臺大農業陳列館北側</x:v>
      </x:c>
      <x:c r="M39" s="12" t="str">
        <x:v>實線</x:v>
      </x:c>
      <x:c r="N39" s="12" t="str">
        <x:v>臺大公館校區</x:v>
      </x:c>
      <x:c r="O39" s="12" t="str">
        <x:v>臺大公館校區</x:v>
      </x:c>
      <x:c r="P39" s="12" t="str">
        <x:v>兩端均500119*</x:v>
      </x:c>
    </x:row>
    <x:row r="40">
      <x:c r="A40" s="12" t="str">
        <x:v>2026-09-01</x:v>
      </x:c>
      <x:c r="B40" s="12" t="str">
        <x:v>ZZB-0005</x:v>
      </x:c>
      <x:c r="C40" s="12" t="str">
        <x:v>2.0E</x:v>
      </x:c>
      <x:c r="D40" s="13" t="n">
        <x:v>1</x:v>
      </x:c>
      <x:c r="E40" s="12" t="str">
        <x:v>2026-09-01 09:37:10</x:v>
      </x:c>
      <x:c r="F40" s="12" t="str">
        <x:v>2026-09-01 09:46:53</x:v>
      </x:c>
      <x:c r="G40" s="12" t="str">
        <x:v>09:00</x:v>
      </x:c>
      <x:c r="H40" s="12" t="str">
        <x:v>06–09</x:v>
      </x:c>
      <x:c r="I40" s="12" t="str">
        <x:v>500119087</x:v>
      </x:c>
      <x:c r="J40" s="12" t="str">
        <x:v>臺大總圖書館西南側</x:v>
      </x:c>
      <x:c r="K40" s="12" t="str">
        <x:v>500119045</x:v>
      </x:c>
      <x:c r="L40" s="12" t="str">
        <x:v>臺大農業陳列館北側</x:v>
      </x:c>
      <x:c r="M40" s="12" t="str">
        <x:v>實線</x:v>
      </x:c>
      <x:c r="N40" s="12" t="str">
        <x:v>臺大公館校區</x:v>
      </x:c>
      <x:c r="O40" s="12" t="str">
        <x:v>臺大公館校區</x:v>
      </x:c>
      <x:c r="P40" s="12" t="str">
        <x:v>兩端均500119*</x:v>
      </x:c>
    </x:row>
    <x:row r="41">
      <x:c r="A41" s="12" t="str">
        <x:v>2026-09-01</x:v>
      </x:c>
      <x:c r="B41" s="12" t="str">
        <x:v>ZZB-0008</x:v>
      </x:c>
      <x:c r="C41" s="12" t="str">
        <x:v>2.0</x:v>
      </x:c>
      <x:c r="D41" s="13" t="n">
        <x:v>8</x:v>
      </x:c>
      <x:c r="E41" s="12" t="str">
        <x:v>2026-09-01 00:08:22</x:v>
      </x:c>
      <x:c r="F41" s="12" t="str">
        <x:v>2026-09-01 00:16:07</x:v>
      </x:c>
      <x:c r="G41" s="12" t="str">
        <x:v>00:00</x:v>
      </x:c>
      <x:c r="H41" s="12" t="str">
        <x:v>00–05</x:v>
      </x:c>
      <x:c r="I41" s="12" t="str">
        <x:v>500112127</x:v>
      </x:c>
      <x:c r="J41" s="12" t="str">
        <x:v>永吉路120巷15弄口</x:v>
      </x:c>
      <x:c r="K41" s="12" t="str">
        <x:v>500110070</x:v>
      </x:c>
      <x:c r="L41" s="12" t="str">
        <x:v>捷運松山站(1號出口)</x:v>
      </x:c>
      <x:c r="M41" s="12" t="str">
        <x:v>虛線</x:v>
      </x:c>
      <x:c r="N41" s="12" t="str">
        <x:v>信義區</x:v>
      </x:c>
      <x:c r="O41" s="12" t="str">
        <x:v>松山區</x:v>
      </x:c>
      <x:c r="P41" s="12" t="str">
        <x:v>任一端非500119*</x:v>
      </x:c>
    </x:row>
    <x:row r="42">
      <x:c r="A42" s="12" t="str">
        <x:v>2026-09-01</x:v>
      </x:c>
      <x:c r="B42" s="12" t="str">
        <x:v>ZZB-0008</x:v>
      </x:c>
      <x:c r="C42" s="12" t="str">
        <x:v>2.0</x:v>
      </x:c>
      <x:c r="D42" s="13" t="n">
        <x:v>7</x:v>
      </x:c>
      <x:c r="E42" s="12" t="str">
        <x:v>2026-09-01 00:08:22</x:v>
      </x:c>
      <x:c r="F42" s="12" t="str">
        <x:v>2026-09-01 00:18:42</x:v>
      </x:c>
      <x:c r="G42" s="12" t="str">
        <x:v>00:00</x:v>
      </x:c>
      <x:c r="H42" s="12" t="str">
        <x:v>00–05</x:v>
      </x:c>
      <x:c r="I42" s="12" t="str">
        <x:v>500112127</x:v>
      </x:c>
      <x:c r="J42" s="12" t="str">
        <x:v>永吉路120巷15弄口</x:v>
      </x:c>
      <x:c r="K42" s="12" t="str">
        <x:v>500110050</x:v>
      </x:c>
      <x:c r="L42" s="12" t="str">
        <x:v>捷運松山站(2號出口)</x:v>
      </x:c>
      <x:c r="M42" s="12" t="str">
        <x:v>虛線</x:v>
      </x:c>
      <x:c r="N42" s="12" t="str">
        <x:v>信義區</x:v>
      </x:c>
      <x:c r="O42" s="12" t="str">
        <x:v>松山區</x:v>
      </x:c>
      <x:c r="P42" s="12" t="str">
        <x:v>任一端非500119*</x:v>
      </x:c>
    </x:row>
    <x:row r="43">
      <x:c r="A43" s="12" t="str">
        <x:v>2026-09-01</x:v>
      </x:c>
      <x:c r="B43" s="12" t="str">
        <x:v>ZZB-0008</x:v>
      </x:c>
      <x:c r="C43" s="12" t="str">
        <x:v>2.0</x:v>
      </x:c>
      <x:c r="D43" s="13" t="n">
        <x:v>10</x:v>
      </x:c>
      <x:c r="E43" s="12" t="str">
        <x:v>2026-09-01 00:32:21</x:v>
      </x:c>
      <x:c r="F43" s="12" t="str">
        <x:v>2026-09-01 00:44:42</x:v>
      </x:c>
      <x:c r="G43" s="12" t="str">
        <x:v>00:00</x:v>
      </x:c>
      <x:c r="H43" s="12" t="str">
        <x:v>00–05</x:v>
      </x:c>
      <x:c r="I43" s="12" t="str">
        <x:v>500112050</x:v>
      </x:c>
      <x:c r="J43" s="12" t="str">
        <x:v>五常公園</x:v>
      </x:c>
      <x:c r="K43" s="12" t="str">
        <x:v>500112089</x:v>
      </x:c>
      <x:c r="L43" s="12" t="str">
        <x:v>富生公園</x:v>
      </x:c>
      <x:c r="M43" s="12" t="str">
        <x:v>虛線</x:v>
      </x:c>
      <x:c r="N43" s="12" t="str">
        <x:v>信義區</x:v>
      </x:c>
      <x:c r="O43" s="12" t="str">
        <x:v>信義區</x:v>
      </x:c>
      <x:c r="P43" s="12" t="str">
        <x:v>任一端非500119*</x:v>
      </x:c>
    </x:row>
    <x:row r="44">
      <x:c r="A44" s="12" t="str">
        <x:v>2026-09-01</x:v>
      </x:c>
      <x:c r="B44" s="12" t="str">
        <x:v>ZZB-0008</x:v>
      </x:c>
      <x:c r="C44" s="12" t="str">
        <x:v>2.0</x:v>
      </x:c>
      <x:c r="D44" s="13" t="n">
        <x:v>2</x:v>
      </x:c>
      <x:c r="E44" s="12" t="str">
        <x:v>2026-09-01 00:32:21</x:v>
      </x:c>
      <x:c r="F44" s="12" t="str">
        <x:v>2026-09-01 00:50:43</x:v>
      </x:c>
      <x:c r="G44" s="12" t="str">
        <x:v>00:00</x:v>
      </x:c>
      <x:c r="H44" s="12" t="str">
        <x:v>00–05</x:v>
      </x:c>
      <x:c r="I44" s="12" t="str">
        <x:v>500112050</x:v>
      </x:c>
      <x:c r="J44" s="12" t="str">
        <x:v>五常公園</x:v>
      </x:c>
      <x:c r="K44" s="12" t="str">
        <x:v>500112029</x:v>
      </x:c>
      <x:c r="L44" s="12" t="str">
        <x:v>臺北市政府</x:v>
      </x:c>
      <x:c r="M44" s="12" t="str">
        <x:v>虛線</x:v>
      </x:c>
      <x:c r="N44" s="12" t="str">
        <x:v>信義區</x:v>
      </x:c>
      <x:c r="O44" s="12" t="str">
        <x:v>信義區</x:v>
      </x:c>
      <x:c r="P44" s="12" t="str">
        <x:v>任一端非500119*</x:v>
      </x:c>
    </x:row>
    <x:row r="45">
      <x:c r="A45" s="12" t="str">
        <x:v>2026-09-01</x:v>
      </x:c>
      <x:c r="B45" s="12" t="str">
        <x:v>ZZB-0008</x:v>
      </x:c>
      <x:c r="C45" s="12" t="str">
        <x:v>2.0</x:v>
      </x:c>
      <x:c r="D45" s="13" t="n">
        <x:v>3</x:v>
      </x:c>
      <x:c r="E45" s="12" t="str">
        <x:v>2026-09-01 00:32:21</x:v>
      </x:c>
      <x:c r="F45" s="12" t="str">
        <x:v>2026-09-01 00:55:11</x:v>
      </x:c>
      <x:c r="G45" s="12" t="str">
        <x:v>00:00</x:v>
      </x:c>
      <x:c r="H45" s="12" t="str">
        <x:v>00–05</x:v>
      </x:c>
      <x:c r="I45" s="12" t="str">
        <x:v>500112050</x:v>
      </x:c>
      <x:c r="J45" s="12" t="str">
        <x:v>五常公園</x:v>
      </x:c>
      <x:c r="K45" s="12" t="str">
        <x:v>500112013</x:v>
      </x:c>
      <x:c r="L45" s="12" t="str">
        <x:v>興雅國中</x:v>
      </x:c>
      <x:c r="M45" s="12" t="str">
        <x:v>虛線</x:v>
      </x:c>
      <x:c r="N45" s="12" t="str">
        <x:v>信義區</x:v>
      </x:c>
      <x:c r="O45" s="12" t="str">
        <x:v>信義區</x:v>
      </x:c>
      <x:c r="P45" s="12" t="str">
        <x:v>任一端非500119*</x:v>
      </x:c>
    </x:row>
    <x:row r="46">
      <x:c r="A46" s="12" t="str">
        <x:v>2026-09-01</x:v>
      </x:c>
      <x:c r="B46" s="12" t="str">
        <x:v>ZZB-0008</x:v>
      </x:c>
      <x:c r="C46" s="12" t="str">
        <x:v>2.0</x:v>
      </x:c>
      <x:c r="D46" s="13" t="n">
        <x:v>8</x:v>
      </x:c>
      <x:c r="E46" s="12" t="str">
        <x:v>2026-09-01 01:09:16</x:v>
      </x:c>
      <x:c r="F46" s="12" t="str">
        <x:v>2026-09-01 01:17:36</x:v>
      </x:c>
      <x:c r="G46" s="12" t="str">
        <x:v>01:00</x:v>
      </x:c>
      <x:c r="H46" s="12" t="str">
        <x:v>00–05</x:v>
      </x:c>
      <x:c r="I46" s="12" t="str">
        <x:v>500112099</x:v>
      </x:c>
      <x:c r="J46" s="12" t="str">
        <x:v>廣慈博愛園區(西側)</x:v>
      </x:c>
      <x:c r="K46" s="12" t="str">
        <x:v>500112049</x:v>
      </x:c>
      <x:c r="L46" s="12" t="str">
        <x:v>松山車站</x:v>
      </x:c>
      <x:c r="M46" s="12" t="str">
        <x:v>虛線</x:v>
      </x:c>
      <x:c r="N46" s="12" t="str">
        <x:v>信義區</x:v>
      </x:c>
      <x:c r="O46" s="12" t="str">
        <x:v>信義區</x:v>
      </x:c>
      <x:c r="P46" s="12" t="str">
        <x:v>任一端非500119*</x:v>
      </x:c>
    </x:row>
    <x:row r="47">
      <x:c r="A47" s="12" t="str">
        <x:v>2026-09-01</x:v>
      </x:c>
      <x:c r="B47" s="12" t="str">
        <x:v>ZZB-0008</x:v>
      </x:c>
      <x:c r="C47" s="12" t="str">
        <x:v>2.0</x:v>
      </x:c>
      <x:c r="D47" s="13" t="n">
        <x:v>7</x:v>
      </x:c>
      <x:c r="E47" s="12" t="str">
        <x:v>2026-09-01 01:09:16</x:v>
      </x:c>
      <x:c r="F47" s="12" t="str">
        <x:v>2026-09-01 01:23:54</x:v>
      </x:c>
      <x:c r="G47" s="12" t="str">
        <x:v>01:00</x:v>
      </x:c>
      <x:c r="H47" s="12" t="str">
        <x:v>00–05</x:v>
      </x:c>
      <x:c r="I47" s="12" t="str">
        <x:v>500112099</x:v>
      </x:c>
      <x:c r="J47" s="12" t="str">
        <x:v>廣慈博愛園區(西側)</x:v>
      </x:c>
      <x:c r="K47" s="12" t="str">
        <x:v>500112058</x:v>
      </x:c>
      <x:c r="L47" s="12" t="str">
        <x:v>捷運後山埤站(2號出口)</x:v>
      </x:c>
      <x:c r="M47" s="12" t="str">
        <x:v>虛線</x:v>
      </x:c>
      <x:c r="N47" s="12" t="str">
        <x:v>信義區</x:v>
      </x:c>
      <x:c r="O47" s="12" t="str">
        <x:v>信義區</x:v>
      </x:c>
      <x:c r="P47" s="12" t="str">
        <x:v>任一端非500119*</x:v>
      </x:c>
    </x:row>
    <x:row r="48">
      <x:c r="A48" s="12" t="str">
        <x:v>2026-09-01</x:v>
      </x:c>
      <x:c r="B48" s="12" t="str">
        <x:v>ZZB-0008</x:v>
      </x:c>
      <x:c r="C48" s="12" t="str">
        <x:v>2.0</x:v>
      </x:c>
      <x:c r="D48" s="13" t="n">
        <x:v>15</x:v>
      </x:c>
      <x:c r="E48" s="12" t="str">
        <x:v>2026-09-01 04:16:59</x:v>
      </x:c>
      <x:c r="F48" s="12" t="str">
        <x:v>2026-09-01 04:31:00</x:v>
      </x:c>
      <x:c r="G48" s="12" t="str">
        <x:v>04:00</x:v>
      </x:c>
      <x:c r="H48" s="12" t="str">
        <x:v>00–05</x:v>
      </x:c>
      <x:c r="I48" s="12" t="str">
        <x:v>500111070</x:v>
      </x:c>
      <x:c r="J48" s="12" t="str">
        <x:v>玉成公園(成福路178巷口)</x:v>
      </x:c>
      <x:c r="K48" s="12" t="str">
        <x:v>500110003</x:v>
      </x:c>
      <x:c r="L48" s="12" t="str">
        <x:v>塔悠八德路口</x:v>
      </x:c>
      <x:c r="M48" s="12" t="str">
        <x:v>虛線</x:v>
      </x:c>
      <x:c r="N48" s="12" t="str">
        <x:v>南港區</x:v>
      </x:c>
      <x:c r="O48" s="12" t="str">
        <x:v>松山區</x:v>
      </x:c>
      <x:c r="P48" s="12" t="str">
        <x:v>任一端非500119*</x:v>
      </x:c>
    </x:row>
    <x:row r="49">
      <x:c r="A49" s="12" t="str">
        <x:v>2026-09-01</x:v>
      </x:c>
      <x:c r="B49" s="12" t="str">
        <x:v>ZZB-0008</x:v>
      </x:c>
      <x:c r="C49" s="12" t="str">
        <x:v>2.0</x:v>
      </x:c>
      <x:c r="D49" s="13" t="n">
        <x:v>15</x:v>
      </x:c>
      <x:c r="E49" s="12" t="str">
        <x:v>2026-09-01 04:49:43</x:v>
      </x:c>
      <x:c r="F49" s="12" t="str">
        <x:v>2026-09-01 04:59:18</x:v>
      </x:c>
      <x:c r="G49" s="12" t="str">
        <x:v>04:00</x:v>
      </x:c>
      <x:c r="H49" s="12" t="str">
        <x:v>00–05</x:v>
      </x:c>
      <x:c r="I49" s="12" t="str">
        <x:v>500111073</x:v>
      </x:c>
      <x:c r="J49" s="12" t="str">
        <x:v>成福路197巷口</x:v>
      </x:c>
      <x:c r="K49" s="12" t="str">
        <x:v>500111117</x:v>
      </x:c>
      <x:c r="L49" s="12" t="str">
        <x:v>昆陽東新街口</x:v>
      </x:c>
      <x:c r="M49" s="12" t="str">
        <x:v>虛線</x:v>
      </x:c>
      <x:c r="N49" s="12" t="str">
        <x:v>南港區</x:v>
      </x:c>
      <x:c r="O49" s="12" t="str">
        <x:v>南港區</x:v>
      </x:c>
      <x:c r="P49" s="12" t="str">
        <x:v>任一端非500119*</x:v>
      </x:c>
    </x:row>
    <x:row r="50">
      <x:c r="A50" s="12" t="str">
        <x:v>2026-09-02</x:v>
      </x:c>
      <x:c r="B50" s="12" t="str">
        <x:v>ZZB-0002</x:v>
      </x:c>
      <x:c r="C50" s="12" t="str">
        <x:v>2.0</x:v>
      </x:c>
      <x:c r="D50" s="13" t="n">
        <x:v>7</x:v>
      </x:c>
      <x:c r="E50" s="12" t="str">
        <x:v>2026-09-02 08:35:49</x:v>
      </x:c>
      <x:c r="F50" s="12" t="str">
        <x:v>2026-09-02 08:42:01</x:v>
      </x:c>
      <x:c r="G50" s="12" t="str">
        <x:v>08:00</x:v>
      </x:c>
      <x:c r="H50" s="12" t="str">
        <x:v>06–09</x:v>
      </x:c>
      <x:c r="I50" s="12" t="str">
        <x:v>500119050</x:v>
      </x:c>
      <x:c r="J50" s="12" t="str">
        <x:v>臺大小福樓東側</x:v>
      </x:c>
      <x:c r="K50" s="12" t="str">
        <x:v>500119045</x:v>
      </x:c>
      <x:c r="L50" s="12" t="str">
        <x:v>臺大農業陳列館北側</x:v>
      </x:c>
      <x:c r="M50" s="12" t="str">
        <x:v>實線</x:v>
      </x:c>
      <x:c r="N50" s="12" t="str">
        <x:v>臺大公館校區</x:v>
      </x:c>
      <x:c r="O50" s="12" t="str">
        <x:v>臺大公館校區</x:v>
      </x:c>
      <x:c r="P50" s="12" t="str">
        <x:v>兩端均500119*</x:v>
      </x:c>
    </x:row>
    <x:row r="51">
      <x:c r="A51" s="12" t="str">
        <x:v>2026-09-02</x:v>
      </x:c>
      <x:c r="B51" s="12" t="str">
        <x:v>ZZB-0002</x:v>
      </x:c>
      <x:c r="C51" s="12" t="str">
        <x:v>2.0</x:v>
      </x:c>
      <x:c r="D51" s="13" t="n">
        <x:v>7</x:v>
      </x:c>
      <x:c r="E51" s="12" t="str">
        <x:v>2026-09-02 08:58:39</x:v>
      </x:c>
      <x:c r="F51" s="12" t="str">
        <x:v>2026-09-02 09:07:17</x:v>
      </x:c>
      <x:c r="G51" s="12" t="str">
        <x:v>08:00</x:v>
      </x:c>
      <x:c r="H51" s="12" t="str">
        <x:v>06–09</x:v>
      </x:c>
      <x:c r="I51" s="12" t="str">
        <x:v>500119050</x:v>
      </x:c>
      <x:c r="J51" s="12" t="str">
        <x:v>臺大小福樓東側</x:v>
      </x:c>
      <x:c r="K51" s="12" t="str">
        <x:v>500119045</x:v>
      </x:c>
      <x:c r="L51" s="12" t="str">
        <x:v>臺大農業陳列館北側</x:v>
      </x:c>
      <x:c r="M51" s="12" t="str">
        <x:v>實線</x:v>
      </x:c>
      <x:c r="N51" s="12" t="str">
        <x:v>臺大公館校區</x:v>
      </x:c>
      <x:c r="O51" s="12" t="str">
        <x:v>臺大公館校區</x:v>
      </x:c>
      <x:c r="P51" s="12" t="str">
        <x:v>兩端均500119*</x:v>
      </x:c>
    </x:row>
    <x:row r="52">
      <x:c r="A52" s="12" t="str">
        <x:v>2026-09-02</x:v>
      </x:c>
      <x:c r="B52" s="12" t="str">
        <x:v>ZZB-0002</x:v>
      </x:c>
      <x:c r="C52" s="12" t="str">
        <x:v>2.0</x:v>
      </x:c>
      <x:c r="D52" s="13" t="n">
        <x:v>7</x:v>
      </x:c>
      <x:c r="E52" s="12" t="str">
        <x:v>2026-09-02 09:23:14</x:v>
      </x:c>
      <x:c r="F52" s="12" t="str">
        <x:v>2026-09-02 09:31:30</x:v>
      </x:c>
      <x:c r="G52" s="12" t="str">
        <x:v>09:00</x:v>
      </x:c>
      <x:c r="H52" s="12" t="str">
        <x:v>06–09</x:v>
      </x:c>
      <x:c r="I52" s="12" t="str">
        <x:v>500119102</x:v>
      </x:c>
      <x:c r="J52" s="12" t="str">
        <x:v>臺大普通教學館東側</x:v>
      </x:c>
      <x:c r="K52" s="12" t="str">
        <x:v>500119045</x:v>
      </x:c>
      <x:c r="L52" s="12" t="str">
        <x:v>臺大農業陳列館北側</x:v>
      </x:c>
      <x:c r="M52" s="12" t="str">
        <x:v>實線</x:v>
      </x:c>
      <x:c r="N52" s="12" t="str">
        <x:v>臺大公館校區</x:v>
      </x:c>
      <x:c r="O52" s="12" t="str">
        <x:v>臺大公館校區</x:v>
      </x:c>
      <x:c r="P52" s="12" t="str">
        <x:v>兩端均500119*</x:v>
      </x:c>
    </x:row>
    <x:row r="53">
      <x:c r="A53" s="12" t="str">
        <x:v>2026-09-02</x:v>
      </x:c>
      <x:c r="B53" s="12" t="str">
        <x:v>ZZB-0002</x:v>
      </x:c>
      <x:c r="C53" s="12" t="str">
        <x:v>2.0</x:v>
      </x:c>
      <x:c r="D53" s="13" t="n">
        <x:v>7</x:v>
      </x:c>
      <x:c r="E53" s="12" t="str">
        <x:v>2026-09-02 09:41:07</x:v>
      </x:c>
      <x:c r="F53" s="12" t="str">
        <x:v>2026-09-02 09:50:03</x:v>
      </x:c>
      <x:c r="G53" s="12" t="str">
        <x:v>09:00</x:v>
      </x:c>
      <x:c r="H53" s="12" t="str">
        <x:v>06–09</x:v>
      </x:c>
      <x:c r="I53" s="12" t="str">
        <x:v>500119102</x:v>
      </x:c>
      <x:c r="J53" s="12" t="str">
        <x:v>臺大普通教學館東側</x:v>
      </x:c>
      <x:c r="K53" s="12" t="str">
        <x:v>500101276</x:v>
      </x:c>
      <x:c r="L53" s="12" t="str">
        <x:v>羅斯福新生南路口</x:v>
      </x:c>
      <x:c r="M53" s="12" t="str">
        <x:v>虛線</x:v>
      </x:c>
      <x:c r="N53" s="12" t="str">
        <x:v>臺大公館校區</x:v>
      </x:c>
      <x:c r="O53" s="12" t="str">
        <x:v>大安區</x:v>
      </x:c>
      <x:c r="P53" s="12" t="str">
        <x:v>任一端非500119*</x:v>
      </x:c>
    </x:row>
    <x:row r="54">
      <x:c r="A54" s="12" t="str">
        <x:v>2026-09-02</x:v>
      </x:c>
      <x:c r="B54" s="12" t="str">
        <x:v>ZZB-0002</x:v>
      </x:c>
      <x:c r="C54" s="12" t="str">
        <x:v>2.0</x:v>
      </x:c>
      <x:c r="D54" s="13" t="n">
        <x:v>7</x:v>
      </x:c>
      <x:c r="E54" s="12" t="str">
        <x:v>2026-09-02 10:00:17</x:v>
      </x:c>
      <x:c r="F54" s="12" t="str">
        <x:v>2026-09-02 10:11:14</x:v>
      </x:c>
      <x:c r="G54" s="12" t="str">
        <x:v>10:00</x:v>
      </x:c>
      <x:c r="H54" s="12" t="str">
        <x:v>10–13</x:v>
      </x:c>
      <x:c r="I54" s="12" t="str">
        <x:v>500119102</x:v>
      </x:c>
      <x:c r="J54" s="12" t="str">
        <x:v>臺大普通教學館東側</x:v>
      </x:c>
      <x:c r="K54" s="12" t="str">
        <x:v>500119045</x:v>
      </x:c>
      <x:c r="L54" s="12" t="str">
        <x:v>臺大農業陳列館北側</x:v>
      </x:c>
      <x:c r="M54" s="12" t="str">
        <x:v>實線</x:v>
      </x:c>
      <x:c r="N54" s="12" t="str">
        <x:v>臺大公館校區</x:v>
      </x:c>
      <x:c r="O54" s="12" t="str">
        <x:v>臺大公館校區</x:v>
      </x:c>
      <x:c r="P54" s="12" t="str">
        <x:v>兩端均500119*</x:v>
      </x:c>
    </x:row>
    <x:row r="55">
      <x:c r="A55" s="12" t="str">
        <x:v>2026-09-02</x:v>
      </x:c>
      <x:c r="B55" s="12" t="str">
        <x:v>ZZB-0002</x:v>
      </x:c>
      <x:c r="C55" s="12" t="str">
        <x:v>2.0</x:v>
      </x:c>
      <x:c r="D55" s="13" t="n">
        <x:v>7</x:v>
      </x:c>
      <x:c r="E55" s="12" t="str">
        <x:v>2026-09-02 10:30:23</x:v>
      </x:c>
      <x:c r="F55" s="12" t="str">
        <x:v>2026-09-02 10:35:00</x:v>
      </x:c>
      <x:c r="G55" s="12" t="str">
        <x:v>10:00</x:v>
      </x:c>
      <x:c r="H55" s="12" t="str">
        <x:v>10–13</x:v>
      </x:c>
      <x:c r="I55" s="12" t="str">
        <x:v>500119050</x:v>
      </x:c>
      <x:c r="J55" s="12" t="str">
        <x:v>臺大小福樓東側</x:v>
      </x:c>
      <x:c r="K55" s="12" t="str">
        <x:v>500101276</x:v>
      </x:c>
      <x:c r="L55" s="12" t="str">
        <x:v>羅斯福新生南路口</x:v>
      </x:c>
      <x:c r="M55" s="12" t="str">
        <x:v>虛線</x:v>
      </x:c>
      <x:c r="N55" s="12" t="str">
        <x:v>臺大公館校區</x:v>
      </x:c>
      <x:c r="O55" s="12" t="str">
        <x:v>大安區</x:v>
      </x:c>
      <x:c r="P55" s="12" t="str">
        <x:v>任一端非500119*</x:v>
      </x:c>
    </x:row>
    <x:row r="56">
      <x:c r="A56" s="12" t="str">
        <x:v>2026-09-02</x:v>
      </x:c>
      <x:c r="B56" s="12" t="str">
        <x:v>ZZB-0002</x:v>
      </x:c>
      <x:c r="C56" s="12" t="str">
        <x:v>2.0</x:v>
      </x:c>
      <x:c r="D56" s="13" t="n">
        <x:v>7</x:v>
      </x:c>
      <x:c r="E56" s="12" t="str">
        <x:v>2026-09-02 10:40:19</x:v>
      </x:c>
      <x:c r="F56" s="12" t="str">
        <x:v>2026-09-02 10:53:07</x:v>
      </x:c>
      <x:c r="G56" s="12" t="str">
        <x:v>10:00</x:v>
      </x:c>
      <x:c r="H56" s="12" t="str">
        <x:v>10–13</x:v>
      </x:c>
      <x:c r="I56" s="12" t="str">
        <x:v>500119050</x:v>
      </x:c>
      <x:c r="J56" s="12" t="str">
        <x:v>臺大小福樓東側</x:v>
      </x:c>
      <x:c r="K56" s="12" t="str">
        <x:v>500101193</x:v>
      </x:c>
      <x:c r="L56" s="12" t="str">
        <x:v>基隆長興路口</x:v>
      </x:c>
      <x:c r="M56" s="12" t="str">
        <x:v>虛線</x:v>
      </x:c>
      <x:c r="N56" s="12" t="str">
        <x:v>臺大公館校區</x:v>
      </x:c>
      <x:c r="O56" s="12" t="str">
        <x:v>大安區</x:v>
      </x:c>
      <x:c r="P56" s="12" t="str">
        <x:v>任一端非500119*</x:v>
      </x:c>
    </x:row>
    <x:row r="57">
      <x:c r="A57" s="12" t="str">
        <x:v>2026-09-02</x:v>
      </x:c>
      <x:c r="B57" s="12" t="str">
        <x:v>ZZB-0002</x:v>
      </x:c>
      <x:c r="C57" s="12" t="str">
        <x:v>2.0</x:v>
      </x:c>
      <x:c r="D57" s="13" t="n">
        <x:v>7</x:v>
      </x:c>
      <x:c r="E57" s="12" t="str">
        <x:v>2026-09-02 12:50:23</x:v>
      </x:c>
      <x:c r="F57" s="12" t="str">
        <x:v>2026-09-02 12:50:33</x:v>
      </x:c>
      <x:c r="G57" s="12" t="str">
        <x:v>12:00</x:v>
      </x:c>
      <x:c r="H57" s="12" t="str">
        <x:v>10–13</x:v>
      </x:c>
      <x:c r="I57" s="12" t="str">
        <x:v>500119085</x:v>
      </x:c>
      <x:c r="J57" s="12" t="str">
        <x:v>臺大電機二館東南側</x:v>
      </x:c>
      <x:c r="K57" s="12" t="str">
        <x:v>500119064</x:v>
      </x:c>
      <x:c r="L57" s="12" t="str">
        <x:v>臺大明達館機車停車場</x:v>
      </x:c>
      <x:c r="M57" s="12" t="str">
        <x:v>實線</x:v>
      </x:c>
      <x:c r="N57" s="12" t="str">
        <x:v>臺大公館校區</x:v>
      </x:c>
      <x:c r="O57" s="12" t="str">
        <x:v>臺大公館校區</x:v>
      </x:c>
      <x:c r="P57" s="12" t="str">
        <x:v>兩端均500119*</x:v>
      </x:c>
    </x:row>
    <x:row r="58">
      <x:c r="A58" s="12" t="str">
        <x:v>2026-09-02</x:v>
      </x:c>
      <x:c r="B58" s="12" t="str">
        <x:v>ZZB-0002</x:v>
      </x:c>
      <x:c r="C58" s="12" t="str">
        <x:v>2.0</x:v>
      </x:c>
      <x:c r="D58" s="13" t="n">
        <x:v>7</x:v>
      </x:c>
      <x:c r="E58" s="12" t="str">
        <x:v>2026-09-02 13:06:57</x:v>
      </x:c>
      <x:c r="F58" s="12" t="str">
        <x:v>2026-09-02 13:07:12</x:v>
      </x:c>
      <x:c r="G58" s="12" t="str">
        <x:v>13:00</x:v>
      </x:c>
      <x:c r="H58" s="12" t="str">
        <x:v>10–13</x:v>
      </x:c>
      <x:c r="I58" s="12" t="str">
        <x:v>500119100</x:v>
      </x:c>
      <x:c r="J58" s="12" t="str">
        <x:v>臺大博理館東側</x:v>
      </x:c>
      <x:c r="K58" s="12" t="str">
        <x:v>500119091</x:v>
      </x:c>
      <x:c r="L58" s="12" t="str">
        <x:v>臺大明達館北側(員工宿舍)</x:v>
      </x:c>
      <x:c r="M58" s="12" t="str">
        <x:v>實線</x:v>
      </x:c>
      <x:c r="N58" s="12" t="str">
        <x:v>臺大公館校區</x:v>
      </x:c>
      <x:c r="O58" s="12" t="str">
        <x:v>臺大公館校區</x:v>
      </x:c>
      <x:c r="P58" s="12" t="str">
        <x:v>兩端均500119*</x:v>
      </x:c>
    </x:row>
    <x:row r="59">
      <x:c r="A59" s="12" t="str">
        <x:v>2026-09-02</x:v>
      </x:c>
      <x:c r="B59" s="12" t="str">
        <x:v>ZZB-0002</x:v>
      </x:c>
      <x:c r="C59" s="12" t="str">
        <x:v>2.0</x:v>
      </x:c>
      <x:c r="D59" s="13" t="n">
        <x:v>7</x:v>
      </x:c>
      <x:c r="E59" s="12" t="str">
        <x:v>2026-09-02 13:25:48</x:v>
      </x:c>
      <x:c r="F59" s="12" t="str">
        <x:v>2026-09-02 13:26:00</x:v>
      </x:c>
      <x:c r="G59" s="12" t="str">
        <x:v>13:00</x:v>
      </x:c>
      <x:c r="H59" s="12" t="str">
        <x:v>10–13</x:v>
      </x:c>
      <x:c r="I59" s="12" t="str">
        <x:v>500119076</x:v>
      </x:c>
      <x:c r="J59" s="12" t="str">
        <x:v>臺大博理館西側</x:v>
      </x:c>
      <x:c r="K59" s="12" t="str">
        <x:v>500119064</x:v>
      </x:c>
      <x:c r="L59" s="12" t="str">
        <x:v>臺大明達館機車停車場</x:v>
      </x:c>
      <x:c r="M59" s="12" t="str">
        <x:v>實線</x:v>
      </x:c>
      <x:c r="N59" s="12" t="str">
        <x:v>臺大公館校區</x:v>
      </x:c>
      <x:c r="O59" s="12" t="str">
        <x:v>臺大公館校區</x:v>
      </x:c>
      <x:c r="P59" s="12" t="str">
        <x:v>兩端均500119*</x:v>
      </x:c>
    </x:row>
    <x:row r="60">
      <x:c r="A60" s="12" t="str">
        <x:v>2026-09-02</x:v>
      </x:c>
      <x:c r="B60" s="12" t="str">
        <x:v>ZZB-0002</x:v>
      </x:c>
      <x:c r="C60" s="12" t="str">
        <x:v>2.0</x:v>
      </x:c>
      <x:c r="D60" s="13" t="n">
        <x:v>7</x:v>
      </x:c>
      <x:c r="E60" s="12" t="str">
        <x:v>2026-09-02 13:38:18</x:v>
      </x:c>
      <x:c r="F60" s="12" t="str">
        <x:v>2026-09-02 13:38:29</x:v>
      </x:c>
      <x:c r="G60" s="12" t="str">
        <x:v>13:00</x:v>
      </x:c>
      <x:c r="H60" s="12" t="str">
        <x:v>10–13</x:v>
      </x:c>
      <x:c r="I60" s="12" t="str">
        <x:v>500119085</x:v>
      </x:c>
      <x:c r="J60" s="12" t="str">
        <x:v>臺大電機二館東南側</x:v>
      </x:c>
      <x:c r="K60" s="12" t="str">
        <x:v>500119064</x:v>
      </x:c>
      <x:c r="L60" s="12" t="str">
        <x:v>臺大明達館機車停車場</x:v>
      </x:c>
      <x:c r="M60" s="12" t="str">
        <x:v>實線</x:v>
      </x:c>
      <x:c r="N60" s="12" t="str">
        <x:v>臺大公館校區</x:v>
      </x:c>
      <x:c r="O60" s="12" t="str">
        <x:v>臺大公館校區</x:v>
      </x:c>
      <x:c r="P60" s="12" t="str">
        <x:v>兩端均500119*</x:v>
      </x:c>
    </x:row>
    <x:row r="61">
      <x:c r="A61" s="12" t="str">
        <x:v>2026-09-02</x:v>
      </x:c>
      <x:c r="B61" s="12" t="str">
        <x:v>ZZB-0002</x:v>
      </x:c>
      <x:c r="C61" s="12" t="str">
        <x:v>2.0</x:v>
      </x:c>
      <x:c r="D61" s="13" t="n">
        <x:v>7</x:v>
      </x:c>
      <x:c r="E61" s="12" t="str">
        <x:v>2026-09-02 14:01:19</x:v>
      </x:c>
      <x:c r="F61" s="12" t="str">
        <x:v>2026-09-02 14:01:41</x:v>
      </x:c>
      <x:c r="G61" s="12" t="str">
        <x:v>14:00</x:v>
      </x:c>
      <x:c r="H61" s="12" t="str">
        <x:v>14–17</x:v>
      </x:c>
      <x:c r="I61" s="12" t="str">
        <x:v>500119076</x:v>
      </x:c>
      <x:c r="J61" s="12" t="str">
        <x:v>臺大博理館西側</x:v>
      </x:c>
      <x:c r="K61" s="12" t="str">
        <x:v>500119064</x:v>
      </x:c>
      <x:c r="L61" s="12" t="str">
        <x:v>臺大明達館機車停車場</x:v>
      </x:c>
      <x:c r="M61" s="12" t="str">
        <x:v>實線</x:v>
      </x:c>
      <x:c r="N61" s="12" t="str">
        <x:v>臺大公館校區</x:v>
      </x:c>
      <x:c r="O61" s="12" t="str">
        <x:v>臺大公館校區</x:v>
      </x:c>
      <x:c r="P61" s="12" t="str">
        <x:v>兩端均500119*</x:v>
      </x:c>
    </x:row>
    <x:row r="62">
      <x:c r="A62" s="12" t="str">
        <x:v>2026-09-02</x:v>
      </x:c>
      <x:c r="B62" s="12" t="str">
        <x:v>ZZB-0002</x:v>
      </x:c>
      <x:c r="C62" s="12" t="str">
        <x:v>2.0</x:v>
      </x:c>
      <x:c r="D62" s="13" t="n">
        <x:v>7</x:v>
      </x:c>
      <x:c r="E62" s="12" t="str">
        <x:v>2026-09-02 17:55:24</x:v>
      </x:c>
      <x:c r="F62" s="12" t="str">
        <x:v>2026-09-02 17:55:35</x:v>
      </x:c>
      <x:c r="G62" s="12" t="str">
        <x:v>17:00</x:v>
      </x:c>
      <x:c r="H62" s="12" t="str">
        <x:v>14–17</x:v>
      </x:c>
      <x:c r="I62" s="12" t="str">
        <x:v>500119045</x:v>
      </x:c>
      <x:c r="J62" s="12" t="str">
        <x:v>臺大農業陳列館北側</x:v>
      </x:c>
      <x:c r="K62" s="12" t="str">
        <x:v>500119050</x:v>
      </x:c>
      <x:c r="L62" s="12" t="str">
        <x:v>臺大小福樓東側</x:v>
      </x:c>
      <x:c r="M62" s="12" t="str">
        <x:v>實線</x:v>
      </x:c>
      <x:c r="N62" s="12" t="str">
        <x:v>臺大公館校區</x:v>
      </x:c>
      <x:c r="O62" s="12" t="str">
        <x:v>臺大公館校區</x:v>
      </x:c>
      <x:c r="P62" s="12" t="str">
        <x:v>兩端均500119*</x:v>
      </x:c>
    </x:row>
    <x:row r="63">
      <x:c r="A63" s="12" t="str">
        <x:v>2026-09-02</x:v>
      </x:c>
      <x:c r="B63" s="12" t="str">
        <x:v>ZZB-0002</x:v>
      </x:c>
      <x:c r="C63" s="12" t="str">
        <x:v>2.0</x:v>
      </x:c>
      <x:c r="D63" s="13" t="n">
        <x:v>7</x:v>
      </x:c>
      <x:c r="E63" s="12" t="str">
        <x:v>2026-09-02 18:13:37</x:v>
      </x:c>
      <x:c r="F63" s="12" t="str">
        <x:v>2026-09-02 18:13:51</x:v>
      </x:c>
      <x:c r="G63" s="12" t="str">
        <x:v>18:00</x:v>
      </x:c>
      <x:c r="H63" s="12" t="str">
        <x:v>18–21</x:v>
      </x:c>
      <x:c r="I63" s="12" t="str">
        <x:v>500119045</x:v>
      </x:c>
      <x:c r="J63" s="12" t="str">
        <x:v>臺大農業陳列館北側</x:v>
      </x:c>
      <x:c r="K63" s="12" t="str">
        <x:v>500119050</x:v>
      </x:c>
      <x:c r="L63" s="12" t="str">
        <x:v>臺大小福樓東側</x:v>
      </x:c>
      <x:c r="M63" s="12" t="str">
        <x:v>實線</x:v>
      </x:c>
      <x:c r="N63" s="12" t="str">
        <x:v>臺大公館校區</x:v>
      </x:c>
      <x:c r="O63" s="12" t="str">
        <x:v>臺大公館校區</x:v>
      </x:c>
      <x:c r="P63" s="12" t="str">
        <x:v>兩端均500119*</x:v>
      </x:c>
    </x:row>
    <x:row r="64">
      <x:c r="A64" s="12" t="str">
        <x:v>2026-09-02</x:v>
      </x:c>
      <x:c r="B64" s="12" t="str">
        <x:v>ZZB-0002</x:v>
      </x:c>
      <x:c r="C64" s="12" t="str">
        <x:v>2.0</x:v>
      </x:c>
      <x:c r="D64" s="13" t="n">
        <x:v>7</x:v>
      </x:c>
      <x:c r="E64" s="12" t="str">
        <x:v>2026-09-02 18:32:11</x:v>
      </x:c>
      <x:c r="F64" s="12" t="str">
        <x:v>2026-09-02 18:32:21</x:v>
      </x:c>
      <x:c r="G64" s="12" t="str">
        <x:v>18:00</x:v>
      </x:c>
      <x:c r="H64" s="12" t="str">
        <x:v>18–21</x:v>
      </x:c>
      <x:c r="I64" s="12" t="str">
        <x:v>500119045</x:v>
      </x:c>
      <x:c r="J64" s="12" t="str">
        <x:v>臺大農業陳列館北側</x:v>
      </x:c>
      <x:c r="K64" s="12" t="str">
        <x:v>500119050</x:v>
      </x:c>
      <x:c r="L64" s="12" t="str">
        <x:v>臺大小福樓東側</x:v>
      </x:c>
      <x:c r="M64" s="12" t="str">
        <x:v>實線</x:v>
      </x:c>
      <x:c r="N64" s="12" t="str">
        <x:v>臺大公館校區</x:v>
      </x:c>
      <x:c r="O64" s="12" t="str">
        <x:v>臺大公館校區</x:v>
      </x:c>
      <x:c r="P64" s="12" t="str">
        <x:v>兩端均500119*</x:v>
      </x:c>
    </x:row>
    <x:row r="65">
      <x:c r="A65" s="12" t="str">
        <x:v>2026-09-02</x:v>
      </x:c>
      <x:c r="B65" s="12" t="str">
        <x:v>ZZB-0002</x:v>
      </x:c>
      <x:c r="C65" s="12" t="str">
        <x:v>2.0</x:v>
      </x:c>
      <x:c r="D65" s="13" t="n">
        <x:v>7</x:v>
      </x:c>
      <x:c r="E65" s="12" t="str">
        <x:v>2026-09-02 18:43:15</x:v>
      </x:c>
      <x:c r="F65" s="12" t="str">
        <x:v>2026-09-02 18:43:37</x:v>
      </x:c>
      <x:c r="G65" s="12" t="str">
        <x:v>18:00</x:v>
      </x:c>
      <x:c r="H65" s="12" t="str">
        <x:v>18–21</x:v>
      </x:c>
      <x:c r="I65" s="12" t="str">
        <x:v>500119070</x:v>
      </x:c>
      <x:c r="J65" s="12" t="str">
        <x:v>臺大椰林小舖</x:v>
      </x:c>
      <x:c r="K65" s="12" t="str">
        <x:v>500119061</x:v>
      </x:c>
      <x:c r="L65" s="12" t="str">
        <x:v>臺大鹿鳴堂東側</x:v>
      </x:c>
      <x:c r="M65" s="12" t="str">
        <x:v>實線</x:v>
      </x:c>
      <x:c r="N65" s="12" t="str">
        <x:v>臺大公館校區</x:v>
      </x:c>
      <x:c r="O65" s="12" t="str">
        <x:v>臺大公館校區</x:v>
      </x:c>
      <x:c r="P65" s="12" t="str">
        <x:v>兩端均500119*</x:v>
      </x:c>
    </x:row>
    <x:row r="66">
      <x:c r="A66" s="12" t="str">
        <x:v>2026-09-02</x:v>
      </x:c>
      <x:c r="B66" s="12" t="str">
        <x:v>ZZB-0002</x:v>
      </x:c>
      <x:c r="C66" s="12" t="str">
        <x:v>2.0</x:v>
      </x:c>
      <x:c r="D66" s="13" t="n">
        <x:v>7</x:v>
      </x:c>
      <x:c r="E66" s="12" t="str">
        <x:v>2026-09-02 19:11:35</x:v>
      </x:c>
      <x:c r="F66" s="12" t="str">
        <x:v>2026-09-02 19:11:59</x:v>
      </x:c>
      <x:c r="G66" s="12" t="str">
        <x:v>19:00</x:v>
      </x:c>
      <x:c r="H66" s="12" t="str">
        <x:v>18–21</x:v>
      </x:c>
      <x:c r="I66" s="12" t="str">
        <x:v>500119070</x:v>
      </x:c>
      <x:c r="J66" s="12" t="str">
        <x:v>臺大椰林小舖</x:v>
      </x:c>
      <x:c r="K66" s="12" t="str">
        <x:v>500119061</x:v>
      </x:c>
      <x:c r="L66" s="12" t="str">
        <x:v>臺大鹿鳴堂東側</x:v>
      </x:c>
      <x:c r="M66" s="12" t="str">
        <x:v>實線</x:v>
      </x:c>
      <x:c r="N66" s="12" t="str">
        <x:v>臺大公館校區</x:v>
      </x:c>
      <x:c r="O66" s="12" t="str">
        <x:v>臺大公館校區</x:v>
      </x:c>
      <x:c r="P66" s="12" t="str">
        <x:v>兩端均500119*</x:v>
      </x:c>
    </x:row>
    <x:row r="67">
      <x:c r="A67" s="12" t="str">
        <x:v>2026-09-02</x:v>
      </x:c>
      <x:c r="B67" s="12" t="str">
        <x:v>ZZB-0002</x:v>
      </x:c>
      <x:c r="C67" s="12" t="str">
        <x:v>2.0</x:v>
      </x:c>
      <x:c r="D67" s="13" t="n">
        <x:v>7</x:v>
      </x:c>
      <x:c r="E67" s="12" t="str">
        <x:v>2026-09-02 19:32:33</x:v>
      </x:c>
      <x:c r="F67" s="12" t="str">
        <x:v>2026-09-02 19:32:44</x:v>
      </x:c>
      <x:c r="G67" s="12" t="str">
        <x:v>19:00</x:v>
      </x:c>
      <x:c r="H67" s="12" t="str">
        <x:v>18–21</x:v>
      </x:c>
      <x:c r="I67" s="12" t="str">
        <x:v>500119048</x:v>
      </x:c>
      <x:c r="J67" s="12" t="str">
        <x:v>臺大大一女舍北側</x:v>
      </x:c>
      <x:c r="K67" s="12" t="str">
        <x:v>500119074</x:v>
      </x:c>
      <x:c r="L67" s="12" t="str">
        <x:v>臺大生命科學館西北側</x:v>
      </x:c>
      <x:c r="M67" s="12" t="str">
        <x:v>實線</x:v>
      </x:c>
      <x:c r="N67" s="12" t="str">
        <x:v>臺大公館校區</x:v>
      </x:c>
      <x:c r="O67" s="12" t="str">
        <x:v>臺大公館校區</x:v>
      </x:c>
      <x:c r="P67" s="12" t="str">
        <x:v>兩端均500119*</x:v>
      </x:c>
    </x:row>
    <x:row r="68">
      <x:c r="A68" s="12" t="str">
        <x:v>2026-09-02</x:v>
      </x:c>
      <x:c r="B68" s="12" t="str">
        <x:v>ZZB-0003</x:v>
      </x:c>
      <x:c r="C68" s="12" t="str">
        <x:v>2.0</x:v>
      </x:c>
      <x:c r="D68" s="13" t="n">
        <x:v>6</x:v>
      </x:c>
      <x:c r="E68" s="12" t="str">
        <x:v>2026-09-02 08:38:23</x:v>
      </x:c>
      <x:c r="F68" s="12" t="str">
        <x:v>2026-09-02 08:38:39</x:v>
      </x:c>
      <x:c r="G68" s="12" t="str">
        <x:v>08:00</x:v>
      </x:c>
      <x:c r="H68" s="12" t="str">
        <x:v>06–09</x:v>
      </x:c>
      <x:c r="I68" s="12" t="str">
        <x:v>500119072</x:v>
      </x:c>
      <x:c r="J68" s="12" t="str">
        <x:v>臺大原分所北側</x:v>
      </x:c>
      <x:c r="K68" s="12" t="str">
        <x:v>500119059</x:v>
      </x:c>
      <x:c r="L68" s="12" t="str">
        <x:v>臺大共同教室北側</x:v>
      </x:c>
      <x:c r="M68" s="12" t="str">
        <x:v>實線</x:v>
      </x:c>
      <x:c r="N68" s="12" t="str">
        <x:v>臺大公館校區</x:v>
      </x:c>
      <x:c r="O68" s="12" t="str">
        <x:v>臺大公館校區</x:v>
      </x:c>
      <x:c r="P68" s="12" t="str">
        <x:v>兩端均500119*</x:v>
      </x:c>
    </x:row>
    <x:row r="69">
      <x:c r="A69" s="12" t="str">
        <x:v>2026-09-02</x:v>
      </x:c>
      <x:c r="B69" s="12" t="str">
        <x:v>ZZB-0003</x:v>
      </x:c>
      <x:c r="C69" s="12" t="str">
        <x:v>2.0</x:v>
      </x:c>
      <x:c r="D69" s="13" t="n">
        <x:v>7</x:v>
      </x:c>
      <x:c r="E69" s="12" t="str">
        <x:v>2026-09-02 08:38:55</x:v>
      </x:c>
      <x:c r="F69" s="12" t="str">
        <x:v>2026-09-02 08:45:53</x:v>
      </x:c>
      <x:c r="G69" s="12" t="str">
        <x:v>08:00</x:v>
      </x:c>
      <x:c r="H69" s="12" t="str">
        <x:v>06–09</x:v>
      </x:c>
      <x:c r="I69" s="12" t="str">
        <x:v>500119087</x:v>
      </x:c>
      <x:c r="J69" s="12" t="str">
        <x:v>臺大總圖書館西南側</x:v>
      </x:c>
      <x:c r="K69" s="12" t="str">
        <x:v>500119061</x:v>
      </x:c>
      <x:c r="L69" s="12" t="str">
        <x:v>臺大鹿鳴堂東側</x:v>
      </x:c>
      <x:c r="M69" s="12" t="str">
        <x:v>實線</x:v>
      </x:c>
      <x:c r="N69" s="12" t="str">
        <x:v>臺大公館校區</x:v>
      </x:c>
      <x:c r="O69" s="12" t="str">
        <x:v>臺大公館校區</x:v>
      </x:c>
      <x:c r="P69" s="12" t="str">
        <x:v>兩端均500119*</x:v>
      </x:c>
    </x:row>
    <x:row r="70">
      <x:c r="A70" s="12" t="str">
        <x:v>2026-09-02</x:v>
      </x:c>
      <x:c r="B70" s="12" t="str">
        <x:v>ZZB-0003</x:v>
      </x:c>
      <x:c r="C70" s="12" t="str">
        <x:v>2.0</x:v>
      </x:c>
      <x:c r="D70" s="13" t="n">
        <x:v>7</x:v>
      </x:c>
      <x:c r="E70" s="12" t="str">
        <x:v>2026-09-02 08:45:33</x:v>
      </x:c>
      <x:c r="F70" s="12" t="str">
        <x:v>2026-09-02 09:00:24</x:v>
      </x:c>
      <x:c r="G70" s="12" t="str">
        <x:v>08:00</x:v>
      </x:c>
      <x:c r="H70" s="12" t="str">
        <x:v>06–09</x:v>
      </x:c>
      <x:c r="I70" s="12" t="str">
        <x:v>500119087</x:v>
      </x:c>
      <x:c r="J70" s="12" t="str">
        <x:v>臺大總圖書館西南側</x:v>
      </x:c>
      <x:c r="K70" s="12" t="str">
        <x:v>500119059</x:v>
      </x:c>
      <x:c r="L70" s="12" t="str">
        <x:v>臺大共同教室北側</x:v>
      </x:c>
      <x:c r="M70" s="12" t="str">
        <x:v>實線</x:v>
      </x:c>
      <x:c r="N70" s="12" t="str">
        <x:v>臺大公館校區</x:v>
      </x:c>
      <x:c r="O70" s="12" t="str">
        <x:v>臺大公館校區</x:v>
      </x:c>
      <x:c r="P70" s="12" t="str">
        <x:v>兩端均500119*</x:v>
      </x:c>
    </x:row>
    <x:row r="71">
      <x:c r="A71" s="12" t="str">
        <x:v>2026-09-02</x:v>
      </x:c>
      <x:c r="B71" s="12" t="str">
        <x:v>ZZB-0003</x:v>
      </x:c>
      <x:c r="C71" s="12" t="str">
        <x:v>2.0</x:v>
      </x:c>
      <x:c r="D71" s="13" t="n">
        <x:v>7</x:v>
      </x:c>
      <x:c r="E71" s="12" t="str">
        <x:v>2026-09-02 09:00:07</x:v>
      </x:c>
      <x:c r="F71" s="12" t="str">
        <x:v>2026-09-02 09:19:49</x:v>
      </x:c>
      <x:c r="G71" s="12" t="str">
        <x:v>09:00</x:v>
      </x:c>
      <x:c r="H71" s="12" t="str">
        <x:v>06–09</x:v>
      </x:c>
      <x:c r="I71" s="12" t="str">
        <x:v>500119087</x:v>
      </x:c>
      <x:c r="J71" s="12" t="str">
        <x:v>臺大總圖書館西南側</x:v>
      </x:c>
      <x:c r="K71" s="12" t="str">
        <x:v>500119061</x:v>
      </x:c>
      <x:c r="L71" s="12" t="str">
        <x:v>臺大鹿鳴堂東側</x:v>
      </x:c>
      <x:c r="M71" s="12" t="str">
        <x:v>實線</x:v>
      </x:c>
      <x:c r="N71" s="12" t="str">
        <x:v>臺大公館校區</x:v>
      </x:c>
      <x:c r="O71" s="12" t="str">
        <x:v>臺大公館校區</x:v>
      </x:c>
      <x:c r="P71" s="12" t="str">
        <x:v>兩端均500119*</x:v>
      </x:c>
    </x:row>
    <x:row r="72">
      <x:c r="A72" s="12" t="str">
        <x:v>2026-09-02</x:v>
      </x:c>
      <x:c r="B72" s="12" t="str">
        <x:v>ZZB-0003</x:v>
      </x:c>
      <x:c r="C72" s="12" t="str">
        <x:v>2.0</x:v>
      </x:c>
      <x:c r="D72" s="13" t="n">
        <x:v>6</x:v>
      </x:c>
      <x:c r="E72" s="12" t="str">
        <x:v>2026-09-02 09:19:36</x:v>
      </x:c>
      <x:c r="F72" s="12" t="str">
        <x:v>2026-09-02 09:38:54</x:v>
      </x:c>
      <x:c r="G72" s="12" t="str">
        <x:v>09:00</x:v>
      </x:c>
      <x:c r="H72" s="12" t="str">
        <x:v>06–09</x:v>
      </x:c>
      <x:c r="I72" s="12" t="str">
        <x:v>500119086</x:v>
      </x:c>
      <x:c r="J72" s="12" t="str">
        <x:v>臺大圖資系館北側</x:v>
      </x:c>
      <x:c r="K72" s="12" t="str">
        <x:v>500119074</x:v>
      </x:c>
      <x:c r="L72" s="12" t="str">
        <x:v>臺大生命科學館西北側</x:v>
      </x:c>
      <x:c r="M72" s="12" t="str">
        <x:v>實線</x:v>
      </x:c>
      <x:c r="N72" s="12" t="str">
        <x:v>臺大公館校區</x:v>
      </x:c>
      <x:c r="O72" s="12" t="str">
        <x:v>臺大公館校區</x:v>
      </x:c>
      <x:c r="P72" s="12" t="str">
        <x:v>兩端均500119*</x:v>
      </x:c>
    </x:row>
    <x:row r="73">
      <x:c r="A73" s="12" t="str">
        <x:v>2026-09-02</x:v>
      </x:c>
      <x:c r="B73" s="12" t="str">
        <x:v>ZZB-0003</x:v>
      </x:c>
      <x:c r="C73" s="12" t="str">
        <x:v>2.0</x:v>
      </x:c>
      <x:c r="D73" s="13" t="n">
        <x:v>1</x:v>
      </x:c>
      <x:c r="E73" s="12" t="str">
        <x:v>2026-09-02 09:19:36</x:v>
      </x:c>
      <x:c r="F73" s="12" t="str">
        <x:v>2026-09-02 09:59:56</x:v>
      </x:c>
      <x:c r="G73" s="12" t="str">
        <x:v>09:00</x:v>
      </x:c>
      <x:c r="H73" s="12" t="str">
        <x:v>06–09</x:v>
      </x:c>
      <x:c r="I73" s="12" t="str">
        <x:v>500119086</x:v>
      </x:c>
      <x:c r="J73" s="12" t="str">
        <x:v>臺大圖資系館北側</x:v>
      </x:c>
      <x:c r="K73" s="12" t="str">
        <x:v>500119059</x:v>
      </x:c>
      <x:c r="L73" s="12" t="str">
        <x:v>臺大共同教室北側</x:v>
      </x:c>
      <x:c r="M73" s="12" t="str">
        <x:v>實線</x:v>
      </x:c>
      <x:c r="N73" s="12" t="str">
        <x:v>臺大公館校區</x:v>
      </x:c>
      <x:c r="O73" s="12" t="str">
        <x:v>臺大公館校區</x:v>
      </x:c>
      <x:c r="P73" s="12" t="str">
        <x:v>兩端均500119*</x:v>
      </x:c>
    </x:row>
    <x:row r="74">
      <x:c r="A74" s="12" t="str">
        <x:v>2026-09-02</x:v>
      </x:c>
      <x:c r="B74" s="12" t="str">
        <x:v>ZZB-0003</x:v>
      </x:c>
      <x:c r="C74" s="12" t="str">
        <x:v>2.0</x:v>
      </x:c>
      <x:c r="D74" s="13" t="n">
        <x:v>5</x:v>
      </x:c>
      <x:c r="E74" s="12" t="str">
        <x:v>2026-09-02 09:38:38</x:v>
      </x:c>
      <x:c r="F74" s="12" t="str">
        <x:v>2026-09-02 09:59:56</x:v>
      </x:c>
      <x:c r="G74" s="12" t="str">
        <x:v>09:00</x:v>
      </x:c>
      <x:c r="H74" s="12" t="str">
        <x:v>06–09</x:v>
      </x:c>
      <x:c r="I74" s="12" t="str">
        <x:v>500119087</x:v>
      </x:c>
      <x:c r="J74" s="12" t="str">
        <x:v>臺大總圖書館西南側</x:v>
      </x:c>
      <x:c r="K74" s="12" t="str">
        <x:v>500119059</x:v>
      </x:c>
      <x:c r="L74" s="12" t="str">
        <x:v>臺大共同教室北側</x:v>
      </x:c>
      <x:c r="M74" s="12" t="str">
        <x:v>實線</x:v>
      </x:c>
      <x:c r="N74" s="12" t="str">
        <x:v>臺大公館校區</x:v>
      </x:c>
      <x:c r="O74" s="12" t="str">
        <x:v>臺大公館校區</x:v>
      </x:c>
      <x:c r="P74" s="12" t="str">
        <x:v>兩端均500119*</x:v>
      </x:c>
    </x:row>
    <x:row r="75">
      <x:c r="A75" s="12" t="str">
        <x:v>2026-09-02</x:v>
      </x:c>
      <x:c r="B75" s="12" t="str">
        <x:v>ZZB-0003</x:v>
      </x:c>
      <x:c r="C75" s="12" t="str">
        <x:v>2.0</x:v>
      </x:c>
      <x:c r="D75" s="13" t="n">
        <x:v>1</x:v>
      </x:c>
      <x:c r="E75" s="12" t="str">
        <x:v>2026-09-02 09:38:38</x:v>
      </x:c>
      <x:c r="F75" s="12" t="str">
        <x:v>2026-09-02 10:16:17</x:v>
      </x:c>
      <x:c r="G75" s="12" t="str">
        <x:v>09:00</x:v>
      </x:c>
      <x:c r="H75" s="12" t="str">
        <x:v>06–09</x:v>
      </x:c>
      <x:c r="I75" s="12" t="str">
        <x:v>500119087</x:v>
      </x:c>
      <x:c r="J75" s="12" t="str">
        <x:v>臺大總圖書館西南側</x:v>
      </x:c>
      <x:c r="K75" s="12" t="str">
        <x:v>500119061</x:v>
      </x:c>
      <x:c r="L75" s="12" t="str">
        <x:v>臺大鹿鳴堂東側</x:v>
      </x:c>
      <x:c r="M75" s="12" t="str">
        <x:v>實線</x:v>
      </x:c>
      <x:c r="N75" s="12" t="str">
        <x:v>臺大公館校區</x:v>
      </x:c>
      <x:c r="O75" s="12" t="str">
        <x:v>臺大公館校區</x:v>
      </x:c>
      <x:c r="P75" s="12" t="str">
        <x:v>兩端均500119*</x:v>
      </x:c>
    </x:row>
    <x:row r="76">
      <x:c r="A76" s="12" t="str">
        <x:v>2026-09-02</x:v>
      </x:c>
      <x:c r="B76" s="12" t="str">
        <x:v>ZZB-0003</x:v>
      </x:c>
      <x:c r="C76" s="12" t="str">
        <x:v>2.0</x:v>
      </x:c>
      <x:c r="D76" s="13" t="n">
        <x:v>6</x:v>
      </x:c>
      <x:c r="E76" s="12" t="str">
        <x:v>2026-09-02 09:59:41</x:v>
      </x:c>
      <x:c r="F76" s="12" t="str">
        <x:v>2026-09-02 10:16:17</x:v>
      </x:c>
      <x:c r="G76" s="12" t="str">
        <x:v>09:00</x:v>
      </x:c>
      <x:c r="H76" s="12" t="str">
        <x:v>06–09</x:v>
      </x:c>
      <x:c r="I76" s="12" t="str">
        <x:v>500119083</x:v>
      </x:c>
      <x:c r="J76" s="12" t="str">
        <x:v>臺大新生教室南側</x:v>
      </x:c>
      <x:c r="K76" s="12" t="str">
        <x:v>500119061</x:v>
      </x:c>
      <x:c r="L76" s="12" t="str">
        <x:v>臺大鹿鳴堂東側</x:v>
      </x:c>
      <x:c r="M76" s="12" t="str">
        <x:v>實線</x:v>
      </x:c>
      <x:c r="N76" s="12" t="str">
        <x:v>臺大公館校區</x:v>
      </x:c>
      <x:c r="O76" s="12" t="str">
        <x:v>臺大公館校區</x:v>
      </x:c>
      <x:c r="P76" s="12" t="str">
        <x:v>兩端均500119*</x:v>
      </x:c>
    </x:row>
    <x:row r="77">
      <x:c r="A77" s="12" t="str">
        <x:v>2026-09-02</x:v>
      </x:c>
      <x:c r="B77" s="12" t="str">
        <x:v>ZZB-0003</x:v>
      </x:c>
      <x:c r="C77" s="12" t="str">
        <x:v>2.0</x:v>
      </x:c>
      <x:c r="D77" s="13" t="n">
        <x:v>7</x:v>
      </x:c>
      <x:c r="E77" s="12" t="str">
        <x:v>2026-09-02 10:16:00</x:v>
      </x:c>
      <x:c r="F77" s="12" t="str">
        <x:v>2026-09-02 10:39:20</x:v>
      </x:c>
      <x:c r="G77" s="12" t="str">
        <x:v>10:00</x:v>
      </x:c>
      <x:c r="H77" s="12" t="str">
        <x:v>10–13</x:v>
      </x:c>
      <x:c r="I77" s="12" t="str">
        <x:v>500119047</x:v>
      </x:c>
      <x:c r="J77" s="12" t="str">
        <x:v>臺大土木系館</x:v>
      </x:c>
      <x:c r="K77" s="12" t="str">
        <x:v>500119094</x:v>
      </x:c>
      <x:c r="L77" s="12" t="str">
        <x:v>臺大大一女餐廳廣場</x:v>
      </x:c>
      <x:c r="M77" s="12" t="str">
        <x:v>實線</x:v>
      </x:c>
      <x:c r="N77" s="12" t="str">
        <x:v>臺大公館校區</x:v>
      </x:c>
      <x:c r="O77" s="12" t="str">
        <x:v>臺大公館校區</x:v>
      </x:c>
      <x:c r="P77" s="12" t="str">
        <x:v>兩端均500119*</x:v>
      </x:c>
    </x:row>
    <x:row r="78">
      <x:c r="A78" s="12" t="str">
        <x:v>2026-09-02</x:v>
      </x:c>
      <x:c r="B78" s="12" t="str">
        <x:v>ZZB-0003</x:v>
      </x:c>
      <x:c r="C78" s="12" t="str">
        <x:v>2.0</x:v>
      </x:c>
      <x:c r="D78" s="13" t="n">
        <x:v>7</x:v>
      </x:c>
      <x:c r="E78" s="12" t="str">
        <x:v>2026-09-02 10:39:03</x:v>
      </x:c>
      <x:c r="F78" s="12" t="str">
        <x:v>2026-09-02 11:05:18</x:v>
      </x:c>
      <x:c r="G78" s="12" t="str">
        <x:v>10:00</x:v>
      </x:c>
      <x:c r="H78" s="12" t="str">
        <x:v>10–13</x:v>
      </x:c>
      <x:c r="I78" s="12" t="str">
        <x:v>500119087</x:v>
      </x:c>
      <x:c r="J78" s="12" t="str">
        <x:v>臺大總圖書館西南側</x:v>
      </x:c>
      <x:c r="K78" s="12" t="str">
        <x:v>500119059</x:v>
      </x:c>
      <x:c r="L78" s="12" t="str">
        <x:v>臺大共同教室北側</x:v>
      </x:c>
      <x:c r="M78" s="12" t="str">
        <x:v>實線</x:v>
      </x:c>
      <x:c r="N78" s="12" t="str">
        <x:v>臺大公館校區</x:v>
      </x:c>
      <x:c r="O78" s="12" t="str">
        <x:v>臺大公館校區</x:v>
      </x:c>
      <x:c r="P78" s="12" t="str">
        <x:v>兩端均500119*</x:v>
      </x:c>
    </x:row>
    <x:row r="79">
      <x:c r="A79" s="12" t="str">
        <x:v>2026-09-02</x:v>
      </x:c>
      <x:c r="B79" s="12" t="str">
        <x:v>ZZB-0003</x:v>
      </x:c>
      <x:c r="C79" s="12" t="str">
        <x:v>2.0</x:v>
      </x:c>
      <x:c r="D79" s="13" t="n">
        <x:v>7</x:v>
      </x:c>
      <x:c r="E79" s="12" t="str">
        <x:v>2026-09-02 11:05:01</x:v>
      </x:c>
      <x:c r="F79" s="12" t="str">
        <x:v>2026-09-02 12:30:00</x:v>
      </x:c>
      <x:c r="G79" s="12" t="str">
        <x:v>11:00</x:v>
      </x:c>
      <x:c r="H79" s="12" t="str">
        <x:v>10–13</x:v>
      </x:c>
      <x:c r="I79" s="12" t="str">
        <x:v>500119086</x:v>
      </x:c>
      <x:c r="J79" s="12" t="str">
        <x:v>臺大圖資系館北側</x:v>
      </x:c>
      <x:c r="K79" s="12" t="str">
        <x:v>500119060</x:v>
      </x:c>
      <x:c r="L79" s="12" t="str">
        <x:v>臺大共同教室東南側</x:v>
      </x:c>
      <x:c r="M79" s="12" t="str">
        <x:v>實線</x:v>
      </x:c>
      <x:c r="N79" s="12" t="str">
        <x:v>臺大公館校區</x:v>
      </x:c>
      <x:c r="O79" s="12" t="str">
        <x:v>臺大公館校區</x:v>
      </x:c>
      <x:c r="P79" s="12" t="str">
        <x:v>兩端均500119*</x:v>
      </x:c>
    </x:row>
    <x:row r="80">
      <x:c r="A80" s="12" t="str">
        <x:v>2026-09-02</x:v>
      </x:c>
      <x:c r="B80" s="12" t="str">
        <x:v>ZZB-0003</x:v>
      </x:c>
      <x:c r="C80" s="12" t="str">
        <x:v>2.0</x:v>
      </x:c>
      <x:c r="D80" s="13" t="n">
        <x:v>7</x:v>
      </x:c>
      <x:c r="E80" s="12" t="str">
        <x:v>2026-09-02 12:29:46</x:v>
      </x:c>
      <x:c r="F80" s="12" t="str">
        <x:v>2026-09-02 12:53:20</x:v>
      </x:c>
      <x:c r="G80" s="12" t="str">
        <x:v>12:00</x:v>
      </x:c>
      <x:c r="H80" s="12" t="str">
        <x:v>10–13</x:v>
      </x:c>
      <x:c r="I80" s="12" t="str">
        <x:v>500119086</x:v>
      </x:c>
      <x:c r="J80" s="12" t="str">
        <x:v>臺大圖資系館北側</x:v>
      </x:c>
      <x:c r="K80" s="12" t="str">
        <x:v>500119061</x:v>
      </x:c>
      <x:c r="L80" s="12" t="str">
        <x:v>臺大鹿鳴堂東側</x:v>
      </x:c>
      <x:c r="M80" s="12" t="str">
        <x:v>實線</x:v>
      </x:c>
      <x:c r="N80" s="12" t="str">
        <x:v>臺大公館校區</x:v>
      </x:c>
      <x:c r="O80" s="12" t="str">
        <x:v>臺大公館校區</x:v>
      </x:c>
      <x:c r="P80" s="12" t="str">
        <x:v>兩端均500119*</x:v>
      </x:c>
    </x:row>
    <x:row r="81">
      <x:c r="A81" s="12" t="str">
        <x:v>2026-09-02</x:v>
      </x:c>
      <x:c r="B81" s="12" t="str">
        <x:v>ZZB-0003</x:v>
      </x:c>
      <x:c r="C81" s="12" t="str">
        <x:v>2.0</x:v>
      </x:c>
      <x:c r="D81" s="13" t="n">
        <x:v>6</x:v>
      </x:c>
      <x:c r="E81" s="12" t="str">
        <x:v>2026-09-02 12:53:01</x:v>
      </x:c>
      <x:c r="F81" s="12" t="str">
        <x:v>2026-09-02 13:18:10</x:v>
      </x:c>
      <x:c r="G81" s="12" t="str">
        <x:v>12:00</x:v>
      </x:c>
      <x:c r="H81" s="12" t="str">
        <x:v>10–13</x:v>
      </x:c>
      <x:c r="I81" s="12" t="str">
        <x:v>500119098</x:v>
      </x:c>
      <x:c r="J81" s="12" t="str">
        <x:v>臺大數學研究中心(東側)</x:v>
      </x:c>
      <x:c r="K81" s="12" t="str">
        <x:v>500119074</x:v>
      </x:c>
      <x:c r="L81" s="12" t="str">
        <x:v>臺大生命科學館西北側</x:v>
      </x:c>
      <x:c r="M81" s="12" t="str">
        <x:v>實線</x:v>
      </x:c>
      <x:c r="N81" s="12" t="str">
        <x:v>臺大公館校區</x:v>
      </x:c>
      <x:c r="O81" s="12" t="str">
        <x:v>臺大公館校區</x:v>
      </x:c>
      <x:c r="P81" s="12" t="str">
        <x:v>兩端均500119*</x:v>
      </x:c>
    </x:row>
    <x:row r="82">
      <x:c r="A82" s="12" t="str">
        <x:v>2026-09-02</x:v>
      </x:c>
      <x:c r="B82" s="12" t="str">
        <x:v>ZZB-0003</x:v>
      </x:c>
      <x:c r="C82" s="12" t="str">
        <x:v>2.0</x:v>
      </x:c>
      <x:c r="D82" s="13" t="n">
        <x:v>1</x:v>
      </x:c>
      <x:c r="E82" s="12" t="str">
        <x:v>2026-09-02 12:53:01</x:v>
      </x:c>
      <x:c r="F82" s="12" t="str">
        <x:v>2026-09-02 13:41:21</x:v>
      </x:c>
      <x:c r="G82" s="12" t="str">
        <x:v>12:00</x:v>
      </x:c>
      <x:c r="H82" s="12" t="str">
        <x:v>10–13</x:v>
      </x:c>
      <x:c r="I82" s="12" t="str">
        <x:v>500119098</x:v>
      </x:c>
      <x:c r="J82" s="12" t="str">
        <x:v>臺大數學研究中心(東側)</x:v>
      </x:c>
      <x:c r="K82" s="12" t="str">
        <x:v>500119061</x:v>
      </x:c>
      <x:c r="L82" s="12" t="str">
        <x:v>臺大鹿鳴堂東側</x:v>
      </x:c>
      <x:c r="M82" s="12" t="str">
        <x:v>實線</x:v>
      </x:c>
      <x:c r="N82" s="12" t="str">
        <x:v>臺大公館校區</x:v>
      </x:c>
      <x:c r="O82" s="12" t="str">
        <x:v>臺大公館校區</x:v>
      </x:c>
      <x:c r="P82" s="12" t="str">
        <x:v>兩端均500119*</x:v>
      </x:c>
    </x:row>
    <x:row r="83">
      <x:c r="A83" s="12" t="str">
        <x:v>2026-09-02</x:v>
      </x:c>
      <x:c r="B83" s="12" t="str">
        <x:v>ZZB-0003</x:v>
      </x:c>
      <x:c r="C83" s="12" t="str">
        <x:v>2.0</x:v>
      </x:c>
      <x:c r="D83" s="13" t="n">
        <x:v>5</x:v>
      </x:c>
      <x:c r="E83" s="12" t="str">
        <x:v>2026-09-02 13:17:57</x:v>
      </x:c>
      <x:c r="F83" s="12" t="str">
        <x:v>2026-09-02 13:41:21</x:v>
      </x:c>
      <x:c r="G83" s="12" t="str">
        <x:v>13:00</x:v>
      </x:c>
      <x:c r="H83" s="12" t="str">
        <x:v>10–13</x:v>
      </x:c>
      <x:c r="I83" s="12" t="str">
        <x:v>500119098</x:v>
      </x:c>
      <x:c r="J83" s="12" t="str">
        <x:v>臺大數學研究中心(東側)</x:v>
      </x:c>
      <x:c r="K83" s="12" t="str">
        <x:v>500119061</x:v>
      </x:c>
      <x:c r="L83" s="12" t="str">
        <x:v>臺大鹿鳴堂東側</x:v>
      </x:c>
      <x:c r="M83" s="12" t="str">
        <x:v>實線</x:v>
      </x:c>
      <x:c r="N83" s="12" t="str">
        <x:v>臺大公館校區</x:v>
      </x:c>
      <x:c r="O83" s="12" t="str">
        <x:v>臺大公館校區</x:v>
      </x:c>
      <x:c r="P83" s="12" t="str">
        <x:v>兩端均500119*</x:v>
      </x:c>
    </x:row>
    <x:row r="84">
      <x:c r="A84" s="12" t="str">
        <x:v>2026-09-02</x:v>
      </x:c>
      <x:c r="B84" s="12" t="str">
        <x:v>ZZB-0003</x:v>
      </x:c>
      <x:c r="C84" s="12" t="str">
        <x:v>2.0</x:v>
      </x:c>
      <x:c r="D84" s="13" t="n">
        <x:v>1</x:v>
      </x:c>
      <x:c r="E84" s="12" t="str">
        <x:v>2026-09-02 13:17:57</x:v>
      </x:c>
      <x:c r="F84" s="12" t="str">
        <x:v>2026-09-02 14:01:51</x:v>
      </x:c>
      <x:c r="G84" s="12" t="str">
        <x:v>13:00</x:v>
      </x:c>
      <x:c r="H84" s="12" t="str">
        <x:v>10–13</x:v>
      </x:c>
      <x:c r="I84" s="12" t="str">
        <x:v>500119098</x:v>
      </x:c>
      <x:c r="J84" s="12" t="str">
        <x:v>臺大數學研究中心(東側)</x:v>
      </x:c>
      <x:c r="K84" s="12" t="str">
        <x:v>500119059</x:v>
      </x:c>
      <x:c r="L84" s="12" t="str">
        <x:v>臺大共同教室北側</x:v>
      </x:c>
      <x:c r="M84" s="12" t="str">
        <x:v>實線</x:v>
      </x:c>
      <x:c r="N84" s="12" t="str">
        <x:v>臺大公館校區</x:v>
      </x:c>
      <x:c r="O84" s="12" t="str">
        <x:v>臺大公館校區</x:v>
      </x:c>
      <x:c r="P84" s="12" t="str">
        <x:v>兩端均500119*</x:v>
      </x:c>
    </x:row>
    <x:row r="85">
      <x:c r="A85" s="12" t="str">
        <x:v>2026-09-02</x:v>
      </x:c>
      <x:c r="B85" s="12" t="str">
        <x:v>ZZB-0003</x:v>
      </x:c>
      <x:c r="C85" s="12" t="str">
        <x:v>2.0</x:v>
      </x:c>
      <x:c r="D85" s="13" t="n">
        <x:v>6</x:v>
      </x:c>
      <x:c r="E85" s="12" t="str">
        <x:v>2026-09-02 13:41:02</x:v>
      </x:c>
      <x:c r="F85" s="12" t="str">
        <x:v>2026-09-02 14:01:51</x:v>
      </x:c>
      <x:c r="G85" s="12" t="str">
        <x:v>13:00</x:v>
      </x:c>
      <x:c r="H85" s="12" t="str">
        <x:v>10–13</x:v>
      </x:c>
      <x:c r="I85" s="12" t="str">
        <x:v>500119087</x:v>
      </x:c>
      <x:c r="J85" s="12" t="str">
        <x:v>臺大總圖書館西南側</x:v>
      </x:c>
      <x:c r="K85" s="12" t="str">
        <x:v>500119059</x:v>
      </x:c>
      <x:c r="L85" s="12" t="str">
        <x:v>臺大共同教室北側</x:v>
      </x:c>
      <x:c r="M85" s="12" t="str">
        <x:v>實線</x:v>
      </x:c>
      <x:c r="N85" s="12" t="str">
        <x:v>臺大公館校區</x:v>
      </x:c>
      <x:c r="O85" s="12" t="str">
        <x:v>臺大公館校區</x:v>
      </x:c>
      <x:c r="P85" s="12" t="str">
        <x:v>兩端均500119*</x:v>
      </x:c>
    </x:row>
    <x:row r="86">
      <x:c r="A86" s="12" t="str">
        <x:v>2026-09-02</x:v>
      </x:c>
      <x:c r="B86" s="12" t="str">
        <x:v>ZZB-0003</x:v>
      </x:c>
      <x:c r="C86" s="12" t="str">
        <x:v>2.0</x:v>
      </x:c>
      <x:c r="D86" s="13" t="n">
        <x:v>7</x:v>
      </x:c>
      <x:c r="E86" s="12" t="str">
        <x:v>2026-09-02 14:01:36</x:v>
      </x:c>
      <x:c r="F86" s="12" t="str">
        <x:v>2026-09-02 14:20:42</x:v>
      </x:c>
      <x:c r="G86" s="12" t="str">
        <x:v>14:00</x:v>
      </x:c>
      <x:c r="H86" s="12" t="str">
        <x:v>14–17</x:v>
      </x:c>
      <x:c r="I86" s="12" t="str">
        <x:v>500119086</x:v>
      </x:c>
      <x:c r="J86" s="12" t="str">
        <x:v>臺大圖資系館北側</x:v>
      </x:c>
      <x:c r="K86" s="12" t="str">
        <x:v>500119091</x:v>
      </x:c>
      <x:c r="L86" s="12" t="str">
        <x:v>臺大明達館北側(員工宿舍)</x:v>
      </x:c>
      <x:c r="M86" s="12" t="str">
        <x:v>實線</x:v>
      </x:c>
      <x:c r="N86" s="12" t="str">
        <x:v>臺大公館校區</x:v>
      </x:c>
      <x:c r="O86" s="12" t="str">
        <x:v>臺大公館校區</x:v>
      </x:c>
      <x:c r="P86" s="12" t="str">
        <x:v>兩端均500119*</x:v>
      </x:c>
    </x:row>
    <x:row r="87">
      <x:c r="A87" s="12" t="str">
        <x:v>2026-09-02</x:v>
      </x:c>
      <x:c r="B87" s="12" t="str">
        <x:v>ZZB-0003</x:v>
      </x:c>
      <x:c r="C87" s="12" t="str">
        <x:v>2.0</x:v>
      </x:c>
      <x:c r="D87" s="13" t="n">
        <x:v>7</x:v>
      </x:c>
      <x:c r="E87" s="12" t="str">
        <x:v>2026-09-02 14:20:25</x:v>
      </x:c>
      <x:c r="F87" s="12" t="str">
        <x:v>2026-09-02 17:22:32</x:v>
      </x:c>
      <x:c r="G87" s="12" t="str">
        <x:v>14:00</x:v>
      </x:c>
      <x:c r="H87" s="12" t="str">
        <x:v>14–17</x:v>
      </x:c>
      <x:c r="I87" s="12" t="str">
        <x:v>500119078</x:v>
      </x:c>
      <x:c r="J87" s="12" t="str">
        <x:v>臺大森林館北側</x:v>
      </x:c>
      <x:c r="K87" s="12" t="str">
        <x:v>500119055</x:v>
      </x:c>
      <x:c r="L87" s="12" t="str">
        <x:v>臺大樂學館東側</x:v>
      </x:c>
      <x:c r="M87" s="12" t="str">
        <x:v>實線</x:v>
      </x:c>
      <x:c r="N87" s="12" t="str">
        <x:v>臺大公館校區</x:v>
      </x:c>
      <x:c r="O87" s="12" t="str">
        <x:v>臺大公館校區</x:v>
      </x:c>
      <x:c r="P87" s="12" t="str">
        <x:v>兩端均500119*</x:v>
      </x:c>
    </x:row>
    <x:row r="88">
      <x:c r="A88" s="12" t="str">
        <x:v>2026-09-02</x:v>
      </x:c>
      <x:c r="B88" s="12" t="str">
        <x:v>ZZB-0003</x:v>
      </x:c>
      <x:c r="C88" s="12" t="str">
        <x:v>2.0</x:v>
      </x:c>
      <x:c r="D88" s="13" t="n">
        <x:v>1</x:v>
      </x:c>
      <x:c r="E88" s="12" t="str">
        <x:v>2026-09-02 17:22:14</x:v>
      </x:c>
      <x:c r="F88" s="12" t="str">
        <x:v>2026-09-02 17:22:32</x:v>
      </x:c>
      <x:c r="G88" s="12" t="str">
        <x:v>17:00</x:v>
      </x:c>
      <x:c r="H88" s="12" t="str">
        <x:v>14–17</x:v>
      </x:c>
      <x:c r="I88" s="12" t="str">
        <x:v>500101276</x:v>
      </x:c>
      <x:c r="J88" s="12" t="str">
        <x:v>羅斯福新生南路口</x:v>
      </x:c>
      <x:c r="K88" s="12" t="str">
        <x:v>500119055</x:v>
      </x:c>
      <x:c r="L88" s="12" t="str">
        <x:v>臺大樂學館東側</x:v>
      </x:c>
      <x:c r="M88" s="12" t="str">
        <x:v>虛線</x:v>
      </x:c>
      <x:c r="N88" s="12" t="str">
        <x:v>大安區</x:v>
      </x:c>
      <x:c r="O88" s="12" t="str">
        <x:v>臺大公館校區</x:v>
      </x:c>
      <x:c r="P88" s="12" t="str">
        <x:v>任一端非500119*</x:v>
      </x:c>
    </x:row>
    <x:row r="89">
      <x:c r="A89" s="12" t="str">
        <x:v>2026-09-02</x:v>
      </x:c>
      <x:c r="B89" s="12" t="str">
        <x:v>ZZB-0003</x:v>
      </x:c>
      <x:c r="C89" s="12" t="str">
        <x:v>2.0</x:v>
      </x:c>
      <x:c r="D89" s="13" t="n">
        <x:v>7</x:v>
      </x:c>
      <x:c r="E89" s="12" t="str">
        <x:v>2026-09-02 17:22:14</x:v>
      </x:c>
      <x:c r="F89" s="12" t="str">
        <x:v>2026-09-02 17:29:36</x:v>
      </x:c>
      <x:c r="G89" s="12" t="str">
        <x:v>17:00</x:v>
      </x:c>
      <x:c r="H89" s="12" t="str">
        <x:v>14–17</x:v>
      </x:c>
      <x:c r="I89" s="12" t="str">
        <x:v>500101276</x:v>
      </x:c>
      <x:c r="J89" s="12" t="str">
        <x:v>羅斯福新生南路口</x:v>
      </x:c>
      <x:c r="K89" s="12" t="str">
        <x:v>500119055</x:v>
      </x:c>
      <x:c r="L89" s="12" t="str">
        <x:v>臺大樂學館東側</x:v>
      </x:c>
      <x:c r="M89" s="12" t="str">
        <x:v>虛線</x:v>
      </x:c>
      <x:c r="N89" s="12" t="str">
        <x:v>大安區</x:v>
      </x:c>
      <x:c r="O89" s="12" t="str">
        <x:v>臺大公館校區</x:v>
      </x:c>
      <x:c r="P89" s="12" t="str">
        <x:v>任一端非500119*</x:v>
      </x:c>
    </x:row>
    <x:row r="90">
      <x:c r="A90" s="12" t="str">
        <x:v>2026-09-02</x:v>
      </x:c>
      <x:c r="B90" s="12" t="str">
        <x:v>ZZB-0003</x:v>
      </x:c>
      <x:c r="C90" s="12" t="str">
        <x:v>2.0</x:v>
      </x:c>
      <x:c r="D90" s="13" t="n">
        <x:v>1</x:v>
      </x:c>
      <x:c r="E90" s="12" t="str">
        <x:v>2026-09-02 17:22:53</x:v>
      </x:c>
      <x:c r="F90" s="12" t="str">
        <x:v>2026-09-02 17:29:36</x:v>
      </x:c>
      <x:c r="G90" s="12" t="str">
        <x:v>17:00</x:v>
      </x:c>
      <x:c r="H90" s="12" t="str">
        <x:v>14–17</x:v>
      </x:c>
      <x:c r="I90" s="12" t="str">
        <x:v>500119045</x:v>
      </x:c>
      <x:c r="J90" s="12" t="str">
        <x:v>臺大農業陳列館北側</x:v>
      </x:c>
      <x:c r="K90" s="12" t="str">
        <x:v>500119055</x:v>
      </x:c>
      <x:c r="L90" s="12" t="str">
        <x:v>臺大樂學館東側</x:v>
      </x:c>
      <x:c r="M90" s="12" t="str">
        <x:v>實線</x:v>
      </x:c>
      <x:c r="N90" s="12" t="str">
        <x:v>臺大公館校區</x:v>
      </x:c>
      <x:c r="O90" s="12" t="str">
        <x:v>臺大公館校區</x:v>
      </x:c>
      <x:c r="P90" s="12" t="str">
        <x:v>兩端均500119*</x:v>
      </x:c>
    </x:row>
    <x:row r="91">
      <x:c r="A91" s="12" t="str">
        <x:v>2026-09-02</x:v>
      </x:c>
      <x:c r="B91" s="12" t="str">
        <x:v>ZZB-0003</x:v>
      </x:c>
      <x:c r="C91" s="12" t="str">
        <x:v>2.0</x:v>
      </x:c>
      <x:c r="D91" s="13" t="n">
        <x:v>7</x:v>
      </x:c>
      <x:c r="E91" s="12" t="str">
        <x:v>2026-09-02 17:22:53</x:v>
      </x:c>
      <x:c r="F91" s="12" t="str">
        <x:v>2026-09-02 17:56:00</x:v>
      </x:c>
      <x:c r="G91" s="12" t="str">
        <x:v>17:00</x:v>
      </x:c>
      <x:c r="H91" s="12" t="str">
        <x:v>14–17</x:v>
      </x:c>
      <x:c r="I91" s="12" t="str">
        <x:v>500119045</x:v>
      </x:c>
      <x:c r="J91" s="12" t="str">
        <x:v>臺大農業陳列館北側</x:v>
      </x:c>
      <x:c r="K91" s="12" t="str">
        <x:v>500119079</x:v>
      </x:c>
      <x:c r="L91" s="12" t="str">
        <x:v>臺大一號館</x:v>
      </x:c>
      <x:c r="M91" s="12" t="str">
        <x:v>實線</x:v>
      </x:c>
      <x:c r="N91" s="12" t="str">
        <x:v>臺大公館校區</x:v>
      </x:c>
      <x:c r="O91" s="12" t="str">
        <x:v>臺大公館校區</x:v>
      </x:c>
      <x:c r="P91" s="12" t="str">
        <x:v>兩端均500119*</x:v>
      </x:c>
    </x:row>
    <x:row r="92">
      <x:c r="A92" s="12" t="str">
        <x:v>2026-09-02</x:v>
      </x:c>
      <x:c r="B92" s="12" t="str">
        <x:v>ZZB-0003</x:v>
      </x:c>
      <x:c r="C92" s="12" t="str">
        <x:v>2.0</x:v>
      </x:c>
      <x:c r="D92" s="13" t="n">
        <x:v>1</x:v>
      </x:c>
      <x:c r="E92" s="12" t="str">
        <x:v>2026-09-02 17:55:41</x:v>
      </x:c>
      <x:c r="F92" s="12" t="str">
        <x:v>2026-09-02 17:56:00</x:v>
      </x:c>
      <x:c r="G92" s="12" t="str">
        <x:v>17:00</x:v>
      </x:c>
      <x:c r="H92" s="12" t="str">
        <x:v>14–17</x:v>
      </x:c>
      <x:c r="I92" s="12" t="str">
        <x:v>500101276</x:v>
      </x:c>
      <x:c r="J92" s="12" t="str">
        <x:v>羅斯福新生南路口</x:v>
      </x:c>
      <x:c r="K92" s="12" t="str">
        <x:v>500119079</x:v>
      </x:c>
      <x:c r="L92" s="12" t="str">
        <x:v>臺大一號館</x:v>
      </x:c>
      <x:c r="M92" s="12" t="str">
        <x:v>虛線</x:v>
      </x:c>
      <x:c r="N92" s="12" t="str">
        <x:v>大安區</x:v>
      </x:c>
      <x:c r="O92" s="12" t="str">
        <x:v>臺大公館校區</x:v>
      </x:c>
      <x:c r="P92" s="12" t="str">
        <x:v>任一端非500119*</x:v>
      </x:c>
    </x:row>
    <x:row r="93">
      <x:c r="A93" s="12" t="str">
        <x:v>2026-09-02</x:v>
      </x:c>
      <x:c r="B93" s="12" t="str">
        <x:v>ZZB-0003</x:v>
      </x:c>
      <x:c r="C93" s="12" t="str">
        <x:v>2.0</x:v>
      </x:c>
      <x:c r="D93" s="13" t="n">
        <x:v>6</x:v>
      </x:c>
      <x:c r="E93" s="12" t="str">
        <x:v>2026-09-02 17:55:41</x:v>
      </x:c>
      <x:c r="F93" s="12" t="str">
        <x:v>2026-09-02 18:13:58</x:v>
      </x:c>
      <x:c r="G93" s="12" t="str">
        <x:v>17:00</x:v>
      </x:c>
      <x:c r="H93" s="12" t="str">
        <x:v>14–17</x:v>
      </x:c>
      <x:c r="I93" s="12" t="str">
        <x:v>500101276</x:v>
      </x:c>
      <x:c r="J93" s="12" t="str">
        <x:v>羅斯福新生南路口</x:v>
      </x:c>
      <x:c r="K93" s="12" t="str">
        <x:v>500119065</x:v>
      </x:c>
      <x:c r="L93" s="12" t="str">
        <x:v>臺大二號館</x:v>
      </x:c>
      <x:c r="M93" s="12" t="str">
        <x:v>虛線</x:v>
      </x:c>
      <x:c r="N93" s="12" t="str">
        <x:v>大安區</x:v>
      </x:c>
      <x:c r="O93" s="12" t="str">
        <x:v>臺大公館校區</x:v>
      </x:c>
      <x:c r="P93" s="12" t="str">
        <x:v>任一端非500119*</x:v>
      </x:c>
    </x:row>
    <x:row r="94">
      <x:c r="A94" s="12" t="str">
        <x:v>2026-09-02</x:v>
      </x:c>
      <x:c r="B94" s="12" t="str">
        <x:v>ZZB-0003</x:v>
      </x:c>
      <x:c r="C94" s="12" t="str">
        <x:v>2.0</x:v>
      </x:c>
      <x:c r="D94" s="13" t="n">
        <x:v>1</x:v>
      </x:c>
      <x:c r="E94" s="12" t="str">
        <x:v>2026-09-02 17:55:41</x:v>
      </x:c>
      <x:c r="F94" s="12" t="str">
        <x:v>2026-09-02 18:29:26</x:v>
      </x:c>
      <x:c r="G94" s="12" t="str">
        <x:v>17:00</x:v>
      </x:c>
      <x:c r="H94" s="12" t="str">
        <x:v>14–17</x:v>
      </x:c>
      <x:c r="I94" s="12" t="str">
        <x:v>500101276</x:v>
      </x:c>
      <x:c r="J94" s="12" t="str">
        <x:v>羅斯福新生南路口</x:v>
      </x:c>
      <x:c r="K94" s="12" t="str">
        <x:v>500119079</x:v>
      </x:c>
      <x:c r="L94" s="12" t="str">
        <x:v>臺大一號館</x:v>
      </x:c>
      <x:c r="M94" s="12" t="str">
        <x:v>虛線</x:v>
      </x:c>
      <x:c r="N94" s="12" t="str">
        <x:v>大安區</x:v>
      </x:c>
      <x:c r="O94" s="12" t="str">
        <x:v>臺大公館校區</x:v>
      </x:c>
      <x:c r="P94" s="12" t="str">
        <x:v>任一端非500119*</x:v>
      </x:c>
    </x:row>
    <x:row r="95">
      <x:c r="A95" s="12" t="str">
        <x:v>2026-09-02</x:v>
      </x:c>
      <x:c r="B95" s="12" t="str">
        <x:v>ZZB-0003</x:v>
      </x:c>
      <x:c r="C95" s="12" t="str">
        <x:v>2.0</x:v>
      </x:c>
      <x:c r="D95" s="13" t="n">
        <x:v>5</x:v>
      </x:c>
      <x:c r="E95" s="12" t="str">
        <x:v>2026-09-02 18:13:38</x:v>
      </x:c>
      <x:c r="F95" s="12" t="str">
        <x:v>2026-09-02 18:29:26</x:v>
      </x:c>
      <x:c r="G95" s="12" t="str">
        <x:v>18:00</x:v>
      </x:c>
      <x:c r="H95" s="12" t="str">
        <x:v>18–21</x:v>
      </x:c>
      <x:c r="I95" s="12" t="str">
        <x:v>500101276</x:v>
      </x:c>
      <x:c r="J95" s="12" t="str">
        <x:v>羅斯福新生南路口</x:v>
      </x:c>
      <x:c r="K95" s="12" t="str">
        <x:v>500119079</x:v>
      </x:c>
      <x:c r="L95" s="12" t="str">
        <x:v>臺大一號館</x:v>
      </x:c>
      <x:c r="M95" s="12" t="str">
        <x:v>虛線</x:v>
      </x:c>
      <x:c r="N95" s="12" t="str">
        <x:v>大安區</x:v>
      </x:c>
      <x:c r="O95" s="12" t="str">
        <x:v>臺大公館校區</x:v>
      </x:c>
      <x:c r="P95" s="12" t="str">
        <x:v>任一端非500119*</x:v>
      </x:c>
    </x:row>
    <x:row r="96">
      <x:c r="A96" s="12" t="str">
        <x:v>2026-09-02</x:v>
      </x:c>
      <x:c r="B96" s="12" t="str">
        <x:v>ZZB-0003</x:v>
      </x:c>
      <x:c r="C96" s="12" t="str">
        <x:v>2.0</x:v>
      </x:c>
      <x:c r="D96" s="13" t="n">
        <x:v>1</x:v>
      </x:c>
      <x:c r="E96" s="12" t="str">
        <x:v>2026-09-02 18:13:38</x:v>
      </x:c>
      <x:c r="F96" s="12" t="str">
        <x:v>2026-09-02 18:45:21</x:v>
      </x:c>
      <x:c r="G96" s="12" t="str">
        <x:v>18:00</x:v>
      </x:c>
      <x:c r="H96" s="12" t="str">
        <x:v>18–21</x:v>
      </x:c>
      <x:c r="I96" s="12" t="str">
        <x:v>500101276</x:v>
      </x:c>
      <x:c r="J96" s="12" t="str">
        <x:v>羅斯福新生南路口</x:v>
      </x:c>
      <x:c r="K96" s="12" t="str">
        <x:v>500119050</x:v>
      </x:c>
      <x:c r="L96" s="12" t="str">
        <x:v>臺大小福樓東側</x:v>
      </x:c>
      <x:c r="M96" s="12" t="str">
        <x:v>虛線</x:v>
      </x:c>
      <x:c r="N96" s="12" t="str">
        <x:v>大安區</x:v>
      </x:c>
      <x:c r="O96" s="12" t="str">
        <x:v>臺大公館校區</x:v>
      </x:c>
      <x:c r="P96" s="12" t="str">
        <x:v>任一端非500119*</x:v>
      </x:c>
    </x:row>
    <x:row r="97">
      <x:c r="A97" s="12" t="str">
        <x:v>2026-09-02</x:v>
      </x:c>
      <x:c r="B97" s="12" t="str">
        <x:v>ZZB-0003</x:v>
      </x:c>
      <x:c r="C97" s="12" t="str">
        <x:v>2.0</x:v>
      </x:c>
      <x:c r="D97" s="13" t="n">
        <x:v>5</x:v>
      </x:c>
      <x:c r="E97" s="12" t="str">
        <x:v>2026-09-02 18:29:00</x:v>
      </x:c>
      <x:c r="F97" s="12" t="str">
        <x:v>2026-09-02 18:45:21</x:v>
      </x:c>
      <x:c r="G97" s="12" t="str">
        <x:v>18:00</x:v>
      </x:c>
      <x:c r="H97" s="12" t="str">
        <x:v>18–21</x:v>
      </x:c>
      <x:c r="I97" s="12" t="str">
        <x:v>500101276</x:v>
      </x:c>
      <x:c r="J97" s="12" t="str">
        <x:v>羅斯福新生南路口</x:v>
      </x:c>
      <x:c r="K97" s="12" t="str">
        <x:v>500119050</x:v>
      </x:c>
      <x:c r="L97" s="12" t="str">
        <x:v>臺大小福樓東側</x:v>
      </x:c>
      <x:c r="M97" s="12" t="str">
        <x:v>虛線</x:v>
      </x:c>
      <x:c r="N97" s="12" t="str">
        <x:v>大安區</x:v>
      </x:c>
      <x:c r="O97" s="12" t="str">
        <x:v>臺大公館校區</x:v>
      </x:c>
      <x:c r="P97" s="12" t="str">
        <x:v>任一端非500119*</x:v>
      </x:c>
    </x:row>
    <x:row r="98">
      <x:c r="A98" s="12" t="str">
        <x:v>2026-09-02</x:v>
      </x:c>
      <x:c r="B98" s="12" t="str">
        <x:v>ZZB-0003</x:v>
      </x:c>
      <x:c r="C98" s="12" t="str">
        <x:v>2.0</x:v>
      </x:c>
      <x:c r="D98" s="13" t="n">
        <x:v>1</x:v>
      </x:c>
      <x:c r="E98" s="12" t="str">
        <x:v>2026-09-02 18:29:00</x:v>
      </x:c>
      <x:c r="F98" s="12" t="str">
        <x:v>2026-09-02 19:31:49</x:v>
      </x:c>
      <x:c r="G98" s="12" t="str">
        <x:v>18:00</x:v>
      </x:c>
      <x:c r="H98" s="12" t="str">
        <x:v>18–21</x:v>
      </x:c>
      <x:c r="I98" s="12" t="str">
        <x:v>500101276</x:v>
      </x:c>
      <x:c r="J98" s="12" t="str">
        <x:v>羅斯福新生南路口</x:v>
      </x:c>
      <x:c r="K98" s="12" t="str">
        <x:v>500119082</x:v>
      </x:c>
      <x:c r="L98" s="12" t="str">
        <x:v>臺大四號館東北側</x:v>
      </x:c>
      <x:c r="M98" s="12" t="str">
        <x:v>虛線</x:v>
      </x:c>
      <x:c r="N98" s="12" t="str">
        <x:v>大安區</x:v>
      </x:c>
      <x:c r="O98" s="12" t="str">
        <x:v>臺大公館校區</x:v>
      </x:c>
      <x:c r="P98" s="12" t="str">
        <x:v>任一端非500119*</x:v>
      </x:c>
    </x:row>
    <x:row r="99">
      <x:c r="A99" s="12" t="str">
        <x:v>2026-09-02</x:v>
      </x:c>
      <x:c r="B99" s="12" t="str">
        <x:v>ZZB-0003</x:v>
      </x:c>
      <x:c r="C99" s="12" t="str">
        <x:v>2.0</x:v>
      </x:c>
      <x:c r="D99" s="13" t="n">
        <x:v>5</x:v>
      </x:c>
      <x:c r="E99" s="12" t="str">
        <x:v>2026-09-02 18:37:58</x:v>
      </x:c>
      <x:c r="F99" s="12" t="str">
        <x:v>2026-09-02 19:31:49</x:v>
      </x:c>
      <x:c r="G99" s="12" t="str">
        <x:v>18:00</x:v>
      </x:c>
      <x:c r="H99" s="12" t="str">
        <x:v>18–21</x:v>
      </x:c>
      <x:c r="I99" s="12" t="str">
        <x:v>500119045</x:v>
      </x:c>
      <x:c r="J99" s="12" t="str">
        <x:v>臺大農業陳列館北側</x:v>
      </x:c>
      <x:c r="K99" s="12" t="str">
        <x:v>500119082</x:v>
      </x:c>
      <x:c r="L99" s="12" t="str">
        <x:v>臺大四號館東北側</x:v>
      </x:c>
      <x:c r="M99" s="12" t="str">
        <x:v>實線</x:v>
      </x:c>
      <x:c r="N99" s="12" t="str">
        <x:v>臺大公館校區</x:v>
      </x:c>
      <x:c r="O99" s="12" t="str">
        <x:v>臺大公館校區</x:v>
      </x:c>
      <x:c r="P99" s="12" t="str">
        <x:v>兩端均500119*</x:v>
      </x:c>
    </x:row>
    <x:row r="100">
      <x:c r="A100" s="12" t="str">
        <x:v>2026-09-02</x:v>
      </x:c>
      <x:c r="B100" s="12" t="str">
        <x:v>ZZB-0003</x:v>
      </x:c>
      <x:c r="C100" s="12" t="str">
        <x:v>2.0</x:v>
      </x:c>
      <x:c r="D100" s="13" t="n">
        <x:v>1</x:v>
      </x:c>
      <x:c r="E100" s="12" t="str">
        <x:v>2026-09-02 18:37:58</x:v>
      </x:c>
      <x:c r="F100" s="12" t="str">
        <x:v>2026-09-02 19:51:56</x:v>
      </x:c>
      <x:c r="G100" s="12" t="str">
        <x:v>18:00</x:v>
      </x:c>
      <x:c r="H100" s="12" t="str">
        <x:v>18–21</x:v>
      </x:c>
      <x:c r="I100" s="12" t="str">
        <x:v>500119045</x:v>
      </x:c>
      <x:c r="J100" s="12" t="str">
        <x:v>臺大農業陳列館北側</x:v>
      </x:c>
      <x:c r="K100" s="12" t="str">
        <x:v>500119055</x:v>
      </x:c>
      <x:c r="L100" s="12" t="str">
        <x:v>臺大樂學館東側</x:v>
      </x:c>
      <x:c r="M100" s="12" t="str">
        <x:v>實線</x:v>
      </x:c>
      <x:c r="N100" s="12" t="str">
        <x:v>臺大公館校區</x:v>
      </x:c>
      <x:c r="O100" s="12" t="str">
        <x:v>臺大公館校區</x:v>
      </x:c>
      <x:c r="P100" s="12" t="str">
        <x:v>兩端均500119*</x:v>
      </x:c>
    </x:row>
    <x:row r="101">
      <x:c r="A101" s="12" t="str">
        <x:v>2026-09-02</x:v>
      </x:c>
      <x:c r="B101" s="12" t="str">
        <x:v>ZZB-0003</x:v>
      </x:c>
      <x:c r="C101" s="12" t="str">
        <x:v>2.0</x:v>
      </x:c>
      <x:c r="D101" s="13" t="n">
        <x:v>4</x:v>
      </x:c>
      <x:c r="E101" s="12" t="str">
        <x:v>2026-09-02 19:24:42</x:v>
      </x:c>
      <x:c r="F101" s="12" t="str">
        <x:v>2026-09-02 19:51:56</x:v>
      </x:c>
      <x:c r="G101" s="12" t="str">
        <x:v>19:00</x:v>
      </x:c>
      <x:c r="H101" s="12" t="str">
        <x:v>18–21</x:v>
      </x:c>
      <x:c r="I101" s="12" t="str">
        <x:v>500101276</x:v>
      </x:c>
      <x:c r="J101" s="12" t="str">
        <x:v>羅斯福新生南路口</x:v>
      </x:c>
      <x:c r="K101" s="12" t="str">
        <x:v>500119055</x:v>
      </x:c>
      <x:c r="L101" s="12" t="str">
        <x:v>臺大樂學館東側</x:v>
      </x:c>
      <x:c r="M101" s="12" t="str">
        <x:v>虛線</x:v>
      </x:c>
      <x:c r="N101" s="12" t="str">
        <x:v>大安區</x:v>
      </x:c>
      <x:c r="O101" s="12" t="str">
        <x:v>臺大公館校區</x:v>
      </x:c>
      <x:c r="P101" s="12" t="str">
        <x:v>任一端非500119*</x:v>
      </x:c>
    </x:row>
    <x:row r="102">
      <x:c r="A102" s="12" t="str">
        <x:v>2026-09-02</x:v>
      </x:c>
      <x:c r="B102" s="12" t="str">
        <x:v>ZZB-0003</x:v>
      </x:c>
      <x:c r="C102" s="12" t="str">
        <x:v>2.0</x:v>
      </x:c>
      <x:c r="D102" s="13" t="n">
        <x:v>2</x:v>
      </x:c>
      <x:c r="E102" s="12" t="str">
        <x:v>2026-09-02 19:24:42</x:v>
      </x:c>
      <x:c r="F102" s="12" t="str">
        <x:v>2026-09-02 20:18:36</x:v>
      </x:c>
      <x:c r="G102" s="12" t="str">
        <x:v>19:00</x:v>
      </x:c>
      <x:c r="H102" s="12" t="str">
        <x:v>18–21</x:v>
      </x:c>
      <x:c r="I102" s="12" t="str">
        <x:v>500101276</x:v>
      </x:c>
      <x:c r="J102" s="12" t="str">
        <x:v>羅斯福新生南路口</x:v>
      </x:c>
      <x:c r="K102" s="12" t="str">
        <x:v>500119089</x:v>
      </x:c>
      <x:c r="L102" s="12" t="str">
        <x:v>臺大獸醫館南側</x:v>
      </x:c>
      <x:c r="M102" s="12" t="str">
        <x:v>虛線</x:v>
      </x:c>
      <x:c r="N102" s="12" t="str">
        <x:v>大安區</x:v>
      </x:c>
      <x:c r="O102" s="12" t="str">
        <x:v>臺大公館校區</x:v>
      </x:c>
      <x:c r="P102" s="12" t="str">
        <x:v>任一端非500119*</x:v>
      </x:c>
    </x:row>
    <x:row r="103">
      <x:c r="A103" s="12" t="str">
        <x:v>2026-09-02</x:v>
      </x:c>
      <x:c r="B103" s="12" t="str">
        <x:v>ZZB-0003</x:v>
      </x:c>
      <x:c r="C103" s="12" t="str">
        <x:v>2.0</x:v>
      </x:c>
      <x:c r="D103" s="13" t="n">
        <x:v>5</x:v>
      </x:c>
      <x:c r="E103" s="12" t="str">
        <x:v>2026-09-02 19:51:38</x:v>
      </x:c>
      <x:c r="F103" s="12" t="str">
        <x:v>2026-09-02 20:18:36</x:v>
      </x:c>
      <x:c r="G103" s="12" t="str">
        <x:v>19:00</x:v>
      </x:c>
      <x:c r="H103" s="12" t="str">
        <x:v>18–21</x:v>
      </x:c>
      <x:c r="I103" s="12" t="str">
        <x:v>500101276</x:v>
      </x:c>
      <x:c r="J103" s="12" t="str">
        <x:v>羅斯福新生南路口</x:v>
      </x:c>
      <x:c r="K103" s="12" t="str">
        <x:v>500119089</x:v>
      </x:c>
      <x:c r="L103" s="12" t="str">
        <x:v>臺大獸醫館南側</x:v>
      </x:c>
      <x:c r="M103" s="12" t="str">
        <x:v>虛線</x:v>
      </x:c>
      <x:c r="N103" s="12" t="str">
        <x:v>大安區</x:v>
      </x:c>
      <x:c r="O103" s="12" t="str">
        <x:v>臺大公館校區</x:v>
      </x:c>
      <x:c r="P103" s="12" t="str">
        <x:v>任一端非500119*</x:v>
      </x:c>
    </x:row>
    <x:row r="104">
      <x:c r="A104" s="12" t="str">
        <x:v>2026-09-02</x:v>
      </x:c>
      <x:c r="B104" s="12" t="str">
        <x:v>ZZB-0003</x:v>
      </x:c>
      <x:c r="C104" s="12" t="str">
        <x:v>2.0E</x:v>
      </x:c>
      <x:c r="D104" s="13" t="n">
        <x:v>1</x:v>
      </x:c>
      <x:c r="E104" s="12" t="str">
        <x:v>2026-09-02 08:38:23</x:v>
      </x:c>
      <x:c r="F104" s="12" t="str">
        <x:v>2026-09-02 08:38:39</x:v>
      </x:c>
      <x:c r="G104" s="12" t="str">
        <x:v>08:00</x:v>
      </x:c>
      <x:c r="H104" s="12" t="str">
        <x:v>06–09</x:v>
      </x:c>
      <x:c r="I104" s="12" t="str">
        <x:v>500119072</x:v>
      </x:c>
      <x:c r="J104" s="12" t="str">
        <x:v>臺大原分所北側</x:v>
      </x:c>
      <x:c r="K104" s="12" t="str">
        <x:v>500119059</x:v>
      </x:c>
      <x:c r="L104" s="12" t="str">
        <x:v>臺大共同教室北側</x:v>
      </x:c>
      <x:c r="M104" s="12" t="str">
        <x:v>實線</x:v>
      </x:c>
      <x:c r="N104" s="12" t="str">
        <x:v>臺大公館校區</x:v>
      </x:c>
      <x:c r="O104" s="12" t="str">
        <x:v>臺大公館校區</x:v>
      </x:c>
      <x:c r="P104" s="12" t="str">
        <x:v>兩端均500119*</x:v>
      </x:c>
    </x:row>
    <x:row r="105">
      <x:c r="A105" s="12" t="str">
        <x:v>2026-09-02</x:v>
      </x:c>
      <x:c r="B105" s="12" t="str">
        <x:v>ZZB-0003</x:v>
      </x:c>
      <x:c r="C105" s="12" t="str">
        <x:v>2.0E</x:v>
      </x:c>
      <x:c r="D105" s="13" t="n">
        <x:v>1</x:v>
      </x:c>
      <x:c r="E105" s="12" t="str">
        <x:v>2026-09-02 09:38:38</x:v>
      </x:c>
      <x:c r="F105" s="12" t="str">
        <x:v>2026-09-02 09:38:54</x:v>
      </x:c>
      <x:c r="G105" s="12" t="str">
        <x:v>09:00</x:v>
      </x:c>
      <x:c r="H105" s="12" t="str">
        <x:v>06–09</x:v>
      </x:c>
      <x:c r="I105" s="12" t="str">
        <x:v>500119087</x:v>
      </x:c>
      <x:c r="J105" s="12" t="str">
        <x:v>臺大總圖書館西南側</x:v>
      </x:c>
      <x:c r="K105" s="12" t="str">
        <x:v>500119074</x:v>
      </x:c>
      <x:c r="L105" s="12" t="str">
        <x:v>臺大生命科學館西北側</x:v>
      </x:c>
      <x:c r="M105" s="12" t="str">
        <x:v>實線</x:v>
      </x:c>
      <x:c r="N105" s="12" t="str">
        <x:v>臺大公館校區</x:v>
      </x:c>
      <x:c r="O105" s="12" t="str">
        <x:v>臺大公館校區</x:v>
      </x:c>
      <x:c r="P105" s="12" t="str">
        <x:v>兩端均500119*</x:v>
      </x:c>
    </x:row>
    <x:row r="106">
      <x:c r="A106" s="12" t="str">
        <x:v>2026-09-02</x:v>
      </x:c>
      <x:c r="B106" s="12" t="str">
        <x:v>ZZB-0003</x:v>
      </x:c>
      <x:c r="C106" s="12" t="str">
        <x:v>2.0E</x:v>
      </x:c>
      <x:c r="D106" s="13" t="n">
        <x:v>1</x:v>
      </x:c>
      <x:c r="E106" s="12" t="str">
        <x:v>2026-09-02 09:59:41</x:v>
      </x:c>
      <x:c r="F106" s="12" t="str">
        <x:v>2026-09-02 09:59:56</x:v>
      </x:c>
      <x:c r="G106" s="12" t="str">
        <x:v>09:00</x:v>
      </x:c>
      <x:c r="H106" s="12" t="str">
        <x:v>06–09</x:v>
      </x:c>
      <x:c r="I106" s="12" t="str">
        <x:v>500119083</x:v>
      </x:c>
      <x:c r="J106" s="12" t="str">
        <x:v>臺大新生教室南側</x:v>
      </x:c>
      <x:c r="K106" s="12" t="str">
        <x:v>500119059</x:v>
      </x:c>
      <x:c r="L106" s="12" t="str">
        <x:v>臺大共同教室北側</x:v>
      </x:c>
      <x:c r="M106" s="12" t="str">
        <x:v>實線</x:v>
      </x:c>
      <x:c r="N106" s="12" t="str">
        <x:v>臺大公館校區</x:v>
      </x:c>
      <x:c r="O106" s="12" t="str">
        <x:v>臺大公館校區</x:v>
      </x:c>
      <x:c r="P106" s="12" t="str">
        <x:v>兩端均500119*</x:v>
      </x:c>
    </x:row>
    <x:row r="107">
      <x:c r="A107" s="12" t="str">
        <x:v>2026-09-02</x:v>
      </x:c>
      <x:c r="B107" s="12" t="str">
        <x:v>ZZB-0003</x:v>
      </x:c>
      <x:c r="C107" s="12" t="str">
        <x:v>2.0E</x:v>
      </x:c>
      <x:c r="D107" s="13" t="n">
        <x:v>1</x:v>
      </x:c>
      <x:c r="E107" s="12" t="str">
        <x:v>2026-09-02 13:17:57</x:v>
      </x:c>
      <x:c r="F107" s="12" t="str">
        <x:v>2026-09-02 13:18:10</x:v>
      </x:c>
      <x:c r="G107" s="12" t="str">
        <x:v>13:00</x:v>
      </x:c>
      <x:c r="H107" s="12" t="str">
        <x:v>10–13</x:v>
      </x:c>
      <x:c r="I107" s="12" t="str">
        <x:v>500119098</x:v>
      </x:c>
      <x:c r="J107" s="12" t="str">
        <x:v>臺大數學研究中心(東側)</x:v>
      </x:c>
      <x:c r="K107" s="12" t="str">
        <x:v>500119074</x:v>
      </x:c>
      <x:c r="L107" s="12" t="str">
        <x:v>臺大生命科學館西北側</x:v>
      </x:c>
      <x:c r="M107" s="12" t="str">
        <x:v>實線</x:v>
      </x:c>
      <x:c r="N107" s="12" t="str">
        <x:v>臺大公館校區</x:v>
      </x:c>
      <x:c r="O107" s="12" t="str">
        <x:v>臺大公館校區</x:v>
      </x:c>
      <x:c r="P107" s="12" t="str">
        <x:v>兩端均500119*</x:v>
      </x:c>
    </x:row>
    <x:row r="108">
      <x:c r="A108" s="12" t="str">
        <x:v>2026-09-02</x:v>
      </x:c>
      <x:c r="B108" s="12" t="str">
        <x:v>ZZB-0003</x:v>
      </x:c>
      <x:c r="C108" s="12" t="str">
        <x:v>2.0E</x:v>
      </x:c>
      <x:c r="D108" s="13" t="n">
        <x:v>1</x:v>
      </x:c>
      <x:c r="E108" s="12" t="str">
        <x:v>2026-09-02 13:41:02</x:v>
      </x:c>
      <x:c r="F108" s="12" t="str">
        <x:v>2026-09-02 13:41:21</x:v>
      </x:c>
      <x:c r="G108" s="12" t="str">
        <x:v>13:00</x:v>
      </x:c>
      <x:c r="H108" s="12" t="str">
        <x:v>10–13</x:v>
      </x:c>
      <x:c r="I108" s="12" t="str">
        <x:v>500119087</x:v>
      </x:c>
      <x:c r="J108" s="12" t="str">
        <x:v>臺大總圖書館西南側</x:v>
      </x:c>
      <x:c r="K108" s="12" t="str">
        <x:v>500119061</x:v>
      </x:c>
      <x:c r="L108" s="12" t="str">
        <x:v>臺大鹿鳴堂東側</x:v>
      </x:c>
      <x:c r="M108" s="12" t="str">
        <x:v>實線</x:v>
      </x:c>
      <x:c r="N108" s="12" t="str">
        <x:v>臺大公館校區</x:v>
      </x:c>
      <x:c r="O108" s="12" t="str">
        <x:v>臺大公館校區</x:v>
      </x:c>
      <x:c r="P108" s="12" t="str">
        <x:v>兩端均500119*</x:v>
      </x:c>
    </x:row>
    <x:row r="109">
      <x:c r="A109" s="12" t="str">
        <x:v>2026-09-02</x:v>
      </x:c>
      <x:c r="B109" s="12" t="str">
        <x:v>ZZB-0003</x:v>
      </x:c>
      <x:c r="C109" s="12" t="str">
        <x:v>2.0E</x:v>
      </x:c>
      <x:c r="D109" s="13" t="n">
        <x:v>1</x:v>
      </x:c>
      <x:c r="E109" s="12" t="str">
        <x:v>2026-09-02 18:13:38</x:v>
      </x:c>
      <x:c r="F109" s="12" t="str">
        <x:v>2026-09-02 18:13:58</x:v>
      </x:c>
      <x:c r="G109" s="12" t="str">
        <x:v>18:00</x:v>
      </x:c>
      <x:c r="H109" s="12" t="str">
        <x:v>18–21</x:v>
      </x:c>
      <x:c r="I109" s="12" t="str">
        <x:v>500101276</x:v>
      </x:c>
      <x:c r="J109" s="12" t="str">
        <x:v>羅斯福新生南路口</x:v>
      </x:c>
      <x:c r="K109" s="12" t="str">
        <x:v>500119065</x:v>
      </x:c>
      <x:c r="L109" s="12" t="str">
        <x:v>臺大二號館</x:v>
      </x:c>
      <x:c r="M109" s="12" t="str">
        <x:v>虛線</x:v>
      </x:c>
      <x:c r="N109" s="12" t="str">
        <x:v>大安區</x:v>
      </x:c>
      <x:c r="O109" s="12" t="str">
        <x:v>臺大公館校區</x:v>
      </x:c>
      <x:c r="P109" s="12" t="str">
        <x:v>任一端非500119*</x:v>
      </x:c>
    </x:row>
    <x:row r="110">
      <x:c r="A110" s="12" t="str">
        <x:v>2026-09-02</x:v>
      </x:c>
      <x:c r="B110" s="12" t="str">
        <x:v>ZZB-0003</x:v>
      </x:c>
      <x:c r="C110" s="12" t="str">
        <x:v>2.0E</x:v>
      </x:c>
      <x:c r="D110" s="13" t="n">
        <x:v>1</x:v>
      </x:c>
      <x:c r="E110" s="12" t="str">
        <x:v>2026-09-02 18:29:00</x:v>
      </x:c>
      <x:c r="F110" s="12" t="str">
        <x:v>2026-09-02 18:29:26</x:v>
      </x:c>
      <x:c r="G110" s="12" t="str">
        <x:v>18:00</x:v>
      </x:c>
      <x:c r="H110" s="12" t="str">
        <x:v>18–21</x:v>
      </x:c>
      <x:c r="I110" s="12" t="str">
        <x:v>500101276</x:v>
      </x:c>
      <x:c r="J110" s="12" t="str">
        <x:v>羅斯福新生南路口</x:v>
      </x:c>
      <x:c r="K110" s="12" t="str">
        <x:v>500119079</x:v>
      </x:c>
      <x:c r="L110" s="12" t="str">
        <x:v>臺大一號館</x:v>
      </x:c>
      <x:c r="M110" s="12" t="str">
        <x:v>虛線</x:v>
      </x:c>
      <x:c r="N110" s="12" t="str">
        <x:v>大安區</x:v>
      </x:c>
      <x:c r="O110" s="12" t="str">
        <x:v>臺大公館校區</x:v>
      </x:c>
      <x:c r="P110" s="12" t="str">
        <x:v>任一端非500119*</x:v>
      </x:c>
    </x:row>
    <x:row r="111">
      <x:c r="A111" s="12" t="str">
        <x:v>2026-09-02</x:v>
      </x:c>
      <x:c r="B111" s="12" t="str">
        <x:v>ZZB-0003</x:v>
      </x:c>
      <x:c r="C111" s="12" t="str">
        <x:v>2.0E</x:v>
      </x:c>
      <x:c r="D111" s="13" t="n">
        <x:v>1</x:v>
      </x:c>
      <x:c r="E111" s="12" t="str">
        <x:v>2026-09-02 18:37:58</x:v>
      </x:c>
      <x:c r="F111" s="12" t="str">
        <x:v>2026-09-02 18:45:21</x:v>
      </x:c>
      <x:c r="G111" s="12" t="str">
        <x:v>18:00</x:v>
      </x:c>
      <x:c r="H111" s="12" t="str">
        <x:v>18–21</x:v>
      </x:c>
      <x:c r="I111" s="12" t="str">
        <x:v>500119045</x:v>
      </x:c>
      <x:c r="J111" s="12" t="str">
        <x:v>臺大農業陳列館北側</x:v>
      </x:c>
      <x:c r="K111" s="12" t="str">
        <x:v>500119050</x:v>
      </x:c>
      <x:c r="L111" s="12" t="str">
        <x:v>臺大小福樓東側</x:v>
      </x:c>
      <x:c r="M111" s="12" t="str">
        <x:v>實線</x:v>
      </x:c>
      <x:c r="N111" s="12" t="str">
        <x:v>臺大公館校區</x:v>
      </x:c>
      <x:c r="O111" s="12" t="str">
        <x:v>臺大公館校區</x:v>
      </x:c>
      <x:c r="P111" s="12" t="str">
        <x:v>兩端均500119*</x:v>
      </x:c>
    </x:row>
    <x:row r="112">
      <x:c r="A112" s="12" t="str">
        <x:v>2026-09-02</x:v>
      </x:c>
      <x:c r="B112" s="12" t="str">
        <x:v>ZZB-0003</x:v>
      </x:c>
      <x:c r="C112" s="12" t="str">
        <x:v>2.0E</x:v>
      </x:c>
      <x:c r="D112" s="13" t="n">
        <x:v>1</x:v>
      </x:c>
      <x:c r="E112" s="12" t="str">
        <x:v>2026-09-02 19:24:42</x:v>
      </x:c>
      <x:c r="F112" s="12" t="str">
        <x:v>2026-09-02 19:31:49</x:v>
      </x:c>
      <x:c r="G112" s="12" t="str">
        <x:v>19:00</x:v>
      </x:c>
      <x:c r="H112" s="12" t="str">
        <x:v>18–21</x:v>
      </x:c>
      <x:c r="I112" s="12" t="str">
        <x:v>500101276</x:v>
      </x:c>
      <x:c r="J112" s="12" t="str">
        <x:v>羅斯福新生南路口</x:v>
      </x:c>
      <x:c r="K112" s="12" t="str">
        <x:v>500119082</x:v>
      </x:c>
      <x:c r="L112" s="12" t="str">
        <x:v>臺大四號館東北側</x:v>
      </x:c>
      <x:c r="M112" s="12" t="str">
        <x:v>虛線</x:v>
      </x:c>
      <x:c r="N112" s="12" t="str">
        <x:v>大安區</x:v>
      </x:c>
      <x:c r="O112" s="12" t="str">
        <x:v>臺大公館校區</x:v>
      </x:c>
      <x:c r="P112" s="12" t="str">
        <x:v>任一端非500119*</x:v>
      </x:c>
    </x:row>
    <x:row r="113">
      <x:c r="A113" s="12" t="str">
        <x:v>2026-09-02</x:v>
      </x:c>
      <x:c r="B113" s="12" t="str">
        <x:v>ZZB-0003</x:v>
      </x:c>
      <x:c r="C113" s="12" t="str">
        <x:v>2.0E</x:v>
      </x:c>
      <x:c r="D113" s="13" t="n">
        <x:v>2</x:v>
      </x:c>
      <x:c r="E113" s="12" t="str">
        <x:v>2026-09-02 19:51:38</x:v>
      </x:c>
      <x:c r="F113" s="12" t="str">
        <x:v>2026-09-02 19:51:56</x:v>
      </x:c>
      <x:c r="G113" s="12" t="str">
        <x:v>19:00</x:v>
      </x:c>
      <x:c r="H113" s="12" t="str">
        <x:v>18–21</x:v>
      </x:c>
      <x:c r="I113" s="12" t="str">
        <x:v>500101276</x:v>
      </x:c>
      <x:c r="J113" s="12" t="str">
        <x:v>羅斯福新生南路口</x:v>
      </x:c>
      <x:c r="K113" s="12" t="str">
        <x:v>500119055</x:v>
      </x:c>
      <x:c r="L113" s="12" t="str">
        <x:v>臺大樂學館東側</x:v>
      </x:c>
      <x:c r="M113" s="12" t="str">
        <x:v>虛線</x:v>
      </x:c>
      <x:c r="N113" s="12" t="str">
        <x:v>大安區</x:v>
      </x:c>
      <x:c r="O113" s="12" t="str">
        <x:v>臺大公館校區</x:v>
      </x:c>
      <x:c r="P113" s="12" t="str">
        <x:v>任一端非500119*</x:v>
      </x:c>
    </x:row>
    <x:row r="114">
      <x:c r="A114" s="12" t="str">
        <x:v>2026-09-02</x:v>
      </x:c>
      <x:c r="B114" s="12" t="str">
        <x:v>ZZB-0004</x:v>
      </x:c>
      <x:c r="C114" s="12" t="str">
        <x:v>2.0</x:v>
      </x:c>
      <x:c r="D114" s="13" t="n">
        <x:v>7</x:v>
      </x:c>
      <x:c r="E114" s="12" t="str">
        <x:v>2026-09-02 08:23:51</x:v>
      </x:c>
      <x:c r="F114" s="12" t="str">
        <x:v>2026-09-02 08:33:29</x:v>
      </x:c>
      <x:c r="G114" s="12" t="str">
        <x:v>08:00</x:v>
      </x:c>
      <x:c r="H114" s="12" t="str">
        <x:v>06–09</x:v>
      </x:c>
      <x:c r="I114" s="12" t="str">
        <x:v>500119087</x:v>
      </x:c>
      <x:c r="J114" s="12" t="str">
        <x:v>臺大總圖書館西南側</x:v>
      </x:c>
      <x:c r="K114" s="12" t="str">
        <x:v>500119097</x:v>
      </x:c>
      <x:c r="L114" s="12" t="str">
        <x:v>臺大人文館</x:v>
      </x:c>
      <x:c r="M114" s="12" t="str">
        <x:v>實線</x:v>
      </x:c>
      <x:c r="N114" s="12" t="str">
        <x:v>臺大公館校區</x:v>
      </x:c>
      <x:c r="O114" s="12" t="str">
        <x:v>臺大公館校區</x:v>
      </x:c>
      <x:c r="P114" s="12" t="str">
        <x:v>兩端均500119*</x:v>
      </x:c>
    </x:row>
    <x:row r="115">
      <x:c r="A115" s="12" t="str">
        <x:v>2026-09-02</x:v>
      </x:c>
      <x:c r="B115" s="12" t="str">
        <x:v>ZZB-0004</x:v>
      </x:c>
      <x:c r="C115" s="12" t="str">
        <x:v>2.0</x:v>
      </x:c>
      <x:c r="D115" s="13" t="n">
        <x:v>7</x:v>
      </x:c>
      <x:c r="E115" s="12" t="str">
        <x:v>2026-09-02 08:43:53</x:v>
      </x:c>
      <x:c r="F115" s="12" t="str">
        <x:v>2026-09-02 08:50:47</x:v>
      </x:c>
      <x:c r="G115" s="12" t="str">
        <x:v>08:00</x:v>
      </x:c>
      <x:c r="H115" s="12" t="str">
        <x:v>06–09</x:v>
      </x:c>
      <x:c r="I115" s="12" t="str">
        <x:v>500119087</x:v>
      </x:c>
      <x:c r="J115" s="12" t="str">
        <x:v>臺大總圖書館西南側</x:v>
      </x:c>
      <x:c r="K115" s="12" t="str">
        <x:v>500119082</x:v>
      </x:c>
      <x:c r="L115" s="12" t="str">
        <x:v>臺大四號館東北側</x:v>
      </x:c>
      <x:c r="M115" s="12" t="str">
        <x:v>實線</x:v>
      </x:c>
      <x:c r="N115" s="12" t="str">
        <x:v>臺大公館校區</x:v>
      </x:c>
      <x:c r="O115" s="12" t="str">
        <x:v>臺大公館校區</x:v>
      </x:c>
      <x:c r="P115" s="12" t="str">
        <x:v>兩端均500119*</x:v>
      </x:c>
    </x:row>
    <x:row r="116">
      <x:c r="A116" s="12" t="str">
        <x:v>2026-09-02</x:v>
      </x:c>
      <x:c r="B116" s="12" t="str">
        <x:v>ZZB-0004</x:v>
      </x:c>
      <x:c r="C116" s="12" t="str">
        <x:v>2.0</x:v>
      </x:c>
      <x:c r="D116" s="13" t="n">
        <x:v>6</x:v>
      </x:c>
      <x:c r="E116" s="12" t="str">
        <x:v>2026-09-02 08:59:54</x:v>
      </x:c>
      <x:c r="F116" s="12" t="str">
        <x:v>2026-09-02 09:19:01</x:v>
      </x:c>
      <x:c r="G116" s="12" t="str">
        <x:v>08:00</x:v>
      </x:c>
      <x:c r="H116" s="12" t="str">
        <x:v>06–09</x:v>
      </x:c>
      <x:c r="I116" s="12" t="str">
        <x:v>500119087</x:v>
      </x:c>
      <x:c r="J116" s="12" t="str">
        <x:v>臺大總圖書館西南側</x:v>
      </x:c>
      <x:c r="K116" s="12" t="str">
        <x:v>500119082</x:v>
      </x:c>
      <x:c r="L116" s="12" t="str">
        <x:v>臺大四號館東北側</x:v>
      </x:c>
      <x:c r="M116" s="12" t="str">
        <x:v>實線</x:v>
      </x:c>
      <x:c r="N116" s="12" t="str">
        <x:v>臺大公館校區</x:v>
      </x:c>
      <x:c r="O116" s="12" t="str">
        <x:v>臺大公館校區</x:v>
      </x:c>
      <x:c r="P116" s="12" t="str">
        <x:v>兩端均500119*</x:v>
      </x:c>
    </x:row>
    <x:row r="117">
      <x:c r="A117" s="12" t="str">
        <x:v>2026-09-02</x:v>
      </x:c>
      <x:c r="B117" s="12" t="str">
        <x:v>ZZB-0004</x:v>
      </x:c>
      <x:c r="C117" s="12" t="str">
        <x:v>2.0</x:v>
      </x:c>
      <x:c r="D117" s="13" t="n">
        <x:v>7</x:v>
      </x:c>
      <x:c r="E117" s="12" t="str">
        <x:v>2026-09-02 09:19:13</x:v>
      </x:c>
      <x:c r="F117" s="12" t="str">
        <x:v>2026-09-02 09:28:09</x:v>
      </x:c>
      <x:c r="G117" s="12" t="str">
        <x:v>09:00</x:v>
      </x:c>
      <x:c r="H117" s="12" t="str">
        <x:v>06–09</x:v>
      </x:c>
      <x:c r="I117" s="12" t="str">
        <x:v>500119087</x:v>
      </x:c>
      <x:c r="J117" s="12" t="str">
        <x:v>臺大總圖書館西南側</x:v>
      </x:c>
      <x:c r="K117" s="12" t="str">
        <x:v>500119097</x:v>
      </x:c>
      <x:c r="L117" s="12" t="str">
        <x:v>臺大人文館</x:v>
      </x:c>
      <x:c r="M117" s="12" t="str">
        <x:v>實線</x:v>
      </x:c>
      <x:c r="N117" s="12" t="str">
        <x:v>臺大公館校區</x:v>
      </x:c>
      <x:c r="O117" s="12" t="str">
        <x:v>臺大公館校區</x:v>
      </x:c>
      <x:c r="P117" s="12" t="str">
        <x:v>兩端均500119*</x:v>
      </x:c>
    </x:row>
    <x:row r="118">
      <x:c r="A118" s="12" t="str">
        <x:v>2026-09-02</x:v>
      </x:c>
      <x:c r="B118" s="12" t="str">
        <x:v>ZZB-0004</x:v>
      </x:c>
      <x:c r="C118" s="12" t="str">
        <x:v>2.0</x:v>
      </x:c>
      <x:c r="D118" s="13" t="n">
        <x:v>6</x:v>
      </x:c>
      <x:c r="E118" s="12" t="str">
        <x:v>2026-09-02 09:40:29</x:v>
      </x:c>
      <x:c r="F118" s="12" t="str">
        <x:v>2026-09-02 10:03:42</x:v>
      </x:c>
      <x:c r="G118" s="12" t="str">
        <x:v>09:00</x:v>
      </x:c>
      <x:c r="H118" s="12" t="str">
        <x:v>06–09</x:v>
      </x:c>
      <x:c r="I118" s="12" t="str">
        <x:v>500119087</x:v>
      </x:c>
      <x:c r="J118" s="12" t="str">
        <x:v>臺大總圖書館西南側</x:v>
      </x:c>
      <x:c r="K118" s="12" t="str">
        <x:v>500101032</x:v>
      </x:c>
      <x:c r="L118" s="12" t="str">
        <x:v>臺大男一舍前</x:v>
      </x:c>
      <x:c r="M118" s="12" t="str">
        <x:v>虛線</x:v>
      </x:c>
      <x:c r="N118" s="12" t="str">
        <x:v>臺大公館校區</x:v>
      </x:c>
      <x:c r="O118" s="12" t="str">
        <x:v>大安區</x:v>
      </x:c>
      <x:c r="P118" s="12" t="str">
        <x:v>任一端非500119*</x:v>
      </x:c>
    </x:row>
    <x:row r="119">
      <x:c r="A119" s="12" t="str">
        <x:v>2026-09-02</x:v>
      </x:c>
      <x:c r="B119" s="12" t="str">
        <x:v>ZZB-0004</x:v>
      </x:c>
      <x:c r="C119" s="12" t="str">
        <x:v>2.0</x:v>
      </x:c>
      <x:c r="D119" s="13" t="n">
        <x:v>7</x:v>
      </x:c>
      <x:c r="E119" s="12" t="str">
        <x:v>2026-09-02 10:11:22</x:v>
      </x:c>
      <x:c r="F119" s="12" t="str">
        <x:v>2026-09-02 10:22:32</x:v>
      </x:c>
      <x:c r="G119" s="12" t="str">
        <x:v>10:00</x:v>
      </x:c>
      <x:c r="H119" s="12" t="str">
        <x:v>10–13</x:v>
      </x:c>
      <x:c r="I119" s="12" t="str">
        <x:v>500119085</x:v>
      </x:c>
      <x:c r="J119" s="12" t="str">
        <x:v>臺大電機二館東南側</x:v>
      </x:c>
      <x:c r="K119" s="12" t="str">
        <x:v>500101032</x:v>
      </x:c>
      <x:c r="L119" s="12" t="str">
        <x:v>臺大男一舍前</x:v>
      </x:c>
      <x:c r="M119" s="12" t="str">
        <x:v>虛線</x:v>
      </x:c>
      <x:c r="N119" s="12" t="str">
        <x:v>臺大公館校區</x:v>
      </x:c>
      <x:c r="O119" s="12" t="str">
        <x:v>大安區</x:v>
      </x:c>
      <x:c r="P119" s="12" t="str">
        <x:v>任一端非500119*</x:v>
      </x:c>
    </x:row>
    <x:row r="120">
      <x:c r="A120" s="12" t="str">
        <x:v>2026-09-02</x:v>
      </x:c>
      <x:c r="B120" s="12" t="str">
        <x:v>ZZB-0004</x:v>
      </x:c>
      <x:c r="C120" s="12" t="str">
        <x:v>2.0</x:v>
      </x:c>
      <x:c r="D120" s="13" t="n">
        <x:v>6</x:v>
      </x:c>
      <x:c r="E120" s="12" t="str">
        <x:v>2026-09-02 10:30:38</x:v>
      </x:c>
      <x:c r="F120" s="12" t="str">
        <x:v>2026-09-02 10:42:54</x:v>
      </x:c>
      <x:c r="G120" s="12" t="str">
        <x:v>10:00</x:v>
      </x:c>
      <x:c r="H120" s="12" t="str">
        <x:v>10–13</x:v>
      </x:c>
      <x:c r="I120" s="12" t="str">
        <x:v>500119085</x:v>
      </x:c>
      <x:c r="J120" s="12" t="str">
        <x:v>臺大電機二館東南側</x:v>
      </x:c>
      <x:c r="K120" s="12" t="str">
        <x:v>500119064</x:v>
      </x:c>
      <x:c r="L120" s="12" t="str">
        <x:v>臺大明達館機車停車場</x:v>
      </x:c>
      <x:c r="M120" s="12" t="str">
        <x:v>實線</x:v>
      </x:c>
      <x:c r="N120" s="12" t="str">
        <x:v>臺大公館校區</x:v>
      </x:c>
      <x:c r="O120" s="12" t="str">
        <x:v>臺大公館校區</x:v>
      </x:c>
      <x:c r="P120" s="12" t="str">
        <x:v>兩端均500119*</x:v>
      </x:c>
    </x:row>
    <x:row r="121">
      <x:c r="A121" s="12" t="str">
        <x:v>2026-09-02</x:v>
      </x:c>
      <x:c r="B121" s="12" t="str">
        <x:v>ZZB-0004</x:v>
      </x:c>
      <x:c r="C121" s="12" t="str">
        <x:v>2.0</x:v>
      </x:c>
      <x:c r="D121" s="13" t="n">
        <x:v>7</x:v>
      </x:c>
      <x:c r="E121" s="12" t="str">
        <x:v>2026-09-02 10:50:44</x:v>
      </x:c>
      <x:c r="F121" s="12" t="str">
        <x:v>2026-09-02 10:59:00</x:v>
      </x:c>
      <x:c r="G121" s="12" t="str">
        <x:v>10:00</x:v>
      </x:c>
      <x:c r="H121" s="12" t="str">
        <x:v>10–13</x:v>
      </x:c>
      <x:c r="I121" s="12" t="str">
        <x:v>500119052</x:v>
      </x:c>
      <x:c r="J121" s="12" t="str">
        <x:v>臺大工綜館南側</x:v>
      </x:c>
      <x:c r="K121" s="12" t="str">
        <x:v>500119091</x:v>
      </x:c>
      <x:c r="L121" s="12" t="str">
        <x:v>臺大明達館北側(員工宿舍)</x:v>
      </x:c>
      <x:c r="M121" s="12" t="str">
        <x:v>實線</x:v>
      </x:c>
      <x:c r="N121" s="12" t="str">
        <x:v>臺大公館校區</x:v>
      </x:c>
      <x:c r="O121" s="12" t="str">
        <x:v>臺大公館校區</x:v>
      </x:c>
      <x:c r="P121" s="12" t="str">
        <x:v>兩端均500119*</x:v>
      </x:c>
    </x:row>
    <x:row r="122">
      <x:c r="A122" s="12" t="str">
        <x:v>2026-09-02</x:v>
      </x:c>
      <x:c r="B122" s="12" t="str">
        <x:v>ZZB-0004</x:v>
      </x:c>
      <x:c r="C122" s="12" t="str">
        <x:v>2.0</x:v>
      </x:c>
      <x:c r="D122" s="13" t="n">
        <x:v>7</x:v>
      </x:c>
      <x:c r="E122" s="12" t="str">
        <x:v>2026-09-02 12:51:10</x:v>
      </x:c>
      <x:c r="F122" s="12" t="str">
        <x:v>2026-09-02 13:01:54</x:v>
      </x:c>
      <x:c r="G122" s="12" t="str">
        <x:v>12:00</x:v>
      </x:c>
      <x:c r="H122" s="12" t="str">
        <x:v>10–13</x:v>
      </x:c>
      <x:c r="I122" s="12" t="str">
        <x:v>500119050</x:v>
      </x:c>
      <x:c r="J122" s="12" t="str">
        <x:v>臺大小福樓東側</x:v>
      </x:c>
      <x:c r="K122" s="12" t="str">
        <x:v>500119045</x:v>
      </x:c>
      <x:c r="L122" s="12" t="str">
        <x:v>臺大農業陳列館北側</x:v>
      </x:c>
      <x:c r="M122" s="12" t="str">
        <x:v>實線</x:v>
      </x:c>
      <x:c r="N122" s="12" t="str">
        <x:v>臺大公館校區</x:v>
      </x:c>
      <x:c r="O122" s="12" t="str">
        <x:v>臺大公館校區</x:v>
      </x:c>
      <x:c r="P122" s="12" t="str">
        <x:v>兩端均500119*</x:v>
      </x:c>
    </x:row>
    <x:row r="123">
      <x:c r="A123" s="12" t="str">
        <x:v>2026-09-02</x:v>
      </x:c>
      <x:c r="B123" s="12" t="str">
        <x:v>ZZB-0004</x:v>
      </x:c>
      <x:c r="C123" s="12" t="str">
        <x:v>2.0</x:v>
      </x:c>
      <x:c r="D123" s="13" t="n">
        <x:v>7</x:v>
      </x:c>
      <x:c r="E123" s="12" t="str">
        <x:v>2026-09-02 13:12:35</x:v>
      </x:c>
      <x:c r="F123" s="12" t="str">
        <x:v>2026-09-02 13:30:50</x:v>
      </x:c>
      <x:c r="G123" s="12" t="str">
        <x:v>13:00</x:v>
      </x:c>
      <x:c r="H123" s="12" t="str">
        <x:v>10–13</x:v>
      </x:c>
      <x:c r="I123" s="12" t="str">
        <x:v>500119050</x:v>
      </x:c>
      <x:c r="J123" s="12" t="str">
        <x:v>臺大小福樓東側</x:v>
      </x:c>
      <x:c r="K123" s="12" t="str">
        <x:v>500119056</x:v>
      </x:c>
      <x:c r="L123" s="12" t="str">
        <x:v>臺大農化新館西側</x:v>
      </x:c>
      <x:c r="M123" s="12" t="str">
        <x:v>實線</x:v>
      </x:c>
      <x:c r="N123" s="12" t="str">
        <x:v>臺大公館校區</x:v>
      </x:c>
      <x:c r="O123" s="12" t="str">
        <x:v>臺大公館校區</x:v>
      </x:c>
      <x:c r="P123" s="12" t="str">
        <x:v>兩端均500119*</x:v>
      </x:c>
    </x:row>
    <x:row r="124">
      <x:c r="A124" s="12" t="str">
        <x:v>2026-09-02</x:v>
      </x:c>
      <x:c r="B124" s="12" t="str">
        <x:v>ZZB-0004</x:v>
      </x:c>
      <x:c r="C124" s="12" t="str">
        <x:v>2.0</x:v>
      </x:c>
      <x:c r="D124" s="13" t="n">
        <x:v>7</x:v>
      </x:c>
      <x:c r="E124" s="12" t="str">
        <x:v>2026-09-02 13:23:36</x:v>
      </x:c>
      <x:c r="F124" s="12" t="str">
        <x:v>2026-09-02 13:30:50</x:v>
      </x:c>
      <x:c r="G124" s="12" t="str">
        <x:v>13:00</x:v>
      </x:c>
      <x:c r="H124" s="12" t="str">
        <x:v>10–13</x:v>
      </x:c>
      <x:c r="I124" s="12" t="str">
        <x:v>500119050</x:v>
      </x:c>
      <x:c r="J124" s="12" t="str">
        <x:v>臺大小福樓東側</x:v>
      </x:c>
      <x:c r="K124" s="12" t="str">
        <x:v>500119056</x:v>
      </x:c>
      <x:c r="L124" s="12" t="str">
        <x:v>臺大農化新館西側</x:v>
      </x:c>
      <x:c r="M124" s="12" t="str">
        <x:v>實線</x:v>
      </x:c>
      <x:c r="N124" s="12" t="str">
        <x:v>臺大公館校區</x:v>
      </x:c>
      <x:c r="O124" s="12" t="str">
        <x:v>臺大公館校區</x:v>
      </x:c>
      <x:c r="P124" s="12" t="str">
        <x:v>兩端均500119*</x:v>
      </x:c>
    </x:row>
    <x:row r="125">
      <x:c r="A125" s="12" t="str">
        <x:v>2026-09-02</x:v>
      </x:c>
      <x:c r="B125" s="12" t="str">
        <x:v>ZZB-0004</x:v>
      </x:c>
      <x:c r="C125" s="12" t="str">
        <x:v>2.0</x:v>
      </x:c>
      <x:c r="D125" s="13" t="n">
        <x:v>6</x:v>
      </x:c>
      <x:c r="E125" s="12" t="str">
        <x:v>2026-09-02 13:41:08</x:v>
      </x:c>
      <x:c r="F125" s="12" t="str">
        <x:v>2026-09-02 18:01:25</x:v>
      </x:c>
      <x:c r="G125" s="12" t="str">
        <x:v>13:00</x:v>
      </x:c>
      <x:c r="H125" s="12" t="str">
        <x:v>10–13</x:v>
      </x:c>
      <x:c r="I125" s="12" t="str">
        <x:v>500119050</x:v>
      </x:c>
      <x:c r="J125" s="12" t="str">
        <x:v>臺大小福樓東側</x:v>
      </x:c>
      <x:c r="K125" s="12" t="str">
        <x:v>500119078</x:v>
      </x:c>
      <x:c r="L125" s="12" t="str">
        <x:v>臺大森林館北側</x:v>
      </x:c>
      <x:c r="M125" s="12" t="str">
        <x:v>實線</x:v>
      </x:c>
      <x:c r="N125" s="12" t="str">
        <x:v>臺大公館校區</x:v>
      </x:c>
      <x:c r="O125" s="12" t="str">
        <x:v>臺大公館校區</x:v>
      </x:c>
      <x:c r="P125" s="12" t="str">
        <x:v>兩端均500119*</x:v>
      </x:c>
    </x:row>
    <x:row r="126">
      <x:c r="A126" s="12" t="str">
        <x:v>2026-09-02</x:v>
      </x:c>
      <x:c r="B126" s="12" t="str">
        <x:v>ZZB-0004</x:v>
      </x:c>
      <x:c r="C126" s="12" t="str">
        <x:v>2.0</x:v>
      </x:c>
      <x:c r="D126" s="13" t="n">
        <x:v>1</x:v>
      </x:c>
      <x:c r="E126" s="12" t="str">
        <x:v>2026-09-02 17:53:14</x:v>
      </x:c>
      <x:c r="F126" s="12" t="str">
        <x:v>2026-09-02 18:01:25</x:v>
      </x:c>
      <x:c r="G126" s="12" t="str">
        <x:v>17:00</x:v>
      </x:c>
      <x:c r="H126" s="12" t="str">
        <x:v>14–17</x:v>
      </x:c>
      <x:c r="I126" s="12" t="str">
        <x:v>500101276</x:v>
      </x:c>
      <x:c r="J126" s="12" t="str">
        <x:v>羅斯福新生南路口</x:v>
      </x:c>
      <x:c r="K126" s="12" t="str">
        <x:v>500119078</x:v>
      </x:c>
      <x:c r="L126" s="12" t="str">
        <x:v>臺大森林館北側</x:v>
      </x:c>
      <x:c r="M126" s="12" t="str">
        <x:v>虛線</x:v>
      </x:c>
      <x:c r="N126" s="12" t="str">
        <x:v>大安區</x:v>
      </x:c>
      <x:c r="O126" s="12" t="str">
        <x:v>臺大公館校區</x:v>
      </x:c>
      <x:c r="P126" s="12" t="str">
        <x:v>任一端非500119*</x:v>
      </x:c>
    </x:row>
    <x:row r="127">
      <x:c r="A127" s="12" t="str">
        <x:v>2026-09-02</x:v>
      </x:c>
      <x:c r="B127" s="12" t="str">
        <x:v>ZZB-0004</x:v>
      </x:c>
      <x:c r="C127" s="12" t="str">
        <x:v>2.0</x:v>
      </x:c>
      <x:c r="D127" s="13" t="n">
        <x:v>6</x:v>
      </x:c>
      <x:c r="E127" s="12" t="str">
        <x:v>2026-09-02 17:53:14</x:v>
      </x:c>
      <x:c r="F127" s="12" t="str">
        <x:v>2026-09-02 18:22:57</x:v>
      </x:c>
      <x:c r="G127" s="12" t="str">
        <x:v>17:00</x:v>
      </x:c>
      <x:c r="H127" s="12" t="str">
        <x:v>14–17</x:v>
      </x:c>
      <x:c r="I127" s="12" t="str">
        <x:v>500101276</x:v>
      </x:c>
      <x:c r="J127" s="12" t="str">
        <x:v>羅斯福新生南路口</x:v>
      </x:c>
      <x:c r="K127" s="12" t="str">
        <x:v>500119078</x:v>
      </x:c>
      <x:c r="L127" s="12" t="str">
        <x:v>臺大森林館北側</x:v>
      </x:c>
      <x:c r="M127" s="12" t="str">
        <x:v>虛線</x:v>
      </x:c>
      <x:c r="N127" s="12" t="str">
        <x:v>大安區</x:v>
      </x:c>
      <x:c r="O127" s="12" t="str">
        <x:v>臺大公館校區</x:v>
      </x:c>
      <x:c r="P127" s="12" t="str">
        <x:v>任一端非500119*</x:v>
      </x:c>
    </x:row>
    <x:row r="128">
      <x:c r="A128" s="12" t="str">
        <x:v>2026-09-02</x:v>
      </x:c>
      <x:c r="B128" s="12" t="str">
        <x:v>ZZB-0004</x:v>
      </x:c>
      <x:c r="C128" s="12" t="str">
        <x:v>2.0</x:v>
      </x:c>
      <x:c r="D128" s="13" t="n">
        <x:v>1</x:v>
      </x:c>
      <x:c r="E128" s="12" t="str">
        <x:v>2026-09-02 18:13:54</x:v>
      </x:c>
      <x:c r="F128" s="12" t="str">
        <x:v>2026-09-02 18:22:57</x:v>
      </x:c>
      <x:c r="G128" s="12" t="str">
        <x:v>18:00</x:v>
      </x:c>
      <x:c r="H128" s="12" t="str">
        <x:v>18–21</x:v>
      </x:c>
      <x:c r="I128" s="12" t="str">
        <x:v>500101276</x:v>
      </x:c>
      <x:c r="J128" s="12" t="str">
        <x:v>羅斯福新生南路口</x:v>
      </x:c>
      <x:c r="K128" s="12" t="str">
        <x:v>500119078</x:v>
      </x:c>
      <x:c r="L128" s="12" t="str">
        <x:v>臺大森林館北側</x:v>
      </x:c>
      <x:c r="M128" s="12" t="str">
        <x:v>虛線</x:v>
      </x:c>
      <x:c r="N128" s="12" t="str">
        <x:v>大安區</x:v>
      </x:c>
      <x:c r="O128" s="12" t="str">
        <x:v>臺大公館校區</x:v>
      </x:c>
      <x:c r="P128" s="12" t="str">
        <x:v>任一端非500119*</x:v>
      </x:c>
    </x:row>
    <x:row r="129">
      <x:c r="A129" s="12" t="str">
        <x:v>2026-09-02</x:v>
      </x:c>
      <x:c r="B129" s="12" t="str">
        <x:v>ZZB-0004</x:v>
      </x:c>
      <x:c r="C129" s="12" t="str">
        <x:v>2.0</x:v>
      </x:c>
      <x:c r="D129" s="13" t="n">
        <x:v>6</x:v>
      </x:c>
      <x:c r="E129" s="12" t="str">
        <x:v>2026-09-02 18:13:54</x:v>
      </x:c>
      <x:c r="F129" s="12" t="str">
        <x:v>2026-09-02 18:45:12</x:v>
      </x:c>
      <x:c r="G129" s="12" t="str">
        <x:v>18:00</x:v>
      </x:c>
      <x:c r="H129" s="12" t="str">
        <x:v>18–21</x:v>
      </x:c>
      <x:c r="I129" s="12" t="str">
        <x:v>500101276</x:v>
      </x:c>
      <x:c r="J129" s="12" t="str">
        <x:v>羅斯福新生南路口</x:v>
      </x:c>
      <x:c r="K129" s="12" t="str">
        <x:v>500119086</x:v>
      </x:c>
      <x:c r="L129" s="12" t="str">
        <x:v>臺大圖資系館北側</x:v>
      </x:c>
      <x:c r="M129" s="12" t="str">
        <x:v>虛線</x:v>
      </x:c>
      <x:c r="N129" s="12" t="str">
        <x:v>大安區</x:v>
      </x:c>
      <x:c r="O129" s="12" t="str">
        <x:v>臺大公館校區</x:v>
      </x:c>
      <x:c r="P129" s="12" t="str">
        <x:v>任一端非500119*</x:v>
      </x:c>
    </x:row>
    <x:row r="130">
      <x:c r="A130" s="12" t="str">
        <x:v>2026-09-02</x:v>
      </x:c>
      <x:c r="B130" s="12" t="str">
        <x:v>ZZB-0004</x:v>
      </x:c>
      <x:c r="C130" s="12" t="str">
        <x:v>2.0</x:v>
      </x:c>
      <x:c r="D130" s="13" t="n">
        <x:v>1</x:v>
      </x:c>
      <x:c r="E130" s="12" t="str">
        <x:v>2026-09-02 18:34:33</x:v>
      </x:c>
      <x:c r="F130" s="12" t="str">
        <x:v>2026-09-02 18:45:12</x:v>
      </x:c>
      <x:c r="G130" s="12" t="str">
        <x:v>18:00</x:v>
      </x:c>
      <x:c r="H130" s="12" t="str">
        <x:v>18–21</x:v>
      </x:c>
      <x:c r="I130" s="12" t="str">
        <x:v>500101276</x:v>
      </x:c>
      <x:c r="J130" s="12" t="str">
        <x:v>羅斯福新生南路口</x:v>
      </x:c>
      <x:c r="K130" s="12" t="str">
        <x:v>500119086</x:v>
      </x:c>
      <x:c r="L130" s="12" t="str">
        <x:v>臺大圖資系館北側</x:v>
      </x:c>
      <x:c r="M130" s="12" t="str">
        <x:v>虛線</x:v>
      </x:c>
      <x:c r="N130" s="12" t="str">
        <x:v>大安區</x:v>
      </x:c>
      <x:c r="O130" s="12" t="str">
        <x:v>臺大公館校區</x:v>
      </x:c>
      <x:c r="P130" s="12" t="str">
        <x:v>任一端非500119*</x:v>
      </x:c>
    </x:row>
    <x:row r="131">
      <x:c r="A131" s="12" t="str">
        <x:v>2026-09-02</x:v>
      </x:c>
      <x:c r="B131" s="12" t="str">
        <x:v>ZZB-0004</x:v>
      </x:c>
      <x:c r="C131" s="12" t="str">
        <x:v>2.0</x:v>
      </x:c>
      <x:c r="D131" s="13" t="n">
        <x:v>6</x:v>
      </x:c>
      <x:c r="E131" s="12" t="str">
        <x:v>2026-09-02 18:34:33</x:v>
      </x:c>
      <x:c r="F131" s="12" t="str">
        <x:v>2026-09-02 19:10:55</x:v>
      </x:c>
      <x:c r="G131" s="12" t="str">
        <x:v>18:00</x:v>
      </x:c>
      <x:c r="H131" s="12" t="str">
        <x:v>18–21</x:v>
      </x:c>
      <x:c r="I131" s="12" t="str">
        <x:v>500101276</x:v>
      </x:c>
      <x:c r="J131" s="12" t="str">
        <x:v>羅斯福新生南路口</x:v>
      </x:c>
      <x:c r="K131" s="12" t="str">
        <x:v>500119086</x:v>
      </x:c>
      <x:c r="L131" s="12" t="str">
        <x:v>臺大圖資系館北側</x:v>
      </x:c>
      <x:c r="M131" s="12" t="str">
        <x:v>虛線</x:v>
      </x:c>
      <x:c r="N131" s="12" t="str">
        <x:v>大安區</x:v>
      </x:c>
      <x:c r="O131" s="12" t="str">
        <x:v>臺大公館校區</x:v>
      </x:c>
      <x:c r="P131" s="12" t="str">
        <x:v>任一端非500119*</x:v>
      </x:c>
    </x:row>
    <x:row r="132">
      <x:c r="A132" s="12" t="str">
        <x:v>2026-09-02</x:v>
      </x:c>
      <x:c r="B132" s="12" t="str">
        <x:v>ZZB-0004</x:v>
      </x:c>
      <x:c r="C132" s="12" t="str">
        <x:v>2.0</x:v>
      </x:c>
      <x:c r="D132" s="13" t="n">
        <x:v>1</x:v>
      </x:c>
      <x:c r="E132" s="12" t="str">
        <x:v>2026-09-02 18:59:03</x:v>
      </x:c>
      <x:c r="F132" s="12" t="str">
        <x:v>2026-09-02 19:10:55</x:v>
      </x:c>
      <x:c r="G132" s="12" t="str">
        <x:v>18:00</x:v>
      </x:c>
      <x:c r="H132" s="12" t="str">
        <x:v>18–21</x:v>
      </x:c>
      <x:c r="I132" s="12" t="str">
        <x:v>500101276</x:v>
      </x:c>
      <x:c r="J132" s="12" t="str">
        <x:v>羅斯福新生南路口</x:v>
      </x:c>
      <x:c r="K132" s="12" t="str">
        <x:v>500119086</x:v>
      </x:c>
      <x:c r="L132" s="12" t="str">
        <x:v>臺大圖資系館北側</x:v>
      </x:c>
      <x:c r="M132" s="12" t="str">
        <x:v>虛線</x:v>
      </x:c>
      <x:c r="N132" s="12" t="str">
        <x:v>大安區</x:v>
      </x:c>
      <x:c r="O132" s="12" t="str">
        <x:v>臺大公館校區</x:v>
      </x:c>
      <x:c r="P132" s="12" t="str">
        <x:v>任一端非500119*</x:v>
      </x:c>
    </x:row>
    <x:row r="133">
      <x:c r="A133" s="12" t="str">
        <x:v>2026-09-02</x:v>
      </x:c>
      <x:c r="B133" s="12" t="str">
        <x:v>ZZB-0004</x:v>
      </x:c>
      <x:c r="C133" s="12" t="str">
        <x:v>2.0</x:v>
      </x:c>
      <x:c r="D133" s="13" t="n">
        <x:v>6</x:v>
      </x:c>
      <x:c r="E133" s="12" t="str">
        <x:v>2026-09-02 18:59:03</x:v>
      </x:c>
      <x:c r="F133" s="12" t="str">
        <x:v>2026-09-02 21:59:22</x:v>
      </x:c>
      <x:c r="G133" s="12" t="str">
        <x:v>18:00</x:v>
      </x:c>
      <x:c r="H133" s="12" t="str">
        <x:v>18–21</x:v>
      </x:c>
      <x:c r="I133" s="12" t="str">
        <x:v>500101276</x:v>
      </x:c>
      <x:c r="J133" s="12" t="str">
        <x:v>羅斯福新生南路口</x:v>
      </x:c>
      <x:c r="K133" s="12" t="str">
        <x:v>500119061</x:v>
      </x:c>
      <x:c r="L133" s="12" t="str">
        <x:v>臺大鹿鳴堂東側</x:v>
      </x:c>
      <x:c r="M133" s="12" t="str">
        <x:v>虛線</x:v>
      </x:c>
      <x:c r="N133" s="12" t="str">
        <x:v>大安區</x:v>
      </x:c>
      <x:c r="O133" s="12" t="str">
        <x:v>臺大公館校區</x:v>
      </x:c>
      <x:c r="P133" s="12" t="str">
        <x:v>任一端非500119*</x:v>
      </x:c>
    </x:row>
    <x:row r="134">
      <x:c r="A134" s="12" t="str">
        <x:v>2026-09-02</x:v>
      </x:c>
      <x:c r="B134" s="12" t="str">
        <x:v>ZZB-0004</x:v>
      </x:c>
      <x:c r="C134" s="12" t="str">
        <x:v>2.0</x:v>
      </x:c>
      <x:c r="D134" s="13" t="n">
        <x:v>1</x:v>
      </x:c>
      <x:c r="E134" s="12" t="str">
        <x:v>2026-09-02 21:59:08</x:v>
      </x:c>
      <x:c r="F134" s="12" t="str">
        <x:v>2026-09-02 21:59:22</x:v>
      </x:c>
      <x:c r="G134" s="12" t="str">
        <x:v>21:00</x:v>
      </x:c>
      <x:c r="H134" s="12" t="str">
        <x:v>18–21</x:v>
      </x:c>
      <x:c r="I134" s="12" t="str">
        <x:v>500101181</x:v>
      </x:c>
      <x:c r="J134" s="12" t="str">
        <x:v>捷運公館站(3號出口)</x:v>
      </x:c>
      <x:c r="K134" s="12" t="str">
        <x:v>500119061</x:v>
      </x:c>
      <x:c r="L134" s="12" t="str">
        <x:v>臺大鹿鳴堂東側</x:v>
      </x:c>
      <x:c r="M134" s="12" t="str">
        <x:v>虛線</x:v>
      </x:c>
      <x:c r="N134" s="12" t="str">
        <x:v>大安區</x:v>
      </x:c>
      <x:c r="O134" s="12" t="str">
        <x:v>臺大公館校區</x:v>
      </x:c>
      <x:c r="P134" s="12" t="str">
        <x:v>任一端非500119*</x:v>
      </x:c>
    </x:row>
    <x:row r="135">
      <x:c r="A135" s="12" t="str">
        <x:v>2026-09-02</x:v>
      </x:c>
      <x:c r="B135" s="12" t="str">
        <x:v>ZZB-0004</x:v>
      </x:c>
      <x:c r="C135" s="12" t="str">
        <x:v>2.0</x:v>
      </x:c>
      <x:c r="D135" s="13" t="n">
        <x:v>6</x:v>
      </x:c>
      <x:c r="E135" s="12" t="str">
        <x:v>2026-09-02 21:59:08</x:v>
      </x:c>
      <x:c r="F135" s="12" t="str">
        <x:v>2026-09-02 22:14:09</x:v>
      </x:c>
      <x:c r="G135" s="12" t="str">
        <x:v>21:00</x:v>
      </x:c>
      <x:c r="H135" s="12" t="str">
        <x:v>18–21</x:v>
      </x:c>
      <x:c r="I135" s="12" t="str">
        <x:v>500101181</x:v>
      </x:c>
      <x:c r="J135" s="12" t="str">
        <x:v>捷運公館站(3號出口)</x:v>
      </x:c>
      <x:c r="K135" s="12" t="str">
        <x:v>500119086</x:v>
      </x:c>
      <x:c r="L135" s="12" t="str">
        <x:v>臺大圖資系館北側</x:v>
      </x:c>
      <x:c r="M135" s="12" t="str">
        <x:v>虛線</x:v>
      </x:c>
      <x:c r="N135" s="12" t="str">
        <x:v>大安區</x:v>
      </x:c>
      <x:c r="O135" s="12" t="str">
        <x:v>臺大公館校區</x:v>
      </x:c>
      <x:c r="P135" s="12" t="str">
        <x:v>任一端非500119*</x:v>
      </x:c>
    </x:row>
    <x:row r="136">
      <x:c r="A136" s="12" t="str">
        <x:v>2026-09-02</x:v>
      </x:c>
      <x:c r="B136" s="12" t="str">
        <x:v>ZZB-0004</x:v>
      </x:c>
      <x:c r="C136" s="12" t="str">
        <x:v>2.0</x:v>
      </x:c>
      <x:c r="D136" s="13" t="n">
        <x:v>1</x:v>
      </x:c>
      <x:c r="E136" s="12" t="str">
        <x:v>2026-09-02 22:09:43</x:v>
      </x:c>
      <x:c r="F136" s="12" t="str">
        <x:v>2026-09-02 22:14:09</x:v>
      </x:c>
      <x:c r="G136" s="12" t="str">
        <x:v>22:00</x:v>
      </x:c>
      <x:c r="H136" s="12" t="str">
        <x:v>22–23</x:v>
      </x:c>
      <x:c r="I136" s="12" t="str">
        <x:v>500101181</x:v>
      </x:c>
      <x:c r="J136" s="12" t="str">
        <x:v>捷運公館站(3號出口)</x:v>
      </x:c>
      <x:c r="K136" s="12" t="str">
        <x:v>500119086</x:v>
      </x:c>
      <x:c r="L136" s="12" t="str">
        <x:v>臺大圖資系館北側</x:v>
      </x:c>
      <x:c r="M136" s="12" t="str">
        <x:v>虛線</x:v>
      </x:c>
      <x:c r="N136" s="12" t="str">
        <x:v>大安區</x:v>
      </x:c>
      <x:c r="O136" s="12" t="str">
        <x:v>臺大公館校區</x:v>
      </x:c>
      <x:c r="P136" s="12" t="str">
        <x:v>任一端非500119*</x:v>
      </x:c>
    </x:row>
    <x:row r="137">
      <x:c r="A137" s="12" t="str">
        <x:v>2026-09-02</x:v>
      </x:c>
      <x:c r="B137" s="12" t="str">
        <x:v>ZZB-0004</x:v>
      </x:c>
      <x:c r="C137" s="12" t="str">
        <x:v>2.0</x:v>
      </x:c>
      <x:c r="D137" s="13" t="n">
        <x:v>6</x:v>
      </x:c>
      <x:c r="E137" s="12" t="str">
        <x:v>2026-09-02 22:09:43</x:v>
      </x:c>
      <x:c r="F137" s="12" t="str">
        <x:v>2026-09-02 22:29:50</x:v>
      </x:c>
      <x:c r="G137" s="12" t="str">
        <x:v>22:00</x:v>
      </x:c>
      <x:c r="H137" s="12" t="str">
        <x:v>22–23</x:v>
      </x:c>
      <x:c r="I137" s="12" t="str">
        <x:v>500101181</x:v>
      </x:c>
      <x:c r="J137" s="12" t="str">
        <x:v>捷運公館站(3號出口)</x:v>
      </x:c>
      <x:c r="K137" s="12" t="str">
        <x:v>500101181</x:v>
      </x:c>
      <x:c r="L137" s="12" t="str">
        <x:v>捷運公館站(3號出口)</x:v>
      </x:c>
      <x:c r="M137" s="12" t="str">
        <x:v>虛線</x:v>
      </x:c>
      <x:c r="N137" s="12" t="str">
        <x:v>大安區</x:v>
      </x:c>
      <x:c r="O137" s="12" t="str">
        <x:v>大安區</x:v>
      </x:c>
      <x:c r="P137" s="12" t="str">
        <x:v>任一端非500119*</x:v>
      </x:c>
    </x:row>
    <x:row r="138">
      <x:c r="A138" s="12" t="str">
        <x:v>2026-09-02</x:v>
      </x:c>
      <x:c r="B138" s="12" t="str">
        <x:v>ZZB-0004</x:v>
      </x:c>
      <x:c r="C138" s="12" t="str">
        <x:v>2.0</x:v>
      </x:c>
      <x:c r="D138" s="13" t="n">
        <x:v>7</x:v>
      </x:c>
      <x:c r="E138" s="12" t="str">
        <x:v>2026-09-02 22:25:00</x:v>
      </x:c>
      <x:c r="F138" s="12" t="str">
        <x:v>2026-09-02 22:29:50</x:v>
      </x:c>
      <x:c r="G138" s="12" t="str">
        <x:v>22:00</x:v>
      </x:c>
      <x:c r="H138" s="12" t="str">
        <x:v>22–23</x:v>
      </x:c>
      <x:c r="I138" s="12" t="str">
        <x:v>500101181</x:v>
      </x:c>
      <x:c r="J138" s="12" t="str">
        <x:v>捷運公館站(3號出口)</x:v>
      </x:c>
      <x:c r="K138" s="12" t="str">
        <x:v>500101181</x:v>
      </x:c>
      <x:c r="L138" s="12" t="str">
        <x:v>捷運公館站(3號出口)</x:v>
      </x:c>
      <x:c r="M138" s="12" t="str">
        <x:v>虛線</x:v>
      </x:c>
      <x:c r="N138" s="12" t="str">
        <x:v>大安區</x:v>
      </x:c>
      <x:c r="O138" s="12" t="str">
        <x:v>大安區</x:v>
      </x:c>
      <x:c r="P138" s="12" t="str">
        <x:v>任一端非500119*</x:v>
      </x:c>
    </x:row>
    <x:row r="139">
      <x:c r="A139" s="12" t="str">
        <x:v>2026-09-02</x:v>
      </x:c>
      <x:c r="B139" s="12" t="str">
        <x:v>ZZB-0004</x:v>
      </x:c>
      <x:c r="C139" s="12" t="str">
        <x:v>2.0</x:v>
      </x:c>
      <x:c r="D139" s="13" t="n">
        <x:v>9</x:v>
      </x:c>
      <x:c r="E139" s="12" t="str">
        <x:v>2026-09-02 22:29:31</x:v>
      </x:c>
      <x:c r="F139" s="12" t="str">
        <x:v>2026-09-02 22:29:50</x:v>
      </x:c>
      <x:c r="G139" s="12" t="str">
        <x:v>22:00</x:v>
      </x:c>
      <x:c r="H139" s="12" t="str">
        <x:v>22–23</x:v>
      </x:c>
      <x:c r="I139" s="12" t="str">
        <x:v>500101181</x:v>
      </x:c>
      <x:c r="J139" s="12" t="str">
        <x:v>捷運公館站(3號出口)</x:v>
      </x:c>
      <x:c r="K139" s="12" t="str">
        <x:v>500101181</x:v>
      </x:c>
      <x:c r="L139" s="12" t="str">
        <x:v>捷運公館站(3號出口)</x:v>
      </x:c>
      <x:c r="M139" s="12" t="str">
        <x:v>虛線</x:v>
      </x:c>
      <x:c r="N139" s="12" t="str">
        <x:v>大安區</x:v>
      </x:c>
      <x:c r="O139" s="12" t="str">
        <x:v>大安區</x:v>
      </x:c>
      <x:c r="P139" s="12" t="str">
        <x:v>任一端非500119*</x:v>
      </x:c>
    </x:row>
    <x:row r="140">
      <x:c r="A140" s="12" t="str">
        <x:v>2026-09-02</x:v>
      </x:c>
      <x:c r="B140" s="12" t="str">
        <x:v>ZZB-0004</x:v>
      </x:c>
      <x:c r="C140" s="12" t="str">
        <x:v>2.0</x:v>
      </x:c>
      <x:c r="D140" s="13" t="n">
        <x:v>3</x:v>
      </x:c>
      <x:c r="E140" s="12" t="str">
        <x:v>2026-09-02 22:29:31</x:v>
      </x:c>
      <x:c r="F140" s="12" t="str">
        <x:v>2026-09-02 22:42:55</x:v>
      </x:c>
      <x:c r="G140" s="12" t="str">
        <x:v>22:00</x:v>
      </x:c>
      <x:c r="H140" s="12" t="str">
        <x:v>22–23</x:v>
      </x:c>
      <x:c r="I140" s="12" t="str">
        <x:v>500101181</x:v>
      </x:c>
      <x:c r="J140" s="12" t="str">
        <x:v>捷運公館站(3號出口)</x:v>
      </x:c>
      <x:c r="K140" s="12" t="str">
        <x:v>500119082</x:v>
      </x:c>
      <x:c r="L140" s="12" t="str">
        <x:v>臺大四號館東北側</x:v>
      </x:c>
      <x:c r="M140" s="12" t="str">
        <x:v>虛線</x:v>
      </x:c>
      <x:c r="N140" s="12" t="str">
        <x:v>大安區</x:v>
      </x:c>
      <x:c r="O140" s="12" t="str">
        <x:v>臺大公館校區</x:v>
      </x:c>
      <x:c r="P140" s="12" t="str">
        <x:v>任一端非500119*</x:v>
      </x:c>
    </x:row>
    <x:row r="141">
      <x:c r="A141" s="12" t="str">
        <x:v>2026-09-02</x:v>
      </x:c>
      <x:c r="B141" s="12" t="str">
        <x:v>ZZB-0004</x:v>
      </x:c>
      <x:c r="C141" s="12" t="str">
        <x:v>2.0</x:v>
      </x:c>
      <x:c r="D141" s="13" t="n">
        <x:v>4</x:v>
      </x:c>
      <x:c r="E141" s="12" t="str">
        <x:v>2026-09-02 22:29:31</x:v>
      </x:c>
      <x:c r="F141" s="12" t="str">
        <x:v>2026-09-02 22:45:41</x:v>
      </x:c>
      <x:c r="G141" s="12" t="str">
        <x:v>22:00</x:v>
      </x:c>
      <x:c r="H141" s="12" t="str">
        <x:v>22–23</x:v>
      </x:c>
      <x:c r="I141" s="12" t="str">
        <x:v>500101181</x:v>
      </x:c>
      <x:c r="J141" s="12" t="str">
        <x:v>捷運公館站(3號出口)</x:v>
      </x:c>
      <x:c r="K141" s="12" t="str">
        <x:v>500119078</x:v>
      </x:c>
      <x:c r="L141" s="12" t="str">
        <x:v>臺大森林館北側</x:v>
      </x:c>
      <x:c r="M141" s="12" t="str">
        <x:v>虛線</x:v>
      </x:c>
      <x:c r="N141" s="12" t="str">
        <x:v>大安區</x:v>
      </x:c>
      <x:c r="O141" s="12" t="str">
        <x:v>臺大公館校區</x:v>
      </x:c>
      <x:c r="P141" s="12" t="str">
        <x:v>任一端非500119*</x:v>
      </x:c>
    </x:row>
    <x:row r="142">
      <x:c r="A142" s="12" t="str">
        <x:v>2026-09-02</x:v>
      </x:c>
      <x:c r="B142" s="12" t="str">
        <x:v>ZZB-0004</x:v>
      </x:c>
      <x:c r="C142" s="12" t="str">
        <x:v>2.0</x:v>
      </x:c>
      <x:c r="D142" s="13" t="n">
        <x:v>3</x:v>
      </x:c>
      <x:c r="E142" s="12" t="str">
        <x:v>2026-09-02 22:29:31</x:v>
      </x:c>
      <x:c r="F142" s="12" t="str">
        <x:v>2026-09-02 22:59:08</x:v>
      </x:c>
      <x:c r="G142" s="12" t="str">
        <x:v>22:00</x:v>
      </x:c>
      <x:c r="H142" s="12" t="str">
        <x:v>22–23</x:v>
      </x:c>
      <x:c r="I142" s="12" t="str">
        <x:v>500101181</x:v>
      </x:c>
      <x:c r="J142" s="12" t="str">
        <x:v>捷運公館站(3號出口)</x:v>
      </x:c>
      <x:c r="K142" s="12" t="str">
        <x:v>500119059</x:v>
      </x:c>
      <x:c r="L142" s="12" t="str">
        <x:v>臺大共同教室北側</x:v>
      </x:c>
      <x:c r="M142" s="12" t="str">
        <x:v>虛線</x:v>
      </x:c>
      <x:c r="N142" s="12" t="str">
        <x:v>大安區</x:v>
      </x:c>
      <x:c r="O142" s="12" t="str">
        <x:v>臺大公館校區</x:v>
      </x:c>
      <x:c r="P142" s="12" t="str">
        <x:v>任一端非500119*</x:v>
      </x:c>
    </x:row>
    <x:row r="143">
      <x:c r="A143" s="12" t="str">
        <x:v>2026-09-02</x:v>
      </x:c>
      <x:c r="B143" s="12" t="str">
        <x:v>ZZB-0004</x:v>
      </x:c>
      <x:c r="C143" s="12" t="str">
        <x:v>2.0</x:v>
      </x:c>
      <x:c r="D143" s="13" t="n">
        <x:v>3</x:v>
      </x:c>
      <x:c r="E143" s="12" t="str">
        <x:v>2026-09-02 22:29:31</x:v>
      </x:c>
      <x:c r="F143" s="12" t="str">
        <x:v>2026-09-02 23:03:38</x:v>
      </x:c>
      <x:c r="G143" s="12" t="str">
        <x:v>22:00</x:v>
      </x:c>
      <x:c r="H143" s="12" t="str">
        <x:v>22–23</x:v>
      </x:c>
      <x:c r="I143" s="12" t="str">
        <x:v>500101181</x:v>
      </x:c>
      <x:c r="J143" s="12" t="str">
        <x:v>捷運公館站(3號出口)</x:v>
      </x:c>
      <x:c r="K143" s="12" t="str">
        <x:v>500119047</x:v>
      </x:c>
      <x:c r="L143" s="12" t="str">
        <x:v>臺大土木系館</x:v>
      </x:c>
      <x:c r="M143" s="12" t="str">
        <x:v>虛線</x:v>
      </x:c>
      <x:c r="N143" s="12" t="str">
        <x:v>大安區</x:v>
      </x:c>
      <x:c r="O143" s="12" t="str">
        <x:v>臺大公館校區</x:v>
      </x:c>
      <x:c r="P143" s="12" t="str">
        <x:v>任一端非500119*</x:v>
      </x:c>
    </x:row>
    <x:row r="144">
      <x:c r="A144" s="12" t="str">
        <x:v>2026-09-02</x:v>
      </x:c>
      <x:c r="B144" s="12" t="str">
        <x:v>ZZB-0004</x:v>
      </x:c>
      <x:c r="C144" s="12" t="str">
        <x:v>2.0</x:v>
      </x:c>
      <x:c r="D144" s="13" t="n">
        <x:v>1</x:v>
      </x:c>
      <x:c r="E144" s="12" t="str">
        <x:v>2026-09-02 22:54:39</x:v>
      </x:c>
      <x:c r="F144" s="12" t="str">
        <x:v>2026-09-02 23:03:38</x:v>
      </x:c>
      <x:c r="G144" s="12" t="str">
        <x:v>22:00</x:v>
      </x:c>
      <x:c r="H144" s="12" t="str">
        <x:v>22–23</x:v>
      </x:c>
      <x:c r="I144" s="12" t="str">
        <x:v>500101181</x:v>
      </x:c>
      <x:c r="J144" s="12" t="str">
        <x:v>捷運公館站(3號出口)</x:v>
      </x:c>
      <x:c r="K144" s="12" t="str">
        <x:v>500119047</x:v>
      </x:c>
      <x:c r="L144" s="12" t="str">
        <x:v>臺大土木系館</x:v>
      </x:c>
      <x:c r="M144" s="12" t="str">
        <x:v>虛線</x:v>
      </x:c>
      <x:c r="N144" s="12" t="str">
        <x:v>大安區</x:v>
      </x:c>
      <x:c r="O144" s="12" t="str">
        <x:v>臺大公館校區</x:v>
      </x:c>
      <x:c r="P144" s="12" t="str">
        <x:v>任一端非500119*</x:v>
      </x:c>
    </x:row>
    <x:row r="145">
      <x:c r="A145" s="12" t="str">
        <x:v>2026-09-02</x:v>
      </x:c>
      <x:c r="B145" s="12" t="str">
        <x:v>ZZB-0004</x:v>
      </x:c>
      <x:c r="C145" s="12" t="str">
        <x:v>2.0</x:v>
      </x:c>
      <x:c r="D145" s="13" t="n">
        <x:v>6</x:v>
      </x:c>
      <x:c r="E145" s="12" t="str">
        <x:v>2026-09-02 22:54:39</x:v>
      </x:c>
      <x:c r="F145" s="12" t="str">
        <x:v>2026-09-02 23:15:58</x:v>
      </x:c>
      <x:c r="G145" s="12" t="str">
        <x:v>22:00</x:v>
      </x:c>
      <x:c r="H145" s="12" t="str">
        <x:v>22–23</x:v>
      </x:c>
      <x:c r="I145" s="12" t="str">
        <x:v>500101181</x:v>
      </x:c>
      <x:c r="J145" s="12" t="str">
        <x:v>捷運公館站(3號出口)</x:v>
      </x:c>
      <x:c r="K145" s="12" t="str">
        <x:v>500101181</x:v>
      </x:c>
      <x:c r="L145" s="12" t="str">
        <x:v>捷運公館站(3號出口)</x:v>
      </x:c>
      <x:c r="M145" s="12" t="str">
        <x:v>虛線</x:v>
      </x:c>
      <x:c r="N145" s="12" t="str">
        <x:v>大安區</x:v>
      </x:c>
      <x:c r="O145" s="12" t="str">
        <x:v>大安區</x:v>
      </x:c>
      <x:c r="P145" s="12" t="str">
        <x:v>任一端非500119*</x:v>
      </x:c>
    </x:row>
    <x:row r="146">
      <x:c r="A146" s="12" t="str">
        <x:v>2026-09-02</x:v>
      </x:c>
      <x:c r="B146" s="12" t="str">
        <x:v>ZZB-0004</x:v>
      </x:c>
      <x:c r="C146" s="12" t="str">
        <x:v>2.0</x:v>
      </x:c>
      <x:c r="D146" s="13" t="n">
        <x:v>7</x:v>
      </x:c>
      <x:c r="E146" s="12" t="str">
        <x:v>2026-09-02 23:12:47</x:v>
      </x:c>
      <x:c r="F146" s="12" t="str">
        <x:v>2026-09-02 23:15:58</x:v>
      </x:c>
      <x:c r="G146" s="12" t="str">
        <x:v>23:00</x:v>
      </x:c>
      <x:c r="H146" s="12" t="str">
        <x:v>22–23</x:v>
      </x:c>
      <x:c r="I146" s="12" t="str">
        <x:v>500101181</x:v>
      </x:c>
      <x:c r="J146" s="12" t="str">
        <x:v>捷運公館站(3號出口)</x:v>
      </x:c>
      <x:c r="K146" s="12" t="str">
        <x:v>500101181</x:v>
      </x:c>
      <x:c r="L146" s="12" t="str">
        <x:v>捷運公館站(3號出口)</x:v>
      </x:c>
      <x:c r="M146" s="12" t="str">
        <x:v>虛線</x:v>
      </x:c>
      <x:c r="N146" s="12" t="str">
        <x:v>大安區</x:v>
      </x:c>
      <x:c r="O146" s="12" t="str">
        <x:v>大安區</x:v>
      </x:c>
      <x:c r="P146" s="12" t="str">
        <x:v>任一端非500119*</x:v>
      </x:c>
    </x:row>
    <x:row r="147">
      <x:c r="A147" s="12" t="str">
        <x:v>2026-09-02</x:v>
      </x:c>
      <x:c r="B147" s="12" t="str">
        <x:v>ZZB-0004</x:v>
      </x:c>
      <x:c r="C147" s="12" t="str">
        <x:v>2.0</x:v>
      </x:c>
      <x:c r="D147" s="13" t="n">
        <x:v>5</x:v>
      </x:c>
      <x:c r="E147" s="12" t="str">
        <x:v>2026-09-02 23:15:40</x:v>
      </x:c>
      <x:c r="F147" s="12" t="str">
        <x:v>2026-09-02 23:15:58</x:v>
      </x:c>
      <x:c r="G147" s="12" t="str">
        <x:v>23:00</x:v>
      </x:c>
      <x:c r="H147" s="12" t="str">
        <x:v>22–23</x:v>
      </x:c>
      <x:c r="I147" s="12" t="str">
        <x:v>500101181</x:v>
      </x:c>
      <x:c r="J147" s="12" t="str">
        <x:v>捷運公館站(3號出口)</x:v>
      </x:c>
      <x:c r="K147" s="12" t="str">
        <x:v>500101181</x:v>
      </x:c>
      <x:c r="L147" s="12" t="str">
        <x:v>捷運公館站(3號出口)</x:v>
      </x:c>
      <x:c r="M147" s="12" t="str">
        <x:v>虛線</x:v>
      </x:c>
      <x:c r="N147" s="12" t="str">
        <x:v>大安區</x:v>
      </x:c>
      <x:c r="O147" s="12" t="str">
        <x:v>大安區</x:v>
      </x:c>
      <x:c r="P147" s="12" t="str">
        <x:v>任一端非500119*</x:v>
      </x:c>
    </x:row>
    <x:row r="148">
      <x:c r="A148" s="12" t="str">
        <x:v>2026-09-02</x:v>
      </x:c>
      <x:c r="B148" s="12" t="str">
        <x:v>ZZB-0004</x:v>
      </x:c>
      <x:c r="C148" s="12" t="str">
        <x:v>2.0</x:v>
      </x:c>
      <x:c r="D148" s="13" t="n">
        <x:v>3</x:v>
      </x:c>
      <x:c r="E148" s="12" t="str">
        <x:v>2026-09-02 23:15:40</x:v>
      </x:c>
      <x:c r="F148" s="12" t="str">
        <x:v>2026-09-02 23:28:08</x:v>
      </x:c>
      <x:c r="G148" s="12" t="str">
        <x:v>23:00</x:v>
      </x:c>
      <x:c r="H148" s="12" t="str">
        <x:v>22–23</x:v>
      </x:c>
      <x:c r="I148" s="12" t="str">
        <x:v>500101181</x:v>
      </x:c>
      <x:c r="J148" s="12" t="str">
        <x:v>捷運公館站(3號出口)</x:v>
      </x:c>
      <x:c r="K148" s="12" t="str">
        <x:v>500119061</x:v>
      </x:c>
      <x:c r="L148" s="12" t="str">
        <x:v>臺大鹿鳴堂東側</x:v>
      </x:c>
      <x:c r="M148" s="12" t="str">
        <x:v>虛線</x:v>
      </x:c>
      <x:c r="N148" s="12" t="str">
        <x:v>大安區</x:v>
      </x:c>
      <x:c r="O148" s="12" t="str">
        <x:v>臺大公館校區</x:v>
      </x:c>
      <x:c r="P148" s="12" t="str">
        <x:v>任一端非500119*</x:v>
      </x:c>
    </x:row>
    <x:row r="149">
      <x:c r="A149" s="12" t="str">
        <x:v>2026-09-02</x:v>
      </x:c>
      <x:c r="B149" s="12" t="str">
        <x:v>ZZB-0004</x:v>
      </x:c>
      <x:c r="C149" s="12" t="str">
        <x:v>2.0</x:v>
      </x:c>
      <x:c r="D149" s="13" t="n">
        <x:v>2</x:v>
      </x:c>
      <x:c r="E149" s="12" t="str">
        <x:v>2026-09-02 23:15:40</x:v>
      </x:c>
      <x:c r="F149" s="12" t="str">
        <x:v>2026-09-02 23:30:28</x:v>
      </x:c>
      <x:c r="G149" s="12" t="str">
        <x:v>23:00</x:v>
      </x:c>
      <x:c r="H149" s="12" t="str">
        <x:v>22–23</x:v>
      </x:c>
      <x:c r="I149" s="12" t="str">
        <x:v>500101181</x:v>
      </x:c>
      <x:c r="J149" s="12" t="str">
        <x:v>捷運公館站(3號出口)</x:v>
      </x:c>
      <x:c r="K149" s="12" t="str">
        <x:v>500119060</x:v>
      </x:c>
      <x:c r="L149" s="12" t="str">
        <x:v>臺大共同教室東南側</x:v>
      </x:c>
      <x:c r="M149" s="12" t="str">
        <x:v>虛線</x:v>
      </x:c>
      <x:c r="N149" s="12" t="str">
        <x:v>大安區</x:v>
      </x:c>
      <x:c r="O149" s="12" t="str">
        <x:v>臺大公館校區</x:v>
      </x:c>
      <x:c r="P149" s="12" t="str">
        <x:v>任一端非500119*</x:v>
      </x:c>
    </x:row>
    <x:row r="150">
      <x:c r="A150" s="12" t="str">
        <x:v>2026-09-02</x:v>
      </x:c>
      <x:c r="B150" s="12" t="str">
        <x:v>ZZB-0004</x:v>
      </x:c>
      <x:c r="C150" s="12" t="str">
        <x:v>2.0</x:v>
      </x:c>
      <x:c r="D150" s="13" t="n">
        <x:v>2</x:v>
      </x:c>
      <x:c r="E150" s="12" t="str">
        <x:v>2026-09-02 23:15:40</x:v>
      </x:c>
      <x:c r="F150" s="12" t="str">
        <x:v>2026-09-02 23:32:33</x:v>
      </x:c>
      <x:c r="G150" s="12" t="str">
        <x:v>23:00</x:v>
      </x:c>
      <x:c r="H150" s="12" t="str">
        <x:v>22–23</x:v>
      </x:c>
      <x:c r="I150" s="12" t="str">
        <x:v>500101181</x:v>
      </x:c>
      <x:c r="J150" s="12" t="str">
        <x:v>捷運公館站(3號出口)</x:v>
      </x:c>
      <x:c r="K150" s="12" t="str">
        <x:v>500119059</x:v>
      </x:c>
      <x:c r="L150" s="12" t="str">
        <x:v>臺大共同教室北側</x:v>
      </x:c>
      <x:c r="M150" s="12" t="str">
        <x:v>虛線</x:v>
      </x:c>
      <x:c r="N150" s="12" t="str">
        <x:v>大安區</x:v>
      </x:c>
      <x:c r="O150" s="12" t="str">
        <x:v>臺大公館校區</x:v>
      </x:c>
      <x:c r="P150" s="12" t="str">
        <x:v>任一端非500119*</x:v>
      </x:c>
    </x:row>
    <x:row r="151">
      <x:c r="A151" s="12" t="str">
        <x:v>2026-09-02</x:v>
      </x:c>
      <x:c r="B151" s="12" t="str">
        <x:v>ZZB-0004</x:v>
      </x:c>
      <x:c r="C151" s="12" t="str">
        <x:v>2.0</x:v>
      </x:c>
      <x:c r="D151" s="13" t="n">
        <x:v>2</x:v>
      </x:c>
      <x:c r="E151" s="12" t="str">
        <x:v>2026-09-02 23:15:40</x:v>
      </x:c>
      <x:c r="F151" s="12" t="str">
        <x:v>2026-09-02 23:41:31</x:v>
      </x:c>
      <x:c r="G151" s="12" t="str">
        <x:v>23:00</x:v>
      </x:c>
      <x:c r="H151" s="12" t="str">
        <x:v>22–23</x:v>
      </x:c>
      <x:c r="I151" s="12" t="str">
        <x:v>500101181</x:v>
      </x:c>
      <x:c r="J151" s="12" t="str">
        <x:v>捷運公館站(3號出口)</x:v>
      </x:c>
      <x:c r="K151" s="12" t="str">
        <x:v>500101181</x:v>
      </x:c>
      <x:c r="L151" s="12" t="str">
        <x:v>捷運公館站(3號出口)</x:v>
      </x:c>
      <x:c r="M151" s="12" t="str">
        <x:v>虛線</x:v>
      </x:c>
      <x:c r="N151" s="12" t="str">
        <x:v>大安區</x:v>
      </x:c>
      <x:c r="O151" s="12" t="str">
        <x:v>大安區</x:v>
      </x:c>
      <x:c r="P151" s="12" t="str">
        <x:v>任一端非500119*</x:v>
      </x:c>
    </x:row>
    <x:row r="152">
      <x:c r="A152" s="12" t="str">
        <x:v>2026-09-02</x:v>
      </x:c>
      <x:c r="B152" s="12" t="str">
        <x:v>ZZB-0004</x:v>
      </x:c>
      <x:c r="C152" s="12" t="str">
        <x:v>2.0</x:v>
      </x:c>
      <x:c r="D152" s="13" t="n">
        <x:v>4</x:v>
      </x:c>
      <x:c r="E152" s="12" t="str">
        <x:v>2026-09-02 23:15:40</x:v>
      </x:c>
      <x:c r="F152" s="12" t="str">
        <x:v>2026-09-02 23:46:28</x:v>
      </x:c>
      <x:c r="G152" s="12" t="str">
        <x:v>23:00</x:v>
      </x:c>
      <x:c r="H152" s="12" t="str">
        <x:v>22–23</x:v>
      </x:c>
      <x:c r="I152" s="12" t="str">
        <x:v>500101181</x:v>
      </x:c>
      <x:c r="J152" s="12" t="str">
        <x:v>捷運公館站(3號出口)</x:v>
      </x:c>
      <x:c r="K152" s="12" t="str">
        <x:v>500119047</x:v>
      </x:c>
      <x:c r="L152" s="12" t="str">
        <x:v>臺大土木系館</x:v>
      </x:c>
      <x:c r="M152" s="12" t="str">
        <x:v>虛線</x:v>
      </x:c>
      <x:c r="N152" s="12" t="str">
        <x:v>大安區</x:v>
      </x:c>
      <x:c r="O152" s="12" t="str">
        <x:v>臺大公館校區</x:v>
      </x:c>
      <x:c r="P152" s="12" t="str">
        <x:v>任一端非500119*</x:v>
      </x:c>
    </x:row>
    <x:row r="153">
      <x:c r="A153" s="12" t="str">
        <x:v>2026-09-02</x:v>
      </x:c>
      <x:c r="B153" s="12" t="str">
        <x:v>ZZB-0004</x:v>
      </x:c>
      <x:c r="C153" s="12" t="str">
        <x:v>2.0</x:v>
      </x:c>
      <x:c r="D153" s="13" t="n">
        <x:v>3</x:v>
      </x:c>
      <x:c r="E153" s="12" t="str">
        <x:v>2026-09-02 23:41:03</x:v>
      </x:c>
      <x:c r="F153" s="12" t="str">
        <x:v>2026-09-02 23:50:42</x:v>
      </x:c>
      <x:c r="G153" s="12" t="str">
        <x:v>23:00</x:v>
      </x:c>
      <x:c r="H153" s="12" t="str">
        <x:v>22–23</x:v>
      </x:c>
      <x:c r="I153" s="12" t="str">
        <x:v>500101181</x:v>
      </x:c>
      <x:c r="J153" s="12" t="str">
        <x:v>捷運公館站(3號出口)</x:v>
      </x:c>
      <x:c r="K153" s="12" t="str">
        <x:v>500119086</x:v>
      </x:c>
      <x:c r="L153" s="12" t="str">
        <x:v>臺大圖資系館北側</x:v>
      </x:c>
      <x:c r="M153" s="12" t="str">
        <x:v>虛線</x:v>
      </x:c>
      <x:c r="N153" s="12" t="str">
        <x:v>大安區</x:v>
      </x:c>
      <x:c r="O153" s="12" t="str">
        <x:v>臺大公館校區</x:v>
      </x:c>
      <x:c r="P153" s="12" t="str">
        <x:v>任一端非500119*</x:v>
      </x:c>
    </x:row>
    <x:row r="154">
      <x:c r="A154" s="12" t="str">
        <x:v>2026-09-02</x:v>
      </x:c>
      <x:c r="B154" s="12" t="str">
        <x:v>ZZB-0004</x:v>
      </x:c>
      <x:c r="C154" s="12" t="str">
        <x:v>2.0E</x:v>
      </x:c>
      <x:c r="D154" s="13" t="n">
        <x:v>1</x:v>
      </x:c>
      <x:c r="E154" s="12" t="str">
        <x:v>2026-09-02 08:59:54</x:v>
      </x:c>
      <x:c r="F154" s="12" t="str">
        <x:v>2026-09-02 09:19:01</x:v>
      </x:c>
      <x:c r="G154" s="12" t="str">
        <x:v>08:00</x:v>
      </x:c>
      <x:c r="H154" s="12" t="str">
        <x:v>06–09</x:v>
      </x:c>
      <x:c r="I154" s="12" t="str">
        <x:v>500119087</x:v>
      </x:c>
      <x:c r="J154" s="12" t="str">
        <x:v>臺大總圖書館西南側</x:v>
      </x:c>
      <x:c r="K154" s="12" t="str">
        <x:v>500119082</x:v>
      </x:c>
      <x:c r="L154" s="12" t="str">
        <x:v>臺大四號館東北側</x:v>
      </x:c>
      <x:c r="M154" s="12" t="str">
        <x:v>實線</x:v>
      </x:c>
      <x:c r="N154" s="12" t="str">
        <x:v>臺大公館校區</x:v>
      </x:c>
      <x:c r="O154" s="12" t="str">
        <x:v>臺大公館校區</x:v>
      </x:c>
      <x:c r="P154" s="12" t="str">
        <x:v>兩端均500119*</x:v>
      </x:c>
    </x:row>
    <x:row r="155">
      <x:c r="A155" s="12" t="str">
        <x:v>2026-09-02</x:v>
      </x:c>
      <x:c r="B155" s="12" t="str">
        <x:v>ZZB-0004</x:v>
      </x:c>
      <x:c r="C155" s="12" t="str">
        <x:v>2.0E</x:v>
      </x:c>
      <x:c r="D155" s="13" t="n">
        <x:v>1</x:v>
      </x:c>
      <x:c r="E155" s="12" t="str">
        <x:v>2026-09-02 09:40:29</x:v>
      </x:c>
      <x:c r="F155" s="12" t="str">
        <x:v>2026-09-02 10:03:42</x:v>
      </x:c>
      <x:c r="G155" s="12" t="str">
        <x:v>09:00</x:v>
      </x:c>
      <x:c r="H155" s="12" t="str">
        <x:v>06–09</x:v>
      </x:c>
      <x:c r="I155" s="12" t="str">
        <x:v>500119087</x:v>
      </x:c>
      <x:c r="J155" s="12" t="str">
        <x:v>臺大總圖書館西南側</x:v>
      </x:c>
      <x:c r="K155" s="12" t="str">
        <x:v>500101032</x:v>
      </x:c>
      <x:c r="L155" s="12" t="str">
        <x:v>臺大男一舍前</x:v>
      </x:c>
      <x:c r="M155" s="12" t="str">
        <x:v>虛線</x:v>
      </x:c>
      <x:c r="N155" s="12" t="str">
        <x:v>臺大公館校區</x:v>
      </x:c>
      <x:c r="O155" s="12" t="str">
        <x:v>大安區</x:v>
      </x:c>
      <x:c r="P155" s="12" t="str">
        <x:v>任一端非500119*</x:v>
      </x:c>
    </x:row>
    <x:row r="156">
      <x:c r="A156" s="12" t="str">
        <x:v>2026-09-02</x:v>
      </x:c>
      <x:c r="B156" s="12" t="str">
        <x:v>ZZB-0004</x:v>
      </x:c>
      <x:c r="C156" s="12" t="str">
        <x:v>2.0E</x:v>
      </x:c>
      <x:c r="D156" s="13" t="n">
        <x:v>1</x:v>
      </x:c>
      <x:c r="E156" s="12" t="str">
        <x:v>2026-09-02 10:30:38</x:v>
      </x:c>
      <x:c r="F156" s="12" t="str">
        <x:v>2026-09-02 10:42:54</x:v>
      </x:c>
      <x:c r="G156" s="12" t="str">
        <x:v>10:00</x:v>
      </x:c>
      <x:c r="H156" s="12" t="str">
        <x:v>10–13</x:v>
      </x:c>
      <x:c r="I156" s="12" t="str">
        <x:v>500119085</x:v>
      </x:c>
      <x:c r="J156" s="12" t="str">
        <x:v>臺大電機二館東南側</x:v>
      </x:c>
      <x:c r="K156" s="12" t="str">
        <x:v>500119064</x:v>
      </x:c>
      <x:c r="L156" s="12" t="str">
        <x:v>臺大明達館機車停車場</x:v>
      </x:c>
      <x:c r="M156" s="12" t="str">
        <x:v>實線</x:v>
      </x:c>
      <x:c r="N156" s="12" t="str">
        <x:v>臺大公館校區</x:v>
      </x:c>
      <x:c r="O156" s="12" t="str">
        <x:v>臺大公館校區</x:v>
      </x:c>
      <x:c r="P156" s="12" t="str">
        <x:v>兩端均500119*</x:v>
      </x:c>
    </x:row>
    <x:row r="157">
      <x:c r="A157" s="12" t="str">
        <x:v>2026-09-03</x:v>
      </x:c>
      <x:c r="B157" s="12" t="str">
        <x:v>ZZB-0004</x:v>
      </x:c>
      <x:c r="C157" s="12" t="str">
        <x:v>2.0</x:v>
      </x:c>
      <x:c r="D157" s="13" t="n">
        <x:v>6</x:v>
      </x:c>
      <x:c r="E157" s="12" t="str">
        <x:v>2026-09-03 08:17:30</x:v>
      </x:c>
      <x:c r="F157" s="12" t="str">
        <x:v>2026-09-03 08:17:44</x:v>
      </x:c>
      <x:c r="G157" s="12" t="str">
        <x:v>08:00</x:v>
      </x:c>
      <x:c r="H157" s="12" t="str">
        <x:v>06–09</x:v>
      </x:c>
      <x:c r="I157" s="12" t="str">
        <x:v>500119078</x:v>
      </x:c>
      <x:c r="J157" s="12" t="str">
        <x:v>臺大森林館北側</x:v>
      </x:c>
      <x:c r="K157" s="12" t="str">
        <x:v>500119059</x:v>
      </x:c>
      <x:c r="L157" s="12" t="str">
        <x:v>臺大共同教室北側</x:v>
      </x:c>
      <x:c r="M157" s="12" t="str">
        <x:v>實線</x:v>
      </x:c>
      <x:c r="N157" s="12" t="str">
        <x:v>臺大公館校區</x:v>
      </x:c>
      <x:c r="O157" s="12" t="str">
        <x:v>臺大公館校區</x:v>
      </x:c>
      <x:c r="P157" s="12" t="str">
        <x:v>兩端均500119*</x:v>
      </x:c>
    </x:row>
    <x:row r="158">
      <x:c r="A158" s="12" t="str">
        <x:v>2026-09-03</x:v>
      </x:c>
      <x:c r="B158" s="12" t="str">
        <x:v>ZZB-0004</x:v>
      </x:c>
      <x:c r="C158" s="12" t="str">
        <x:v>2.0</x:v>
      </x:c>
      <x:c r="D158" s="13" t="n">
        <x:v>7</x:v>
      </x:c>
      <x:c r="E158" s="12" t="str">
        <x:v>2026-09-03 08:32:59</x:v>
      </x:c>
      <x:c r="F158" s="12" t="str">
        <x:v>2026-09-03 08:33:58</x:v>
      </x:c>
      <x:c r="G158" s="12" t="str">
        <x:v>08:00</x:v>
      </x:c>
      <x:c r="H158" s="12" t="str">
        <x:v>06–09</x:v>
      </x:c>
      <x:c r="I158" s="12" t="str">
        <x:v>500119086</x:v>
      </x:c>
      <x:c r="J158" s="12" t="str">
        <x:v>臺大圖資系館北側</x:v>
      </x:c>
      <x:c r="K158" s="12" t="str">
        <x:v>500119061</x:v>
      </x:c>
      <x:c r="L158" s="12" t="str">
        <x:v>臺大鹿鳴堂東側</x:v>
      </x:c>
      <x:c r="M158" s="12" t="str">
        <x:v>實線</x:v>
      </x:c>
      <x:c r="N158" s="12" t="str">
        <x:v>臺大公館校區</x:v>
      </x:c>
      <x:c r="O158" s="12" t="str">
        <x:v>臺大公館校區</x:v>
      </x:c>
      <x:c r="P158" s="12" t="str">
        <x:v>兩端均500119*</x:v>
      </x:c>
    </x:row>
    <x:row r="159">
      <x:c r="A159" s="12" t="str">
        <x:v>2026-09-03</x:v>
      </x:c>
      <x:c r="B159" s="12" t="str">
        <x:v>ZZB-0004</x:v>
      </x:c>
      <x:c r="C159" s="12" t="str">
        <x:v>2.0</x:v>
      </x:c>
      <x:c r="D159" s="13" t="n">
        <x:v>7</x:v>
      </x:c>
      <x:c r="E159" s="12" t="str">
        <x:v>2026-09-03 09:00:49</x:v>
      </x:c>
      <x:c r="F159" s="12" t="str">
        <x:v>2026-09-03 09:01:04</x:v>
      </x:c>
      <x:c r="G159" s="12" t="str">
        <x:v>09:00</x:v>
      </x:c>
      <x:c r="H159" s="12" t="str">
        <x:v>06–09</x:v>
      </x:c>
      <x:c r="I159" s="12" t="str">
        <x:v>500119086</x:v>
      </x:c>
      <x:c r="J159" s="12" t="str">
        <x:v>臺大圖資系館北側</x:v>
      </x:c>
      <x:c r="K159" s="12" t="str">
        <x:v>500119060</x:v>
      </x:c>
      <x:c r="L159" s="12" t="str">
        <x:v>臺大共同教室東南側</x:v>
      </x:c>
      <x:c r="M159" s="12" t="str">
        <x:v>實線</x:v>
      </x:c>
      <x:c r="N159" s="12" t="str">
        <x:v>臺大公館校區</x:v>
      </x:c>
      <x:c r="O159" s="12" t="str">
        <x:v>臺大公館校區</x:v>
      </x:c>
      <x:c r="P159" s="12" t="str">
        <x:v>兩端均500119*</x:v>
      </x:c>
    </x:row>
    <x:row r="160">
      <x:c r="A160" s="12" t="str">
        <x:v>2026-09-03</x:v>
      </x:c>
      <x:c r="B160" s="12" t="str">
        <x:v>ZZB-0004</x:v>
      </x:c>
      <x:c r="C160" s="12" t="str">
        <x:v>2.0</x:v>
      </x:c>
      <x:c r="D160" s="13" t="n">
        <x:v>7</x:v>
      </x:c>
      <x:c r="E160" s="12" t="str">
        <x:v>2026-09-03 09:17:44</x:v>
      </x:c>
      <x:c r="F160" s="12" t="str">
        <x:v>2026-09-03 09:18:11</x:v>
      </x:c>
      <x:c r="G160" s="12" t="str">
        <x:v>09:00</x:v>
      </x:c>
      <x:c r="H160" s="12" t="str">
        <x:v>06–09</x:v>
      </x:c>
      <x:c r="I160" s="12" t="str">
        <x:v>500119087</x:v>
      </x:c>
      <x:c r="J160" s="12" t="str">
        <x:v>臺大總圖書館西南側</x:v>
      </x:c>
      <x:c r="K160" s="12" t="str">
        <x:v>500119061</x:v>
      </x:c>
      <x:c r="L160" s="12" t="str">
        <x:v>臺大鹿鳴堂東側</x:v>
      </x:c>
      <x:c r="M160" s="12" t="str">
        <x:v>實線</x:v>
      </x:c>
      <x:c r="N160" s="12" t="str">
        <x:v>臺大公館校區</x:v>
      </x:c>
      <x:c r="O160" s="12" t="str">
        <x:v>臺大公館校區</x:v>
      </x:c>
      <x:c r="P160" s="12" t="str">
        <x:v>兩端均500119*</x:v>
      </x:c>
    </x:row>
    <x:row r="161">
      <x:c r="A161" s="12" t="str">
        <x:v>2026-09-03</x:v>
      </x:c>
      <x:c r="B161" s="12" t="str">
        <x:v>ZZB-0004</x:v>
      </x:c>
      <x:c r="C161" s="12" t="str">
        <x:v>2.0</x:v>
      </x:c>
      <x:c r="D161" s="13" t="n">
        <x:v>7</x:v>
      </x:c>
      <x:c r="E161" s="12" t="str">
        <x:v>2026-09-03 09:44:30</x:v>
      </x:c>
      <x:c r="F161" s="12" t="str">
        <x:v>2026-09-03 09:44:46</x:v>
      </x:c>
      <x:c r="G161" s="12" t="str">
        <x:v>09:00</x:v>
      </x:c>
      <x:c r="H161" s="12" t="str">
        <x:v>06–09</x:v>
      </x:c>
      <x:c r="I161" s="12" t="str">
        <x:v>500119078</x:v>
      </x:c>
      <x:c r="J161" s="12" t="str">
        <x:v>臺大森林館北側</x:v>
      </x:c>
      <x:c r="K161" s="12" t="str">
        <x:v>500119094</x:v>
      </x:c>
      <x:c r="L161" s="12" t="str">
        <x:v>臺大大一女餐廳廣場</x:v>
      </x:c>
      <x:c r="M161" s="12" t="str">
        <x:v>實線</x:v>
      </x:c>
      <x:c r="N161" s="12" t="str">
        <x:v>臺大公館校區</x:v>
      </x:c>
      <x:c r="O161" s="12" t="str">
        <x:v>臺大公館校區</x:v>
      </x:c>
      <x:c r="P161" s="12" t="str">
        <x:v>兩端均500119*</x:v>
      </x:c>
    </x:row>
    <x:row r="162">
      <x:c r="A162" s="12" t="str">
        <x:v>2026-09-03</x:v>
      </x:c>
      <x:c r="B162" s="12" t="str">
        <x:v>ZZB-0004</x:v>
      </x:c>
      <x:c r="C162" s="12" t="str">
        <x:v>2.0</x:v>
      </x:c>
      <x:c r="D162" s="13" t="n">
        <x:v>7</x:v>
      </x:c>
      <x:c r="E162" s="12" t="str">
        <x:v>2026-09-03 10:08:04</x:v>
      </x:c>
      <x:c r="F162" s="12" t="str">
        <x:v>2026-09-03 10:08:18</x:v>
      </x:c>
      <x:c r="G162" s="12" t="str">
        <x:v>10:00</x:v>
      </x:c>
      <x:c r="H162" s="12" t="str">
        <x:v>10–13</x:v>
      </x:c>
      <x:c r="I162" s="12" t="str">
        <x:v>500119086</x:v>
      </x:c>
      <x:c r="J162" s="12" t="str">
        <x:v>臺大圖資系館北側</x:v>
      </x:c>
      <x:c r="K162" s="12" t="str">
        <x:v>500119059</x:v>
      </x:c>
      <x:c r="L162" s="12" t="str">
        <x:v>臺大共同教室北側</x:v>
      </x:c>
      <x:c r="M162" s="12" t="str">
        <x:v>實線</x:v>
      </x:c>
      <x:c r="N162" s="12" t="str">
        <x:v>臺大公館校區</x:v>
      </x:c>
      <x:c r="O162" s="12" t="str">
        <x:v>臺大公館校區</x:v>
      </x:c>
      <x:c r="P162" s="12" t="str">
        <x:v>兩端均500119*</x:v>
      </x:c>
    </x:row>
    <x:row r="163">
      <x:c r="A163" s="12" t="str">
        <x:v>2026-09-03</x:v>
      </x:c>
      <x:c r="B163" s="12" t="str">
        <x:v>ZZB-0004</x:v>
      </x:c>
      <x:c r="C163" s="12" t="str">
        <x:v>2.0</x:v>
      </x:c>
      <x:c r="D163" s="13" t="n">
        <x:v>5</x:v>
      </x:c>
      <x:c r="E163" s="12" t="str">
        <x:v>2026-09-03 10:23:48</x:v>
      </x:c>
      <x:c r="F163" s="12" t="str">
        <x:v>2026-09-03 10:24:05</x:v>
      </x:c>
      <x:c r="G163" s="12" t="str">
        <x:v>10:00</x:v>
      </x:c>
      <x:c r="H163" s="12" t="str">
        <x:v>10–13</x:v>
      </x:c>
      <x:c r="I163" s="12" t="str">
        <x:v>500119087</x:v>
      </x:c>
      <x:c r="J163" s="12" t="str">
        <x:v>臺大總圖書館西南側</x:v>
      </x:c>
      <x:c r="K163" s="12" t="str">
        <x:v>500119060</x:v>
      </x:c>
      <x:c r="L163" s="12" t="str">
        <x:v>臺大共同教室東南側</x:v>
      </x:c>
      <x:c r="M163" s="12" t="str">
        <x:v>實線</x:v>
      </x:c>
      <x:c r="N163" s="12" t="str">
        <x:v>臺大公館校區</x:v>
      </x:c>
      <x:c r="O163" s="12" t="str">
        <x:v>臺大公館校區</x:v>
      </x:c>
      <x:c r="P163" s="12" t="str">
        <x:v>兩端均500119*</x:v>
      </x:c>
    </x:row>
    <x:row r="164">
      <x:c r="A164" s="12" t="str">
        <x:v>2026-09-03</x:v>
      </x:c>
      <x:c r="B164" s="12" t="str">
        <x:v>ZZB-0004</x:v>
      </x:c>
      <x:c r="C164" s="12" t="str">
        <x:v>2.0</x:v>
      </x:c>
      <x:c r="D164" s="13" t="n">
        <x:v>6</x:v>
      </x:c>
      <x:c r="E164" s="12" t="str">
        <x:v>2026-09-03 10:46:23</x:v>
      </x:c>
      <x:c r="F164" s="12" t="str">
        <x:v>2026-09-03 10:46:36</x:v>
      </x:c>
      <x:c r="G164" s="12" t="str">
        <x:v>10:00</x:v>
      </x:c>
      <x:c r="H164" s="12" t="str">
        <x:v>10–13</x:v>
      </x:c>
      <x:c r="I164" s="12" t="str">
        <x:v>500119074</x:v>
      </x:c>
      <x:c r="J164" s="12" t="str">
        <x:v>臺大生命科學館西北側</x:v>
      </x:c>
      <x:c r="K164" s="12" t="str">
        <x:v>500119094</x:v>
      </x:c>
      <x:c r="L164" s="12" t="str">
        <x:v>臺大大一女餐廳廣場</x:v>
      </x:c>
      <x:c r="M164" s="12" t="str">
        <x:v>實線</x:v>
      </x:c>
      <x:c r="N164" s="12" t="str">
        <x:v>臺大公館校區</x:v>
      </x:c>
      <x:c r="O164" s="12" t="str">
        <x:v>臺大公館校區</x:v>
      </x:c>
      <x:c r="P164" s="12" t="str">
        <x:v>兩端均500119*</x:v>
      </x:c>
    </x:row>
    <x:row r="165">
      <x:c r="A165" s="12" t="str">
        <x:v>2026-09-03</x:v>
      </x:c>
      <x:c r="B165" s="12" t="str">
        <x:v>ZZB-0004</x:v>
      </x:c>
      <x:c r="C165" s="12" t="str">
        <x:v>2.0</x:v>
      </x:c>
      <x:c r="D165" s="13" t="n">
        <x:v>7</x:v>
      </x:c>
      <x:c r="E165" s="12" t="str">
        <x:v>2026-09-03 10:54:38</x:v>
      </x:c>
      <x:c r="F165" s="12" t="str">
        <x:v>2026-09-03 10:54:53</x:v>
      </x:c>
      <x:c r="G165" s="12" t="str">
        <x:v>10:00</x:v>
      </x:c>
      <x:c r="H165" s="12" t="str">
        <x:v>10–13</x:v>
      </x:c>
      <x:c r="I165" s="12" t="str">
        <x:v>500119087</x:v>
      </x:c>
      <x:c r="J165" s="12" t="str">
        <x:v>臺大總圖書館西南側</x:v>
      </x:c>
      <x:c r="K165" s="12" t="str">
        <x:v>500119061</x:v>
      </x:c>
      <x:c r="L165" s="12" t="str">
        <x:v>臺大鹿鳴堂東側</x:v>
      </x:c>
      <x:c r="M165" s="12" t="str">
        <x:v>實線</x:v>
      </x:c>
      <x:c r="N165" s="12" t="str">
        <x:v>臺大公館校區</x:v>
      </x:c>
      <x:c r="O165" s="12" t="str">
        <x:v>臺大公館校區</x:v>
      </x:c>
      <x:c r="P165" s="12" t="str">
        <x:v>兩端均500119*</x:v>
      </x:c>
    </x:row>
    <x:row r="166">
      <x:c r="A166" s="12" t="str">
        <x:v>2026-09-03</x:v>
      </x:c>
      <x:c r="B166" s="12" t="str">
        <x:v>ZZB-0004</x:v>
      </x:c>
      <x:c r="C166" s="12" t="str">
        <x:v>2.0</x:v>
      </x:c>
      <x:c r="D166" s="13" t="n">
        <x:v>7</x:v>
      </x:c>
      <x:c r="E166" s="12" t="str">
        <x:v>2026-09-03 11:18:44</x:v>
      </x:c>
      <x:c r="F166" s="12" t="str">
        <x:v>2026-09-03 11:18:59</x:v>
      </x:c>
      <x:c r="G166" s="12" t="str">
        <x:v>11:00</x:v>
      </x:c>
      <x:c r="H166" s="12" t="str">
        <x:v>10–13</x:v>
      </x:c>
      <x:c r="I166" s="12" t="str">
        <x:v>500119083</x:v>
      </x:c>
      <x:c r="J166" s="12" t="str">
        <x:v>臺大新生教室南側</x:v>
      </x:c>
      <x:c r="K166" s="12" t="str">
        <x:v>500119070</x:v>
      </x:c>
      <x:c r="L166" s="12" t="str">
        <x:v>臺大椰林小舖</x:v>
      </x:c>
      <x:c r="M166" s="12" t="str">
        <x:v>實線</x:v>
      </x:c>
      <x:c r="N166" s="12" t="str">
        <x:v>臺大公館校區</x:v>
      </x:c>
      <x:c r="O166" s="12" t="str">
        <x:v>臺大公館校區</x:v>
      </x:c>
      <x:c r="P166" s="12" t="str">
        <x:v>兩端均500119*</x:v>
      </x:c>
    </x:row>
    <x:row r="167">
      <x:c r="A167" s="12" t="str">
        <x:v>2026-09-03</x:v>
      </x:c>
      <x:c r="B167" s="12" t="str">
        <x:v>ZZB-0004</x:v>
      </x:c>
      <x:c r="C167" s="12" t="str">
        <x:v>2.0</x:v>
      </x:c>
      <x:c r="D167" s="13" t="n">
        <x:v>7</x:v>
      </x:c>
      <x:c r="E167" s="12" t="str">
        <x:v>2026-09-03 12:35:33</x:v>
      </x:c>
      <x:c r="F167" s="12" t="str">
        <x:v>2026-09-03 12:35:44</x:v>
      </x:c>
      <x:c r="G167" s="12" t="str">
        <x:v>12:00</x:v>
      </x:c>
      <x:c r="H167" s="12" t="str">
        <x:v>10–13</x:v>
      </x:c>
      <x:c r="I167" s="12" t="str">
        <x:v>500119086</x:v>
      </x:c>
      <x:c r="J167" s="12" t="str">
        <x:v>臺大圖資系館北側</x:v>
      </x:c>
      <x:c r="K167" s="12" t="str">
        <x:v>500119061</x:v>
      </x:c>
      <x:c r="L167" s="12" t="str">
        <x:v>臺大鹿鳴堂東側</x:v>
      </x:c>
      <x:c r="M167" s="12" t="str">
        <x:v>實線</x:v>
      </x:c>
      <x:c r="N167" s="12" t="str">
        <x:v>臺大公館校區</x:v>
      </x:c>
      <x:c r="O167" s="12" t="str">
        <x:v>臺大公館校區</x:v>
      </x:c>
      <x:c r="P167" s="12" t="str">
        <x:v>兩端均500119*</x:v>
      </x:c>
    </x:row>
    <x:row r="168">
      <x:c r="A168" s="12" t="str">
        <x:v>2026-09-03</x:v>
      </x:c>
      <x:c r="B168" s="12" t="str">
        <x:v>ZZB-0004</x:v>
      </x:c>
      <x:c r="C168" s="12" t="str">
        <x:v>2.0</x:v>
      </x:c>
      <x:c r="D168" s="13" t="n">
        <x:v>7</x:v>
      </x:c>
      <x:c r="E168" s="12" t="str">
        <x:v>2026-09-03 13:07:56</x:v>
      </x:c>
      <x:c r="F168" s="12" t="str">
        <x:v>2026-09-03 13:08:07</x:v>
      </x:c>
      <x:c r="G168" s="12" t="str">
        <x:v>13:00</x:v>
      </x:c>
      <x:c r="H168" s="12" t="str">
        <x:v>10–13</x:v>
      </x:c>
      <x:c r="I168" s="12" t="str">
        <x:v>500119054</x:v>
      </x:c>
      <x:c r="J168" s="12" t="str">
        <x:v>臺大心理系館南側</x:v>
      </x:c>
      <x:c r="K168" s="12" t="str">
        <x:v>500119094</x:v>
      </x:c>
      <x:c r="L168" s="12" t="str">
        <x:v>臺大大一女餐廳廣場</x:v>
      </x:c>
      <x:c r="M168" s="12" t="str">
        <x:v>實線</x:v>
      </x:c>
      <x:c r="N168" s="12" t="str">
        <x:v>臺大公館校區</x:v>
      </x:c>
      <x:c r="O168" s="12" t="str">
        <x:v>臺大公館校區</x:v>
      </x:c>
      <x:c r="P168" s="12" t="str">
        <x:v>兩端均500119*</x:v>
      </x:c>
    </x:row>
    <x:row r="169">
      <x:c r="A169" s="12" t="str">
        <x:v>2026-09-03</x:v>
      </x:c>
      <x:c r="B169" s="12" t="str">
        <x:v>ZZB-0004</x:v>
      </x:c>
      <x:c r="C169" s="12" t="str">
        <x:v>2.0</x:v>
      </x:c>
      <x:c r="D169" s="13" t="n">
        <x:v>6</x:v>
      </x:c>
      <x:c r="E169" s="12" t="str">
        <x:v>2026-09-03 13:37:36</x:v>
      </x:c>
      <x:c r="F169" s="12" t="str">
        <x:v>2026-09-03 13:37:50</x:v>
      </x:c>
      <x:c r="G169" s="12" t="str">
        <x:v>13:00</x:v>
      </x:c>
      <x:c r="H169" s="12" t="str">
        <x:v>10–13</x:v>
      </x:c>
      <x:c r="I169" s="12" t="str">
        <x:v>500119054</x:v>
      </x:c>
      <x:c r="J169" s="12" t="str">
        <x:v>臺大心理系館南側</x:v>
      </x:c>
      <x:c r="K169" s="12" t="str">
        <x:v>500119048</x:v>
      </x:c>
      <x:c r="L169" s="12" t="str">
        <x:v>臺大大一女舍北側</x:v>
      </x:c>
      <x:c r="M169" s="12" t="str">
        <x:v>實線</x:v>
      </x:c>
      <x:c r="N169" s="12" t="str">
        <x:v>臺大公館校區</x:v>
      </x:c>
      <x:c r="O169" s="12" t="str">
        <x:v>臺大公館校區</x:v>
      </x:c>
      <x:c r="P169" s="12" t="str">
        <x:v>兩端均500119*</x:v>
      </x:c>
    </x:row>
    <x:row r="170">
      <x:c r="A170" s="12" t="str">
        <x:v>2026-09-03</x:v>
      </x:c>
      <x:c r="B170" s="12" t="str">
        <x:v>ZZB-0004</x:v>
      </x:c>
      <x:c r="C170" s="12" t="str">
        <x:v>2.0</x:v>
      </x:c>
      <x:c r="D170" s="13" t="n">
        <x:v>5</x:v>
      </x:c>
      <x:c r="E170" s="12" t="str">
        <x:v>2026-09-03 13:59:57</x:v>
      </x:c>
      <x:c r="F170" s="12" t="str">
        <x:v>2026-09-03 14:00:57</x:v>
      </x:c>
      <x:c r="G170" s="12" t="str">
        <x:v>13:00</x:v>
      </x:c>
      <x:c r="H170" s="12" t="str">
        <x:v>10–13</x:v>
      </x:c>
      <x:c r="I170" s="12" t="str">
        <x:v>500119050</x:v>
      </x:c>
      <x:c r="J170" s="12" t="str">
        <x:v>臺大小福樓東側</x:v>
      </x:c>
      <x:c r="K170" s="12" t="str">
        <x:v>500119070</x:v>
      </x:c>
      <x:c r="L170" s="12" t="str">
        <x:v>臺大椰林小舖</x:v>
      </x:c>
      <x:c r="M170" s="12" t="str">
        <x:v>實線</x:v>
      </x:c>
      <x:c r="N170" s="12" t="str">
        <x:v>臺大公館校區</x:v>
      </x:c>
      <x:c r="O170" s="12" t="str">
        <x:v>臺大公館校區</x:v>
      </x:c>
      <x:c r="P170" s="12" t="str">
        <x:v>兩端均500119*</x:v>
      </x:c>
    </x:row>
    <x:row r="171">
      <x:c r="A171" s="12" t="str">
        <x:v>2026-09-03</x:v>
      </x:c>
      <x:c r="B171" s="12" t="str">
        <x:v>ZZB-0004</x:v>
      </x:c>
      <x:c r="C171" s="12" t="str">
        <x:v>2.0</x:v>
      </x:c>
      <x:c r="D171" s="13" t="n">
        <x:v>6</x:v>
      </x:c>
      <x:c r="E171" s="12" t="str">
        <x:v>2026-09-03 14:18:59</x:v>
      </x:c>
      <x:c r="F171" s="12" t="str">
        <x:v>2026-09-03 14:19:18</x:v>
      </x:c>
      <x:c r="G171" s="12" t="str">
        <x:v>14:00</x:v>
      </x:c>
      <x:c r="H171" s="12" t="str">
        <x:v>14–17</x:v>
      </x:c>
      <x:c r="I171" s="12" t="str">
        <x:v>500119074</x:v>
      </x:c>
      <x:c r="J171" s="12" t="str">
        <x:v>臺大生命科學館西北側</x:v>
      </x:c>
      <x:c r="K171" s="12" t="str">
        <x:v>500119091</x:v>
      </x:c>
      <x:c r="L171" s="12" t="str">
        <x:v>臺大明達館北側(員工宿舍)</x:v>
      </x:c>
      <x:c r="M171" s="12" t="str">
        <x:v>實線</x:v>
      </x:c>
      <x:c r="N171" s="12" t="str">
        <x:v>臺大公館校區</x:v>
      </x:c>
      <x:c r="O171" s="12" t="str">
        <x:v>臺大公館校區</x:v>
      </x:c>
      <x:c r="P171" s="12" t="str">
        <x:v>兩端均500119*</x:v>
      </x:c>
    </x:row>
    <x:row r="172">
      <x:c r="A172" s="12" t="str">
        <x:v>2026-09-03</x:v>
      </x:c>
      <x:c r="B172" s="12" t="str">
        <x:v>ZZB-0004</x:v>
      </x:c>
      <x:c r="C172" s="12" t="str">
        <x:v>2.0E</x:v>
      </x:c>
      <x:c r="D172" s="13" t="n">
        <x:v>1</x:v>
      </x:c>
      <x:c r="E172" s="12" t="str">
        <x:v>2026-09-03 08:17:30</x:v>
      </x:c>
      <x:c r="F172" s="12" t="str">
        <x:v>2026-09-03 08:17:44</x:v>
      </x:c>
      <x:c r="G172" s="12" t="str">
        <x:v>08:00</x:v>
      </x:c>
      <x:c r="H172" s="12" t="str">
        <x:v>06–09</x:v>
      </x:c>
      <x:c r="I172" s="12" t="str">
        <x:v>500119078</x:v>
      </x:c>
      <x:c r="J172" s="12" t="str">
        <x:v>臺大森林館北側</x:v>
      </x:c>
      <x:c r="K172" s="12" t="str">
        <x:v>500119059</x:v>
      </x:c>
      <x:c r="L172" s="12" t="str">
        <x:v>臺大共同教室北側</x:v>
      </x:c>
      <x:c r="M172" s="12" t="str">
        <x:v>實線</x:v>
      </x:c>
      <x:c r="N172" s="12" t="str">
        <x:v>臺大公館校區</x:v>
      </x:c>
      <x:c r="O172" s="12" t="str">
        <x:v>臺大公館校區</x:v>
      </x:c>
      <x:c r="P172" s="12" t="str">
        <x:v>兩端均500119*</x:v>
      </x:c>
    </x:row>
    <x:row r="173">
      <x:c r="A173" s="12" t="str">
        <x:v>2026-09-03</x:v>
      </x:c>
      <x:c r="B173" s="12" t="str">
        <x:v>ZZB-0004</x:v>
      </x:c>
      <x:c r="C173" s="12" t="str">
        <x:v>2.0E</x:v>
      </x:c>
      <x:c r="D173" s="13" t="n">
        <x:v>2</x:v>
      </x:c>
      <x:c r="E173" s="12" t="str">
        <x:v>2026-09-03 10:23:48</x:v>
      </x:c>
      <x:c r="F173" s="12" t="str">
        <x:v>2026-09-03 10:24:05</x:v>
      </x:c>
      <x:c r="G173" s="12" t="str">
        <x:v>10:00</x:v>
      </x:c>
      <x:c r="H173" s="12" t="str">
        <x:v>10–13</x:v>
      </x:c>
      <x:c r="I173" s="12" t="str">
        <x:v>500119087</x:v>
      </x:c>
      <x:c r="J173" s="12" t="str">
        <x:v>臺大總圖書館西南側</x:v>
      </x:c>
      <x:c r="K173" s="12" t="str">
        <x:v>500119060</x:v>
      </x:c>
      <x:c r="L173" s="12" t="str">
        <x:v>臺大共同教室東南側</x:v>
      </x:c>
      <x:c r="M173" s="12" t="str">
        <x:v>實線</x:v>
      </x:c>
      <x:c r="N173" s="12" t="str">
        <x:v>臺大公館校區</x:v>
      </x:c>
      <x:c r="O173" s="12" t="str">
        <x:v>臺大公館校區</x:v>
      </x:c>
      <x:c r="P173" s="12" t="str">
        <x:v>兩端均500119*</x:v>
      </x:c>
    </x:row>
    <x:row r="174">
      <x:c r="A174" s="12" t="str">
        <x:v>2026-09-03</x:v>
      </x:c>
      <x:c r="B174" s="12" t="str">
        <x:v>ZZB-0004</x:v>
      </x:c>
      <x:c r="C174" s="12" t="str">
        <x:v>2.0E</x:v>
      </x:c>
      <x:c r="D174" s="13" t="n">
        <x:v>1</x:v>
      </x:c>
      <x:c r="E174" s="12" t="str">
        <x:v>2026-09-03 10:46:23</x:v>
      </x:c>
      <x:c r="F174" s="12" t="str">
        <x:v>2026-09-03 10:46:36</x:v>
      </x:c>
      <x:c r="G174" s="12" t="str">
        <x:v>10:00</x:v>
      </x:c>
      <x:c r="H174" s="12" t="str">
        <x:v>10–13</x:v>
      </x:c>
      <x:c r="I174" s="12" t="str">
        <x:v>500119074</x:v>
      </x:c>
      <x:c r="J174" s="12" t="str">
        <x:v>臺大生命科學館西北側</x:v>
      </x:c>
      <x:c r="K174" s="12" t="str">
        <x:v>500119094</x:v>
      </x:c>
      <x:c r="L174" s="12" t="str">
        <x:v>臺大大一女餐廳廣場</x:v>
      </x:c>
      <x:c r="M174" s="12" t="str">
        <x:v>實線</x:v>
      </x:c>
      <x:c r="N174" s="12" t="str">
        <x:v>臺大公館校區</x:v>
      </x:c>
      <x:c r="O174" s="12" t="str">
        <x:v>臺大公館校區</x:v>
      </x:c>
      <x:c r="P174" s="12" t="str">
        <x:v>兩端均500119*</x:v>
      </x:c>
    </x:row>
    <x:row r="175">
      <x:c r="A175" s="12" t="str">
        <x:v>2026-09-03</x:v>
      </x:c>
      <x:c r="B175" s="12" t="str">
        <x:v>ZZB-0004</x:v>
      </x:c>
      <x:c r="C175" s="12" t="str">
        <x:v>2.0E</x:v>
      </x:c>
      <x:c r="D175" s="13" t="n">
        <x:v>1</x:v>
      </x:c>
      <x:c r="E175" s="12" t="str">
        <x:v>2026-09-03 13:37:36</x:v>
      </x:c>
      <x:c r="F175" s="12" t="str">
        <x:v>2026-09-03 13:37:50</x:v>
      </x:c>
      <x:c r="G175" s="12" t="str">
        <x:v>13:00</x:v>
      </x:c>
      <x:c r="H175" s="12" t="str">
        <x:v>10–13</x:v>
      </x:c>
      <x:c r="I175" s="12" t="str">
        <x:v>500119054</x:v>
      </x:c>
      <x:c r="J175" s="12" t="str">
        <x:v>臺大心理系館南側</x:v>
      </x:c>
      <x:c r="K175" s="12" t="str">
        <x:v>500119048</x:v>
      </x:c>
      <x:c r="L175" s="12" t="str">
        <x:v>臺大大一女舍北側</x:v>
      </x:c>
      <x:c r="M175" s="12" t="str">
        <x:v>實線</x:v>
      </x:c>
      <x:c r="N175" s="12" t="str">
        <x:v>臺大公館校區</x:v>
      </x:c>
      <x:c r="O175" s="12" t="str">
        <x:v>臺大公館校區</x:v>
      </x:c>
      <x:c r="P175" s="12" t="str">
        <x:v>兩端均500119*</x:v>
      </x:c>
    </x:row>
    <x:row r="176">
      <x:c r="A176" s="12" t="str">
        <x:v>2026-09-03</x:v>
      </x:c>
      <x:c r="B176" s="12" t="str">
        <x:v>ZZB-0004</x:v>
      </x:c>
      <x:c r="C176" s="12" t="str">
        <x:v>2.0E</x:v>
      </x:c>
      <x:c r="D176" s="13" t="n">
        <x:v>2</x:v>
      </x:c>
      <x:c r="E176" s="12" t="str">
        <x:v>2026-09-03 13:59:57</x:v>
      </x:c>
      <x:c r="F176" s="12" t="str">
        <x:v>2026-09-03 14:00:57</x:v>
      </x:c>
      <x:c r="G176" s="12" t="str">
        <x:v>13:00</x:v>
      </x:c>
      <x:c r="H176" s="12" t="str">
        <x:v>10–13</x:v>
      </x:c>
      <x:c r="I176" s="12" t="str">
        <x:v>500119050</x:v>
      </x:c>
      <x:c r="J176" s="12" t="str">
        <x:v>臺大小福樓東側</x:v>
      </x:c>
      <x:c r="K176" s="12" t="str">
        <x:v>500119070</x:v>
      </x:c>
      <x:c r="L176" s="12" t="str">
        <x:v>臺大椰林小舖</x:v>
      </x:c>
      <x:c r="M176" s="12" t="str">
        <x:v>實線</x:v>
      </x:c>
      <x:c r="N176" s="12" t="str">
        <x:v>臺大公館校區</x:v>
      </x:c>
      <x:c r="O176" s="12" t="str">
        <x:v>臺大公館校區</x:v>
      </x:c>
      <x:c r="P176" s="12" t="str">
        <x:v>兩端均500119*</x:v>
      </x:c>
    </x:row>
    <x:row r="177">
      <x:c r="A177" s="12" t="str">
        <x:v>2026-09-03</x:v>
      </x:c>
      <x:c r="B177" s="12" t="str">
        <x:v>ZZB-0004</x:v>
      </x:c>
      <x:c r="C177" s="12" t="str">
        <x:v>2.0E</x:v>
      </x:c>
      <x:c r="D177" s="13" t="n">
        <x:v>1</x:v>
      </x:c>
      <x:c r="E177" s="12" t="str">
        <x:v>2026-09-03 14:18:59</x:v>
      </x:c>
      <x:c r="F177" s="12" t="str">
        <x:v>2026-09-03 14:19:18</x:v>
      </x:c>
      <x:c r="G177" s="12" t="str">
        <x:v>14:00</x:v>
      </x:c>
      <x:c r="H177" s="12" t="str">
        <x:v>14–17</x:v>
      </x:c>
      <x:c r="I177" s="12" t="str">
        <x:v>500119074</x:v>
      </x:c>
      <x:c r="J177" s="12" t="str">
        <x:v>臺大生命科學館西北側</x:v>
      </x:c>
      <x:c r="K177" s="12" t="str">
        <x:v>500119091</x:v>
      </x:c>
      <x:c r="L177" s="12" t="str">
        <x:v>臺大明達館北側(員工宿舍)</x:v>
      </x:c>
      <x:c r="M177" s="12" t="str">
        <x:v>實線</x:v>
      </x:c>
      <x:c r="N177" s="12" t="str">
        <x:v>臺大公館校區</x:v>
      </x:c>
      <x:c r="O177" s="12" t="str">
        <x:v>臺大公館校區</x:v>
      </x:c>
      <x:c r="P177" s="12" t="str">
        <x:v>兩端均500119*</x:v>
      </x:c>
    </x:row>
    <x:row r="178">
      <x:c r="A178" s="12" t="str">
        <x:v>2026-09-04</x:v>
      </x:c>
      <x:c r="B178" s="12" t="str">
        <x:v>ZZB-0004</x:v>
      </x:c>
      <x:c r="C178" s="12" t="str">
        <x:v>2.0</x:v>
      </x:c>
      <x:c r="D178" s="13" t="n">
        <x:v>7</x:v>
      </x:c>
      <x:c r="E178" s="12" t="str">
        <x:v>2026-09-04 07:50:52</x:v>
      </x:c>
      <x:c r="F178" s="12" t="str">
        <x:v>2026-09-04 07:51:09</x:v>
      </x:c>
      <x:c r="G178" s="12" t="str">
        <x:v>07:00</x:v>
      </x:c>
      <x:c r="H178" s="12" t="str">
        <x:v>06–09</x:v>
      </x:c>
      <x:c r="I178" s="12" t="str">
        <x:v>500119052</x:v>
      </x:c>
      <x:c r="J178" s="12" t="str">
        <x:v>臺大工綜館南側</x:v>
      </x:c>
      <x:c r="K178" s="12" t="str">
        <x:v>500119059</x:v>
      </x:c>
      <x:c r="L178" s="12" t="str">
        <x:v>臺大共同教室北側</x:v>
      </x:c>
      <x:c r="M178" s="12" t="str">
        <x:v>實線</x:v>
      </x:c>
      <x:c r="N178" s="12" t="str">
        <x:v>臺大公館校區</x:v>
      </x:c>
      <x:c r="O178" s="12" t="str">
        <x:v>臺大公館校區</x:v>
      </x:c>
      <x:c r="P178" s="12" t="str">
        <x:v>兩端均500119*</x:v>
      </x:c>
    </x:row>
    <x:row r="179">
      <x:c r="A179" s="12" t="str">
        <x:v>2026-09-04</x:v>
      </x:c>
      <x:c r="B179" s="12" t="str">
        <x:v>ZZB-0004</x:v>
      </x:c>
      <x:c r="C179" s="12" t="str">
        <x:v>2.0</x:v>
      </x:c>
      <x:c r="D179" s="13" t="n">
        <x:v>7</x:v>
      </x:c>
      <x:c r="E179" s="12" t="str">
        <x:v>2026-09-04 08:12:57</x:v>
      </x:c>
      <x:c r="F179" s="12" t="str">
        <x:v>2026-09-04 08:13:12</x:v>
      </x:c>
      <x:c r="G179" s="12" t="str">
        <x:v>08:00</x:v>
      </x:c>
      <x:c r="H179" s="12" t="str">
        <x:v>06–09</x:v>
      </x:c>
      <x:c r="I179" s="12" t="str">
        <x:v>500119049</x:v>
      </x:c>
      <x:c r="J179" s="12" t="str">
        <x:v>臺大女九舍西南側</x:v>
      </x:c>
      <x:c r="K179" s="12" t="str">
        <x:v>500119061</x:v>
      </x:c>
      <x:c r="L179" s="12" t="str">
        <x:v>臺大鹿鳴堂東側</x:v>
      </x:c>
      <x:c r="M179" s="12" t="str">
        <x:v>實線</x:v>
      </x:c>
      <x:c r="N179" s="12" t="str">
        <x:v>臺大公館校區</x:v>
      </x:c>
      <x:c r="O179" s="12" t="str">
        <x:v>臺大公館校區</x:v>
      </x:c>
      <x:c r="P179" s="12" t="str">
        <x:v>兩端均500119*</x:v>
      </x:c>
    </x:row>
    <x:row r="180">
      <x:c r="A180" s="12" t="str">
        <x:v>2026-09-04</x:v>
      </x:c>
      <x:c r="B180" s="12" t="str">
        <x:v>ZZB-0004</x:v>
      </x:c>
      <x:c r="C180" s="12" t="str">
        <x:v>2.0</x:v>
      </x:c>
      <x:c r="D180" s="13" t="n">
        <x:v>6</x:v>
      </x:c>
      <x:c r="E180" s="12" t="str">
        <x:v>2026-09-04 08:41:37</x:v>
      </x:c>
      <x:c r="F180" s="12" t="str">
        <x:v>2026-09-04 08:41:50</x:v>
      </x:c>
      <x:c r="G180" s="12" t="str">
        <x:v>08:00</x:v>
      </x:c>
      <x:c r="H180" s="12" t="str">
        <x:v>06–09</x:v>
      </x:c>
      <x:c r="I180" s="12" t="str">
        <x:v>500119065</x:v>
      </x:c>
      <x:c r="J180" s="12" t="str">
        <x:v>臺大二號館</x:v>
      </x:c>
      <x:c r="K180" s="12" t="str">
        <x:v>500119060</x:v>
      </x:c>
      <x:c r="L180" s="12" t="str">
        <x:v>臺大共同教室東南側</x:v>
      </x:c>
      <x:c r="M180" s="12" t="str">
        <x:v>實線</x:v>
      </x:c>
      <x:c r="N180" s="12" t="str">
        <x:v>臺大公館校區</x:v>
      </x:c>
      <x:c r="O180" s="12" t="str">
        <x:v>臺大公館校區</x:v>
      </x:c>
      <x:c r="P180" s="12" t="str">
        <x:v>兩端均500119*</x:v>
      </x:c>
    </x:row>
    <x:row r="181">
      <x:c r="A181" s="12" t="str">
        <x:v>2026-09-04</x:v>
      </x:c>
      <x:c r="B181" s="12" t="str">
        <x:v>ZZB-0004</x:v>
      </x:c>
      <x:c r="C181" s="12" t="str">
        <x:v>2.0</x:v>
      </x:c>
      <x:c r="D181" s="13" t="n">
        <x:v>7</x:v>
      </x:c>
      <x:c r="E181" s="12" t="str">
        <x:v>2026-09-04 09:03:21</x:v>
      </x:c>
      <x:c r="F181" s="12" t="str">
        <x:v>2026-09-04 09:03:36</x:v>
      </x:c>
      <x:c r="G181" s="12" t="str">
        <x:v>09:00</x:v>
      </x:c>
      <x:c r="H181" s="12" t="str">
        <x:v>06–09</x:v>
      </x:c>
      <x:c r="I181" s="12" t="str">
        <x:v>500119075</x:v>
      </x:c>
      <x:c r="J181" s="12" t="str">
        <x:v>臺大第一活動中心西南側</x:v>
      </x:c>
      <x:c r="K181" s="12" t="str">
        <x:v>500119094</x:v>
      </x:c>
      <x:c r="L181" s="12" t="str">
        <x:v>臺大大一女餐廳廣場</x:v>
      </x:c>
      <x:c r="M181" s="12" t="str">
        <x:v>實線</x:v>
      </x:c>
      <x:c r="N181" s="12" t="str">
        <x:v>臺大公館校區</x:v>
      </x:c>
      <x:c r="O181" s="12" t="str">
        <x:v>臺大公館校區</x:v>
      </x:c>
      <x:c r="P181" s="12" t="str">
        <x:v>兩端均500119*</x:v>
      </x:c>
    </x:row>
    <x:row r="182">
      <x:c r="A182" s="12" t="str">
        <x:v>2026-09-04</x:v>
      </x:c>
      <x:c r="B182" s="12" t="str">
        <x:v>ZZB-0004</x:v>
      </x:c>
      <x:c r="C182" s="12" t="str">
        <x:v>2.0</x:v>
      </x:c>
      <x:c r="D182" s="13" t="n">
        <x:v>7</x:v>
      </x:c>
      <x:c r="E182" s="12" t="str">
        <x:v>2026-09-04 09:25:42</x:v>
      </x:c>
      <x:c r="F182" s="12" t="str">
        <x:v>2026-09-04 09:25:57</x:v>
      </x:c>
      <x:c r="G182" s="12" t="str">
        <x:v>09:00</x:v>
      </x:c>
      <x:c r="H182" s="12" t="str">
        <x:v>06–09</x:v>
      </x:c>
      <x:c r="I182" s="12" t="str">
        <x:v>500119072</x:v>
      </x:c>
      <x:c r="J182" s="12" t="str">
        <x:v>臺大原分所北側</x:v>
      </x:c>
      <x:c r="K182" s="12" t="str">
        <x:v>500119048</x:v>
      </x:c>
      <x:c r="L182" s="12" t="str">
        <x:v>臺大大一女舍北側</x:v>
      </x:c>
      <x:c r="M182" s="12" t="str">
        <x:v>實線</x:v>
      </x:c>
      <x:c r="N182" s="12" t="str">
        <x:v>臺大公館校區</x:v>
      </x:c>
      <x:c r="O182" s="12" t="str">
        <x:v>臺大公館校區</x:v>
      </x:c>
      <x:c r="P182" s="12" t="str">
        <x:v>兩端均500119*</x:v>
      </x:c>
    </x:row>
    <x:row r="183">
      <x:c r="A183" s="12" t="str">
        <x:v>2026-09-04</x:v>
      </x:c>
      <x:c r="B183" s="12" t="str">
        <x:v>ZZB-0004</x:v>
      </x:c>
      <x:c r="C183" s="12" t="str">
        <x:v>2.0</x:v>
      </x:c>
      <x:c r="D183" s="13" t="n">
        <x:v>7</x:v>
      </x:c>
      <x:c r="E183" s="12" t="str">
        <x:v>2026-09-04 09:50:57</x:v>
      </x:c>
      <x:c r="F183" s="12" t="str">
        <x:v>2026-09-04 09:51:10</x:v>
      </x:c>
      <x:c r="G183" s="12" t="str">
        <x:v>09:00</x:v>
      </x:c>
      <x:c r="H183" s="12" t="str">
        <x:v>06–09</x:v>
      </x:c>
      <x:c r="I183" s="12" t="str">
        <x:v>500119072</x:v>
      </x:c>
      <x:c r="J183" s="12" t="str">
        <x:v>臺大原分所北側</x:v>
      </x:c>
      <x:c r="K183" s="12" t="str">
        <x:v>500119060</x:v>
      </x:c>
      <x:c r="L183" s="12" t="str">
        <x:v>臺大共同教室東南側</x:v>
      </x:c>
      <x:c r="M183" s="12" t="str">
        <x:v>實線</x:v>
      </x:c>
      <x:c r="N183" s="12" t="str">
        <x:v>臺大公館校區</x:v>
      </x:c>
      <x:c r="O183" s="12" t="str">
        <x:v>臺大公館校區</x:v>
      </x:c>
      <x:c r="P183" s="12" t="str">
        <x:v>兩端均500119*</x:v>
      </x:c>
    </x:row>
    <x:row r="184">
      <x:c r="A184" s="12" t="str">
        <x:v>2026-09-04</x:v>
      </x:c>
      <x:c r="B184" s="12" t="str">
        <x:v>ZZB-0004</x:v>
      </x:c>
      <x:c r="C184" s="12" t="str">
        <x:v>2.0</x:v>
      </x:c>
      <x:c r="D184" s="13" t="n">
        <x:v>3</x:v>
      </x:c>
      <x:c r="E184" s="12" t="str">
        <x:v>2026-09-04 10:14:41</x:v>
      </x:c>
      <x:c r="F184" s="12" t="str">
        <x:v>2026-09-04 10:15:18</x:v>
      </x:c>
      <x:c r="G184" s="12" t="str">
        <x:v>10:00</x:v>
      </x:c>
      <x:c r="H184" s="12" t="str">
        <x:v>10–13</x:v>
      </x:c>
      <x:c r="I184" s="12" t="str">
        <x:v>500119056</x:v>
      </x:c>
      <x:c r="J184" s="12" t="str">
        <x:v>臺大農化新館西側</x:v>
      </x:c>
      <x:c r="K184" s="12" t="str">
        <x:v>500119094</x:v>
      </x:c>
      <x:c r="L184" s="12" t="str">
        <x:v>臺大大一女餐廳廣場</x:v>
      </x:c>
      <x:c r="M184" s="12" t="str">
        <x:v>實線</x:v>
      </x:c>
      <x:c r="N184" s="12" t="str">
        <x:v>臺大公館校區</x:v>
      </x:c>
      <x:c r="O184" s="12" t="str">
        <x:v>臺大公館校區</x:v>
      </x:c>
      <x:c r="P184" s="12" t="str">
        <x:v>兩端均500119*</x:v>
      </x:c>
    </x:row>
    <x:row r="185">
      <x:c r="A185" s="12" t="str">
        <x:v>2026-09-04</x:v>
      </x:c>
      <x:c r="B185" s="12" t="str">
        <x:v>ZZB-0004</x:v>
      </x:c>
      <x:c r="C185" s="12" t="str">
        <x:v>2.0</x:v>
      </x:c>
      <x:c r="D185" s="13" t="n">
        <x:v>3</x:v>
      </x:c>
      <x:c r="E185" s="12" t="str">
        <x:v>2026-09-04 10:15:00</x:v>
      </x:c>
      <x:c r="F185" s="12" t="str">
        <x:v>2026-09-04 10:15:18</x:v>
      </x:c>
      <x:c r="G185" s="12" t="str">
        <x:v>10:00</x:v>
      </x:c>
      <x:c r="H185" s="12" t="str">
        <x:v>10–13</x:v>
      </x:c>
      <x:c r="I185" s="12" t="str">
        <x:v>500119078</x:v>
      </x:c>
      <x:c r="J185" s="12" t="str">
        <x:v>臺大森林館北側</x:v>
      </x:c>
      <x:c r="K185" s="12" t="str">
        <x:v>500119094</x:v>
      </x:c>
      <x:c r="L185" s="12" t="str">
        <x:v>臺大大一女餐廳廣場</x:v>
      </x:c>
      <x:c r="M185" s="12" t="str">
        <x:v>實線</x:v>
      </x:c>
      <x:c r="N185" s="12" t="str">
        <x:v>臺大公館校區</x:v>
      </x:c>
      <x:c r="O185" s="12" t="str">
        <x:v>臺大公館校區</x:v>
      </x:c>
      <x:c r="P185" s="12" t="str">
        <x:v>兩端均500119*</x:v>
      </x:c>
    </x:row>
    <x:row r="186">
      <x:c r="A186" s="12" t="str">
        <x:v>2026-09-04</x:v>
      </x:c>
      <x:c r="B186" s="12" t="str">
        <x:v>ZZB-0004</x:v>
      </x:c>
      <x:c r="C186" s="12" t="str">
        <x:v>2.0</x:v>
      </x:c>
      <x:c r="D186" s="13" t="n">
        <x:v>7</x:v>
      </x:c>
      <x:c r="E186" s="12" t="str">
        <x:v>2026-09-04 10:37:40</x:v>
      </x:c>
      <x:c r="F186" s="12" t="str">
        <x:v>2026-09-04 10:37:58</x:v>
      </x:c>
      <x:c r="G186" s="12" t="str">
        <x:v>10:00</x:v>
      </x:c>
      <x:c r="H186" s="12" t="str">
        <x:v>10–13</x:v>
      </x:c>
      <x:c r="I186" s="12" t="str">
        <x:v>500119083</x:v>
      </x:c>
      <x:c r="J186" s="12" t="str">
        <x:v>臺大新生教室南側</x:v>
      </x:c>
      <x:c r="K186" s="12" t="str">
        <x:v>500119048</x:v>
      </x:c>
      <x:c r="L186" s="12" t="str">
        <x:v>臺大大一女舍北側</x:v>
      </x:c>
      <x:c r="M186" s="12" t="str">
        <x:v>實線</x:v>
      </x:c>
      <x:c r="N186" s="12" t="str">
        <x:v>臺大公館校區</x:v>
      </x:c>
      <x:c r="O186" s="12" t="str">
        <x:v>臺大公館校區</x:v>
      </x:c>
      <x:c r="P186" s="12" t="str">
        <x:v>兩端均500119*</x:v>
      </x:c>
    </x:row>
    <x:row r="187">
      <x:c r="A187" s="12" t="str">
        <x:v>2026-09-04</x:v>
      </x:c>
      <x:c r="B187" s="12" t="str">
        <x:v>ZZB-0004</x:v>
      </x:c>
      <x:c r="C187" s="12" t="str">
        <x:v>2.0</x:v>
      </x:c>
      <x:c r="D187" s="13" t="n">
        <x:v>7</x:v>
      </x:c>
      <x:c r="E187" s="12" t="str">
        <x:v>2026-09-04 11:05:17</x:v>
      </x:c>
      <x:c r="F187" s="12" t="str">
        <x:v>2026-09-04 11:05:30</x:v>
      </x:c>
      <x:c r="G187" s="12" t="str">
        <x:v>11:00</x:v>
      </x:c>
      <x:c r="H187" s="12" t="str">
        <x:v>10–13</x:v>
      </x:c>
      <x:c r="I187" s="12" t="str">
        <x:v>500119086</x:v>
      </x:c>
      <x:c r="J187" s="12" t="str">
        <x:v>臺大圖資系館北側</x:v>
      </x:c>
      <x:c r="K187" s="12" t="str">
        <x:v>500119094</x:v>
      </x:c>
      <x:c r="L187" s="12" t="str">
        <x:v>臺大大一女餐廳廣場</x:v>
      </x:c>
      <x:c r="M187" s="12" t="str">
        <x:v>實線</x:v>
      </x:c>
      <x:c r="N187" s="12" t="str">
        <x:v>臺大公館校區</x:v>
      </x:c>
      <x:c r="O187" s="12" t="str">
        <x:v>臺大公館校區</x:v>
      </x:c>
      <x:c r="P187" s="12" t="str">
        <x:v>兩端均500119*</x:v>
      </x:c>
    </x:row>
    <x:row r="188">
      <x:c r="A188" s="12" t="str">
        <x:v>2026-09-04</x:v>
      </x:c>
      <x:c r="B188" s="12" t="str">
        <x:v>ZZB-0004</x:v>
      </x:c>
      <x:c r="C188" s="12" t="str">
        <x:v>2.0</x:v>
      </x:c>
      <x:c r="D188" s="13" t="n">
        <x:v>7</x:v>
      </x:c>
      <x:c r="E188" s="12" t="str">
        <x:v>2026-09-04 12:36:40</x:v>
      </x:c>
      <x:c r="F188" s="12" t="str">
        <x:v>2026-09-04 12:37:01</x:v>
      </x:c>
      <x:c r="G188" s="12" t="str">
        <x:v>12:00</x:v>
      </x:c>
      <x:c r="H188" s="12" t="str">
        <x:v>10–13</x:v>
      </x:c>
      <x:c r="I188" s="12" t="str">
        <x:v>500119083</x:v>
      </x:c>
      <x:c r="J188" s="12" t="str">
        <x:v>臺大新生教室南側</x:v>
      </x:c>
      <x:c r="K188" s="12" t="str">
        <x:v>500119060</x:v>
      </x:c>
      <x:c r="L188" s="12" t="str">
        <x:v>臺大共同教室東南側</x:v>
      </x:c>
      <x:c r="M188" s="12" t="str">
        <x:v>實線</x:v>
      </x:c>
      <x:c r="N188" s="12" t="str">
        <x:v>臺大公館校區</x:v>
      </x:c>
      <x:c r="O188" s="12" t="str">
        <x:v>臺大公館校區</x:v>
      </x:c>
      <x:c r="P188" s="12" t="str">
        <x:v>兩端均500119*</x:v>
      </x:c>
    </x:row>
    <x:row r="189">
      <x:c r="A189" s="12" t="str">
        <x:v>2026-09-04</x:v>
      </x:c>
      <x:c r="B189" s="12" t="str">
        <x:v>ZZB-0004</x:v>
      </x:c>
      <x:c r="C189" s="12" t="str">
        <x:v>2.0</x:v>
      </x:c>
      <x:c r="D189" s="13" t="n">
        <x:v>7</x:v>
      </x:c>
      <x:c r="E189" s="12" t="str">
        <x:v>2026-09-04 13:05:36</x:v>
      </x:c>
      <x:c r="F189" s="12" t="str">
        <x:v>2026-09-04 13:05:50</x:v>
      </x:c>
      <x:c r="G189" s="12" t="str">
        <x:v>13:00</x:v>
      </x:c>
      <x:c r="H189" s="12" t="str">
        <x:v>10–13</x:v>
      </x:c>
      <x:c r="I189" s="12" t="str">
        <x:v>500119053</x:v>
      </x:c>
      <x:c r="J189" s="12" t="str">
        <x:v>臺大天文數學館南側</x:v>
      </x:c>
      <x:c r="K189" s="12" t="str">
        <x:v>500119048</x:v>
      </x:c>
      <x:c r="L189" s="12" t="str">
        <x:v>臺大大一女舍北側</x:v>
      </x:c>
      <x:c r="M189" s="12" t="str">
        <x:v>實線</x:v>
      </x:c>
      <x:c r="N189" s="12" t="str">
        <x:v>臺大公館校區</x:v>
      </x:c>
      <x:c r="O189" s="12" t="str">
        <x:v>臺大公館校區</x:v>
      </x:c>
      <x:c r="P189" s="12" t="str">
        <x:v>兩端均500119*</x:v>
      </x:c>
    </x:row>
    <x:row r="190">
      <x:c r="A190" s="12" t="str">
        <x:v>2026-09-04</x:v>
      </x:c>
      <x:c r="B190" s="12" t="str">
        <x:v>ZZB-0004</x:v>
      </x:c>
      <x:c r="C190" s="12" t="str">
        <x:v>2.0</x:v>
      </x:c>
      <x:c r="D190" s="13" t="n">
        <x:v>5</x:v>
      </x:c>
      <x:c r="E190" s="12" t="str">
        <x:v>2026-09-04 13:36:48</x:v>
      </x:c>
      <x:c r="F190" s="12" t="str">
        <x:v>2026-09-04 13:37:04</x:v>
      </x:c>
      <x:c r="G190" s="12" t="str">
        <x:v>13:00</x:v>
      </x:c>
      <x:c r="H190" s="12" t="str">
        <x:v>10–13</x:v>
      </x:c>
      <x:c r="I190" s="12" t="str">
        <x:v>500119072</x:v>
      </x:c>
      <x:c r="J190" s="12" t="str">
        <x:v>臺大原分所北側</x:v>
      </x:c>
      <x:c r="K190" s="12" t="str">
        <x:v>500119094</x:v>
      </x:c>
      <x:c r="L190" s="12" t="str">
        <x:v>臺大大一女餐廳廣場</x:v>
      </x:c>
      <x:c r="M190" s="12" t="str">
        <x:v>實線</x:v>
      </x:c>
      <x:c r="N190" s="12" t="str">
        <x:v>臺大公館校區</x:v>
      </x:c>
      <x:c r="O190" s="12" t="str">
        <x:v>臺大公館校區</x:v>
      </x:c>
      <x:c r="P190" s="12" t="str">
        <x:v>兩端均500119*</x:v>
      </x:c>
    </x:row>
    <x:row r="191">
      <x:c r="A191" s="12" t="str">
        <x:v>2026-09-04</x:v>
      </x:c>
      <x:c r="B191" s="12" t="str">
        <x:v>ZZB-0004</x:v>
      </x:c>
      <x:c r="C191" s="12" t="str">
        <x:v>2.0</x:v>
      </x:c>
      <x:c r="D191" s="13" t="n">
        <x:v>7</x:v>
      </x:c>
      <x:c r="E191" s="12" t="str">
        <x:v>2026-09-04 13:58:13</x:v>
      </x:c>
      <x:c r="F191" s="12" t="str">
        <x:v>2026-09-04 13:58:26</x:v>
      </x:c>
      <x:c r="G191" s="12" t="str">
        <x:v>13:00</x:v>
      </x:c>
      <x:c r="H191" s="12" t="str">
        <x:v>10–13</x:v>
      </x:c>
      <x:c r="I191" s="12" t="str">
        <x:v>500119074</x:v>
      </x:c>
      <x:c r="J191" s="12" t="str">
        <x:v>臺大生命科學館西北側</x:v>
      </x:c>
      <x:c r="K191" s="12" t="str">
        <x:v>500119048</x:v>
      </x:c>
      <x:c r="L191" s="12" t="str">
        <x:v>臺大大一女舍北側</x:v>
      </x:c>
      <x:c r="M191" s="12" t="str">
        <x:v>實線</x:v>
      </x:c>
      <x:c r="N191" s="12" t="str">
        <x:v>臺大公館校區</x:v>
      </x:c>
      <x:c r="O191" s="12" t="str">
        <x:v>臺大公館校區</x:v>
      </x:c>
      <x:c r="P191" s="12" t="str">
        <x:v>兩端均500119*</x:v>
      </x:c>
    </x:row>
    <x:row r="192">
      <x:c r="A192" s="12" t="str">
        <x:v>2026-09-04</x:v>
      </x:c>
      <x:c r="B192" s="12" t="str">
        <x:v>ZZB-0004</x:v>
      </x:c>
      <x:c r="C192" s="12" t="str">
        <x:v>2.0</x:v>
      </x:c>
      <x:c r="D192" s="13" t="n">
        <x:v>3</x:v>
      </x:c>
      <x:c r="E192" s="12" t="str">
        <x:v>2026-09-04 14:21:31</x:v>
      </x:c>
      <x:c r="F192" s="12" t="str">
        <x:v>2026-09-04 14:21:47</x:v>
      </x:c>
      <x:c r="G192" s="12" t="str">
        <x:v>14:00</x:v>
      </x:c>
      <x:c r="H192" s="12" t="str">
        <x:v>14–17</x:v>
      </x:c>
      <x:c r="I192" s="12" t="str">
        <x:v>500119086</x:v>
      </x:c>
      <x:c r="J192" s="12" t="str">
        <x:v>臺大圖資系館北側</x:v>
      </x:c>
      <x:c r="K192" s="12" t="str">
        <x:v>500119091</x:v>
      </x:c>
      <x:c r="L192" s="12" t="str">
        <x:v>臺大明達館北側(員工宿舍)</x:v>
      </x:c>
      <x:c r="M192" s="12" t="str">
        <x:v>實線</x:v>
      </x:c>
      <x:c r="N192" s="12" t="str">
        <x:v>臺大公館校區</x:v>
      </x:c>
      <x:c r="O192" s="12" t="str">
        <x:v>臺大公館校區</x:v>
      </x:c>
      <x:c r="P192" s="12" t="str">
        <x:v>兩端均500119*</x:v>
      </x:c>
    </x:row>
    <x:row r="193">
      <x:c r="A193" s="12" t="str">
        <x:v>2026-09-04</x:v>
      </x:c>
      <x:c r="B193" s="12" t="str">
        <x:v>ZZB-0004</x:v>
      </x:c>
      <x:c r="C193" s="12" t="str">
        <x:v>2.0E</x:v>
      </x:c>
      <x:c r="D193" s="13" t="n">
        <x:v>1</x:v>
      </x:c>
      <x:c r="E193" s="12" t="str">
        <x:v>2026-09-04 08:41:37</x:v>
      </x:c>
      <x:c r="F193" s="12" t="str">
        <x:v>2026-09-04 08:41:50</x:v>
      </x:c>
      <x:c r="G193" s="12" t="str">
        <x:v>08:00</x:v>
      </x:c>
      <x:c r="H193" s="12" t="str">
        <x:v>06–09</x:v>
      </x:c>
      <x:c r="I193" s="12" t="str">
        <x:v>500119065</x:v>
      </x:c>
      <x:c r="J193" s="12" t="str">
        <x:v>臺大二號館</x:v>
      </x:c>
      <x:c r="K193" s="12" t="str">
        <x:v>500119060</x:v>
      </x:c>
      <x:c r="L193" s="12" t="str">
        <x:v>臺大共同教室東南側</x:v>
      </x:c>
      <x:c r="M193" s="12" t="str">
        <x:v>實線</x:v>
      </x:c>
      <x:c r="N193" s="12" t="str">
        <x:v>臺大公館校區</x:v>
      </x:c>
      <x:c r="O193" s="12" t="str">
        <x:v>臺大公館校區</x:v>
      </x:c>
      <x:c r="P193" s="12" t="str">
        <x:v>兩端均500119*</x:v>
      </x:c>
    </x:row>
    <x:row r="194">
      <x:c r="A194" s="12" t="str">
        <x:v>2026-09-04</x:v>
      </x:c>
      <x:c r="B194" s="12" t="str">
        <x:v>ZZB-0004</x:v>
      </x:c>
      <x:c r="C194" s="12" t="str">
        <x:v>2.0E</x:v>
      </x:c>
      <x:c r="D194" s="13" t="n">
        <x:v>1</x:v>
      </x:c>
      <x:c r="E194" s="12" t="str">
        <x:v>2026-09-04 10:14:41</x:v>
      </x:c>
      <x:c r="F194" s="12" t="str">
        <x:v>2026-09-04 10:15:18</x:v>
      </x:c>
      <x:c r="G194" s="12" t="str">
        <x:v>10:00</x:v>
      </x:c>
      <x:c r="H194" s="12" t="str">
        <x:v>10–13</x:v>
      </x:c>
      <x:c r="I194" s="12" t="str">
        <x:v>500119056</x:v>
      </x:c>
      <x:c r="J194" s="12" t="str">
        <x:v>臺大農化新館西側</x:v>
      </x:c>
      <x:c r="K194" s="12" t="str">
        <x:v>500119094</x:v>
      </x:c>
      <x:c r="L194" s="12" t="str">
        <x:v>臺大大一女餐廳廣場</x:v>
      </x:c>
      <x:c r="M194" s="12" t="str">
        <x:v>實線</x:v>
      </x:c>
      <x:c r="N194" s="12" t="str">
        <x:v>臺大公館校區</x:v>
      </x:c>
      <x:c r="O194" s="12" t="str">
        <x:v>臺大公館校區</x:v>
      </x:c>
      <x:c r="P194" s="12" t="str">
        <x:v>兩端均500119*</x:v>
      </x:c>
    </x:row>
    <x:row r="195">
      <x:c r="A195" s="12" t="str">
        <x:v>2026-09-04</x:v>
      </x:c>
      <x:c r="B195" s="12" t="str">
        <x:v>ZZB-0004</x:v>
      </x:c>
      <x:c r="C195" s="12" t="str">
        <x:v>2.0E</x:v>
      </x:c>
      <x:c r="D195" s="13" t="n">
        <x:v>2</x:v>
      </x:c>
      <x:c r="E195" s="12" t="str">
        <x:v>2026-09-04 13:36:48</x:v>
      </x:c>
      <x:c r="F195" s="12" t="str">
        <x:v>2026-09-04 13:37:04</x:v>
      </x:c>
      <x:c r="G195" s="12" t="str">
        <x:v>13:00</x:v>
      </x:c>
      <x:c r="H195" s="12" t="str">
        <x:v>10–13</x:v>
      </x:c>
      <x:c r="I195" s="12" t="str">
        <x:v>500119072</x:v>
      </x:c>
      <x:c r="J195" s="12" t="str">
        <x:v>臺大原分所北側</x:v>
      </x:c>
      <x:c r="K195" s="12" t="str">
        <x:v>500119094</x:v>
      </x:c>
      <x:c r="L195" s="12" t="str">
        <x:v>臺大大一女餐廳廣場</x:v>
      </x:c>
      <x:c r="M195" s="12" t="str">
        <x:v>實線</x:v>
      </x:c>
      <x:c r="N195" s="12" t="str">
        <x:v>臺大公館校區</x:v>
      </x:c>
      <x:c r="O195" s="12" t="str">
        <x:v>臺大公館校區</x:v>
      </x:c>
      <x:c r="P195" s="12" t="str">
        <x:v>兩端均500119*</x:v>
      </x:c>
    </x:row>
    <x:row r="196">
      <x:c r="A196" s="12" t="str">
        <x:v>2026-09-07</x:v>
      </x:c>
      <x:c r="B196" s="12" t="str">
        <x:v>ZZB-0001</x:v>
      </x:c>
      <x:c r="C196" s="12" t="str">
        <x:v>2.0</x:v>
      </x:c>
      <x:c r="D196" s="13" t="n">
        <x:v>7</x:v>
      </x:c>
      <x:c r="E196" s="12" t="str">
        <x:v>2026-09-07 07:56:35</x:v>
      </x:c>
      <x:c r="F196" s="12" t="str">
        <x:v>2026-09-07 07:56:53</x:v>
      </x:c>
      <x:c r="G196" s="12" t="str">
        <x:v>07:00</x:v>
      </x:c>
      <x:c r="H196" s="12" t="str">
        <x:v>06–09</x:v>
      </x:c>
      <x:c r="I196" s="12" t="str">
        <x:v>500119047</x:v>
      </x:c>
      <x:c r="J196" s="12" t="str">
        <x:v>臺大土木系館</x:v>
      </x:c>
      <x:c r="K196" s="12" t="str">
        <x:v>500119059</x:v>
      </x:c>
      <x:c r="L196" s="12" t="str">
        <x:v>臺大共同教室北側</x:v>
      </x:c>
      <x:c r="M196" s="12" t="str">
        <x:v>實線</x:v>
      </x:c>
      <x:c r="N196" s="12" t="str">
        <x:v>臺大公館校區</x:v>
      </x:c>
      <x:c r="O196" s="12" t="str">
        <x:v>臺大公館校區</x:v>
      </x:c>
      <x:c r="P196" s="12" t="str">
        <x:v>兩端均500119*</x:v>
      </x:c>
    </x:row>
    <x:row r="197">
      <x:c r="A197" s="12" t="str">
        <x:v>2026-09-07</x:v>
      </x:c>
      <x:c r="B197" s="12" t="str">
        <x:v>ZZB-0001</x:v>
      </x:c>
      <x:c r="C197" s="12" t="str">
        <x:v>2.0</x:v>
      </x:c>
      <x:c r="D197" s="13" t="n">
        <x:v>7</x:v>
      </x:c>
      <x:c r="E197" s="12" t="str">
        <x:v>2026-09-07 08:17:59</x:v>
      </x:c>
      <x:c r="F197" s="12" t="str">
        <x:v>2026-09-07 08:18:11</x:v>
      </x:c>
      <x:c r="G197" s="12" t="str">
        <x:v>08:00</x:v>
      </x:c>
      <x:c r="H197" s="12" t="str">
        <x:v>06–09</x:v>
      </x:c>
      <x:c r="I197" s="12" t="str">
        <x:v>500119087</x:v>
      </x:c>
      <x:c r="J197" s="12" t="str">
        <x:v>臺大總圖書館西南側</x:v>
      </x:c>
      <x:c r="K197" s="12" t="str">
        <x:v>500119061</x:v>
      </x:c>
      <x:c r="L197" s="12" t="str">
        <x:v>臺大鹿鳴堂東側</x:v>
      </x:c>
      <x:c r="M197" s="12" t="str">
        <x:v>實線</x:v>
      </x:c>
      <x:c r="N197" s="12" t="str">
        <x:v>臺大公館校區</x:v>
      </x:c>
      <x:c r="O197" s="12" t="str">
        <x:v>臺大公館校區</x:v>
      </x:c>
      <x:c r="P197" s="12" t="str">
        <x:v>兩端均500119*</x:v>
      </x:c>
    </x:row>
    <x:row r="198">
      <x:c r="A198" s="12" t="str">
        <x:v>2026-09-07</x:v>
      </x:c>
      <x:c r="B198" s="12" t="str">
        <x:v>ZZB-0001</x:v>
      </x:c>
      <x:c r="C198" s="12" t="str">
        <x:v>2.0</x:v>
      </x:c>
      <x:c r="D198" s="13" t="n">
        <x:v>7</x:v>
      </x:c>
      <x:c r="E198" s="12" t="str">
        <x:v>2026-09-07 08:36:36</x:v>
      </x:c>
      <x:c r="F198" s="12" t="str">
        <x:v>2026-09-07 08:36:49</x:v>
      </x:c>
      <x:c r="G198" s="12" t="str">
        <x:v>08:00</x:v>
      </x:c>
      <x:c r="H198" s="12" t="str">
        <x:v>06–09</x:v>
      </x:c>
      <x:c r="I198" s="12" t="str">
        <x:v>500119086</x:v>
      </x:c>
      <x:c r="J198" s="12" t="str">
        <x:v>臺大圖資系館北側</x:v>
      </x:c>
      <x:c r="K198" s="12" t="str">
        <x:v>500119060</x:v>
      </x:c>
      <x:c r="L198" s="12" t="str">
        <x:v>臺大共同教室東南側</x:v>
      </x:c>
      <x:c r="M198" s="12" t="str">
        <x:v>實線</x:v>
      </x:c>
      <x:c r="N198" s="12" t="str">
        <x:v>臺大公館校區</x:v>
      </x:c>
      <x:c r="O198" s="12" t="str">
        <x:v>臺大公館校區</x:v>
      </x:c>
      <x:c r="P198" s="12" t="str">
        <x:v>兩端均500119*</x:v>
      </x:c>
    </x:row>
    <x:row r="199">
      <x:c r="A199" s="12" t="str">
        <x:v>2026-09-07</x:v>
      </x:c>
      <x:c r="B199" s="12" t="str">
        <x:v>ZZB-0001</x:v>
      </x:c>
      <x:c r="C199" s="12" t="str">
        <x:v>2.0</x:v>
      </x:c>
      <x:c r="D199" s="13" t="n">
        <x:v>7</x:v>
      </x:c>
      <x:c r="E199" s="12" t="str">
        <x:v>2026-09-07 08:55:45</x:v>
      </x:c>
      <x:c r="F199" s="12" t="str">
        <x:v>2026-09-07 08:55:59</x:v>
      </x:c>
      <x:c r="G199" s="12" t="str">
        <x:v>08:00</x:v>
      </x:c>
      <x:c r="H199" s="12" t="str">
        <x:v>06–09</x:v>
      </x:c>
      <x:c r="I199" s="12" t="str">
        <x:v>500119087</x:v>
      </x:c>
      <x:c r="J199" s="12" t="str">
        <x:v>臺大總圖書館西南側</x:v>
      </x:c>
      <x:c r="K199" s="12" t="str">
        <x:v>500119074</x:v>
      </x:c>
      <x:c r="L199" s="12" t="str">
        <x:v>臺大生命科學館西北側</x:v>
      </x:c>
      <x:c r="M199" s="12" t="str">
        <x:v>實線</x:v>
      </x:c>
      <x:c r="N199" s="12" t="str">
        <x:v>臺大公館校區</x:v>
      </x:c>
      <x:c r="O199" s="12" t="str">
        <x:v>臺大公館校區</x:v>
      </x:c>
      <x:c r="P199" s="12" t="str">
        <x:v>兩端均500119*</x:v>
      </x:c>
    </x:row>
    <x:row r="200">
      <x:c r="A200" s="12" t="str">
        <x:v>2026-09-07</x:v>
      </x:c>
      <x:c r="B200" s="12" t="str">
        <x:v>ZZB-0001</x:v>
      </x:c>
      <x:c r="C200" s="12" t="str">
        <x:v>2.0</x:v>
      </x:c>
      <x:c r="D200" s="13" t="n">
        <x:v>6</x:v>
      </x:c>
      <x:c r="E200" s="12" t="str">
        <x:v>2026-09-07 09:17:16</x:v>
      </x:c>
      <x:c r="F200" s="12" t="str">
        <x:v>2026-09-07 09:17:31</x:v>
      </x:c>
      <x:c r="G200" s="12" t="str">
        <x:v>09:00</x:v>
      </x:c>
      <x:c r="H200" s="12" t="str">
        <x:v>06–09</x:v>
      </x:c>
      <x:c r="I200" s="12" t="str">
        <x:v>500119072</x:v>
      </x:c>
      <x:c r="J200" s="12" t="str">
        <x:v>臺大原分所北側</x:v>
      </x:c>
      <x:c r="K200" s="12" t="str">
        <x:v>500119059</x:v>
      </x:c>
      <x:c r="L200" s="12" t="str">
        <x:v>臺大共同教室北側</x:v>
      </x:c>
      <x:c r="M200" s="12" t="str">
        <x:v>實線</x:v>
      </x:c>
      <x:c r="N200" s="12" t="str">
        <x:v>臺大公館校區</x:v>
      </x:c>
      <x:c r="O200" s="12" t="str">
        <x:v>臺大公館校區</x:v>
      </x:c>
      <x:c r="P200" s="12" t="str">
        <x:v>兩端均500119*</x:v>
      </x:c>
    </x:row>
    <x:row r="201">
      <x:c r="A201" s="12" t="str">
        <x:v>2026-09-07</x:v>
      </x:c>
      <x:c r="B201" s="12" t="str">
        <x:v>ZZB-0001</x:v>
      </x:c>
      <x:c r="C201" s="12" t="str">
        <x:v>2.0</x:v>
      </x:c>
      <x:c r="D201" s="13" t="n">
        <x:v>6</x:v>
      </x:c>
      <x:c r="E201" s="12" t="str">
        <x:v>2026-09-07 09:45:59</x:v>
      </x:c>
      <x:c r="F201" s="12" t="str">
        <x:v>2026-09-07 09:46:16</x:v>
      </x:c>
      <x:c r="G201" s="12" t="str">
        <x:v>09:00</x:v>
      </x:c>
      <x:c r="H201" s="12" t="str">
        <x:v>06–09</x:v>
      </x:c>
      <x:c r="I201" s="12" t="str">
        <x:v>500119086</x:v>
      </x:c>
      <x:c r="J201" s="12" t="str">
        <x:v>臺大圖資系館北側</x:v>
      </x:c>
      <x:c r="K201" s="12" t="str">
        <x:v>500119061</x:v>
      </x:c>
      <x:c r="L201" s="12" t="str">
        <x:v>臺大鹿鳴堂東側</x:v>
      </x:c>
      <x:c r="M201" s="12" t="str">
        <x:v>實線</x:v>
      </x:c>
      <x:c r="N201" s="12" t="str">
        <x:v>臺大公館校區</x:v>
      </x:c>
      <x:c r="O201" s="12" t="str">
        <x:v>臺大公館校區</x:v>
      </x:c>
      <x:c r="P201" s="12" t="str">
        <x:v>兩端均500119*</x:v>
      </x:c>
    </x:row>
    <x:row r="202">
      <x:c r="A202" s="12" t="str">
        <x:v>2026-09-07</x:v>
      </x:c>
      <x:c r="B202" s="12" t="str">
        <x:v>ZZB-0001</x:v>
      </x:c>
      <x:c r="C202" s="12" t="str">
        <x:v>2.0</x:v>
      </x:c>
      <x:c r="D202" s="13" t="n">
        <x:v>7</x:v>
      </x:c>
      <x:c r="E202" s="12" t="str">
        <x:v>2026-09-07 10:08:54</x:v>
      </x:c>
      <x:c r="F202" s="12" t="str">
        <x:v>2026-09-07 10:09:06</x:v>
      </x:c>
      <x:c r="G202" s="12" t="str">
        <x:v>10:00</x:v>
      </x:c>
      <x:c r="H202" s="12" t="str">
        <x:v>10–13</x:v>
      </x:c>
      <x:c r="I202" s="12" t="str">
        <x:v>500119083</x:v>
      </x:c>
      <x:c r="J202" s="12" t="str">
        <x:v>臺大新生教室南側</x:v>
      </x:c>
      <x:c r="K202" s="12" t="str">
        <x:v>500119060</x:v>
      </x:c>
      <x:c r="L202" s="12" t="str">
        <x:v>臺大共同教室東南側</x:v>
      </x:c>
      <x:c r="M202" s="12" t="str">
        <x:v>實線</x:v>
      </x:c>
      <x:c r="N202" s="12" t="str">
        <x:v>臺大公館校區</x:v>
      </x:c>
      <x:c r="O202" s="12" t="str">
        <x:v>臺大公館校區</x:v>
      </x:c>
      <x:c r="P202" s="12" t="str">
        <x:v>兩端均500119*</x:v>
      </x:c>
    </x:row>
    <x:row r="203">
      <x:c r="A203" s="12" t="str">
        <x:v>2026-09-07</x:v>
      </x:c>
      <x:c r="B203" s="12" t="str">
        <x:v>ZZB-0001</x:v>
      </x:c>
      <x:c r="C203" s="12" t="str">
        <x:v>2.0</x:v>
      </x:c>
      <x:c r="D203" s="13" t="n">
        <x:v>6</x:v>
      </x:c>
      <x:c r="E203" s="12" t="str">
        <x:v>2026-09-07 10:32:45</x:v>
      </x:c>
      <x:c r="F203" s="12" t="str">
        <x:v>2026-09-07 10:33:00</x:v>
      </x:c>
      <x:c r="G203" s="12" t="str">
        <x:v>10:00</x:v>
      </x:c>
      <x:c r="H203" s="12" t="str">
        <x:v>10–13</x:v>
      </x:c>
      <x:c r="I203" s="12" t="str">
        <x:v>500119098</x:v>
      </x:c>
      <x:c r="J203" s="12" t="str">
        <x:v>臺大數學研究中心(東側)</x:v>
      </x:c>
      <x:c r="K203" s="12" t="str">
        <x:v>500119059</x:v>
      </x:c>
      <x:c r="L203" s="12" t="str">
        <x:v>臺大共同教室北側</x:v>
      </x:c>
      <x:c r="M203" s="12" t="str">
        <x:v>實線</x:v>
      </x:c>
      <x:c r="N203" s="12" t="str">
        <x:v>臺大公館校區</x:v>
      </x:c>
      <x:c r="O203" s="12" t="str">
        <x:v>臺大公館校區</x:v>
      </x:c>
      <x:c r="P203" s="12" t="str">
        <x:v>兩端均500119*</x:v>
      </x:c>
    </x:row>
    <x:row r="204">
      <x:c r="A204" s="12" t="str">
        <x:v>2026-09-07</x:v>
      </x:c>
      <x:c r="B204" s="12" t="str">
        <x:v>ZZB-0001</x:v>
      </x:c>
      <x:c r="C204" s="12" t="str">
        <x:v>2.0</x:v>
      </x:c>
      <x:c r="D204" s="13" t="n">
        <x:v>5</x:v>
      </x:c>
      <x:c r="E204" s="12" t="str">
        <x:v>2026-09-07 10:57:22</x:v>
      </x:c>
      <x:c r="F204" s="12" t="str">
        <x:v>2026-09-07 10:57:40</x:v>
      </x:c>
      <x:c r="G204" s="12" t="str">
        <x:v>10:00</x:v>
      </x:c>
      <x:c r="H204" s="12" t="str">
        <x:v>10–13</x:v>
      </x:c>
      <x:c r="I204" s="12" t="str">
        <x:v>500119086</x:v>
      </x:c>
      <x:c r="J204" s="12" t="str">
        <x:v>臺大圖資系館北側</x:v>
      </x:c>
      <x:c r="K204" s="12" t="str">
        <x:v>500119094</x:v>
      </x:c>
      <x:c r="L204" s="12" t="str">
        <x:v>臺大大一女餐廳廣場</x:v>
      </x:c>
      <x:c r="M204" s="12" t="str">
        <x:v>實線</x:v>
      </x:c>
      <x:c r="N204" s="12" t="str">
        <x:v>臺大公館校區</x:v>
      </x:c>
      <x:c r="O204" s="12" t="str">
        <x:v>臺大公館校區</x:v>
      </x:c>
      <x:c r="P204" s="12" t="str">
        <x:v>兩端均500119*</x:v>
      </x:c>
    </x:row>
    <x:row r="205">
      <x:c r="A205" s="12" t="str">
        <x:v>2026-09-07</x:v>
      </x:c>
      <x:c r="B205" s="12" t="str">
        <x:v>ZZB-0001</x:v>
      </x:c>
      <x:c r="C205" s="12" t="str">
        <x:v>2.0</x:v>
      </x:c>
      <x:c r="D205" s="13" t="n">
        <x:v>6</x:v>
      </x:c>
      <x:c r="E205" s="12" t="str">
        <x:v>2026-09-07 11:18:46</x:v>
      </x:c>
      <x:c r="F205" s="12" t="str">
        <x:v>2026-09-07 11:19:01</x:v>
      </x:c>
      <x:c r="G205" s="12" t="str">
        <x:v>11:00</x:v>
      </x:c>
      <x:c r="H205" s="12" t="str">
        <x:v>10–13</x:v>
      </x:c>
      <x:c r="I205" s="12" t="str">
        <x:v>500119085</x:v>
      </x:c>
      <x:c r="J205" s="12" t="str">
        <x:v>臺大電機二館東南側</x:v>
      </x:c>
      <x:c r="K205" s="12" t="str">
        <x:v>500119091</x:v>
      </x:c>
      <x:c r="L205" s="12" t="str">
        <x:v>臺大明達館北側(員工宿舍)</x:v>
      </x:c>
      <x:c r="M205" s="12" t="str">
        <x:v>實線</x:v>
      </x:c>
      <x:c r="N205" s="12" t="str">
        <x:v>臺大公館校區</x:v>
      </x:c>
      <x:c r="O205" s="12" t="str">
        <x:v>臺大公館校區</x:v>
      </x:c>
      <x:c r="P205" s="12" t="str">
        <x:v>兩端均500119*</x:v>
      </x:c>
    </x:row>
    <x:row r="206">
      <x:c r="A206" s="12" t="str">
        <x:v>2026-09-07</x:v>
      </x:c>
      <x:c r="B206" s="12" t="str">
        <x:v>ZZB-0001</x:v>
      </x:c>
      <x:c r="C206" s="12" t="str">
        <x:v>2.0</x:v>
      </x:c>
      <x:c r="D206" s="13" t="n">
        <x:v>6</x:v>
      </x:c>
      <x:c r="E206" s="12" t="str">
        <x:v>2026-09-07 12:28:26</x:v>
      </x:c>
      <x:c r="F206" s="12" t="str">
        <x:v>2026-09-07 12:28:47</x:v>
      </x:c>
      <x:c r="G206" s="12" t="str">
        <x:v>12:00</x:v>
      </x:c>
      <x:c r="H206" s="12" t="str">
        <x:v>10–13</x:v>
      </x:c>
      <x:c r="I206" s="12" t="str">
        <x:v>500119087</x:v>
      </x:c>
      <x:c r="J206" s="12" t="str">
        <x:v>臺大總圖書館西南側</x:v>
      </x:c>
      <x:c r="K206" s="12" t="str">
        <x:v>500119061</x:v>
      </x:c>
      <x:c r="L206" s="12" t="str">
        <x:v>臺大鹿鳴堂東側</x:v>
      </x:c>
      <x:c r="M206" s="12" t="str">
        <x:v>實線</x:v>
      </x:c>
      <x:c r="N206" s="12" t="str">
        <x:v>臺大公館校區</x:v>
      </x:c>
      <x:c r="O206" s="12" t="str">
        <x:v>臺大公館校區</x:v>
      </x:c>
      <x:c r="P206" s="12" t="str">
        <x:v>兩端均500119*</x:v>
      </x:c>
    </x:row>
    <x:row r="207">
      <x:c r="A207" s="12" t="str">
        <x:v>2026-09-07</x:v>
      </x:c>
      <x:c r="B207" s="12" t="str">
        <x:v>ZZB-0001</x:v>
      </x:c>
      <x:c r="C207" s="12" t="str">
        <x:v>2.0</x:v>
      </x:c>
      <x:c r="D207" s="13" t="n">
        <x:v>7</x:v>
      </x:c>
      <x:c r="E207" s="12" t="str">
        <x:v>2026-09-07 12:47:56</x:v>
      </x:c>
      <x:c r="F207" s="12" t="str">
        <x:v>2026-09-07 12:48:08</x:v>
      </x:c>
      <x:c r="G207" s="12" t="str">
        <x:v>12:00</x:v>
      </x:c>
      <x:c r="H207" s="12" t="str">
        <x:v>10–13</x:v>
      </x:c>
      <x:c r="I207" s="12" t="str">
        <x:v>500119076</x:v>
      </x:c>
      <x:c r="J207" s="12" t="str">
        <x:v>臺大博理館西側</x:v>
      </x:c>
      <x:c r="K207" s="12" t="str">
        <x:v>500119086</x:v>
      </x:c>
      <x:c r="L207" s="12" t="str">
        <x:v>臺大圖資系館北側</x:v>
      </x:c>
      <x:c r="M207" s="12" t="str">
        <x:v>實線</x:v>
      </x:c>
      <x:c r="N207" s="12" t="str">
        <x:v>臺大公館校區</x:v>
      </x:c>
      <x:c r="O207" s="12" t="str">
        <x:v>臺大公館校區</x:v>
      </x:c>
      <x:c r="P207" s="12" t="str">
        <x:v>兩端均500119*</x:v>
      </x:c>
    </x:row>
    <x:row r="208">
      <x:c r="A208" s="12" t="str">
        <x:v>2026-09-07</x:v>
      </x:c>
      <x:c r="B208" s="12" t="str">
        <x:v>ZZB-0001</x:v>
      </x:c>
      <x:c r="C208" s="12" t="str">
        <x:v>2.0</x:v>
      </x:c>
      <x:c r="D208" s="13" t="n">
        <x:v>5</x:v>
      </x:c>
      <x:c r="E208" s="12" t="str">
        <x:v>2026-09-07 13:17:10</x:v>
      </x:c>
      <x:c r="F208" s="12" t="str">
        <x:v>2026-09-07 13:17:31</x:v>
      </x:c>
      <x:c r="G208" s="12" t="str">
        <x:v>13:00</x:v>
      </x:c>
      <x:c r="H208" s="12" t="str">
        <x:v>10–13</x:v>
      </x:c>
      <x:c r="I208" s="12" t="str">
        <x:v>500119067</x:v>
      </x:c>
      <x:c r="J208" s="12" t="str">
        <x:v>臺大社科院西側</x:v>
      </x:c>
      <x:c r="K208" s="12" t="str">
        <x:v>500119061</x:v>
      </x:c>
      <x:c r="L208" s="12" t="str">
        <x:v>臺大鹿鳴堂東側</x:v>
      </x:c>
      <x:c r="M208" s="12" t="str">
        <x:v>實線</x:v>
      </x:c>
      <x:c r="N208" s="12" t="str">
        <x:v>臺大公館校區</x:v>
      </x:c>
      <x:c r="O208" s="12" t="str">
        <x:v>臺大公館校區</x:v>
      </x:c>
      <x:c r="P208" s="12" t="str">
        <x:v>兩端均500119*</x:v>
      </x:c>
    </x:row>
    <x:row r="209">
      <x:c r="A209" s="12" t="str">
        <x:v>2026-09-07</x:v>
      </x:c>
      <x:c r="B209" s="12" t="str">
        <x:v>ZZB-0001</x:v>
      </x:c>
      <x:c r="C209" s="12" t="str">
        <x:v>2.0</x:v>
      </x:c>
      <x:c r="D209" s="13" t="n">
        <x:v>6</x:v>
      </x:c>
      <x:c r="E209" s="12" t="str">
        <x:v>2026-09-07 13:49:32</x:v>
      </x:c>
      <x:c r="F209" s="12" t="str">
        <x:v>2026-09-07 13:49:44</x:v>
      </x:c>
      <x:c r="G209" s="12" t="str">
        <x:v>13:00</x:v>
      </x:c>
      <x:c r="H209" s="12" t="str">
        <x:v>10–13</x:v>
      </x:c>
      <x:c r="I209" s="12" t="str">
        <x:v>500119086</x:v>
      </x:c>
      <x:c r="J209" s="12" t="str">
        <x:v>臺大圖資系館北側</x:v>
      </x:c>
      <x:c r="K209" s="12" t="str">
        <x:v>500119070</x:v>
      </x:c>
      <x:c r="L209" s="12" t="str">
        <x:v>臺大椰林小舖</x:v>
      </x:c>
      <x:c r="M209" s="12" t="str">
        <x:v>實線</x:v>
      </x:c>
      <x:c r="N209" s="12" t="str">
        <x:v>臺大公館校區</x:v>
      </x:c>
      <x:c r="O209" s="12" t="str">
        <x:v>臺大公館校區</x:v>
      </x:c>
      <x:c r="P209" s="12" t="str">
        <x:v>兩端均500119*</x:v>
      </x:c>
    </x:row>
    <x:row r="210">
      <x:c r="A210" s="12" t="str">
        <x:v>2026-09-07</x:v>
      </x:c>
      <x:c r="B210" s="12" t="str">
        <x:v>ZZB-0001</x:v>
      </x:c>
      <x:c r="C210" s="12" t="str">
        <x:v>2.0</x:v>
      </x:c>
      <x:c r="D210" s="13" t="n">
        <x:v>6</x:v>
      </x:c>
      <x:c r="E210" s="12" t="str">
        <x:v>2026-09-07 14:15:44</x:v>
      </x:c>
      <x:c r="F210" s="12" t="str">
        <x:v>2026-09-07 14:15:58</x:v>
      </x:c>
      <x:c r="G210" s="12" t="str">
        <x:v>14:00</x:v>
      </x:c>
      <x:c r="H210" s="12" t="str">
        <x:v>14–17</x:v>
      </x:c>
      <x:c r="I210" s="12" t="str">
        <x:v>500119098</x:v>
      </x:c>
      <x:c r="J210" s="12" t="str">
        <x:v>臺大數學研究中心(東側)</x:v>
      </x:c>
      <x:c r="K210" s="12" t="str">
        <x:v>500119094</x:v>
      </x:c>
      <x:c r="L210" s="12" t="str">
        <x:v>臺大大一女餐廳廣場</x:v>
      </x:c>
      <x:c r="M210" s="12" t="str">
        <x:v>實線</x:v>
      </x:c>
      <x:c r="N210" s="12" t="str">
        <x:v>臺大公館校區</x:v>
      </x:c>
      <x:c r="O210" s="12" t="str">
        <x:v>臺大公館校區</x:v>
      </x:c>
      <x:c r="P210" s="12" t="str">
        <x:v>兩端均500119*</x:v>
      </x:c>
    </x:row>
    <x:row r="211">
      <x:c r="A211" s="12" t="str">
        <x:v>2026-09-07</x:v>
      </x:c>
      <x:c r="B211" s="12" t="str">
        <x:v>ZZB-0001</x:v>
      </x:c>
      <x:c r="C211" s="12" t="str">
        <x:v>2.0</x:v>
      </x:c>
      <x:c r="D211" s="13" t="n">
        <x:v>7</x:v>
      </x:c>
      <x:c r="E211" s="12" t="str">
        <x:v>2026-09-07 17:25:05</x:v>
      </x:c>
      <x:c r="F211" s="12" t="str">
        <x:v>2026-09-07 17:31:44</x:v>
      </x:c>
      <x:c r="G211" s="12" t="str">
        <x:v>17:00</x:v>
      </x:c>
      <x:c r="H211" s="12" t="str">
        <x:v>14–17</x:v>
      </x:c>
      <x:c r="I211" s="12" t="str">
        <x:v>500119045</x:v>
      </x:c>
      <x:c r="J211" s="12" t="str">
        <x:v>臺大農業陳列館北側</x:v>
      </x:c>
      <x:c r="K211" s="12" t="str">
        <x:v>500119050</x:v>
      </x:c>
      <x:c r="L211" s="12" t="str">
        <x:v>臺大小福樓東側</x:v>
      </x:c>
      <x:c r="M211" s="12" t="str">
        <x:v>實線</x:v>
      </x:c>
      <x:c r="N211" s="12" t="str">
        <x:v>臺大公館校區</x:v>
      </x:c>
      <x:c r="O211" s="12" t="str">
        <x:v>臺大公館校區</x:v>
      </x:c>
      <x:c r="P211" s="12" t="str">
        <x:v>兩端均500119*</x:v>
      </x:c>
    </x:row>
    <x:row r="212">
      <x:c r="A212" s="12" t="str">
        <x:v>2026-09-07</x:v>
      </x:c>
      <x:c r="B212" s="12" t="str">
        <x:v>ZZB-0001</x:v>
      </x:c>
      <x:c r="C212" s="12" t="str">
        <x:v>2.0</x:v>
      </x:c>
      <x:c r="D212" s="13" t="n">
        <x:v>7</x:v>
      </x:c>
      <x:c r="E212" s="12" t="str">
        <x:v>2026-09-07 17:38:02</x:v>
      </x:c>
      <x:c r="F212" s="12" t="str">
        <x:v>2026-09-07 17:43:51</x:v>
      </x:c>
      <x:c r="G212" s="12" t="str">
        <x:v>17:00</x:v>
      </x:c>
      <x:c r="H212" s="12" t="str">
        <x:v>14–17</x:v>
      </x:c>
      <x:c r="I212" s="12" t="str">
        <x:v>500119045</x:v>
      </x:c>
      <x:c r="J212" s="12" t="str">
        <x:v>臺大農業陳列館北側</x:v>
      </x:c>
      <x:c r="K212" s="12" t="str">
        <x:v>500119050</x:v>
      </x:c>
      <x:c r="L212" s="12" t="str">
        <x:v>臺大小福樓東側</x:v>
      </x:c>
      <x:c r="M212" s="12" t="str">
        <x:v>實線</x:v>
      </x:c>
      <x:c r="N212" s="12" t="str">
        <x:v>臺大公館校區</x:v>
      </x:c>
      <x:c r="O212" s="12" t="str">
        <x:v>臺大公館校區</x:v>
      </x:c>
      <x:c r="P212" s="12" t="str">
        <x:v>兩端均500119*</x:v>
      </x:c>
    </x:row>
    <x:row r="213">
      <x:c r="A213" s="12" t="str">
        <x:v>2026-09-07</x:v>
      </x:c>
      <x:c r="B213" s="12" t="str">
        <x:v>ZZB-0001</x:v>
      </x:c>
      <x:c r="C213" s="12" t="str">
        <x:v>2.0</x:v>
      </x:c>
      <x:c r="D213" s="13" t="n">
        <x:v>7</x:v>
      </x:c>
      <x:c r="E213" s="12" t="str">
        <x:v>2026-09-07 17:49:31</x:v>
      </x:c>
      <x:c r="F213" s="12" t="str">
        <x:v>2026-09-07 17:56:03</x:v>
      </x:c>
      <x:c r="G213" s="12" t="str">
        <x:v>17:00</x:v>
      </x:c>
      <x:c r="H213" s="12" t="str">
        <x:v>14–17</x:v>
      </x:c>
      <x:c r="I213" s="12" t="str">
        <x:v>500119045</x:v>
      </x:c>
      <x:c r="J213" s="12" t="str">
        <x:v>臺大農業陳列館北側</x:v>
      </x:c>
      <x:c r="K213" s="12" t="str">
        <x:v>500119050</x:v>
      </x:c>
      <x:c r="L213" s="12" t="str">
        <x:v>臺大小福樓東側</x:v>
      </x:c>
      <x:c r="M213" s="12" t="str">
        <x:v>實線</x:v>
      </x:c>
      <x:c r="N213" s="12" t="str">
        <x:v>臺大公館校區</x:v>
      </x:c>
      <x:c r="O213" s="12" t="str">
        <x:v>臺大公館校區</x:v>
      </x:c>
      <x:c r="P213" s="12" t="str">
        <x:v>兩端均500119*</x:v>
      </x:c>
    </x:row>
    <x:row r="214">
      <x:c r="A214" s="12" t="str">
        <x:v>2026-09-07</x:v>
      </x:c>
      <x:c r="B214" s="12" t="str">
        <x:v>ZZB-0001</x:v>
      </x:c>
      <x:c r="C214" s="12" t="str">
        <x:v>2.0</x:v>
      </x:c>
      <x:c r="D214" s="13" t="n">
        <x:v>7</x:v>
      </x:c>
      <x:c r="E214" s="12" t="str">
        <x:v>2026-09-07 18:07:21</x:v>
      </x:c>
      <x:c r="F214" s="12" t="str">
        <x:v>2026-09-07 18:14:47</x:v>
      </x:c>
      <x:c r="G214" s="12" t="str">
        <x:v>18:00</x:v>
      </x:c>
      <x:c r="H214" s="12" t="str">
        <x:v>18–21</x:v>
      </x:c>
      <x:c r="I214" s="12" t="str">
        <x:v>500101276</x:v>
      </x:c>
      <x:c r="J214" s="12" t="str">
        <x:v>羅斯福新生南路口</x:v>
      </x:c>
      <x:c r="K214" s="12" t="str">
        <x:v>500119050</x:v>
      </x:c>
      <x:c r="L214" s="12" t="str">
        <x:v>臺大小福樓東側</x:v>
      </x:c>
      <x:c r="M214" s="12" t="str">
        <x:v>虛線</x:v>
      </x:c>
      <x:c r="N214" s="12" t="str">
        <x:v>大安區</x:v>
      </x:c>
      <x:c r="O214" s="12" t="str">
        <x:v>臺大公館校區</x:v>
      </x:c>
      <x:c r="P214" s="12" t="str">
        <x:v>任一端非500119*</x:v>
      </x:c>
    </x:row>
    <x:row r="215">
      <x:c r="A215" s="12" t="str">
        <x:v>2026-09-07</x:v>
      </x:c>
      <x:c r="B215" s="12" t="str">
        <x:v>ZZB-0001</x:v>
      </x:c>
      <x:c r="C215" s="12" t="str">
        <x:v>2.0</x:v>
      </x:c>
      <x:c r="D215" s="13" t="n">
        <x:v>7</x:v>
      </x:c>
      <x:c r="E215" s="12" t="str">
        <x:v>2026-09-07 18:25:18</x:v>
      </x:c>
      <x:c r="F215" s="12" t="str">
        <x:v>2026-09-07 18:34:14</x:v>
      </x:c>
      <x:c r="G215" s="12" t="str">
        <x:v>18:00</x:v>
      </x:c>
      <x:c r="H215" s="12" t="str">
        <x:v>18–21</x:v>
      </x:c>
      <x:c r="I215" s="12" t="str">
        <x:v>500101276</x:v>
      </x:c>
      <x:c r="J215" s="12" t="str">
        <x:v>羅斯福新生南路口</x:v>
      </x:c>
      <x:c r="K215" s="12" t="str">
        <x:v>500119055</x:v>
      </x:c>
      <x:c r="L215" s="12" t="str">
        <x:v>臺大樂學館東側</x:v>
      </x:c>
      <x:c r="M215" s="12" t="str">
        <x:v>虛線</x:v>
      </x:c>
      <x:c r="N215" s="12" t="str">
        <x:v>大安區</x:v>
      </x:c>
      <x:c r="O215" s="12" t="str">
        <x:v>臺大公館校區</x:v>
      </x:c>
      <x:c r="P215" s="12" t="str">
        <x:v>任一端非500119*</x:v>
      </x:c>
    </x:row>
    <x:row r="216">
      <x:c r="A216" s="12" t="str">
        <x:v>2026-09-07</x:v>
      </x:c>
      <x:c r="B216" s="12" t="str">
        <x:v>ZZB-0001</x:v>
      </x:c>
      <x:c r="C216" s="12" t="str">
        <x:v>2.0</x:v>
      </x:c>
      <x:c r="D216" s="13" t="n">
        <x:v>7</x:v>
      </x:c>
      <x:c r="E216" s="12" t="str">
        <x:v>2026-09-07 18:41:33</x:v>
      </x:c>
      <x:c r="F216" s="12" t="str">
        <x:v>2026-09-07 18:47:15</x:v>
      </x:c>
      <x:c r="G216" s="12" t="str">
        <x:v>18:00</x:v>
      </x:c>
      <x:c r="H216" s="12" t="str">
        <x:v>18–21</x:v>
      </x:c>
      <x:c r="I216" s="12" t="str">
        <x:v>500119070</x:v>
      </x:c>
      <x:c r="J216" s="12" t="str">
        <x:v>臺大椰林小舖</x:v>
      </x:c>
      <x:c r="K216" s="12" t="str">
        <x:v>500119061</x:v>
      </x:c>
      <x:c r="L216" s="12" t="str">
        <x:v>臺大鹿鳴堂東側</x:v>
      </x:c>
      <x:c r="M216" s="12" t="str">
        <x:v>實線</x:v>
      </x:c>
      <x:c r="N216" s="12" t="str">
        <x:v>臺大公館校區</x:v>
      </x:c>
      <x:c r="O216" s="12" t="str">
        <x:v>臺大公館校區</x:v>
      </x:c>
      <x:c r="P216" s="12" t="str">
        <x:v>兩端均500119*</x:v>
      </x:c>
    </x:row>
    <x:row r="217">
      <x:c r="A217" s="12" t="str">
        <x:v>2026-09-07</x:v>
      </x:c>
      <x:c r="B217" s="12" t="str">
        <x:v>ZZB-0001</x:v>
      </x:c>
      <x:c r="C217" s="12" t="str">
        <x:v>2.0</x:v>
      </x:c>
      <x:c r="D217" s="13" t="n">
        <x:v>7</x:v>
      </x:c>
      <x:c r="E217" s="12" t="str">
        <x:v>2026-09-07 18:54:30</x:v>
      </x:c>
      <x:c r="F217" s="12" t="str">
        <x:v>2026-09-07 18:59:51</x:v>
      </x:c>
      <x:c r="G217" s="12" t="str">
        <x:v>18:00</x:v>
      </x:c>
      <x:c r="H217" s="12" t="str">
        <x:v>18–21</x:v>
      </x:c>
      <x:c r="I217" s="12" t="str">
        <x:v>500119048</x:v>
      </x:c>
      <x:c r="J217" s="12" t="str">
        <x:v>臺大大一女舍北側</x:v>
      </x:c>
      <x:c r="K217" s="12" t="str">
        <x:v>500119061</x:v>
      </x:c>
      <x:c r="L217" s="12" t="str">
        <x:v>臺大鹿鳴堂東側</x:v>
      </x:c>
      <x:c r="M217" s="12" t="str">
        <x:v>實線</x:v>
      </x:c>
      <x:c r="N217" s="12" t="str">
        <x:v>臺大公館校區</x:v>
      </x:c>
      <x:c r="O217" s="12" t="str">
        <x:v>臺大公館校區</x:v>
      </x:c>
      <x:c r="P217" s="12" t="str">
        <x:v>兩端均500119*</x:v>
      </x:c>
    </x:row>
    <x:row r="218">
      <x:c r="A218" s="12" t="str">
        <x:v>2026-09-07</x:v>
      </x:c>
      <x:c r="B218" s="12" t="str">
        <x:v>ZZB-0001</x:v>
      </x:c>
      <x:c r="C218" s="12" t="str">
        <x:v>2.0</x:v>
      </x:c>
      <x:c r="D218" s="13" t="n">
        <x:v>7</x:v>
      </x:c>
      <x:c r="E218" s="12" t="str">
        <x:v>2026-09-07 19:06:40</x:v>
      </x:c>
      <x:c r="F218" s="12" t="str">
        <x:v>2026-09-07 19:12:39</x:v>
      </x:c>
      <x:c r="G218" s="12" t="str">
        <x:v>19:00</x:v>
      </x:c>
      <x:c r="H218" s="12" t="str">
        <x:v>18–21</x:v>
      </x:c>
      <x:c r="I218" s="12" t="str">
        <x:v>500119094</x:v>
      </x:c>
      <x:c r="J218" s="12" t="str">
        <x:v>臺大大一女餐廳廣場</x:v>
      </x:c>
      <x:c r="K218" s="12" t="str">
        <x:v>500119061</x:v>
      </x:c>
      <x:c r="L218" s="12" t="str">
        <x:v>臺大鹿鳴堂東側</x:v>
      </x:c>
      <x:c r="M218" s="12" t="str">
        <x:v>實線</x:v>
      </x:c>
      <x:c r="N218" s="12" t="str">
        <x:v>臺大公館校區</x:v>
      </x:c>
      <x:c r="O218" s="12" t="str">
        <x:v>臺大公館校區</x:v>
      </x:c>
      <x:c r="P218" s="12" t="str">
        <x:v>兩端均500119*</x:v>
      </x:c>
    </x:row>
    <x:row r="219">
      <x:c r="A219" s="12" t="str">
        <x:v>2026-09-07</x:v>
      </x:c>
      <x:c r="B219" s="12" t="str">
        <x:v>ZZB-0001</x:v>
      </x:c>
      <x:c r="C219" s="12" t="str">
        <x:v>2.0</x:v>
      </x:c>
      <x:c r="D219" s="13" t="n">
        <x:v>7</x:v>
      </x:c>
      <x:c r="E219" s="12" t="str">
        <x:v>2026-09-07 22:04:28</x:v>
      </x:c>
      <x:c r="F219" s="12" t="str">
        <x:v>2026-09-07 22:04:39</x:v>
      </x:c>
      <x:c r="G219" s="12" t="str">
        <x:v>22:00</x:v>
      </x:c>
      <x:c r="H219" s="12" t="str">
        <x:v>22–23</x:v>
      </x:c>
      <x:c r="I219" s="12" t="str">
        <x:v>500101181</x:v>
      </x:c>
      <x:c r="J219" s="12" t="str">
        <x:v>捷運公館站(3號出口)</x:v>
      </x:c>
      <x:c r="K219" s="12" t="str">
        <x:v>500101276</x:v>
      </x:c>
      <x:c r="L219" s="12" t="str">
        <x:v>羅斯福新生南路口</x:v>
      </x:c>
      <x:c r="M219" s="12" t="str">
        <x:v>虛線</x:v>
      </x:c>
      <x:c r="N219" s="12" t="str">
        <x:v>大安區</x:v>
      </x:c>
      <x:c r="O219" s="12" t="str">
        <x:v>大安區</x:v>
      </x:c>
      <x:c r="P219" s="12" t="str">
        <x:v>任一端非500119*</x:v>
      </x:c>
    </x:row>
    <x:row r="220">
      <x:c r="A220" s="12" t="str">
        <x:v>2026-09-07</x:v>
      </x:c>
      <x:c r="B220" s="12" t="str">
        <x:v>ZZB-0001</x:v>
      </x:c>
      <x:c r="C220" s="12" t="str">
        <x:v>2.0</x:v>
      </x:c>
      <x:c r="D220" s="13" t="n">
        <x:v>7</x:v>
      </x:c>
      <x:c r="E220" s="12" t="str">
        <x:v>2026-09-07 22:21:39</x:v>
      </x:c>
      <x:c r="F220" s="12" t="str">
        <x:v>2026-09-07 22:21:51</x:v>
      </x:c>
      <x:c r="G220" s="12" t="str">
        <x:v>22:00</x:v>
      </x:c>
      <x:c r="H220" s="12" t="str">
        <x:v>22–23</x:v>
      </x:c>
      <x:c r="I220" s="12" t="str">
        <x:v>500101181</x:v>
      </x:c>
      <x:c r="J220" s="12" t="str">
        <x:v>捷運公館站(3號出口)</x:v>
      </x:c>
      <x:c r="K220" s="12" t="str">
        <x:v>500101276</x:v>
      </x:c>
      <x:c r="L220" s="12" t="str">
        <x:v>羅斯福新生南路口</x:v>
      </x:c>
      <x:c r="M220" s="12" t="str">
        <x:v>虛線</x:v>
      </x:c>
      <x:c r="N220" s="12" t="str">
        <x:v>大安區</x:v>
      </x:c>
      <x:c r="O220" s="12" t="str">
        <x:v>大安區</x:v>
      </x:c>
      <x:c r="P220" s="12" t="str">
        <x:v>任一端非500119*</x:v>
      </x:c>
    </x:row>
    <x:row r="221">
      <x:c r="A221" s="12" t="str">
        <x:v>2026-09-07</x:v>
      </x:c>
      <x:c r="B221" s="12" t="str">
        <x:v>ZZB-0001</x:v>
      </x:c>
      <x:c r="C221" s="12" t="str">
        <x:v>2.0</x:v>
      </x:c>
      <x:c r="D221" s="13" t="n">
        <x:v>7</x:v>
      </x:c>
      <x:c r="E221" s="12" t="str">
        <x:v>2026-09-07 22:47:15</x:v>
      </x:c>
      <x:c r="F221" s="12" t="str">
        <x:v>2026-09-07 22:47:28</x:v>
      </x:c>
      <x:c r="G221" s="12" t="str">
        <x:v>22:00</x:v>
      </x:c>
      <x:c r="H221" s="12" t="str">
        <x:v>22–23</x:v>
      </x:c>
      <x:c r="I221" s="12" t="str">
        <x:v>500101181</x:v>
      </x:c>
      <x:c r="J221" s="12" t="str">
        <x:v>捷運公館站(3號出口)</x:v>
      </x:c>
      <x:c r="K221" s="12" t="str">
        <x:v>500101276</x:v>
      </x:c>
      <x:c r="L221" s="12" t="str">
        <x:v>羅斯福新生南路口</x:v>
      </x:c>
      <x:c r="M221" s="12" t="str">
        <x:v>虛線</x:v>
      </x:c>
      <x:c r="N221" s="12" t="str">
        <x:v>大安區</x:v>
      </x:c>
      <x:c r="O221" s="12" t="str">
        <x:v>大安區</x:v>
      </x:c>
      <x:c r="P221" s="12" t="str">
        <x:v>任一端非500119*</x:v>
      </x:c>
    </x:row>
    <x:row r="222">
      <x:c r="A222" s="12" t="str">
        <x:v>2026-09-07</x:v>
      </x:c>
      <x:c r="B222" s="12" t="str">
        <x:v>ZZB-0001</x:v>
      </x:c>
      <x:c r="C222" s="12" t="str">
        <x:v>2.0E</x:v>
      </x:c>
      <x:c r="D222" s="13" t="n">
        <x:v>1</x:v>
      </x:c>
      <x:c r="E222" s="12" t="str">
        <x:v>2026-09-07 09:17:16</x:v>
      </x:c>
      <x:c r="F222" s="12" t="str">
        <x:v>2026-09-07 09:17:31</x:v>
      </x:c>
      <x:c r="G222" s="12" t="str">
        <x:v>09:00</x:v>
      </x:c>
      <x:c r="H222" s="12" t="str">
        <x:v>06–09</x:v>
      </x:c>
      <x:c r="I222" s="12" t="str">
        <x:v>500119072</x:v>
      </x:c>
      <x:c r="J222" s="12" t="str">
        <x:v>臺大原分所北側</x:v>
      </x:c>
      <x:c r="K222" s="12" t="str">
        <x:v>500119059</x:v>
      </x:c>
      <x:c r="L222" s="12" t="str">
        <x:v>臺大共同教室北側</x:v>
      </x:c>
      <x:c r="M222" s="12" t="str">
        <x:v>實線</x:v>
      </x:c>
      <x:c r="N222" s="12" t="str">
        <x:v>臺大公館校區</x:v>
      </x:c>
      <x:c r="O222" s="12" t="str">
        <x:v>臺大公館校區</x:v>
      </x:c>
      <x:c r="P222" s="12" t="str">
        <x:v>兩端均500119*</x:v>
      </x:c>
    </x:row>
    <x:row r="223">
      <x:c r="A223" s="12" t="str">
        <x:v>2026-09-07</x:v>
      </x:c>
      <x:c r="B223" s="12" t="str">
        <x:v>ZZB-0001</x:v>
      </x:c>
      <x:c r="C223" s="12" t="str">
        <x:v>2.0E</x:v>
      </x:c>
      <x:c r="D223" s="13" t="n">
        <x:v>1</x:v>
      </x:c>
      <x:c r="E223" s="12" t="str">
        <x:v>2026-09-07 09:45:59</x:v>
      </x:c>
      <x:c r="F223" s="12" t="str">
        <x:v>2026-09-07 09:46:16</x:v>
      </x:c>
      <x:c r="G223" s="12" t="str">
        <x:v>09:00</x:v>
      </x:c>
      <x:c r="H223" s="12" t="str">
        <x:v>06–09</x:v>
      </x:c>
      <x:c r="I223" s="12" t="str">
        <x:v>500119086</x:v>
      </x:c>
      <x:c r="J223" s="12" t="str">
        <x:v>臺大圖資系館北側</x:v>
      </x:c>
      <x:c r="K223" s="12" t="str">
        <x:v>500119061</x:v>
      </x:c>
      <x:c r="L223" s="12" t="str">
        <x:v>臺大鹿鳴堂東側</x:v>
      </x:c>
      <x:c r="M223" s="12" t="str">
        <x:v>實線</x:v>
      </x:c>
      <x:c r="N223" s="12" t="str">
        <x:v>臺大公館校區</x:v>
      </x:c>
      <x:c r="O223" s="12" t="str">
        <x:v>臺大公館校區</x:v>
      </x:c>
      <x:c r="P223" s="12" t="str">
        <x:v>兩端均500119*</x:v>
      </x:c>
    </x:row>
    <x:row r="224">
      <x:c r="A224" s="12" t="str">
        <x:v>2026-09-07</x:v>
      </x:c>
      <x:c r="B224" s="12" t="str">
        <x:v>ZZB-0001</x:v>
      </x:c>
      <x:c r="C224" s="12" t="str">
        <x:v>2.0E</x:v>
      </x:c>
      <x:c r="D224" s="13" t="n">
        <x:v>1</x:v>
      </x:c>
      <x:c r="E224" s="12" t="str">
        <x:v>2026-09-07 10:32:45</x:v>
      </x:c>
      <x:c r="F224" s="12" t="str">
        <x:v>2026-09-07 10:33:00</x:v>
      </x:c>
      <x:c r="G224" s="12" t="str">
        <x:v>10:00</x:v>
      </x:c>
      <x:c r="H224" s="12" t="str">
        <x:v>10–13</x:v>
      </x:c>
      <x:c r="I224" s="12" t="str">
        <x:v>500119098</x:v>
      </x:c>
      <x:c r="J224" s="12" t="str">
        <x:v>臺大數學研究中心(東側)</x:v>
      </x:c>
      <x:c r="K224" s="12" t="str">
        <x:v>500119059</x:v>
      </x:c>
      <x:c r="L224" s="12" t="str">
        <x:v>臺大共同教室北側</x:v>
      </x:c>
      <x:c r="M224" s="12" t="str">
        <x:v>實線</x:v>
      </x:c>
      <x:c r="N224" s="12" t="str">
        <x:v>臺大公館校區</x:v>
      </x:c>
      <x:c r="O224" s="12" t="str">
        <x:v>臺大公館校區</x:v>
      </x:c>
      <x:c r="P224" s="12" t="str">
        <x:v>兩端均500119*</x:v>
      </x:c>
    </x:row>
    <x:row r="225">
      <x:c r="A225" s="12" t="str">
        <x:v>2026-09-07</x:v>
      </x:c>
      <x:c r="B225" s="12" t="str">
        <x:v>ZZB-0001</x:v>
      </x:c>
      <x:c r="C225" s="12" t="str">
        <x:v>2.0E</x:v>
      </x:c>
      <x:c r="D225" s="13" t="n">
        <x:v>2</x:v>
      </x:c>
      <x:c r="E225" s="12" t="str">
        <x:v>2026-09-07 10:57:22</x:v>
      </x:c>
      <x:c r="F225" s="12" t="str">
        <x:v>2026-09-07 10:57:40</x:v>
      </x:c>
      <x:c r="G225" s="12" t="str">
        <x:v>10:00</x:v>
      </x:c>
      <x:c r="H225" s="12" t="str">
        <x:v>10–13</x:v>
      </x:c>
      <x:c r="I225" s="12" t="str">
        <x:v>500119086</x:v>
      </x:c>
      <x:c r="J225" s="12" t="str">
        <x:v>臺大圖資系館北側</x:v>
      </x:c>
      <x:c r="K225" s="12" t="str">
        <x:v>500119094</x:v>
      </x:c>
      <x:c r="L225" s="12" t="str">
        <x:v>臺大大一女餐廳廣場</x:v>
      </x:c>
      <x:c r="M225" s="12" t="str">
        <x:v>實線</x:v>
      </x:c>
      <x:c r="N225" s="12" t="str">
        <x:v>臺大公館校區</x:v>
      </x:c>
      <x:c r="O225" s="12" t="str">
        <x:v>臺大公館校區</x:v>
      </x:c>
      <x:c r="P225" s="12" t="str">
        <x:v>兩端均500119*</x:v>
      </x:c>
    </x:row>
    <x:row r="226">
      <x:c r="A226" s="12" t="str">
        <x:v>2026-09-07</x:v>
      </x:c>
      <x:c r="B226" s="12" t="str">
        <x:v>ZZB-0001</x:v>
      </x:c>
      <x:c r="C226" s="12" t="str">
        <x:v>2.0E</x:v>
      </x:c>
      <x:c r="D226" s="13" t="n">
        <x:v>1</x:v>
      </x:c>
      <x:c r="E226" s="12" t="str">
        <x:v>2026-09-07 12:28:26</x:v>
      </x:c>
      <x:c r="F226" s="12" t="str">
        <x:v>2026-09-07 12:28:47</x:v>
      </x:c>
      <x:c r="G226" s="12" t="str">
        <x:v>12:00</x:v>
      </x:c>
      <x:c r="H226" s="12" t="str">
        <x:v>10–13</x:v>
      </x:c>
      <x:c r="I226" s="12" t="str">
        <x:v>500119087</x:v>
      </x:c>
      <x:c r="J226" s="12" t="str">
        <x:v>臺大總圖書館西南側</x:v>
      </x:c>
      <x:c r="K226" s="12" t="str">
        <x:v>500119061</x:v>
      </x:c>
      <x:c r="L226" s="12" t="str">
        <x:v>臺大鹿鳴堂東側</x:v>
      </x:c>
      <x:c r="M226" s="12" t="str">
        <x:v>實線</x:v>
      </x:c>
      <x:c r="N226" s="12" t="str">
        <x:v>臺大公館校區</x:v>
      </x:c>
      <x:c r="O226" s="12" t="str">
        <x:v>臺大公館校區</x:v>
      </x:c>
      <x:c r="P226" s="12" t="str">
        <x:v>兩端均500119*</x:v>
      </x:c>
    </x:row>
    <x:row r="227">
      <x:c r="A227" s="12" t="str">
        <x:v>2026-09-07</x:v>
      </x:c>
      <x:c r="B227" s="12" t="str">
        <x:v>ZZB-0001</x:v>
      </x:c>
      <x:c r="C227" s="12" t="str">
        <x:v>2.0E</x:v>
      </x:c>
      <x:c r="D227" s="13" t="n">
        <x:v>2</x:v>
      </x:c>
      <x:c r="E227" s="12" t="str">
        <x:v>2026-09-07 13:17:10</x:v>
      </x:c>
      <x:c r="F227" s="12" t="str">
        <x:v>2026-09-07 13:17:31</x:v>
      </x:c>
      <x:c r="G227" s="12" t="str">
        <x:v>13:00</x:v>
      </x:c>
      <x:c r="H227" s="12" t="str">
        <x:v>10–13</x:v>
      </x:c>
      <x:c r="I227" s="12" t="str">
        <x:v>500119067</x:v>
      </x:c>
      <x:c r="J227" s="12" t="str">
        <x:v>臺大社科院西側</x:v>
      </x:c>
      <x:c r="K227" s="12" t="str">
        <x:v>500119061</x:v>
      </x:c>
      <x:c r="L227" s="12" t="str">
        <x:v>臺大鹿鳴堂東側</x:v>
      </x:c>
      <x:c r="M227" s="12" t="str">
        <x:v>實線</x:v>
      </x:c>
      <x:c r="N227" s="12" t="str">
        <x:v>臺大公館校區</x:v>
      </x:c>
      <x:c r="O227" s="12" t="str">
        <x:v>臺大公館校區</x:v>
      </x:c>
      <x:c r="P227" s="12" t="str">
        <x:v>兩端均500119*</x:v>
      </x:c>
    </x:row>
    <x:row r="228">
      <x:c r="A228" s="12" t="str">
        <x:v>2026-09-07</x:v>
      </x:c>
      <x:c r="B228" s="12" t="str">
        <x:v>ZZB-0001</x:v>
      </x:c>
      <x:c r="C228" s="12" t="str">
        <x:v>2.0E</x:v>
      </x:c>
      <x:c r="D228" s="13" t="n">
        <x:v>1</x:v>
      </x:c>
      <x:c r="E228" s="12" t="str">
        <x:v>2026-09-07 13:49:32</x:v>
      </x:c>
      <x:c r="F228" s="12" t="str">
        <x:v>2026-09-07 13:49:44</x:v>
      </x:c>
      <x:c r="G228" s="12" t="str">
        <x:v>13:00</x:v>
      </x:c>
      <x:c r="H228" s="12" t="str">
        <x:v>10–13</x:v>
      </x:c>
      <x:c r="I228" s="12" t="str">
        <x:v>500119086</x:v>
      </x:c>
      <x:c r="J228" s="12" t="str">
        <x:v>臺大圖資系館北側</x:v>
      </x:c>
      <x:c r="K228" s="12" t="str">
        <x:v>500119070</x:v>
      </x:c>
      <x:c r="L228" s="12" t="str">
        <x:v>臺大椰林小舖</x:v>
      </x:c>
      <x:c r="M228" s="12" t="str">
        <x:v>實線</x:v>
      </x:c>
      <x:c r="N228" s="12" t="str">
        <x:v>臺大公館校區</x:v>
      </x:c>
      <x:c r="O228" s="12" t="str">
        <x:v>臺大公館校區</x:v>
      </x:c>
      <x:c r="P228" s="12" t="str">
        <x:v>兩端均500119*</x:v>
      </x:c>
    </x:row>
    <x:row r="229">
      <x:c r="A229" s="12" t="str">
        <x:v>2026-09-07</x:v>
      </x:c>
      <x:c r="B229" s="12" t="str">
        <x:v>ZZB-0001</x:v>
      </x:c>
      <x:c r="C229" s="12" t="str">
        <x:v>2.0E</x:v>
      </x:c>
      <x:c r="D229" s="13" t="n">
        <x:v>1</x:v>
      </x:c>
      <x:c r="E229" s="12" t="str">
        <x:v>2026-09-07 14:15:44</x:v>
      </x:c>
      <x:c r="F229" s="12" t="str">
        <x:v>2026-09-07 14:15:58</x:v>
      </x:c>
      <x:c r="G229" s="12" t="str">
        <x:v>14:00</x:v>
      </x:c>
      <x:c r="H229" s="12" t="str">
        <x:v>14–17</x:v>
      </x:c>
      <x:c r="I229" s="12" t="str">
        <x:v>500119098</x:v>
      </x:c>
      <x:c r="J229" s="12" t="str">
        <x:v>臺大數學研究中心(東側)</x:v>
      </x:c>
      <x:c r="K229" s="12" t="str">
        <x:v>500119094</x:v>
      </x:c>
      <x:c r="L229" s="12" t="str">
        <x:v>臺大大一女餐廳廣場</x:v>
      </x:c>
      <x:c r="M229" s="12" t="str">
        <x:v>實線</x:v>
      </x:c>
      <x:c r="N229" s="12" t="str">
        <x:v>臺大公館校區</x:v>
      </x:c>
      <x:c r="O229" s="12" t="str">
        <x:v>臺大公館校區</x:v>
      </x:c>
      <x:c r="P229" s="12" t="str">
        <x:v>兩端均500119*</x:v>
      </x:c>
    </x:row>
    <x:row r="230">
      <x:c r="A230" s="12" t="str">
        <x:v>2026-09-07</x:v>
      </x:c>
      <x:c r="B230" s="12" t="str">
        <x:v>ZZB-0004</x:v>
      </x:c>
      <x:c r="C230" s="12" t="str">
        <x:v>2.0</x:v>
      </x:c>
      <x:c r="D230" s="13" t="n">
        <x:v>6</x:v>
      </x:c>
      <x:c r="E230" s="12" t="str">
        <x:v>2026-09-07 08:16:10</x:v>
      </x:c>
      <x:c r="F230" s="12" t="str">
        <x:v>2026-09-07 08:27:26</x:v>
      </x:c>
      <x:c r="G230" s="12" t="str">
        <x:v>08:00</x:v>
      </x:c>
      <x:c r="H230" s="12" t="str">
        <x:v>06–09</x:v>
      </x:c>
      <x:c r="I230" s="12" t="str">
        <x:v>500119050</x:v>
      </x:c>
      <x:c r="J230" s="12" t="str">
        <x:v>臺大小福樓東側</x:v>
      </x:c>
      <x:c r="K230" s="12" t="str">
        <x:v>500119097</x:v>
      </x:c>
      <x:c r="L230" s="12" t="str">
        <x:v>臺大人文館</x:v>
      </x:c>
      <x:c r="M230" s="12" t="str">
        <x:v>實線</x:v>
      </x:c>
      <x:c r="N230" s="12" t="str">
        <x:v>臺大公館校區</x:v>
      </x:c>
      <x:c r="O230" s="12" t="str">
        <x:v>臺大公館校區</x:v>
      </x:c>
      <x:c r="P230" s="12" t="str">
        <x:v>兩端均500119*</x:v>
      </x:c>
    </x:row>
    <x:row r="231">
      <x:c r="A231" s="12" t="str">
        <x:v>2026-09-07</x:v>
      </x:c>
      <x:c r="B231" s="12" t="str">
        <x:v>ZZB-0004</x:v>
      </x:c>
      <x:c r="C231" s="12" t="str">
        <x:v>2.0</x:v>
      </x:c>
      <x:c r="D231" s="13" t="n">
        <x:v>6</x:v>
      </x:c>
      <x:c r="E231" s="12" t="str">
        <x:v>2026-09-07 08:35:27</x:v>
      </x:c>
      <x:c r="F231" s="12" t="str">
        <x:v>2026-09-07 08:41:58</x:v>
      </x:c>
      <x:c r="G231" s="12" t="str">
        <x:v>08:00</x:v>
      </x:c>
      <x:c r="H231" s="12" t="str">
        <x:v>06–09</x:v>
      </x:c>
      <x:c r="I231" s="12" t="str">
        <x:v>500119050</x:v>
      </x:c>
      <x:c r="J231" s="12" t="str">
        <x:v>臺大小福樓東側</x:v>
      </x:c>
      <x:c r="K231" s="12" t="str">
        <x:v>500119097</x:v>
      </x:c>
      <x:c r="L231" s="12" t="str">
        <x:v>臺大人文館</x:v>
      </x:c>
      <x:c r="M231" s="12" t="str">
        <x:v>實線</x:v>
      </x:c>
      <x:c r="N231" s="12" t="str">
        <x:v>臺大公館校區</x:v>
      </x:c>
      <x:c r="O231" s="12" t="str">
        <x:v>臺大公館校區</x:v>
      </x:c>
      <x:c r="P231" s="12" t="str">
        <x:v>兩端均500119*</x:v>
      </x:c>
    </x:row>
    <x:row r="232">
      <x:c r="A232" s="12" t="str">
        <x:v>2026-09-07</x:v>
      </x:c>
      <x:c r="B232" s="12" t="str">
        <x:v>ZZB-0004</x:v>
      </x:c>
      <x:c r="C232" s="12" t="str">
        <x:v>2.0</x:v>
      </x:c>
      <x:c r="D232" s="13" t="n">
        <x:v>6</x:v>
      </x:c>
      <x:c r="E232" s="12" t="str">
        <x:v>2026-09-07 08:50:00</x:v>
      </x:c>
      <x:c r="F232" s="12" t="str">
        <x:v>2026-09-07 08:56:51</x:v>
      </x:c>
      <x:c r="G232" s="12" t="str">
        <x:v>08:00</x:v>
      </x:c>
      <x:c r="H232" s="12" t="str">
        <x:v>06–09</x:v>
      </x:c>
      <x:c r="I232" s="12" t="str">
        <x:v>500119050</x:v>
      </x:c>
      <x:c r="J232" s="12" t="str">
        <x:v>臺大小福樓東側</x:v>
      </x:c>
      <x:c r="K232" s="12" t="str">
        <x:v>500119097</x:v>
      </x:c>
      <x:c r="L232" s="12" t="str">
        <x:v>臺大人文館</x:v>
      </x:c>
      <x:c r="M232" s="12" t="str">
        <x:v>實線</x:v>
      </x:c>
      <x:c r="N232" s="12" t="str">
        <x:v>臺大公館校區</x:v>
      </x:c>
      <x:c r="O232" s="12" t="str">
        <x:v>臺大公館校區</x:v>
      </x:c>
      <x:c r="P232" s="12" t="str">
        <x:v>兩端均500119*</x:v>
      </x:c>
    </x:row>
    <x:row r="233">
      <x:c r="A233" s="12" t="str">
        <x:v>2026-09-07</x:v>
      </x:c>
      <x:c r="B233" s="12" t="str">
        <x:v>ZZB-0004</x:v>
      </x:c>
      <x:c r="C233" s="12" t="str">
        <x:v>2.0</x:v>
      </x:c>
      <x:c r="D233" s="13" t="n">
        <x:v>6</x:v>
      </x:c>
      <x:c r="E233" s="12" t="str">
        <x:v>2026-09-07 09:05:15</x:v>
      </x:c>
      <x:c r="F233" s="12" t="str">
        <x:v>2026-09-07 09:11:00</x:v>
      </x:c>
      <x:c r="G233" s="12" t="str">
        <x:v>09:00</x:v>
      </x:c>
      <x:c r="H233" s="12" t="str">
        <x:v>06–09</x:v>
      </x:c>
      <x:c r="I233" s="12" t="str">
        <x:v>500119050</x:v>
      </x:c>
      <x:c r="J233" s="12" t="str">
        <x:v>臺大小福樓東側</x:v>
      </x:c>
      <x:c r="K233" s="12" t="str">
        <x:v>500119097</x:v>
      </x:c>
      <x:c r="L233" s="12" t="str">
        <x:v>臺大人文館</x:v>
      </x:c>
      <x:c r="M233" s="12" t="str">
        <x:v>實線</x:v>
      </x:c>
      <x:c r="N233" s="12" t="str">
        <x:v>臺大公館校區</x:v>
      </x:c>
      <x:c r="O233" s="12" t="str">
        <x:v>臺大公館校區</x:v>
      </x:c>
      <x:c r="P233" s="12" t="str">
        <x:v>兩端均500119*</x:v>
      </x:c>
    </x:row>
    <x:row r="234">
      <x:c r="A234" s="12" t="str">
        <x:v>2026-09-07</x:v>
      </x:c>
      <x:c r="B234" s="12" t="str">
        <x:v>ZZB-0004</x:v>
      </x:c>
      <x:c r="C234" s="12" t="str">
        <x:v>2.0</x:v>
      </x:c>
      <x:c r="D234" s="13" t="n">
        <x:v>3</x:v>
      </x:c>
      <x:c r="E234" s="12" t="str">
        <x:v>2026-09-07 09:20:42</x:v>
      </x:c>
      <x:c r="F234" s="12" t="str">
        <x:v>2026-09-07 09:28:03</x:v>
      </x:c>
      <x:c r="G234" s="12" t="str">
        <x:v>09:00</x:v>
      </x:c>
      <x:c r="H234" s="12" t="str">
        <x:v>06–09</x:v>
      </x:c>
      <x:c r="I234" s="12" t="str">
        <x:v>500119050</x:v>
      </x:c>
      <x:c r="J234" s="12" t="str">
        <x:v>臺大小福樓東側</x:v>
      </x:c>
      <x:c r="K234" s="12" t="str">
        <x:v>500119097</x:v>
      </x:c>
      <x:c r="L234" s="12" t="str">
        <x:v>臺大人文館</x:v>
      </x:c>
      <x:c r="M234" s="12" t="str">
        <x:v>實線</x:v>
      </x:c>
      <x:c r="N234" s="12" t="str">
        <x:v>臺大公館校區</x:v>
      </x:c>
      <x:c r="O234" s="12" t="str">
        <x:v>臺大公館校區</x:v>
      </x:c>
      <x:c r="P234" s="12" t="str">
        <x:v>兩端均500119*</x:v>
      </x:c>
    </x:row>
    <x:row r="235">
      <x:c r="A235" s="12" t="str">
        <x:v>2026-09-07</x:v>
      </x:c>
      <x:c r="B235" s="12" t="str">
        <x:v>ZZB-0004</x:v>
      </x:c>
      <x:c r="C235" s="12" t="str">
        <x:v>2.0</x:v>
      </x:c>
      <x:c r="D235" s="13" t="n">
        <x:v>5</x:v>
      </x:c>
      <x:c r="E235" s="12" t="str">
        <x:v>2026-09-07 09:47:17</x:v>
      </x:c>
      <x:c r="F235" s="12" t="str">
        <x:v>2026-09-07 10:17:13</x:v>
      </x:c>
      <x:c r="G235" s="12" t="str">
        <x:v>09:00</x:v>
      </x:c>
      <x:c r="H235" s="12" t="str">
        <x:v>06–09</x:v>
      </x:c>
      <x:c r="I235" s="12" t="str">
        <x:v>500119050</x:v>
      </x:c>
      <x:c r="J235" s="12" t="str">
        <x:v>臺大小福樓東側</x:v>
      </x:c>
      <x:c r="K235" s="12" t="str">
        <x:v>500101032</x:v>
      </x:c>
      <x:c r="L235" s="12" t="str">
        <x:v>臺大男一舍前</x:v>
      </x:c>
      <x:c r="M235" s="12" t="str">
        <x:v>虛線</x:v>
      </x:c>
      <x:c r="N235" s="12" t="str">
        <x:v>臺大公館校區</x:v>
      </x:c>
      <x:c r="O235" s="12" t="str">
        <x:v>大安區</x:v>
      </x:c>
      <x:c r="P235" s="12" t="str">
        <x:v>任一端非500119*</x:v>
      </x:c>
    </x:row>
    <x:row r="236">
      <x:c r="A236" s="12" t="str">
        <x:v>2026-09-07</x:v>
      </x:c>
      <x:c r="B236" s="12" t="str">
        <x:v>ZZB-0004</x:v>
      </x:c>
      <x:c r="C236" s="12" t="str">
        <x:v>2.0</x:v>
      </x:c>
      <x:c r="D236" s="13" t="n">
        <x:v>6</x:v>
      </x:c>
      <x:c r="E236" s="12" t="str">
        <x:v>2026-09-07 10:40:41</x:v>
      </x:c>
      <x:c r="F236" s="12" t="str">
        <x:v>2026-09-07 10:47:42</x:v>
      </x:c>
      <x:c r="G236" s="12" t="str">
        <x:v>10:00</x:v>
      </x:c>
      <x:c r="H236" s="12" t="str">
        <x:v>10–13</x:v>
      </x:c>
      <x:c r="I236" s="12" t="str">
        <x:v>500119085</x:v>
      </x:c>
      <x:c r="J236" s="12" t="str">
        <x:v>臺大電機二館東南側</x:v>
      </x:c>
      <x:c r="K236" s="12" t="str">
        <x:v>500101032</x:v>
      </x:c>
      <x:c r="L236" s="12" t="str">
        <x:v>臺大男一舍前</x:v>
      </x:c>
      <x:c r="M236" s="12" t="str">
        <x:v>虛線</x:v>
      </x:c>
      <x:c r="N236" s="12" t="str">
        <x:v>臺大公館校區</x:v>
      </x:c>
      <x:c r="O236" s="12" t="str">
        <x:v>大安區</x:v>
      </x:c>
      <x:c r="P236" s="12" t="str">
        <x:v>任一端非500119*</x:v>
      </x:c>
    </x:row>
    <x:row r="237">
      <x:c r="A237" s="12" t="str">
        <x:v>2026-09-07</x:v>
      </x:c>
      <x:c r="B237" s="12" t="str">
        <x:v>ZZB-0004</x:v>
      </x:c>
      <x:c r="C237" s="12" t="str">
        <x:v>2.0</x:v>
      </x:c>
      <x:c r="D237" s="13" t="n">
        <x:v>2</x:v>
      </x:c>
      <x:c r="E237" s="12" t="str">
        <x:v>2026-09-07 10:58:42</x:v>
      </x:c>
      <x:c r="F237" s="12" t="str">
        <x:v>2026-09-07 11:00:56</x:v>
      </x:c>
      <x:c r="G237" s="12" t="str">
        <x:v>10:00</x:v>
      </x:c>
      <x:c r="H237" s="12" t="str">
        <x:v>10–13</x:v>
      </x:c>
      <x:c r="I237" s="12" t="str">
        <x:v>500119091</x:v>
      </x:c>
      <x:c r="J237" s="12" t="str">
        <x:v>臺大明達館北側(員工宿舍)</x:v>
      </x:c>
      <x:c r="K237" s="12" t="str">
        <x:v>500119064</x:v>
      </x:c>
      <x:c r="L237" s="12" t="str">
        <x:v>臺大明達館機車停車場</x:v>
      </x:c>
      <x:c r="M237" s="12" t="str">
        <x:v>實線</x:v>
      </x:c>
      <x:c r="N237" s="12" t="str">
        <x:v>臺大公館校區</x:v>
      </x:c>
      <x:c r="O237" s="12" t="str">
        <x:v>臺大公館校區</x:v>
      </x:c>
      <x:c r="P237" s="12" t="str">
        <x:v>兩端均500119*</x:v>
      </x:c>
    </x:row>
    <x:row r="238">
      <x:c r="A238" s="12" t="str">
        <x:v>2026-09-07</x:v>
      </x:c>
      <x:c r="B238" s="12" t="str">
        <x:v>ZZB-0004</x:v>
      </x:c>
      <x:c r="C238" s="12" t="str">
        <x:v>2.0</x:v>
      </x:c>
      <x:c r="D238" s="13" t="n">
        <x:v>7</x:v>
      </x:c>
      <x:c r="E238" s="12" t="str">
        <x:v>2026-09-07 13:05:17</x:v>
      </x:c>
      <x:c r="F238" s="12" t="str">
        <x:v>2026-09-07 13:05:27</x:v>
      </x:c>
      <x:c r="G238" s="12" t="str">
        <x:v>13:00</x:v>
      </x:c>
      <x:c r="H238" s="12" t="str">
        <x:v>10–13</x:v>
      </x:c>
      <x:c r="I238" s="12" t="str">
        <x:v>500119076</x:v>
      </x:c>
      <x:c r="J238" s="12" t="str">
        <x:v>臺大博理館西側</x:v>
      </x:c>
      <x:c r="K238" s="12" t="str">
        <x:v>500119045</x:v>
      </x:c>
      <x:c r="L238" s="12" t="str">
        <x:v>臺大農業陳列館北側</x:v>
      </x:c>
      <x:c r="M238" s="12" t="str">
        <x:v>實線</x:v>
      </x:c>
      <x:c r="N238" s="12" t="str">
        <x:v>臺大公館校區</x:v>
      </x:c>
      <x:c r="O238" s="12" t="str">
        <x:v>臺大公館校區</x:v>
      </x:c>
      <x:c r="P238" s="12" t="str">
        <x:v>兩端均500119*</x:v>
      </x:c>
    </x:row>
    <x:row r="239">
      <x:c r="A239" s="12" t="str">
        <x:v>2026-09-07</x:v>
      </x:c>
      <x:c r="B239" s="12" t="str">
        <x:v>ZZB-0004</x:v>
      </x:c>
      <x:c r="C239" s="12" t="str">
        <x:v>2.0</x:v>
      </x:c>
      <x:c r="D239" s="13" t="n">
        <x:v>7</x:v>
      </x:c>
      <x:c r="E239" s="12" t="str">
        <x:v>2026-09-07 13:25:33</x:v>
      </x:c>
      <x:c r="F239" s="12" t="str">
        <x:v>2026-09-07 13:25:42</x:v>
      </x:c>
      <x:c r="G239" s="12" t="str">
        <x:v>13:00</x:v>
      </x:c>
      <x:c r="H239" s="12" t="str">
        <x:v>10–13</x:v>
      </x:c>
      <x:c r="I239" s="12" t="str">
        <x:v>500119085</x:v>
      </x:c>
      <x:c r="J239" s="12" t="str">
        <x:v>臺大電機二館東南側</x:v>
      </x:c>
      <x:c r="K239" s="12" t="str">
        <x:v>500119045</x:v>
      </x:c>
      <x:c r="L239" s="12" t="str">
        <x:v>臺大農業陳列館北側</x:v>
      </x:c>
      <x:c r="M239" s="12" t="str">
        <x:v>實線</x:v>
      </x:c>
      <x:c r="N239" s="12" t="str">
        <x:v>臺大公館校區</x:v>
      </x:c>
      <x:c r="O239" s="12" t="str">
        <x:v>臺大公館校區</x:v>
      </x:c>
      <x:c r="P239" s="12" t="str">
        <x:v>兩端均500119*</x:v>
      </x:c>
    </x:row>
    <x:row r="240">
      <x:c r="A240" s="12" t="str">
        <x:v>2026-09-07</x:v>
      </x:c>
      <x:c r="B240" s="12" t="str">
        <x:v>ZZB-0004</x:v>
      </x:c>
      <x:c r="C240" s="12" t="str">
        <x:v>2.0</x:v>
      </x:c>
      <x:c r="D240" s="13" t="n">
        <x:v>7</x:v>
      </x:c>
      <x:c r="E240" s="12" t="str">
        <x:v>2026-09-07 13:41:45</x:v>
      </x:c>
      <x:c r="F240" s="12" t="str">
        <x:v>2026-09-07 13:41:57</x:v>
      </x:c>
      <x:c r="G240" s="12" t="str">
        <x:v>13:00</x:v>
      </x:c>
      <x:c r="H240" s="12" t="str">
        <x:v>10–13</x:v>
      </x:c>
      <x:c r="I240" s="12" t="str">
        <x:v>500119083</x:v>
      </x:c>
      <x:c r="J240" s="12" t="str">
        <x:v>臺大新生教室南側</x:v>
      </x:c>
      <x:c r="K240" s="12" t="str">
        <x:v>500119045</x:v>
      </x:c>
      <x:c r="L240" s="12" t="str">
        <x:v>臺大農業陳列館北側</x:v>
      </x:c>
      <x:c r="M240" s="12" t="str">
        <x:v>實線</x:v>
      </x:c>
      <x:c r="N240" s="12" t="str">
        <x:v>臺大公館校區</x:v>
      </x:c>
      <x:c r="O240" s="12" t="str">
        <x:v>臺大公館校區</x:v>
      </x:c>
      <x:c r="P240" s="12" t="str">
        <x:v>兩端均500119*</x:v>
      </x:c>
    </x:row>
    <x:row r="241">
      <x:c r="A241" s="12" t="str">
        <x:v>2026-09-07</x:v>
      </x:c>
      <x:c r="B241" s="12" t="str">
        <x:v>ZZB-0004</x:v>
      </x:c>
      <x:c r="C241" s="12" t="str">
        <x:v>2.0</x:v>
      </x:c>
      <x:c r="D241" s="13" t="n">
        <x:v>7</x:v>
      </x:c>
      <x:c r="E241" s="12" t="str">
        <x:v>2026-09-07 14:01:33</x:v>
      </x:c>
      <x:c r="F241" s="12" t="str">
        <x:v>2026-09-07 14:01:47</x:v>
      </x:c>
      <x:c r="G241" s="12" t="str">
        <x:v>14:00</x:v>
      </x:c>
      <x:c r="H241" s="12" t="str">
        <x:v>14–17</x:v>
      </x:c>
      <x:c r="I241" s="12" t="str">
        <x:v>500119076</x:v>
      </x:c>
      <x:c r="J241" s="12" t="str">
        <x:v>臺大博理館西側</x:v>
      </x:c>
      <x:c r="K241" s="12" t="str">
        <x:v>500119045</x:v>
      </x:c>
      <x:c r="L241" s="12" t="str">
        <x:v>臺大農業陳列館北側</x:v>
      </x:c>
      <x:c r="M241" s="12" t="str">
        <x:v>實線</x:v>
      </x:c>
      <x:c r="N241" s="12" t="str">
        <x:v>臺大公館校區</x:v>
      </x:c>
      <x:c r="O241" s="12" t="str">
        <x:v>臺大公館校區</x:v>
      </x:c>
      <x:c r="P241" s="12" t="str">
        <x:v>兩端均500119*</x:v>
      </x:c>
    </x:row>
    <x:row r="242">
      <x:c r="A242" s="12" t="str">
        <x:v>2026-09-07</x:v>
      </x:c>
      <x:c r="B242" s="12" t="str">
        <x:v>ZZB-0004</x:v>
      </x:c>
      <x:c r="C242" s="12" t="str">
        <x:v>2.0</x:v>
      </x:c>
      <x:c r="D242" s="13" t="n">
        <x:v>7</x:v>
      </x:c>
      <x:c r="E242" s="12" t="str">
        <x:v>2026-09-07 14:23:58</x:v>
      </x:c>
      <x:c r="F242" s="12" t="str">
        <x:v>2026-09-07 14:24:10</x:v>
      </x:c>
      <x:c r="G242" s="12" t="str">
        <x:v>14:00</x:v>
      </x:c>
      <x:c r="H242" s="12" t="str">
        <x:v>14–17</x:v>
      </x:c>
      <x:c r="I242" s="12" t="str">
        <x:v>500119076</x:v>
      </x:c>
      <x:c r="J242" s="12" t="str">
        <x:v>臺大博理館西側</x:v>
      </x:c>
      <x:c r="K242" s="12" t="str">
        <x:v>500119045</x:v>
      </x:c>
      <x:c r="L242" s="12" t="str">
        <x:v>臺大農業陳列館北側</x:v>
      </x:c>
      <x:c r="M242" s="12" t="str">
        <x:v>實線</x:v>
      </x:c>
      <x:c r="N242" s="12" t="str">
        <x:v>臺大公館校區</x:v>
      </x:c>
      <x:c r="O242" s="12" t="str">
        <x:v>臺大公館校區</x:v>
      </x:c>
      <x:c r="P242" s="12" t="str">
        <x:v>兩端均500119*</x:v>
      </x:c>
    </x:row>
    <x:row r="243">
      <x:c r="A243" s="12" t="str">
        <x:v>2026-09-07</x:v>
      </x:c>
      <x:c r="B243" s="12" t="str">
        <x:v>ZZB-0004</x:v>
      </x:c>
      <x:c r="C243" s="12" t="str">
        <x:v>2.0</x:v>
      </x:c>
      <x:c r="D243" s="13" t="n">
        <x:v>7</x:v>
      </x:c>
      <x:c r="E243" s="12" t="str">
        <x:v>2026-09-07 14:59:54</x:v>
      </x:c>
      <x:c r="F243" s="12" t="str">
        <x:v>2026-09-07 15:00:05</x:v>
      </x:c>
      <x:c r="G243" s="12" t="str">
        <x:v>14:00</x:v>
      </x:c>
      <x:c r="H243" s="12" t="str">
        <x:v>14–17</x:v>
      </x:c>
      <x:c r="I243" s="12" t="str">
        <x:v>500119102</x:v>
      </x:c>
      <x:c r="J243" s="12" t="str">
        <x:v>臺大普通教學館東側</x:v>
      </x:c>
      <x:c r="K243" s="12" t="str">
        <x:v>500119045</x:v>
      </x:c>
      <x:c r="L243" s="12" t="str">
        <x:v>臺大農業陳列館北側</x:v>
      </x:c>
      <x:c r="M243" s="12" t="str">
        <x:v>實線</x:v>
      </x:c>
      <x:c r="N243" s="12" t="str">
        <x:v>臺大公館校區</x:v>
      </x:c>
      <x:c r="O243" s="12" t="str">
        <x:v>臺大公館校區</x:v>
      </x:c>
      <x:c r="P243" s="12" t="str">
        <x:v>兩端均500119*</x:v>
      </x:c>
    </x:row>
    <x:row r="244">
      <x:c r="A244" s="12" t="str">
        <x:v>2026-09-07</x:v>
      </x:c>
      <x:c r="B244" s="12" t="str">
        <x:v>ZZB-0004</x:v>
      </x:c>
      <x:c r="C244" s="12" t="str">
        <x:v>2.0</x:v>
      </x:c>
      <x:c r="D244" s="13" t="n">
        <x:v>7</x:v>
      </x:c>
      <x:c r="E244" s="12" t="str">
        <x:v>2026-09-07 17:17:24</x:v>
      </x:c>
      <x:c r="F244" s="12" t="str">
        <x:v>2026-09-07 17:17:51</x:v>
      </x:c>
      <x:c r="G244" s="12" t="str">
        <x:v>17:00</x:v>
      </x:c>
      <x:c r="H244" s="12" t="str">
        <x:v>14–17</x:v>
      </x:c>
      <x:c r="I244" s="12" t="str">
        <x:v>500101276</x:v>
      </x:c>
      <x:c r="J244" s="12" t="str">
        <x:v>羅斯福新生南路口</x:v>
      </x:c>
      <x:c r="K244" s="12" t="str">
        <x:v>500119065</x:v>
      </x:c>
      <x:c r="L244" s="12" t="str">
        <x:v>臺大二號館</x:v>
      </x:c>
      <x:c r="M244" s="12" t="str">
        <x:v>虛線</x:v>
      </x:c>
      <x:c r="N244" s="12" t="str">
        <x:v>大安區</x:v>
      </x:c>
      <x:c r="O244" s="12" t="str">
        <x:v>臺大公館校區</x:v>
      </x:c>
      <x:c r="P244" s="12" t="str">
        <x:v>任一端非500119*</x:v>
      </x:c>
    </x:row>
    <x:row r="245">
      <x:c r="A245" s="12" t="str">
        <x:v>2026-09-07</x:v>
      </x:c>
      <x:c r="B245" s="12" t="str">
        <x:v>ZZB-0004</x:v>
      </x:c>
      <x:c r="C245" s="12" t="str">
        <x:v>2.0</x:v>
      </x:c>
      <x:c r="D245" s="13" t="n">
        <x:v>8</x:v>
      </x:c>
      <x:c r="E245" s="12" t="str">
        <x:v>2026-09-07 17:32:03</x:v>
      </x:c>
      <x:c r="F245" s="12" t="str">
        <x:v>2026-09-07 17:32:33</x:v>
      </x:c>
      <x:c r="G245" s="12" t="str">
        <x:v>17:00</x:v>
      </x:c>
      <x:c r="H245" s="12" t="str">
        <x:v>14–17</x:v>
      </x:c>
      <x:c r="I245" s="12" t="str">
        <x:v>500101276</x:v>
      </x:c>
      <x:c r="J245" s="12" t="str">
        <x:v>羅斯福新生南路口</x:v>
      </x:c>
      <x:c r="K245" s="12" t="str">
        <x:v>500119055</x:v>
      </x:c>
      <x:c r="L245" s="12" t="str">
        <x:v>臺大樂學館東側</x:v>
      </x:c>
      <x:c r="M245" s="12" t="str">
        <x:v>虛線</x:v>
      </x:c>
      <x:c r="N245" s="12" t="str">
        <x:v>大安區</x:v>
      </x:c>
      <x:c r="O245" s="12" t="str">
        <x:v>臺大公館校區</x:v>
      </x:c>
      <x:c r="P245" s="12" t="str">
        <x:v>任一端非500119*</x:v>
      </x:c>
    </x:row>
    <x:row r="246">
      <x:c r="A246" s="12" t="str">
        <x:v>2026-09-07</x:v>
      </x:c>
      <x:c r="B246" s="12" t="str">
        <x:v>ZZB-0004</x:v>
      </x:c>
      <x:c r="C246" s="12" t="str">
        <x:v>2.0</x:v>
      </x:c>
      <x:c r="D246" s="13" t="n">
        <x:v>10</x:v>
      </x:c>
      <x:c r="E246" s="12" t="str">
        <x:v>2026-09-07 17:50:32</x:v>
      </x:c>
      <x:c r="F246" s="12" t="str">
        <x:v>2026-09-07 17:50:51</x:v>
      </x:c>
      <x:c r="G246" s="12" t="str">
        <x:v>17:00</x:v>
      </x:c>
      <x:c r="H246" s="12" t="str">
        <x:v>14–17</x:v>
      </x:c>
      <x:c r="I246" s="12" t="str">
        <x:v>500101276</x:v>
      </x:c>
      <x:c r="J246" s="12" t="str">
        <x:v>羅斯福新生南路口</x:v>
      </x:c>
      <x:c r="K246" s="12" t="str">
        <x:v>500119057</x:v>
      </x:c>
      <x:c r="L246" s="12" t="str">
        <x:v>臺大五號館西側</x:v>
      </x:c>
      <x:c r="M246" s="12" t="str">
        <x:v>虛線</x:v>
      </x:c>
      <x:c r="N246" s="12" t="str">
        <x:v>大安區</x:v>
      </x:c>
      <x:c r="O246" s="12" t="str">
        <x:v>臺大公館校區</x:v>
      </x:c>
      <x:c r="P246" s="12" t="str">
        <x:v>任一端非500119*</x:v>
      </x:c>
    </x:row>
    <x:row r="247">
      <x:c r="A247" s="12" t="str">
        <x:v>2026-09-07</x:v>
      </x:c>
      <x:c r="B247" s="12" t="str">
        <x:v>ZZB-0004</x:v>
      </x:c>
      <x:c r="C247" s="12" t="str">
        <x:v>2.0</x:v>
      </x:c>
      <x:c r="D247" s="13" t="n">
        <x:v>10</x:v>
      </x:c>
      <x:c r="E247" s="12" t="str">
        <x:v>2026-09-07 18:12:33</x:v>
      </x:c>
      <x:c r="F247" s="12" t="str">
        <x:v>2026-09-07 18:12:45</x:v>
      </x:c>
      <x:c r="G247" s="12" t="str">
        <x:v>18:00</x:v>
      </x:c>
      <x:c r="H247" s="12" t="str">
        <x:v>18–21</x:v>
      </x:c>
      <x:c r="I247" s="12" t="str">
        <x:v>500101276</x:v>
      </x:c>
      <x:c r="J247" s="12" t="str">
        <x:v>羅斯福新生南路口</x:v>
      </x:c>
      <x:c r="K247" s="12" t="str">
        <x:v>500119055</x:v>
      </x:c>
      <x:c r="L247" s="12" t="str">
        <x:v>臺大樂學館東側</x:v>
      </x:c>
      <x:c r="M247" s="12" t="str">
        <x:v>虛線</x:v>
      </x:c>
      <x:c r="N247" s="12" t="str">
        <x:v>大安區</x:v>
      </x:c>
      <x:c r="O247" s="12" t="str">
        <x:v>臺大公館校區</x:v>
      </x:c>
      <x:c r="P247" s="12" t="str">
        <x:v>任一端非500119*</x:v>
      </x:c>
    </x:row>
    <x:row r="248">
      <x:c r="A248" s="12" t="str">
        <x:v>2026-09-07</x:v>
      </x:c>
      <x:c r="B248" s="12" t="str">
        <x:v>ZZB-0004</x:v>
      </x:c>
      <x:c r="C248" s="12" t="str">
        <x:v>2.0</x:v>
      </x:c>
      <x:c r="D248" s="13" t="n">
        <x:v>7</x:v>
      </x:c>
      <x:c r="E248" s="12" t="str">
        <x:v>2026-09-07 18:34:18</x:v>
      </x:c>
      <x:c r="F248" s="12" t="str">
        <x:v>2026-09-07 18:43:33</x:v>
      </x:c>
      <x:c r="G248" s="12" t="str">
        <x:v>18:00</x:v>
      </x:c>
      <x:c r="H248" s="12" t="str">
        <x:v>18–21</x:v>
      </x:c>
      <x:c r="I248" s="12" t="str">
        <x:v>500101276</x:v>
      </x:c>
      <x:c r="J248" s="12" t="str">
        <x:v>羅斯福新生南路口</x:v>
      </x:c>
      <x:c r="K248" s="12" t="str">
        <x:v>500119055</x:v>
      </x:c>
      <x:c r="L248" s="12" t="str">
        <x:v>臺大樂學館東側</x:v>
      </x:c>
      <x:c r="M248" s="12" t="str">
        <x:v>虛線</x:v>
      </x:c>
      <x:c r="N248" s="12" t="str">
        <x:v>大安區</x:v>
      </x:c>
      <x:c r="O248" s="12" t="str">
        <x:v>臺大公館校區</x:v>
      </x:c>
      <x:c r="P248" s="12" t="str">
        <x:v>任一端非500119*</x:v>
      </x:c>
    </x:row>
    <x:row r="249">
      <x:c r="A249" s="12" t="str">
        <x:v>2026-09-07</x:v>
      </x:c>
      <x:c r="B249" s="12" t="str">
        <x:v>ZZB-0004</x:v>
      </x:c>
      <x:c r="C249" s="12" t="str">
        <x:v>2.0</x:v>
      </x:c>
      <x:c r="D249" s="13" t="n">
        <x:v>7</x:v>
      </x:c>
      <x:c r="E249" s="12" t="str">
        <x:v>2026-09-07 18:57:40</x:v>
      </x:c>
      <x:c r="F249" s="12" t="str">
        <x:v>2026-09-07 19:07:11</x:v>
      </x:c>
      <x:c r="G249" s="12" t="str">
        <x:v>18:00</x:v>
      </x:c>
      <x:c r="H249" s="12" t="str">
        <x:v>18–21</x:v>
      </x:c>
      <x:c r="I249" s="12" t="str">
        <x:v>500101276</x:v>
      </x:c>
      <x:c r="J249" s="12" t="str">
        <x:v>羅斯福新生南路口</x:v>
      </x:c>
      <x:c r="K249" s="12" t="str">
        <x:v>500119082</x:v>
      </x:c>
      <x:c r="L249" s="12" t="str">
        <x:v>臺大四號館東北側</x:v>
      </x:c>
      <x:c r="M249" s="12" t="str">
        <x:v>虛線</x:v>
      </x:c>
      <x:c r="N249" s="12" t="str">
        <x:v>大安區</x:v>
      </x:c>
      <x:c r="O249" s="12" t="str">
        <x:v>臺大公館校區</x:v>
      </x:c>
      <x:c r="P249" s="12" t="str">
        <x:v>任一端非500119*</x:v>
      </x:c>
    </x:row>
    <x:row r="250">
      <x:c r="A250" s="12" t="str">
        <x:v>2026-09-07</x:v>
      </x:c>
      <x:c r="B250" s="12" t="str">
        <x:v>ZZB-0004</x:v>
      </x:c>
      <x:c r="C250" s="12" t="str">
        <x:v>2.0</x:v>
      </x:c>
      <x:c r="D250" s="13" t="n">
        <x:v>10</x:v>
      </x:c>
      <x:c r="E250" s="12" t="str">
        <x:v>2026-09-07 19:33:38</x:v>
      </x:c>
      <x:c r="F250" s="12" t="str">
        <x:v>2026-09-07 19:33:54</x:v>
      </x:c>
      <x:c r="G250" s="12" t="str">
        <x:v>19:00</x:v>
      </x:c>
      <x:c r="H250" s="12" t="str">
        <x:v>18–21</x:v>
      </x:c>
      <x:c r="I250" s="12" t="str">
        <x:v>500101276</x:v>
      </x:c>
      <x:c r="J250" s="12" t="str">
        <x:v>羅斯福新生南路口</x:v>
      </x:c>
      <x:c r="K250" s="12" t="str">
        <x:v>500119075</x:v>
      </x:c>
      <x:c r="L250" s="12" t="str">
        <x:v>臺大第一活動中心西南側</x:v>
      </x:c>
      <x:c r="M250" s="12" t="str">
        <x:v>虛線</x:v>
      </x:c>
      <x:c r="N250" s="12" t="str">
        <x:v>大安區</x:v>
      </x:c>
      <x:c r="O250" s="12" t="str">
        <x:v>臺大公館校區</x:v>
      </x:c>
      <x:c r="P250" s="12" t="str">
        <x:v>任一端非500119*</x:v>
      </x:c>
    </x:row>
    <x:row r="251">
      <x:c r="A251" s="12" t="str">
        <x:v>2026-09-07</x:v>
      </x:c>
      <x:c r="B251" s="12" t="str">
        <x:v>ZZB-0004</x:v>
      </x:c>
      <x:c r="C251" s="12" t="str">
        <x:v>2.0</x:v>
      </x:c>
      <x:c r="D251" s="13" t="n">
        <x:v>7</x:v>
      </x:c>
      <x:c r="E251" s="12" t="str">
        <x:v>2026-09-07 20:24:16</x:v>
      </x:c>
      <x:c r="F251" s="12" t="str">
        <x:v>2026-09-07 20:35:40</x:v>
      </x:c>
      <x:c r="G251" s="12" t="str">
        <x:v>20:00</x:v>
      </x:c>
      <x:c r="H251" s="12" t="str">
        <x:v>18–21</x:v>
      </x:c>
      <x:c r="I251" s="12" t="str">
        <x:v>500101276</x:v>
      </x:c>
      <x:c r="J251" s="12" t="str">
        <x:v>羅斯福新生南路口</x:v>
      </x:c>
      <x:c r="K251" s="12" t="str">
        <x:v>500119086</x:v>
      </x:c>
      <x:c r="L251" s="12" t="str">
        <x:v>臺大圖資系館北側</x:v>
      </x:c>
      <x:c r="M251" s="12" t="str">
        <x:v>虛線</x:v>
      </x:c>
      <x:c r="N251" s="12" t="str">
        <x:v>大安區</x:v>
      </x:c>
      <x:c r="O251" s="12" t="str">
        <x:v>臺大公館校區</x:v>
      </x:c>
      <x:c r="P251" s="12" t="str">
        <x:v>任一端非500119*</x:v>
      </x:c>
    </x:row>
    <x:row r="252">
      <x:c r="A252" s="12" t="str">
        <x:v>2026-09-07</x:v>
      </x:c>
      <x:c r="B252" s="12" t="str">
        <x:v>ZZB-0004</x:v>
      </x:c>
      <x:c r="C252" s="12" t="str">
        <x:v>2.0</x:v>
      </x:c>
      <x:c r="D252" s="13" t="n">
        <x:v>7</x:v>
      </x:c>
      <x:c r="E252" s="12" t="str">
        <x:v>2026-09-07 22:02:16</x:v>
      </x:c>
      <x:c r="F252" s="12" t="str">
        <x:v>2026-09-07 22:02:30</x:v>
      </x:c>
      <x:c r="G252" s="12" t="str">
        <x:v>22:00</x:v>
      </x:c>
      <x:c r="H252" s="12" t="str">
        <x:v>22–23</x:v>
      </x:c>
      <x:c r="I252" s="12" t="str">
        <x:v>500101181</x:v>
      </x:c>
      <x:c r="J252" s="12" t="str">
        <x:v>捷運公館站(3號出口)</x:v>
      </x:c>
      <x:c r="K252" s="12" t="str">
        <x:v>500101276</x:v>
      </x:c>
      <x:c r="L252" s="12" t="str">
        <x:v>羅斯福新生南路口</x:v>
      </x:c>
      <x:c r="M252" s="12" t="str">
        <x:v>虛線</x:v>
      </x:c>
      <x:c r="N252" s="12" t="str">
        <x:v>大安區</x:v>
      </x:c>
      <x:c r="O252" s="12" t="str">
        <x:v>大安區</x:v>
      </x:c>
      <x:c r="P252" s="12" t="str">
        <x:v>任一端非500119*</x:v>
      </x:c>
    </x:row>
    <x:row r="253">
      <x:c r="A253" s="12" t="str">
        <x:v>2026-09-07</x:v>
      </x:c>
      <x:c r="B253" s="12" t="str">
        <x:v>ZZB-0004</x:v>
      </x:c>
      <x:c r="C253" s="12" t="str">
        <x:v>2.0</x:v>
      </x:c>
      <x:c r="D253" s="13" t="n">
        <x:v>7</x:v>
      </x:c>
      <x:c r="E253" s="12" t="str">
        <x:v>2026-09-07 22:21:14</x:v>
      </x:c>
      <x:c r="F253" s="12" t="str">
        <x:v>2026-09-07 22:21:30</x:v>
      </x:c>
      <x:c r="G253" s="12" t="str">
        <x:v>22:00</x:v>
      </x:c>
      <x:c r="H253" s="12" t="str">
        <x:v>22–23</x:v>
      </x:c>
      <x:c r="I253" s="12" t="str">
        <x:v>500101181</x:v>
      </x:c>
      <x:c r="J253" s="12" t="str">
        <x:v>捷運公館站(3號出口)</x:v>
      </x:c>
      <x:c r="K253" s="12" t="str">
        <x:v>500101276</x:v>
      </x:c>
      <x:c r="L253" s="12" t="str">
        <x:v>羅斯福新生南路口</x:v>
      </x:c>
      <x:c r="M253" s="12" t="str">
        <x:v>虛線</x:v>
      </x:c>
      <x:c r="N253" s="12" t="str">
        <x:v>大安區</x:v>
      </x:c>
      <x:c r="O253" s="12" t="str">
        <x:v>大安區</x:v>
      </x:c>
      <x:c r="P253" s="12" t="str">
        <x:v>任一端非500119*</x:v>
      </x:c>
    </x:row>
    <x:row r="254">
      <x:c r="A254" s="12" t="str">
        <x:v>2026-09-07</x:v>
      </x:c>
      <x:c r="B254" s="12" t="str">
        <x:v>ZZB-0004</x:v>
      </x:c>
      <x:c r="C254" s="12" t="str">
        <x:v>2.0</x:v>
      </x:c>
      <x:c r="D254" s="13" t="n">
        <x:v>14</x:v>
      </x:c>
      <x:c r="E254" s="12" t="str">
        <x:v>2026-09-07 23:21:18</x:v>
      </x:c>
      <x:c r="F254" s="12" t="str">
        <x:v>2026-09-07 23:21:42</x:v>
      </x:c>
      <x:c r="G254" s="12" t="str">
        <x:v>23:00</x:v>
      </x:c>
      <x:c r="H254" s="12" t="str">
        <x:v>22–23</x:v>
      </x:c>
      <x:c r="I254" s="12" t="str">
        <x:v>500101181</x:v>
      </x:c>
      <x:c r="J254" s="12" t="str">
        <x:v>捷運公館站(3號出口)</x:v>
      </x:c>
      <x:c r="K254" s="12" t="str">
        <x:v>500101276</x:v>
      </x:c>
      <x:c r="L254" s="12" t="str">
        <x:v>羅斯福新生南路口</x:v>
      </x:c>
      <x:c r="M254" s="12" t="str">
        <x:v>虛線</x:v>
      </x:c>
      <x:c r="N254" s="12" t="str">
        <x:v>大安區</x:v>
      </x:c>
      <x:c r="O254" s="12" t="str">
        <x:v>大安區</x:v>
      </x:c>
      <x:c r="P254" s="12" t="str">
        <x:v>任一端非500119*</x:v>
      </x:c>
    </x:row>
    <x:row r="255">
      <x:c r="A255" s="12" t="str">
        <x:v>2026-09-07</x:v>
      </x:c>
      <x:c r="B255" s="12" t="str">
        <x:v>ZZB-0004</x:v>
      </x:c>
      <x:c r="C255" s="12" t="str">
        <x:v>2.0E</x:v>
      </x:c>
      <x:c r="D255" s="13" t="n">
        <x:v>1</x:v>
      </x:c>
      <x:c r="E255" s="12" t="str">
        <x:v>2026-09-07 08:16:10</x:v>
      </x:c>
      <x:c r="F255" s="12" t="str">
        <x:v>2026-09-07 08:19:13</x:v>
      </x:c>
      <x:c r="G255" s="12" t="str">
        <x:v>08:00</x:v>
      </x:c>
      <x:c r="H255" s="12" t="str">
        <x:v>06–09</x:v>
      </x:c>
      <x:c r="I255" s="12" t="str">
        <x:v>500119050</x:v>
      </x:c>
      <x:c r="J255" s="12" t="str">
        <x:v>臺大小福樓東側</x:v>
      </x:c>
      <x:c r="K255" s="12" t="str">
        <x:v>500119082</x:v>
      </x:c>
      <x:c r="L255" s="12" t="str">
        <x:v>臺大四號館東北側</x:v>
      </x:c>
      <x:c r="M255" s="12" t="str">
        <x:v>實線</x:v>
      </x:c>
      <x:c r="N255" s="12" t="str">
        <x:v>臺大公館校區</x:v>
      </x:c>
      <x:c r="O255" s="12" t="str">
        <x:v>臺大公館校區</x:v>
      </x:c>
      <x:c r="P255" s="12" t="str">
        <x:v>兩端均500119*</x:v>
      </x:c>
    </x:row>
    <x:row r="256">
      <x:c r="A256" s="12" t="str">
        <x:v>2026-09-07</x:v>
      </x:c>
      <x:c r="B256" s="12" t="str">
        <x:v>ZZB-0004</x:v>
      </x:c>
      <x:c r="C256" s="12" t="str">
        <x:v>2.0E</x:v>
      </x:c>
      <x:c r="D256" s="13" t="n">
        <x:v>1</x:v>
      </x:c>
      <x:c r="E256" s="12" t="str">
        <x:v>2026-09-07 08:35:27</x:v>
      </x:c>
      <x:c r="F256" s="12" t="str">
        <x:v>2026-09-07 08:41:58</x:v>
      </x:c>
      <x:c r="G256" s="12" t="str">
        <x:v>08:00</x:v>
      </x:c>
      <x:c r="H256" s="12" t="str">
        <x:v>06–09</x:v>
      </x:c>
      <x:c r="I256" s="12" t="str">
        <x:v>500119050</x:v>
      </x:c>
      <x:c r="J256" s="12" t="str">
        <x:v>臺大小福樓東側</x:v>
      </x:c>
      <x:c r="K256" s="12" t="str">
        <x:v>500119097</x:v>
      </x:c>
      <x:c r="L256" s="12" t="str">
        <x:v>臺大人文館</x:v>
      </x:c>
      <x:c r="M256" s="12" t="str">
        <x:v>實線</x:v>
      </x:c>
      <x:c r="N256" s="12" t="str">
        <x:v>臺大公館校區</x:v>
      </x:c>
      <x:c r="O256" s="12" t="str">
        <x:v>臺大公館校區</x:v>
      </x:c>
      <x:c r="P256" s="12" t="str">
        <x:v>兩端均500119*</x:v>
      </x:c>
    </x:row>
    <x:row r="257">
      <x:c r="A257" s="12" t="str">
        <x:v>2026-09-07</x:v>
      </x:c>
      <x:c r="B257" s="12" t="str">
        <x:v>ZZB-0004</x:v>
      </x:c>
      <x:c r="C257" s="12" t="str">
        <x:v>2.0E</x:v>
      </x:c>
      <x:c r="D257" s="13" t="n">
        <x:v>1</x:v>
      </x:c>
      <x:c r="E257" s="12" t="str">
        <x:v>2026-09-07 08:50:00</x:v>
      </x:c>
      <x:c r="F257" s="12" t="str">
        <x:v>2026-09-07 08:56:51</x:v>
      </x:c>
      <x:c r="G257" s="12" t="str">
        <x:v>08:00</x:v>
      </x:c>
      <x:c r="H257" s="12" t="str">
        <x:v>06–09</x:v>
      </x:c>
      <x:c r="I257" s="12" t="str">
        <x:v>500119050</x:v>
      </x:c>
      <x:c r="J257" s="12" t="str">
        <x:v>臺大小福樓東側</x:v>
      </x:c>
      <x:c r="K257" s="12" t="str">
        <x:v>500119097</x:v>
      </x:c>
      <x:c r="L257" s="12" t="str">
        <x:v>臺大人文館</x:v>
      </x:c>
      <x:c r="M257" s="12" t="str">
        <x:v>實線</x:v>
      </x:c>
      <x:c r="N257" s="12" t="str">
        <x:v>臺大公館校區</x:v>
      </x:c>
      <x:c r="O257" s="12" t="str">
        <x:v>臺大公館校區</x:v>
      </x:c>
      <x:c r="P257" s="12" t="str">
        <x:v>兩端均500119*</x:v>
      </x:c>
    </x:row>
    <x:row r="258">
      <x:c r="A258" s="12" t="str">
        <x:v>2026-09-07</x:v>
      </x:c>
      <x:c r="B258" s="12" t="str">
        <x:v>ZZB-0004</x:v>
      </x:c>
      <x:c r="C258" s="12" t="str">
        <x:v>2.0E</x:v>
      </x:c>
      <x:c r="D258" s="13" t="n">
        <x:v>1</x:v>
      </x:c>
      <x:c r="E258" s="12" t="str">
        <x:v>2026-09-07 09:05:15</x:v>
      </x:c>
      <x:c r="F258" s="12" t="str">
        <x:v>2026-09-07 09:11:00</x:v>
      </x:c>
      <x:c r="G258" s="12" t="str">
        <x:v>09:00</x:v>
      </x:c>
      <x:c r="H258" s="12" t="str">
        <x:v>06–09</x:v>
      </x:c>
      <x:c r="I258" s="12" t="str">
        <x:v>500119050</x:v>
      </x:c>
      <x:c r="J258" s="12" t="str">
        <x:v>臺大小福樓東側</x:v>
      </x:c>
      <x:c r="K258" s="12" t="str">
        <x:v>500119097</x:v>
      </x:c>
      <x:c r="L258" s="12" t="str">
        <x:v>臺大人文館</x:v>
      </x:c>
      <x:c r="M258" s="12" t="str">
        <x:v>實線</x:v>
      </x:c>
      <x:c r="N258" s="12" t="str">
        <x:v>臺大公館校區</x:v>
      </x:c>
      <x:c r="O258" s="12" t="str">
        <x:v>臺大公館校區</x:v>
      </x:c>
      <x:c r="P258" s="12" t="str">
        <x:v>兩端均500119*</x:v>
      </x:c>
    </x:row>
    <x:row r="259">
      <x:c r="A259" s="12" t="str">
        <x:v>2026-09-07</x:v>
      </x:c>
      <x:c r="B259" s="12" t="str">
        <x:v>ZZB-0004</x:v>
      </x:c>
      <x:c r="C259" s="12" t="str">
        <x:v>2.0E</x:v>
      </x:c>
      <x:c r="D259" s="13" t="n">
        <x:v>4</x:v>
      </x:c>
      <x:c r="E259" s="12" t="str">
        <x:v>2026-09-07 09:17:32</x:v>
      </x:c>
      <x:c r="F259" s="12" t="str">
        <x:v>2026-09-07 09:28:03</x:v>
      </x:c>
      <x:c r="G259" s="12" t="str">
        <x:v>09:00</x:v>
      </x:c>
      <x:c r="H259" s="12" t="str">
        <x:v>06–09</x:v>
      </x:c>
      <x:c r="I259" s="12" t="str">
        <x:v>500119102</x:v>
      </x:c>
      <x:c r="J259" s="12" t="str">
        <x:v>臺大普通教學館東側</x:v>
      </x:c>
      <x:c r="K259" s="12" t="str">
        <x:v>500119097</x:v>
      </x:c>
      <x:c r="L259" s="12" t="str">
        <x:v>臺大人文館</x:v>
      </x:c>
      <x:c r="M259" s="12" t="str">
        <x:v>實線</x:v>
      </x:c>
      <x:c r="N259" s="12" t="str">
        <x:v>臺大公館校區</x:v>
      </x:c>
      <x:c r="O259" s="12" t="str">
        <x:v>臺大公館校區</x:v>
      </x:c>
      <x:c r="P259" s="12" t="str">
        <x:v>兩端均500119*</x:v>
      </x:c>
    </x:row>
    <x:row r="260">
      <x:c r="A260" s="12" t="str">
        <x:v>2026-09-07</x:v>
      </x:c>
      <x:c r="B260" s="12" t="str">
        <x:v>ZZB-0004</x:v>
      </x:c>
      <x:c r="C260" s="12" t="str">
        <x:v>2.0E</x:v>
      </x:c>
      <x:c r="D260" s="13" t="n">
        <x:v>2</x:v>
      </x:c>
      <x:c r="E260" s="12" t="str">
        <x:v>2026-09-07 10:04:44</x:v>
      </x:c>
      <x:c r="F260" s="12" t="str">
        <x:v>2026-09-07 10:17:13</x:v>
      </x:c>
      <x:c r="G260" s="12" t="str">
        <x:v>10:00</x:v>
      </x:c>
      <x:c r="H260" s="12" t="str">
        <x:v>10–13</x:v>
      </x:c>
      <x:c r="I260" s="12" t="str">
        <x:v>500119085</x:v>
      </x:c>
      <x:c r="J260" s="12" t="str">
        <x:v>臺大電機二館東南側</x:v>
      </x:c>
      <x:c r="K260" s="12" t="str">
        <x:v>500101032</x:v>
      </x:c>
      <x:c r="L260" s="12" t="str">
        <x:v>臺大男一舍前</x:v>
      </x:c>
      <x:c r="M260" s="12" t="str">
        <x:v>虛線</x:v>
      </x:c>
      <x:c r="N260" s="12" t="str">
        <x:v>臺大公館校區</x:v>
      </x:c>
      <x:c r="O260" s="12" t="str">
        <x:v>大安區</x:v>
      </x:c>
      <x:c r="P260" s="12" t="str">
        <x:v>任一端非500119*</x:v>
      </x:c>
    </x:row>
    <x:row r="261">
      <x:c r="A261" s="12" t="str">
        <x:v>2026-09-07</x:v>
      </x:c>
      <x:c r="B261" s="12" t="str">
        <x:v>ZZB-0004</x:v>
      </x:c>
      <x:c r="C261" s="12" t="str">
        <x:v>2.0E</x:v>
      </x:c>
      <x:c r="D261" s="13" t="n">
        <x:v>1</x:v>
      </x:c>
      <x:c r="E261" s="12" t="str">
        <x:v>2026-09-07 10:40:41</x:v>
      </x:c>
      <x:c r="F261" s="12" t="str">
        <x:v>2026-09-07 10:47:42</x:v>
      </x:c>
      <x:c r="G261" s="12" t="str">
        <x:v>10:00</x:v>
      </x:c>
      <x:c r="H261" s="12" t="str">
        <x:v>10–13</x:v>
      </x:c>
      <x:c r="I261" s="12" t="str">
        <x:v>500119085</x:v>
      </x:c>
      <x:c r="J261" s="12" t="str">
        <x:v>臺大電機二館東南側</x:v>
      </x:c>
      <x:c r="K261" s="12" t="str">
        <x:v>500101032</x:v>
      </x:c>
      <x:c r="L261" s="12" t="str">
        <x:v>臺大男一舍前</x:v>
      </x:c>
      <x:c r="M261" s="12" t="str">
        <x:v>虛線</x:v>
      </x:c>
      <x:c r="N261" s="12" t="str">
        <x:v>臺大公館校區</x:v>
      </x:c>
      <x:c r="O261" s="12" t="str">
        <x:v>大安區</x:v>
      </x:c>
      <x:c r="P261" s="12" t="str">
        <x:v>任一端非500119*</x:v>
      </x:c>
    </x:row>
    <x:row r="262">
      <x:c r="A262" s="12" t="str">
        <x:v>2026-09-07</x:v>
      </x:c>
      <x:c r="B262" s="12" t="str">
        <x:v>ZZB-0004</x:v>
      </x:c>
      <x:c r="C262" s="12" t="str">
        <x:v>2.0E</x:v>
      </x:c>
      <x:c r="D262" s="13" t="n">
        <x:v>2</x:v>
      </x:c>
      <x:c r="E262" s="12" t="str">
        <x:v>2026-09-07 18:34:18</x:v>
      </x:c>
      <x:c r="F262" s="12" t="str">
        <x:v>2026-09-07 18:43:33</x:v>
      </x:c>
      <x:c r="G262" s="12" t="str">
        <x:v>18:00</x:v>
      </x:c>
      <x:c r="H262" s="12" t="str">
        <x:v>18–21</x:v>
      </x:c>
      <x:c r="I262" s="12" t="str">
        <x:v>500101276</x:v>
      </x:c>
      <x:c r="J262" s="12" t="str">
        <x:v>羅斯福新生南路口</x:v>
      </x:c>
      <x:c r="K262" s="12" t="str">
        <x:v>500119055</x:v>
      </x:c>
      <x:c r="L262" s="12" t="str">
        <x:v>臺大樂學館東側</x:v>
      </x:c>
      <x:c r="M262" s="12" t="str">
        <x:v>虛線</x:v>
      </x:c>
      <x:c r="N262" s="12" t="str">
        <x:v>大安區</x:v>
      </x:c>
      <x:c r="O262" s="12" t="str">
        <x:v>臺大公館校區</x:v>
      </x:c>
      <x:c r="P262" s="12" t="str">
        <x:v>任一端非500119*</x:v>
      </x:c>
    </x:row>
    <x:row r="263">
      <x:c r="A263" s="12" t="str">
        <x:v>2026-09-07</x:v>
      </x:c>
      <x:c r="B263" s="12" t="str">
        <x:v>ZZB-0004</x:v>
      </x:c>
      <x:c r="C263" s="12" t="str">
        <x:v>2.0E</x:v>
      </x:c>
      <x:c r="D263" s="13" t="n">
        <x:v>2</x:v>
      </x:c>
      <x:c r="E263" s="12" t="str">
        <x:v>2026-09-07 18:57:40</x:v>
      </x:c>
      <x:c r="F263" s="12" t="str">
        <x:v>2026-09-07 19:07:11</x:v>
      </x:c>
      <x:c r="G263" s="12" t="str">
        <x:v>18:00</x:v>
      </x:c>
      <x:c r="H263" s="12" t="str">
        <x:v>18–21</x:v>
      </x:c>
      <x:c r="I263" s="12" t="str">
        <x:v>500101276</x:v>
      </x:c>
      <x:c r="J263" s="12" t="str">
        <x:v>羅斯福新生南路口</x:v>
      </x:c>
      <x:c r="K263" s="12" t="str">
        <x:v>500119082</x:v>
      </x:c>
      <x:c r="L263" s="12" t="str">
        <x:v>臺大四號館東北側</x:v>
      </x:c>
      <x:c r="M263" s="12" t="str">
        <x:v>虛線</x:v>
      </x:c>
      <x:c r="N263" s="12" t="str">
        <x:v>大安區</x:v>
      </x:c>
      <x:c r="O263" s="12" t="str">
        <x:v>臺大公館校區</x:v>
      </x:c>
      <x:c r="P263" s="12" t="str">
        <x:v>任一端非500119*</x:v>
      </x:c>
    </x:row>
    <x:row r="264">
      <x:c r="A264" s="12" t="str">
        <x:v>2026-09-07</x:v>
      </x:c>
      <x:c r="B264" s="12" t="str">
        <x:v>ZZB-0004</x:v>
      </x:c>
      <x:c r="C264" s="12" t="str">
        <x:v>2.0E</x:v>
      </x:c>
      <x:c r="D264" s="13" t="n">
        <x:v>2</x:v>
      </x:c>
      <x:c r="E264" s="12" t="str">
        <x:v>2026-09-07 20:24:16</x:v>
      </x:c>
      <x:c r="F264" s="12" t="str">
        <x:v>2026-09-07 20:35:40</x:v>
      </x:c>
      <x:c r="G264" s="12" t="str">
        <x:v>20:00</x:v>
      </x:c>
      <x:c r="H264" s="12" t="str">
        <x:v>18–21</x:v>
      </x:c>
      <x:c r="I264" s="12" t="str">
        <x:v>500101276</x:v>
      </x:c>
      <x:c r="J264" s="12" t="str">
        <x:v>羅斯福新生南路口</x:v>
      </x:c>
      <x:c r="K264" s="12" t="str">
        <x:v>500119086</x:v>
      </x:c>
      <x:c r="L264" s="12" t="str">
        <x:v>臺大圖資系館北側</x:v>
      </x:c>
      <x:c r="M264" s="12" t="str">
        <x:v>虛線</x:v>
      </x:c>
      <x:c r="N264" s="12" t="str">
        <x:v>大安區</x:v>
      </x:c>
      <x:c r="O264" s="12" t="str">
        <x:v>臺大公館校區</x:v>
      </x:c>
      <x:c r="P264" s="12" t="str">
        <x:v>任一端非500119*</x:v>
      </x:c>
    </x:row>
    <x:row r="265">
      <x:c r="A265" s="12" t="str">
        <x:v>2026-09-08</x:v>
      </x:c>
      <x:c r="B265" s="12" t="str">
        <x:v>ZZB-0001</x:v>
      </x:c>
      <x:c r="C265" s="12" t="str">
        <x:v>2.0</x:v>
      </x:c>
      <x:c r="D265" s="13" t="n">
        <x:v>10</x:v>
      </x:c>
      <x:c r="E265" s="12" t="str">
        <x:v>2026-09-08 00:05:04</x:v>
      </x:c>
      <x:c r="F265" s="12" t="str">
        <x:v>2026-09-08 00:05:26</x:v>
      </x:c>
      <x:c r="G265" s="12" t="str">
        <x:v>00:00</x:v>
      </x:c>
      <x:c r="H265" s="12" t="str">
        <x:v>00–05</x:v>
      </x:c>
      <x:c r="I265" s="12" t="str">
        <x:v>500101181</x:v>
      </x:c>
      <x:c r="J265" s="12" t="str">
        <x:v>捷運公館站(3號出口)</x:v>
      </x:c>
      <x:c r="K265" s="12" t="str">
        <x:v>500101276</x:v>
      </x:c>
      <x:c r="L265" s="12" t="str">
        <x:v>羅斯福新生南路口</x:v>
      </x:c>
      <x:c r="M265" s="12" t="str">
        <x:v>虛線</x:v>
      </x:c>
      <x:c r="N265" s="12" t="str">
        <x:v>大安區</x:v>
      </x:c>
      <x:c r="O265" s="12" t="str">
        <x:v>大安區</x:v>
      </x:c>
      <x:c r="P265" s="12" t="str">
        <x:v>任一端非500119*</x:v>
      </x:c>
    </x:row>
    <x:row r="266">
      <x:c r="A266" s="12" t="str">
        <x:v>2026-09-08</x:v>
      </x:c>
      <x:c r="B266" s="12" t="str">
        <x:v>ZZB-0001</x:v>
      </x:c>
      <x:c r="C266" s="12" t="str">
        <x:v>2.0</x:v>
      </x:c>
      <x:c r="D266" s="13" t="n">
        <x:v>7</x:v>
      </x:c>
      <x:c r="E266" s="12" t="str">
        <x:v>2026-09-08 07:45:15</x:v>
      </x:c>
      <x:c r="F266" s="12" t="str">
        <x:v>2026-09-08 07:45:27</x:v>
      </x:c>
      <x:c r="G266" s="12" t="str">
        <x:v>07:00</x:v>
      </x:c>
      <x:c r="H266" s="12" t="str">
        <x:v>06–09</x:v>
      </x:c>
      <x:c r="I266" s="12" t="str">
        <x:v>500119052</x:v>
      </x:c>
      <x:c r="J266" s="12" t="str">
        <x:v>臺大工綜館南側</x:v>
      </x:c>
      <x:c r="K266" s="12" t="str">
        <x:v>500119061</x:v>
      </x:c>
      <x:c r="L266" s="12" t="str">
        <x:v>臺大鹿鳴堂東側</x:v>
      </x:c>
      <x:c r="M266" s="12" t="str">
        <x:v>實線</x:v>
      </x:c>
      <x:c r="N266" s="12" t="str">
        <x:v>臺大公館校區</x:v>
      </x:c>
      <x:c r="O266" s="12" t="str">
        <x:v>臺大公館校區</x:v>
      </x:c>
      <x:c r="P266" s="12" t="str">
        <x:v>兩端均500119*</x:v>
      </x:c>
    </x:row>
    <x:row r="267">
      <x:c r="A267" s="12" t="str">
        <x:v>2026-09-08</x:v>
      </x:c>
      <x:c r="B267" s="12" t="str">
        <x:v>ZZB-0001</x:v>
      </x:c>
      <x:c r="C267" s="12" t="str">
        <x:v>2.0</x:v>
      </x:c>
      <x:c r="D267" s="13" t="n">
        <x:v>7</x:v>
      </x:c>
      <x:c r="E267" s="12" t="str">
        <x:v>2026-09-08 08:01:02</x:v>
      </x:c>
      <x:c r="F267" s="12" t="str">
        <x:v>2026-09-08 08:01:40</x:v>
      </x:c>
      <x:c r="G267" s="12" t="str">
        <x:v>08:00</x:v>
      </x:c>
      <x:c r="H267" s="12" t="str">
        <x:v>06–09</x:v>
      </x:c>
      <x:c r="I267" s="12" t="str">
        <x:v>500119087</x:v>
      </x:c>
      <x:c r="J267" s="12" t="str">
        <x:v>臺大總圖書館西南側</x:v>
      </x:c>
      <x:c r="K267" s="12" t="str">
        <x:v>500119059</x:v>
      </x:c>
      <x:c r="L267" s="12" t="str">
        <x:v>臺大共同教室北側</x:v>
      </x:c>
      <x:c r="M267" s="12" t="str">
        <x:v>實線</x:v>
      </x:c>
      <x:c r="N267" s="12" t="str">
        <x:v>臺大公館校區</x:v>
      </x:c>
      <x:c r="O267" s="12" t="str">
        <x:v>臺大公館校區</x:v>
      </x:c>
      <x:c r="P267" s="12" t="str">
        <x:v>兩端均500119*</x:v>
      </x:c>
    </x:row>
    <x:row r="268">
      <x:c r="A268" s="12" t="str">
        <x:v>2026-09-08</x:v>
      </x:c>
      <x:c r="B268" s="12" t="str">
        <x:v>ZZB-0001</x:v>
      </x:c>
      <x:c r="C268" s="12" t="str">
        <x:v>2.0</x:v>
      </x:c>
      <x:c r="D268" s="13" t="n">
        <x:v>6</x:v>
      </x:c>
      <x:c r="E268" s="12" t="str">
        <x:v>2026-09-08 08:22:14</x:v>
      </x:c>
      <x:c r="F268" s="12" t="str">
        <x:v>2026-09-08 08:22:32</x:v>
      </x:c>
      <x:c r="G268" s="12" t="str">
        <x:v>08:00</x:v>
      </x:c>
      <x:c r="H268" s="12" t="str">
        <x:v>06–09</x:v>
      </x:c>
      <x:c r="I268" s="12" t="str">
        <x:v>500119086</x:v>
      </x:c>
      <x:c r="J268" s="12" t="str">
        <x:v>臺大圖資系館北側</x:v>
      </x:c>
      <x:c r="K268" s="12" t="str">
        <x:v>500119074</x:v>
      </x:c>
      <x:c r="L268" s="12" t="str">
        <x:v>臺大生命科學館西北側</x:v>
      </x:c>
      <x:c r="M268" s="12" t="str">
        <x:v>實線</x:v>
      </x:c>
      <x:c r="N268" s="12" t="str">
        <x:v>臺大公館校區</x:v>
      </x:c>
      <x:c r="O268" s="12" t="str">
        <x:v>臺大公館校區</x:v>
      </x:c>
      <x:c r="P268" s="12" t="str">
        <x:v>兩端均500119*</x:v>
      </x:c>
    </x:row>
    <x:row r="269">
      <x:c r="A269" s="12" t="str">
        <x:v>2026-09-08</x:v>
      </x:c>
      <x:c r="B269" s="12" t="str">
        <x:v>ZZB-0001</x:v>
      </x:c>
      <x:c r="C269" s="12" t="str">
        <x:v>2.0</x:v>
      </x:c>
      <x:c r="D269" s="13" t="n">
        <x:v>7</x:v>
      </x:c>
      <x:c r="E269" s="12" t="str">
        <x:v>2026-09-08 08:40:17</x:v>
      </x:c>
      <x:c r="F269" s="12" t="str">
        <x:v>2026-09-08 08:40:40</x:v>
      </x:c>
      <x:c r="G269" s="12" t="str">
        <x:v>08:00</x:v>
      </x:c>
      <x:c r="H269" s="12" t="str">
        <x:v>06–09</x:v>
      </x:c>
      <x:c r="I269" s="12" t="str">
        <x:v>500119087</x:v>
      </x:c>
      <x:c r="J269" s="12" t="str">
        <x:v>臺大總圖書館西南側</x:v>
      </x:c>
      <x:c r="K269" s="12" t="str">
        <x:v>500119061</x:v>
      </x:c>
      <x:c r="L269" s="12" t="str">
        <x:v>臺大鹿鳴堂東側</x:v>
      </x:c>
      <x:c r="M269" s="12" t="str">
        <x:v>實線</x:v>
      </x:c>
      <x:c r="N269" s="12" t="str">
        <x:v>臺大公館校區</x:v>
      </x:c>
      <x:c r="O269" s="12" t="str">
        <x:v>臺大公館校區</x:v>
      </x:c>
      <x:c r="P269" s="12" t="str">
        <x:v>兩端均500119*</x:v>
      </x:c>
    </x:row>
    <x:row r="270">
      <x:c r="A270" s="12" t="str">
        <x:v>2026-09-08</x:v>
      </x:c>
      <x:c r="B270" s="12" t="str">
        <x:v>ZZB-0001</x:v>
      </x:c>
      <x:c r="C270" s="12" t="str">
        <x:v>2.0</x:v>
      </x:c>
      <x:c r="D270" s="13" t="n">
        <x:v>7</x:v>
      </x:c>
      <x:c r="E270" s="12" t="str">
        <x:v>2026-09-08 09:05:48</x:v>
      </x:c>
      <x:c r="F270" s="12" t="str">
        <x:v>2026-09-08 09:06:06</x:v>
      </x:c>
      <x:c r="G270" s="12" t="str">
        <x:v>09:00</x:v>
      </x:c>
      <x:c r="H270" s="12" t="str">
        <x:v>06–09</x:v>
      </x:c>
      <x:c r="I270" s="12" t="str">
        <x:v>500119086</x:v>
      </x:c>
      <x:c r="J270" s="12" t="str">
        <x:v>臺大圖資系館北側</x:v>
      </x:c>
      <x:c r="K270" s="12" t="str">
        <x:v>500119059</x:v>
      </x:c>
      <x:c r="L270" s="12" t="str">
        <x:v>臺大共同教室北側</x:v>
      </x:c>
      <x:c r="M270" s="12" t="str">
        <x:v>實線</x:v>
      </x:c>
      <x:c r="N270" s="12" t="str">
        <x:v>臺大公館校區</x:v>
      </x:c>
      <x:c r="O270" s="12" t="str">
        <x:v>臺大公館校區</x:v>
      </x:c>
      <x:c r="P270" s="12" t="str">
        <x:v>兩端均500119*</x:v>
      </x:c>
    </x:row>
    <x:row r="271">
      <x:c r="A271" s="12" t="str">
        <x:v>2026-09-08</x:v>
      </x:c>
      <x:c r="B271" s="12" t="str">
        <x:v>ZZB-0001</x:v>
      </x:c>
      <x:c r="C271" s="12" t="str">
        <x:v>2.0</x:v>
      </x:c>
      <x:c r="D271" s="13" t="n">
        <x:v>7</x:v>
      </x:c>
      <x:c r="E271" s="12" t="str">
        <x:v>2026-09-08 09:29:20</x:v>
      </x:c>
      <x:c r="F271" s="12" t="str">
        <x:v>2026-09-08 09:29:38</x:v>
      </x:c>
      <x:c r="G271" s="12" t="str">
        <x:v>09:00</x:v>
      </x:c>
      <x:c r="H271" s="12" t="str">
        <x:v>06–09</x:v>
      </x:c>
      <x:c r="I271" s="12" t="str">
        <x:v>500119086</x:v>
      </x:c>
      <x:c r="J271" s="12" t="str">
        <x:v>臺大圖資系館北側</x:v>
      </x:c>
      <x:c r="K271" s="12" t="str">
        <x:v>500119061</x:v>
      </x:c>
      <x:c r="L271" s="12" t="str">
        <x:v>臺大鹿鳴堂東側</x:v>
      </x:c>
      <x:c r="M271" s="12" t="str">
        <x:v>實線</x:v>
      </x:c>
      <x:c r="N271" s="12" t="str">
        <x:v>臺大公館校區</x:v>
      </x:c>
      <x:c r="O271" s="12" t="str">
        <x:v>臺大公館校區</x:v>
      </x:c>
      <x:c r="P271" s="12" t="str">
        <x:v>兩端均500119*</x:v>
      </x:c>
    </x:row>
    <x:row r="272">
      <x:c r="A272" s="12" t="str">
        <x:v>2026-09-08</x:v>
      </x:c>
      <x:c r="B272" s="12" t="str">
        <x:v>ZZB-0001</x:v>
      </x:c>
      <x:c r="C272" s="12" t="str">
        <x:v>2.0</x:v>
      </x:c>
      <x:c r="D272" s="13" t="n">
        <x:v>6</x:v>
      </x:c>
      <x:c r="E272" s="12" t="str">
        <x:v>2026-09-08 09:47:04</x:v>
      </x:c>
      <x:c r="F272" s="12" t="str">
        <x:v>2026-09-08 09:47:21</x:v>
      </x:c>
      <x:c r="G272" s="12" t="str">
        <x:v>09:00</x:v>
      </x:c>
      <x:c r="H272" s="12" t="str">
        <x:v>06–09</x:v>
      </x:c>
      <x:c r="I272" s="12" t="str">
        <x:v>500119086</x:v>
      </x:c>
      <x:c r="J272" s="12" t="str">
        <x:v>臺大圖資系館北側</x:v>
      </x:c>
      <x:c r="K272" s="12" t="str">
        <x:v>500119059</x:v>
      </x:c>
      <x:c r="L272" s="12" t="str">
        <x:v>臺大共同教室北側</x:v>
      </x:c>
      <x:c r="M272" s="12" t="str">
        <x:v>實線</x:v>
      </x:c>
      <x:c r="N272" s="12" t="str">
        <x:v>臺大公館校區</x:v>
      </x:c>
      <x:c r="O272" s="12" t="str">
        <x:v>臺大公館校區</x:v>
      </x:c>
      <x:c r="P272" s="12" t="str">
        <x:v>兩端均500119*</x:v>
      </x:c>
    </x:row>
    <x:row r="273">
      <x:c r="A273" s="12" t="str">
        <x:v>2026-09-08</x:v>
      </x:c>
      <x:c r="B273" s="12" t="str">
        <x:v>ZZB-0001</x:v>
      </x:c>
      <x:c r="C273" s="12" t="str">
        <x:v>2.0</x:v>
      </x:c>
      <x:c r="D273" s="13" t="n">
        <x:v>6</x:v>
      </x:c>
      <x:c r="E273" s="12" t="str">
        <x:v>2026-09-08 10:10:04</x:v>
      </x:c>
      <x:c r="F273" s="12" t="str">
        <x:v>2026-09-08 10:10:22</x:v>
      </x:c>
      <x:c r="G273" s="12" t="str">
        <x:v>10:00</x:v>
      </x:c>
      <x:c r="H273" s="12" t="str">
        <x:v>10–13</x:v>
      </x:c>
      <x:c r="I273" s="12" t="str">
        <x:v>500119083</x:v>
      </x:c>
      <x:c r="J273" s="12" t="str">
        <x:v>臺大新生教室南側</x:v>
      </x:c>
      <x:c r="K273" s="12" t="str">
        <x:v>500119070</x:v>
      </x:c>
      <x:c r="L273" s="12" t="str">
        <x:v>臺大椰林小舖</x:v>
      </x:c>
      <x:c r="M273" s="12" t="str">
        <x:v>實線</x:v>
      </x:c>
      <x:c r="N273" s="12" t="str">
        <x:v>臺大公館校區</x:v>
      </x:c>
      <x:c r="O273" s="12" t="str">
        <x:v>臺大公館校區</x:v>
      </x:c>
      <x:c r="P273" s="12" t="str">
        <x:v>兩端均500119*</x:v>
      </x:c>
    </x:row>
    <x:row r="274">
      <x:c r="A274" s="12" t="str">
        <x:v>2026-09-08</x:v>
      </x:c>
      <x:c r="B274" s="12" t="str">
        <x:v>ZZB-0001</x:v>
      </x:c>
      <x:c r="C274" s="12" t="str">
        <x:v>2.0</x:v>
      </x:c>
      <x:c r="D274" s="13" t="n">
        <x:v>5</x:v>
      </x:c>
      <x:c r="E274" s="12" t="str">
        <x:v>2026-09-08 10:34:08</x:v>
      </x:c>
      <x:c r="F274" s="12" t="str">
        <x:v>2026-09-08 10:34:29</x:v>
      </x:c>
      <x:c r="G274" s="12" t="str">
        <x:v>10:00</x:v>
      </x:c>
      <x:c r="H274" s="12" t="str">
        <x:v>10–13</x:v>
      </x:c>
      <x:c r="I274" s="12" t="str">
        <x:v>500119098</x:v>
      </x:c>
      <x:c r="J274" s="12" t="str">
        <x:v>臺大數學研究中心(東側)</x:v>
      </x:c>
      <x:c r="K274" s="12" t="str">
        <x:v>500119060</x:v>
      </x:c>
      <x:c r="L274" s="12" t="str">
        <x:v>臺大共同教室東南側</x:v>
      </x:c>
      <x:c r="M274" s="12" t="str">
        <x:v>實線</x:v>
      </x:c>
      <x:c r="N274" s="12" t="str">
        <x:v>臺大公館校區</x:v>
      </x:c>
      <x:c r="O274" s="12" t="str">
        <x:v>臺大公館校區</x:v>
      </x:c>
      <x:c r="P274" s="12" t="str">
        <x:v>兩端均500119*</x:v>
      </x:c>
    </x:row>
    <x:row r="275">
      <x:c r="A275" s="12" t="str">
        <x:v>2026-09-08</x:v>
      </x:c>
      <x:c r="B275" s="12" t="str">
        <x:v>ZZB-0001</x:v>
      </x:c>
      <x:c r="C275" s="12" t="str">
        <x:v>2.0</x:v>
      </x:c>
      <x:c r="D275" s="13" t="n">
        <x:v>5</x:v>
      </x:c>
      <x:c r="E275" s="12" t="str">
        <x:v>2026-09-08 10:55:03</x:v>
      </x:c>
      <x:c r="F275" s="12" t="str">
        <x:v>2026-09-08 10:55:18</x:v>
      </x:c>
      <x:c r="G275" s="12" t="str">
        <x:v>10:00</x:v>
      </x:c>
      <x:c r="H275" s="12" t="str">
        <x:v>10–13</x:v>
      </x:c>
      <x:c r="I275" s="12" t="str">
        <x:v>500119087</x:v>
      </x:c>
      <x:c r="J275" s="12" t="str">
        <x:v>臺大總圖書館西南側</x:v>
      </x:c>
      <x:c r="K275" s="12" t="str">
        <x:v>500119094</x:v>
      </x:c>
      <x:c r="L275" s="12" t="str">
        <x:v>臺大大一女餐廳廣場</x:v>
      </x:c>
      <x:c r="M275" s="12" t="str">
        <x:v>實線</x:v>
      </x:c>
      <x:c r="N275" s="12" t="str">
        <x:v>臺大公館校區</x:v>
      </x:c>
      <x:c r="O275" s="12" t="str">
        <x:v>臺大公館校區</x:v>
      </x:c>
      <x:c r="P275" s="12" t="str">
        <x:v>兩端均500119*</x:v>
      </x:c>
    </x:row>
    <x:row r="276">
      <x:c r="A276" s="12" t="str">
        <x:v>2026-09-08</x:v>
      </x:c>
      <x:c r="B276" s="12" t="str">
        <x:v>ZZB-0001</x:v>
      </x:c>
      <x:c r="C276" s="12" t="str">
        <x:v>2.0</x:v>
      </x:c>
      <x:c r="D276" s="13" t="n">
        <x:v>5</x:v>
      </x:c>
      <x:c r="E276" s="12" t="str">
        <x:v>2026-09-08 11:22:17</x:v>
      </x:c>
      <x:c r="F276" s="12" t="str">
        <x:v>2026-09-08 11:22:30</x:v>
      </x:c>
      <x:c r="G276" s="12" t="str">
        <x:v>11:00</x:v>
      </x:c>
      <x:c r="H276" s="12" t="str">
        <x:v>10–13</x:v>
      </x:c>
      <x:c r="I276" s="12" t="str">
        <x:v>500119087</x:v>
      </x:c>
      <x:c r="J276" s="12" t="str">
        <x:v>臺大總圖書館西南側</x:v>
      </x:c>
      <x:c r="K276" s="12" t="str">
        <x:v>500119091</x:v>
      </x:c>
      <x:c r="L276" s="12" t="str">
        <x:v>臺大明達館北側(員工宿舍)</x:v>
      </x:c>
      <x:c r="M276" s="12" t="str">
        <x:v>實線</x:v>
      </x:c>
      <x:c r="N276" s="12" t="str">
        <x:v>臺大公館校區</x:v>
      </x:c>
      <x:c r="O276" s="12" t="str">
        <x:v>臺大公館校區</x:v>
      </x:c>
      <x:c r="P276" s="12" t="str">
        <x:v>兩端均500119*</x:v>
      </x:c>
    </x:row>
    <x:row r="277">
      <x:c r="A277" s="12" t="str">
        <x:v>2026-09-08</x:v>
      </x:c>
      <x:c r="B277" s="12" t="str">
        <x:v>ZZB-0001</x:v>
      </x:c>
      <x:c r="C277" s="12" t="str">
        <x:v>2.0</x:v>
      </x:c>
      <x:c r="D277" s="13" t="n">
        <x:v>6</x:v>
      </x:c>
      <x:c r="E277" s="12" t="str">
        <x:v>2026-09-08 12:30:38</x:v>
      </x:c>
      <x:c r="F277" s="12" t="str">
        <x:v>2026-09-08 12:30:53</x:v>
      </x:c>
      <x:c r="G277" s="12" t="str">
        <x:v>12:00</x:v>
      </x:c>
      <x:c r="H277" s="12" t="str">
        <x:v>10–13</x:v>
      </x:c>
      <x:c r="I277" s="12" t="str">
        <x:v>500119071</x:v>
      </x:c>
      <x:c r="J277" s="12" t="str">
        <x:v>臺大計資中心南側</x:v>
      </x:c>
      <x:c r="K277" s="12" t="str">
        <x:v>500119083</x:v>
      </x:c>
      <x:c r="L277" s="12" t="str">
        <x:v>臺大新生教室南側</x:v>
      </x:c>
      <x:c r="M277" s="12" t="str">
        <x:v>實線</x:v>
      </x:c>
      <x:c r="N277" s="12" t="str">
        <x:v>臺大公館校區</x:v>
      </x:c>
      <x:c r="O277" s="12" t="str">
        <x:v>臺大公館校區</x:v>
      </x:c>
      <x:c r="P277" s="12" t="str">
        <x:v>兩端均500119*</x:v>
      </x:c>
    </x:row>
    <x:row r="278">
      <x:c r="A278" s="12" t="str">
        <x:v>2026-09-08</x:v>
      </x:c>
      <x:c r="B278" s="12" t="str">
        <x:v>ZZB-0001</x:v>
      </x:c>
      <x:c r="C278" s="12" t="str">
        <x:v>2.0</x:v>
      </x:c>
      <x:c r="D278" s="13" t="n">
        <x:v>5</x:v>
      </x:c>
      <x:c r="E278" s="12" t="str">
        <x:v>2026-09-08 13:17:30</x:v>
      </x:c>
      <x:c r="F278" s="12" t="str">
        <x:v>2026-09-08 13:17:44</x:v>
      </x:c>
      <x:c r="G278" s="12" t="str">
        <x:v>13:00</x:v>
      </x:c>
      <x:c r="H278" s="12" t="str">
        <x:v>10–13</x:v>
      </x:c>
      <x:c r="I278" s="12" t="str">
        <x:v>500119087</x:v>
      </x:c>
      <x:c r="J278" s="12" t="str">
        <x:v>臺大總圖書館西南側</x:v>
      </x:c>
      <x:c r="K278" s="12" t="str">
        <x:v>500119074</x:v>
      </x:c>
      <x:c r="L278" s="12" t="str">
        <x:v>臺大生命科學館西北側</x:v>
      </x:c>
      <x:c r="M278" s="12" t="str">
        <x:v>實線</x:v>
      </x:c>
      <x:c r="N278" s="12" t="str">
        <x:v>臺大公館校區</x:v>
      </x:c>
      <x:c r="O278" s="12" t="str">
        <x:v>臺大公館校區</x:v>
      </x:c>
      <x:c r="P278" s="12" t="str">
        <x:v>兩端均500119*</x:v>
      </x:c>
    </x:row>
    <x:row r="279">
      <x:c r="A279" s="12" t="str">
        <x:v>2026-09-08</x:v>
      </x:c>
      <x:c r="B279" s="12" t="str">
        <x:v>ZZB-0001</x:v>
      </x:c>
      <x:c r="C279" s="12" t="str">
        <x:v>2.0</x:v>
      </x:c>
      <x:c r="D279" s="13" t="n">
        <x:v>7</x:v>
      </x:c>
      <x:c r="E279" s="12" t="str">
        <x:v>2026-09-08 13:40:29</x:v>
      </x:c>
      <x:c r="F279" s="12" t="str">
        <x:v>2026-09-08 13:40:45</x:v>
      </x:c>
      <x:c r="G279" s="12" t="str">
        <x:v>13:00</x:v>
      </x:c>
      <x:c r="H279" s="12" t="str">
        <x:v>10–13</x:v>
      </x:c>
      <x:c r="I279" s="12" t="str">
        <x:v>500119086</x:v>
      </x:c>
      <x:c r="J279" s="12" t="str">
        <x:v>臺大圖資系館北側</x:v>
      </x:c>
      <x:c r="K279" s="12" t="str">
        <x:v>500119060</x:v>
      </x:c>
      <x:c r="L279" s="12" t="str">
        <x:v>臺大共同教室東南側</x:v>
      </x:c>
      <x:c r="M279" s="12" t="str">
        <x:v>實線</x:v>
      </x:c>
      <x:c r="N279" s="12" t="str">
        <x:v>臺大公館校區</x:v>
      </x:c>
      <x:c r="O279" s="12" t="str">
        <x:v>臺大公館校區</x:v>
      </x:c>
      <x:c r="P279" s="12" t="str">
        <x:v>兩端均500119*</x:v>
      </x:c>
    </x:row>
    <x:row r="280">
      <x:c r="A280" s="12" t="str">
        <x:v>2026-09-08</x:v>
      </x:c>
      <x:c r="B280" s="12" t="str">
        <x:v>ZZB-0001</x:v>
      </x:c>
      <x:c r="C280" s="12" t="str">
        <x:v>2.0</x:v>
      </x:c>
      <x:c r="D280" s="13" t="n">
        <x:v>2</x:v>
      </x:c>
      <x:c r="E280" s="12" t="str">
        <x:v>2026-09-08 14:07:07</x:v>
      </x:c>
      <x:c r="F280" s="12" t="str">
        <x:v>2026-09-08 14:07:38</x:v>
      </x:c>
      <x:c r="G280" s="12" t="str">
        <x:v>14:00</x:v>
      </x:c>
      <x:c r="H280" s="12" t="str">
        <x:v>14–17</x:v>
      </x:c>
      <x:c r="I280" s="12" t="str">
        <x:v>500119087</x:v>
      </x:c>
      <x:c r="J280" s="12" t="str">
        <x:v>臺大總圖書館西南側</x:v>
      </x:c>
      <x:c r="K280" s="12" t="str">
        <x:v>500119094</x:v>
      </x:c>
      <x:c r="L280" s="12" t="str">
        <x:v>臺大大一女餐廳廣場</x:v>
      </x:c>
      <x:c r="M280" s="12" t="str">
        <x:v>實線</x:v>
      </x:c>
      <x:c r="N280" s="12" t="str">
        <x:v>臺大公館校區</x:v>
      </x:c>
      <x:c r="O280" s="12" t="str">
        <x:v>臺大公館校區</x:v>
      </x:c>
      <x:c r="P280" s="12" t="str">
        <x:v>兩端均500119*</x:v>
      </x:c>
    </x:row>
    <x:row r="281">
      <x:c r="A281" s="12" t="str">
        <x:v>2026-09-08</x:v>
      </x:c>
      <x:c r="B281" s="12" t="str">
        <x:v>ZZB-0001</x:v>
      </x:c>
      <x:c r="C281" s="12" t="str">
        <x:v>2.0</x:v>
      </x:c>
      <x:c r="D281" s="13" t="n">
        <x:v>5</x:v>
      </x:c>
      <x:c r="E281" s="12" t="str">
        <x:v>2026-09-08 14:07:22</x:v>
      </x:c>
      <x:c r="F281" s="12" t="str">
        <x:v>2026-09-08 14:07:38</x:v>
      </x:c>
      <x:c r="G281" s="12" t="str">
        <x:v>14:00</x:v>
      </x:c>
      <x:c r="H281" s="12" t="str">
        <x:v>14–17</x:v>
      </x:c>
      <x:c r="I281" s="12" t="str">
        <x:v>500119086</x:v>
      </x:c>
      <x:c r="J281" s="12" t="str">
        <x:v>臺大圖資系館北側</x:v>
      </x:c>
      <x:c r="K281" s="12" t="str">
        <x:v>500119094</x:v>
      </x:c>
      <x:c r="L281" s="12" t="str">
        <x:v>臺大大一女餐廳廣場</x:v>
      </x:c>
      <x:c r="M281" s="12" t="str">
        <x:v>實線</x:v>
      </x:c>
      <x:c r="N281" s="12" t="str">
        <x:v>臺大公館校區</x:v>
      </x:c>
      <x:c r="O281" s="12" t="str">
        <x:v>臺大公館校區</x:v>
      </x:c>
      <x:c r="P281" s="12" t="str">
        <x:v>兩端均500119*</x:v>
      </x:c>
    </x:row>
    <x:row r="282">
      <x:c r="A282" s="12" t="str">
        <x:v>2026-09-08</x:v>
      </x:c>
      <x:c r="B282" s="12" t="str">
        <x:v>ZZB-0001</x:v>
      </x:c>
      <x:c r="C282" s="12" t="str">
        <x:v>2.0</x:v>
      </x:c>
      <x:c r="D282" s="13" t="n">
        <x:v>3</x:v>
      </x:c>
      <x:c r="E282" s="12" t="str">
        <x:v>2026-09-08 14:21:48</x:v>
      </x:c>
      <x:c r="F282" s="12" t="str">
        <x:v>2026-09-08 14:22:00</x:v>
      </x:c>
      <x:c r="G282" s="12" t="str">
        <x:v>14:00</x:v>
      </x:c>
      <x:c r="H282" s="12" t="str">
        <x:v>14–17</x:v>
      </x:c>
      <x:c r="I282" s="12" t="str">
        <x:v>500119087</x:v>
      </x:c>
      <x:c r="J282" s="12" t="str">
        <x:v>臺大總圖書館西南側</x:v>
      </x:c>
      <x:c r="K282" s="12" t="str">
        <x:v>500119091</x:v>
      </x:c>
      <x:c r="L282" s="12" t="str">
        <x:v>臺大明達館北側(員工宿舍)</x:v>
      </x:c>
      <x:c r="M282" s="12" t="str">
        <x:v>實線</x:v>
      </x:c>
      <x:c r="N282" s="12" t="str">
        <x:v>臺大公館校區</x:v>
      </x:c>
      <x:c r="O282" s="12" t="str">
        <x:v>臺大公館校區</x:v>
      </x:c>
      <x:c r="P282" s="12" t="str">
        <x:v>兩端均500119*</x:v>
      </x:c>
    </x:row>
    <x:row r="283">
      <x:c r="A283" s="12" t="str">
        <x:v>2026-09-08</x:v>
      </x:c>
      <x:c r="B283" s="12" t="str">
        <x:v>ZZB-0001</x:v>
      </x:c>
      <x:c r="C283" s="12" t="str">
        <x:v>2.0</x:v>
      </x:c>
      <x:c r="D283" s="13" t="n">
        <x:v>7</x:v>
      </x:c>
      <x:c r="E283" s="12" t="str">
        <x:v>2026-09-08 17:53:00</x:v>
      </x:c>
      <x:c r="F283" s="12" t="str">
        <x:v>2026-09-08 17:53:12</x:v>
      </x:c>
      <x:c r="G283" s="12" t="str">
        <x:v>17:00</x:v>
      </x:c>
      <x:c r="H283" s="12" t="str">
        <x:v>14–17</x:v>
      </x:c>
      <x:c r="I283" s="12" t="str">
        <x:v>500119048</x:v>
      </x:c>
      <x:c r="J283" s="12" t="str">
        <x:v>臺大大一女舍北側</x:v>
      </x:c>
      <x:c r="K283" s="12" t="str">
        <x:v>500119059</x:v>
      </x:c>
      <x:c r="L283" s="12" t="str">
        <x:v>臺大共同教室北側</x:v>
      </x:c>
      <x:c r="M283" s="12" t="str">
        <x:v>實線</x:v>
      </x:c>
      <x:c r="N283" s="12" t="str">
        <x:v>臺大公館校區</x:v>
      </x:c>
      <x:c r="O283" s="12" t="str">
        <x:v>臺大公館校區</x:v>
      </x:c>
      <x:c r="P283" s="12" t="str">
        <x:v>兩端均500119*</x:v>
      </x:c>
    </x:row>
    <x:row r="284">
      <x:c r="A284" s="12" t="str">
        <x:v>2026-09-08</x:v>
      </x:c>
      <x:c r="B284" s="12" t="str">
        <x:v>ZZB-0001</x:v>
      </x:c>
      <x:c r="C284" s="12" t="str">
        <x:v>2.0</x:v>
      </x:c>
      <x:c r="D284" s="13" t="n">
        <x:v>7</x:v>
      </x:c>
      <x:c r="E284" s="12" t="str">
        <x:v>2026-09-08 18:38:16</x:v>
      </x:c>
      <x:c r="F284" s="12" t="str">
        <x:v>2026-09-08 18:38:30</x:v>
      </x:c>
      <x:c r="G284" s="12" t="str">
        <x:v>18:00</x:v>
      </x:c>
      <x:c r="H284" s="12" t="str">
        <x:v>18–21</x:v>
      </x:c>
      <x:c r="I284" s="12" t="str">
        <x:v>500101276</x:v>
      </x:c>
      <x:c r="J284" s="12" t="str">
        <x:v>羅斯福新生南路口</x:v>
      </x:c>
      <x:c r="K284" s="12" t="str">
        <x:v>500119082</x:v>
      </x:c>
      <x:c r="L284" s="12" t="str">
        <x:v>臺大四號館東北側</x:v>
      </x:c>
      <x:c r="M284" s="12" t="str">
        <x:v>虛線</x:v>
      </x:c>
      <x:c r="N284" s="12" t="str">
        <x:v>大安區</x:v>
      </x:c>
      <x:c r="O284" s="12" t="str">
        <x:v>臺大公館校區</x:v>
      </x:c>
      <x:c r="P284" s="12" t="str">
        <x:v>任一端非500119*</x:v>
      </x:c>
    </x:row>
    <x:row r="285">
      <x:c r="A285" s="12" t="str">
        <x:v>2026-09-08</x:v>
      </x:c>
      <x:c r="B285" s="12" t="str">
        <x:v>ZZB-0001</x:v>
      </x:c>
      <x:c r="C285" s="12" t="str">
        <x:v>2.0</x:v>
      </x:c>
      <x:c r="D285" s="13" t="n">
        <x:v>7</x:v>
      </x:c>
      <x:c r="E285" s="12" t="str">
        <x:v>2026-09-08 18:58:22</x:v>
      </x:c>
      <x:c r="F285" s="12" t="str">
        <x:v>2026-09-08 18:58:41</x:v>
      </x:c>
      <x:c r="G285" s="12" t="str">
        <x:v>18:00</x:v>
      </x:c>
      <x:c r="H285" s="12" t="str">
        <x:v>18–21</x:v>
      </x:c>
      <x:c r="I285" s="12" t="str">
        <x:v>500101276</x:v>
      </x:c>
      <x:c r="J285" s="12" t="str">
        <x:v>羅斯福新生南路口</x:v>
      </x:c>
      <x:c r="K285" s="12" t="str">
        <x:v>500119082</x:v>
      </x:c>
      <x:c r="L285" s="12" t="str">
        <x:v>臺大四號館東北側</x:v>
      </x:c>
      <x:c r="M285" s="12" t="str">
        <x:v>虛線</x:v>
      </x:c>
      <x:c r="N285" s="12" t="str">
        <x:v>大安區</x:v>
      </x:c>
      <x:c r="O285" s="12" t="str">
        <x:v>臺大公館校區</x:v>
      </x:c>
      <x:c r="P285" s="12" t="str">
        <x:v>任一端非500119*</x:v>
      </x:c>
    </x:row>
    <x:row r="286">
      <x:c r="A286" s="12" t="str">
        <x:v>2026-09-08</x:v>
      </x:c>
      <x:c r="B286" s="12" t="str">
        <x:v>ZZB-0001</x:v>
      </x:c>
      <x:c r="C286" s="12" t="str">
        <x:v>2.0</x:v>
      </x:c>
      <x:c r="D286" s="13" t="n">
        <x:v>7</x:v>
      </x:c>
      <x:c r="E286" s="12" t="str">
        <x:v>2026-09-08 19:21:20</x:v>
      </x:c>
      <x:c r="F286" s="12" t="str">
        <x:v>2026-09-08 19:21:31</x:v>
      </x:c>
      <x:c r="G286" s="12" t="str">
        <x:v>19:00</x:v>
      </x:c>
      <x:c r="H286" s="12" t="str">
        <x:v>18–21</x:v>
      </x:c>
      <x:c r="I286" s="12" t="str">
        <x:v>500101276</x:v>
      </x:c>
      <x:c r="J286" s="12" t="str">
        <x:v>羅斯福新生南路口</x:v>
      </x:c>
      <x:c r="K286" s="12" t="str">
        <x:v>500119082</x:v>
      </x:c>
      <x:c r="L286" s="12" t="str">
        <x:v>臺大四號館東北側</x:v>
      </x:c>
      <x:c r="M286" s="12" t="str">
        <x:v>虛線</x:v>
      </x:c>
      <x:c r="N286" s="12" t="str">
        <x:v>大安區</x:v>
      </x:c>
      <x:c r="O286" s="12" t="str">
        <x:v>臺大公館校區</x:v>
      </x:c>
      <x:c r="P286" s="12" t="str">
        <x:v>任一端非500119*</x:v>
      </x:c>
    </x:row>
    <x:row r="287">
      <x:c r="A287" s="12" t="str">
        <x:v>2026-09-08</x:v>
      </x:c>
      <x:c r="B287" s="12" t="str">
        <x:v>ZZB-0001</x:v>
      </x:c>
      <x:c r="C287" s="12" t="str">
        <x:v>2.0</x:v>
      </x:c>
      <x:c r="D287" s="13" t="n">
        <x:v>7</x:v>
      </x:c>
      <x:c r="E287" s="12" t="str">
        <x:v>2026-09-08 21:57:47</x:v>
      </x:c>
      <x:c r="F287" s="12" t="str">
        <x:v>2026-09-08 21:58:02</x:v>
      </x:c>
      <x:c r="G287" s="12" t="str">
        <x:v>21:00</x:v>
      </x:c>
      <x:c r="H287" s="12" t="str">
        <x:v>18–21</x:v>
      </x:c>
      <x:c r="I287" s="12" t="str">
        <x:v>500101181</x:v>
      </x:c>
      <x:c r="J287" s="12" t="str">
        <x:v>捷運公館站(3號出口)</x:v>
      </x:c>
      <x:c r="K287" s="12" t="str">
        <x:v>500119086</x:v>
      </x:c>
      <x:c r="L287" s="12" t="str">
        <x:v>臺大圖資系館北側</x:v>
      </x:c>
      <x:c r="M287" s="12" t="str">
        <x:v>虛線</x:v>
      </x:c>
      <x:c r="N287" s="12" t="str">
        <x:v>大安區</x:v>
      </x:c>
      <x:c r="O287" s="12" t="str">
        <x:v>臺大公館校區</x:v>
      </x:c>
      <x:c r="P287" s="12" t="str">
        <x:v>任一端非500119*</x:v>
      </x:c>
    </x:row>
    <x:row r="288">
      <x:c r="A288" s="12" t="str">
        <x:v>2026-09-08</x:v>
      </x:c>
      <x:c r="B288" s="12" t="str">
        <x:v>ZZB-0001</x:v>
      </x:c>
      <x:c r="C288" s="12" t="str">
        <x:v>2.0</x:v>
      </x:c>
      <x:c r="D288" s="13" t="n">
        <x:v>3</x:v>
      </x:c>
      <x:c r="E288" s="12" t="str">
        <x:v>2026-09-08 22:10:23</x:v>
      </x:c>
      <x:c r="F288" s="12" t="str">
        <x:v>2026-09-08 22:13:34</x:v>
      </x:c>
      <x:c r="G288" s="12" t="str">
        <x:v>22:00</x:v>
      </x:c>
      <x:c r="H288" s="12" t="str">
        <x:v>22–23</x:v>
      </x:c>
      <x:c r="I288" s="12" t="str">
        <x:v>500101181</x:v>
      </x:c>
      <x:c r="J288" s="12" t="str">
        <x:v>捷運公館站(3號出口)</x:v>
      </x:c>
      <x:c r="K288" s="12" t="str">
        <x:v>500119056</x:v>
      </x:c>
      <x:c r="L288" s="12" t="str">
        <x:v>臺大農化新館西側</x:v>
      </x:c>
      <x:c r="M288" s="12" t="str">
        <x:v>虛線</x:v>
      </x:c>
      <x:c r="N288" s="12" t="str">
        <x:v>大安區</x:v>
      </x:c>
      <x:c r="O288" s="12" t="str">
        <x:v>臺大公館校區</x:v>
      </x:c>
      <x:c r="P288" s="12" t="str">
        <x:v>任一端非500119*</x:v>
      </x:c>
    </x:row>
    <x:row r="289">
      <x:c r="A289" s="12" t="str">
        <x:v>2026-09-08</x:v>
      </x:c>
      <x:c r="B289" s="12" t="str">
        <x:v>ZZB-0001</x:v>
      </x:c>
      <x:c r="C289" s="12" t="str">
        <x:v>2.0</x:v>
      </x:c>
      <x:c r="D289" s="13" t="n">
        <x:v>4</x:v>
      </x:c>
      <x:c r="E289" s="12" t="str">
        <x:v>2026-09-08 22:10:23</x:v>
      </x:c>
      <x:c r="F289" s="12" t="str">
        <x:v>2026-09-08 22:17:13</x:v>
      </x:c>
      <x:c r="G289" s="12" t="str">
        <x:v>22:00</x:v>
      </x:c>
      <x:c r="H289" s="12" t="str">
        <x:v>22–23</x:v>
      </x:c>
      <x:c r="I289" s="12" t="str">
        <x:v>500101181</x:v>
      </x:c>
      <x:c r="J289" s="12" t="str">
        <x:v>捷運公館站(3號出口)</x:v>
      </x:c>
      <x:c r="K289" s="12" t="str">
        <x:v>500119061</x:v>
      </x:c>
      <x:c r="L289" s="12" t="str">
        <x:v>臺大鹿鳴堂東側</x:v>
      </x:c>
      <x:c r="M289" s="12" t="str">
        <x:v>虛線</x:v>
      </x:c>
      <x:c r="N289" s="12" t="str">
        <x:v>大安區</x:v>
      </x:c>
      <x:c r="O289" s="12" t="str">
        <x:v>臺大公館校區</x:v>
      </x:c>
      <x:c r="P289" s="12" t="str">
        <x:v>任一端非500119*</x:v>
      </x:c>
    </x:row>
    <x:row r="290">
      <x:c r="A290" s="12" t="str">
        <x:v>2026-09-08</x:v>
      </x:c>
      <x:c r="B290" s="12" t="str">
        <x:v>ZZB-0001</x:v>
      </x:c>
      <x:c r="C290" s="12" t="str">
        <x:v>2.0</x:v>
      </x:c>
      <x:c r="D290" s="13" t="n">
        <x:v>7</x:v>
      </x:c>
      <x:c r="E290" s="12" t="str">
        <x:v>2026-09-08 22:30:36</x:v>
      </x:c>
      <x:c r="F290" s="12" t="str">
        <x:v>2026-09-08 22:31:32</x:v>
      </x:c>
      <x:c r="G290" s="12" t="str">
        <x:v>22:00</x:v>
      </x:c>
      <x:c r="H290" s="12" t="str">
        <x:v>22–23</x:v>
      </x:c>
      <x:c r="I290" s="12" t="str">
        <x:v>500101181</x:v>
      </x:c>
      <x:c r="J290" s="12" t="str">
        <x:v>捷運公館站(3號出口)</x:v>
      </x:c>
      <x:c r="K290" s="12" t="str">
        <x:v>500101181</x:v>
      </x:c>
      <x:c r="L290" s="12" t="str">
        <x:v>捷運公館站(3號出口)</x:v>
      </x:c>
      <x:c r="M290" s="12" t="str">
        <x:v>虛線</x:v>
      </x:c>
      <x:c r="N290" s="12" t="str">
        <x:v>大安區</x:v>
      </x:c>
      <x:c r="O290" s="12" t="str">
        <x:v>大安區</x:v>
      </x:c>
      <x:c r="P290" s="12" t="str">
        <x:v>任一端非500119*</x:v>
      </x:c>
    </x:row>
    <x:row r="291">
      <x:c r="A291" s="12" t="str">
        <x:v>2026-09-08</x:v>
      </x:c>
      <x:c r="B291" s="12" t="str">
        <x:v>ZZB-0001</x:v>
      </x:c>
      <x:c r="C291" s="12" t="str">
        <x:v>2.0</x:v>
      </x:c>
      <x:c r="D291" s="13" t="n">
        <x:v>13</x:v>
      </x:c>
      <x:c r="E291" s="12" t="str">
        <x:v>2026-09-08 22:31:17</x:v>
      </x:c>
      <x:c r="F291" s="12" t="str">
        <x:v>2026-09-08 22:31:32</x:v>
      </x:c>
      <x:c r="G291" s="12" t="str">
        <x:v>22:00</x:v>
      </x:c>
      <x:c r="H291" s="12" t="str">
        <x:v>22–23</x:v>
      </x:c>
      <x:c r="I291" s="12" t="str">
        <x:v>500101181</x:v>
      </x:c>
      <x:c r="J291" s="12" t="str">
        <x:v>捷運公館站(3號出口)</x:v>
      </x:c>
      <x:c r="K291" s="12" t="str">
        <x:v>500101181</x:v>
      </x:c>
      <x:c r="L291" s="12" t="str">
        <x:v>捷運公館站(3號出口)</x:v>
      </x:c>
      <x:c r="M291" s="12" t="str">
        <x:v>虛線</x:v>
      </x:c>
      <x:c r="N291" s="12" t="str">
        <x:v>大安區</x:v>
      </x:c>
      <x:c r="O291" s="12" t="str">
        <x:v>大安區</x:v>
      </x:c>
      <x:c r="P291" s="12" t="str">
        <x:v>任一端非500119*</x:v>
      </x:c>
    </x:row>
    <x:row r="292">
      <x:c r="A292" s="12" t="str">
        <x:v>2026-09-08</x:v>
      </x:c>
      <x:c r="B292" s="12" t="str">
        <x:v>ZZB-0001</x:v>
      </x:c>
      <x:c r="C292" s="12" t="str">
        <x:v>2.0</x:v>
      </x:c>
      <x:c r="D292" s="13" t="n">
        <x:v>7</x:v>
      </x:c>
      <x:c r="E292" s="12" t="str">
        <x:v>2026-09-08 22:31:17</x:v>
      </x:c>
      <x:c r="F292" s="12" t="str">
        <x:v>2026-09-08 22:45:26</x:v>
      </x:c>
      <x:c r="G292" s="12" t="str">
        <x:v>22:00</x:v>
      </x:c>
      <x:c r="H292" s="12" t="str">
        <x:v>22–23</x:v>
      </x:c>
      <x:c r="I292" s="12" t="str">
        <x:v>500101181</x:v>
      </x:c>
      <x:c r="J292" s="12" t="str">
        <x:v>捷運公館站(3號出口)</x:v>
      </x:c>
      <x:c r="K292" s="12" t="str">
        <x:v>500101181</x:v>
      </x:c>
      <x:c r="L292" s="12" t="str">
        <x:v>捷運公館站(3號出口)</x:v>
      </x:c>
      <x:c r="M292" s="12" t="str">
        <x:v>虛線</x:v>
      </x:c>
      <x:c r="N292" s="12" t="str">
        <x:v>大安區</x:v>
      </x:c>
      <x:c r="O292" s="12" t="str">
        <x:v>大安區</x:v>
      </x:c>
      <x:c r="P292" s="12" t="str">
        <x:v>任一端非500119*</x:v>
      </x:c>
    </x:row>
    <x:row r="293">
      <x:c r="A293" s="12" t="str">
        <x:v>2026-09-08</x:v>
      </x:c>
      <x:c r="B293" s="12" t="str">
        <x:v>ZZB-0001</x:v>
      </x:c>
      <x:c r="C293" s="12" t="str">
        <x:v>2.0</x:v>
      </x:c>
      <x:c r="D293" s="13" t="n">
        <x:v>21</x:v>
      </x:c>
      <x:c r="E293" s="12" t="str">
        <x:v>2026-09-08 22:49:23</x:v>
      </x:c>
      <x:c r="F293" s="12" t="str">
        <x:v>2026-09-08 22:49:37</x:v>
      </x:c>
      <x:c r="G293" s="12" t="str">
        <x:v>22:00</x:v>
      </x:c>
      <x:c r="H293" s="12" t="str">
        <x:v>22–23</x:v>
      </x:c>
      <x:c r="I293" s="12" t="str">
        <x:v>500101181</x:v>
      </x:c>
      <x:c r="J293" s="12" t="str">
        <x:v>捷運公館站(3號出口)</x:v>
      </x:c>
      <x:c r="K293" s="12" t="str">
        <x:v>500101181</x:v>
      </x:c>
      <x:c r="L293" s="12" t="str">
        <x:v>捷運公館站(3號出口)</x:v>
      </x:c>
      <x:c r="M293" s="12" t="str">
        <x:v>虛線</x:v>
      </x:c>
      <x:c r="N293" s="12" t="str">
        <x:v>大安區</x:v>
      </x:c>
      <x:c r="O293" s="12" t="str">
        <x:v>大安區</x:v>
      </x:c>
      <x:c r="P293" s="12" t="str">
        <x:v>任一端非500119*</x:v>
      </x:c>
    </x:row>
    <x:row r="294">
      <x:c r="A294" s="12" t="str">
        <x:v>2026-09-08</x:v>
      </x:c>
      <x:c r="B294" s="12" t="str">
        <x:v>ZZB-0001</x:v>
      </x:c>
      <x:c r="C294" s="12" t="str">
        <x:v>2.0E</x:v>
      </x:c>
      <x:c r="D294" s="13" t="n">
        <x:v>1</x:v>
      </x:c>
      <x:c r="E294" s="12" t="str">
        <x:v>2026-09-08 08:22:14</x:v>
      </x:c>
      <x:c r="F294" s="12" t="str">
        <x:v>2026-09-08 08:22:32</x:v>
      </x:c>
      <x:c r="G294" s="12" t="str">
        <x:v>08:00</x:v>
      </x:c>
      <x:c r="H294" s="12" t="str">
        <x:v>06–09</x:v>
      </x:c>
      <x:c r="I294" s="12" t="str">
        <x:v>500119086</x:v>
      </x:c>
      <x:c r="J294" s="12" t="str">
        <x:v>臺大圖資系館北側</x:v>
      </x:c>
      <x:c r="K294" s="12" t="str">
        <x:v>500119074</x:v>
      </x:c>
      <x:c r="L294" s="12" t="str">
        <x:v>臺大生命科學館西北側</x:v>
      </x:c>
      <x:c r="M294" s="12" t="str">
        <x:v>實線</x:v>
      </x:c>
      <x:c r="N294" s="12" t="str">
        <x:v>臺大公館校區</x:v>
      </x:c>
      <x:c r="O294" s="12" t="str">
        <x:v>臺大公館校區</x:v>
      </x:c>
      <x:c r="P294" s="12" t="str">
        <x:v>兩端均500119*</x:v>
      </x:c>
    </x:row>
    <x:row r="295">
      <x:c r="A295" s="12" t="str">
        <x:v>2026-09-08</x:v>
      </x:c>
      <x:c r="B295" s="12" t="str">
        <x:v>ZZB-0001</x:v>
      </x:c>
      <x:c r="C295" s="12" t="str">
        <x:v>2.0E</x:v>
      </x:c>
      <x:c r="D295" s="13" t="n">
        <x:v>1</x:v>
      </x:c>
      <x:c r="E295" s="12" t="str">
        <x:v>2026-09-08 09:47:04</x:v>
      </x:c>
      <x:c r="F295" s="12" t="str">
        <x:v>2026-09-08 09:47:21</x:v>
      </x:c>
      <x:c r="G295" s="12" t="str">
        <x:v>09:00</x:v>
      </x:c>
      <x:c r="H295" s="12" t="str">
        <x:v>06–09</x:v>
      </x:c>
      <x:c r="I295" s="12" t="str">
        <x:v>500119086</x:v>
      </x:c>
      <x:c r="J295" s="12" t="str">
        <x:v>臺大圖資系館北側</x:v>
      </x:c>
      <x:c r="K295" s="12" t="str">
        <x:v>500119059</x:v>
      </x:c>
      <x:c r="L295" s="12" t="str">
        <x:v>臺大共同教室北側</x:v>
      </x:c>
      <x:c r="M295" s="12" t="str">
        <x:v>實線</x:v>
      </x:c>
      <x:c r="N295" s="12" t="str">
        <x:v>臺大公館校區</x:v>
      </x:c>
      <x:c r="O295" s="12" t="str">
        <x:v>臺大公館校區</x:v>
      </x:c>
      <x:c r="P295" s="12" t="str">
        <x:v>兩端均500119*</x:v>
      </x:c>
    </x:row>
    <x:row r="296">
      <x:c r="A296" s="12" t="str">
        <x:v>2026-09-08</x:v>
      </x:c>
      <x:c r="B296" s="12" t="str">
        <x:v>ZZB-0001</x:v>
      </x:c>
      <x:c r="C296" s="12" t="str">
        <x:v>2.0E</x:v>
      </x:c>
      <x:c r="D296" s="13" t="n">
        <x:v>1</x:v>
      </x:c>
      <x:c r="E296" s="12" t="str">
        <x:v>2026-09-08 10:10:04</x:v>
      </x:c>
      <x:c r="F296" s="12" t="str">
        <x:v>2026-09-08 10:10:22</x:v>
      </x:c>
      <x:c r="G296" s="12" t="str">
        <x:v>10:00</x:v>
      </x:c>
      <x:c r="H296" s="12" t="str">
        <x:v>10–13</x:v>
      </x:c>
      <x:c r="I296" s="12" t="str">
        <x:v>500119083</x:v>
      </x:c>
      <x:c r="J296" s="12" t="str">
        <x:v>臺大新生教室南側</x:v>
      </x:c>
      <x:c r="K296" s="12" t="str">
        <x:v>500119070</x:v>
      </x:c>
      <x:c r="L296" s="12" t="str">
        <x:v>臺大椰林小舖</x:v>
      </x:c>
      <x:c r="M296" s="12" t="str">
        <x:v>實線</x:v>
      </x:c>
      <x:c r="N296" s="12" t="str">
        <x:v>臺大公館校區</x:v>
      </x:c>
      <x:c r="O296" s="12" t="str">
        <x:v>臺大公館校區</x:v>
      </x:c>
      <x:c r="P296" s="12" t="str">
        <x:v>兩端均500119*</x:v>
      </x:c>
    </x:row>
    <x:row r="297">
      <x:c r="A297" s="12" t="str">
        <x:v>2026-09-08</x:v>
      </x:c>
      <x:c r="B297" s="12" t="str">
        <x:v>ZZB-0001</x:v>
      </x:c>
      <x:c r="C297" s="12" t="str">
        <x:v>2.0E</x:v>
      </x:c>
      <x:c r="D297" s="13" t="n">
        <x:v>2</x:v>
      </x:c>
      <x:c r="E297" s="12" t="str">
        <x:v>2026-09-08 10:34:08</x:v>
      </x:c>
      <x:c r="F297" s="12" t="str">
        <x:v>2026-09-08 10:34:29</x:v>
      </x:c>
      <x:c r="G297" s="12" t="str">
        <x:v>10:00</x:v>
      </x:c>
      <x:c r="H297" s="12" t="str">
        <x:v>10–13</x:v>
      </x:c>
      <x:c r="I297" s="12" t="str">
        <x:v>500119098</x:v>
      </x:c>
      <x:c r="J297" s="12" t="str">
        <x:v>臺大數學研究中心(東側)</x:v>
      </x:c>
      <x:c r="K297" s="12" t="str">
        <x:v>500119060</x:v>
      </x:c>
      <x:c r="L297" s="12" t="str">
        <x:v>臺大共同教室東南側</x:v>
      </x:c>
      <x:c r="M297" s="12" t="str">
        <x:v>實線</x:v>
      </x:c>
      <x:c r="N297" s="12" t="str">
        <x:v>臺大公館校區</x:v>
      </x:c>
      <x:c r="O297" s="12" t="str">
        <x:v>臺大公館校區</x:v>
      </x:c>
      <x:c r="P297" s="12" t="str">
        <x:v>兩端均500119*</x:v>
      </x:c>
    </x:row>
    <x:row r="298">
      <x:c r="A298" s="12" t="str">
        <x:v>2026-09-08</x:v>
      </x:c>
      <x:c r="B298" s="12" t="str">
        <x:v>ZZB-0001</x:v>
      </x:c>
      <x:c r="C298" s="12" t="str">
        <x:v>2.0E</x:v>
      </x:c>
      <x:c r="D298" s="13" t="n">
        <x:v>2</x:v>
      </x:c>
      <x:c r="E298" s="12" t="str">
        <x:v>2026-09-08 10:55:03</x:v>
      </x:c>
      <x:c r="F298" s="12" t="str">
        <x:v>2026-09-08 10:55:18</x:v>
      </x:c>
      <x:c r="G298" s="12" t="str">
        <x:v>10:00</x:v>
      </x:c>
      <x:c r="H298" s="12" t="str">
        <x:v>10–13</x:v>
      </x:c>
      <x:c r="I298" s="12" t="str">
        <x:v>500119087</x:v>
      </x:c>
      <x:c r="J298" s="12" t="str">
        <x:v>臺大總圖書館西南側</x:v>
      </x:c>
      <x:c r="K298" s="12" t="str">
        <x:v>500119094</x:v>
      </x:c>
      <x:c r="L298" s="12" t="str">
        <x:v>臺大大一女餐廳廣場</x:v>
      </x:c>
      <x:c r="M298" s="12" t="str">
        <x:v>實線</x:v>
      </x:c>
      <x:c r="N298" s="12" t="str">
        <x:v>臺大公館校區</x:v>
      </x:c>
      <x:c r="O298" s="12" t="str">
        <x:v>臺大公館校區</x:v>
      </x:c>
      <x:c r="P298" s="12" t="str">
        <x:v>兩端均500119*</x:v>
      </x:c>
    </x:row>
    <x:row r="299">
      <x:c r="A299" s="12" t="str">
        <x:v>2026-09-08</x:v>
      </x:c>
      <x:c r="B299" s="12" t="str">
        <x:v>ZZB-0001</x:v>
      </x:c>
      <x:c r="C299" s="12" t="str">
        <x:v>2.0E</x:v>
      </x:c>
      <x:c r="D299" s="13" t="n">
        <x:v>2</x:v>
      </x:c>
      <x:c r="E299" s="12" t="str">
        <x:v>2026-09-08 11:22:17</x:v>
      </x:c>
      <x:c r="F299" s="12" t="str">
        <x:v>2026-09-08 11:22:30</x:v>
      </x:c>
      <x:c r="G299" s="12" t="str">
        <x:v>11:00</x:v>
      </x:c>
      <x:c r="H299" s="12" t="str">
        <x:v>10–13</x:v>
      </x:c>
      <x:c r="I299" s="12" t="str">
        <x:v>500119087</x:v>
      </x:c>
      <x:c r="J299" s="12" t="str">
        <x:v>臺大總圖書館西南側</x:v>
      </x:c>
      <x:c r="K299" s="12" t="str">
        <x:v>500119091</x:v>
      </x:c>
      <x:c r="L299" s="12" t="str">
        <x:v>臺大明達館北側(員工宿舍)</x:v>
      </x:c>
      <x:c r="M299" s="12" t="str">
        <x:v>實線</x:v>
      </x:c>
      <x:c r="N299" s="12" t="str">
        <x:v>臺大公館校區</x:v>
      </x:c>
      <x:c r="O299" s="12" t="str">
        <x:v>臺大公館校區</x:v>
      </x:c>
      <x:c r="P299" s="12" t="str">
        <x:v>兩端均500119*</x:v>
      </x:c>
    </x:row>
    <x:row r="300">
      <x:c r="A300" s="12" t="str">
        <x:v>2026-09-08</x:v>
      </x:c>
      <x:c r="B300" s="12" t="str">
        <x:v>ZZB-0001</x:v>
      </x:c>
      <x:c r="C300" s="12" t="str">
        <x:v>2.0E</x:v>
      </x:c>
      <x:c r="D300" s="13" t="n">
        <x:v>1</x:v>
      </x:c>
      <x:c r="E300" s="12" t="str">
        <x:v>2026-09-08 12:30:38</x:v>
      </x:c>
      <x:c r="F300" s="12" t="str">
        <x:v>2026-09-08 12:30:53</x:v>
      </x:c>
      <x:c r="G300" s="12" t="str">
        <x:v>12:00</x:v>
      </x:c>
      <x:c r="H300" s="12" t="str">
        <x:v>10–13</x:v>
      </x:c>
      <x:c r="I300" s="12" t="str">
        <x:v>500119071</x:v>
      </x:c>
      <x:c r="J300" s="12" t="str">
        <x:v>臺大計資中心南側</x:v>
      </x:c>
      <x:c r="K300" s="12" t="str">
        <x:v>500119083</x:v>
      </x:c>
      <x:c r="L300" s="12" t="str">
        <x:v>臺大新生教室南側</x:v>
      </x:c>
      <x:c r="M300" s="12" t="str">
        <x:v>實線</x:v>
      </x:c>
      <x:c r="N300" s="12" t="str">
        <x:v>臺大公館校區</x:v>
      </x:c>
      <x:c r="O300" s="12" t="str">
        <x:v>臺大公館校區</x:v>
      </x:c>
      <x:c r="P300" s="12" t="str">
        <x:v>兩端均500119*</x:v>
      </x:c>
    </x:row>
    <x:row r="301">
      <x:c r="A301" s="12" t="str">
        <x:v>2026-09-08</x:v>
      </x:c>
      <x:c r="B301" s="12" t="str">
        <x:v>ZZB-0001</x:v>
      </x:c>
      <x:c r="C301" s="12" t="str">
        <x:v>2.0E</x:v>
      </x:c>
      <x:c r="D301" s="13" t="n">
        <x:v>7</x:v>
      </x:c>
      <x:c r="E301" s="12" t="str">
        <x:v>2026-09-08 12:55:53</x:v>
      </x:c>
      <x:c r="F301" s="12" t="str">
        <x:v>2026-09-08 12:56:14</x:v>
      </x:c>
      <x:c r="G301" s="12" t="str">
        <x:v>12:00</x:v>
      </x:c>
      <x:c r="H301" s="12" t="str">
        <x:v>10–13</x:v>
      </x:c>
      <x:c r="I301" s="12" t="str">
        <x:v>500119071</x:v>
      </x:c>
      <x:c r="J301" s="12" t="str">
        <x:v>臺大計資中心南側</x:v>
      </x:c>
      <x:c r="K301" s="12" t="str">
        <x:v>500119061</x:v>
      </x:c>
      <x:c r="L301" s="12" t="str">
        <x:v>臺大鹿鳴堂東側</x:v>
      </x:c>
      <x:c r="M301" s="12" t="str">
        <x:v>實線</x:v>
      </x:c>
      <x:c r="N301" s="12" t="str">
        <x:v>臺大公館校區</x:v>
      </x:c>
      <x:c r="O301" s="12" t="str">
        <x:v>臺大公館校區</x:v>
      </x:c>
      <x:c r="P301" s="12" t="str">
        <x:v>兩端均500119*</x:v>
      </x:c>
    </x:row>
    <x:row r="302">
      <x:c r="A302" s="12" t="str">
        <x:v>2026-09-08</x:v>
      </x:c>
      <x:c r="B302" s="12" t="str">
        <x:v>ZZB-0001</x:v>
      </x:c>
      <x:c r="C302" s="12" t="str">
        <x:v>2.0E</x:v>
      </x:c>
      <x:c r="D302" s="13" t="n">
        <x:v>2</x:v>
      </x:c>
      <x:c r="E302" s="12" t="str">
        <x:v>2026-09-08 13:17:30</x:v>
      </x:c>
      <x:c r="F302" s="12" t="str">
        <x:v>2026-09-08 13:17:44</x:v>
      </x:c>
      <x:c r="G302" s="12" t="str">
        <x:v>13:00</x:v>
      </x:c>
      <x:c r="H302" s="12" t="str">
        <x:v>10–13</x:v>
      </x:c>
      <x:c r="I302" s="12" t="str">
        <x:v>500119087</x:v>
      </x:c>
      <x:c r="J302" s="12" t="str">
        <x:v>臺大總圖書館西南側</x:v>
      </x:c>
      <x:c r="K302" s="12" t="str">
        <x:v>500119074</x:v>
      </x:c>
      <x:c r="L302" s="12" t="str">
        <x:v>臺大生命科學館西北側</x:v>
      </x:c>
      <x:c r="M302" s="12" t="str">
        <x:v>實線</x:v>
      </x:c>
      <x:c r="N302" s="12" t="str">
        <x:v>臺大公館校區</x:v>
      </x:c>
      <x:c r="O302" s="12" t="str">
        <x:v>臺大公館校區</x:v>
      </x:c>
      <x:c r="P302" s="12" t="str">
        <x:v>兩端均500119*</x:v>
      </x:c>
    </x:row>
    <x:row r="303">
      <x:c r="A303" s="12" t="str">
        <x:v>2026-09-08</x:v>
      </x:c>
      <x:c r="B303" s="12" t="str">
        <x:v>ZZB-0004</x:v>
      </x:c>
      <x:c r="C303" s="12" t="str">
        <x:v>2.0</x:v>
      </x:c>
      <x:c r="D303" s="13" t="n">
        <x:v>7</x:v>
      </x:c>
      <x:c r="E303" s="12" t="str">
        <x:v>2026-09-08 00:38:01</x:v>
      </x:c>
      <x:c r="F303" s="12" t="str">
        <x:v>2026-09-08 00:38:17</x:v>
      </x:c>
      <x:c r="G303" s="12" t="str">
        <x:v>00:00</x:v>
      </x:c>
      <x:c r="H303" s="12" t="str">
        <x:v>00–05</x:v>
      </x:c>
      <x:c r="I303" s="12" t="str">
        <x:v>500101181</x:v>
      </x:c>
      <x:c r="J303" s="12" t="str">
        <x:v>捷運公館站(3號出口)</x:v>
      </x:c>
      <x:c r="K303" s="12" t="str">
        <x:v>500101276</x:v>
      </x:c>
      <x:c r="L303" s="12" t="str">
        <x:v>羅斯福新生南路口</x:v>
      </x:c>
      <x:c r="M303" s="12" t="str">
        <x:v>虛線</x:v>
      </x:c>
      <x:c r="N303" s="12" t="str">
        <x:v>大安區</x:v>
      </x:c>
      <x:c r="O303" s="12" t="str">
        <x:v>大安區</x:v>
      </x:c>
      <x:c r="P303" s="12" t="str">
        <x:v>任一端非500119*</x:v>
      </x:c>
    </x:row>
    <x:row r="304">
      <x:c r="A304" s="12" t="str">
        <x:v>2026-09-08</x:v>
      </x:c>
      <x:c r="B304" s="12" t="str">
        <x:v>ZZB-0004</x:v>
      </x:c>
      <x:c r="C304" s="12" t="str">
        <x:v>2.0</x:v>
      </x:c>
      <x:c r="D304" s="13" t="n">
        <x:v>7</x:v>
      </x:c>
      <x:c r="E304" s="12" t="str">
        <x:v>2026-09-08 00:38:59</x:v>
      </x:c>
      <x:c r="F304" s="12" t="str">
        <x:v>2026-09-08 00:39:10</x:v>
      </x:c>
      <x:c r="G304" s="12" t="str">
        <x:v>00:00</x:v>
      </x:c>
      <x:c r="H304" s="12" t="str">
        <x:v>00–05</x:v>
      </x:c>
      <x:c r="I304" s="12" t="str">
        <x:v>500101181</x:v>
      </x:c>
      <x:c r="J304" s="12" t="str">
        <x:v>捷運公館站(3號出口)</x:v>
      </x:c>
      <x:c r="K304" s="12" t="str">
        <x:v>500101276</x:v>
      </x:c>
      <x:c r="L304" s="12" t="str">
        <x:v>羅斯福新生南路口</x:v>
      </x:c>
      <x:c r="M304" s="12" t="str">
        <x:v>虛線</x:v>
      </x:c>
      <x:c r="N304" s="12" t="str">
        <x:v>大安區</x:v>
      </x:c>
      <x:c r="O304" s="12" t="str">
        <x:v>大安區</x:v>
      </x:c>
      <x:c r="P304" s="12" t="str">
        <x:v>任一端非500119*</x:v>
      </x:c>
    </x:row>
    <x:row r="305">
      <x:c r="A305" s="12" t="str">
        <x:v>2026-09-08</x:v>
      </x:c>
      <x:c r="B305" s="12" t="str">
        <x:v>ZZB-0004</x:v>
      </x:c>
      <x:c r="C305" s="12" t="str">
        <x:v>2.0</x:v>
      </x:c>
      <x:c r="D305" s="13" t="n">
        <x:v>7</x:v>
      </x:c>
      <x:c r="E305" s="12" t="str">
        <x:v>2026-09-08 08:00:26</x:v>
      </x:c>
      <x:c r="F305" s="12" t="str">
        <x:v>2026-09-08 08:09:23</x:v>
      </x:c>
      <x:c r="G305" s="12" t="str">
        <x:v>08:00</x:v>
      </x:c>
      <x:c r="H305" s="12" t="str">
        <x:v>06–09</x:v>
      </x:c>
      <x:c r="I305" s="12" t="str">
        <x:v>500119052</x:v>
      </x:c>
      <x:c r="J305" s="12" t="str">
        <x:v>臺大工綜館南側</x:v>
      </x:c>
      <x:c r="K305" s="12" t="str">
        <x:v>500119097</x:v>
      </x:c>
      <x:c r="L305" s="12" t="str">
        <x:v>臺大人文館</x:v>
      </x:c>
      <x:c r="M305" s="12" t="str">
        <x:v>實線</x:v>
      </x:c>
      <x:c r="N305" s="12" t="str">
        <x:v>臺大公館校區</x:v>
      </x:c>
      <x:c r="O305" s="12" t="str">
        <x:v>臺大公館校區</x:v>
      </x:c>
      <x:c r="P305" s="12" t="str">
        <x:v>兩端均500119*</x:v>
      </x:c>
    </x:row>
    <x:row r="306">
      <x:c r="A306" s="12" t="str">
        <x:v>2026-09-08</x:v>
      </x:c>
      <x:c r="B306" s="12" t="str">
        <x:v>ZZB-0004</x:v>
      </x:c>
      <x:c r="C306" s="12" t="str">
        <x:v>2.0</x:v>
      </x:c>
      <x:c r="D306" s="13" t="n">
        <x:v>7</x:v>
      </x:c>
      <x:c r="E306" s="12" t="str">
        <x:v>2026-09-08 08:18:35</x:v>
      </x:c>
      <x:c r="F306" s="12" t="str">
        <x:v>2026-09-08 08:24:31</x:v>
      </x:c>
      <x:c r="G306" s="12" t="str">
        <x:v>08:00</x:v>
      </x:c>
      <x:c r="H306" s="12" t="str">
        <x:v>06–09</x:v>
      </x:c>
      <x:c r="I306" s="12" t="str">
        <x:v>500119050</x:v>
      </x:c>
      <x:c r="J306" s="12" t="str">
        <x:v>臺大小福樓東側</x:v>
      </x:c>
      <x:c r="K306" s="12" t="str">
        <x:v>500119045</x:v>
      </x:c>
      <x:c r="L306" s="12" t="str">
        <x:v>臺大農業陳列館北側</x:v>
      </x:c>
      <x:c r="M306" s="12" t="str">
        <x:v>實線</x:v>
      </x:c>
      <x:c r="N306" s="12" t="str">
        <x:v>臺大公館校區</x:v>
      </x:c>
      <x:c r="O306" s="12" t="str">
        <x:v>臺大公館校區</x:v>
      </x:c>
      <x:c r="P306" s="12" t="str">
        <x:v>兩端均500119*</x:v>
      </x:c>
    </x:row>
    <x:row r="307">
      <x:c r="A307" s="12" t="str">
        <x:v>2026-09-08</x:v>
      </x:c>
      <x:c r="B307" s="12" t="str">
        <x:v>ZZB-0004</x:v>
      </x:c>
      <x:c r="C307" s="12" t="str">
        <x:v>2.0</x:v>
      </x:c>
      <x:c r="D307" s="13" t="n">
        <x:v>5</x:v>
      </x:c>
      <x:c r="E307" s="12" t="str">
        <x:v>2026-09-08 08:32:50</x:v>
      </x:c>
      <x:c r="F307" s="12" t="str">
        <x:v>2026-09-08 08:39:22</x:v>
      </x:c>
      <x:c r="G307" s="12" t="str">
        <x:v>08:00</x:v>
      </x:c>
      <x:c r="H307" s="12" t="str">
        <x:v>06–09</x:v>
      </x:c>
      <x:c r="I307" s="12" t="str">
        <x:v>500119050</x:v>
      </x:c>
      <x:c r="J307" s="12" t="str">
        <x:v>臺大小福樓東側</x:v>
      </x:c>
      <x:c r="K307" s="12" t="str">
        <x:v>500119097</x:v>
      </x:c>
      <x:c r="L307" s="12" t="str">
        <x:v>臺大人文館</x:v>
      </x:c>
      <x:c r="M307" s="12" t="str">
        <x:v>實線</x:v>
      </x:c>
      <x:c r="N307" s="12" t="str">
        <x:v>臺大公館校區</x:v>
      </x:c>
      <x:c r="O307" s="12" t="str">
        <x:v>臺大公館校區</x:v>
      </x:c>
      <x:c r="P307" s="12" t="str">
        <x:v>兩端均500119*</x:v>
      </x:c>
    </x:row>
    <x:row r="308">
      <x:c r="A308" s="12" t="str">
        <x:v>2026-09-08</x:v>
      </x:c>
      <x:c r="B308" s="12" t="str">
        <x:v>ZZB-0004</x:v>
      </x:c>
      <x:c r="C308" s="12" t="str">
        <x:v>2.0</x:v>
      </x:c>
      <x:c r="D308" s="13" t="n">
        <x:v>5</x:v>
      </x:c>
      <x:c r="E308" s="12" t="str">
        <x:v>2026-09-08 08:50:57</x:v>
      </x:c>
      <x:c r="F308" s="12" t="str">
        <x:v>2026-09-08 08:57:45</x:v>
      </x:c>
      <x:c r="G308" s="12" t="str">
        <x:v>08:00</x:v>
      </x:c>
      <x:c r="H308" s="12" t="str">
        <x:v>06–09</x:v>
      </x:c>
      <x:c r="I308" s="12" t="str">
        <x:v>500119050</x:v>
      </x:c>
      <x:c r="J308" s="12" t="str">
        <x:v>臺大小福樓東側</x:v>
      </x:c>
      <x:c r="K308" s="12" t="str">
        <x:v>500119045</x:v>
      </x:c>
      <x:c r="L308" s="12" t="str">
        <x:v>臺大農業陳列館北側</x:v>
      </x:c>
      <x:c r="M308" s="12" t="str">
        <x:v>實線</x:v>
      </x:c>
      <x:c r="N308" s="12" t="str">
        <x:v>臺大公館校區</x:v>
      </x:c>
      <x:c r="O308" s="12" t="str">
        <x:v>臺大公館校區</x:v>
      </x:c>
      <x:c r="P308" s="12" t="str">
        <x:v>兩端均500119*</x:v>
      </x:c>
    </x:row>
    <x:row r="309">
      <x:c r="A309" s="12" t="str">
        <x:v>2026-09-08</x:v>
      </x:c>
      <x:c r="B309" s="12" t="str">
        <x:v>ZZB-0004</x:v>
      </x:c>
      <x:c r="C309" s="12" t="str">
        <x:v>2.0</x:v>
      </x:c>
      <x:c r="D309" s="13" t="n">
        <x:v>6</x:v>
      </x:c>
      <x:c r="E309" s="12" t="str">
        <x:v>2026-09-08 09:05:20</x:v>
      </x:c>
      <x:c r="F309" s="12" t="str">
        <x:v>2026-09-08 09:12:08</x:v>
      </x:c>
      <x:c r="G309" s="12" t="str">
        <x:v>09:00</x:v>
      </x:c>
      <x:c r="H309" s="12" t="str">
        <x:v>06–09</x:v>
      </x:c>
      <x:c r="I309" s="12" t="str">
        <x:v>500119050</x:v>
      </x:c>
      <x:c r="J309" s="12" t="str">
        <x:v>臺大小福樓東側</x:v>
      </x:c>
      <x:c r="K309" s="12" t="str">
        <x:v>500119097</x:v>
      </x:c>
      <x:c r="L309" s="12" t="str">
        <x:v>臺大人文館</x:v>
      </x:c>
      <x:c r="M309" s="12" t="str">
        <x:v>實線</x:v>
      </x:c>
      <x:c r="N309" s="12" t="str">
        <x:v>臺大公館校區</x:v>
      </x:c>
      <x:c r="O309" s="12" t="str">
        <x:v>臺大公館校區</x:v>
      </x:c>
      <x:c r="P309" s="12" t="str">
        <x:v>兩端均500119*</x:v>
      </x:c>
    </x:row>
    <x:row r="310">
      <x:c r="A310" s="12" t="str">
        <x:v>2026-09-08</x:v>
      </x:c>
      <x:c r="B310" s="12" t="str">
        <x:v>ZZB-0004</x:v>
      </x:c>
      <x:c r="C310" s="12" t="str">
        <x:v>2.0</x:v>
      </x:c>
      <x:c r="D310" s="13" t="n">
        <x:v>7</x:v>
      </x:c>
      <x:c r="E310" s="12" t="str">
        <x:v>2026-09-08 09:20:06</x:v>
      </x:c>
      <x:c r="F310" s="12" t="str">
        <x:v>2026-09-08 09:34:01</x:v>
      </x:c>
      <x:c r="G310" s="12" t="str">
        <x:v>09:00</x:v>
      </x:c>
      <x:c r="H310" s="12" t="str">
        <x:v>06–09</x:v>
      </x:c>
      <x:c r="I310" s="12" t="str">
        <x:v>500119050</x:v>
      </x:c>
      <x:c r="J310" s="12" t="str">
        <x:v>臺大小福樓東側</x:v>
      </x:c>
      <x:c r="K310" s="12" t="str">
        <x:v>500119097</x:v>
      </x:c>
      <x:c r="L310" s="12" t="str">
        <x:v>臺大人文館</x:v>
      </x:c>
      <x:c r="M310" s="12" t="str">
        <x:v>實線</x:v>
      </x:c>
      <x:c r="N310" s="12" t="str">
        <x:v>臺大公館校區</x:v>
      </x:c>
      <x:c r="O310" s="12" t="str">
        <x:v>臺大公館校區</x:v>
      </x:c>
      <x:c r="P310" s="12" t="str">
        <x:v>兩端均500119*</x:v>
      </x:c>
    </x:row>
    <x:row r="311">
      <x:c r="A311" s="12" t="str">
        <x:v>2026-09-08</x:v>
      </x:c>
      <x:c r="B311" s="12" t="str">
        <x:v>ZZB-0004</x:v>
      </x:c>
      <x:c r="C311" s="12" t="str">
        <x:v>2.0</x:v>
      </x:c>
      <x:c r="D311" s="13" t="n">
        <x:v>7</x:v>
      </x:c>
      <x:c r="E311" s="12" t="str">
        <x:v>2026-09-08 09:42:16</x:v>
      </x:c>
      <x:c r="F311" s="12" t="str">
        <x:v>2026-09-08 10:10:23</x:v>
      </x:c>
      <x:c r="G311" s="12" t="str">
        <x:v>09:00</x:v>
      </x:c>
      <x:c r="H311" s="12" t="str">
        <x:v>06–09</x:v>
      </x:c>
      <x:c r="I311" s="12" t="str">
        <x:v>500119050</x:v>
      </x:c>
      <x:c r="J311" s="12" t="str">
        <x:v>臺大小福樓東側</x:v>
      </x:c>
      <x:c r="K311" s="12" t="str">
        <x:v>500101032</x:v>
      </x:c>
      <x:c r="L311" s="12" t="str">
        <x:v>臺大男一舍前</x:v>
      </x:c>
      <x:c r="M311" s="12" t="str">
        <x:v>虛線</x:v>
      </x:c>
      <x:c r="N311" s="12" t="str">
        <x:v>臺大公館校區</x:v>
      </x:c>
      <x:c r="O311" s="12" t="str">
        <x:v>大安區</x:v>
      </x:c>
      <x:c r="P311" s="12" t="str">
        <x:v>任一端非500119*</x:v>
      </x:c>
    </x:row>
    <x:row r="312">
      <x:c r="A312" s="12" t="str">
        <x:v>2026-09-08</x:v>
      </x:c>
      <x:c r="B312" s="12" t="str">
        <x:v>ZZB-0004</x:v>
      </x:c>
      <x:c r="C312" s="12" t="str">
        <x:v>2.0</x:v>
      </x:c>
      <x:c r="D312" s="13" t="n">
        <x:v>6</x:v>
      </x:c>
      <x:c r="E312" s="12" t="str">
        <x:v>2026-09-08 10:24:31</x:v>
      </x:c>
      <x:c r="F312" s="12" t="str">
        <x:v>2026-09-08 10:37:36</x:v>
      </x:c>
      <x:c r="G312" s="12" t="str">
        <x:v>10:00</x:v>
      </x:c>
      <x:c r="H312" s="12" t="str">
        <x:v>10–13</x:v>
      </x:c>
      <x:c r="I312" s="12" t="str">
        <x:v>500119052</x:v>
      </x:c>
      <x:c r="J312" s="12" t="str">
        <x:v>臺大工綜館南側</x:v>
      </x:c>
      <x:c r="K312" s="12" t="str">
        <x:v>500101032</x:v>
      </x:c>
      <x:c r="L312" s="12" t="str">
        <x:v>臺大男一舍前</x:v>
      </x:c>
      <x:c r="M312" s="12" t="str">
        <x:v>虛線</x:v>
      </x:c>
      <x:c r="N312" s="12" t="str">
        <x:v>臺大公館校區</x:v>
      </x:c>
      <x:c r="O312" s="12" t="str">
        <x:v>大安區</x:v>
      </x:c>
      <x:c r="P312" s="12" t="str">
        <x:v>任一端非500119*</x:v>
      </x:c>
    </x:row>
    <x:row r="313">
      <x:c r="A313" s="12" t="str">
        <x:v>2026-09-08</x:v>
      </x:c>
      <x:c r="B313" s="12" t="str">
        <x:v>ZZB-0004</x:v>
      </x:c>
      <x:c r="C313" s="12" t="str">
        <x:v>2.0</x:v>
      </x:c>
      <x:c r="D313" s="13" t="n">
        <x:v>6</x:v>
      </x:c>
      <x:c r="E313" s="12" t="str">
        <x:v>2026-09-08 10:48:16</x:v>
      </x:c>
      <x:c r="F313" s="12" t="str">
        <x:v>2026-09-08 10:54:20</x:v>
      </x:c>
      <x:c r="G313" s="12" t="str">
        <x:v>10:00</x:v>
      </x:c>
      <x:c r="H313" s="12" t="str">
        <x:v>10–13</x:v>
      </x:c>
      <x:c r="I313" s="12" t="str">
        <x:v>500119085</x:v>
      </x:c>
      <x:c r="J313" s="12" t="str">
        <x:v>臺大電機二館東南側</x:v>
      </x:c>
      <x:c r="K313" s="12" t="str">
        <x:v>500119064</x:v>
      </x:c>
      <x:c r="L313" s="12" t="str">
        <x:v>臺大明達館機車停車場</x:v>
      </x:c>
      <x:c r="M313" s="12" t="str">
        <x:v>實線</x:v>
      </x:c>
      <x:c r="N313" s="12" t="str">
        <x:v>臺大公館校區</x:v>
      </x:c>
      <x:c r="O313" s="12" t="str">
        <x:v>臺大公館校區</x:v>
      </x:c>
      <x:c r="P313" s="12" t="str">
        <x:v>兩端均500119*</x:v>
      </x:c>
    </x:row>
    <x:row r="314">
      <x:c r="A314" s="12" t="str">
        <x:v>2026-09-08</x:v>
      </x:c>
      <x:c r="B314" s="12" t="str">
        <x:v>ZZB-0004</x:v>
      </x:c>
      <x:c r="C314" s="12" t="str">
        <x:v>2.0</x:v>
      </x:c>
      <x:c r="D314" s="13" t="n">
        <x:v>7</x:v>
      </x:c>
      <x:c r="E314" s="12" t="str">
        <x:v>2026-09-08 13:08:27</x:v>
      </x:c>
      <x:c r="F314" s="12" t="str">
        <x:v>2026-09-08 13:08:44</x:v>
      </x:c>
      <x:c r="G314" s="12" t="str">
        <x:v>13:00</x:v>
      </x:c>
      <x:c r="H314" s="12" t="str">
        <x:v>10–13</x:v>
      </x:c>
      <x:c r="I314" s="12" t="str">
        <x:v>500119076</x:v>
      </x:c>
      <x:c r="J314" s="12" t="str">
        <x:v>臺大博理館西側</x:v>
      </x:c>
      <x:c r="K314" s="12" t="str">
        <x:v>500119097</x:v>
      </x:c>
      <x:c r="L314" s="12" t="str">
        <x:v>臺大人文館</x:v>
      </x:c>
      <x:c r="M314" s="12" t="str">
        <x:v>實線</x:v>
      </x:c>
      <x:c r="N314" s="12" t="str">
        <x:v>臺大公館校區</x:v>
      </x:c>
      <x:c r="O314" s="12" t="str">
        <x:v>臺大公館校區</x:v>
      </x:c>
      <x:c r="P314" s="12" t="str">
        <x:v>兩端均500119*</x:v>
      </x:c>
    </x:row>
    <x:row r="315">
      <x:c r="A315" s="12" t="str">
        <x:v>2026-09-08</x:v>
      </x:c>
      <x:c r="B315" s="12" t="str">
        <x:v>ZZB-0004</x:v>
      </x:c>
      <x:c r="C315" s="12" t="str">
        <x:v>2.0</x:v>
      </x:c>
      <x:c r="D315" s="13" t="n">
        <x:v>7</x:v>
      </x:c>
      <x:c r="E315" s="12" t="str">
        <x:v>2026-09-08 13:25:16</x:v>
      </x:c>
      <x:c r="F315" s="12" t="str">
        <x:v>2026-09-08 13:25:28</x:v>
      </x:c>
      <x:c r="G315" s="12" t="str">
        <x:v>13:00</x:v>
      </x:c>
      <x:c r="H315" s="12" t="str">
        <x:v>10–13</x:v>
      </x:c>
      <x:c r="I315" s="12" t="str">
        <x:v>500119083</x:v>
      </x:c>
      <x:c r="J315" s="12" t="str">
        <x:v>臺大新生教室南側</x:v>
      </x:c>
      <x:c r="K315" s="12" t="str">
        <x:v>500119045</x:v>
      </x:c>
      <x:c r="L315" s="12" t="str">
        <x:v>臺大農業陳列館北側</x:v>
      </x:c>
      <x:c r="M315" s="12" t="str">
        <x:v>實線</x:v>
      </x:c>
      <x:c r="N315" s="12" t="str">
        <x:v>臺大公館校區</x:v>
      </x:c>
      <x:c r="O315" s="12" t="str">
        <x:v>臺大公館校區</x:v>
      </x:c>
      <x:c r="P315" s="12" t="str">
        <x:v>兩端均500119*</x:v>
      </x:c>
    </x:row>
    <x:row r="316">
      <x:c r="A316" s="12" t="str">
        <x:v>2026-09-08</x:v>
      </x:c>
      <x:c r="B316" s="12" t="str">
        <x:v>ZZB-0004</x:v>
      </x:c>
      <x:c r="C316" s="12" t="str">
        <x:v>2.0</x:v>
      </x:c>
      <x:c r="D316" s="13" t="n">
        <x:v>7</x:v>
      </x:c>
      <x:c r="E316" s="12" t="str">
        <x:v>2026-09-08 13:40:29</x:v>
      </x:c>
      <x:c r="F316" s="12" t="str">
        <x:v>2026-09-08 13:40:39</x:v>
      </x:c>
      <x:c r="G316" s="12" t="str">
        <x:v>13:00</x:v>
      </x:c>
      <x:c r="H316" s="12" t="str">
        <x:v>10–13</x:v>
      </x:c>
      <x:c r="I316" s="12" t="str">
        <x:v>500119050</x:v>
      </x:c>
      <x:c r="J316" s="12" t="str">
        <x:v>臺大小福樓東側</x:v>
      </x:c>
      <x:c r="K316" s="12" t="str">
        <x:v>500119045</x:v>
      </x:c>
      <x:c r="L316" s="12" t="str">
        <x:v>臺大農業陳列館北側</x:v>
      </x:c>
      <x:c r="M316" s="12" t="str">
        <x:v>實線</x:v>
      </x:c>
      <x:c r="N316" s="12" t="str">
        <x:v>臺大公館校區</x:v>
      </x:c>
      <x:c r="O316" s="12" t="str">
        <x:v>臺大公館校區</x:v>
      </x:c>
      <x:c r="P316" s="12" t="str">
        <x:v>兩端均500119*</x:v>
      </x:c>
    </x:row>
    <x:row r="317">
      <x:c r="A317" s="12" t="str">
        <x:v>2026-09-08</x:v>
      </x:c>
      <x:c r="B317" s="12" t="str">
        <x:v>ZZB-0004</x:v>
      </x:c>
      <x:c r="C317" s="12" t="str">
        <x:v>2.0</x:v>
      </x:c>
      <x:c r="D317" s="13" t="n">
        <x:v>7</x:v>
      </x:c>
      <x:c r="E317" s="12" t="str">
        <x:v>2026-09-08 13:56:40</x:v>
      </x:c>
      <x:c r="F317" s="12" t="str">
        <x:v>2026-09-08 13:56:52</x:v>
      </x:c>
      <x:c r="G317" s="12" t="str">
        <x:v>13:00</x:v>
      </x:c>
      <x:c r="H317" s="12" t="str">
        <x:v>10–13</x:v>
      </x:c>
      <x:c r="I317" s="12" t="str">
        <x:v>500119069</x:v>
      </x:c>
      <x:c r="J317" s="12" t="str">
        <x:v>臺大思亮館東南側</x:v>
      </x:c>
      <x:c r="K317" s="12" t="str">
        <x:v>500119045</x:v>
      </x:c>
      <x:c r="L317" s="12" t="str">
        <x:v>臺大農業陳列館北側</x:v>
      </x:c>
      <x:c r="M317" s="12" t="str">
        <x:v>實線</x:v>
      </x:c>
      <x:c r="N317" s="12" t="str">
        <x:v>臺大公館校區</x:v>
      </x:c>
      <x:c r="O317" s="12" t="str">
        <x:v>臺大公館校區</x:v>
      </x:c>
      <x:c r="P317" s="12" t="str">
        <x:v>兩端均500119*</x:v>
      </x:c>
    </x:row>
    <x:row r="318">
      <x:c r="A318" s="12" t="str">
        <x:v>2026-09-08</x:v>
      </x:c>
      <x:c r="B318" s="12" t="str">
        <x:v>ZZB-0004</x:v>
      </x:c>
      <x:c r="C318" s="12" t="str">
        <x:v>2.0</x:v>
      </x:c>
      <x:c r="D318" s="13" t="n">
        <x:v>7</x:v>
      </x:c>
      <x:c r="E318" s="12" t="str">
        <x:v>2026-09-08 14:26:42</x:v>
      </x:c>
      <x:c r="F318" s="12" t="str">
        <x:v>2026-09-08 14:26:52</x:v>
      </x:c>
      <x:c r="G318" s="12" t="str">
        <x:v>14:00</x:v>
      </x:c>
      <x:c r="H318" s="12" t="str">
        <x:v>14–17</x:v>
      </x:c>
      <x:c r="I318" s="12" t="str">
        <x:v>500119071</x:v>
      </x:c>
      <x:c r="J318" s="12" t="str">
        <x:v>臺大計資中心南側</x:v>
      </x:c>
      <x:c r="K318" s="12" t="str">
        <x:v>500119045</x:v>
      </x:c>
      <x:c r="L318" s="12" t="str">
        <x:v>臺大農業陳列館北側</x:v>
      </x:c>
      <x:c r="M318" s="12" t="str">
        <x:v>實線</x:v>
      </x:c>
      <x:c r="N318" s="12" t="str">
        <x:v>臺大公館校區</x:v>
      </x:c>
      <x:c r="O318" s="12" t="str">
        <x:v>臺大公館校區</x:v>
      </x:c>
      <x:c r="P318" s="12" t="str">
        <x:v>兩端均500119*</x:v>
      </x:c>
    </x:row>
    <x:row r="319">
      <x:c r="A319" s="12" t="str">
        <x:v>2026-09-08</x:v>
      </x:c>
      <x:c r="B319" s="12" t="str">
        <x:v>ZZB-0004</x:v>
      </x:c>
      <x:c r="C319" s="12" t="str">
        <x:v>2.0</x:v>
      </x:c>
      <x:c r="D319" s="13" t="n">
        <x:v>10</x:v>
      </x:c>
      <x:c r="E319" s="12" t="str">
        <x:v>2026-09-08 17:24:44</x:v>
      </x:c>
      <x:c r="F319" s="12" t="str">
        <x:v>2026-09-08 17:24:58</x:v>
      </x:c>
      <x:c r="G319" s="12" t="str">
        <x:v>17:00</x:v>
      </x:c>
      <x:c r="H319" s="12" t="str">
        <x:v>14–17</x:v>
      </x:c>
      <x:c r="I319" s="12" t="str">
        <x:v>500101276</x:v>
      </x:c>
      <x:c r="J319" s="12" t="str">
        <x:v>羅斯福新生南路口</x:v>
      </x:c>
      <x:c r="K319" s="12" t="str">
        <x:v>500119047</x:v>
      </x:c>
      <x:c r="L319" s="12" t="str">
        <x:v>臺大土木系館</x:v>
      </x:c>
      <x:c r="M319" s="12" t="str">
        <x:v>虛線</x:v>
      </x:c>
      <x:c r="N319" s="12" t="str">
        <x:v>大安區</x:v>
      </x:c>
      <x:c r="O319" s="12" t="str">
        <x:v>臺大公館校區</x:v>
      </x:c>
      <x:c r="P319" s="12" t="str">
        <x:v>任一端非500119*</x:v>
      </x:c>
    </x:row>
    <x:row r="320">
      <x:c r="A320" s="12" t="str">
        <x:v>2026-09-08</x:v>
      </x:c>
      <x:c r="B320" s="12" t="str">
        <x:v>ZZB-0004</x:v>
      </x:c>
      <x:c r="C320" s="12" t="str">
        <x:v>2.0</x:v>
      </x:c>
      <x:c r="D320" s="13" t="n">
        <x:v>10</x:v>
      </x:c>
      <x:c r="E320" s="12" t="str">
        <x:v>2026-09-08 17:44:38</x:v>
      </x:c>
      <x:c r="F320" s="12" t="str">
        <x:v>2026-09-08 17:44:51</x:v>
      </x:c>
      <x:c r="G320" s="12" t="str">
        <x:v>17:00</x:v>
      </x:c>
      <x:c r="H320" s="12" t="str">
        <x:v>14–17</x:v>
      </x:c>
      <x:c r="I320" s="12" t="str">
        <x:v>500101276</x:v>
      </x:c>
      <x:c r="J320" s="12" t="str">
        <x:v>羅斯福新生南路口</x:v>
      </x:c>
      <x:c r="K320" s="12" t="str">
        <x:v>500119047</x:v>
      </x:c>
      <x:c r="L320" s="12" t="str">
        <x:v>臺大土木系館</x:v>
      </x:c>
      <x:c r="M320" s="12" t="str">
        <x:v>虛線</x:v>
      </x:c>
      <x:c r="N320" s="12" t="str">
        <x:v>大安區</x:v>
      </x:c>
      <x:c r="O320" s="12" t="str">
        <x:v>臺大公館校區</x:v>
      </x:c>
      <x:c r="P320" s="12" t="str">
        <x:v>任一端非500119*</x:v>
      </x:c>
    </x:row>
    <x:row r="321">
      <x:c r="A321" s="12" t="str">
        <x:v>2026-09-08</x:v>
      </x:c>
      <x:c r="B321" s="12" t="str">
        <x:v>ZZB-0004</x:v>
      </x:c>
      <x:c r="C321" s="12" t="str">
        <x:v>2.0</x:v>
      </x:c>
      <x:c r="D321" s="13" t="n">
        <x:v>8</x:v>
      </x:c>
      <x:c r="E321" s="12" t="str">
        <x:v>2026-09-08 18:03:12</x:v>
      </x:c>
      <x:c r="F321" s="12" t="str">
        <x:v>2026-09-08 18:03:31</x:v>
      </x:c>
      <x:c r="G321" s="12" t="str">
        <x:v>18:00</x:v>
      </x:c>
      <x:c r="H321" s="12" t="str">
        <x:v>18–21</x:v>
      </x:c>
      <x:c r="I321" s="12" t="str">
        <x:v>500101276</x:v>
      </x:c>
      <x:c r="J321" s="12" t="str">
        <x:v>羅斯福新生南路口</x:v>
      </x:c>
      <x:c r="K321" s="12" t="str">
        <x:v>500119050</x:v>
      </x:c>
      <x:c r="L321" s="12" t="str">
        <x:v>臺大小福樓東側</x:v>
      </x:c>
      <x:c r="M321" s="12" t="str">
        <x:v>虛線</x:v>
      </x:c>
      <x:c r="N321" s="12" t="str">
        <x:v>大安區</x:v>
      </x:c>
      <x:c r="O321" s="12" t="str">
        <x:v>臺大公館校區</x:v>
      </x:c>
      <x:c r="P321" s="12" t="str">
        <x:v>任一端非500119*</x:v>
      </x:c>
    </x:row>
    <x:row r="322">
      <x:c r="A322" s="12" t="str">
        <x:v>2026-09-08</x:v>
      </x:c>
      <x:c r="B322" s="12" t="str">
        <x:v>ZZB-0004</x:v>
      </x:c>
      <x:c r="C322" s="12" t="str">
        <x:v>2.0</x:v>
      </x:c>
      <x:c r="D322" s="13" t="n">
        <x:v>8</x:v>
      </x:c>
      <x:c r="E322" s="12" t="str">
        <x:v>2026-09-08 18:14:39</x:v>
      </x:c>
      <x:c r="F322" s="12" t="str">
        <x:v>2026-09-08 18:23:40</x:v>
      </x:c>
      <x:c r="G322" s="12" t="str">
        <x:v>18:00</x:v>
      </x:c>
      <x:c r="H322" s="12" t="str">
        <x:v>18–21</x:v>
      </x:c>
      <x:c r="I322" s="12" t="str">
        <x:v>500119045</x:v>
      </x:c>
      <x:c r="J322" s="12" t="str">
        <x:v>臺大農業陳列館北側</x:v>
      </x:c>
      <x:c r="K322" s="12" t="str">
        <x:v>500119055</x:v>
      </x:c>
      <x:c r="L322" s="12" t="str">
        <x:v>臺大樂學館東側</x:v>
      </x:c>
      <x:c r="M322" s="12" t="str">
        <x:v>實線</x:v>
      </x:c>
      <x:c r="N322" s="12" t="str">
        <x:v>臺大公館校區</x:v>
      </x:c>
      <x:c r="O322" s="12" t="str">
        <x:v>臺大公館校區</x:v>
      </x:c>
      <x:c r="P322" s="12" t="str">
        <x:v>兩端均500119*</x:v>
      </x:c>
    </x:row>
    <x:row r="323">
      <x:c r="A323" s="12" t="str">
        <x:v>2026-09-08</x:v>
      </x:c>
      <x:c r="B323" s="12" t="str">
        <x:v>ZZB-0004</x:v>
      </x:c>
      <x:c r="C323" s="12" t="str">
        <x:v>2.0</x:v>
      </x:c>
      <x:c r="D323" s="13" t="n">
        <x:v>9</x:v>
      </x:c>
      <x:c r="E323" s="12" t="str">
        <x:v>2026-09-08 18:42:35</x:v>
      </x:c>
      <x:c r="F323" s="12" t="str">
        <x:v>2026-09-08 18:44:15</x:v>
      </x:c>
      <x:c r="G323" s="12" t="str">
        <x:v>18:00</x:v>
      </x:c>
      <x:c r="H323" s="12" t="str">
        <x:v>18–21</x:v>
      </x:c>
      <x:c r="I323" s="12" t="str">
        <x:v>500101276</x:v>
      </x:c>
      <x:c r="J323" s="12" t="str">
        <x:v>羅斯福新生南路口</x:v>
      </x:c>
      <x:c r="K323" s="12" t="str">
        <x:v>500119047</x:v>
      </x:c>
      <x:c r="L323" s="12" t="str">
        <x:v>臺大土木系館</x:v>
      </x:c>
      <x:c r="M323" s="12" t="str">
        <x:v>虛線</x:v>
      </x:c>
      <x:c r="N323" s="12" t="str">
        <x:v>大安區</x:v>
      </x:c>
      <x:c r="O323" s="12" t="str">
        <x:v>臺大公館校區</x:v>
      </x:c>
      <x:c r="P323" s="12" t="str">
        <x:v>任一端非500119*</x:v>
      </x:c>
    </x:row>
    <x:row r="324">
      <x:c r="A324" s="12" t="str">
        <x:v>2026-09-08</x:v>
      </x:c>
      <x:c r="B324" s="12" t="str">
        <x:v>ZZB-0004</x:v>
      </x:c>
      <x:c r="C324" s="12" t="str">
        <x:v>2.0</x:v>
      </x:c>
      <x:c r="D324" s="13" t="n">
        <x:v>8</x:v>
      </x:c>
      <x:c r="E324" s="12" t="str">
        <x:v>2026-09-08 19:04:40</x:v>
      </x:c>
      <x:c r="F324" s="12" t="str">
        <x:v>2026-09-08 19:05:03</x:v>
      </x:c>
      <x:c r="G324" s="12" t="str">
        <x:v>19:00</x:v>
      </x:c>
      <x:c r="H324" s="12" t="str">
        <x:v>18–21</x:v>
      </x:c>
      <x:c r="I324" s="12" t="str">
        <x:v>500101276</x:v>
      </x:c>
      <x:c r="J324" s="12" t="str">
        <x:v>羅斯福新生南路口</x:v>
      </x:c>
      <x:c r="K324" s="12" t="str">
        <x:v>500119075</x:v>
      </x:c>
      <x:c r="L324" s="12" t="str">
        <x:v>臺大第一活動中心西南側</x:v>
      </x:c>
      <x:c r="M324" s="12" t="str">
        <x:v>虛線</x:v>
      </x:c>
      <x:c r="N324" s="12" t="str">
        <x:v>大安區</x:v>
      </x:c>
      <x:c r="O324" s="12" t="str">
        <x:v>臺大公館校區</x:v>
      </x:c>
      <x:c r="P324" s="12" t="str">
        <x:v>任一端非500119*</x:v>
      </x:c>
    </x:row>
    <x:row r="325">
      <x:c r="A325" s="12" t="str">
        <x:v>2026-09-08</x:v>
      </x:c>
      <x:c r="B325" s="12" t="str">
        <x:v>ZZB-0004</x:v>
      </x:c>
      <x:c r="C325" s="12" t="str">
        <x:v>2.0</x:v>
      </x:c>
      <x:c r="D325" s="13" t="n">
        <x:v>8</x:v>
      </x:c>
      <x:c r="E325" s="12" t="str">
        <x:v>2026-09-08 19:58:51</x:v>
      </x:c>
      <x:c r="F325" s="12" t="str">
        <x:v>2026-09-08 20:07:25</x:v>
      </x:c>
      <x:c r="G325" s="12" t="str">
        <x:v>19:00</x:v>
      </x:c>
      <x:c r="H325" s="12" t="str">
        <x:v>18–21</x:v>
      </x:c>
      <x:c r="I325" s="12" t="str">
        <x:v>500101276</x:v>
      </x:c>
      <x:c r="J325" s="12" t="str">
        <x:v>羅斯福新生南路口</x:v>
      </x:c>
      <x:c r="K325" s="12" t="str">
        <x:v>500119086</x:v>
      </x:c>
      <x:c r="L325" s="12" t="str">
        <x:v>臺大圖資系館北側</x:v>
      </x:c>
      <x:c r="M325" s="12" t="str">
        <x:v>虛線</x:v>
      </x:c>
      <x:c r="N325" s="12" t="str">
        <x:v>大安區</x:v>
      </x:c>
      <x:c r="O325" s="12" t="str">
        <x:v>臺大公館校區</x:v>
      </x:c>
      <x:c r="P325" s="12" t="str">
        <x:v>任一端非500119*</x:v>
      </x:c>
    </x:row>
    <x:row r="326">
      <x:c r="A326" s="12" t="str">
        <x:v>2026-09-08</x:v>
      </x:c>
      <x:c r="B326" s="12" t="str">
        <x:v>ZZB-0004</x:v>
      </x:c>
      <x:c r="C326" s="12" t="str">
        <x:v>2.0</x:v>
      </x:c>
      <x:c r="D326" s="13" t="n">
        <x:v>8</x:v>
      </x:c>
      <x:c r="E326" s="12" t="str">
        <x:v>2026-09-08 21:44:43</x:v>
      </x:c>
      <x:c r="F326" s="12" t="str">
        <x:v>2026-09-08 21:52:27</x:v>
      </x:c>
      <x:c r="G326" s="12" t="str">
        <x:v>21:00</x:v>
      </x:c>
      <x:c r="H326" s="12" t="str">
        <x:v>18–21</x:v>
      </x:c>
      <x:c r="I326" s="12" t="str">
        <x:v>500101181</x:v>
      </x:c>
      <x:c r="J326" s="12" t="str">
        <x:v>捷運公館站(3號出口)</x:v>
      </x:c>
      <x:c r="K326" s="12" t="str">
        <x:v>500119078</x:v>
      </x:c>
      <x:c r="L326" s="12" t="str">
        <x:v>臺大森林館北側</x:v>
      </x:c>
      <x:c r="M326" s="12" t="str">
        <x:v>虛線</x:v>
      </x:c>
      <x:c r="N326" s="12" t="str">
        <x:v>大安區</x:v>
      </x:c>
      <x:c r="O326" s="12" t="str">
        <x:v>臺大公館校區</x:v>
      </x:c>
      <x:c r="P326" s="12" t="str">
        <x:v>任一端非500119*</x:v>
      </x:c>
    </x:row>
    <x:row r="327">
      <x:c r="A327" s="12" t="str">
        <x:v>2026-09-08</x:v>
      </x:c>
      <x:c r="B327" s="12" t="str">
        <x:v>ZZB-0004</x:v>
      </x:c>
      <x:c r="C327" s="12" t="str">
        <x:v>2.0</x:v>
      </x:c>
      <x:c r="D327" s="13" t="n">
        <x:v>10</x:v>
      </x:c>
      <x:c r="E327" s="12" t="str">
        <x:v>2026-09-08 22:32:13</x:v>
      </x:c>
      <x:c r="F327" s="12" t="str">
        <x:v>2026-09-08 22:32:28</x:v>
      </x:c>
      <x:c r="G327" s="12" t="str">
        <x:v>22:00</x:v>
      </x:c>
      <x:c r="H327" s="12" t="str">
        <x:v>22–23</x:v>
      </x:c>
      <x:c r="I327" s="12" t="str">
        <x:v>500101181</x:v>
      </x:c>
      <x:c r="J327" s="12" t="str">
        <x:v>捷運公館站(3號出口)</x:v>
      </x:c>
      <x:c r="K327" s="12" t="str">
        <x:v>500101276</x:v>
      </x:c>
      <x:c r="L327" s="12" t="str">
        <x:v>羅斯福新生南路口</x:v>
      </x:c>
      <x:c r="M327" s="12" t="str">
        <x:v>虛線</x:v>
      </x:c>
      <x:c r="N327" s="12" t="str">
        <x:v>大安區</x:v>
      </x:c>
      <x:c r="O327" s="12" t="str">
        <x:v>大安區</x:v>
      </x:c>
      <x:c r="P327" s="12" t="str">
        <x:v>任一端非500119*</x:v>
      </x:c>
    </x:row>
    <x:row r="328">
      <x:c r="A328" s="12" t="str">
        <x:v>2026-09-08</x:v>
      </x:c>
      <x:c r="B328" s="12" t="str">
        <x:v>ZZB-0004</x:v>
      </x:c>
      <x:c r="C328" s="12" t="str">
        <x:v>2.0E</x:v>
      </x:c>
      <x:c r="D328" s="13" t="n">
        <x:v>2</x:v>
      </x:c>
      <x:c r="E328" s="12" t="str">
        <x:v>2026-09-08 08:32:50</x:v>
      </x:c>
      <x:c r="F328" s="12" t="str">
        <x:v>2026-09-08 08:39:22</x:v>
      </x:c>
      <x:c r="G328" s="12" t="str">
        <x:v>08:00</x:v>
      </x:c>
      <x:c r="H328" s="12" t="str">
        <x:v>06–09</x:v>
      </x:c>
      <x:c r="I328" s="12" t="str">
        <x:v>500119050</x:v>
      </x:c>
      <x:c r="J328" s="12" t="str">
        <x:v>臺大小福樓東側</x:v>
      </x:c>
      <x:c r="K328" s="12" t="str">
        <x:v>500119097</x:v>
      </x:c>
      <x:c r="L328" s="12" t="str">
        <x:v>臺大人文館</x:v>
      </x:c>
      <x:c r="M328" s="12" t="str">
        <x:v>實線</x:v>
      </x:c>
      <x:c r="N328" s="12" t="str">
        <x:v>臺大公館校區</x:v>
      </x:c>
      <x:c r="O328" s="12" t="str">
        <x:v>臺大公館校區</x:v>
      </x:c>
      <x:c r="P328" s="12" t="str">
        <x:v>兩端均500119*</x:v>
      </x:c>
    </x:row>
    <x:row r="329">
      <x:c r="A329" s="12" t="str">
        <x:v>2026-09-08</x:v>
      </x:c>
      <x:c r="B329" s="12" t="str">
        <x:v>ZZB-0004</x:v>
      </x:c>
      <x:c r="C329" s="12" t="str">
        <x:v>2.0E</x:v>
      </x:c>
      <x:c r="D329" s="13" t="n">
        <x:v>2</x:v>
      </x:c>
      <x:c r="E329" s="12" t="str">
        <x:v>2026-09-08 08:50:57</x:v>
      </x:c>
      <x:c r="F329" s="12" t="str">
        <x:v>2026-09-08 08:57:45</x:v>
      </x:c>
      <x:c r="G329" s="12" t="str">
        <x:v>08:00</x:v>
      </x:c>
      <x:c r="H329" s="12" t="str">
        <x:v>06–09</x:v>
      </x:c>
      <x:c r="I329" s="12" t="str">
        <x:v>500119050</x:v>
      </x:c>
      <x:c r="J329" s="12" t="str">
        <x:v>臺大小福樓東側</x:v>
      </x:c>
      <x:c r="K329" s="12" t="str">
        <x:v>500119045</x:v>
      </x:c>
      <x:c r="L329" s="12" t="str">
        <x:v>臺大農業陳列館北側</x:v>
      </x:c>
      <x:c r="M329" s="12" t="str">
        <x:v>實線</x:v>
      </x:c>
      <x:c r="N329" s="12" t="str">
        <x:v>臺大公館校區</x:v>
      </x:c>
      <x:c r="O329" s="12" t="str">
        <x:v>臺大公館校區</x:v>
      </x:c>
      <x:c r="P329" s="12" t="str">
        <x:v>兩端均500119*</x:v>
      </x:c>
    </x:row>
    <x:row r="330">
      <x:c r="A330" s="12" t="str">
        <x:v>2026-09-08</x:v>
      </x:c>
      <x:c r="B330" s="12" t="str">
        <x:v>ZZB-0004</x:v>
      </x:c>
      <x:c r="C330" s="12" t="str">
        <x:v>2.0E</x:v>
      </x:c>
      <x:c r="D330" s="13" t="n">
        <x:v>1</x:v>
      </x:c>
      <x:c r="E330" s="12" t="str">
        <x:v>2026-09-08 09:05:20</x:v>
      </x:c>
      <x:c r="F330" s="12" t="str">
        <x:v>2026-09-08 09:12:08</x:v>
      </x:c>
      <x:c r="G330" s="12" t="str">
        <x:v>09:00</x:v>
      </x:c>
      <x:c r="H330" s="12" t="str">
        <x:v>06–09</x:v>
      </x:c>
      <x:c r="I330" s="12" t="str">
        <x:v>500119050</x:v>
      </x:c>
      <x:c r="J330" s="12" t="str">
        <x:v>臺大小福樓東側</x:v>
      </x:c>
      <x:c r="K330" s="12" t="str">
        <x:v>500119097</x:v>
      </x:c>
      <x:c r="L330" s="12" t="str">
        <x:v>臺大人文館</x:v>
      </x:c>
      <x:c r="M330" s="12" t="str">
        <x:v>實線</x:v>
      </x:c>
      <x:c r="N330" s="12" t="str">
        <x:v>臺大公館校區</x:v>
      </x:c>
      <x:c r="O330" s="12" t="str">
        <x:v>臺大公館校區</x:v>
      </x:c>
      <x:c r="P330" s="12" t="str">
        <x:v>兩端均500119*</x:v>
      </x:c>
    </x:row>
    <x:row r="331">
      <x:c r="A331" s="12" t="str">
        <x:v>2026-09-08</x:v>
      </x:c>
      <x:c r="B331" s="12" t="str">
        <x:v>ZZB-0004</x:v>
      </x:c>
      <x:c r="C331" s="12" t="str">
        <x:v>2.0E</x:v>
      </x:c>
      <x:c r="D331" s="13" t="n">
        <x:v>1</x:v>
      </x:c>
      <x:c r="E331" s="12" t="str">
        <x:v>2026-09-08 10:24:31</x:v>
      </x:c>
      <x:c r="F331" s="12" t="str">
        <x:v>2026-09-08 10:37:36</x:v>
      </x:c>
      <x:c r="G331" s="12" t="str">
        <x:v>10:00</x:v>
      </x:c>
      <x:c r="H331" s="12" t="str">
        <x:v>10–13</x:v>
      </x:c>
      <x:c r="I331" s="12" t="str">
        <x:v>500119052</x:v>
      </x:c>
      <x:c r="J331" s="12" t="str">
        <x:v>臺大工綜館南側</x:v>
      </x:c>
      <x:c r="K331" s="12" t="str">
        <x:v>500101032</x:v>
      </x:c>
      <x:c r="L331" s="12" t="str">
        <x:v>臺大男一舍前</x:v>
      </x:c>
      <x:c r="M331" s="12" t="str">
        <x:v>虛線</x:v>
      </x:c>
      <x:c r="N331" s="12" t="str">
        <x:v>臺大公館校區</x:v>
      </x:c>
      <x:c r="O331" s="12" t="str">
        <x:v>大安區</x:v>
      </x:c>
      <x:c r="P331" s="12" t="str">
        <x:v>任一端非500119*</x:v>
      </x:c>
    </x:row>
    <x:row r="332">
      <x:c r="A332" s="12" t="str">
        <x:v>2026-09-08</x:v>
      </x:c>
      <x:c r="B332" s="12" t="str">
        <x:v>ZZB-0004</x:v>
      </x:c>
      <x:c r="C332" s="12" t="str">
        <x:v>2.0E</x:v>
      </x:c>
      <x:c r="D332" s="13" t="n">
        <x:v>1</x:v>
      </x:c>
      <x:c r="E332" s="12" t="str">
        <x:v>2026-09-08 10:48:16</x:v>
      </x:c>
      <x:c r="F332" s="12" t="str">
        <x:v>2026-09-08 10:54:20</x:v>
      </x:c>
      <x:c r="G332" s="12" t="str">
        <x:v>10:00</x:v>
      </x:c>
      <x:c r="H332" s="12" t="str">
        <x:v>10–13</x:v>
      </x:c>
      <x:c r="I332" s="12" t="str">
        <x:v>500119085</x:v>
      </x:c>
      <x:c r="J332" s="12" t="str">
        <x:v>臺大電機二館東南側</x:v>
      </x:c>
      <x:c r="K332" s="12" t="str">
        <x:v>500119064</x:v>
      </x:c>
      <x:c r="L332" s="12" t="str">
        <x:v>臺大明達館機車停車場</x:v>
      </x:c>
      <x:c r="M332" s="12" t="str">
        <x:v>實線</x:v>
      </x:c>
      <x:c r="N332" s="12" t="str">
        <x:v>臺大公館校區</x:v>
      </x:c>
      <x:c r="O332" s="12" t="str">
        <x:v>臺大公館校區</x:v>
      </x:c>
      <x:c r="P332" s="12" t="str">
        <x:v>兩端均500119*</x:v>
      </x:c>
    </x:row>
    <x:row r="333">
      <x:c r="A333" s="12" t="str">
        <x:v>2026-09-08</x:v>
      </x:c>
      <x:c r="B333" s="12" t="str">
        <x:v>ZZB-0004</x:v>
      </x:c>
      <x:c r="C333" s="12" t="str">
        <x:v>2.0E</x:v>
      </x:c>
      <x:c r="D333" s="13" t="n">
        <x:v>1</x:v>
      </x:c>
      <x:c r="E333" s="12" t="str">
        <x:v>2026-09-08 18:03:12</x:v>
      </x:c>
      <x:c r="F333" s="12" t="str">
        <x:v>2026-09-08 18:03:31</x:v>
      </x:c>
      <x:c r="G333" s="12" t="str">
        <x:v>18:00</x:v>
      </x:c>
      <x:c r="H333" s="12" t="str">
        <x:v>18–21</x:v>
      </x:c>
      <x:c r="I333" s="12" t="str">
        <x:v>500101276</x:v>
      </x:c>
      <x:c r="J333" s="12" t="str">
        <x:v>羅斯福新生南路口</x:v>
      </x:c>
      <x:c r="K333" s="12" t="str">
        <x:v>500119050</x:v>
      </x:c>
      <x:c r="L333" s="12" t="str">
        <x:v>臺大小福樓東側</x:v>
      </x:c>
      <x:c r="M333" s="12" t="str">
        <x:v>虛線</x:v>
      </x:c>
      <x:c r="N333" s="12" t="str">
        <x:v>大安區</x:v>
      </x:c>
      <x:c r="O333" s="12" t="str">
        <x:v>臺大公館校區</x:v>
      </x:c>
      <x:c r="P333" s="12" t="str">
        <x:v>任一端非500119*</x:v>
      </x:c>
    </x:row>
    <x:row r="334">
      <x:c r="A334" s="12" t="str">
        <x:v>2026-09-08</x:v>
      </x:c>
      <x:c r="B334" s="12" t="str">
        <x:v>ZZB-0004</x:v>
      </x:c>
      <x:c r="C334" s="12" t="str">
        <x:v>2.0E</x:v>
      </x:c>
      <x:c r="D334" s="13" t="n">
        <x:v>1</x:v>
      </x:c>
      <x:c r="E334" s="12" t="str">
        <x:v>2026-09-08 18:14:39</x:v>
      </x:c>
      <x:c r="F334" s="12" t="str">
        <x:v>2026-09-08 18:23:40</x:v>
      </x:c>
      <x:c r="G334" s="12" t="str">
        <x:v>18:00</x:v>
      </x:c>
      <x:c r="H334" s="12" t="str">
        <x:v>18–21</x:v>
      </x:c>
      <x:c r="I334" s="12" t="str">
        <x:v>500119045</x:v>
      </x:c>
      <x:c r="J334" s="12" t="str">
        <x:v>臺大農業陳列館北側</x:v>
      </x:c>
      <x:c r="K334" s="12" t="str">
        <x:v>500119055</x:v>
      </x:c>
      <x:c r="L334" s="12" t="str">
        <x:v>臺大樂學館東側</x:v>
      </x:c>
      <x:c r="M334" s="12" t="str">
        <x:v>實線</x:v>
      </x:c>
      <x:c r="N334" s="12" t="str">
        <x:v>臺大公館校區</x:v>
      </x:c>
      <x:c r="O334" s="12" t="str">
        <x:v>臺大公館校區</x:v>
      </x:c>
      <x:c r="P334" s="12" t="str">
        <x:v>兩端均500119*</x:v>
      </x:c>
    </x:row>
    <x:row r="335">
      <x:c r="A335" s="12" t="str">
        <x:v>2026-09-08</x:v>
      </x:c>
      <x:c r="B335" s="12" t="str">
        <x:v>ZZB-0004</x:v>
      </x:c>
      <x:c r="C335" s="12" t="str">
        <x:v>2.0E</x:v>
      </x:c>
      <x:c r="D335" s="13" t="n">
        <x:v>1</x:v>
      </x:c>
      <x:c r="E335" s="12" t="str">
        <x:v>2026-09-08 19:04:40</x:v>
      </x:c>
      <x:c r="F335" s="12" t="str">
        <x:v>2026-09-08 19:05:03</x:v>
      </x:c>
      <x:c r="G335" s="12" t="str">
        <x:v>19:00</x:v>
      </x:c>
      <x:c r="H335" s="12" t="str">
        <x:v>18–21</x:v>
      </x:c>
      <x:c r="I335" s="12" t="str">
        <x:v>500101276</x:v>
      </x:c>
      <x:c r="J335" s="12" t="str">
        <x:v>羅斯福新生南路口</x:v>
      </x:c>
      <x:c r="K335" s="12" t="str">
        <x:v>500119075</x:v>
      </x:c>
      <x:c r="L335" s="12" t="str">
        <x:v>臺大第一活動中心西南側</x:v>
      </x:c>
      <x:c r="M335" s="12" t="str">
        <x:v>虛線</x:v>
      </x:c>
      <x:c r="N335" s="12" t="str">
        <x:v>大安區</x:v>
      </x:c>
      <x:c r="O335" s="12" t="str">
        <x:v>臺大公館校區</x:v>
      </x:c>
      <x:c r="P335" s="12" t="str">
        <x:v>任一端非500119*</x:v>
      </x:c>
    </x:row>
    <x:row r="336">
      <x:c r="A336" s="12" t="str">
        <x:v>2026-09-08</x:v>
      </x:c>
      <x:c r="B336" s="12" t="str">
        <x:v>ZZB-0004</x:v>
      </x:c>
      <x:c r="C336" s="12" t="str">
        <x:v>2.0E</x:v>
      </x:c>
      <x:c r="D336" s="13" t="n">
        <x:v>1</x:v>
      </x:c>
      <x:c r="E336" s="12" t="str">
        <x:v>2026-09-08 19:58:51</x:v>
      </x:c>
      <x:c r="F336" s="12" t="str">
        <x:v>2026-09-08 20:07:25</x:v>
      </x:c>
      <x:c r="G336" s="12" t="str">
        <x:v>19:00</x:v>
      </x:c>
      <x:c r="H336" s="12" t="str">
        <x:v>18–21</x:v>
      </x:c>
      <x:c r="I336" s="12" t="str">
        <x:v>500101276</x:v>
      </x:c>
      <x:c r="J336" s="12" t="str">
        <x:v>羅斯福新生南路口</x:v>
      </x:c>
      <x:c r="K336" s="12" t="str">
        <x:v>500119086</x:v>
      </x:c>
      <x:c r="L336" s="12" t="str">
        <x:v>臺大圖資系館北側</x:v>
      </x:c>
      <x:c r="M336" s="12" t="str">
        <x:v>虛線</x:v>
      </x:c>
      <x:c r="N336" s="12" t="str">
        <x:v>大安區</x:v>
      </x:c>
      <x:c r="O336" s="12" t="str">
        <x:v>臺大公館校區</x:v>
      </x:c>
      <x:c r="P336" s="12" t="str">
        <x:v>任一端非500119*</x:v>
      </x:c>
    </x:row>
    <x:row r="337">
      <x:c r="A337" s="12" t="str">
        <x:v>2026-09-09</x:v>
      </x:c>
      <x:c r="B337" s="12" t="str">
        <x:v>ZZB-0001</x:v>
      </x:c>
      <x:c r="C337" s="12" t="str">
        <x:v>2.0</x:v>
      </x:c>
      <x:c r="D337" s="13" t="n">
        <x:v>7</x:v>
      </x:c>
      <x:c r="E337" s="12" t="str">
        <x:v>2026-09-09 07:44:42</x:v>
      </x:c>
      <x:c r="F337" s="12" t="str">
        <x:v>2026-09-09 07:44:55</x:v>
      </x:c>
      <x:c r="G337" s="12" t="str">
        <x:v>07:00</x:v>
      </x:c>
      <x:c r="H337" s="12" t="str">
        <x:v>06–09</x:v>
      </x:c>
      <x:c r="I337" s="12" t="str">
        <x:v>500119052</x:v>
      </x:c>
      <x:c r="J337" s="12" t="str">
        <x:v>臺大工綜館南側</x:v>
      </x:c>
      <x:c r="K337" s="12" t="str">
        <x:v>500119074</x:v>
      </x:c>
      <x:c r="L337" s="12" t="str">
        <x:v>臺大生命科學館西北側</x:v>
      </x:c>
      <x:c r="M337" s="12" t="str">
        <x:v>實線</x:v>
      </x:c>
      <x:c r="N337" s="12" t="str">
        <x:v>臺大公館校區</x:v>
      </x:c>
      <x:c r="O337" s="12" t="str">
        <x:v>臺大公館校區</x:v>
      </x:c>
      <x:c r="P337" s="12" t="str">
        <x:v>兩端均500119*</x:v>
      </x:c>
    </x:row>
    <x:row r="338">
      <x:c r="A338" s="12" t="str">
        <x:v>2026-09-09</x:v>
      </x:c>
      <x:c r="B338" s="12" t="str">
        <x:v>ZZB-0001</x:v>
      </x:c>
      <x:c r="C338" s="12" t="str">
        <x:v>2.0</x:v>
      </x:c>
      <x:c r="D338" s="13" t="n">
        <x:v>5</x:v>
      </x:c>
      <x:c r="E338" s="12" t="str">
        <x:v>2026-09-09 09:18:46</x:v>
      </x:c>
      <x:c r="F338" s="12" t="str">
        <x:v>2026-09-09 09:19:01</x:v>
      </x:c>
      <x:c r="G338" s="12" t="str">
        <x:v>09:00</x:v>
      </x:c>
      <x:c r="H338" s="12" t="str">
        <x:v>06–09</x:v>
      </x:c>
      <x:c r="I338" s="12" t="str">
        <x:v>500119087</x:v>
      </x:c>
      <x:c r="J338" s="12" t="str">
        <x:v>臺大總圖書館西南側</x:v>
      </x:c>
      <x:c r="K338" s="12" t="str">
        <x:v>500119059</x:v>
      </x:c>
      <x:c r="L338" s="12" t="str">
        <x:v>臺大共同教室北側</x:v>
      </x:c>
      <x:c r="M338" s="12" t="str">
        <x:v>實線</x:v>
      </x:c>
      <x:c r="N338" s="12" t="str">
        <x:v>臺大公館校區</x:v>
      </x:c>
      <x:c r="O338" s="12" t="str">
        <x:v>臺大公館校區</x:v>
      </x:c>
      <x:c r="P338" s="12" t="str">
        <x:v>兩端均500119*</x:v>
      </x:c>
    </x:row>
    <x:row r="339">
      <x:c r="A339" s="12" t="str">
        <x:v>2026-09-09</x:v>
      </x:c>
      <x:c r="B339" s="12" t="str">
        <x:v>ZZB-0001</x:v>
      </x:c>
      <x:c r="C339" s="12" t="str">
        <x:v>2.0</x:v>
      </x:c>
      <x:c r="D339" s="13" t="n">
        <x:v>6</x:v>
      </x:c>
      <x:c r="E339" s="12" t="str">
        <x:v>2026-09-09 09:40:03</x:v>
      </x:c>
      <x:c r="F339" s="12" t="str">
        <x:v>2026-09-09 09:40:18</x:v>
      </x:c>
      <x:c r="G339" s="12" t="str">
        <x:v>09:00</x:v>
      </x:c>
      <x:c r="H339" s="12" t="str">
        <x:v>06–09</x:v>
      </x:c>
      <x:c r="I339" s="12" t="str">
        <x:v>500119072</x:v>
      </x:c>
      <x:c r="J339" s="12" t="str">
        <x:v>臺大原分所北側</x:v>
      </x:c>
      <x:c r="K339" s="12" t="str">
        <x:v>500119061</x:v>
      </x:c>
      <x:c r="L339" s="12" t="str">
        <x:v>臺大鹿鳴堂東側</x:v>
      </x:c>
      <x:c r="M339" s="12" t="str">
        <x:v>實線</x:v>
      </x:c>
      <x:c r="N339" s="12" t="str">
        <x:v>臺大公館校區</x:v>
      </x:c>
      <x:c r="O339" s="12" t="str">
        <x:v>臺大公館校區</x:v>
      </x:c>
      <x:c r="P339" s="12" t="str">
        <x:v>兩端均500119*</x:v>
      </x:c>
    </x:row>
    <x:row r="340">
      <x:c r="A340" s="12" t="str">
        <x:v>2026-09-09</x:v>
      </x:c>
      <x:c r="B340" s="12" t="str">
        <x:v>ZZB-0001</x:v>
      </x:c>
      <x:c r="C340" s="12" t="str">
        <x:v>2.0</x:v>
      </x:c>
      <x:c r="D340" s="13" t="n">
        <x:v>6</x:v>
      </x:c>
      <x:c r="E340" s="12" t="str">
        <x:v>2026-09-09 10:10:37</x:v>
      </x:c>
      <x:c r="F340" s="12" t="str">
        <x:v>2026-09-09 10:10:50</x:v>
      </x:c>
      <x:c r="G340" s="12" t="str">
        <x:v>10:00</x:v>
      </x:c>
      <x:c r="H340" s="12" t="str">
        <x:v>10–13</x:v>
      </x:c>
      <x:c r="I340" s="12" t="str">
        <x:v>500119086</x:v>
      </x:c>
      <x:c r="J340" s="12" t="str">
        <x:v>臺大圖資系館北側</x:v>
      </x:c>
      <x:c r="K340" s="12" t="str">
        <x:v>500119060</x:v>
      </x:c>
      <x:c r="L340" s="12" t="str">
        <x:v>臺大共同教室東南側</x:v>
      </x:c>
      <x:c r="M340" s="12" t="str">
        <x:v>實線</x:v>
      </x:c>
      <x:c r="N340" s="12" t="str">
        <x:v>臺大公館校區</x:v>
      </x:c>
      <x:c r="O340" s="12" t="str">
        <x:v>臺大公館校區</x:v>
      </x:c>
      <x:c r="P340" s="12" t="str">
        <x:v>兩端均500119*</x:v>
      </x:c>
    </x:row>
    <x:row r="341">
      <x:c r="A341" s="12" t="str">
        <x:v>2026-09-09</x:v>
      </x:c>
      <x:c r="B341" s="12" t="str">
        <x:v>ZZB-0001</x:v>
      </x:c>
      <x:c r="C341" s="12" t="str">
        <x:v>2.0</x:v>
      </x:c>
      <x:c r="D341" s="13" t="n">
        <x:v>4</x:v>
      </x:c>
      <x:c r="E341" s="12" t="str">
        <x:v>2026-09-09 10:31:38</x:v>
      </x:c>
      <x:c r="F341" s="12" t="str">
        <x:v>2026-09-09 10:32:10</x:v>
      </x:c>
      <x:c r="G341" s="12" t="str">
        <x:v>10:00</x:v>
      </x:c>
      <x:c r="H341" s="12" t="str">
        <x:v>10–13</x:v>
      </x:c>
      <x:c r="I341" s="12" t="str">
        <x:v>500119078</x:v>
      </x:c>
      <x:c r="J341" s="12" t="str">
        <x:v>臺大森林館北側</x:v>
      </x:c>
      <x:c r="K341" s="12" t="str">
        <x:v>500119059</x:v>
      </x:c>
      <x:c r="L341" s="12" t="str">
        <x:v>臺大共同教室北側</x:v>
      </x:c>
      <x:c r="M341" s="12" t="str">
        <x:v>實線</x:v>
      </x:c>
      <x:c r="N341" s="12" t="str">
        <x:v>臺大公館校區</x:v>
      </x:c>
      <x:c r="O341" s="12" t="str">
        <x:v>臺大公館校區</x:v>
      </x:c>
      <x:c r="P341" s="12" t="str">
        <x:v>兩端均500119*</x:v>
      </x:c>
    </x:row>
    <x:row r="342">
      <x:c r="A342" s="12" t="str">
        <x:v>2026-09-09</x:v>
      </x:c>
      <x:c r="B342" s="12" t="str">
        <x:v>ZZB-0001</x:v>
      </x:c>
      <x:c r="C342" s="12" t="str">
        <x:v>2.0</x:v>
      </x:c>
      <x:c r="D342" s="13" t="n">
        <x:v>3</x:v>
      </x:c>
      <x:c r="E342" s="12" t="str">
        <x:v>2026-09-09 10:31:56</x:v>
      </x:c>
      <x:c r="F342" s="12" t="str">
        <x:v>2026-09-09 10:32:10</x:v>
      </x:c>
      <x:c r="G342" s="12" t="str">
        <x:v>10:00</x:v>
      </x:c>
      <x:c r="H342" s="12" t="str">
        <x:v>10–13</x:v>
      </x:c>
      <x:c r="I342" s="12" t="str">
        <x:v>500119087</x:v>
      </x:c>
      <x:c r="J342" s="12" t="str">
        <x:v>臺大總圖書館西南側</x:v>
      </x:c>
      <x:c r="K342" s="12" t="str">
        <x:v>500119059</x:v>
      </x:c>
      <x:c r="L342" s="12" t="str">
        <x:v>臺大共同教室北側</x:v>
      </x:c>
      <x:c r="M342" s="12" t="str">
        <x:v>實線</x:v>
      </x:c>
      <x:c r="N342" s="12" t="str">
        <x:v>臺大公館校區</x:v>
      </x:c>
      <x:c r="O342" s="12" t="str">
        <x:v>臺大公館校區</x:v>
      </x:c>
      <x:c r="P342" s="12" t="str">
        <x:v>兩端均500119*</x:v>
      </x:c>
    </x:row>
    <x:row r="343">
      <x:c r="A343" s="12" t="str">
        <x:v>2026-09-09</x:v>
      </x:c>
      <x:c r="B343" s="12" t="str">
        <x:v>ZZB-0001</x:v>
      </x:c>
      <x:c r="C343" s="12" t="str">
        <x:v>2.0</x:v>
      </x:c>
      <x:c r="D343" s="13" t="n">
        <x:v>5</x:v>
      </x:c>
      <x:c r="E343" s="12" t="str">
        <x:v>2026-09-09 10:57:43</x:v>
      </x:c>
      <x:c r="F343" s="12" t="str">
        <x:v>2026-09-09 10:58:00</x:v>
      </x:c>
      <x:c r="G343" s="12" t="str">
        <x:v>10:00</x:v>
      </x:c>
      <x:c r="H343" s="12" t="str">
        <x:v>10–13</x:v>
      </x:c>
      <x:c r="I343" s="12" t="str">
        <x:v>500119098</x:v>
      </x:c>
      <x:c r="J343" s="12" t="str">
        <x:v>臺大數學研究中心(東側)</x:v>
      </x:c>
      <x:c r="K343" s="12" t="str">
        <x:v>500119094</x:v>
      </x:c>
      <x:c r="L343" s="12" t="str">
        <x:v>臺大大一女餐廳廣場</x:v>
      </x:c>
      <x:c r="M343" s="12" t="str">
        <x:v>實線</x:v>
      </x:c>
      <x:c r="N343" s="12" t="str">
        <x:v>臺大公館校區</x:v>
      </x:c>
      <x:c r="O343" s="12" t="str">
        <x:v>臺大公館校區</x:v>
      </x:c>
      <x:c r="P343" s="12" t="str">
        <x:v>兩端均500119*</x:v>
      </x:c>
    </x:row>
    <x:row r="344">
      <x:c r="A344" s="12" t="str">
        <x:v>2026-09-09</x:v>
      </x:c>
      <x:c r="B344" s="12" t="str">
        <x:v>ZZB-0001</x:v>
      </x:c>
      <x:c r="C344" s="12" t="str">
        <x:v>2.0</x:v>
      </x:c>
      <x:c r="D344" s="13" t="n">
        <x:v>7</x:v>
      </x:c>
      <x:c r="E344" s="12" t="str">
        <x:v>2026-09-09 11:20:16</x:v>
      </x:c>
      <x:c r="F344" s="12" t="str">
        <x:v>2026-09-09 11:20:28</x:v>
      </x:c>
      <x:c r="G344" s="12" t="str">
        <x:v>11:00</x:v>
      </x:c>
      <x:c r="H344" s="12" t="str">
        <x:v>10–13</x:v>
      </x:c>
      <x:c r="I344" s="12" t="str">
        <x:v>500119087</x:v>
      </x:c>
      <x:c r="J344" s="12" t="str">
        <x:v>臺大總圖書館西南側</x:v>
      </x:c>
      <x:c r="K344" s="12" t="str">
        <x:v>500119091</x:v>
      </x:c>
      <x:c r="L344" s="12" t="str">
        <x:v>臺大明達館北側(員工宿舍)</x:v>
      </x:c>
      <x:c r="M344" s="12" t="str">
        <x:v>實線</x:v>
      </x:c>
      <x:c r="N344" s="12" t="str">
        <x:v>臺大公館校區</x:v>
      </x:c>
      <x:c r="O344" s="12" t="str">
        <x:v>臺大公館校區</x:v>
      </x:c>
      <x:c r="P344" s="12" t="str">
        <x:v>兩端均500119*</x:v>
      </x:c>
    </x:row>
    <x:row r="345">
      <x:c r="A345" s="12" t="str">
        <x:v>2026-09-09</x:v>
      </x:c>
      <x:c r="B345" s="12" t="str">
        <x:v>ZZB-0001</x:v>
      </x:c>
      <x:c r="C345" s="12" t="str">
        <x:v>2.0</x:v>
      </x:c>
      <x:c r="D345" s="13" t="n">
        <x:v>7</x:v>
      </x:c>
      <x:c r="E345" s="12" t="str">
        <x:v>2026-09-09 12:28:15</x:v>
      </x:c>
      <x:c r="F345" s="12" t="str">
        <x:v>2026-09-09 12:28:29</x:v>
      </x:c>
      <x:c r="G345" s="12" t="str">
        <x:v>12:00</x:v>
      </x:c>
      <x:c r="H345" s="12" t="str">
        <x:v>10–13</x:v>
      </x:c>
      <x:c r="I345" s="12" t="str">
        <x:v>500119087</x:v>
      </x:c>
      <x:c r="J345" s="12" t="str">
        <x:v>臺大總圖書館西南側</x:v>
      </x:c>
      <x:c r="K345" s="12" t="str">
        <x:v>500119074</x:v>
      </x:c>
      <x:c r="L345" s="12" t="str">
        <x:v>臺大生命科學館西北側</x:v>
      </x:c>
      <x:c r="M345" s="12" t="str">
        <x:v>實線</x:v>
      </x:c>
      <x:c r="N345" s="12" t="str">
        <x:v>臺大公館校區</x:v>
      </x:c>
      <x:c r="O345" s="12" t="str">
        <x:v>臺大公館校區</x:v>
      </x:c>
      <x:c r="P345" s="12" t="str">
        <x:v>兩端均500119*</x:v>
      </x:c>
    </x:row>
    <x:row r="346">
      <x:c r="A346" s="12" t="str">
        <x:v>2026-09-09</x:v>
      </x:c>
      <x:c r="B346" s="12" t="str">
        <x:v>ZZB-0001</x:v>
      </x:c>
      <x:c r="C346" s="12" t="str">
        <x:v>2.0</x:v>
      </x:c>
      <x:c r="D346" s="13" t="n">
        <x:v>6</x:v>
      </x:c>
      <x:c r="E346" s="12" t="str">
        <x:v>2026-09-09 12:59:58</x:v>
      </x:c>
      <x:c r="F346" s="12" t="str">
        <x:v>2026-09-09 13:00:16</x:v>
      </x:c>
      <x:c r="G346" s="12" t="str">
        <x:v>12:00</x:v>
      </x:c>
      <x:c r="H346" s="12" t="str">
        <x:v>10–13</x:v>
      </x:c>
      <x:c r="I346" s="12" t="str">
        <x:v>500119086</x:v>
      </x:c>
      <x:c r="J346" s="12" t="str">
        <x:v>臺大圖資系館北側</x:v>
      </x:c>
      <x:c r="K346" s="12" t="str">
        <x:v>500119061</x:v>
      </x:c>
      <x:c r="L346" s="12" t="str">
        <x:v>臺大鹿鳴堂東側</x:v>
      </x:c>
      <x:c r="M346" s="12" t="str">
        <x:v>實線</x:v>
      </x:c>
      <x:c r="N346" s="12" t="str">
        <x:v>臺大公館校區</x:v>
      </x:c>
      <x:c r="O346" s="12" t="str">
        <x:v>臺大公館校區</x:v>
      </x:c>
      <x:c r="P346" s="12" t="str">
        <x:v>兩端均500119*</x:v>
      </x:c>
    </x:row>
    <x:row r="347">
      <x:c r="A347" s="12" t="str">
        <x:v>2026-09-09</x:v>
      </x:c>
      <x:c r="B347" s="12" t="str">
        <x:v>ZZB-0001</x:v>
      </x:c>
      <x:c r="C347" s="12" t="str">
        <x:v>2.0</x:v>
      </x:c>
      <x:c r="D347" s="13" t="n">
        <x:v>7</x:v>
      </x:c>
      <x:c r="E347" s="12" t="str">
        <x:v>2026-09-09 13:26:29</x:v>
      </x:c>
      <x:c r="F347" s="12" t="str">
        <x:v>2026-09-09 13:26:44</x:v>
      </x:c>
      <x:c r="G347" s="12" t="str">
        <x:v>13:00</x:v>
      </x:c>
      <x:c r="H347" s="12" t="str">
        <x:v>10–13</x:v>
      </x:c>
      <x:c r="I347" s="12" t="str">
        <x:v>500119072</x:v>
      </x:c>
      <x:c r="J347" s="12" t="str">
        <x:v>臺大原分所北側</x:v>
      </x:c>
      <x:c r="K347" s="12" t="str">
        <x:v>500119060</x:v>
      </x:c>
      <x:c r="L347" s="12" t="str">
        <x:v>臺大共同教室東南側</x:v>
      </x:c>
      <x:c r="M347" s="12" t="str">
        <x:v>實線</x:v>
      </x:c>
      <x:c r="N347" s="12" t="str">
        <x:v>臺大公館校區</x:v>
      </x:c>
      <x:c r="O347" s="12" t="str">
        <x:v>臺大公館校區</x:v>
      </x:c>
      <x:c r="P347" s="12" t="str">
        <x:v>兩端均500119*</x:v>
      </x:c>
    </x:row>
    <x:row r="348">
      <x:c r="A348" s="12" t="str">
        <x:v>2026-09-09</x:v>
      </x:c>
      <x:c r="B348" s="12" t="str">
        <x:v>ZZB-0001</x:v>
      </x:c>
      <x:c r="C348" s="12" t="str">
        <x:v>2.0</x:v>
      </x:c>
      <x:c r="D348" s="13" t="n">
        <x:v>5</x:v>
      </x:c>
      <x:c r="E348" s="12" t="str">
        <x:v>2026-09-09 13:58:45</x:v>
      </x:c>
      <x:c r="F348" s="12" t="str">
        <x:v>2026-09-09 13:59:21</x:v>
      </x:c>
      <x:c r="G348" s="12" t="str">
        <x:v>13:00</x:v>
      </x:c>
      <x:c r="H348" s="12" t="str">
        <x:v>10–13</x:v>
      </x:c>
      <x:c r="I348" s="12" t="str">
        <x:v>500119098</x:v>
      </x:c>
      <x:c r="J348" s="12" t="str">
        <x:v>臺大數學研究中心(東側)</x:v>
      </x:c>
      <x:c r="K348" s="12" t="str">
        <x:v>500119059</x:v>
      </x:c>
      <x:c r="L348" s="12" t="str">
        <x:v>臺大共同教室北側</x:v>
      </x:c>
      <x:c r="M348" s="12" t="str">
        <x:v>實線</x:v>
      </x:c>
      <x:c r="N348" s="12" t="str">
        <x:v>臺大公館校區</x:v>
      </x:c>
      <x:c r="O348" s="12" t="str">
        <x:v>臺大公館校區</x:v>
      </x:c>
      <x:c r="P348" s="12" t="str">
        <x:v>兩端均500119*</x:v>
      </x:c>
    </x:row>
    <x:row r="349">
      <x:c r="A349" s="12" t="str">
        <x:v>2026-09-09</x:v>
      </x:c>
      <x:c r="B349" s="12" t="str">
        <x:v>ZZB-0001</x:v>
      </x:c>
      <x:c r="C349" s="12" t="str">
        <x:v>2.0</x:v>
      </x:c>
      <x:c r="D349" s="13" t="n">
        <x:v>3</x:v>
      </x:c>
      <x:c r="E349" s="12" t="str">
        <x:v>2026-09-09 14:19:31</x:v>
      </x:c>
      <x:c r="F349" s="12" t="str">
        <x:v>2026-09-09 14:19:44</x:v>
      </x:c>
      <x:c r="G349" s="12" t="str">
        <x:v>14:00</x:v>
      </x:c>
      <x:c r="H349" s="12" t="str">
        <x:v>14–17</x:v>
      </x:c>
      <x:c r="I349" s="12" t="str">
        <x:v>500119072</x:v>
      </x:c>
      <x:c r="J349" s="12" t="str">
        <x:v>臺大原分所北側</x:v>
      </x:c>
      <x:c r="K349" s="12" t="str">
        <x:v>500119091</x:v>
      </x:c>
      <x:c r="L349" s="12" t="str">
        <x:v>臺大明達館北側(員工宿舍)</x:v>
      </x:c>
      <x:c r="M349" s="12" t="str">
        <x:v>實線</x:v>
      </x:c>
      <x:c r="N349" s="12" t="str">
        <x:v>臺大公館校區</x:v>
      </x:c>
      <x:c r="O349" s="12" t="str">
        <x:v>臺大公館校區</x:v>
      </x:c>
      <x:c r="P349" s="12" t="str">
        <x:v>兩端均500119*</x:v>
      </x:c>
    </x:row>
    <x:row r="350">
      <x:c r="A350" s="12" t="str">
        <x:v>2026-09-09</x:v>
      </x:c>
      <x:c r="B350" s="12" t="str">
        <x:v>ZZB-0001</x:v>
      </x:c>
      <x:c r="C350" s="12" t="str">
        <x:v>2.0</x:v>
      </x:c>
      <x:c r="D350" s="13" t="n">
        <x:v>7</x:v>
      </x:c>
      <x:c r="E350" s="12" t="str">
        <x:v>2026-09-09 17:40:33</x:v>
      </x:c>
      <x:c r="F350" s="12" t="str">
        <x:v>2026-09-09 17:40:45</x:v>
      </x:c>
      <x:c r="G350" s="12" t="str">
        <x:v>17:00</x:v>
      </x:c>
      <x:c r="H350" s="12" t="str">
        <x:v>14–17</x:v>
      </x:c>
      <x:c r="I350" s="12" t="str">
        <x:v>500119048</x:v>
      </x:c>
      <x:c r="J350" s="12" t="str">
        <x:v>臺大大一女舍北側</x:v>
      </x:c>
      <x:c r="K350" s="12" t="str">
        <x:v>500119059</x:v>
      </x:c>
      <x:c r="L350" s="12" t="str">
        <x:v>臺大共同教室北側</x:v>
      </x:c>
      <x:c r="M350" s="12" t="str">
        <x:v>實線</x:v>
      </x:c>
      <x:c r="N350" s="12" t="str">
        <x:v>臺大公館校區</x:v>
      </x:c>
      <x:c r="O350" s="12" t="str">
        <x:v>臺大公館校區</x:v>
      </x:c>
      <x:c r="P350" s="12" t="str">
        <x:v>兩端均500119*</x:v>
      </x:c>
    </x:row>
    <x:row r="351">
      <x:c r="A351" s="12" t="str">
        <x:v>2026-09-09</x:v>
      </x:c>
      <x:c r="B351" s="12" t="str">
        <x:v>ZZB-0001</x:v>
      </x:c>
      <x:c r="C351" s="12" t="str">
        <x:v>2.0</x:v>
      </x:c>
      <x:c r="D351" s="13" t="n">
        <x:v>7</x:v>
      </x:c>
      <x:c r="E351" s="12" t="str">
        <x:v>2026-09-09 17:58:03</x:v>
      </x:c>
      <x:c r="F351" s="12" t="str">
        <x:v>2026-09-09 17:58:16</x:v>
      </x:c>
      <x:c r="G351" s="12" t="str">
        <x:v>17:00</x:v>
      </x:c>
      <x:c r="H351" s="12" t="str">
        <x:v>14–17</x:v>
      </x:c>
      <x:c r="I351" s="12" t="str">
        <x:v>500101276</x:v>
      </x:c>
      <x:c r="J351" s="12" t="str">
        <x:v>羅斯福新生南路口</x:v>
      </x:c>
      <x:c r="K351" s="12" t="str">
        <x:v>500119059</x:v>
      </x:c>
      <x:c r="L351" s="12" t="str">
        <x:v>臺大共同教室北側</x:v>
      </x:c>
      <x:c r="M351" s="12" t="str">
        <x:v>虛線</x:v>
      </x:c>
      <x:c r="N351" s="12" t="str">
        <x:v>大安區</x:v>
      </x:c>
      <x:c r="O351" s="12" t="str">
        <x:v>臺大公館校區</x:v>
      </x:c>
      <x:c r="P351" s="12" t="str">
        <x:v>任一端非500119*</x:v>
      </x:c>
    </x:row>
    <x:row r="352">
      <x:c r="A352" s="12" t="str">
        <x:v>2026-09-09</x:v>
      </x:c>
      <x:c r="B352" s="12" t="str">
        <x:v>ZZB-0001</x:v>
      </x:c>
      <x:c r="C352" s="12" t="str">
        <x:v>2.0</x:v>
      </x:c>
      <x:c r="D352" s="13" t="n">
        <x:v>7</x:v>
      </x:c>
      <x:c r="E352" s="12" t="str">
        <x:v>2026-09-09 18:13:00</x:v>
      </x:c>
      <x:c r="F352" s="12" t="str">
        <x:v>2026-09-09 18:13:12</x:v>
      </x:c>
      <x:c r="G352" s="12" t="str">
        <x:v>18:00</x:v>
      </x:c>
      <x:c r="H352" s="12" t="str">
        <x:v>18–21</x:v>
      </x:c>
      <x:c r="I352" s="12" t="str">
        <x:v>500119094</x:v>
      </x:c>
      <x:c r="J352" s="12" t="str">
        <x:v>臺大大一女餐廳廣場</x:v>
      </x:c>
      <x:c r="K352" s="12" t="str">
        <x:v>500119061</x:v>
      </x:c>
      <x:c r="L352" s="12" t="str">
        <x:v>臺大鹿鳴堂東側</x:v>
      </x:c>
      <x:c r="M352" s="12" t="str">
        <x:v>實線</x:v>
      </x:c>
      <x:c r="N352" s="12" t="str">
        <x:v>臺大公館校區</x:v>
      </x:c>
      <x:c r="O352" s="12" t="str">
        <x:v>臺大公館校區</x:v>
      </x:c>
      <x:c r="P352" s="12" t="str">
        <x:v>兩端均500119*</x:v>
      </x:c>
    </x:row>
    <x:row r="353">
      <x:c r="A353" s="12" t="str">
        <x:v>2026-09-09</x:v>
      </x:c>
      <x:c r="B353" s="12" t="str">
        <x:v>ZZB-0001</x:v>
      </x:c>
      <x:c r="C353" s="12" t="str">
        <x:v>2.0</x:v>
      </x:c>
      <x:c r="D353" s="13" t="n">
        <x:v>7</x:v>
      </x:c>
      <x:c r="E353" s="12" t="str">
        <x:v>2026-09-09 21:53:05</x:v>
      </x:c>
      <x:c r="F353" s="12" t="str">
        <x:v>2026-09-09 21:53:16</x:v>
      </x:c>
      <x:c r="G353" s="12" t="str">
        <x:v>21:00</x:v>
      </x:c>
      <x:c r="H353" s="12" t="str">
        <x:v>18–21</x:v>
      </x:c>
      <x:c r="I353" s="12" t="str">
        <x:v>500101181</x:v>
      </x:c>
      <x:c r="J353" s="12" t="str">
        <x:v>捷運公館站(3號出口)</x:v>
      </x:c>
      <x:c r="K353" s="12" t="str">
        <x:v>500119056</x:v>
      </x:c>
      <x:c r="L353" s="12" t="str">
        <x:v>臺大農化新館西側</x:v>
      </x:c>
      <x:c r="M353" s="12" t="str">
        <x:v>虛線</x:v>
      </x:c>
      <x:c r="N353" s="12" t="str">
        <x:v>大安區</x:v>
      </x:c>
      <x:c r="O353" s="12" t="str">
        <x:v>臺大公館校區</x:v>
      </x:c>
      <x:c r="P353" s="12" t="str">
        <x:v>任一端非500119*</x:v>
      </x:c>
    </x:row>
    <x:row r="354">
      <x:c r="A354" s="12" t="str">
        <x:v>2026-09-09</x:v>
      </x:c>
      <x:c r="B354" s="12" t="str">
        <x:v>ZZB-0001</x:v>
      </x:c>
      <x:c r="C354" s="12" t="str">
        <x:v>2.0</x:v>
      </x:c>
      <x:c r="D354" s="13" t="n">
        <x:v>15</x:v>
      </x:c>
      <x:c r="E354" s="12" t="str">
        <x:v>2026-09-09 22:42:53</x:v>
      </x:c>
      <x:c r="F354" s="12" t="str">
        <x:v>2026-09-09 22:43:07</x:v>
      </x:c>
      <x:c r="G354" s="12" t="str">
        <x:v>22:00</x:v>
      </x:c>
      <x:c r="H354" s="12" t="str">
        <x:v>22–23</x:v>
      </x:c>
      <x:c r="I354" s="12" t="str">
        <x:v>500101181</x:v>
      </x:c>
      <x:c r="J354" s="12" t="str">
        <x:v>捷運公館站(3號出口)</x:v>
      </x:c>
      <x:c r="K354" s="12" t="str">
        <x:v>500101181</x:v>
      </x:c>
      <x:c r="L354" s="12" t="str">
        <x:v>捷運公館站(3號出口)</x:v>
      </x:c>
      <x:c r="M354" s="12" t="str">
        <x:v>虛線</x:v>
      </x:c>
      <x:c r="N354" s="12" t="str">
        <x:v>大安區</x:v>
      </x:c>
      <x:c r="O354" s="12" t="str">
        <x:v>大安區</x:v>
      </x:c>
      <x:c r="P354" s="12" t="str">
        <x:v>任一端非500119*</x:v>
      </x:c>
    </x:row>
    <x:row r="355">
      <x:c r="A355" s="12" t="str">
        <x:v>2026-09-09</x:v>
      </x:c>
      <x:c r="B355" s="12" t="str">
        <x:v>ZZB-0001</x:v>
      </x:c>
      <x:c r="C355" s="12" t="str">
        <x:v>2.0E</x:v>
      </x:c>
      <x:c r="D355" s="13" t="n">
        <x:v>2</x:v>
      </x:c>
      <x:c r="E355" s="12" t="str">
        <x:v>2026-09-09 09:18:46</x:v>
      </x:c>
      <x:c r="F355" s="12" t="str">
        <x:v>2026-09-09 09:19:01</x:v>
      </x:c>
      <x:c r="G355" s="12" t="str">
        <x:v>09:00</x:v>
      </x:c>
      <x:c r="H355" s="12" t="str">
        <x:v>06–09</x:v>
      </x:c>
      <x:c r="I355" s="12" t="str">
        <x:v>500119087</x:v>
      </x:c>
      <x:c r="J355" s="12" t="str">
        <x:v>臺大總圖書館西南側</x:v>
      </x:c>
      <x:c r="K355" s="12" t="str">
        <x:v>500119059</x:v>
      </x:c>
      <x:c r="L355" s="12" t="str">
        <x:v>臺大共同教室北側</x:v>
      </x:c>
      <x:c r="M355" s="12" t="str">
        <x:v>實線</x:v>
      </x:c>
      <x:c r="N355" s="12" t="str">
        <x:v>臺大公館校區</x:v>
      </x:c>
      <x:c r="O355" s="12" t="str">
        <x:v>臺大公館校區</x:v>
      </x:c>
      <x:c r="P355" s="12" t="str">
        <x:v>兩端均500119*</x:v>
      </x:c>
    </x:row>
    <x:row r="356">
      <x:c r="A356" s="12" t="str">
        <x:v>2026-09-09</x:v>
      </x:c>
      <x:c r="B356" s="12" t="str">
        <x:v>ZZB-0001</x:v>
      </x:c>
      <x:c r="C356" s="12" t="str">
        <x:v>2.0E</x:v>
      </x:c>
      <x:c r="D356" s="13" t="n">
        <x:v>1</x:v>
      </x:c>
      <x:c r="E356" s="12" t="str">
        <x:v>2026-09-09 09:40:03</x:v>
      </x:c>
      <x:c r="F356" s="12" t="str">
        <x:v>2026-09-09 09:40:18</x:v>
      </x:c>
      <x:c r="G356" s="12" t="str">
        <x:v>09:00</x:v>
      </x:c>
      <x:c r="H356" s="12" t="str">
        <x:v>06–09</x:v>
      </x:c>
      <x:c r="I356" s="12" t="str">
        <x:v>500119072</x:v>
      </x:c>
      <x:c r="J356" s="12" t="str">
        <x:v>臺大原分所北側</x:v>
      </x:c>
      <x:c r="K356" s="12" t="str">
        <x:v>500119061</x:v>
      </x:c>
      <x:c r="L356" s="12" t="str">
        <x:v>臺大鹿鳴堂東側</x:v>
      </x:c>
      <x:c r="M356" s="12" t="str">
        <x:v>實線</x:v>
      </x:c>
      <x:c r="N356" s="12" t="str">
        <x:v>臺大公館校區</x:v>
      </x:c>
      <x:c r="O356" s="12" t="str">
        <x:v>臺大公館校區</x:v>
      </x:c>
      <x:c r="P356" s="12" t="str">
        <x:v>兩端均500119*</x:v>
      </x:c>
    </x:row>
    <x:row r="357">
      <x:c r="A357" s="12" t="str">
        <x:v>2026-09-09</x:v>
      </x:c>
      <x:c r="B357" s="12" t="str">
        <x:v>ZZB-0001</x:v>
      </x:c>
      <x:c r="C357" s="12" t="str">
        <x:v>2.0E</x:v>
      </x:c>
      <x:c r="D357" s="13" t="n">
        <x:v>1</x:v>
      </x:c>
      <x:c r="E357" s="12" t="str">
        <x:v>2026-09-09 10:10:37</x:v>
      </x:c>
      <x:c r="F357" s="12" t="str">
        <x:v>2026-09-09 10:10:50</x:v>
      </x:c>
      <x:c r="G357" s="12" t="str">
        <x:v>10:00</x:v>
      </x:c>
      <x:c r="H357" s="12" t="str">
        <x:v>10–13</x:v>
      </x:c>
      <x:c r="I357" s="12" t="str">
        <x:v>500119086</x:v>
      </x:c>
      <x:c r="J357" s="12" t="str">
        <x:v>臺大圖資系館北側</x:v>
      </x:c>
      <x:c r="K357" s="12" t="str">
        <x:v>500119060</x:v>
      </x:c>
      <x:c r="L357" s="12" t="str">
        <x:v>臺大共同教室東南側</x:v>
      </x:c>
      <x:c r="M357" s="12" t="str">
        <x:v>實線</x:v>
      </x:c>
      <x:c r="N357" s="12" t="str">
        <x:v>臺大公館校區</x:v>
      </x:c>
      <x:c r="O357" s="12" t="str">
        <x:v>臺大公館校區</x:v>
      </x:c>
      <x:c r="P357" s="12" t="str">
        <x:v>兩端均500119*</x:v>
      </x:c>
    </x:row>
    <x:row r="358">
      <x:c r="A358" s="12" t="str">
        <x:v>2026-09-09</x:v>
      </x:c>
      <x:c r="B358" s="12" t="str">
        <x:v>ZZB-0001</x:v>
      </x:c>
      <x:c r="C358" s="12" t="str">
        <x:v>2.0E</x:v>
      </x:c>
      <x:c r="D358" s="13" t="n">
        <x:v>2</x:v>
      </x:c>
      <x:c r="E358" s="12" t="str">
        <x:v>2026-09-09 10:57:43</x:v>
      </x:c>
      <x:c r="F358" s="12" t="str">
        <x:v>2026-09-09 10:58:00</x:v>
      </x:c>
      <x:c r="G358" s="12" t="str">
        <x:v>10:00</x:v>
      </x:c>
      <x:c r="H358" s="12" t="str">
        <x:v>10–13</x:v>
      </x:c>
      <x:c r="I358" s="12" t="str">
        <x:v>500119098</x:v>
      </x:c>
      <x:c r="J358" s="12" t="str">
        <x:v>臺大數學研究中心(東側)</x:v>
      </x:c>
      <x:c r="K358" s="12" t="str">
        <x:v>500119094</x:v>
      </x:c>
      <x:c r="L358" s="12" t="str">
        <x:v>臺大大一女餐廳廣場</x:v>
      </x:c>
      <x:c r="M358" s="12" t="str">
        <x:v>實線</x:v>
      </x:c>
      <x:c r="N358" s="12" t="str">
        <x:v>臺大公館校區</x:v>
      </x:c>
      <x:c r="O358" s="12" t="str">
        <x:v>臺大公館校區</x:v>
      </x:c>
      <x:c r="P358" s="12" t="str">
        <x:v>兩端均500119*</x:v>
      </x:c>
    </x:row>
    <x:row r="359">
      <x:c r="A359" s="12" t="str">
        <x:v>2026-09-09</x:v>
      </x:c>
      <x:c r="B359" s="12" t="str">
        <x:v>ZZB-0001</x:v>
      </x:c>
      <x:c r="C359" s="12" t="str">
        <x:v>2.0E</x:v>
      </x:c>
      <x:c r="D359" s="13" t="n">
        <x:v>1</x:v>
      </x:c>
      <x:c r="E359" s="12" t="str">
        <x:v>2026-09-09 12:59:58</x:v>
      </x:c>
      <x:c r="F359" s="12" t="str">
        <x:v>2026-09-09 13:00:16</x:v>
      </x:c>
      <x:c r="G359" s="12" t="str">
        <x:v>12:00</x:v>
      </x:c>
      <x:c r="H359" s="12" t="str">
        <x:v>10–13</x:v>
      </x:c>
      <x:c r="I359" s="12" t="str">
        <x:v>500119086</x:v>
      </x:c>
      <x:c r="J359" s="12" t="str">
        <x:v>臺大圖資系館北側</x:v>
      </x:c>
      <x:c r="K359" s="12" t="str">
        <x:v>500119061</x:v>
      </x:c>
      <x:c r="L359" s="12" t="str">
        <x:v>臺大鹿鳴堂東側</x:v>
      </x:c>
      <x:c r="M359" s="12" t="str">
        <x:v>實線</x:v>
      </x:c>
      <x:c r="N359" s="12" t="str">
        <x:v>臺大公館校區</x:v>
      </x:c>
      <x:c r="O359" s="12" t="str">
        <x:v>臺大公館校區</x:v>
      </x:c>
      <x:c r="P359" s="12" t="str">
        <x:v>兩端均500119*</x:v>
      </x:c>
    </x:row>
    <x:row r="360">
      <x:c r="A360" s="12" t="str">
        <x:v>2026-09-09</x:v>
      </x:c>
      <x:c r="B360" s="12" t="str">
        <x:v>ZZB-0001</x:v>
      </x:c>
      <x:c r="C360" s="12" t="str">
        <x:v>2.0E</x:v>
      </x:c>
      <x:c r="D360" s="13" t="n">
        <x:v>2</x:v>
      </x:c>
      <x:c r="E360" s="12" t="str">
        <x:v>2026-09-09 13:58:45</x:v>
      </x:c>
      <x:c r="F360" s="12" t="str">
        <x:v>2026-09-09 13:59:21</x:v>
      </x:c>
      <x:c r="G360" s="12" t="str">
        <x:v>13:00</x:v>
      </x:c>
      <x:c r="H360" s="12" t="str">
        <x:v>10–13</x:v>
      </x:c>
      <x:c r="I360" s="12" t="str">
        <x:v>500119098</x:v>
      </x:c>
      <x:c r="J360" s="12" t="str">
        <x:v>臺大數學研究中心(東側)</x:v>
      </x:c>
      <x:c r="K360" s="12" t="str">
        <x:v>500119059</x:v>
      </x:c>
      <x:c r="L360" s="12" t="str">
        <x:v>臺大共同教室北側</x:v>
      </x:c>
      <x:c r="M360" s="12" t="str">
        <x:v>實線</x:v>
      </x:c>
      <x:c r="N360" s="12" t="str">
        <x:v>臺大公館校區</x:v>
      </x:c>
      <x:c r="O360" s="12" t="str">
        <x:v>臺大公館校區</x:v>
      </x:c>
      <x:c r="P360" s="12" t="str">
        <x:v>兩端均500119*</x:v>
      </x:c>
    </x:row>
    <x:row r="361">
      <x:c r="A361" s="12" t="str">
        <x:v>2026-09-09</x:v>
      </x:c>
      <x:c r="B361" s="12" t="str">
        <x:v>ZZB-0004</x:v>
      </x:c>
      <x:c r="C361" s="12" t="str">
        <x:v>2.0</x:v>
      </x:c>
      <x:c r="D361" s="13" t="n">
        <x:v>7</x:v>
      </x:c>
      <x:c r="E361" s="12" t="str">
        <x:v>2026-09-09 08:54:36</x:v>
      </x:c>
      <x:c r="F361" s="12" t="str">
        <x:v>2026-09-09 08:59:50</x:v>
      </x:c>
      <x:c r="G361" s="12" t="str">
        <x:v>08:00</x:v>
      </x:c>
      <x:c r="H361" s="12" t="str">
        <x:v>06–09</x:v>
      </x:c>
      <x:c r="I361" s="12" t="str">
        <x:v>500119050</x:v>
      </x:c>
      <x:c r="J361" s="12" t="str">
        <x:v>臺大小福樓東側</x:v>
      </x:c>
      <x:c r="K361" s="12" t="str">
        <x:v>500119097</x:v>
      </x:c>
      <x:c r="L361" s="12" t="str">
        <x:v>臺大人文館</x:v>
      </x:c>
      <x:c r="M361" s="12" t="str">
        <x:v>實線</x:v>
      </x:c>
      <x:c r="N361" s="12" t="str">
        <x:v>臺大公館校區</x:v>
      </x:c>
      <x:c r="O361" s="12" t="str">
        <x:v>臺大公館校區</x:v>
      </x:c>
      <x:c r="P361" s="12" t="str">
        <x:v>兩端均500119*</x:v>
      </x:c>
    </x:row>
    <x:row r="362">
      <x:c r="A362" s="12" t="str">
        <x:v>2026-09-09</x:v>
      </x:c>
      <x:c r="B362" s="12" t="str">
        <x:v>ZZB-0004</x:v>
      </x:c>
      <x:c r="C362" s="12" t="str">
        <x:v>2.0</x:v>
      </x:c>
      <x:c r="D362" s="13" t="n">
        <x:v>7</x:v>
      </x:c>
      <x:c r="E362" s="12" t="str">
        <x:v>2026-09-09 09:07:41</x:v>
      </x:c>
      <x:c r="F362" s="12" t="str">
        <x:v>2026-09-09 09:13:13</x:v>
      </x:c>
      <x:c r="G362" s="12" t="str">
        <x:v>09:00</x:v>
      </x:c>
      <x:c r="H362" s="12" t="str">
        <x:v>06–09</x:v>
      </x:c>
      <x:c r="I362" s="12" t="str">
        <x:v>500119050</x:v>
      </x:c>
      <x:c r="J362" s="12" t="str">
        <x:v>臺大小福樓東側</x:v>
      </x:c>
      <x:c r="K362" s="12" t="str">
        <x:v>500119050</x:v>
      </x:c>
      <x:c r="L362" s="12" t="str">
        <x:v>臺大小福樓東側</x:v>
      </x:c>
      <x:c r="M362" s="12" t="str">
        <x:v>實線</x:v>
      </x:c>
      <x:c r="N362" s="12" t="str">
        <x:v>臺大公館校區</x:v>
      </x:c>
      <x:c r="O362" s="12" t="str">
        <x:v>臺大公館校區</x:v>
      </x:c>
      <x:c r="P362" s="12" t="str">
        <x:v>兩端均500119*</x:v>
      </x:c>
    </x:row>
    <x:row r="363">
      <x:c r="A363" s="12" t="str">
        <x:v>2026-09-09</x:v>
      </x:c>
      <x:c r="B363" s="12" t="str">
        <x:v>ZZB-0004</x:v>
      </x:c>
      <x:c r="C363" s="12" t="str">
        <x:v>2.0</x:v>
      </x:c>
      <x:c r="D363" s="13" t="n">
        <x:v>2</x:v>
      </x:c>
      <x:c r="E363" s="12" t="str">
        <x:v>2026-09-09 09:21:26</x:v>
      </x:c>
      <x:c r="F363" s="12" t="str">
        <x:v>2026-09-09 09:30:18</x:v>
      </x:c>
      <x:c r="G363" s="12" t="str">
        <x:v>09:00</x:v>
      </x:c>
      <x:c r="H363" s="12" t="str">
        <x:v>06–09</x:v>
      </x:c>
      <x:c r="I363" s="12" t="str">
        <x:v>500119050</x:v>
      </x:c>
      <x:c r="J363" s="12" t="str">
        <x:v>臺大小福樓東側</x:v>
      </x:c>
      <x:c r="K363" s="12" t="str">
        <x:v>500119097</x:v>
      </x:c>
      <x:c r="L363" s="12" t="str">
        <x:v>臺大人文館</x:v>
      </x:c>
      <x:c r="M363" s="12" t="str">
        <x:v>實線</x:v>
      </x:c>
      <x:c r="N363" s="12" t="str">
        <x:v>臺大公館校區</x:v>
      </x:c>
      <x:c r="O363" s="12" t="str">
        <x:v>臺大公館校區</x:v>
      </x:c>
      <x:c r="P363" s="12" t="str">
        <x:v>兩端均500119*</x:v>
      </x:c>
    </x:row>
    <x:row r="364">
      <x:c r="A364" s="12" t="str">
        <x:v>2026-09-09</x:v>
      </x:c>
      <x:c r="B364" s="12" t="str">
        <x:v>ZZB-0004</x:v>
      </x:c>
      <x:c r="C364" s="12" t="str">
        <x:v>2.0</x:v>
      </x:c>
      <x:c r="D364" s="13" t="n">
        <x:v>3</x:v>
      </x:c>
      <x:c r="E364" s="12" t="str">
        <x:v>2026-09-09 09:39:28</x:v>
      </x:c>
      <x:c r="F364" s="12" t="str">
        <x:v>2026-09-09 09:45:27</x:v>
      </x:c>
      <x:c r="G364" s="12" t="str">
        <x:v>09:00</x:v>
      </x:c>
      <x:c r="H364" s="12" t="str">
        <x:v>06–09</x:v>
      </x:c>
      <x:c r="I364" s="12" t="str">
        <x:v>500119050</x:v>
      </x:c>
      <x:c r="J364" s="12" t="str">
        <x:v>臺大小福樓東側</x:v>
      </x:c>
      <x:c r="K364" s="12" t="str">
        <x:v>500119082</x:v>
      </x:c>
      <x:c r="L364" s="12" t="str">
        <x:v>臺大四號館東北側</x:v>
      </x:c>
      <x:c r="M364" s="12" t="str">
        <x:v>實線</x:v>
      </x:c>
      <x:c r="N364" s="12" t="str">
        <x:v>臺大公館校區</x:v>
      </x:c>
      <x:c r="O364" s="12" t="str">
        <x:v>臺大公館校區</x:v>
      </x:c>
      <x:c r="P364" s="12" t="str">
        <x:v>兩端均500119*</x:v>
      </x:c>
    </x:row>
    <x:row r="365">
      <x:c r="A365" s="12" t="str">
        <x:v>2026-09-09</x:v>
      </x:c>
      <x:c r="B365" s="12" t="str">
        <x:v>ZZB-0004</x:v>
      </x:c>
      <x:c r="C365" s="12" t="str">
        <x:v>2.0</x:v>
      </x:c>
      <x:c r="D365" s="13" t="n">
        <x:v>7</x:v>
      </x:c>
      <x:c r="E365" s="12" t="str">
        <x:v>2026-09-09 09:55:26</x:v>
      </x:c>
      <x:c r="F365" s="12" t="str">
        <x:v>2026-09-09 10:01:57</x:v>
      </x:c>
      <x:c r="G365" s="12" t="str">
        <x:v>09:00</x:v>
      </x:c>
      <x:c r="H365" s="12" t="str">
        <x:v>06–09</x:v>
      </x:c>
      <x:c r="I365" s="12" t="str">
        <x:v>500119072</x:v>
      </x:c>
      <x:c r="J365" s="12" t="str">
        <x:v>臺大原分所北側</x:v>
      </x:c>
      <x:c r="K365" s="12" t="str">
        <x:v>500119082</x:v>
      </x:c>
      <x:c r="L365" s="12" t="str">
        <x:v>臺大四號館東北側</x:v>
      </x:c>
      <x:c r="M365" s="12" t="str">
        <x:v>實線</x:v>
      </x:c>
      <x:c r="N365" s="12" t="str">
        <x:v>臺大公館校區</x:v>
      </x:c>
      <x:c r="O365" s="12" t="str">
        <x:v>臺大公館校區</x:v>
      </x:c>
      <x:c r="P365" s="12" t="str">
        <x:v>兩端均500119*</x:v>
      </x:c>
    </x:row>
    <x:row r="366">
      <x:c r="A366" s="12" t="str">
        <x:v>2026-09-09</x:v>
      </x:c>
      <x:c r="B366" s="12" t="str">
        <x:v>ZZB-0004</x:v>
      </x:c>
      <x:c r="C366" s="12" t="str">
        <x:v>2.0</x:v>
      </x:c>
      <x:c r="D366" s="13" t="n">
        <x:v>7</x:v>
      </x:c>
      <x:c r="E366" s="12" t="str">
        <x:v>2026-09-09 10:10:10</x:v>
      </x:c>
      <x:c r="F366" s="12" t="str">
        <x:v>2026-09-09 10:15:54</x:v>
      </x:c>
      <x:c r="G366" s="12" t="str">
        <x:v>10:00</x:v>
      </x:c>
      <x:c r="H366" s="12" t="str">
        <x:v>10–13</x:v>
      </x:c>
      <x:c r="I366" s="12" t="str">
        <x:v>500119050</x:v>
      </x:c>
      <x:c r="J366" s="12" t="str">
        <x:v>臺大小福樓東側</x:v>
      </x:c>
      <x:c r="K366" s="12" t="str">
        <x:v>500119097</x:v>
      </x:c>
      <x:c r="L366" s="12" t="str">
        <x:v>臺大人文館</x:v>
      </x:c>
      <x:c r="M366" s="12" t="str">
        <x:v>實線</x:v>
      </x:c>
      <x:c r="N366" s="12" t="str">
        <x:v>臺大公館校區</x:v>
      </x:c>
      <x:c r="O366" s="12" t="str">
        <x:v>臺大公館校區</x:v>
      </x:c>
      <x:c r="P366" s="12" t="str">
        <x:v>兩端均500119*</x:v>
      </x:c>
    </x:row>
    <x:row r="367">
      <x:c r="A367" s="12" t="str">
        <x:v>2026-09-09</x:v>
      </x:c>
      <x:c r="B367" s="12" t="str">
        <x:v>ZZB-0004</x:v>
      </x:c>
      <x:c r="C367" s="12" t="str">
        <x:v>2.0</x:v>
      </x:c>
      <x:c r="D367" s="13" t="n">
        <x:v>7</x:v>
      </x:c>
      <x:c r="E367" s="12" t="str">
        <x:v>2026-09-09 10:28:12</x:v>
      </x:c>
      <x:c r="F367" s="12" t="str">
        <x:v>2026-09-09 10:33:29</x:v>
      </x:c>
      <x:c r="G367" s="12" t="str">
        <x:v>10:00</x:v>
      </x:c>
      <x:c r="H367" s="12" t="str">
        <x:v>10–13</x:v>
      </x:c>
      <x:c r="I367" s="12" t="str">
        <x:v>500119050</x:v>
      </x:c>
      <x:c r="J367" s="12" t="str">
        <x:v>臺大小福樓東側</x:v>
      </x:c>
      <x:c r="K367" s="12" t="str">
        <x:v>500119082</x:v>
      </x:c>
      <x:c r="L367" s="12" t="str">
        <x:v>臺大四號館東北側</x:v>
      </x:c>
      <x:c r="M367" s="12" t="str">
        <x:v>實線</x:v>
      </x:c>
      <x:c r="N367" s="12" t="str">
        <x:v>臺大公館校區</x:v>
      </x:c>
      <x:c r="O367" s="12" t="str">
        <x:v>臺大公館校區</x:v>
      </x:c>
      <x:c r="P367" s="12" t="str">
        <x:v>兩端均500119*</x:v>
      </x:c>
    </x:row>
    <x:row r="368">
      <x:c r="A368" s="12" t="str">
        <x:v>2026-09-09</x:v>
      </x:c>
      <x:c r="B368" s="12" t="str">
        <x:v>ZZB-0004</x:v>
      </x:c>
      <x:c r="C368" s="12" t="str">
        <x:v>2.0</x:v>
      </x:c>
      <x:c r="D368" s="13" t="n">
        <x:v>6</x:v>
      </x:c>
      <x:c r="E368" s="12" t="str">
        <x:v>2026-09-09 10:46:11</x:v>
      </x:c>
      <x:c r="F368" s="12" t="str">
        <x:v>2026-09-09 10:59:16</x:v>
      </x:c>
      <x:c r="G368" s="12" t="str">
        <x:v>10:00</x:v>
      </x:c>
      <x:c r="H368" s="12" t="str">
        <x:v>10–13</x:v>
      </x:c>
      <x:c r="I368" s="12" t="str">
        <x:v>500119083</x:v>
      </x:c>
      <x:c r="J368" s="12" t="str">
        <x:v>臺大新生教室南側</x:v>
      </x:c>
      <x:c r="K368" s="12" t="str">
        <x:v>500119064</x:v>
      </x:c>
      <x:c r="L368" s="12" t="str">
        <x:v>臺大明達館機車停車場</x:v>
      </x:c>
      <x:c r="M368" s="12" t="str">
        <x:v>實線</x:v>
      </x:c>
      <x:c r="N368" s="12" t="str">
        <x:v>臺大公館校區</x:v>
      </x:c>
      <x:c r="O368" s="12" t="str">
        <x:v>臺大公館校區</x:v>
      </x:c>
      <x:c r="P368" s="12" t="str">
        <x:v>兩端均500119*</x:v>
      </x:c>
    </x:row>
    <x:row r="369">
      <x:c r="A369" s="12" t="str">
        <x:v>2026-09-09</x:v>
      </x:c>
      <x:c r="B369" s="12" t="str">
        <x:v>ZZB-0004</x:v>
      </x:c>
      <x:c r="C369" s="12" t="str">
        <x:v>2.0</x:v>
      </x:c>
      <x:c r="D369" s="13" t="n">
        <x:v>7</x:v>
      </x:c>
      <x:c r="E369" s="12" t="str">
        <x:v>2026-09-09 11:06:16</x:v>
      </x:c>
      <x:c r="F369" s="12" t="str">
        <x:v>2026-09-09 11:16:01</x:v>
      </x:c>
      <x:c r="G369" s="12" t="str">
        <x:v>11:00</x:v>
      </x:c>
      <x:c r="H369" s="12" t="str">
        <x:v>10–13</x:v>
      </x:c>
      <x:c r="I369" s="12" t="str">
        <x:v>500119085</x:v>
      </x:c>
      <x:c r="J369" s="12" t="str">
        <x:v>臺大電機二館東南側</x:v>
      </x:c>
      <x:c r="K369" s="12" t="str">
        <x:v>500119091</x:v>
      </x:c>
      <x:c r="L369" s="12" t="str">
        <x:v>臺大明達館北側(員工宿舍)</x:v>
      </x:c>
      <x:c r="M369" s="12" t="str">
        <x:v>實線</x:v>
      </x:c>
      <x:c r="N369" s="12" t="str">
        <x:v>臺大公館校區</x:v>
      </x:c>
      <x:c r="O369" s="12" t="str">
        <x:v>臺大公館校區</x:v>
      </x:c>
      <x:c r="P369" s="12" t="str">
        <x:v>兩端均500119*</x:v>
      </x:c>
    </x:row>
    <x:row r="370">
      <x:c r="A370" s="12" t="str">
        <x:v>2026-09-09</x:v>
      </x:c>
      <x:c r="B370" s="12" t="str">
        <x:v>ZZB-0004</x:v>
      </x:c>
      <x:c r="C370" s="12" t="str">
        <x:v>2.0</x:v>
      </x:c>
      <x:c r="D370" s="13" t="n">
        <x:v>7</x:v>
      </x:c>
      <x:c r="E370" s="12" t="str">
        <x:v>2026-09-09 13:09:24</x:v>
      </x:c>
      <x:c r="F370" s="12" t="str">
        <x:v>2026-09-09 13:09:33</x:v>
      </x:c>
      <x:c r="G370" s="12" t="str">
        <x:v>13:00</x:v>
      </x:c>
      <x:c r="H370" s="12" t="str">
        <x:v>10–13</x:v>
      </x:c>
      <x:c r="I370" s="12" t="str">
        <x:v>500119052</x:v>
      </x:c>
      <x:c r="J370" s="12" t="str">
        <x:v>臺大工綜館南側</x:v>
      </x:c>
      <x:c r="K370" s="12" t="str">
        <x:v>500119045</x:v>
      </x:c>
      <x:c r="L370" s="12" t="str">
        <x:v>臺大農業陳列館北側</x:v>
      </x:c>
      <x:c r="M370" s="12" t="str">
        <x:v>實線</x:v>
      </x:c>
      <x:c r="N370" s="12" t="str">
        <x:v>臺大公館校區</x:v>
      </x:c>
      <x:c r="O370" s="12" t="str">
        <x:v>臺大公館校區</x:v>
      </x:c>
      <x:c r="P370" s="12" t="str">
        <x:v>兩端均500119*</x:v>
      </x:c>
    </x:row>
    <x:row r="371">
      <x:c r="A371" s="12" t="str">
        <x:v>2026-09-09</x:v>
      </x:c>
      <x:c r="B371" s="12" t="str">
        <x:v>ZZB-0004</x:v>
      </x:c>
      <x:c r="C371" s="12" t="str">
        <x:v>2.0</x:v>
      </x:c>
      <x:c r="D371" s="13" t="n">
        <x:v>7</x:v>
      </x:c>
      <x:c r="E371" s="12" t="str">
        <x:v>2026-09-09 13:20:43</x:v>
      </x:c>
      <x:c r="F371" s="12" t="str">
        <x:v>2026-09-09 13:20:53</x:v>
      </x:c>
      <x:c r="G371" s="12" t="str">
        <x:v>13:00</x:v>
      </x:c>
      <x:c r="H371" s="12" t="str">
        <x:v>10–13</x:v>
      </x:c>
      <x:c r="I371" s="12" t="str">
        <x:v>500119050</x:v>
      </x:c>
      <x:c r="J371" s="12" t="str">
        <x:v>臺大小福樓東側</x:v>
      </x:c>
      <x:c r="K371" s="12" t="str">
        <x:v>500119045</x:v>
      </x:c>
      <x:c r="L371" s="12" t="str">
        <x:v>臺大農業陳列館北側</x:v>
      </x:c>
      <x:c r="M371" s="12" t="str">
        <x:v>實線</x:v>
      </x:c>
      <x:c r="N371" s="12" t="str">
        <x:v>臺大公館校區</x:v>
      </x:c>
      <x:c r="O371" s="12" t="str">
        <x:v>臺大公館校區</x:v>
      </x:c>
      <x:c r="P371" s="12" t="str">
        <x:v>兩端均500119*</x:v>
      </x:c>
    </x:row>
    <x:row r="372">
      <x:c r="A372" s="12" t="str">
        <x:v>2026-09-09</x:v>
      </x:c>
      <x:c r="B372" s="12" t="str">
        <x:v>ZZB-0004</x:v>
      </x:c>
      <x:c r="C372" s="12" t="str">
        <x:v>2.0</x:v>
      </x:c>
      <x:c r="D372" s="13" t="n">
        <x:v>7</x:v>
      </x:c>
      <x:c r="E372" s="12" t="str">
        <x:v>2026-09-09 13:30:58</x:v>
      </x:c>
      <x:c r="F372" s="12" t="str">
        <x:v>2026-09-09 13:31:07</x:v>
      </x:c>
      <x:c r="G372" s="12" t="str">
        <x:v>13:00</x:v>
      </x:c>
      <x:c r="H372" s="12" t="str">
        <x:v>10–13</x:v>
      </x:c>
      <x:c r="I372" s="12" t="str">
        <x:v>500119050</x:v>
      </x:c>
      <x:c r="J372" s="12" t="str">
        <x:v>臺大小福樓東側</x:v>
      </x:c>
      <x:c r="K372" s="12" t="str">
        <x:v>500119045</x:v>
      </x:c>
      <x:c r="L372" s="12" t="str">
        <x:v>臺大農業陳列館北側</x:v>
      </x:c>
      <x:c r="M372" s="12" t="str">
        <x:v>實線</x:v>
      </x:c>
      <x:c r="N372" s="12" t="str">
        <x:v>臺大公館校區</x:v>
      </x:c>
      <x:c r="O372" s="12" t="str">
        <x:v>臺大公館校區</x:v>
      </x:c>
      <x:c r="P372" s="12" t="str">
        <x:v>兩端均500119*</x:v>
      </x:c>
    </x:row>
    <x:row r="373">
      <x:c r="A373" s="12" t="str">
        <x:v>2026-09-09</x:v>
      </x:c>
      <x:c r="B373" s="12" t="str">
        <x:v>ZZB-0004</x:v>
      </x:c>
      <x:c r="C373" s="12" t="str">
        <x:v>2.0</x:v>
      </x:c>
      <x:c r="D373" s="13" t="n">
        <x:v>7</x:v>
      </x:c>
      <x:c r="E373" s="12" t="str">
        <x:v>2026-09-09 13:41:49</x:v>
      </x:c>
      <x:c r="F373" s="12" t="str">
        <x:v>2026-09-09 13:41:58</x:v>
      </x:c>
      <x:c r="G373" s="12" t="str">
        <x:v>13:00</x:v>
      </x:c>
      <x:c r="H373" s="12" t="str">
        <x:v>10–13</x:v>
      </x:c>
      <x:c r="I373" s="12" t="str">
        <x:v>500119050</x:v>
      </x:c>
      <x:c r="J373" s="12" t="str">
        <x:v>臺大小福樓東側</x:v>
      </x:c>
      <x:c r="K373" s="12" t="str">
        <x:v>500119045</x:v>
      </x:c>
      <x:c r="L373" s="12" t="str">
        <x:v>臺大農業陳列館北側</x:v>
      </x:c>
      <x:c r="M373" s="12" t="str">
        <x:v>實線</x:v>
      </x:c>
      <x:c r="N373" s="12" t="str">
        <x:v>臺大公館校區</x:v>
      </x:c>
      <x:c r="O373" s="12" t="str">
        <x:v>臺大公館校區</x:v>
      </x:c>
      <x:c r="P373" s="12" t="str">
        <x:v>兩端均500119*</x:v>
      </x:c>
    </x:row>
    <x:row r="374">
      <x:c r="A374" s="12" t="str">
        <x:v>2026-09-09</x:v>
      </x:c>
      <x:c r="B374" s="12" t="str">
        <x:v>ZZB-0004</x:v>
      </x:c>
      <x:c r="C374" s="12" t="str">
        <x:v>2.0</x:v>
      </x:c>
      <x:c r="D374" s="13" t="n">
        <x:v>7</x:v>
      </x:c>
      <x:c r="E374" s="12" t="str">
        <x:v>2026-09-09 13:57:23</x:v>
      </x:c>
      <x:c r="F374" s="12" t="str">
        <x:v>2026-09-09 13:57:33</x:v>
      </x:c>
      <x:c r="G374" s="12" t="str">
        <x:v>13:00</x:v>
      </x:c>
      <x:c r="H374" s="12" t="str">
        <x:v>10–13</x:v>
      </x:c>
      <x:c r="I374" s="12" t="str">
        <x:v>500119083</x:v>
      </x:c>
      <x:c r="J374" s="12" t="str">
        <x:v>臺大新生教室南側</x:v>
      </x:c>
      <x:c r="K374" s="12" t="str">
        <x:v>500119097</x:v>
      </x:c>
      <x:c r="L374" s="12" t="str">
        <x:v>臺大人文館</x:v>
      </x:c>
      <x:c r="M374" s="12" t="str">
        <x:v>實線</x:v>
      </x:c>
      <x:c r="N374" s="12" t="str">
        <x:v>臺大公館校區</x:v>
      </x:c>
      <x:c r="O374" s="12" t="str">
        <x:v>臺大公館校區</x:v>
      </x:c>
      <x:c r="P374" s="12" t="str">
        <x:v>兩端均500119*</x:v>
      </x:c>
    </x:row>
    <x:row r="375">
      <x:c r="A375" s="12" t="str">
        <x:v>2026-09-09</x:v>
      </x:c>
      <x:c r="B375" s="12" t="str">
        <x:v>ZZB-0004</x:v>
      </x:c>
      <x:c r="C375" s="12" t="str">
        <x:v>2.0</x:v>
      </x:c>
      <x:c r="D375" s="13" t="n">
        <x:v>7</x:v>
      </x:c>
      <x:c r="E375" s="12" t="str">
        <x:v>2026-09-09 14:11:50</x:v>
      </x:c>
      <x:c r="F375" s="12" t="str">
        <x:v>2026-09-09 14:11:59</x:v>
      </x:c>
      <x:c r="G375" s="12" t="str">
        <x:v>14:00</x:v>
      </x:c>
      <x:c r="H375" s="12" t="str">
        <x:v>14–17</x:v>
      </x:c>
      <x:c r="I375" s="12" t="str">
        <x:v>500119069</x:v>
      </x:c>
      <x:c r="J375" s="12" t="str">
        <x:v>臺大思亮館東南側</x:v>
      </x:c>
      <x:c r="K375" s="12" t="str">
        <x:v>500119045</x:v>
      </x:c>
      <x:c r="L375" s="12" t="str">
        <x:v>臺大農業陳列館北側</x:v>
      </x:c>
      <x:c r="M375" s="12" t="str">
        <x:v>實線</x:v>
      </x:c>
      <x:c r="N375" s="12" t="str">
        <x:v>臺大公館校區</x:v>
      </x:c>
      <x:c r="O375" s="12" t="str">
        <x:v>臺大公館校區</x:v>
      </x:c>
      <x:c r="P375" s="12" t="str">
        <x:v>兩端均500119*</x:v>
      </x:c>
    </x:row>
    <x:row r="376">
      <x:c r="A376" s="12" t="str">
        <x:v>2026-09-09</x:v>
      </x:c>
      <x:c r="B376" s="12" t="str">
        <x:v>ZZB-0004</x:v>
      </x:c>
      <x:c r="C376" s="12" t="str">
        <x:v>2.0</x:v>
      </x:c>
      <x:c r="D376" s="13" t="n">
        <x:v>7</x:v>
      </x:c>
      <x:c r="E376" s="12" t="str">
        <x:v>2026-09-09 14:23:32</x:v>
      </x:c>
      <x:c r="F376" s="12" t="str">
        <x:v>2026-09-09 14:23:46</x:v>
      </x:c>
      <x:c r="G376" s="12" t="str">
        <x:v>14:00</x:v>
      </x:c>
      <x:c r="H376" s="12" t="str">
        <x:v>14–17</x:v>
      </x:c>
      <x:c r="I376" s="12" t="str">
        <x:v>500119050</x:v>
      </x:c>
      <x:c r="J376" s="12" t="str">
        <x:v>臺大小福樓東側</x:v>
      </x:c>
      <x:c r="K376" s="12" t="str">
        <x:v>500119045</x:v>
      </x:c>
      <x:c r="L376" s="12" t="str">
        <x:v>臺大農業陳列館北側</x:v>
      </x:c>
      <x:c r="M376" s="12" t="str">
        <x:v>實線</x:v>
      </x:c>
      <x:c r="N376" s="12" t="str">
        <x:v>臺大公館校區</x:v>
      </x:c>
      <x:c r="O376" s="12" t="str">
        <x:v>臺大公館校區</x:v>
      </x:c>
      <x:c r="P376" s="12" t="str">
        <x:v>兩端均500119*</x:v>
      </x:c>
    </x:row>
    <x:row r="377">
      <x:c r="A377" s="12" t="str">
        <x:v>2026-09-09</x:v>
      </x:c>
      <x:c r="B377" s="12" t="str">
        <x:v>ZZB-0004</x:v>
      </x:c>
      <x:c r="C377" s="12" t="str">
        <x:v>2.0</x:v>
      </x:c>
      <x:c r="D377" s="13" t="n">
        <x:v>7</x:v>
      </x:c>
      <x:c r="E377" s="12" t="str">
        <x:v>2026-09-09 17:10:11</x:v>
      </x:c>
      <x:c r="F377" s="12" t="str">
        <x:v>2026-09-09 17:18:00</x:v>
      </x:c>
      <x:c r="G377" s="12" t="str">
        <x:v>17:00</x:v>
      </x:c>
      <x:c r="H377" s="12" t="str">
        <x:v>14–17</x:v>
      </x:c>
      <x:c r="I377" s="12" t="str">
        <x:v>500101276</x:v>
      </x:c>
      <x:c r="J377" s="12" t="str">
        <x:v>羅斯福新生南路口</x:v>
      </x:c>
      <x:c r="K377" s="12" t="str">
        <x:v>500119050</x:v>
      </x:c>
      <x:c r="L377" s="12" t="str">
        <x:v>臺大小福樓東側</x:v>
      </x:c>
      <x:c r="M377" s="12" t="str">
        <x:v>虛線</x:v>
      </x:c>
      <x:c r="N377" s="12" t="str">
        <x:v>大安區</x:v>
      </x:c>
      <x:c r="O377" s="12" t="str">
        <x:v>臺大公館校區</x:v>
      </x:c>
      <x:c r="P377" s="12" t="str">
        <x:v>任一端非500119*</x:v>
      </x:c>
    </x:row>
    <x:row r="378">
      <x:c r="A378" s="12" t="str">
        <x:v>2026-09-09</x:v>
      </x:c>
      <x:c r="B378" s="12" t="str">
        <x:v>ZZB-0004</x:v>
      </x:c>
      <x:c r="C378" s="12" t="str">
        <x:v>2.0</x:v>
      </x:c>
      <x:c r="D378" s="13" t="n">
        <x:v>7</x:v>
      </x:c>
      <x:c r="E378" s="12" t="str">
        <x:v>2026-09-09 17:30:37</x:v>
      </x:c>
      <x:c r="F378" s="12" t="str">
        <x:v>2026-09-09 17:39:09</x:v>
      </x:c>
      <x:c r="G378" s="12" t="str">
        <x:v>17:00</x:v>
      </x:c>
      <x:c r="H378" s="12" t="str">
        <x:v>14–17</x:v>
      </x:c>
      <x:c r="I378" s="12" t="str">
        <x:v>500119048</x:v>
      </x:c>
      <x:c r="J378" s="12" t="str">
        <x:v>臺大大一女舍北側</x:v>
      </x:c>
      <x:c r="K378" s="12" t="str">
        <x:v>500119086</x:v>
      </x:c>
      <x:c r="L378" s="12" t="str">
        <x:v>臺大圖資系館北側</x:v>
      </x:c>
      <x:c r="M378" s="12" t="str">
        <x:v>實線</x:v>
      </x:c>
      <x:c r="N378" s="12" t="str">
        <x:v>臺大公館校區</x:v>
      </x:c>
      <x:c r="O378" s="12" t="str">
        <x:v>臺大公館校區</x:v>
      </x:c>
      <x:c r="P378" s="12" t="str">
        <x:v>兩端均500119*</x:v>
      </x:c>
    </x:row>
    <x:row r="379">
      <x:c r="A379" s="12" t="str">
        <x:v>2026-09-09</x:v>
      </x:c>
      <x:c r="B379" s="12" t="str">
        <x:v>ZZB-0004</x:v>
      </x:c>
      <x:c r="C379" s="12" t="str">
        <x:v>2.0</x:v>
      </x:c>
      <x:c r="D379" s="13" t="n">
        <x:v>7</x:v>
      </x:c>
      <x:c r="E379" s="12" t="str">
        <x:v>2026-09-09 17:50:19</x:v>
      </x:c>
      <x:c r="F379" s="12" t="str">
        <x:v>2026-09-09 17:59:35</x:v>
      </x:c>
      <x:c r="G379" s="12" t="str">
        <x:v>17:00</x:v>
      </x:c>
      <x:c r="H379" s="12" t="str">
        <x:v>14–17</x:v>
      </x:c>
      <x:c r="I379" s="12" t="str">
        <x:v>500101276</x:v>
      </x:c>
      <x:c r="J379" s="12" t="str">
        <x:v>羅斯福新生南路口</x:v>
      </x:c>
      <x:c r="K379" s="12" t="str">
        <x:v>500119047</x:v>
      </x:c>
      <x:c r="L379" s="12" t="str">
        <x:v>臺大土木系館</x:v>
      </x:c>
      <x:c r="M379" s="12" t="str">
        <x:v>虛線</x:v>
      </x:c>
      <x:c r="N379" s="12" t="str">
        <x:v>大安區</x:v>
      </x:c>
      <x:c r="O379" s="12" t="str">
        <x:v>臺大公館校區</x:v>
      </x:c>
      <x:c r="P379" s="12" t="str">
        <x:v>任一端非500119*</x:v>
      </x:c>
    </x:row>
    <x:row r="380">
      <x:c r="A380" s="12" t="str">
        <x:v>2026-09-09</x:v>
      </x:c>
      <x:c r="B380" s="12" t="str">
        <x:v>ZZB-0004</x:v>
      </x:c>
      <x:c r="C380" s="12" t="str">
        <x:v>2.0</x:v>
      </x:c>
      <x:c r="D380" s="13" t="n">
        <x:v>7</x:v>
      </x:c>
      <x:c r="E380" s="12" t="str">
        <x:v>2026-09-09 18:10:00</x:v>
      </x:c>
      <x:c r="F380" s="12" t="str">
        <x:v>2026-09-09 18:18:23</x:v>
      </x:c>
      <x:c r="G380" s="12" t="str">
        <x:v>18:00</x:v>
      </x:c>
      <x:c r="H380" s="12" t="str">
        <x:v>18–21</x:v>
      </x:c>
      <x:c r="I380" s="12" t="str">
        <x:v>500101276</x:v>
      </x:c>
      <x:c r="J380" s="12" t="str">
        <x:v>羅斯福新生南路口</x:v>
      </x:c>
      <x:c r="K380" s="12" t="str">
        <x:v>500119086</x:v>
      </x:c>
      <x:c r="L380" s="12" t="str">
        <x:v>臺大圖資系館北側</x:v>
      </x:c>
      <x:c r="M380" s="12" t="str">
        <x:v>虛線</x:v>
      </x:c>
      <x:c r="N380" s="12" t="str">
        <x:v>大安區</x:v>
      </x:c>
      <x:c r="O380" s="12" t="str">
        <x:v>臺大公館校區</x:v>
      </x:c>
      <x:c r="P380" s="12" t="str">
        <x:v>任一端非500119*</x:v>
      </x:c>
    </x:row>
    <x:row r="381">
      <x:c r="A381" s="12" t="str">
        <x:v>2026-09-09</x:v>
      </x:c>
      <x:c r="B381" s="12" t="str">
        <x:v>ZZB-0004</x:v>
      </x:c>
      <x:c r="C381" s="12" t="str">
        <x:v>2.0</x:v>
      </x:c>
      <x:c r="D381" s="13" t="n">
        <x:v>7</x:v>
      </x:c>
      <x:c r="E381" s="12" t="str">
        <x:v>2026-09-09 18:33:35</x:v>
      </x:c>
      <x:c r="F381" s="12" t="str">
        <x:v>2026-09-09 19:17:29</x:v>
      </x:c>
      <x:c r="G381" s="12" t="str">
        <x:v>18:00</x:v>
      </x:c>
      <x:c r="H381" s="12" t="str">
        <x:v>18–21</x:v>
      </x:c>
      <x:c r="I381" s="12" t="str">
        <x:v>500101276</x:v>
      </x:c>
      <x:c r="J381" s="12" t="str">
        <x:v>羅斯福新生南路口</x:v>
      </x:c>
      <x:c r="K381" s="12" t="str">
        <x:v>500119047</x:v>
      </x:c>
      <x:c r="L381" s="12" t="str">
        <x:v>臺大土木系館</x:v>
      </x:c>
      <x:c r="M381" s="12" t="str">
        <x:v>虛線</x:v>
      </x:c>
      <x:c r="N381" s="12" t="str">
        <x:v>大安區</x:v>
      </x:c>
      <x:c r="O381" s="12" t="str">
        <x:v>臺大公館校區</x:v>
      </x:c>
      <x:c r="P381" s="12" t="str">
        <x:v>任一端非500119*</x:v>
      </x:c>
    </x:row>
    <x:row r="382">
      <x:c r="A382" s="12" t="str">
        <x:v>2026-09-09</x:v>
      </x:c>
      <x:c r="B382" s="12" t="str">
        <x:v>ZZB-0004</x:v>
      </x:c>
      <x:c r="C382" s="12" t="str">
        <x:v>2.0</x:v>
      </x:c>
      <x:c r="D382" s="13" t="n">
        <x:v>7</x:v>
      </x:c>
      <x:c r="E382" s="12" t="str">
        <x:v>2026-09-09 21:46:48</x:v>
      </x:c>
      <x:c r="F382" s="12" t="str">
        <x:v>2026-09-09 22:05:38</x:v>
      </x:c>
      <x:c r="G382" s="12" t="str">
        <x:v>21:00</x:v>
      </x:c>
      <x:c r="H382" s="12" t="str">
        <x:v>18–21</x:v>
      </x:c>
      <x:c r="I382" s="12" t="str">
        <x:v>500101181</x:v>
      </x:c>
      <x:c r="J382" s="12" t="str">
        <x:v>捷運公館站(3號出口)</x:v>
      </x:c>
      <x:c r="K382" s="12" t="str">
        <x:v>500119065</x:v>
      </x:c>
      <x:c r="L382" s="12" t="str">
        <x:v>臺大二號館</x:v>
      </x:c>
      <x:c r="M382" s="12" t="str">
        <x:v>虛線</x:v>
      </x:c>
      <x:c r="N382" s="12" t="str">
        <x:v>大安區</x:v>
      </x:c>
      <x:c r="O382" s="12" t="str">
        <x:v>臺大公館校區</x:v>
      </x:c>
      <x:c r="P382" s="12" t="str">
        <x:v>任一端非500119*</x:v>
      </x:c>
    </x:row>
    <x:row r="383">
      <x:c r="A383" s="12" t="str">
        <x:v>2026-09-09</x:v>
      </x:c>
      <x:c r="B383" s="12" t="str">
        <x:v>ZZB-0004</x:v>
      </x:c>
      <x:c r="C383" s="12" t="str">
        <x:v>2.0</x:v>
      </x:c>
      <x:c r="D383" s="13" t="n">
        <x:v>4</x:v>
      </x:c>
      <x:c r="E383" s="12" t="str">
        <x:v>2026-09-09 21:46:48</x:v>
      </x:c>
      <x:c r="F383" s="12" t="str">
        <x:v>2026-09-09 22:05:59</x:v>
      </x:c>
      <x:c r="G383" s="12" t="str">
        <x:v>21:00</x:v>
      </x:c>
      <x:c r="H383" s="12" t="str">
        <x:v>18–21</x:v>
      </x:c>
      <x:c r="I383" s="12" t="str">
        <x:v>500101181</x:v>
      </x:c>
      <x:c r="J383" s="12" t="str">
        <x:v>捷運公館站(3號出口)</x:v>
      </x:c>
      <x:c r="K383" s="12" t="str">
        <x:v>500119057</x:v>
      </x:c>
      <x:c r="L383" s="12" t="str">
        <x:v>臺大五號館西側</x:v>
      </x:c>
      <x:c r="M383" s="12" t="str">
        <x:v>虛線</x:v>
      </x:c>
      <x:c r="N383" s="12" t="str">
        <x:v>大安區</x:v>
      </x:c>
      <x:c r="O383" s="12" t="str">
        <x:v>臺大公館校區</x:v>
      </x:c>
      <x:c r="P383" s="12" t="str">
        <x:v>任一端非500119*</x:v>
      </x:c>
    </x:row>
    <x:row r="384">
      <x:c r="A384" s="12" t="str">
        <x:v>2026-09-09</x:v>
      </x:c>
      <x:c r="B384" s="12" t="str">
        <x:v>ZZB-0004</x:v>
      </x:c>
      <x:c r="C384" s="12" t="str">
        <x:v>2.0</x:v>
      </x:c>
      <x:c r="D384" s="13" t="n">
        <x:v>9</x:v>
      </x:c>
      <x:c r="E384" s="12" t="str">
        <x:v>2026-09-09 22:20:40</x:v>
      </x:c>
      <x:c r="F384" s="12" t="str">
        <x:v>2026-09-09 22:26:36</x:v>
      </x:c>
      <x:c r="G384" s="12" t="str">
        <x:v>22:00</x:v>
      </x:c>
      <x:c r="H384" s="12" t="str">
        <x:v>22–23</x:v>
      </x:c>
      <x:c r="I384" s="12" t="str">
        <x:v>500101181</x:v>
      </x:c>
      <x:c r="J384" s="12" t="str">
        <x:v>捷運公館站(3號出口)</x:v>
      </x:c>
      <x:c r="K384" s="12" t="str">
        <x:v>500119082</x:v>
      </x:c>
      <x:c r="L384" s="12" t="str">
        <x:v>臺大四號館東北側</x:v>
      </x:c>
      <x:c r="M384" s="12" t="str">
        <x:v>虛線</x:v>
      </x:c>
      <x:c r="N384" s="12" t="str">
        <x:v>大安區</x:v>
      </x:c>
      <x:c r="O384" s="12" t="str">
        <x:v>臺大公館校區</x:v>
      </x:c>
      <x:c r="P384" s="12" t="str">
        <x:v>任一端非500119*</x:v>
      </x:c>
    </x:row>
    <x:row r="385">
      <x:c r="A385" s="12" t="str">
        <x:v>2026-09-09</x:v>
      </x:c>
      <x:c r="B385" s="12" t="str">
        <x:v>ZZB-0004</x:v>
      </x:c>
      <x:c r="C385" s="12" t="str">
        <x:v>2.0</x:v>
      </x:c>
      <x:c r="D385" s="13" t="n">
        <x:v>10</x:v>
      </x:c>
      <x:c r="E385" s="12" t="str">
        <x:v>2026-09-09 23:18:24</x:v>
      </x:c>
      <x:c r="F385" s="12" t="str">
        <x:v>2026-09-09 23:18:41</x:v>
      </x:c>
      <x:c r="G385" s="12" t="str">
        <x:v>23:00</x:v>
      </x:c>
      <x:c r="H385" s="12" t="str">
        <x:v>22–23</x:v>
      </x:c>
      <x:c r="I385" s="12" t="str">
        <x:v>500101181</x:v>
      </x:c>
      <x:c r="J385" s="12" t="str">
        <x:v>捷運公館站(3號出口)</x:v>
      </x:c>
      <x:c r="K385" s="12" t="str">
        <x:v>500101276</x:v>
      </x:c>
      <x:c r="L385" s="12" t="str">
        <x:v>羅斯福新生南路口</x:v>
      </x:c>
      <x:c r="M385" s="12" t="str">
        <x:v>虛線</x:v>
      </x:c>
      <x:c r="N385" s="12" t="str">
        <x:v>大安區</x:v>
      </x:c>
      <x:c r="O385" s="12" t="str">
        <x:v>大安區</x:v>
      </x:c>
      <x:c r="P385" s="12" t="str">
        <x:v>任一端非500119*</x:v>
      </x:c>
    </x:row>
    <x:row r="386">
      <x:c r="A386" s="12" t="str">
        <x:v>2026-09-09</x:v>
      </x:c>
      <x:c r="B386" s="12" t="str">
        <x:v>ZZB-0004</x:v>
      </x:c>
      <x:c r="C386" s="12" t="str">
        <x:v>2.0E</x:v>
      </x:c>
      <x:c r="D386" s="13" t="n">
        <x:v>5</x:v>
      </x:c>
      <x:c r="E386" s="12" t="str">
        <x:v>2026-09-09 09:21:26</x:v>
      </x:c>
      <x:c r="F386" s="12" t="str">
        <x:v>2026-09-09 09:30:06</x:v>
      </x:c>
      <x:c r="G386" s="12" t="str">
        <x:v>09:00</x:v>
      </x:c>
      <x:c r="H386" s="12" t="str">
        <x:v>06–09</x:v>
      </x:c>
      <x:c r="I386" s="12" t="str">
        <x:v>500119050</x:v>
      </x:c>
      <x:c r="J386" s="12" t="str">
        <x:v>臺大小福樓東側</x:v>
      </x:c>
      <x:c r="K386" s="12" t="str">
        <x:v>500119045</x:v>
      </x:c>
      <x:c r="L386" s="12" t="str">
        <x:v>臺大農業陳列館北側</x:v>
      </x:c>
      <x:c r="M386" s="12" t="str">
        <x:v>實線</x:v>
      </x:c>
      <x:c r="N386" s="12" t="str">
        <x:v>臺大公館校區</x:v>
      </x:c>
      <x:c r="O386" s="12" t="str">
        <x:v>臺大公館校區</x:v>
      </x:c>
      <x:c r="P386" s="12" t="str">
        <x:v>兩端均500119*</x:v>
      </x:c>
    </x:row>
    <x:row r="387">
      <x:c r="A387" s="12" t="str">
        <x:v>2026-09-09</x:v>
      </x:c>
      <x:c r="B387" s="12" t="str">
        <x:v>ZZB-0004</x:v>
      </x:c>
      <x:c r="C387" s="12" t="str">
        <x:v>2.0E</x:v>
      </x:c>
      <x:c r="D387" s="13" t="n">
        <x:v>4</x:v>
      </x:c>
      <x:c r="E387" s="12" t="str">
        <x:v>2026-09-09 09:39:28</x:v>
      </x:c>
      <x:c r="F387" s="12" t="str">
        <x:v>2026-09-09 09:45:27</x:v>
      </x:c>
      <x:c r="G387" s="12" t="str">
        <x:v>09:00</x:v>
      </x:c>
      <x:c r="H387" s="12" t="str">
        <x:v>06–09</x:v>
      </x:c>
      <x:c r="I387" s="12" t="str">
        <x:v>500119050</x:v>
      </x:c>
      <x:c r="J387" s="12" t="str">
        <x:v>臺大小福樓東側</x:v>
      </x:c>
      <x:c r="K387" s="12" t="str">
        <x:v>500119082</x:v>
      </x:c>
      <x:c r="L387" s="12" t="str">
        <x:v>臺大四號館東北側</x:v>
      </x:c>
      <x:c r="M387" s="12" t="str">
        <x:v>實線</x:v>
      </x:c>
      <x:c r="N387" s="12" t="str">
        <x:v>臺大公館校區</x:v>
      </x:c>
      <x:c r="O387" s="12" t="str">
        <x:v>臺大公館校區</x:v>
      </x:c>
      <x:c r="P387" s="12" t="str">
        <x:v>兩端均500119*</x:v>
      </x:c>
    </x:row>
    <x:row r="388">
      <x:c r="A388" s="12" t="str">
        <x:v>2026-09-09</x:v>
      </x:c>
      <x:c r="B388" s="12" t="str">
        <x:v>ZZB-0004</x:v>
      </x:c>
      <x:c r="C388" s="12" t="str">
        <x:v>2.0E</x:v>
      </x:c>
      <x:c r="D388" s="13" t="n">
        <x:v>1</x:v>
      </x:c>
      <x:c r="E388" s="12" t="str">
        <x:v>2026-09-09 10:46:11</x:v>
      </x:c>
      <x:c r="F388" s="12" t="str">
        <x:v>2026-09-09 10:59:16</x:v>
      </x:c>
      <x:c r="G388" s="12" t="str">
        <x:v>10:00</x:v>
      </x:c>
      <x:c r="H388" s="12" t="str">
        <x:v>10–13</x:v>
      </x:c>
      <x:c r="I388" s="12" t="str">
        <x:v>500119083</x:v>
      </x:c>
      <x:c r="J388" s="12" t="str">
        <x:v>臺大新生教室南側</x:v>
      </x:c>
      <x:c r="K388" s="12" t="str">
        <x:v>500119064</x:v>
      </x:c>
      <x:c r="L388" s="12" t="str">
        <x:v>臺大明達館機車停車場</x:v>
      </x:c>
      <x:c r="M388" s="12" t="str">
        <x:v>實線</x:v>
      </x:c>
      <x:c r="N388" s="12" t="str">
        <x:v>臺大公館校區</x:v>
      </x:c>
      <x:c r="O388" s="12" t="str">
        <x:v>臺大公館校區</x:v>
      </x:c>
      <x:c r="P388" s="12" t="str">
        <x:v>兩端均500119*</x:v>
      </x:c>
    </x:row>
    <x:row r="389">
      <x:c r="A389" s="12" t="str">
        <x:v>2026-09-10</x:v>
      </x:c>
      <x:c r="B389" s="12" t="str">
        <x:v>ZZB-0002</x:v>
      </x:c>
      <x:c r="C389" s="12" t="str">
        <x:v>2.0</x:v>
      </x:c>
      <x:c r="D389" s="13" t="n">
        <x:v>4</x:v>
      </x:c>
      <x:c r="E389" s="12" t="str">
        <x:v>2026-09-10 08:06:58</x:v>
      </x:c>
      <x:c r="F389" s="12" t="str">
        <x:v>2026-09-10 08:07:29</x:v>
      </x:c>
      <x:c r="G389" s="12" t="str">
        <x:v>08:00</x:v>
      </x:c>
      <x:c r="H389" s="12" t="str">
        <x:v>06–09</x:v>
      </x:c>
      <x:c r="I389" s="12" t="str">
        <x:v>500119052</x:v>
      </x:c>
      <x:c r="J389" s="12" t="str">
        <x:v>臺大工綜館南側</x:v>
      </x:c>
      <x:c r="K389" s="12" t="str">
        <x:v>500119059</x:v>
      </x:c>
      <x:c r="L389" s="12" t="str">
        <x:v>臺大共同教室北側</x:v>
      </x:c>
      <x:c r="M389" s="12" t="str">
        <x:v>實線</x:v>
      </x:c>
      <x:c r="N389" s="12" t="str">
        <x:v>臺大公館校區</x:v>
      </x:c>
      <x:c r="O389" s="12" t="str">
        <x:v>臺大公館校區</x:v>
      </x:c>
      <x:c r="P389" s="12" t="str">
        <x:v>兩端均500119*</x:v>
      </x:c>
    </x:row>
    <x:row r="390">
      <x:c r="A390" s="12" t="str">
        <x:v>2026-09-10</x:v>
      </x:c>
      <x:c r="B390" s="12" t="str">
        <x:v>ZZB-0002</x:v>
      </x:c>
      <x:c r="C390" s="12" t="str">
        <x:v>2.0</x:v>
      </x:c>
      <x:c r="D390" s="13" t="n">
        <x:v>3</x:v>
      </x:c>
      <x:c r="E390" s="12" t="str">
        <x:v>2026-09-10 08:07:14</x:v>
      </x:c>
      <x:c r="F390" s="12" t="str">
        <x:v>2026-09-10 08:07:29</x:v>
      </x:c>
      <x:c r="G390" s="12" t="str">
        <x:v>08:00</x:v>
      </x:c>
      <x:c r="H390" s="12" t="str">
        <x:v>06–09</x:v>
      </x:c>
      <x:c r="I390" s="12" t="str">
        <x:v>500119086</x:v>
      </x:c>
      <x:c r="J390" s="12" t="str">
        <x:v>臺大圖資系館北側</x:v>
      </x:c>
      <x:c r="K390" s="12" t="str">
        <x:v>500119059</x:v>
      </x:c>
      <x:c r="L390" s="12" t="str">
        <x:v>臺大共同教室北側</x:v>
      </x:c>
      <x:c r="M390" s="12" t="str">
        <x:v>實線</x:v>
      </x:c>
      <x:c r="N390" s="12" t="str">
        <x:v>臺大公館校區</x:v>
      </x:c>
      <x:c r="O390" s="12" t="str">
        <x:v>臺大公館校區</x:v>
      </x:c>
      <x:c r="P390" s="12" t="str">
        <x:v>兩端均500119*</x:v>
      </x:c>
    </x:row>
    <x:row r="391">
      <x:c r="A391" s="12" t="str">
        <x:v>2026-09-10</x:v>
      </x:c>
      <x:c r="B391" s="12" t="str">
        <x:v>ZZB-0004</x:v>
      </x:c>
      <x:c r="C391" s="12" t="str">
        <x:v>2.0</x:v>
      </x:c>
      <x:c r="D391" s="13" t="n">
        <x:v>12</x:v>
      </x:c>
      <x:c r="E391" s="12" t="str">
        <x:v>2026-09-10 00:04:48</x:v>
      </x:c>
      <x:c r="F391" s="12" t="str">
        <x:v>2026-09-10 00:05:19</x:v>
      </x:c>
      <x:c r="G391" s="12" t="str">
        <x:v>00:00</x:v>
      </x:c>
      <x:c r="H391" s="12" t="str">
        <x:v>00–05</x:v>
      </x:c>
      <x:c r="I391" s="12" t="str">
        <x:v>500101181</x:v>
      </x:c>
      <x:c r="J391" s="12" t="str">
        <x:v>捷運公館站(3號出口)</x:v>
      </x:c>
      <x:c r="K391" s="12" t="str">
        <x:v>500101276</x:v>
      </x:c>
      <x:c r="L391" s="12" t="str">
        <x:v>羅斯福新生南路口</x:v>
      </x:c>
      <x:c r="M391" s="12" t="str">
        <x:v>虛線</x:v>
      </x:c>
      <x:c r="N391" s="12" t="str">
        <x:v>大安區</x:v>
      </x:c>
      <x:c r="O391" s="12" t="str">
        <x:v>大安區</x:v>
      </x:c>
      <x:c r="P391" s="12" t="str">
        <x:v>任一端非500119*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8f5c1b0c4db4415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1" hidden="0" customWidth="1"/>
    <x:col min="12" max="12" width="30" hidden="0" customWidth="1"/>
  </x:cols>
  <x:sheetData>
    <x:row r="1" ht="32" customHeight="1">
      <x:c r="A1" s="3" t="str">
        <x:v>ZZB 原始調出／調入紀錄</x:v>
      </x:c>
      <x:c r="B1" s="3" t="str">
        <x:v>ZZB 原始調出／調入紀錄</x:v>
      </x:c>
      <x:c r="C1" s="3" t="str">
        <x:v>ZZB 原始調出／調入紀錄</x:v>
      </x:c>
      <x:c r="D1" s="3" t="str">
        <x:v>ZZB 原始調出／調入紀錄</x:v>
      </x:c>
      <x:c r="E1" s="3" t="str">
        <x:v>ZZB 原始調出／調入紀錄</x:v>
      </x:c>
      <x:c r="F1" s="3" t="str">
        <x:v>ZZB 原始調出／調入紀錄</x:v>
      </x:c>
      <x:c r="G1" s="3" t="str">
        <x:v>ZZB 原始調出／調入紀錄</x:v>
      </x:c>
      <x:c r="H1" s="3" t="str">
        <x:v>ZZB 原始調出／調入紀錄</x:v>
      </x:c>
      <x:c r="I1" s="3" t="str">
        <x:v>ZZB 原始調出／調入紀錄</x:v>
      </x:c>
      <x:c r="J1" s="3" t="str">
        <x:v>ZZB 原始調出／調入紀錄</x:v>
      </x:c>
      <x:c r="K1" s="3" t="str">
        <x:v>ZZB 原始調出／調入紀錄</x:v>
      </x:c>
      <x:c r="L1" s="3" t="str">
        <x:v>ZZB 原始調出／調入紀錄</x:v>
      </x:c>
    </x:row>
    <x:row r="2" ht="34" customHeight="1">
      <x:c r="A2" s="9" t="str">
        <x:v>日期</x:v>
      </x:c>
      <x:c r="B2" s="9" t="str">
        <x:v>時間</x:v>
      </x:c>
      <x:c r="C2" s="9" t="str">
        <x:v>小時</x:v>
      </x:c>
      <x:c r="D2" s="9" t="str">
        <x:v>時段</x:v>
      </x:c>
      <x:c r="E2" s="9" t="str">
        <x:v>車號</x:v>
      </x:c>
      <x:c r="F2" s="9" t="str">
        <x:v>工作狀態</x:v>
      </x:c>
      <x:c r="G2" s="9" t="str">
        <x:v>車種</x:v>
      </x:c>
      <x:c r="H2" s="9" t="str">
        <x:v>數量</x:v>
      </x:c>
      <x:c r="I2" s="9" t="str">
        <x:v>城市</x:v>
      </x:c>
      <x:c r="J2" s="9" t="str">
        <x:v>場站代碼</x:v>
      </x:c>
      <x:c r="K2" s="9" t="str">
        <x:v>場站名稱</x:v>
      </x:c>
      <x:c r="L2" s="9" t="str">
        <x:v>資料範圍</x:v>
      </x:c>
    </x:row>
    <x:row r="3">
      <x:c r="A3" s="12" t="str">
        <x:v>2026-09-01</x:v>
      </x:c>
      <x:c r="B3" s="12" t="str">
        <x:v>2026-09-01 13:29:01</x:v>
      </x:c>
      <x:c r="C3" s="12" t="str">
        <x:v>13:00</x:v>
      </x:c>
      <x:c r="D3" s="12" t="str">
        <x:v>10–13</x:v>
      </x:c>
      <x:c r="E3" s="12" t="str">
        <x:v>ZZB-0002</x:v>
      </x:c>
      <x:c r="F3" s="12" t="str">
        <x:v>調出</x:v>
      </x:c>
      <x:c r="G3" s="12" t="str">
        <x:v>2.0</x:v>
      </x:c>
      <x:c r="H3" s="13" t="n">
        <x:v>5</x:v>
      </x:c>
      <x:c r="I3" s="12" t="str">
        <x:v>台北市</x:v>
      </x:c>
      <x:c r="J3" s="12" t="str">
        <x:v>500119085</x:v>
      </x:c>
      <x:c r="K3" s="12" t="str">
        <x:v>臺大電機二館東南側</x:v>
      </x:c>
      <x:c r="L3" s="12" t="str">
        <x:v>ZZB* 且調出/調入且車種2.0/2.0E</x:v>
      </x:c>
    </x:row>
    <x:row r="4">
      <x:c r="A4" s="12" t="str">
        <x:v>2026-09-01</x:v>
      </x:c>
      <x:c r="B4" s="12" t="str">
        <x:v>2026-09-01 13:36:36</x:v>
      </x:c>
      <x:c r="C4" s="12" t="str">
        <x:v>13:00</x:v>
      </x:c>
      <x:c r="D4" s="12" t="str">
        <x:v>10–13</x:v>
      </x:c>
      <x:c r="E4" s="12" t="str">
        <x:v>ZZB-0002</x:v>
      </x:c>
      <x:c r="F4" s="12" t="str">
        <x:v>調入</x:v>
      </x:c>
      <x:c r="G4" s="12" t="str">
        <x:v>2.0</x:v>
      </x:c>
      <x:c r="H4" s="13" t="n">
        <x:v>5</x:v>
      </x:c>
      <x:c r="I4" s="12" t="str">
        <x:v>台北市</x:v>
      </x:c>
      <x:c r="J4" s="12" t="str">
        <x:v>500119064</x:v>
      </x:c>
      <x:c r="K4" s="12" t="str">
        <x:v>臺大明達館機車停車場</x:v>
      </x:c>
      <x:c r="L4" s="12" t="str">
        <x:v>ZZB* 且調出/調入且車種2.0/2.0E</x:v>
      </x:c>
    </x:row>
    <x:row r="5">
      <x:c r="A5" s="12" t="str">
        <x:v>2026-09-01</x:v>
      </x:c>
      <x:c r="B5" s="12" t="str">
        <x:v>2026-09-01 13:59:49</x:v>
      </x:c>
      <x:c r="C5" s="12" t="str">
        <x:v>13:00</x:v>
      </x:c>
      <x:c r="D5" s="12" t="str">
        <x:v>10–13</x:v>
      </x:c>
      <x:c r="E5" s="12" t="str">
        <x:v>ZZB-0002</x:v>
      </x:c>
      <x:c r="F5" s="12" t="str">
        <x:v>調出</x:v>
      </x:c>
      <x:c r="G5" s="12" t="str">
        <x:v>2.0</x:v>
      </x:c>
      <x:c r="H5" s="13" t="n">
        <x:v>7</x:v>
      </x:c>
      <x:c r="I5" s="12" t="str">
        <x:v>台北市</x:v>
      </x:c>
      <x:c r="J5" s="12" t="str">
        <x:v>500119085</x:v>
      </x:c>
      <x:c r="K5" s="12" t="str">
        <x:v>臺大電機二館東南側</x:v>
      </x:c>
      <x:c r="L5" s="12" t="str">
        <x:v>ZZB* 且調出/調入且車種2.0/2.0E</x:v>
      </x:c>
    </x:row>
    <x:row r="6">
      <x:c r="A6" s="12" t="str">
        <x:v>2026-09-01</x:v>
      </x:c>
      <x:c r="B6" s="12" t="str">
        <x:v>2026-09-01 14:07:48</x:v>
      </x:c>
      <x:c r="C6" s="12" t="str">
        <x:v>14:00</x:v>
      </x:c>
      <x:c r="D6" s="12" t="str">
        <x:v>14–17</x:v>
      </x:c>
      <x:c r="E6" s="12" t="str">
        <x:v>ZZB-0002</x:v>
      </x:c>
      <x:c r="F6" s="12" t="str">
        <x:v>調入</x:v>
      </x:c>
      <x:c r="G6" s="12" t="str">
        <x:v>2.0</x:v>
      </x:c>
      <x:c r="H6" s="13" t="n">
        <x:v>7</x:v>
      </x:c>
      <x:c r="I6" s="12" t="str">
        <x:v>台北市</x:v>
      </x:c>
      <x:c r="J6" s="12" t="str">
        <x:v>500119091</x:v>
      </x:c>
      <x:c r="K6" s="12" t="str">
        <x:v>臺大明達館北側(員工宿舍)</x:v>
      </x:c>
      <x:c r="L6" s="12" t="str">
        <x:v>ZZB* 且調出/調入且車種2.0/2.0E</x:v>
      </x:c>
    </x:row>
    <x:row r="7">
      <x:c r="A7" s="12" t="str">
        <x:v>2026-09-01</x:v>
      </x:c>
      <x:c r="B7" s="12" t="str">
        <x:v>2026-09-01 13:29:01</x:v>
      </x:c>
      <x:c r="C7" s="12" t="str">
        <x:v>13:00</x:v>
      </x:c>
      <x:c r="D7" s="12" t="str">
        <x:v>10–13</x:v>
      </x:c>
      <x:c r="E7" s="12" t="str">
        <x:v>ZZB-0002</x:v>
      </x:c>
      <x:c r="F7" s="12" t="str">
        <x:v>調出</x:v>
      </x:c>
      <x:c r="G7" s="12" t="str">
        <x:v>2.0E</x:v>
      </x:c>
      <x:c r="H7" s="13" t="n">
        <x:v>2</x:v>
      </x:c>
      <x:c r="I7" s="12" t="str">
        <x:v>台北市</x:v>
      </x:c>
      <x:c r="J7" s="12" t="str">
        <x:v>500119085</x:v>
      </x:c>
      <x:c r="K7" s="12" t="str">
        <x:v>臺大電機二館東南側</x:v>
      </x:c>
      <x:c r="L7" s="12" t="str">
        <x:v>ZZB* 且調出/調入且車種2.0/2.0E</x:v>
      </x:c>
    </x:row>
    <x:row r="8">
      <x:c r="A8" s="12" t="str">
        <x:v>2026-09-01</x:v>
      </x:c>
      <x:c r="B8" s="12" t="str">
        <x:v>2026-09-01 13:36:36</x:v>
      </x:c>
      <x:c r="C8" s="12" t="str">
        <x:v>13:00</x:v>
      </x:c>
      <x:c r="D8" s="12" t="str">
        <x:v>10–13</x:v>
      </x:c>
      <x:c r="E8" s="12" t="str">
        <x:v>ZZB-0002</x:v>
      </x:c>
      <x:c r="F8" s="12" t="str">
        <x:v>調入</x:v>
      </x:c>
      <x:c r="G8" s="12" t="str">
        <x:v>2.0E</x:v>
      </x:c>
      <x:c r="H8" s="13" t="n">
        <x:v>2</x:v>
      </x:c>
      <x:c r="I8" s="12" t="str">
        <x:v>台北市</x:v>
      </x:c>
      <x:c r="J8" s="12" t="str">
        <x:v>500119064</x:v>
      </x:c>
      <x:c r="K8" s="12" t="str">
        <x:v>臺大明達館機車停車場</x:v>
      </x:c>
      <x:c r="L8" s="12" t="str">
        <x:v>ZZB* 且調出/調入且車種2.0/2.0E</x:v>
      </x:c>
    </x:row>
    <x:row r="9">
      <x:c r="A9" s="12" t="str">
        <x:v>2026-09-01</x:v>
      </x:c>
      <x:c r="B9" s="12" t="str">
        <x:v>2026-09-01 00:07:36</x:v>
      </x:c>
      <x:c r="C9" s="12" t="str">
        <x:v>00:00</x:v>
      </x:c>
      <x:c r="D9" s="12" t="str">
        <x:v>00–05</x:v>
      </x:c>
      <x:c r="E9" s="12" t="str">
        <x:v>ZZB-0003</x:v>
      </x:c>
      <x:c r="F9" s="12" t="str">
        <x:v>調出</x:v>
      </x:c>
      <x:c r="G9" s="12" t="str">
        <x:v>2.0</x:v>
      </x:c>
      <x:c r="H9" s="13" t="n">
        <x:v>10</x:v>
      </x:c>
      <x:c r="I9" s="12" t="str">
        <x:v>台北市</x:v>
      </x:c>
      <x:c r="J9" s="12" t="str">
        <x:v>500101181</x:v>
      </x:c>
      <x:c r="K9" s="12" t="str">
        <x:v>捷運公館站(3號出口)</x:v>
      </x:c>
      <x:c r="L9" s="12" t="str">
        <x:v>ZZB* 且調出/調入且車種2.0/2.0E</x:v>
      </x:c>
    </x:row>
    <x:row r="10">
      <x:c r="A10" s="12" t="str">
        <x:v>2026-09-01</x:v>
      </x:c>
      <x:c r="B10" s="12" t="str">
        <x:v>2026-09-01 00:07:48</x:v>
      </x:c>
      <x:c r="C10" s="12" t="str">
        <x:v>00:00</x:v>
      </x:c>
      <x:c r="D10" s="12" t="str">
        <x:v>00–05</x:v>
      </x:c>
      <x:c r="E10" s="12" t="str">
        <x:v>ZZB-0003</x:v>
      </x:c>
      <x:c r="F10" s="12" t="str">
        <x:v>調入</x:v>
      </x:c>
      <x:c r="G10" s="12" t="str">
        <x:v>2.0</x:v>
      </x:c>
      <x:c r="H10" s="13" t="n">
        <x:v>10</x:v>
      </x:c>
      <x:c r="I10" s="12" t="str">
        <x:v>台北市</x:v>
      </x:c>
      <x:c r="J10" s="12" t="str">
        <x:v>500101276</x:v>
      </x:c>
      <x:c r="K10" s="12" t="str">
        <x:v>羅斯福新生南路口</x:v>
      </x:c>
      <x:c r="L10" s="12" t="str">
        <x:v>ZZB* 且調出/調入且車種2.0/2.0E</x:v>
      </x:c>
    </x:row>
    <x:row r="11">
      <x:c r="A11" s="12" t="str">
        <x:v>2026-09-01</x:v>
      </x:c>
      <x:c r="B11" s="12" t="str">
        <x:v>2026-09-01 08:26:34</x:v>
      </x:c>
      <x:c r="C11" s="12" t="str">
        <x:v>08:00</x:v>
      </x:c>
      <x:c r="D11" s="12" t="str">
        <x:v>06–09</x:v>
      </x:c>
      <x:c r="E11" s="12" t="str">
        <x:v>ZZB-0003</x:v>
      </x:c>
      <x:c r="F11" s="12" t="str">
        <x:v>調出</x:v>
      </x:c>
      <x:c r="G11" s="12" t="str">
        <x:v>2.0</x:v>
      </x:c>
      <x:c r="H11" s="13" t="n">
        <x:v>7</x:v>
      </x:c>
      <x:c r="I11" s="12" t="str">
        <x:v>台北市</x:v>
      </x:c>
      <x:c r="J11" s="12" t="str">
        <x:v>500119086</x:v>
      </x:c>
      <x:c r="K11" s="12" t="str">
        <x:v>臺大圖資系館北側</x:v>
      </x:c>
      <x:c r="L11" s="12" t="str">
        <x:v>ZZB* 且調出/調入且車種2.0/2.0E</x:v>
      </x:c>
    </x:row>
    <x:row r="12">
      <x:c r="A12" s="12" t="str">
        <x:v>2026-09-01</x:v>
      </x:c>
      <x:c r="B12" s="12" t="str">
        <x:v>2026-09-01 08:26:48</x:v>
      </x:c>
      <x:c r="C12" s="12" t="str">
        <x:v>08:00</x:v>
      </x:c>
      <x:c r="D12" s="12" t="str">
        <x:v>06–09</x:v>
      </x:c>
      <x:c r="E12" s="12" t="str">
        <x:v>ZZB-0003</x:v>
      </x:c>
      <x:c r="F12" s="12" t="str">
        <x:v>調入</x:v>
      </x:c>
      <x:c r="G12" s="12" t="str">
        <x:v>2.0</x:v>
      </x:c>
      <x:c r="H12" s="13" t="n">
        <x:v>7</x:v>
      </x:c>
      <x:c r="I12" s="12" t="str">
        <x:v>台北市</x:v>
      </x:c>
      <x:c r="J12" s="12" t="str">
        <x:v>500119059</x:v>
      </x:c>
      <x:c r="K12" s="12" t="str">
        <x:v>臺大共同教室北側</x:v>
      </x:c>
      <x:c r="L12" s="12" t="str">
        <x:v>ZZB* 且調出/調入且車種2.0/2.0E</x:v>
      </x:c>
    </x:row>
    <x:row r="13">
      <x:c r="A13" s="12" t="str">
        <x:v>2026-09-01</x:v>
      </x:c>
      <x:c r="B13" s="12" t="str">
        <x:v>2026-09-01 08:42:33</x:v>
      </x:c>
      <x:c r="C13" s="12" t="str">
        <x:v>08:00</x:v>
      </x:c>
      <x:c r="D13" s="12" t="str">
        <x:v>06–09</x:v>
      </x:c>
      <x:c r="E13" s="12" t="str">
        <x:v>ZZB-0003</x:v>
      </x:c>
      <x:c r="F13" s="12" t="str">
        <x:v>調出</x:v>
      </x:c>
      <x:c r="G13" s="12" t="str">
        <x:v>2.0</x:v>
      </x:c>
      <x:c r="H13" s="13" t="n">
        <x:v>6</x:v>
      </x:c>
      <x:c r="I13" s="12" t="str">
        <x:v>台北市</x:v>
      </x:c>
      <x:c r="J13" s="12" t="str">
        <x:v>500119078</x:v>
      </x:c>
      <x:c r="K13" s="12" t="str">
        <x:v>臺大森林館北側</x:v>
      </x:c>
      <x:c r="L13" s="12" t="str">
        <x:v>ZZB* 且調出/調入且車種2.0/2.0E</x:v>
      </x:c>
    </x:row>
    <x:row r="14">
      <x:c r="A14" s="12" t="str">
        <x:v>2026-09-01</x:v>
      </x:c>
      <x:c r="B14" s="12" t="str">
        <x:v>2026-09-01 08:42:56</x:v>
      </x:c>
      <x:c r="C14" s="12" t="str">
        <x:v>08:00</x:v>
      </x:c>
      <x:c r="D14" s="12" t="str">
        <x:v>06–09</x:v>
      </x:c>
      <x:c r="E14" s="12" t="str">
        <x:v>ZZB-0003</x:v>
      </x:c>
      <x:c r="F14" s="12" t="str">
        <x:v>調入</x:v>
      </x:c>
      <x:c r="G14" s="12" t="str">
        <x:v>2.0</x:v>
      </x:c>
      <x:c r="H14" s="13" t="n">
        <x:v>6</x:v>
      </x:c>
      <x:c r="I14" s="12" t="str">
        <x:v>台北市</x:v>
      </x:c>
      <x:c r="J14" s="12" t="str">
        <x:v>500119060</x:v>
      </x:c>
      <x:c r="K14" s="12" t="str">
        <x:v>臺大共同教室東南側</x:v>
      </x:c>
      <x:c r="L14" s="12" t="str">
        <x:v>ZZB* 且調出/調入且車種2.0/2.0E</x:v>
      </x:c>
    </x:row>
    <x:row r="15">
      <x:c r="A15" s="12" t="str">
        <x:v>2026-09-01</x:v>
      </x:c>
      <x:c r="B15" s="12" t="str">
        <x:v>2026-09-01 09:03:11</x:v>
      </x:c>
      <x:c r="C15" s="12" t="str">
        <x:v>09:00</x:v>
      </x:c>
      <x:c r="D15" s="12" t="str">
        <x:v>06–09</x:v>
      </x:c>
      <x:c r="E15" s="12" t="str">
        <x:v>ZZB-0003</x:v>
      </x:c>
      <x:c r="F15" s="12" t="str">
        <x:v>調出</x:v>
      </x:c>
      <x:c r="G15" s="12" t="str">
        <x:v>2.0</x:v>
      </x:c>
      <x:c r="H15" s="13" t="n">
        <x:v>7</x:v>
      </x:c>
      <x:c r="I15" s="12" t="str">
        <x:v>台北市</x:v>
      </x:c>
      <x:c r="J15" s="12" t="str">
        <x:v>500119078</x:v>
      </x:c>
      <x:c r="K15" s="12" t="str">
        <x:v>臺大森林館北側</x:v>
      </x:c>
      <x:c r="L15" s="12" t="str">
        <x:v>ZZB* 且調出/調入且車種2.0/2.0E</x:v>
      </x:c>
    </x:row>
    <x:row r="16">
      <x:c r="A16" s="12" t="str">
        <x:v>2026-09-01</x:v>
      </x:c>
      <x:c r="B16" s="12" t="str">
        <x:v>2026-09-01 09:03:26</x:v>
      </x:c>
      <x:c r="C16" s="12" t="str">
        <x:v>09:00</x:v>
      </x:c>
      <x:c r="D16" s="12" t="str">
        <x:v>06–09</x:v>
      </x:c>
      <x:c r="E16" s="12" t="str">
        <x:v>ZZB-0003</x:v>
      </x:c>
      <x:c r="F16" s="12" t="str">
        <x:v>調入</x:v>
      </x:c>
      <x:c r="G16" s="12" t="str">
        <x:v>2.0</x:v>
      </x:c>
      <x:c r="H16" s="13" t="n">
        <x:v>7</x:v>
      </x:c>
      <x:c r="I16" s="12" t="str">
        <x:v>台北市</x:v>
      </x:c>
      <x:c r="J16" s="12" t="str">
        <x:v>500119074</x:v>
      </x:c>
      <x:c r="K16" s="12" t="str">
        <x:v>臺大生命科學館西北側</x:v>
      </x:c>
      <x:c r="L16" s="12" t="str">
        <x:v>ZZB* 且調出/調入且車種2.0/2.0E</x:v>
      </x:c>
    </x:row>
    <x:row r="17">
      <x:c r="A17" s="12" t="str">
        <x:v>2026-09-01</x:v>
      </x:c>
      <x:c r="B17" s="12" t="str">
        <x:v>2026-09-01 09:20:52</x:v>
      </x:c>
      <x:c r="C17" s="12" t="str">
        <x:v>09:00</x:v>
      </x:c>
      <x:c r="D17" s="12" t="str">
        <x:v>06–09</x:v>
      </x:c>
      <x:c r="E17" s="12" t="str">
        <x:v>ZZB-0003</x:v>
      </x:c>
      <x:c r="F17" s="12" t="str">
        <x:v>調出</x:v>
      </x:c>
      <x:c r="G17" s="12" t="str">
        <x:v>2.0</x:v>
      </x:c>
      <x:c r="H17" s="13" t="n">
        <x:v>7</x:v>
      </x:c>
      <x:c r="I17" s="12" t="str">
        <x:v>台北市</x:v>
      </x:c>
      <x:c r="J17" s="12" t="str">
        <x:v>500119047</x:v>
      </x:c>
      <x:c r="K17" s="12" t="str">
        <x:v>臺大土木系館</x:v>
      </x:c>
      <x:c r="L17" s="12" t="str">
        <x:v>ZZB* 且調出/調入且車種2.0/2.0E</x:v>
      </x:c>
    </x:row>
    <x:row r="18">
      <x:c r="A18" s="12" t="str">
        <x:v>2026-09-01</x:v>
      </x:c>
      <x:c r="B18" s="12" t="str">
        <x:v>2026-09-01 09:21:05</x:v>
      </x:c>
      <x:c r="C18" s="12" t="str">
        <x:v>09:00</x:v>
      </x:c>
      <x:c r="D18" s="12" t="str">
        <x:v>06–09</x:v>
      </x:c>
      <x:c r="E18" s="12" t="str">
        <x:v>ZZB-0003</x:v>
      </x:c>
      <x:c r="F18" s="12" t="str">
        <x:v>調入</x:v>
      </x:c>
      <x:c r="G18" s="12" t="str">
        <x:v>2.0</x:v>
      </x:c>
      <x:c r="H18" s="13" t="n">
        <x:v>7</x:v>
      </x:c>
      <x:c r="I18" s="12" t="str">
        <x:v>台北市</x:v>
      </x:c>
      <x:c r="J18" s="12" t="str">
        <x:v>500119059</x:v>
      </x:c>
      <x:c r="K18" s="12" t="str">
        <x:v>臺大共同教室北側</x:v>
      </x:c>
      <x:c r="L18" s="12" t="str">
        <x:v>ZZB* 且調出/調入且車種2.0/2.0E</x:v>
      </x:c>
    </x:row>
    <x:row r="19">
      <x:c r="A19" s="12" t="str">
        <x:v>2026-09-01</x:v>
      </x:c>
      <x:c r="B19" s="12" t="str">
        <x:v>2026-09-01 09:40:57</x:v>
      </x:c>
      <x:c r="C19" s="12" t="str">
        <x:v>09:00</x:v>
      </x:c>
      <x:c r="D19" s="12" t="str">
        <x:v>06–09</x:v>
      </x:c>
      <x:c r="E19" s="12" t="str">
        <x:v>ZZB-0003</x:v>
      </x:c>
      <x:c r="F19" s="12" t="str">
        <x:v>調出</x:v>
      </x:c>
      <x:c r="G19" s="12" t="str">
        <x:v>2.0</x:v>
      </x:c>
      <x:c r="H19" s="13" t="n">
        <x:v>7</x:v>
      </x:c>
      <x:c r="I19" s="12" t="str">
        <x:v>台北市</x:v>
      </x:c>
      <x:c r="J19" s="12" t="str">
        <x:v>500119069</x:v>
      </x:c>
      <x:c r="K19" s="12" t="str">
        <x:v>臺大思亮館東南側</x:v>
      </x:c>
      <x:c r="L19" s="12" t="str">
        <x:v>ZZB* 且調出/調入且車種2.0/2.0E</x:v>
      </x:c>
    </x:row>
    <x:row r="20">
      <x:c r="A20" s="12" t="str">
        <x:v>2026-09-01</x:v>
      </x:c>
      <x:c r="B20" s="12" t="str">
        <x:v>2026-09-01 09:41:28</x:v>
      </x:c>
      <x:c r="C20" s="12" t="str">
        <x:v>09:00</x:v>
      </x:c>
      <x:c r="D20" s="12" t="str">
        <x:v>06–09</x:v>
      </x:c>
      <x:c r="E20" s="12" t="str">
        <x:v>ZZB-0003</x:v>
      </x:c>
      <x:c r="F20" s="12" t="str">
        <x:v>調入</x:v>
      </x:c>
      <x:c r="G20" s="12" t="str">
        <x:v>2.0</x:v>
      </x:c>
      <x:c r="H20" s="13" t="n">
        <x:v>7</x:v>
      </x:c>
      <x:c r="I20" s="12" t="str">
        <x:v>台北市</x:v>
      </x:c>
      <x:c r="J20" s="12" t="str">
        <x:v>500119060</x:v>
      </x:c>
      <x:c r="K20" s="12" t="str">
        <x:v>臺大共同教室東南側</x:v>
      </x:c>
      <x:c r="L20" s="12" t="str">
        <x:v>ZZB* 且調出/調入且車種2.0/2.0E</x:v>
      </x:c>
    </x:row>
    <x:row r="21">
      <x:c r="A21" s="12" t="str">
        <x:v>2026-09-01</x:v>
      </x:c>
      <x:c r="B21" s="12" t="str">
        <x:v>2026-09-01 10:09:04</x:v>
      </x:c>
      <x:c r="C21" s="12" t="str">
        <x:v>10:00</x:v>
      </x:c>
      <x:c r="D21" s="12" t="str">
        <x:v>10–13</x:v>
      </x:c>
      <x:c r="E21" s="12" t="str">
        <x:v>ZZB-0003</x:v>
      </x:c>
      <x:c r="F21" s="12" t="str">
        <x:v>調出</x:v>
      </x:c>
      <x:c r="G21" s="12" t="str">
        <x:v>2.0</x:v>
      </x:c>
      <x:c r="H21" s="13" t="n">
        <x:v>7</x:v>
      </x:c>
      <x:c r="I21" s="12" t="str">
        <x:v>台北市</x:v>
      </x:c>
      <x:c r="J21" s="12" t="str">
        <x:v>500119075</x:v>
      </x:c>
      <x:c r="K21" s="12" t="str">
        <x:v>臺大第一活動中心西南側</x:v>
      </x:c>
      <x:c r="L21" s="12" t="str">
        <x:v>ZZB* 且調出/調入且車種2.0/2.0E</x:v>
      </x:c>
    </x:row>
    <x:row r="22">
      <x:c r="A22" s="12" t="str">
        <x:v>2026-09-01</x:v>
      </x:c>
      <x:c r="B22" s="12" t="str">
        <x:v>2026-09-01 10:09:19</x:v>
      </x:c>
      <x:c r="C22" s="12" t="str">
        <x:v>10:00</x:v>
      </x:c>
      <x:c r="D22" s="12" t="str">
        <x:v>10–13</x:v>
      </x:c>
      <x:c r="E22" s="12" t="str">
        <x:v>ZZB-0003</x:v>
      </x:c>
      <x:c r="F22" s="12" t="str">
        <x:v>調入</x:v>
      </x:c>
      <x:c r="G22" s="12" t="str">
        <x:v>2.0</x:v>
      </x:c>
      <x:c r="H22" s="13" t="n">
        <x:v>7</x:v>
      </x:c>
      <x:c r="I22" s="12" t="str">
        <x:v>台北市</x:v>
      </x:c>
      <x:c r="J22" s="12" t="str">
        <x:v>500119061</x:v>
      </x:c>
      <x:c r="K22" s="12" t="str">
        <x:v>臺大鹿鳴堂東側</x:v>
      </x:c>
      <x:c r="L22" s="12" t="str">
        <x:v>ZZB* 且調出/調入且車種2.0/2.0E</x:v>
      </x:c>
    </x:row>
    <x:row r="23">
      <x:c r="A23" s="12" t="str">
        <x:v>2026-09-01</x:v>
      </x:c>
      <x:c r="B23" s="12" t="str">
        <x:v>2026-09-01 10:27:34</x:v>
      </x:c>
      <x:c r="C23" s="12" t="str">
        <x:v>10:00</x:v>
      </x:c>
      <x:c r="D23" s="12" t="str">
        <x:v>10–13</x:v>
      </x:c>
      <x:c r="E23" s="12" t="str">
        <x:v>ZZB-0003</x:v>
      </x:c>
      <x:c r="F23" s="12" t="str">
        <x:v>調出</x:v>
      </x:c>
      <x:c r="G23" s="12" t="str">
        <x:v>2.0</x:v>
      </x:c>
      <x:c r="H23" s="13" t="n">
        <x:v>7</x:v>
      </x:c>
      <x:c r="I23" s="12" t="str">
        <x:v>台北市</x:v>
      </x:c>
      <x:c r="J23" s="12" t="str">
        <x:v>500119078</x:v>
      </x:c>
      <x:c r="K23" s="12" t="str">
        <x:v>臺大森林館北側</x:v>
      </x:c>
      <x:c r="L23" s="12" t="str">
        <x:v>ZZB* 且調出/調入且車種2.0/2.0E</x:v>
      </x:c>
    </x:row>
    <x:row r="24">
      <x:c r="A24" s="12" t="str">
        <x:v>2026-09-01</x:v>
      </x:c>
      <x:c r="B24" s="12" t="str">
        <x:v>2026-09-01 10:27:47</x:v>
      </x:c>
      <x:c r="C24" s="12" t="str">
        <x:v>10:00</x:v>
      </x:c>
      <x:c r="D24" s="12" t="str">
        <x:v>10–13</x:v>
      </x:c>
      <x:c r="E24" s="12" t="str">
        <x:v>ZZB-0003</x:v>
      </x:c>
      <x:c r="F24" s="12" t="str">
        <x:v>調入</x:v>
      </x:c>
      <x:c r="G24" s="12" t="str">
        <x:v>2.0</x:v>
      </x:c>
      <x:c r="H24" s="13" t="n">
        <x:v>7</x:v>
      </x:c>
      <x:c r="I24" s="12" t="str">
        <x:v>台北市</x:v>
      </x:c>
      <x:c r="J24" s="12" t="str">
        <x:v>500119074</x:v>
      </x:c>
      <x:c r="K24" s="12" t="str">
        <x:v>臺大生命科學館西北側</x:v>
      </x:c>
      <x:c r="L24" s="12" t="str">
        <x:v>ZZB* 且調出/調入且車種2.0/2.0E</x:v>
      </x:c>
    </x:row>
    <x:row r="25">
      <x:c r="A25" s="12" t="str">
        <x:v>2026-09-01</x:v>
      </x:c>
      <x:c r="B25" s="12" t="str">
        <x:v>2026-09-01 10:46:29</x:v>
      </x:c>
      <x:c r="C25" s="12" t="str">
        <x:v>10:00</x:v>
      </x:c>
      <x:c r="D25" s="12" t="str">
        <x:v>10–13</x:v>
      </x:c>
      <x:c r="E25" s="12" t="str">
        <x:v>ZZB-0003</x:v>
      </x:c>
      <x:c r="F25" s="12" t="str">
        <x:v>調出</x:v>
      </x:c>
      <x:c r="G25" s="12" t="str">
        <x:v>2.0</x:v>
      </x:c>
      <x:c r="H25" s="13" t="n">
        <x:v>7</x:v>
      </x:c>
      <x:c r="I25" s="12" t="str">
        <x:v>台北市</x:v>
      </x:c>
      <x:c r="J25" s="12" t="str">
        <x:v>500119086</x:v>
      </x:c>
      <x:c r="K25" s="12" t="str">
        <x:v>臺大圖資系館北側</x:v>
      </x:c>
      <x:c r="L25" s="12" t="str">
        <x:v>ZZB* 且調出/調入且車種2.0/2.0E</x:v>
      </x:c>
    </x:row>
    <x:row r="26">
      <x:c r="A26" s="12" t="str">
        <x:v>2026-09-01</x:v>
      </x:c>
      <x:c r="B26" s="12" t="str">
        <x:v>2026-09-01 10:46:43</x:v>
      </x:c>
      <x:c r="C26" s="12" t="str">
        <x:v>10:00</x:v>
      </x:c>
      <x:c r="D26" s="12" t="str">
        <x:v>10–13</x:v>
      </x:c>
      <x:c r="E26" s="12" t="str">
        <x:v>ZZB-0003</x:v>
      </x:c>
      <x:c r="F26" s="12" t="str">
        <x:v>調入</x:v>
      </x:c>
      <x:c r="G26" s="12" t="str">
        <x:v>2.0</x:v>
      </x:c>
      <x:c r="H26" s="13" t="n">
        <x:v>7</x:v>
      </x:c>
      <x:c r="I26" s="12" t="str">
        <x:v>台北市</x:v>
      </x:c>
      <x:c r="J26" s="12" t="str">
        <x:v>500119094</x:v>
      </x:c>
      <x:c r="K26" s="12" t="str">
        <x:v>臺大大一女餐廳廣場</x:v>
      </x:c>
      <x:c r="L26" s="12" t="str">
        <x:v>ZZB* 且調出/調入且車種2.0/2.0E</x:v>
      </x:c>
    </x:row>
    <x:row r="27">
      <x:c r="A27" s="12" t="str">
        <x:v>2026-09-01</x:v>
      </x:c>
      <x:c r="B27" s="12" t="str">
        <x:v>2026-09-01 11:24:00</x:v>
      </x:c>
      <x:c r="C27" s="12" t="str">
        <x:v>11:00</x:v>
      </x:c>
      <x:c r="D27" s="12" t="str">
        <x:v>10–13</x:v>
      </x:c>
      <x:c r="E27" s="12" t="str">
        <x:v>ZZB-0003</x:v>
      </x:c>
      <x:c r="F27" s="12" t="str">
        <x:v>調出</x:v>
      </x:c>
      <x:c r="G27" s="12" t="str">
        <x:v>2.0</x:v>
      </x:c>
      <x:c r="H27" s="13" t="n">
        <x:v>6</x:v>
      </x:c>
      <x:c r="I27" s="12" t="str">
        <x:v>台北市</x:v>
      </x:c>
      <x:c r="J27" s="12" t="str">
        <x:v>500119087</x:v>
      </x:c>
      <x:c r="K27" s="12" t="str">
        <x:v>臺大總圖書館西南側</x:v>
      </x:c>
      <x:c r="L27" s="12" t="str">
        <x:v>ZZB* 且調出/調入且車種2.0/2.0E</x:v>
      </x:c>
    </x:row>
    <x:row r="28">
      <x:c r="A28" s="12" t="str">
        <x:v>2026-09-01</x:v>
      </x:c>
      <x:c r="B28" s="12" t="str">
        <x:v>2026-09-01 11:24:14</x:v>
      </x:c>
      <x:c r="C28" s="12" t="str">
        <x:v>11:00</x:v>
      </x:c>
      <x:c r="D28" s="12" t="str">
        <x:v>10–13</x:v>
      </x:c>
      <x:c r="E28" s="12" t="str">
        <x:v>ZZB-0003</x:v>
      </x:c>
      <x:c r="F28" s="12" t="str">
        <x:v>調入</x:v>
      </x:c>
      <x:c r="G28" s="12" t="str">
        <x:v>2.0</x:v>
      </x:c>
      <x:c r="H28" s="13" t="n">
        <x:v>6</x:v>
      </x:c>
      <x:c r="I28" s="12" t="str">
        <x:v>台北市</x:v>
      </x:c>
      <x:c r="J28" s="12" t="str">
        <x:v>500119091</x:v>
      </x:c>
      <x:c r="K28" s="12" t="str">
        <x:v>臺大明達館北側(員工宿舍)</x:v>
      </x:c>
      <x:c r="L28" s="12" t="str">
        <x:v>ZZB* 且調出/調入且車種2.0/2.0E</x:v>
      </x:c>
    </x:row>
    <x:row r="29">
      <x:c r="A29" s="12" t="str">
        <x:v>2026-09-01</x:v>
      </x:c>
      <x:c r="B29" s="12" t="str">
        <x:v>2026-09-01 12:21:15</x:v>
      </x:c>
      <x:c r="C29" s="12" t="str">
        <x:v>12:00</x:v>
      </x:c>
      <x:c r="D29" s="12" t="str">
        <x:v>10–13</x:v>
      </x:c>
      <x:c r="E29" s="12" t="str">
        <x:v>ZZB-0003</x:v>
      </x:c>
      <x:c r="F29" s="12" t="str">
        <x:v>調出</x:v>
      </x:c>
      <x:c r="G29" s="12" t="str">
        <x:v>2.0</x:v>
      </x:c>
      <x:c r="H29" s="13" t="n">
        <x:v>7</x:v>
      </x:c>
      <x:c r="I29" s="12" t="str">
        <x:v>台北市</x:v>
      </x:c>
      <x:c r="J29" s="12" t="str">
        <x:v>500119085</x:v>
      </x:c>
      <x:c r="K29" s="12" t="str">
        <x:v>臺大電機二館東南側</x:v>
      </x:c>
      <x:c r="L29" s="12" t="str">
        <x:v>ZZB* 且調出/調入且車種2.0/2.0E</x:v>
      </x:c>
    </x:row>
    <x:row r="30">
      <x:c r="A30" s="12" t="str">
        <x:v>2026-09-01</x:v>
      </x:c>
      <x:c r="B30" s="12" t="str">
        <x:v>2026-09-01 12:21:28</x:v>
      </x:c>
      <x:c r="C30" s="12" t="str">
        <x:v>12:00</x:v>
      </x:c>
      <x:c r="D30" s="12" t="str">
        <x:v>10–13</x:v>
      </x:c>
      <x:c r="E30" s="12" t="str">
        <x:v>ZZB-0003</x:v>
      </x:c>
      <x:c r="F30" s="12" t="str">
        <x:v>調入</x:v>
      </x:c>
      <x:c r="G30" s="12" t="str">
        <x:v>2.0</x:v>
      </x:c>
      <x:c r="H30" s="13" t="n">
        <x:v>7</x:v>
      </x:c>
      <x:c r="I30" s="12" t="str">
        <x:v>台北市</x:v>
      </x:c>
      <x:c r="J30" s="12" t="str">
        <x:v>500119087</x:v>
      </x:c>
      <x:c r="K30" s="12" t="str">
        <x:v>臺大總圖書館西南側</x:v>
      </x:c>
      <x:c r="L30" s="12" t="str">
        <x:v>ZZB* 且調出/調入且車種2.0/2.0E</x:v>
      </x:c>
    </x:row>
    <x:row r="31">
      <x:c r="A31" s="12" t="str">
        <x:v>2026-09-01</x:v>
      </x:c>
      <x:c r="B31" s="12" t="str">
        <x:v>2026-09-01 12:45:21</x:v>
      </x:c>
      <x:c r="C31" s="12" t="str">
        <x:v>12:00</x:v>
      </x:c>
      <x:c r="D31" s="12" t="str">
        <x:v>10–13</x:v>
      </x:c>
      <x:c r="E31" s="12" t="str">
        <x:v>ZZB-0003</x:v>
      </x:c>
      <x:c r="F31" s="12" t="str">
        <x:v>調出</x:v>
      </x:c>
      <x:c r="G31" s="12" t="str">
        <x:v>2.0</x:v>
      </x:c>
      <x:c r="H31" s="13" t="n">
        <x:v>7</x:v>
      </x:c>
      <x:c r="I31" s="12" t="str">
        <x:v>台北市</x:v>
      </x:c>
      <x:c r="J31" s="12" t="str">
        <x:v>500119086</x:v>
      </x:c>
      <x:c r="K31" s="12" t="str">
        <x:v>臺大圖資系館北側</x:v>
      </x:c>
      <x:c r="L31" s="12" t="str">
        <x:v>ZZB* 且調出/調入且車種2.0/2.0E</x:v>
      </x:c>
    </x:row>
    <x:row r="32">
      <x:c r="A32" s="12" t="str">
        <x:v>2026-09-01</x:v>
      </x:c>
      <x:c r="B32" s="12" t="str">
        <x:v>2026-09-01 12:45:34</x:v>
      </x:c>
      <x:c r="C32" s="12" t="str">
        <x:v>12:00</x:v>
      </x:c>
      <x:c r="D32" s="12" t="str">
        <x:v>10–13</x:v>
      </x:c>
      <x:c r="E32" s="12" t="str">
        <x:v>ZZB-0003</x:v>
      </x:c>
      <x:c r="F32" s="12" t="str">
        <x:v>調入</x:v>
      </x:c>
      <x:c r="G32" s="12" t="str">
        <x:v>2.0</x:v>
      </x:c>
      <x:c r="H32" s="13" t="n">
        <x:v>7</x:v>
      </x:c>
      <x:c r="I32" s="12" t="str">
        <x:v>台北市</x:v>
      </x:c>
      <x:c r="J32" s="12" t="str">
        <x:v>500119059</x:v>
      </x:c>
      <x:c r="K32" s="12" t="str">
        <x:v>臺大共同教室北側</x:v>
      </x:c>
      <x:c r="L32" s="12" t="str">
        <x:v>ZZB* 且調出/調入且車種2.0/2.0E</x:v>
      </x:c>
    </x:row>
    <x:row r="33">
      <x:c r="A33" s="12" t="str">
        <x:v>2026-09-01</x:v>
      </x:c>
      <x:c r="B33" s="12" t="str">
        <x:v>2026-09-01 13:03:56</x:v>
      </x:c>
      <x:c r="C33" s="12" t="str">
        <x:v>13:00</x:v>
      </x:c>
      <x:c r="D33" s="12" t="str">
        <x:v>10–13</x:v>
      </x:c>
      <x:c r="E33" s="12" t="str">
        <x:v>ZZB-0003</x:v>
      </x:c>
      <x:c r="F33" s="12" t="str">
        <x:v>調出</x:v>
      </x:c>
      <x:c r="G33" s="12" t="str">
        <x:v>2.0</x:v>
      </x:c>
      <x:c r="H33" s="13" t="n">
        <x:v>7</x:v>
      </x:c>
      <x:c r="I33" s="12" t="str">
        <x:v>台北市</x:v>
      </x:c>
      <x:c r="J33" s="12" t="str">
        <x:v>500119083</x:v>
      </x:c>
      <x:c r="K33" s="12" t="str">
        <x:v>臺大新生教室南側</x:v>
      </x:c>
      <x:c r="L33" s="12" t="str">
        <x:v>ZZB* 且調出/調入且車種2.0/2.0E</x:v>
      </x:c>
    </x:row>
    <x:row r="34">
      <x:c r="A34" s="12" t="str">
        <x:v>2026-09-01</x:v>
      </x:c>
      <x:c r="B34" s="12" t="str">
        <x:v>2026-09-01 13:04:09</x:v>
      </x:c>
      <x:c r="C34" s="12" t="str">
        <x:v>13:00</x:v>
      </x:c>
      <x:c r="D34" s="12" t="str">
        <x:v>10–13</x:v>
      </x:c>
      <x:c r="E34" s="12" t="str">
        <x:v>ZZB-0003</x:v>
      </x:c>
      <x:c r="F34" s="12" t="str">
        <x:v>調入</x:v>
      </x:c>
      <x:c r="G34" s="12" t="str">
        <x:v>2.0</x:v>
      </x:c>
      <x:c r="H34" s="13" t="n">
        <x:v>7</x:v>
      </x:c>
      <x:c r="I34" s="12" t="str">
        <x:v>台北市</x:v>
      </x:c>
      <x:c r="J34" s="12" t="str">
        <x:v>500119061</x:v>
      </x:c>
      <x:c r="K34" s="12" t="str">
        <x:v>臺大鹿鳴堂東側</x:v>
      </x:c>
      <x:c r="L34" s="12" t="str">
        <x:v>ZZB* 且調出/調入且車種2.0/2.0E</x:v>
      </x:c>
    </x:row>
    <x:row r="35">
      <x:c r="A35" s="12" t="str">
        <x:v>2026-09-01</x:v>
      </x:c>
      <x:c r="B35" s="12" t="str">
        <x:v>2026-09-01 13:29:35</x:v>
      </x:c>
      <x:c r="C35" s="12" t="str">
        <x:v>13:00</x:v>
      </x:c>
      <x:c r="D35" s="12" t="str">
        <x:v>10–13</x:v>
      </x:c>
      <x:c r="E35" s="12" t="str">
        <x:v>ZZB-0003</x:v>
      </x:c>
      <x:c r="F35" s="12" t="str">
        <x:v>調出</x:v>
      </x:c>
      <x:c r="G35" s="12" t="str">
        <x:v>2.0</x:v>
      </x:c>
      <x:c r="H35" s="13" t="n">
        <x:v>7</x:v>
      </x:c>
      <x:c r="I35" s="12" t="str">
        <x:v>台北市</x:v>
      </x:c>
      <x:c r="J35" s="12" t="str">
        <x:v>500119087</x:v>
      </x:c>
      <x:c r="K35" s="12" t="str">
        <x:v>臺大總圖書館西南側</x:v>
      </x:c>
      <x:c r="L35" s="12" t="str">
        <x:v>ZZB* 且調出/調入且車種2.0/2.0E</x:v>
      </x:c>
    </x:row>
    <x:row r="36">
      <x:c r="A36" s="12" t="str">
        <x:v>2026-09-01</x:v>
      </x:c>
      <x:c r="B36" s="12" t="str">
        <x:v>2026-09-01 13:30:09</x:v>
      </x:c>
      <x:c r="C36" s="12" t="str">
        <x:v>13:00</x:v>
      </x:c>
      <x:c r="D36" s="12" t="str">
        <x:v>10–13</x:v>
      </x:c>
      <x:c r="E36" s="12" t="str">
        <x:v>ZZB-0003</x:v>
      </x:c>
      <x:c r="F36" s="12" t="str">
        <x:v>調入</x:v>
      </x:c>
      <x:c r="G36" s="12" t="str">
        <x:v>2.0</x:v>
      </x:c>
      <x:c r="H36" s="13" t="n">
        <x:v>7</x:v>
      </x:c>
      <x:c r="I36" s="12" t="str">
        <x:v>台北市</x:v>
      </x:c>
      <x:c r="J36" s="12" t="str">
        <x:v>500119060</x:v>
      </x:c>
      <x:c r="K36" s="12" t="str">
        <x:v>臺大共同教室東南側</x:v>
      </x:c>
      <x:c r="L36" s="12" t="str">
        <x:v>ZZB* 且調出/調入且車種2.0/2.0E</x:v>
      </x:c>
    </x:row>
    <x:row r="37">
      <x:c r="A37" s="12" t="str">
        <x:v>2026-09-01</x:v>
      </x:c>
      <x:c r="B37" s="12" t="str">
        <x:v>2026-09-01 13:49:30</x:v>
      </x:c>
      <x:c r="C37" s="12" t="str">
        <x:v>13:00</x:v>
      </x:c>
      <x:c r="D37" s="12" t="str">
        <x:v>10–13</x:v>
      </x:c>
      <x:c r="E37" s="12" t="str">
        <x:v>ZZB-0003</x:v>
      </x:c>
      <x:c r="F37" s="12" t="str">
        <x:v>調出</x:v>
      </x:c>
      <x:c r="G37" s="12" t="str">
        <x:v>2.0</x:v>
      </x:c>
      <x:c r="H37" s="13" t="n">
        <x:v>5</x:v>
      </x:c>
      <x:c r="I37" s="12" t="str">
        <x:v>台北市</x:v>
      </x:c>
      <x:c r="J37" s="12" t="str">
        <x:v>500119086</x:v>
      </x:c>
      <x:c r="K37" s="12" t="str">
        <x:v>臺大圖資系館北側</x:v>
      </x:c>
      <x:c r="L37" s="12" t="str">
        <x:v>ZZB* 且調出/調入且車種2.0/2.0E</x:v>
      </x:c>
    </x:row>
    <x:row r="38">
      <x:c r="A38" s="12" t="str">
        <x:v>2026-09-01</x:v>
      </x:c>
      <x:c r="B38" s="12" t="str">
        <x:v>2026-09-01 13:49:48</x:v>
      </x:c>
      <x:c r="C38" s="12" t="str">
        <x:v>13:00</x:v>
      </x:c>
      <x:c r="D38" s="12" t="str">
        <x:v>10–13</x:v>
      </x:c>
      <x:c r="E38" s="12" t="str">
        <x:v>ZZB-0003</x:v>
      </x:c>
      <x:c r="F38" s="12" t="str">
        <x:v>調入</x:v>
      </x:c>
      <x:c r="G38" s="12" t="str">
        <x:v>2.0</x:v>
      </x:c>
      <x:c r="H38" s="13" t="n">
        <x:v>5</x:v>
      </x:c>
      <x:c r="I38" s="12" t="str">
        <x:v>台北市</x:v>
      </x:c>
      <x:c r="J38" s="12" t="str">
        <x:v>500119064</x:v>
      </x:c>
      <x:c r="K38" s="12" t="str">
        <x:v>臺大明達館機車停車場</x:v>
      </x:c>
      <x:c r="L38" s="12" t="str">
        <x:v>ZZB* 且調出/調入且車種2.0/2.0E</x:v>
      </x:c>
    </x:row>
    <x:row r="39">
      <x:c r="A39" s="12" t="str">
        <x:v>2026-09-01</x:v>
      </x:c>
      <x:c r="B39" s="12" t="str">
        <x:v>2026-09-01 14:21:05</x:v>
      </x:c>
      <x:c r="C39" s="12" t="str">
        <x:v>14:00</x:v>
      </x:c>
      <x:c r="D39" s="12" t="str">
        <x:v>14–17</x:v>
      </x:c>
      <x:c r="E39" s="12" t="str">
        <x:v>ZZB-0003</x:v>
      </x:c>
      <x:c r="F39" s="12" t="str">
        <x:v>調出</x:v>
      </x:c>
      <x:c r="G39" s="12" t="str">
        <x:v>2.0</x:v>
      </x:c>
      <x:c r="H39" s="13" t="n">
        <x:v>4</x:v>
      </x:c>
      <x:c r="I39" s="12" t="str">
        <x:v>台北市</x:v>
      </x:c>
      <x:c r="J39" s="12" t="str">
        <x:v>500119074</x:v>
      </x:c>
      <x:c r="K39" s="12" t="str">
        <x:v>臺大生命科學館西北側</x:v>
      </x:c>
      <x:c r="L39" s="12" t="str">
        <x:v>ZZB* 且調出/調入且車種2.0/2.0E</x:v>
      </x:c>
    </x:row>
    <x:row r="40">
      <x:c r="A40" s="12" t="str">
        <x:v>2026-09-01</x:v>
      </x:c>
      <x:c r="B40" s="12" t="str">
        <x:v>2026-09-01 14:21:19</x:v>
      </x:c>
      <x:c r="C40" s="12" t="str">
        <x:v>14:00</x:v>
      </x:c>
      <x:c r="D40" s="12" t="str">
        <x:v>14–17</x:v>
      </x:c>
      <x:c r="E40" s="12" t="str">
        <x:v>ZZB-0003</x:v>
      </x:c>
      <x:c r="F40" s="12" t="str">
        <x:v>調入</x:v>
      </x:c>
      <x:c r="G40" s="12" t="str">
        <x:v>2.0</x:v>
      </x:c>
      <x:c r="H40" s="13" t="n">
        <x:v>4</x:v>
      </x:c>
      <x:c r="I40" s="12" t="str">
        <x:v>台北市</x:v>
      </x:c>
      <x:c r="J40" s="12" t="str">
        <x:v>500119091</x:v>
      </x:c>
      <x:c r="K40" s="12" t="str">
        <x:v>臺大明達館北側(員工宿舍)</x:v>
      </x:c>
      <x:c r="L40" s="12" t="str">
        <x:v>ZZB* 且調出/調入且車種2.0/2.0E</x:v>
      </x:c>
    </x:row>
    <x:row r="41">
      <x:c r="A41" s="12" t="str">
        <x:v>2026-09-01</x:v>
      </x:c>
      <x:c r="B41" s="12" t="str">
        <x:v>2026-09-01 08:42:33</x:v>
      </x:c>
      <x:c r="C41" s="12" t="str">
        <x:v>08:00</x:v>
      </x:c>
      <x:c r="D41" s="12" t="str">
        <x:v>06–09</x:v>
      </x:c>
      <x:c r="E41" s="12" t="str">
        <x:v>ZZB-0003</x:v>
      </x:c>
      <x:c r="F41" s="12" t="str">
        <x:v>調出</x:v>
      </x:c>
      <x:c r="G41" s="12" t="str">
        <x:v>2.0E</x:v>
      </x:c>
      <x:c r="H41" s="13" t="n">
        <x:v>1</x:v>
      </x:c>
      <x:c r="I41" s="12" t="str">
        <x:v>台北市</x:v>
      </x:c>
      <x:c r="J41" s="12" t="str">
        <x:v>500119078</x:v>
      </x:c>
      <x:c r="K41" s="12" t="str">
        <x:v>臺大森林館北側</x:v>
      </x:c>
      <x:c r="L41" s="12" t="str">
        <x:v>ZZB* 且調出/調入且車種2.0/2.0E</x:v>
      </x:c>
    </x:row>
    <x:row r="42">
      <x:c r="A42" s="12" t="str">
        <x:v>2026-09-01</x:v>
      </x:c>
      <x:c r="B42" s="12" t="str">
        <x:v>2026-09-01 08:42:56</x:v>
      </x:c>
      <x:c r="C42" s="12" t="str">
        <x:v>08:00</x:v>
      </x:c>
      <x:c r="D42" s="12" t="str">
        <x:v>06–09</x:v>
      </x:c>
      <x:c r="E42" s="12" t="str">
        <x:v>ZZB-0003</x:v>
      </x:c>
      <x:c r="F42" s="12" t="str">
        <x:v>調入</x:v>
      </x:c>
      <x:c r="G42" s="12" t="str">
        <x:v>2.0E</x:v>
      </x:c>
      <x:c r="H42" s="13" t="n">
        <x:v>1</x:v>
      </x:c>
      <x:c r="I42" s="12" t="str">
        <x:v>台北市</x:v>
      </x:c>
      <x:c r="J42" s="12" t="str">
        <x:v>500119060</x:v>
      </x:c>
      <x:c r="K42" s="12" t="str">
        <x:v>臺大共同教室東南側</x:v>
      </x:c>
      <x:c r="L42" s="12" t="str">
        <x:v>ZZB* 且調出/調入且車種2.0/2.0E</x:v>
      </x:c>
    </x:row>
    <x:row r="43">
      <x:c r="A43" s="12" t="str">
        <x:v>2026-09-01</x:v>
      </x:c>
      <x:c r="B43" s="12" t="str">
        <x:v>2026-09-01 11:24:00</x:v>
      </x:c>
      <x:c r="C43" s="12" t="str">
        <x:v>11:00</x:v>
      </x:c>
      <x:c r="D43" s="12" t="str">
        <x:v>10–13</x:v>
      </x:c>
      <x:c r="E43" s="12" t="str">
        <x:v>ZZB-0003</x:v>
      </x:c>
      <x:c r="F43" s="12" t="str">
        <x:v>調出</x:v>
      </x:c>
      <x:c r="G43" s="12" t="str">
        <x:v>2.0E</x:v>
      </x:c>
      <x:c r="H43" s="13" t="n">
        <x:v>1</x:v>
      </x:c>
      <x:c r="I43" s="12" t="str">
        <x:v>台北市</x:v>
      </x:c>
      <x:c r="J43" s="12" t="str">
        <x:v>500119087</x:v>
      </x:c>
      <x:c r="K43" s="12" t="str">
        <x:v>臺大總圖書館西南側</x:v>
      </x:c>
      <x:c r="L43" s="12" t="str">
        <x:v>ZZB* 且調出/調入且車種2.0/2.0E</x:v>
      </x:c>
    </x:row>
    <x:row r="44">
      <x:c r="A44" s="12" t="str">
        <x:v>2026-09-01</x:v>
      </x:c>
      <x:c r="B44" s="12" t="str">
        <x:v>2026-09-01 11:24:14</x:v>
      </x:c>
      <x:c r="C44" s="12" t="str">
        <x:v>11:00</x:v>
      </x:c>
      <x:c r="D44" s="12" t="str">
        <x:v>10–13</x:v>
      </x:c>
      <x:c r="E44" s="12" t="str">
        <x:v>ZZB-0003</x:v>
      </x:c>
      <x:c r="F44" s="12" t="str">
        <x:v>調入</x:v>
      </x:c>
      <x:c r="G44" s="12" t="str">
        <x:v>2.0E</x:v>
      </x:c>
      <x:c r="H44" s="13" t="n">
        <x:v>1</x:v>
      </x:c>
      <x:c r="I44" s="12" t="str">
        <x:v>台北市</x:v>
      </x:c>
      <x:c r="J44" s="12" t="str">
        <x:v>500119091</x:v>
      </x:c>
      <x:c r="K44" s="12" t="str">
        <x:v>臺大明達館北側(員工宿舍)</x:v>
      </x:c>
      <x:c r="L44" s="12" t="str">
        <x:v>ZZB* 且調出/調入且車種2.0/2.0E</x:v>
      </x:c>
    </x:row>
    <x:row r="45">
      <x:c r="A45" s="12" t="str">
        <x:v>2026-09-01</x:v>
      </x:c>
      <x:c r="B45" s="12" t="str">
        <x:v>2026-09-01 13:49:30</x:v>
      </x:c>
      <x:c r="C45" s="12" t="str">
        <x:v>13:00</x:v>
      </x:c>
      <x:c r="D45" s="12" t="str">
        <x:v>10–13</x:v>
      </x:c>
      <x:c r="E45" s="12" t="str">
        <x:v>ZZB-0003</x:v>
      </x:c>
      <x:c r="F45" s="12" t="str">
        <x:v>調出</x:v>
      </x:c>
      <x:c r="G45" s="12" t="str">
        <x:v>2.0E</x:v>
      </x:c>
      <x:c r="H45" s="13" t="n">
        <x:v>2</x:v>
      </x:c>
      <x:c r="I45" s="12" t="str">
        <x:v>台北市</x:v>
      </x:c>
      <x:c r="J45" s="12" t="str">
        <x:v>500119086</x:v>
      </x:c>
      <x:c r="K45" s="12" t="str">
        <x:v>臺大圖資系館北側</x:v>
      </x:c>
      <x:c r="L45" s="12" t="str">
        <x:v>ZZB* 且調出/調入且車種2.0/2.0E</x:v>
      </x:c>
    </x:row>
    <x:row r="46">
      <x:c r="A46" s="12" t="str">
        <x:v>2026-09-01</x:v>
      </x:c>
      <x:c r="B46" s="12" t="str">
        <x:v>2026-09-01 13:49:48</x:v>
      </x:c>
      <x:c r="C46" s="12" t="str">
        <x:v>13:00</x:v>
      </x:c>
      <x:c r="D46" s="12" t="str">
        <x:v>10–13</x:v>
      </x:c>
      <x:c r="E46" s="12" t="str">
        <x:v>ZZB-0003</x:v>
      </x:c>
      <x:c r="F46" s="12" t="str">
        <x:v>調入</x:v>
      </x:c>
      <x:c r="G46" s="12" t="str">
        <x:v>2.0E</x:v>
      </x:c>
      <x:c r="H46" s="13" t="n">
        <x:v>2</x:v>
      </x:c>
      <x:c r="I46" s="12" t="str">
        <x:v>台北市</x:v>
      </x:c>
      <x:c r="J46" s="12" t="str">
        <x:v>500119064</x:v>
      </x:c>
      <x:c r="K46" s="12" t="str">
        <x:v>臺大明達館機車停車場</x:v>
      </x:c>
      <x:c r="L46" s="12" t="str">
        <x:v>ZZB* 且調出/調入且車種2.0/2.0E</x:v>
      </x:c>
    </x:row>
    <x:row r="47">
      <x:c r="A47" s="12" t="str">
        <x:v>2026-09-01</x:v>
      </x:c>
      <x:c r="B47" s="12" t="str">
        <x:v>2026-09-01 14:21:05</x:v>
      </x:c>
      <x:c r="C47" s="12" t="str">
        <x:v>14:00</x:v>
      </x:c>
      <x:c r="D47" s="12" t="str">
        <x:v>14–17</x:v>
      </x:c>
      <x:c r="E47" s="12" t="str">
        <x:v>ZZB-0003</x:v>
      </x:c>
      <x:c r="F47" s="12" t="str">
        <x:v>調出</x:v>
      </x:c>
      <x:c r="G47" s="12" t="str">
        <x:v>2.0E</x:v>
      </x:c>
      <x:c r="H47" s="13" t="n">
        <x:v>1</x:v>
      </x:c>
      <x:c r="I47" s="12" t="str">
        <x:v>台北市</x:v>
      </x:c>
      <x:c r="J47" s="12" t="str">
        <x:v>500119074</x:v>
      </x:c>
      <x:c r="K47" s="12" t="str">
        <x:v>臺大生命科學館西北側</x:v>
      </x:c>
      <x:c r="L47" s="12" t="str">
        <x:v>ZZB* 且調出/調入且車種2.0/2.0E</x:v>
      </x:c>
    </x:row>
    <x:row r="48">
      <x:c r="A48" s="12" t="str">
        <x:v>2026-09-01</x:v>
      </x:c>
      <x:c r="B48" s="12" t="str">
        <x:v>2026-09-01 14:21:19</x:v>
      </x:c>
      <x:c r="C48" s="12" t="str">
        <x:v>14:00</x:v>
      </x:c>
      <x:c r="D48" s="12" t="str">
        <x:v>14–17</x:v>
      </x:c>
      <x:c r="E48" s="12" t="str">
        <x:v>ZZB-0003</x:v>
      </x:c>
      <x:c r="F48" s="12" t="str">
        <x:v>調入</x:v>
      </x:c>
      <x:c r="G48" s="12" t="str">
        <x:v>2.0E</x:v>
      </x:c>
      <x:c r="H48" s="13" t="n">
        <x:v>1</x:v>
      </x:c>
      <x:c r="I48" s="12" t="str">
        <x:v>台北市</x:v>
      </x:c>
      <x:c r="J48" s="12" t="str">
        <x:v>500119091</x:v>
      </x:c>
      <x:c r="K48" s="12" t="str">
        <x:v>臺大明達館北側(員工宿舍)</x:v>
      </x:c>
      <x:c r="L48" s="12" t="str">
        <x:v>ZZB* 且調出/調入且車種2.0/2.0E</x:v>
      </x:c>
    </x:row>
    <x:row r="49">
      <x:c r="A49" s="12" t="str">
        <x:v>2026-09-01</x:v>
      </x:c>
      <x:c r="B49" s="12" t="str">
        <x:v>2026-09-01 08:05:26</x:v>
      </x:c>
      <x:c r="C49" s="12" t="str">
        <x:v>08:00</x:v>
      </x:c>
      <x:c r="D49" s="12" t="str">
        <x:v>06–09</x:v>
      </x:c>
      <x:c r="E49" s="12" t="str">
        <x:v>ZZB-0004</x:v>
      </x:c>
      <x:c r="F49" s="12" t="str">
        <x:v>調出</x:v>
      </x:c>
      <x:c r="G49" s="12" t="str">
        <x:v>2.0</x:v>
      </x:c>
      <x:c r="H49" s="13" t="n">
        <x:v>7</x:v>
      </x:c>
      <x:c r="I49" s="12" t="str">
        <x:v>台北市</x:v>
      </x:c>
      <x:c r="J49" s="12" t="str">
        <x:v>500119050</x:v>
      </x:c>
      <x:c r="K49" s="12" t="str">
        <x:v>臺大小福樓東側</x:v>
      </x:c>
      <x:c r="L49" s="12" t="str">
        <x:v>ZZB* 且調出/調入且車種2.0/2.0E</x:v>
      </x:c>
    </x:row>
    <x:row r="50">
      <x:c r="A50" s="12" t="str">
        <x:v>2026-09-01</x:v>
      </x:c>
      <x:c r="B50" s="12" t="str">
        <x:v>2026-09-01 08:12:34</x:v>
      </x:c>
      <x:c r="C50" s="12" t="str">
        <x:v>08:00</x:v>
      </x:c>
      <x:c r="D50" s="12" t="str">
        <x:v>06–09</x:v>
      </x:c>
      <x:c r="E50" s="12" t="str">
        <x:v>ZZB-0004</x:v>
      </x:c>
      <x:c r="F50" s="12" t="str">
        <x:v>調入</x:v>
      </x:c>
      <x:c r="G50" s="12" t="str">
        <x:v>2.0</x:v>
      </x:c>
      <x:c r="H50" s="13" t="n">
        <x:v>7</x:v>
      </x:c>
      <x:c r="I50" s="12" t="str">
        <x:v>台北市</x:v>
      </x:c>
      <x:c r="J50" s="12" t="str">
        <x:v>500119097</x:v>
      </x:c>
      <x:c r="K50" s="12" t="str">
        <x:v>臺大人文館</x:v>
      </x:c>
      <x:c r="L50" s="12" t="str">
        <x:v>ZZB* 且調出/調入且車種2.0/2.0E</x:v>
      </x:c>
    </x:row>
    <x:row r="51">
      <x:c r="A51" s="12" t="str">
        <x:v>2026-09-01</x:v>
      </x:c>
      <x:c r="B51" s="12" t="str">
        <x:v>2026-09-01 08:33:08</x:v>
      </x:c>
      <x:c r="C51" s="12" t="str">
        <x:v>08:00</x:v>
      </x:c>
      <x:c r="D51" s="12" t="str">
        <x:v>06–09</x:v>
      </x:c>
      <x:c r="E51" s="12" t="str">
        <x:v>ZZB-0004</x:v>
      </x:c>
      <x:c r="F51" s="12" t="str">
        <x:v>調出</x:v>
      </x:c>
      <x:c r="G51" s="12" t="str">
        <x:v>2.0</x:v>
      </x:c>
      <x:c r="H51" s="13" t="n">
        <x:v>7</x:v>
      </x:c>
      <x:c r="I51" s="12" t="str">
        <x:v>台北市</x:v>
      </x:c>
      <x:c r="J51" s="12" t="str">
        <x:v>500119087</x:v>
      </x:c>
      <x:c r="K51" s="12" t="str">
        <x:v>臺大總圖書館西南側</x:v>
      </x:c>
      <x:c r="L51" s="12" t="str">
        <x:v>ZZB* 且調出/調入且車種2.0/2.0E</x:v>
      </x:c>
    </x:row>
    <x:row r="52">
      <x:c r="A52" s="12" t="str">
        <x:v>2026-09-01</x:v>
      </x:c>
      <x:c r="B52" s="12" t="str">
        <x:v>2026-09-01 08:41:08</x:v>
      </x:c>
      <x:c r="C52" s="12" t="str">
        <x:v>08:00</x:v>
      </x:c>
      <x:c r="D52" s="12" t="str">
        <x:v>06–09</x:v>
      </x:c>
      <x:c r="E52" s="12" t="str">
        <x:v>ZZB-0004</x:v>
      </x:c>
      <x:c r="F52" s="12" t="str">
        <x:v>調入</x:v>
      </x:c>
      <x:c r="G52" s="12" t="str">
        <x:v>2.0</x:v>
      </x:c>
      <x:c r="H52" s="13" t="n">
        <x:v>7</x:v>
      </x:c>
      <x:c r="I52" s="12" t="str">
        <x:v>台北市</x:v>
      </x:c>
      <x:c r="J52" s="12" t="str">
        <x:v>500119097</x:v>
      </x:c>
      <x:c r="K52" s="12" t="str">
        <x:v>臺大人文館</x:v>
      </x:c>
      <x:c r="L52" s="12" t="str">
        <x:v>ZZB* 且調出/調入且車種2.0/2.0E</x:v>
      </x:c>
    </x:row>
    <x:row r="53">
      <x:c r="A53" s="12" t="str">
        <x:v>2026-09-01</x:v>
      </x:c>
      <x:c r="B53" s="12" t="str">
        <x:v>2026-09-01 08:48:52</x:v>
      </x:c>
      <x:c r="C53" s="12" t="str">
        <x:v>08:00</x:v>
      </x:c>
      <x:c r="D53" s="12" t="str">
        <x:v>06–09</x:v>
      </x:c>
      <x:c r="E53" s="12" t="str">
        <x:v>ZZB-0004</x:v>
      </x:c>
      <x:c r="F53" s="12" t="str">
        <x:v>調出</x:v>
      </x:c>
      <x:c r="G53" s="12" t="str">
        <x:v>2.0</x:v>
      </x:c>
      <x:c r="H53" s="13" t="n">
        <x:v>7</x:v>
      </x:c>
      <x:c r="I53" s="12" t="str">
        <x:v>台北市</x:v>
      </x:c>
      <x:c r="J53" s="12" t="str">
        <x:v>500119050</x:v>
      </x:c>
      <x:c r="K53" s="12" t="str">
        <x:v>臺大小福樓東側</x:v>
      </x:c>
      <x:c r="L53" s="12" t="str">
        <x:v>ZZB* 且調出/調入且車種2.0/2.0E</x:v>
      </x:c>
    </x:row>
    <x:row r="54">
      <x:c r="A54" s="12" t="str">
        <x:v>2026-09-01</x:v>
      </x:c>
      <x:c r="B54" s="12" t="str">
        <x:v>2026-09-01 08:54:48</x:v>
      </x:c>
      <x:c r="C54" s="12" t="str">
        <x:v>08:00</x:v>
      </x:c>
      <x:c r="D54" s="12" t="str">
        <x:v>06–09</x:v>
      </x:c>
      <x:c r="E54" s="12" t="str">
        <x:v>ZZB-0004</x:v>
      </x:c>
      <x:c r="F54" s="12" t="str">
        <x:v>調入</x:v>
      </x:c>
      <x:c r="G54" s="12" t="str">
        <x:v>2.0</x:v>
      </x:c>
      <x:c r="H54" s="13" t="n">
        <x:v>7</x:v>
      </x:c>
      <x:c r="I54" s="12" t="str">
        <x:v>台北市</x:v>
      </x:c>
      <x:c r="J54" s="12" t="str">
        <x:v>500119097</x:v>
      </x:c>
      <x:c r="K54" s="12" t="str">
        <x:v>臺大人文館</x:v>
      </x:c>
      <x:c r="L54" s="12" t="str">
        <x:v>ZZB* 且調出/調入且車種2.0/2.0E</x:v>
      </x:c>
    </x:row>
    <x:row r="55">
      <x:c r="A55" s="12" t="str">
        <x:v>2026-09-01</x:v>
      </x:c>
      <x:c r="B55" s="12" t="str">
        <x:v>2026-09-01 09:04:47</x:v>
      </x:c>
      <x:c r="C55" s="12" t="str">
        <x:v>09:00</x:v>
      </x:c>
      <x:c r="D55" s="12" t="str">
        <x:v>06–09</x:v>
      </x:c>
      <x:c r="E55" s="12" t="str">
        <x:v>ZZB-0004</x:v>
      </x:c>
      <x:c r="F55" s="12" t="str">
        <x:v>調出</x:v>
      </x:c>
      <x:c r="G55" s="12" t="str">
        <x:v>2.0</x:v>
      </x:c>
      <x:c r="H55" s="13" t="n">
        <x:v>7</x:v>
      </x:c>
      <x:c r="I55" s="12" t="str">
        <x:v>台北市</x:v>
      </x:c>
      <x:c r="J55" s="12" t="str">
        <x:v>500119050</x:v>
      </x:c>
      <x:c r="K55" s="12" t="str">
        <x:v>臺大小福樓東側</x:v>
      </x:c>
      <x:c r="L55" s="12" t="str">
        <x:v>ZZB* 且調出/調入且車種2.0/2.0E</x:v>
      </x:c>
    </x:row>
    <x:row r="56">
      <x:c r="A56" s="12" t="str">
        <x:v>2026-09-01</x:v>
      </x:c>
      <x:c r="B56" s="12" t="str">
        <x:v>2026-09-01 09:10:37</x:v>
      </x:c>
      <x:c r="C56" s="12" t="str">
        <x:v>09:00</x:v>
      </x:c>
      <x:c r="D56" s="12" t="str">
        <x:v>06–09</x:v>
      </x:c>
      <x:c r="E56" s="12" t="str">
        <x:v>ZZB-0004</x:v>
      </x:c>
      <x:c r="F56" s="12" t="str">
        <x:v>調入</x:v>
      </x:c>
      <x:c r="G56" s="12" t="str">
        <x:v>2.0</x:v>
      </x:c>
      <x:c r="H56" s="13" t="n">
        <x:v>7</x:v>
      </x:c>
      <x:c r="I56" s="12" t="str">
        <x:v>台北市</x:v>
      </x:c>
      <x:c r="J56" s="12" t="str">
        <x:v>500119097</x:v>
      </x:c>
      <x:c r="K56" s="12" t="str">
        <x:v>臺大人文館</x:v>
      </x:c>
      <x:c r="L56" s="12" t="str">
        <x:v>ZZB* 且調出/調入且車種2.0/2.0E</x:v>
      </x:c>
    </x:row>
    <x:row r="57">
      <x:c r="A57" s="12" t="str">
        <x:v>2026-09-01</x:v>
      </x:c>
      <x:c r="B57" s="12" t="str">
        <x:v>2026-09-01 09:19:55</x:v>
      </x:c>
      <x:c r="C57" s="12" t="str">
        <x:v>09:00</x:v>
      </x:c>
      <x:c r="D57" s="12" t="str">
        <x:v>06–09</x:v>
      </x:c>
      <x:c r="E57" s="12" t="str">
        <x:v>ZZB-0004</x:v>
      </x:c>
      <x:c r="F57" s="12" t="str">
        <x:v>調出</x:v>
      </x:c>
      <x:c r="G57" s="12" t="str">
        <x:v>2.0</x:v>
      </x:c>
      <x:c r="H57" s="13" t="n">
        <x:v>7</x:v>
      </x:c>
      <x:c r="I57" s="12" t="str">
        <x:v>台北市</x:v>
      </x:c>
      <x:c r="J57" s="12" t="str">
        <x:v>500119050</x:v>
      </x:c>
      <x:c r="K57" s="12" t="str">
        <x:v>臺大小福樓東側</x:v>
      </x:c>
      <x:c r="L57" s="12" t="str">
        <x:v>ZZB* 且調出/調入且車種2.0/2.0E</x:v>
      </x:c>
    </x:row>
    <x:row r="58">
      <x:c r="A58" s="12" t="str">
        <x:v>2026-09-01</x:v>
      </x:c>
      <x:c r="B58" s="12" t="str">
        <x:v>2026-09-01 09:26:53</x:v>
      </x:c>
      <x:c r="C58" s="12" t="str">
        <x:v>09:00</x:v>
      </x:c>
      <x:c r="D58" s="12" t="str">
        <x:v>06–09</x:v>
      </x:c>
      <x:c r="E58" s="12" t="str">
        <x:v>ZZB-0004</x:v>
      </x:c>
      <x:c r="F58" s="12" t="str">
        <x:v>調入</x:v>
      </x:c>
      <x:c r="G58" s="12" t="str">
        <x:v>2.0</x:v>
      </x:c>
      <x:c r="H58" s="13" t="n">
        <x:v>7</x:v>
      </x:c>
      <x:c r="I58" s="12" t="str">
        <x:v>台北市</x:v>
      </x:c>
      <x:c r="J58" s="12" t="str">
        <x:v>500119097</x:v>
      </x:c>
      <x:c r="K58" s="12" t="str">
        <x:v>臺大人文館</x:v>
      </x:c>
      <x:c r="L58" s="12" t="str">
        <x:v>ZZB* 且調出/調入且車種2.0/2.0E</x:v>
      </x:c>
    </x:row>
    <x:row r="59">
      <x:c r="A59" s="12" t="str">
        <x:v>2026-09-01</x:v>
      </x:c>
      <x:c r="B59" s="12" t="str">
        <x:v>2026-09-01 09:53:45</x:v>
      </x:c>
      <x:c r="C59" s="12" t="str">
        <x:v>09:00</x:v>
      </x:c>
      <x:c r="D59" s="12" t="str">
        <x:v>06–09</x:v>
      </x:c>
      <x:c r="E59" s="12" t="str">
        <x:v>ZZB-0004</x:v>
      </x:c>
      <x:c r="F59" s="12" t="str">
        <x:v>調出</x:v>
      </x:c>
      <x:c r="G59" s="12" t="str">
        <x:v>2.0</x:v>
      </x:c>
      <x:c r="H59" s="13" t="n">
        <x:v>7</x:v>
      </x:c>
      <x:c r="I59" s="12" t="str">
        <x:v>台北市</x:v>
      </x:c>
      <x:c r="J59" s="12" t="str">
        <x:v>500119066</x:v>
      </x:c>
      <x:c r="K59" s="12" t="str">
        <x:v>臺大凝態館南側</x:v>
      </x:c>
      <x:c r="L59" s="12" t="str">
        <x:v>ZZB* 且調出/調入且車種2.0/2.0E</x:v>
      </x:c>
    </x:row>
    <x:row r="60">
      <x:c r="A60" s="12" t="str">
        <x:v>2026-09-01</x:v>
      </x:c>
      <x:c r="B60" s="12" t="str">
        <x:v>2026-09-01 10:02:11</x:v>
      </x:c>
      <x:c r="C60" s="12" t="str">
        <x:v>10:00</x:v>
      </x:c>
      <x:c r="D60" s="12" t="str">
        <x:v>10–13</x:v>
      </x:c>
      <x:c r="E60" s="12" t="str">
        <x:v>ZZB-0004</x:v>
      </x:c>
      <x:c r="F60" s="12" t="str">
        <x:v>調入</x:v>
      </x:c>
      <x:c r="G60" s="12" t="str">
        <x:v>2.0</x:v>
      </x:c>
      <x:c r="H60" s="13" t="n">
        <x:v>7</x:v>
      </x:c>
      <x:c r="I60" s="12" t="str">
        <x:v>台北市</x:v>
      </x:c>
      <x:c r="J60" s="12" t="str">
        <x:v>500119097</x:v>
      </x:c>
      <x:c r="K60" s="12" t="str">
        <x:v>臺大人文館</x:v>
      </x:c>
      <x:c r="L60" s="12" t="str">
        <x:v>ZZB* 且調出/調入且車種2.0/2.0E</x:v>
      </x:c>
    </x:row>
    <x:row r="61">
      <x:c r="A61" s="12" t="str">
        <x:v>2026-09-01</x:v>
      </x:c>
      <x:c r="B61" s="12" t="str">
        <x:v>2026-09-01 10:13:22</x:v>
      </x:c>
      <x:c r="C61" s="12" t="str">
        <x:v>10:00</x:v>
      </x:c>
      <x:c r="D61" s="12" t="str">
        <x:v>10–13</x:v>
      </x:c>
      <x:c r="E61" s="12" t="str">
        <x:v>ZZB-0004</x:v>
      </x:c>
      <x:c r="F61" s="12" t="str">
        <x:v>調出</x:v>
      </x:c>
      <x:c r="G61" s="12" t="str">
        <x:v>2.0</x:v>
      </x:c>
      <x:c r="H61" s="13" t="n">
        <x:v>7</x:v>
      </x:c>
      <x:c r="I61" s="12" t="str">
        <x:v>台北市</x:v>
      </x:c>
      <x:c r="J61" s="12" t="str">
        <x:v>500119050</x:v>
      </x:c>
      <x:c r="K61" s="12" t="str">
        <x:v>臺大小福樓東側</x:v>
      </x:c>
      <x:c r="L61" s="12" t="str">
        <x:v>ZZB* 且調出/調入且車種2.0/2.0E</x:v>
      </x:c>
    </x:row>
    <x:row r="62">
      <x:c r="A62" s="12" t="str">
        <x:v>2026-09-01</x:v>
      </x:c>
      <x:c r="B62" s="12" t="str">
        <x:v>2026-09-01 10:41:38</x:v>
      </x:c>
      <x:c r="C62" s="12" t="str">
        <x:v>10:00</x:v>
      </x:c>
      <x:c r="D62" s="12" t="str">
        <x:v>10–13</x:v>
      </x:c>
      <x:c r="E62" s="12" t="str">
        <x:v>ZZB-0004</x:v>
      </x:c>
      <x:c r="F62" s="12" t="str">
        <x:v>調入</x:v>
      </x:c>
      <x:c r="G62" s="12" t="str">
        <x:v>2.0</x:v>
      </x:c>
      <x:c r="H62" s="13" t="n">
        <x:v>7</x:v>
      </x:c>
      <x:c r="I62" s="12" t="str">
        <x:v>台北市</x:v>
      </x:c>
      <x:c r="J62" s="12" t="str">
        <x:v>500119091</x:v>
      </x:c>
      <x:c r="K62" s="12" t="str">
        <x:v>臺大明達館北側(員工宿舍)</x:v>
      </x:c>
      <x:c r="L62" s="12" t="str">
        <x:v>ZZB* 且調出/調入且車種2.0/2.0E</x:v>
      </x:c>
    </x:row>
    <x:row r="63">
      <x:c r="A63" s="12" t="str">
        <x:v>2026-09-01</x:v>
      </x:c>
      <x:c r="B63" s="12" t="str">
        <x:v>2026-09-01 13:36:32</x:v>
      </x:c>
      <x:c r="C63" s="12" t="str">
        <x:v>13:00</x:v>
      </x:c>
      <x:c r="D63" s="12" t="str">
        <x:v>10–13</x:v>
      </x:c>
      <x:c r="E63" s="12" t="str">
        <x:v>ZZB-0004</x:v>
      </x:c>
      <x:c r="F63" s="12" t="str">
        <x:v>調出</x:v>
      </x:c>
      <x:c r="G63" s="12" t="str">
        <x:v>2.0</x:v>
      </x:c>
      <x:c r="H63" s="13" t="n">
        <x:v>7</x:v>
      </x:c>
      <x:c r="I63" s="12" t="str">
        <x:v>台北市</x:v>
      </x:c>
      <x:c r="J63" s="12" t="str">
        <x:v>500119076</x:v>
      </x:c>
      <x:c r="K63" s="12" t="str">
        <x:v>臺大博理館西側</x:v>
      </x:c>
      <x:c r="L63" s="12" t="str">
        <x:v>ZZB* 且調出/調入且車種2.0/2.0E</x:v>
      </x:c>
    </x:row>
    <x:row r="64">
      <x:c r="A64" s="12" t="str">
        <x:v>2026-09-01</x:v>
      </x:c>
      <x:c r="B64" s="12" t="str">
        <x:v>2026-09-01 13:37:00</x:v>
      </x:c>
      <x:c r="C64" s="12" t="str">
        <x:v>13:00</x:v>
      </x:c>
      <x:c r="D64" s="12" t="str">
        <x:v>10–13</x:v>
      </x:c>
      <x:c r="E64" s="12" t="str">
        <x:v>ZZB-0004</x:v>
      </x:c>
      <x:c r="F64" s="12" t="str">
        <x:v>調入</x:v>
      </x:c>
      <x:c r="G64" s="12" t="str">
        <x:v>2.0</x:v>
      </x:c>
      <x:c r="H64" s="13" t="n">
        <x:v>7</x:v>
      </x:c>
      <x:c r="I64" s="12" t="str">
        <x:v>台北市</x:v>
      </x:c>
      <x:c r="J64" s="12" t="str">
        <x:v>500119097</x:v>
      </x:c>
      <x:c r="K64" s="12" t="str">
        <x:v>臺大人文館</x:v>
      </x:c>
      <x:c r="L64" s="12" t="str">
        <x:v>ZZB* 且調出/調入且車種2.0/2.0E</x:v>
      </x:c>
    </x:row>
    <x:row r="65">
      <x:c r="A65" s="12" t="str">
        <x:v>2026-09-01</x:v>
      </x:c>
      <x:c r="B65" s="12" t="str">
        <x:v>2026-09-01 08:30:44</x:v>
      </x:c>
      <x:c r="C65" s="12" t="str">
        <x:v>08:00</x:v>
      </x:c>
      <x:c r="D65" s="12" t="str">
        <x:v>06–09</x:v>
      </x:c>
      <x:c r="E65" s="12" t="str">
        <x:v>ZZB-0005</x:v>
      </x:c>
      <x:c r="F65" s="12" t="str">
        <x:v>調出</x:v>
      </x:c>
      <x:c r="G65" s="12" t="str">
        <x:v>2.0</x:v>
      </x:c>
      <x:c r="H65" s="13" t="n">
        <x:v>5</x:v>
      </x:c>
      <x:c r="I65" s="12" t="str">
        <x:v>台北市</x:v>
      </x:c>
      <x:c r="J65" s="12" t="str">
        <x:v>500119052</x:v>
      </x:c>
      <x:c r="K65" s="12" t="str">
        <x:v>臺大工綜館南側</x:v>
      </x:c>
      <x:c r="L65" s="12" t="str">
        <x:v>ZZB* 且調出/調入且車種2.0/2.0E</x:v>
      </x:c>
    </x:row>
    <x:row r="66">
      <x:c r="A66" s="12" t="str">
        <x:v>2026-09-01</x:v>
      </x:c>
      <x:c r="B66" s="12" t="str">
        <x:v>2026-09-01 08:45:18</x:v>
      </x:c>
      <x:c r="C66" s="12" t="str">
        <x:v>08:00</x:v>
      </x:c>
      <x:c r="D66" s="12" t="str">
        <x:v>06–09</x:v>
      </x:c>
      <x:c r="E66" s="12" t="str">
        <x:v>ZZB-0005</x:v>
      </x:c>
      <x:c r="F66" s="12" t="str">
        <x:v>調入</x:v>
      </x:c>
      <x:c r="G66" s="12" t="str">
        <x:v>2.0</x:v>
      </x:c>
      <x:c r="H66" s="13" t="n">
        <x:v>5</x:v>
      </x:c>
      <x:c r="I66" s="12" t="str">
        <x:v>台北市</x:v>
      </x:c>
      <x:c r="J66" s="12" t="str">
        <x:v>500119045</x:v>
      </x:c>
      <x:c r="K66" s="12" t="str">
        <x:v>臺大農業陳列館北側</x:v>
      </x:c>
      <x:c r="L66" s="12" t="str">
        <x:v>ZZB* 且調出/調入且車種2.0/2.0E</x:v>
      </x:c>
    </x:row>
    <x:row r="67">
      <x:c r="A67" s="12" t="str">
        <x:v>2026-09-01</x:v>
      </x:c>
      <x:c r="B67" s="12" t="str">
        <x:v>2026-09-01 09:37:10</x:v>
      </x:c>
      <x:c r="C67" s="12" t="str">
        <x:v>09:00</x:v>
      </x:c>
      <x:c r="D67" s="12" t="str">
        <x:v>06–09</x:v>
      </x:c>
      <x:c r="E67" s="12" t="str">
        <x:v>ZZB-0005</x:v>
      </x:c>
      <x:c r="F67" s="12" t="str">
        <x:v>調出</x:v>
      </x:c>
      <x:c r="G67" s="12" t="str">
        <x:v>2.0</x:v>
      </x:c>
      <x:c r="H67" s="13" t="n">
        <x:v>6</x:v>
      </x:c>
      <x:c r="I67" s="12" t="str">
        <x:v>台北市</x:v>
      </x:c>
      <x:c r="J67" s="12" t="str">
        <x:v>500119087</x:v>
      </x:c>
      <x:c r="K67" s="12" t="str">
        <x:v>臺大總圖書館西南側</x:v>
      </x:c>
      <x:c r="L67" s="12" t="str">
        <x:v>ZZB* 且調出/調入且車種2.0/2.0E</x:v>
      </x:c>
    </x:row>
    <x:row r="68">
      <x:c r="A68" s="12" t="str">
        <x:v>2026-09-01</x:v>
      </x:c>
      <x:c r="B68" s="12" t="str">
        <x:v>2026-09-01 09:46:53</x:v>
      </x:c>
      <x:c r="C68" s="12" t="str">
        <x:v>09:00</x:v>
      </x:c>
      <x:c r="D68" s="12" t="str">
        <x:v>06–09</x:v>
      </x:c>
      <x:c r="E68" s="12" t="str">
        <x:v>ZZB-0005</x:v>
      </x:c>
      <x:c r="F68" s="12" t="str">
        <x:v>調入</x:v>
      </x:c>
      <x:c r="G68" s="12" t="str">
        <x:v>2.0</x:v>
      </x:c>
      <x:c r="H68" s="13" t="n">
        <x:v>6</x:v>
      </x:c>
      <x:c r="I68" s="12" t="str">
        <x:v>台北市</x:v>
      </x:c>
      <x:c r="J68" s="12" t="str">
        <x:v>500119045</x:v>
      </x:c>
      <x:c r="K68" s="12" t="str">
        <x:v>臺大農業陳列館北側</x:v>
      </x:c>
      <x:c r="L68" s="12" t="str">
        <x:v>ZZB* 且調出/調入且車種2.0/2.0E</x:v>
      </x:c>
    </x:row>
    <x:row r="69">
      <x:c r="A69" s="12" t="str">
        <x:v>2026-09-01</x:v>
      </x:c>
      <x:c r="B69" s="12" t="str">
        <x:v>2026-09-01 10:11:17</x:v>
      </x:c>
      <x:c r="C69" s="12" t="str">
        <x:v>10:00</x:v>
      </x:c>
      <x:c r="D69" s="12" t="str">
        <x:v>10–13</x:v>
      </x:c>
      <x:c r="E69" s="12" t="str">
        <x:v>ZZB-0005</x:v>
      </x:c>
      <x:c r="F69" s="12" t="str">
        <x:v>調出</x:v>
      </x:c>
      <x:c r="G69" s="12" t="str">
        <x:v>2.0</x:v>
      </x:c>
      <x:c r="H69" s="13" t="n">
        <x:v>7</x:v>
      </x:c>
      <x:c r="I69" s="12" t="str">
        <x:v>台北市</x:v>
      </x:c>
      <x:c r="J69" s="12" t="str">
        <x:v>500119085</x:v>
      </x:c>
      <x:c r="K69" s="12" t="str">
        <x:v>臺大電機二館東南側</x:v>
      </x:c>
      <x:c r="L69" s="12" t="str">
        <x:v>ZZB* 且調出/調入且車種2.0/2.0E</x:v>
      </x:c>
    </x:row>
    <x:row r="70">
      <x:c r="A70" s="12" t="str">
        <x:v>2026-09-01</x:v>
      </x:c>
      <x:c r="B70" s="12" t="str">
        <x:v>2026-09-01 10:11:36</x:v>
      </x:c>
      <x:c r="C70" s="12" t="str">
        <x:v>10:00</x:v>
      </x:c>
      <x:c r="D70" s="12" t="str">
        <x:v>10–13</x:v>
      </x:c>
      <x:c r="E70" s="12" t="str">
        <x:v>ZZB-0005</x:v>
      </x:c>
      <x:c r="F70" s="12" t="str">
        <x:v>調入</x:v>
      </x:c>
      <x:c r="G70" s="12" t="str">
        <x:v>2.0</x:v>
      </x:c>
      <x:c r="H70" s="13" t="n">
        <x:v>7</x:v>
      </x:c>
      <x:c r="I70" s="12" t="str">
        <x:v>台北市</x:v>
      </x:c>
      <x:c r="J70" s="12" t="str">
        <x:v>500101032</x:v>
      </x:c>
      <x:c r="K70" s="12" t="str">
        <x:v>臺大男一舍前</x:v>
      </x:c>
      <x:c r="L70" s="12" t="str">
        <x:v>ZZB* 且調出/調入且車種2.0/2.0E</x:v>
      </x:c>
    </x:row>
    <x:row r="71">
      <x:c r="A71" s="12" t="str">
        <x:v>2026-09-01</x:v>
      </x:c>
      <x:c r="B71" s="12" t="str">
        <x:v>2026-09-01 10:29:48</x:v>
      </x:c>
      <x:c r="C71" s="12" t="str">
        <x:v>10:00</x:v>
      </x:c>
      <x:c r="D71" s="12" t="str">
        <x:v>10–13</x:v>
      </x:c>
      <x:c r="E71" s="12" t="str">
        <x:v>ZZB-0005</x:v>
      </x:c>
      <x:c r="F71" s="12" t="str">
        <x:v>調出</x:v>
      </x:c>
      <x:c r="G71" s="12" t="str">
        <x:v>2.0</x:v>
      </x:c>
      <x:c r="H71" s="13" t="n">
        <x:v>7</x:v>
      </x:c>
      <x:c r="I71" s="12" t="str">
        <x:v>台北市</x:v>
      </x:c>
      <x:c r="J71" s="12" t="str">
        <x:v>500119085</x:v>
      </x:c>
      <x:c r="K71" s="12" t="str">
        <x:v>臺大電機二館東南側</x:v>
      </x:c>
      <x:c r="L71" s="12" t="str">
        <x:v>ZZB* 且調出/調入且車種2.0/2.0E</x:v>
      </x:c>
    </x:row>
    <x:row r="72">
      <x:c r="A72" s="12" t="str">
        <x:v>2026-09-01</x:v>
      </x:c>
      <x:c r="B72" s="12" t="str">
        <x:v>2026-09-01 10:48:19</x:v>
      </x:c>
      <x:c r="C72" s="12" t="str">
        <x:v>10:00</x:v>
      </x:c>
      <x:c r="D72" s="12" t="str">
        <x:v>10–13</x:v>
      </x:c>
      <x:c r="E72" s="12" t="str">
        <x:v>ZZB-0005</x:v>
      </x:c>
      <x:c r="F72" s="12" t="str">
        <x:v>調入</x:v>
      </x:c>
      <x:c r="G72" s="12" t="str">
        <x:v>2.0</x:v>
      </x:c>
      <x:c r="H72" s="13" t="n">
        <x:v>7</x:v>
      </x:c>
      <x:c r="I72" s="12" t="str">
        <x:v>台北市</x:v>
      </x:c>
      <x:c r="J72" s="12" t="str">
        <x:v>500101032</x:v>
      </x:c>
      <x:c r="K72" s="12" t="str">
        <x:v>臺大男一舍前</x:v>
      </x:c>
      <x:c r="L72" s="12" t="str">
        <x:v>ZZB* 且調出/調入且車種2.0/2.0E</x:v>
      </x:c>
    </x:row>
    <x:row r="73">
      <x:c r="A73" s="12" t="str">
        <x:v>2026-09-01</x:v>
      </x:c>
      <x:c r="B73" s="12" t="str">
        <x:v>2026-09-01 08:30:44</x:v>
      </x:c>
      <x:c r="C73" s="12" t="str">
        <x:v>08:00</x:v>
      </x:c>
      <x:c r="D73" s="12" t="str">
        <x:v>06–09</x:v>
      </x:c>
      <x:c r="E73" s="12" t="str">
        <x:v>ZZB-0005</x:v>
      </x:c>
      <x:c r="F73" s="12" t="str">
        <x:v>調出</x:v>
      </x:c>
      <x:c r="G73" s="12" t="str">
        <x:v>2.0E</x:v>
      </x:c>
      <x:c r="H73" s="13" t="n">
        <x:v>2</x:v>
      </x:c>
      <x:c r="I73" s="12" t="str">
        <x:v>台北市</x:v>
      </x:c>
      <x:c r="J73" s="12" t="str">
        <x:v>500119052</x:v>
      </x:c>
      <x:c r="K73" s="12" t="str">
        <x:v>臺大工綜館南側</x:v>
      </x:c>
      <x:c r="L73" s="12" t="str">
        <x:v>ZZB* 且調出/調入且車種2.0/2.0E</x:v>
      </x:c>
    </x:row>
    <x:row r="74">
      <x:c r="A74" s="12" t="str">
        <x:v>2026-09-01</x:v>
      </x:c>
      <x:c r="B74" s="12" t="str">
        <x:v>2026-09-01 08:45:18</x:v>
      </x:c>
      <x:c r="C74" s="12" t="str">
        <x:v>08:00</x:v>
      </x:c>
      <x:c r="D74" s="12" t="str">
        <x:v>06–09</x:v>
      </x:c>
      <x:c r="E74" s="12" t="str">
        <x:v>ZZB-0005</x:v>
      </x:c>
      <x:c r="F74" s="12" t="str">
        <x:v>調入</x:v>
      </x:c>
      <x:c r="G74" s="12" t="str">
        <x:v>2.0E</x:v>
      </x:c>
      <x:c r="H74" s="13" t="n">
        <x:v>2</x:v>
      </x:c>
      <x:c r="I74" s="12" t="str">
        <x:v>台北市</x:v>
      </x:c>
      <x:c r="J74" s="12" t="str">
        <x:v>500119045</x:v>
      </x:c>
      <x:c r="K74" s="12" t="str">
        <x:v>臺大農業陳列館北側</x:v>
      </x:c>
      <x:c r="L74" s="12" t="str">
        <x:v>ZZB* 且調出/調入且車種2.0/2.0E</x:v>
      </x:c>
    </x:row>
    <x:row r="75">
      <x:c r="A75" s="12" t="str">
        <x:v>2026-09-01</x:v>
      </x:c>
      <x:c r="B75" s="12" t="str">
        <x:v>2026-09-01 09:03:52</x:v>
      </x:c>
      <x:c r="C75" s="12" t="str">
        <x:v>09:00</x:v>
      </x:c>
      <x:c r="D75" s="12" t="str">
        <x:v>06–09</x:v>
      </x:c>
      <x:c r="E75" s="12" t="str">
        <x:v>ZZB-0005</x:v>
      </x:c>
      <x:c r="F75" s="12" t="str">
        <x:v>調出</x:v>
      </x:c>
      <x:c r="G75" s="12" t="str">
        <x:v>2.0E</x:v>
      </x:c>
      <x:c r="H75" s="13" t="n">
        <x:v>7</x:v>
      </x:c>
      <x:c r="I75" s="12" t="str">
        <x:v>台北市</x:v>
      </x:c>
      <x:c r="J75" s="12" t="str">
        <x:v>500119087</x:v>
      </x:c>
      <x:c r="K75" s="12" t="str">
        <x:v>臺大總圖書館西南側</x:v>
      </x:c>
      <x:c r="L75" s="12" t="str">
        <x:v>ZZB* 且調出/調入且車種2.0/2.0E</x:v>
      </x:c>
    </x:row>
    <x:row r="76">
      <x:c r="A76" s="12" t="str">
        <x:v>2026-09-01</x:v>
      </x:c>
      <x:c r="B76" s="12" t="str">
        <x:v>2026-09-01 09:17:46</x:v>
      </x:c>
      <x:c r="C76" s="12" t="str">
        <x:v>09:00</x:v>
      </x:c>
      <x:c r="D76" s="12" t="str">
        <x:v>06–09</x:v>
      </x:c>
      <x:c r="E76" s="12" t="str">
        <x:v>ZZB-0005</x:v>
      </x:c>
      <x:c r="F76" s="12" t="str">
        <x:v>調入</x:v>
      </x:c>
      <x:c r="G76" s="12" t="str">
        <x:v>2.0E</x:v>
      </x:c>
      <x:c r="H76" s="13" t="n">
        <x:v>7</x:v>
      </x:c>
      <x:c r="I76" s="12" t="str">
        <x:v>台北市</x:v>
      </x:c>
      <x:c r="J76" s="12" t="str">
        <x:v>500119045</x:v>
      </x:c>
      <x:c r="K76" s="12" t="str">
        <x:v>臺大農業陳列館北側</x:v>
      </x:c>
      <x:c r="L76" s="12" t="str">
        <x:v>ZZB* 且調出/調入且車種2.0/2.0E</x:v>
      </x:c>
    </x:row>
    <x:row r="77">
      <x:c r="A77" s="12" t="str">
        <x:v>2026-09-01</x:v>
      </x:c>
      <x:c r="B77" s="12" t="str">
        <x:v>2026-09-01 09:37:10</x:v>
      </x:c>
      <x:c r="C77" s="12" t="str">
        <x:v>09:00</x:v>
      </x:c>
      <x:c r="D77" s="12" t="str">
        <x:v>06–09</x:v>
      </x:c>
      <x:c r="E77" s="12" t="str">
        <x:v>ZZB-0005</x:v>
      </x:c>
      <x:c r="F77" s="12" t="str">
        <x:v>調出</x:v>
      </x:c>
      <x:c r="G77" s="12" t="str">
        <x:v>2.0E</x:v>
      </x:c>
      <x:c r="H77" s="13" t="n">
        <x:v>1</x:v>
      </x:c>
      <x:c r="I77" s="12" t="str">
        <x:v>台北市</x:v>
      </x:c>
      <x:c r="J77" s="12" t="str">
        <x:v>500119087</x:v>
      </x:c>
      <x:c r="K77" s="12" t="str">
        <x:v>臺大總圖書館西南側</x:v>
      </x:c>
      <x:c r="L77" s="12" t="str">
        <x:v>ZZB* 且調出/調入且車種2.0/2.0E</x:v>
      </x:c>
    </x:row>
    <x:row r="78">
      <x:c r="A78" s="12" t="str">
        <x:v>2026-09-01</x:v>
      </x:c>
      <x:c r="B78" s="12" t="str">
        <x:v>2026-09-01 09:46:53</x:v>
      </x:c>
      <x:c r="C78" s="12" t="str">
        <x:v>09:00</x:v>
      </x:c>
      <x:c r="D78" s="12" t="str">
        <x:v>06–09</x:v>
      </x:c>
      <x:c r="E78" s="12" t="str">
        <x:v>ZZB-0005</x:v>
      </x:c>
      <x:c r="F78" s="12" t="str">
        <x:v>調入</x:v>
      </x:c>
      <x:c r="G78" s="12" t="str">
        <x:v>2.0E</x:v>
      </x:c>
      <x:c r="H78" s="13" t="n">
        <x:v>1</x:v>
      </x:c>
      <x:c r="I78" s="12" t="str">
        <x:v>台北市</x:v>
      </x:c>
      <x:c r="J78" s="12" t="str">
        <x:v>500119045</x:v>
      </x:c>
      <x:c r="K78" s="12" t="str">
        <x:v>臺大農業陳列館北側</x:v>
      </x:c>
      <x:c r="L78" s="12" t="str">
        <x:v>ZZB* 且調出/調入且車種2.0/2.0E</x:v>
      </x:c>
    </x:row>
    <x:row r="79">
      <x:c r="A79" s="12" t="str">
        <x:v>2026-09-01</x:v>
      </x:c>
      <x:c r="B79" s="12" t="str">
        <x:v>2026-09-01 00:08:22</x:v>
      </x:c>
      <x:c r="C79" s="12" t="str">
        <x:v>00:00</x:v>
      </x:c>
      <x:c r="D79" s="12" t="str">
        <x:v>00–05</x:v>
      </x:c>
      <x:c r="E79" s="12" t="str">
        <x:v>ZZB-0008</x:v>
      </x:c>
      <x:c r="F79" s="12" t="str">
        <x:v>調出</x:v>
      </x:c>
      <x:c r="G79" s="12" t="str">
        <x:v>2.0</x:v>
      </x:c>
      <x:c r="H79" s="13" t="n">
        <x:v>15</x:v>
      </x:c>
      <x:c r="I79" s="12" t="str">
        <x:v>台北市</x:v>
      </x:c>
      <x:c r="J79" s="12" t="str">
        <x:v>500112127</x:v>
      </x:c>
      <x:c r="K79" s="12" t="str">
        <x:v>永吉路120巷15弄口</x:v>
      </x:c>
      <x:c r="L79" s="12" t="str">
        <x:v>ZZB* 且調出/調入且車種2.0/2.0E</x:v>
      </x:c>
    </x:row>
    <x:row r="80">
      <x:c r="A80" s="12" t="str">
        <x:v>2026-09-01</x:v>
      </x:c>
      <x:c r="B80" s="12" t="str">
        <x:v>2026-09-01 00:16:07</x:v>
      </x:c>
      <x:c r="C80" s="12" t="str">
        <x:v>00:00</x:v>
      </x:c>
      <x:c r="D80" s="12" t="str">
        <x:v>00–05</x:v>
      </x:c>
      <x:c r="E80" s="12" t="str">
        <x:v>ZZB-0008</x:v>
      </x:c>
      <x:c r="F80" s="12" t="str">
        <x:v>調入</x:v>
      </x:c>
      <x:c r="G80" s="12" t="str">
        <x:v>2.0</x:v>
      </x:c>
      <x:c r="H80" s="13" t="n">
        <x:v>8</x:v>
      </x:c>
      <x:c r="I80" s="12" t="str">
        <x:v>台北市</x:v>
      </x:c>
      <x:c r="J80" s="12" t="str">
        <x:v>500110070</x:v>
      </x:c>
      <x:c r="K80" s="12" t="str">
        <x:v>捷運松山站(1號出口)</x:v>
      </x:c>
      <x:c r="L80" s="12" t="str">
        <x:v>ZZB* 且調出/調入且車種2.0/2.0E</x:v>
      </x:c>
    </x:row>
    <x:row r="81">
      <x:c r="A81" s="12" t="str">
        <x:v>2026-09-01</x:v>
      </x:c>
      <x:c r="B81" s="12" t="str">
        <x:v>2026-09-01 00:18:42</x:v>
      </x:c>
      <x:c r="C81" s="12" t="str">
        <x:v>00:00</x:v>
      </x:c>
      <x:c r="D81" s="12" t="str">
        <x:v>00–05</x:v>
      </x:c>
      <x:c r="E81" s="12" t="str">
        <x:v>ZZB-0008</x:v>
      </x:c>
      <x:c r="F81" s="12" t="str">
        <x:v>調入</x:v>
      </x:c>
      <x:c r="G81" s="12" t="str">
        <x:v>2.0</x:v>
      </x:c>
      <x:c r="H81" s="13" t="n">
        <x:v>7</x:v>
      </x:c>
      <x:c r="I81" s="12" t="str">
        <x:v>台北市</x:v>
      </x:c>
      <x:c r="J81" s="12" t="str">
        <x:v>500110050</x:v>
      </x:c>
      <x:c r="K81" s="12" t="str">
        <x:v>捷運松山站(2號出口)</x:v>
      </x:c>
      <x:c r="L81" s="12" t="str">
        <x:v>ZZB* 且調出/調入且車種2.0/2.0E</x:v>
      </x:c>
    </x:row>
    <x:row r="82">
      <x:c r="A82" s="12" t="str">
        <x:v>2026-09-01</x:v>
      </x:c>
      <x:c r="B82" s="12" t="str">
        <x:v>2026-09-01 00:32:21</x:v>
      </x:c>
      <x:c r="C82" s="12" t="str">
        <x:v>00:00</x:v>
      </x:c>
      <x:c r="D82" s="12" t="str">
        <x:v>00–05</x:v>
      </x:c>
      <x:c r="E82" s="12" t="str">
        <x:v>ZZB-0008</x:v>
      </x:c>
      <x:c r="F82" s="12" t="str">
        <x:v>調出</x:v>
      </x:c>
      <x:c r="G82" s="12" t="str">
        <x:v>2.0</x:v>
      </x:c>
      <x:c r="H82" s="13" t="n">
        <x:v>15</x:v>
      </x:c>
      <x:c r="I82" s="12" t="str">
        <x:v>台北市</x:v>
      </x:c>
      <x:c r="J82" s="12" t="str">
        <x:v>500112050</x:v>
      </x:c>
      <x:c r="K82" s="12" t="str">
        <x:v>五常公園</x:v>
      </x:c>
      <x:c r="L82" s="12" t="str">
        <x:v>ZZB* 且調出/調入且車種2.0/2.0E</x:v>
      </x:c>
    </x:row>
    <x:row r="83">
      <x:c r="A83" s="12" t="str">
        <x:v>2026-09-01</x:v>
      </x:c>
      <x:c r="B83" s="12" t="str">
        <x:v>2026-09-01 00:44:42</x:v>
      </x:c>
      <x:c r="C83" s="12" t="str">
        <x:v>00:00</x:v>
      </x:c>
      <x:c r="D83" s="12" t="str">
        <x:v>00–05</x:v>
      </x:c>
      <x:c r="E83" s="12" t="str">
        <x:v>ZZB-0008</x:v>
      </x:c>
      <x:c r="F83" s="12" t="str">
        <x:v>調入</x:v>
      </x:c>
      <x:c r="G83" s="12" t="str">
        <x:v>2.0</x:v>
      </x:c>
      <x:c r="H83" s="13" t="n">
        <x:v>10</x:v>
      </x:c>
      <x:c r="I83" s="12" t="str">
        <x:v>台北市</x:v>
      </x:c>
      <x:c r="J83" s="12" t="str">
        <x:v>500112089</x:v>
      </x:c>
      <x:c r="K83" s="12" t="str">
        <x:v>富生公園</x:v>
      </x:c>
      <x:c r="L83" s="12" t="str">
        <x:v>ZZB* 且調出/調入且車種2.0/2.0E</x:v>
      </x:c>
    </x:row>
    <x:row r="84">
      <x:c r="A84" s="12" t="str">
        <x:v>2026-09-01</x:v>
      </x:c>
      <x:c r="B84" s="12" t="str">
        <x:v>2026-09-01 00:50:43</x:v>
      </x:c>
      <x:c r="C84" s="12" t="str">
        <x:v>00:00</x:v>
      </x:c>
      <x:c r="D84" s="12" t="str">
        <x:v>00–05</x:v>
      </x:c>
      <x:c r="E84" s="12" t="str">
        <x:v>ZZB-0008</x:v>
      </x:c>
      <x:c r="F84" s="12" t="str">
        <x:v>調入</x:v>
      </x:c>
      <x:c r="G84" s="12" t="str">
        <x:v>2.0</x:v>
      </x:c>
      <x:c r="H84" s="13" t="n">
        <x:v>2</x:v>
      </x:c>
      <x:c r="I84" s="12" t="str">
        <x:v>台北市</x:v>
      </x:c>
      <x:c r="J84" s="12" t="str">
        <x:v>500112029</x:v>
      </x:c>
      <x:c r="K84" s="12" t="str">
        <x:v>臺北市政府</x:v>
      </x:c>
      <x:c r="L84" s="12" t="str">
        <x:v>ZZB* 且調出/調入且車種2.0/2.0E</x:v>
      </x:c>
    </x:row>
    <x:row r="85">
      <x:c r="A85" s="12" t="str">
        <x:v>2026-09-01</x:v>
      </x:c>
      <x:c r="B85" s="12" t="str">
        <x:v>2026-09-01 00:55:11</x:v>
      </x:c>
      <x:c r="C85" s="12" t="str">
        <x:v>00:00</x:v>
      </x:c>
      <x:c r="D85" s="12" t="str">
        <x:v>00–05</x:v>
      </x:c>
      <x:c r="E85" s="12" t="str">
        <x:v>ZZB-0008</x:v>
      </x:c>
      <x:c r="F85" s="12" t="str">
        <x:v>調入</x:v>
      </x:c>
      <x:c r="G85" s="12" t="str">
        <x:v>2.0</x:v>
      </x:c>
      <x:c r="H85" s="13" t="n">
        <x:v>3</x:v>
      </x:c>
      <x:c r="I85" s="12" t="str">
        <x:v>台北市</x:v>
      </x:c>
      <x:c r="J85" s="12" t="str">
        <x:v>500112013</x:v>
      </x:c>
      <x:c r="K85" s="12" t="str">
        <x:v>興雅國中</x:v>
      </x:c>
      <x:c r="L85" s="12" t="str">
        <x:v>ZZB* 且調出/調入且車種2.0/2.0E</x:v>
      </x:c>
    </x:row>
    <x:row r="86">
      <x:c r="A86" s="12" t="str">
        <x:v>2026-09-01</x:v>
      </x:c>
      <x:c r="B86" s="12" t="str">
        <x:v>2026-09-01 01:09:16</x:v>
      </x:c>
      <x:c r="C86" s="12" t="str">
        <x:v>01:00</x:v>
      </x:c>
      <x:c r="D86" s="12" t="str">
        <x:v>00–05</x:v>
      </x:c>
      <x:c r="E86" s="12" t="str">
        <x:v>ZZB-0008</x:v>
      </x:c>
      <x:c r="F86" s="12" t="str">
        <x:v>調出</x:v>
      </x:c>
      <x:c r="G86" s="12" t="str">
        <x:v>2.0</x:v>
      </x:c>
      <x:c r="H86" s="13" t="n">
        <x:v>15</x:v>
      </x:c>
      <x:c r="I86" s="12" t="str">
        <x:v>台北市</x:v>
      </x:c>
      <x:c r="J86" s="12" t="str">
        <x:v>500112099</x:v>
      </x:c>
      <x:c r="K86" s="12" t="str">
        <x:v>廣慈博愛園區(西側)</x:v>
      </x:c>
      <x:c r="L86" s="12" t="str">
        <x:v>ZZB* 且調出/調入且車種2.0/2.0E</x:v>
      </x:c>
    </x:row>
    <x:row r="87">
      <x:c r="A87" s="12" t="str">
        <x:v>2026-09-01</x:v>
      </x:c>
      <x:c r="B87" s="12" t="str">
        <x:v>2026-09-01 01:17:36</x:v>
      </x:c>
      <x:c r="C87" s="12" t="str">
        <x:v>01:00</x:v>
      </x:c>
      <x:c r="D87" s="12" t="str">
        <x:v>00–05</x:v>
      </x:c>
      <x:c r="E87" s="12" t="str">
        <x:v>ZZB-0008</x:v>
      </x:c>
      <x:c r="F87" s="12" t="str">
        <x:v>調入</x:v>
      </x:c>
      <x:c r="G87" s="12" t="str">
        <x:v>2.0</x:v>
      </x:c>
      <x:c r="H87" s="13" t="n">
        <x:v>8</x:v>
      </x:c>
      <x:c r="I87" s="12" t="str">
        <x:v>台北市</x:v>
      </x:c>
      <x:c r="J87" s="12" t="str">
        <x:v>500112049</x:v>
      </x:c>
      <x:c r="K87" s="12" t="str">
        <x:v>松山車站</x:v>
      </x:c>
      <x:c r="L87" s="12" t="str">
        <x:v>ZZB* 且調出/調入且車種2.0/2.0E</x:v>
      </x:c>
    </x:row>
    <x:row r="88">
      <x:c r="A88" s="12" t="str">
        <x:v>2026-09-01</x:v>
      </x:c>
      <x:c r="B88" s="12" t="str">
        <x:v>2026-09-01 01:23:54</x:v>
      </x:c>
      <x:c r="C88" s="12" t="str">
        <x:v>01:00</x:v>
      </x:c>
      <x:c r="D88" s="12" t="str">
        <x:v>00–05</x:v>
      </x:c>
      <x:c r="E88" s="12" t="str">
        <x:v>ZZB-0008</x:v>
      </x:c>
      <x:c r="F88" s="12" t="str">
        <x:v>調入</x:v>
      </x:c>
      <x:c r="G88" s="12" t="str">
        <x:v>2.0</x:v>
      </x:c>
      <x:c r="H88" s="13" t="n">
        <x:v>7</x:v>
      </x:c>
      <x:c r="I88" s="12" t="str">
        <x:v>台北市</x:v>
      </x:c>
      <x:c r="J88" s="12" t="str">
        <x:v>500112058</x:v>
      </x:c>
      <x:c r="K88" s="12" t="str">
        <x:v>捷運後山埤站(2號出口)</x:v>
      </x:c>
      <x:c r="L88" s="12" t="str">
        <x:v>ZZB* 且調出/調入且車種2.0/2.0E</x:v>
      </x:c>
    </x:row>
    <x:row r="89">
      <x:c r="A89" s="12" t="str">
        <x:v>2026-09-01</x:v>
      </x:c>
      <x:c r="B89" s="12" t="str">
        <x:v>2026-09-01 04:16:59</x:v>
      </x:c>
      <x:c r="C89" s="12" t="str">
        <x:v>04:00</x:v>
      </x:c>
      <x:c r="D89" s="12" t="str">
        <x:v>00–05</x:v>
      </x:c>
      <x:c r="E89" s="12" t="str">
        <x:v>ZZB-0008</x:v>
      </x:c>
      <x:c r="F89" s="12" t="str">
        <x:v>調出</x:v>
      </x:c>
      <x:c r="G89" s="12" t="str">
        <x:v>2.0</x:v>
      </x:c>
      <x:c r="H89" s="13" t="n">
        <x:v>15</x:v>
      </x:c>
      <x:c r="I89" s="12" t="str">
        <x:v>台北市</x:v>
      </x:c>
      <x:c r="J89" s="12" t="str">
        <x:v>500111070</x:v>
      </x:c>
      <x:c r="K89" s="12" t="str">
        <x:v>玉成公園(成福路178巷口)</x:v>
      </x:c>
      <x:c r="L89" s="12" t="str">
        <x:v>ZZB* 且調出/調入且車種2.0/2.0E</x:v>
      </x:c>
    </x:row>
    <x:row r="90">
      <x:c r="A90" s="12" t="str">
        <x:v>2026-09-01</x:v>
      </x:c>
      <x:c r="B90" s="12" t="str">
        <x:v>2026-09-01 04:31:00</x:v>
      </x:c>
      <x:c r="C90" s="12" t="str">
        <x:v>04:00</x:v>
      </x:c>
      <x:c r="D90" s="12" t="str">
        <x:v>00–05</x:v>
      </x:c>
      <x:c r="E90" s="12" t="str">
        <x:v>ZZB-0008</x:v>
      </x:c>
      <x:c r="F90" s="12" t="str">
        <x:v>調入</x:v>
      </x:c>
      <x:c r="G90" s="12" t="str">
        <x:v>2.0</x:v>
      </x:c>
      <x:c r="H90" s="13" t="n">
        <x:v>15</x:v>
      </x:c>
      <x:c r="I90" s="12" t="str">
        <x:v>台北市</x:v>
      </x:c>
      <x:c r="J90" s="12" t="str">
        <x:v>500110003</x:v>
      </x:c>
      <x:c r="K90" s="12" t="str">
        <x:v>塔悠八德路口</x:v>
      </x:c>
      <x:c r="L90" s="12" t="str">
        <x:v>ZZB* 且調出/調入且車種2.0/2.0E</x:v>
      </x:c>
    </x:row>
    <x:row r="91">
      <x:c r="A91" s="12" t="str">
        <x:v>2026-09-01</x:v>
      </x:c>
      <x:c r="B91" s="12" t="str">
        <x:v>2026-09-01 04:49:43</x:v>
      </x:c>
      <x:c r="C91" s="12" t="str">
        <x:v>04:00</x:v>
      </x:c>
      <x:c r="D91" s="12" t="str">
        <x:v>00–05</x:v>
      </x:c>
      <x:c r="E91" s="12" t="str">
        <x:v>ZZB-0008</x:v>
      </x:c>
      <x:c r="F91" s="12" t="str">
        <x:v>調出</x:v>
      </x:c>
      <x:c r="G91" s="12" t="str">
        <x:v>2.0</x:v>
      </x:c>
      <x:c r="H91" s="13" t="n">
        <x:v>15</x:v>
      </x:c>
      <x:c r="I91" s="12" t="str">
        <x:v>台北市</x:v>
      </x:c>
      <x:c r="J91" s="12" t="str">
        <x:v>500111073</x:v>
      </x:c>
      <x:c r="K91" s="12" t="str">
        <x:v>成福路197巷口</x:v>
      </x:c>
      <x:c r="L91" s="12" t="str">
        <x:v>ZZB* 且調出/調入且車種2.0/2.0E</x:v>
      </x:c>
    </x:row>
    <x:row r="92">
      <x:c r="A92" s="12" t="str">
        <x:v>2026-09-01</x:v>
      </x:c>
      <x:c r="B92" s="12" t="str">
        <x:v>2026-09-01 04:59:18</x:v>
      </x:c>
      <x:c r="C92" s="12" t="str">
        <x:v>04:00</x:v>
      </x:c>
      <x:c r="D92" s="12" t="str">
        <x:v>00–05</x:v>
      </x:c>
      <x:c r="E92" s="12" t="str">
        <x:v>ZZB-0008</x:v>
      </x:c>
      <x:c r="F92" s="12" t="str">
        <x:v>調入</x:v>
      </x:c>
      <x:c r="G92" s="12" t="str">
        <x:v>2.0</x:v>
      </x:c>
      <x:c r="H92" s="13" t="n">
        <x:v>15</x:v>
      </x:c>
      <x:c r="I92" s="12" t="str">
        <x:v>台北市</x:v>
      </x:c>
      <x:c r="J92" s="12" t="str">
        <x:v>500111117</x:v>
      </x:c>
      <x:c r="K92" s="12" t="str">
        <x:v>昆陽東新街口</x:v>
      </x:c>
      <x:c r="L92" s="12" t="str">
        <x:v>ZZB* 且調出/調入且車種2.0/2.0E</x:v>
      </x:c>
    </x:row>
    <x:row r="93">
      <x:c r="A93" s="12" t="str">
        <x:v>2026-09-02</x:v>
      </x:c>
      <x:c r="B93" s="12" t="str">
        <x:v>2026-09-02 08:35:49</x:v>
      </x:c>
      <x:c r="C93" s="12" t="str">
        <x:v>08:00</x:v>
      </x:c>
      <x:c r="D93" s="12" t="str">
        <x:v>06–09</x:v>
      </x:c>
      <x:c r="E93" s="12" t="str">
        <x:v>ZZB-0002</x:v>
      </x:c>
      <x:c r="F93" s="12" t="str">
        <x:v>調出</x:v>
      </x:c>
      <x:c r="G93" s="12" t="str">
        <x:v>2.0</x:v>
      </x:c>
      <x:c r="H93" s="13" t="n">
        <x:v>7</x:v>
      </x:c>
      <x:c r="I93" s="12" t="str">
        <x:v>台北市</x:v>
      </x:c>
      <x:c r="J93" s="12" t="str">
        <x:v>500119050</x:v>
      </x:c>
      <x:c r="K93" s="12" t="str">
        <x:v>臺大小福樓東側</x:v>
      </x:c>
      <x:c r="L93" s="12" t="str">
        <x:v>ZZB* 且調出/調入且車種2.0/2.0E</x:v>
      </x:c>
    </x:row>
    <x:row r="94">
      <x:c r="A94" s="12" t="str">
        <x:v>2026-09-02</x:v>
      </x:c>
      <x:c r="B94" s="12" t="str">
        <x:v>2026-09-02 08:42:01</x:v>
      </x:c>
      <x:c r="C94" s="12" t="str">
        <x:v>08:00</x:v>
      </x:c>
      <x:c r="D94" s="12" t="str">
        <x:v>06–09</x:v>
      </x:c>
      <x:c r="E94" s="12" t="str">
        <x:v>ZZB-0002</x:v>
      </x:c>
      <x:c r="F94" s="12" t="str">
        <x:v>調入</x:v>
      </x:c>
      <x:c r="G94" s="12" t="str">
        <x:v>2.0</x:v>
      </x:c>
      <x:c r="H94" s="13" t="n">
        <x:v>7</x:v>
      </x:c>
      <x:c r="I94" s="12" t="str">
        <x:v>台北市</x:v>
      </x:c>
      <x:c r="J94" s="12" t="str">
        <x:v>500119045</x:v>
      </x:c>
      <x:c r="K94" s="12" t="str">
        <x:v>臺大農業陳列館北側</x:v>
      </x:c>
      <x:c r="L94" s="12" t="str">
        <x:v>ZZB* 且調出/調入且車種2.0/2.0E</x:v>
      </x:c>
    </x:row>
    <x:row r="95">
      <x:c r="A95" s="12" t="str">
        <x:v>2026-09-02</x:v>
      </x:c>
      <x:c r="B95" s="12" t="str">
        <x:v>2026-09-02 08:58:39</x:v>
      </x:c>
      <x:c r="C95" s="12" t="str">
        <x:v>08:00</x:v>
      </x:c>
      <x:c r="D95" s="12" t="str">
        <x:v>06–09</x:v>
      </x:c>
      <x:c r="E95" s="12" t="str">
        <x:v>ZZB-0002</x:v>
      </x:c>
      <x:c r="F95" s="12" t="str">
        <x:v>調出</x:v>
      </x:c>
      <x:c r="G95" s="12" t="str">
        <x:v>2.0</x:v>
      </x:c>
      <x:c r="H95" s="13" t="n">
        <x:v>7</x:v>
      </x:c>
      <x:c r="I95" s="12" t="str">
        <x:v>台北市</x:v>
      </x:c>
      <x:c r="J95" s="12" t="str">
        <x:v>500119050</x:v>
      </x:c>
      <x:c r="K95" s="12" t="str">
        <x:v>臺大小福樓東側</x:v>
      </x:c>
      <x:c r="L95" s="12" t="str">
        <x:v>ZZB* 且調出/調入且車種2.0/2.0E</x:v>
      </x:c>
    </x:row>
    <x:row r="96">
      <x:c r="A96" s="12" t="str">
        <x:v>2026-09-02</x:v>
      </x:c>
      <x:c r="B96" s="12" t="str">
        <x:v>2026-09-02 09:07:17</x:v>
      </x:c>
      <x:c r="C96" s="12" t="str">
        <x:v>09:00</x:v>
      </x:c>
      <x:c r="D96" s="12" t="str">
        <x:v>06–09</x:v>
      </x:c>
      <x:c r="E96" s="12" t="str">
        <x:v>ZZB-0002</x:v>
      </x:c>
      <x:c r="F96" s="12" t="str">
        <x:v>調入</x:v>
      </x:c>
      <x:c r="G96" s="12" t="str">
        <x:v>2.0</x:v>
      </x:c>
      <x:c r="H96" s="13" t="n">
        <x:v>7</x:v>
      </x:c>
      <x:c r="I96" s="12" t="str">
        <x:v>台北市</x:v>
      </x:c>
      <x:c r="J96" s="12" t="str">
        <x:v>500119045</x:v>
      </x:c>
      <x:c r="K96" s="12" t="str">
        <x:v>臺大農業陳列館北側</x:v>
      </x:c>
      <x:c r="L96" s="12" t="str">
        <x:v>ZZB* 且調出/調入且車種2.0/2.0E</x:v>
      </x:c>
    </x:row>
    <x:row r="97">
      <x:c r="A97" s="12" t="str">
        <x:v>2026-09-02</x:v>
      </x:c>
      <x:c r="B97" s="12" t="str">
        <x:v>2026-09-02 09:23:14</x:v>
      </x:c>
      <x:c r="C97" s="12" t="str">
        <x:v>09:00</x:v>
      </x:c>
      <x:c r="D97" s="12" t="str">
        <x:v>06–09</x:v>
      </x:c>
      <x:c r="E97" s="12" t="str">
        <x:v>ZZB-0002</x:v>
      </x:c>
      <x:c r="F97" s="12" t="str">
        <x:v>調出</x:v>
      </x:c>
      <x:c r="G97" s="12" t="str">
        <x:v>2.0</x:v>
      </x:c>
      <x:c r="H97" s="13" t="n">
        <x:v>7</x:v>
      </x:c>
      <x:c r="I97" s="12" t="str">
        <x:v>台北市</x:v>
      </x:c>
      <x:c r="J97" s="12" t="str">
        <x:v>500119102</x:v>
      </x:c>
      <x:c r="K97" s="12" t="str">
        <x:v>臺大普通教學館東側</x:v>
      </x:c>
      <x:c r="L97" s="12" t="str">
        <x:v>ZZB* 且調出/調入且車種2.0/2.0E</x:v>
      </x:c>
    </x:row>
    <x:row r="98">
      <x:c r="A98" s="12" t="str">
        <x:v>2026-09-02</x:v>
      </x:c>
      <x:c r="B98" s="12" t="str">
        <x:v>2026-09-02 09:31:30</x:v>
      </x:c>
      <x:c r="C98" s="12" t="str">
        <x:v>09:00</x:v>
      </x:c>
      <x:c r="D98" s="12" t="str">
        <x:v>06–09</x:v>
      </x:c>
      <x:c r="E98" s="12" t="str">
        <x:v>ZZB-0002</x:v>
      </x:c>
      <x:c r="F98" s="12" t="str">
        <x:v>調入</x:v>
      </x:c>
      <x:c r="G98" s="12" t="str">
        <x:v>2.0</x:v>
      </x:c>
      <x:c r="H98" s="13" t="n">
        <x:v>7</x:v>
      </x:c>
      <x:c r="I98" s="12" t="str">
        <x:v>台北市</x:v>
      </x:c>
      <x:c r="J98" s="12" t="str">
        <x:v>500119045</x:v>
      </x:c>
      <x:c r="K98" s="12" t="str">
        <x:v>臺大農業陳列館北側</x:v>
      </x:c>
      <x:c r="L98" s="12" t="str">
        <x:v>ZZB* 且調出/調入且車種2.0/2.0E</x:v>
      </x:c>
    </x:row>
    <x:row r="99">
      <x:c r="A99" s="12" t="str">
        <x:v>2026-09-02</x:v>
      </x:c>
      <x:c r="B99" s="12" t="str">
        <x:v>2026-09-02 09:41:07</x:v>
      </x:c>
      <x:c r="C99" s="12" t="str">
        <x:v>09:00</x:v>
      </x:c>
      <x:c r="D99" s="12" t="str">
        <x:v>06–09</x:v>
      </x:c>
      <x:c r="E99" s="12" t="str">
        <x:v>ZZB-0002</x:v>
      </x:c>
      <x:c r="F99" s="12" t="str">
        <x:v>調出</x:v>
      </x:c>
      <x:c r="G99" s="12" t="str">
        <x:v>2.0</x:v>
      </x:c>
      <x:c r="H99" s="13" t="n">
        <x:v>7</x:v>
      </x:c>
      <x:c r="I99" s="12" t="str">
        <x:v>台北市</x:v>
      </x:c>
      <x:c r="J99" s="12" t="str">
        <x:v>500119102</x:v>
      </x:c>
      <x:c r="K99" s="12" t="str">
        <x:v>臺大普通教學館東側</x:v>
      </x:c>
      <x:c r="L99" s="12" t="str">
        <x:v>ZZB* 且調出/調入且車種2.0/2.0E</x:v>
      </x:c>
    </x:row>
    <x:row r="100">
      <x:c r="A100" s="12" t="str">
        <x:v>2026-09-02</x:v>
      </x:c>
      <x:c r="B100" s="12" t="str">
        <x:v>2026-09-02 09:50:03</x:v>
      </x:c>
      <x:c r="C100" s="12" t="str">
        <x:v>09:00</x:v>
      </x:c>
      <x:c r="D100" s="12" t="str">
        <x:v>06–09</x:v>
      </x:c>
      <x:c r="E100" s="12" t="str">
        <x:v>ZZB-0002</x:v>
      </x:c>
      <x:c r="F100" s="12" t="str">
        <x:v>調入</x:v>
      </x:c>
      <x:c r="G100" s="12" t="str">
        <x:v>2.0</x:v>
      </x:c>
      <x:c r="H100" s="13" t="n">
        <x:v>7</x:v>
      </x:c>
      <x:c r="I100" s="12" t="str">
        <x:v>台北市</x:v>
      </x:c>
      <x:c r="J100" s="12" t="str">
        <x:v>500101276</x:v>
      </x:c>
      <x:c r="K100" s="12" t="str">
        <x:v>羅斯福新生南路口</x:v>
      </x:c>
      <x:c r="L100" s="12" t="str">
        <x:v>ZZB* 且調出/調入且車種2.0/2.0E</x:v>
      </x:c>
    </x:row>
    <x:row r="101">
      <x:c r="A101" s="12" t="str">
        <x:v>2026-09-02</x:v>
      </x:c>
      <x:c r="B101" s="12" t="str">
        <x:v>2026-09-02 10:00:17</x:v>
      </x:c>
      <x:c r="C101" s="12" t="str">
        <x:v>10:00</x:v>
      </x:c>
      <x:c r="D101" s="12" t="str">
        <x:v>10–13</x:v>
      </x:c>
      <x:c r="E101" s="12" t="str">
        <x:v>ZZB-0002</x:v>
      </x:c>
      <x:c r="F101" s="12" t="str">
        <x:v>調出</x:v>
      </x:c>
      <x:c r="G101" s="12" t="str">
        <x:v>2.0</x:v>
      </x:c>
      <x:c r="H101" s="13" t="n">
        <x:v>7</x:v>
      </x:c>
      <x:c r="I101" s="12" t="str">
        <x:v>台北市</x:v>
      </x:c>
      <x:c r="J101" s="12" t="str">
        <x:v>500119102</x:v>
      </x:c>
      <x:c r="K101" s="12" t="str">
        <x:v>臺大普通教學館東側</x:v>
      </x:c>
      <x:c r="L101" s="12" t="str">
        <x:v>ZZB* 且調出/調入且車種2.0/2.0E</x:v>
      </x:c>
    </x:row>
    <x:row r="102">
      <x:c r="A102" s="12" t="str">
        <x:v>2026-09-02</x:v>
      </x:c>
      <x:c r="B102" s="12" t="str">
        <x:v>2026-09-02 10:11:14</x:v>
      </x:c>
      <x:c r="C102" s="12" t="str">
        <x:v>10:00</x:v>
      </x:c>
      <x:c r="D102" s="12" t="str">
        <x:v>10–13</x:v>
      </x:c>
      <x:c r="E102" s="12" t="str">
        <x:v>ZZB-0002</x:v>
      </x:c>
      <x:c r="F102" s="12" t="str">
        <x:v>調入</x:v>
      </x:c>
      <x:c r="G102" s="12" t="str">
        <x:v>2.0</x:v>
      </x:c>
      <x:c r="H102" s="13" t="n">
        <x:v>7</x:v>
      </x:c>
      <x:c r="I102" s="12" t="str">
        <x:v>台北市</x:v>
      </x:c>
      <x:c r="J102" s="12" t="str">
        <x:v>500119045</x:v>
      </x:c>
      <x:c r="K102" s="12" t="str">
        <x:v>臺大農業陳列館北側</x:v>
      </x:c>
      <x:c r="L102" s="12" t="str">
        <x:v>ZZB* 且調出/調入且車種2.0/2.0E</x:v>
      </x:c>
    </x:row>
    <x:row r="103">
      <x:c r="A103" s="12" t="str">
        <x:v>2026-09-02</x:v>
      </x:c>
      <x:c r="B103" s="12" t="str">
        <x:v>2026-09-02 10:30:23</x:v>
      </x:c>
      <x:c r="C103" s="12" t="str">
        <x:v>10:00</x:v>
      </x:c>
      <x:c r="D103" s="12" t="str">
        <x:v>10–13</x:v>
      </x:c>
      <x:c r="E103" s="12" t="str">
        <x:v>ZZB-0002</x:v>
      </x:c>
      <x:c r="F103" s="12" t="str">
        <x:v>調出</x:v>
      </x:c>
      <x:c r="G103" s="12" t="str">
        <x:v>2.0</x:v>
      </x:c>
      <x:c r="H103" s="13" t="n">
        <x:v>7</x:v>
      </x:c>
      <x:c r="I103" s="12" t="str">
        <x:v>台北市</x:v>
      </x:c>
      <x:c r="J103" s="12" t="str">
        <x:v>500119050</x:v>
      </x:c>
      <x:c r="K103" s="12" t="str">
        <x:v>臺大小福樓東側</x:v>
      </x:c>
      <x:c r="L103" s="12" t="str">
        <x:v>ZZB* 且調出/調入且車種2.0/2.0E</x:v>
      </x:c>
    </x:row>
    <x:row r="104">
      <x:c r="A104" s="12" t="str">
        <x:v>2026-09-02</x:v>
      </x:c>
      <x:c r="B104" s="12" t="str">
        <x:v>2026-09-02 10:35:00</x:v>
      </x:c>
      <x:c r="C104" s="12" t="str">
        <x:v>10:00</x:v>
      </x:c>
      <x:c r="D104" s="12" t="str">
        <x:v>10–13</x:v>
      </x:c>
      <x:c r="E104" s="12" t="str">
        <x:v>ZZB-0002</x:v>
      </x:c>
      <x:c r="F104" s="12" t="str">
        <x:v>調入</x:v>
      </x:c>
      <x:c r="G104" s="12" t="str">
        <x:v>2.0</x:v>
      </x:c>
      <x:c r="H104" s="13" t="n">
        <x:v>7</x:v>
      </x:c>
      <x:c r="I104" s="12" t="str">
        <x:v>台北市</x:v>
      </x:c>
      <x:c r="J104" s="12" t="str">
        <x:v>500101276</x:v>
      </x:c>
      <x:c r="K104" s="12" t="str">
        <x:v>羅斯福新生南路口</x:v>
      </x:c>
      <x:c r="L104" s="12" t="str">
        <x:v>ZZB* 且調出/調入且車種2.0/2.0E</x:v>
      </x:c>
    </x:row>
    <x:row r="105">
      <x:c r="A105" s="12" t="str">
        <x:v>2026-09-02</x:v>
      </x:c>
      <x:c r="B105" s="12" t="str">
        <x:v>2026-09-02 10:40:19</x:v>
      </x:c>
      <x:c r="C105" s="12" t="str">
        <x:v>10:00</x:v>
      </x:c>
      <x:c r="D105" s="12" t="str">
        <x:v>10–13</x:v>
      </x:c>
      <x:c r="E105" s="12" t="str">
        <x:v>ZZB-0002</x:v>
      </x:c>
      <x:c r="F105" s="12" t="str">
        <x:v>調出</x:v>
      </x:c>
      <x:c r="G105" s="12" t="str">
        <x:v>2.0</x:v>
      </x:c>
      <x:c r="H105" s="13" t="n">
        <x:v>7</x:v>
      </x:c>
      <x:c r="I105" s="12" t="str">
        <x:v>台北市</x:v>
      </x:c>
      <x:c r="J105" s="12" t="str">
        <x:v>500119050</x:v>
      </x:c>
      <x:c r="K105" s="12" t="str">
        <x:v>臺大小福樓東側</x:v>
      </x:c>
      <x:c r="L105" s="12" t="str">
        <x:v>ZZB* 且調出/調入且車種2.0/2.0E</x:v>
      </x:c>
    </x:row>
    <x:row r="106">
      <x:c r="A106" s="12" t="str">
        <x:v>2026-09-02</x:v>
      </x:c>
      <x:c r="B106" s="12" t="str">
        <x:v>2026-09-02 10:53:07</x:v>
      </x:c>
      <x:c r="C106" s="12" t="str">
        <x:v>10:00</x:v>
      </x:c>
      <x:c r="D106" s="12" t="str">
        <x:v>10–13</x:v>
      </x:c>
      <x:c r="E106" s="12" t="str">
        <x:v>ZZB-0002</x:v>
      </x:c>
      <x:c r="F106" s="12" t="str">
        <x:v>調入</x:v>
      </x:c>
      <x:c r="G106" s="12" t="str">
        <x:v>2.0</x:v>
      </x:c>
      <x:c r="H106" s="13" t="n">
        <x:v>7</x:v>
      </x:c>
      <x:c r="I106" s="12" t="str">
        <x:v>台北市</x:v>
      </x:c>
      <x:c r="J106" s="12" t="str">
        <x:v>500101193</x:v>
      </x:c>
      <x:c r="K106" s="12" t="str">
        <x:v>基隆長興路口</x:v>
      </x:c>
      <x:c r="L106" s="12" t="str">
        <x:v>ZZB* 且調出/調入且車種2.0/2.0E</x:v>
      </x:c>
    </x:row>
    <x:row r="107">
      <x:c r="A107" s="12" t="str">
        <x:v>2026-09-02</x:v>
      </x:c>
      <x:c r="B107" s="12" t="str">
        <x:v>2026-09-02 12:50:23</x:v>
      </x:c>
      <x:c r="C107" s="12" t="str">
        <x:v>12:00</x:v>
      </x:c>
      <x:c r="D107" s="12" t="str">
        <x:v>10–13</x:v>
      </x:c>
      <x:c r="E107" s="12" t="str">
        <x:v>ZZB-0002</x:v>
      </x:c>
      <x:c r="F107" s="12" t="str">
        <x:v>調出</x:v>
      </x:c>
      <x:c r="G107" s="12" t="str">
        <x:v>2.0</x:v>
      </x:c>
      <x:c r="H107" s="13" t="n">
        <x:v>7</x:v>
      </x:c>
      <x:c r="I107" s="12" t="str">
        <x:v>台北市</x:v>
      </x:c>
      <x:c r="J107" s="12" t="str">
        <x:v>500119085</x:v>
      </x:c>
      <x:c r="K107" s="12" t="str">
        <x:v>臺大電機二館東南側</x:v>
      </x:c>
      <x:c r="L107" s="12" t="str">
        <x:v>ZZB* 且調出/調入且車種2.0/2.0E</x:v>
      </x:c>
    </x:row>
    <x:row r="108">
      <x:c r="A108" s="12" t="str">
        <x:v>2026-09-02</x:v>
      </x:c>
      <x:c r="B108" s="12" t="str">
        <x:v>2026-09-02 12:50:33</x:v>
      </x:c>
      <x:c r="C108" s="12" t="str">
        <x:v>12:00</x:v>
      </x:c>
      <x:c r="D108" s="12" t="str">
        <x:v>10–13</x:v>
      </x:c>
      <x:c r="E108" s="12" t="str">
        <x:v>ZZB-0002</x:v>
      </x:c>
      <x:c r="F108" s="12" t="str">
        <x:v>調入</x:v>
      </x:c>
      <x:c r="G108" s="12" t="str">
        <x:v>2.0</x:v>
      </x:c>
      <x:c r="H108" s="13" t="n">
        <x:v>7</x:v>
      </x:c>
      <x:c r="I108" s="12" t="str">
        <x:v>台北市</x:v>
      </x:c>
      <x:c r="J108" s="12" t="str">
        <x:v>500119064</x:v>
      </x:c>
      <x:c r="K108" s="12" t="str">
        <x:v>臺大明達館機車停車場</x:v>
      </x:c>
      <x:c r="L108" s="12" t="str">
        <x:v>ZZB* 且調出/調入且車種2.0/2.0E</x:v>
      </x:c>
    </x:row>
    <x:row r="109">
      <x:c r="A109" s="12" t="str">
        <x:v>2026-09-02</x:v>
      </x:c>
      <x:c r="B109" s="12" t="str">
        <x:v>2026-09-02 13:06:57</x:v>
      </x:c>
      <x:c r="C109" s="12" t="str">
        <x:v>13:00</x:v>
      </x:c>
      <x:c r="D109" s="12" t="str">
        <x:v>10–13</x:v>
      </x:c>
      <x:c r="E109" s="12" t="str">
        <x:v>ZZB-0002</x:v>
      </x:c>
      <x:c r="F109" s="12" t="str">
        <x:v>調出</x:v>
      </x:c>
      <x:c r="G109" s="12" t="str">
        <x:v>2.0</x:v>
      </x:c>
      <x:c r="H109" s="13" t="n">
        <x:v>7</x:v>
      </x:c>
      <x:c r="I109" s="12" t="str">
        <x:v>台北市</x:v>
      </x:c>
      <x:c r="J109" s="12" t="str">
        <x:v>500119100</x:v>
      </x:c>
      <x:c r="K109" s="12" t="str">
        <x:v>臺大博理館東側</x:v>
      </x:c>
      <x:c r="L109" s="12" t="str">
        <x:v>ZZB* 且調出/調入且車種2.0/2.0E</x:v>
      </x:c>
    </x:row>
    <x:row r="110">
      <x:c r="A110" s="12" t="str">
        <x:v>2026-09-02</x:v>
      </x:c>
      <x:c r="B110" s="12" t="str">
        <x:v>2026-09-02 13:07:12</x:v>
      </x:c>
      <x:c r="C110" s="12" t="str">
        <x:v>13:00</x:v>
      </x:c>
      <x:c r="D110" s="12" t="str">
        <x:v>10–13</x:v>
      </x:c>
      <x:c r="E110" s="12" t="str">
        <x:v>ZZB-0002</x:v>
      </x:c>
      <x:c r="F110" s="12" t="str">
        <x:v>調入</x:v>
      </x:c>
      <x:c r="G110" s="12" t="str">
        <x:v>2.0</x:v>
      </x:c>
      <x:c r="H110" s="13" t="n">
        <x:v>7</x:v>
      </x:c>
      <x:c r="I110" s="12" t="str">
        <x:v>台北市</x:v>
      </x:c>
      <x:c r="J110" s="12" t="str">
        <x:v>500119091</x:v>
      </x:c>
      <x:c r="K110" s="12" t="str">
        <x:v>臺大明達館北側(員工宿舍)</x:v>
      </x:c>
      <x:c r="L110" s="12" t="str">
        <x:v>ZZB* 且調出/調入且車種2.0/2.0E</x:v>
      </x:c>
    </x:row>
    <x:row r="111">
      <x:c r="A111" s="12" t="str">
        <x:v>2026-09-02</x:v>
      </x:c>
      <x:c r="B111" s="12" t="str">
        <x:v>2026-09-02 13:25:48</x:v>
      </x:c>
      <x:c r="C111" s="12" t="str">
        <x:v>13:00</x:v>
      </x:c>
      <x:c r="D111" s="12" t="str">
        <x:v>10–13</x:v>
      </x:c>
      <x:c r="E111" s="12" t="str">
        <x:v>ZZB-0002</x:v>
      </x:c>
      <x:c r="F111" s="12" t="str">
        <x:v>調出</x:v>
      </x:c>
      <x:c r="G111" s="12" t="str">
        <x:v>2.0</x:v>
      </x:c>
      <x:c r="H111" s="13" t="n">
        <x:v>7</x:v>
      </x:c>
      <x:c r="I111" s="12" t="str">
        <x:v>台北市</x:v>
      </x:c>
      <x:c r="J111" s="12" t="str">
        <x:v>500119076</x:v>
      </x:c>
      <x:c r="K111" s="12" t="str">
        <x:v>臺大博理館西側</x:v>
      </x:c>
      <x:c r="L111" s="12" t="str">
        <x:v>ZZB* 且調出/調入且車種2.0/2.0E</x:v>
      </x:c>
    </x:row>
    <x:row r="112">
      <x:c r="A112" s="12" t="str">
        <x:v>2026-09-02</x:v>
      </x:c>
      <x:c r="B112" s="12" t="str">
        <x:v>2026-09-02 13:26:00</x:v>
      </x:c>
      <x:c r="C112" s="12" t="str">
        <x:v>13:00</x:v>
      </x:c>
      <x:c r="D112" s="12" t="str">
        <x:v>10–13</x:v>
      </x:c>
      <x:c r="E112" s="12" t="str">
        <x:v>ZZB-0002</x:v>
      </x:c>
      <x:c r="F112" s="12" t="str">
        <x:v>調入</x:v>
      </x:c>
      <x:c r="G112" s="12" t="str">
        <x:v>2.0</x:v>
      </x:c>
      <x:c r="H112" s="13" t="n">
        <x:v>7</x:v>
      </x:c>
      <x:c r="I112" s="12" t="str">
        <x:v>台北市</x:v>
      </x:c>
      <x:c r="J112" s="12" t="str">
        <x:v>500119064</x:v>
      </x:c>
      <x:c r="K112" s="12" t="str">
        <x:v>臺大明達館機車停車場</x:v>
      </x:c>
      <x:c r="L112" s="12" t="str">
        <x:v>ZZB* 且調出/調入且車種2.0/2.0E</x:v>
      </x:c>
    </x:row>
    <x:row r="113">
      <x:c r="A113" s="12" t="str">
        <x:v>2026-09-02</x:v>
      </x:c>
      <x:c r="B113" s="12" t="str">
        <x:v>2026-09-02 13:38:18</x:v>
      </x:c>
      <x:c r="C113" s="12" t="str">
        <x:v>13:00</x:v>
      </x:c>
      <x:c r="D113" s="12" t="str">
        <x:v>10–13</x:v>
      </x:c>
      <x:c r="E113" s="12" t="str">
        <x:v>ZZB-0002</x:v>
      </x:c>
      <x:c r="F113" s="12" t="str">
        <x:v>調出</x:v>
      </x:c>
      <x:c r="G113" s="12" t="str">
        <x:v>2.0</x:v>
      </x:c>
      <x:c r="H113" s="13" t="n">
        <x:v>7</x:v>
      </x:c>
      <x:c r="I113" s="12" t="str">
        <x:v>台北市</x:v>
      </x:c>
      <x:c r="J113" s="12" t="str">
        <x:v>500119085</x:v>
      </x:c>
      <x:c r="K113" s="12" t="str">
        <x:v>臺大電機二館東南側</x:v>
      </x:c>
      <x:c r="L113" s="12" t="str">
        <x:v>ZZB* 且調出/調入且車種2.0/2.0E</x:v>
      </x:c>
    </x:row>
    <x:row r="114">
      <x:c r="A114" s="12" t="str">
        <x:v>2026-09-02</x:v>
      </x:c>
      <x:c r="B114" s="12" t="str">
        <x:v>2026-09-02 13:38:29</x:v>
      </x:c>
      <x:c r="C114" s="12" t="str">
        <x:v>13:00</x:v>
      </x:c>
      <x:c r="D114" s="12" t="str">
        <x:v>10–13</x:v>
      </x:c>
      <x:c r="E114" s="12" t="str">
        <x:v>ZZB-0002</x:v>
      </x:c>
      <x:c r="F114" s="12" t="str">
        <x:v>調入</x:v>
      </x:c>
      <x:c r="G114" s="12" t="str">
        <x:v>2.0</x:v>
      </x:c>
      <x:c r="H114" s="13" t="n">
        <x:v>7</x:v>
      </x:c>
      <x:c r="I114" s="12" t="str">
        <x:v>台北市</x:v>
      </x:c>
      <x:c r="J114" s="12" t="str">
        <x:v>500119064</x:v>
      </x:c>
      <x:c r="K114" s="12" t="str">
        <x:v>臺大明達館機車停車場</x:v>
      </x:c>
      <x:c r="L114" s="12" t="str">
        <x:v>ZZB* 且調出/調入且車種2.0/2.0E</x:v>
      </x:c>
    </x:row>
    <x:row r="115">
      <x:c r="A115" s="12" t="str">
        <x:v>2026-09-02</x:v>
      </x:c>
      <x:c r="B115" s="12" t="str">
        <x:v>2026-09-02 14:01:19</x:v>
      </x:c>
      <x:c r="C115" s="12" t="str">
        <x:v>14:00</x:v>
      </x:c>
      <x:c r="D115" s="12" t="str">
        <x:v>14–17</x:v>
      </x:c>
      <x:c r="E115" s="12" t="str">
        <x:v>ZZB-0002</x:v>
      </x:c>
      <x:c r="F115" s="12" t="str">
        <x:v>調出</x:v>
      </x:c>
      <x:c r="G115" s="12" t="str">
        <x:v>2.0</x:v>
      </x:c>
      <x:c r="H115" s="13" t="n">
        <x:v>7</x:v>
      </x:c>
      <x:c r="I115" s="12" t="str">
        <x:v>台北市</x:v>
      </x:c>
      <x:c r="J115" s="12" t="str">
        <x:v>500119076</x:v>
      </x:c>
      <x:c r="K115" s="12" t="str">
        <x:v>臺大博理館西側</x:v>
      </x:c>
      <x:c r="L115" s="12" t="str">
        <x:v>ZZB* 且調出/調入且車種2.0/2.0E</x:v>
      </x:c>
    </x:row>
    <x:row r="116">
      <x:c r="A116" s="12" t="str">
        <x:v>2026-09-02</x:v>
      </x:c>
      <x:c r="B116" s="12" t="str">
        <x:v>2026-09-02 14:01:41</x:v>
      </x:c>
      <x:c r="C116" s="12" t="str">
        <x:v>14:00</x:v>
      </x:c>
      <x:c r="D116" s="12" t="str">
        <x:v>14–17</x:v>
      </x:c>
      <x:c r="E116" s="12" t="str">
        <x:v>ZZB-0002</x:v>
      </x:c>
      <x:c r="F116" s="12" t="str">
        <x:v>調入</x:v>
      </x:c>
      <x:c r="G116" s="12" t="str">
        <x:v>2.0</x:v>
      </x:c>
      <x:c r="H116" s="13" t="n">
        <x:v>7</x:v>
      </x:c>
      <x:c r="I116" s="12" t="str">
        <x:v>台北市</x:v>
      </x:c>
      <x:c r="J116" s="12" t="str">
        <x:v>500119064</x:v>
      </x:c>
      <x:c r="K116" s="12" t="str">
        <x:v>臺大明達館機車停車場</x:v>
      </x:c>
      <x:c r="L116" s="12" t="str">
        <x:v>ZZB* 且調出/調入且車種2.0/2.0E</x:v>
      </x:c>
    </x:row>
    <x:row r="117">
      <x:c r="A117" s="12" t="str">
        <x:v>2026-09-02</x:v>
      </x:c>
      <x:c r="B117" s="12" t="str">
        <x:v>2026-09-02 17:55:24</x:v>
      </x:c>
      <x:c r="C117" s="12" t="str">
        <x:v>17:00</x:v>
      </x:c>
      <x:c r="D117" s="12" t="str">
        <x:v>14–17</x:v>
      </x:c>
      <x:c r="E117" s="12" t="str">
        <x:v>ZZB-0002</x:v>
      </x:c>
      <x:c r="F117" s="12" t="str">
        <x:v>調出</x:v>
      </x:c>
      <x:c r="G117" s="12" t="str">
        <x:v>2.0</x:v>
      </x:c>
      <x:c r="H117" s="13" t="n">
        <x:v>7</x:v>
      </x:c>
      <x:c r="I117" s="12" t="str">
        <x:v>台北市</x:v>
      </x:c>
      <x:c r="J117" s="12" t="str">
        <x:v>500119045</x:v>
      </x:c>
      <x:c r="K117" s="12" t="str">
        <x:v>臺大農業陳列館北側</x:v>
      </x:c>
      <x:c r="L117" s="12" t="str">
        <x:v>ZZB* 且調出/調入且車種2.0/2.0E</x:v>
      </x:c>
    </x:row>
    <x:row r="118">
      <x:c r="A118" s="12" t="str">
        <x:v>2026-09-02</x:v>
      </x:c>
      <x:c r="B118" s="12" t="str">
        <x:v>2026-09-02 17:55:35</x:v>
      </x:c>
      <x:c r="C118" s="12" t="str">
        <x:v>17:00</x:v>
      </x:c>
      <x:c r="D118" s="12" t="str">
        <x:v>14–17</x:v>
      </x:c>
      <x:c r="E118" s="12" t="str">
        <x:v>ZZB-0002</x:v>
      </x:c>
      <x:c r="F118" s="12" t="str">
        <x:v>調入</x:v>
      </x:c>
      <x:c r="G118" s="12" t="str">
        <x:v>2.0</x:v>
      </x:c>
      <x:c r="H118" s="13" t="n">
        <x:v>7</x:v>
      </x:c>
      <x:c r="I118" s="12" t="str">
        <x:v>台北市</x:v>
      </x:c>
      <x:c r="J118" s="12" t="str">
        <x:v>500119050</x:v>
      </x:c>
      <x:c r="K118" s="12" t="str">
        <x:v>臺大小福樓東側</x:v>
      </x:c>
      <x:c r="L118" s="12" t="str">
        <x:v>ZZB* 且調出/調入且車種2.0/2.0E</x:v>
      </x:c>
    </x:row>
    <x:row r="119">
      <x:c r="A119" s="12" t="str">
        <x:v>2026-09-02</x:v>
      </x:c>
      <x:c r="B119" s="12" t="str">
        <x:v>2026-09-02 18:13:37</x:v>
      </x:c>
      <x:c r="C119" s="12" t="str">
        <x:v>18:00</x:v>
      </x:c>
      <x:c r="D119" s="12" t="str">
        <x:v>18–21</x:v>
      </x:c>
      <x:c r="E119" s="12" t="str">
        <x:v>ZZB-0002</x:v>
      </x:c>
      <x:c r="F119" s="12" t="str">
        <x:v>調出</x:v>
      </x:c>
      <x:c r="G119" s="12" t="str">
        <x:v>2.0</x:v>
      </x:c>
      <x:c r="H119" s="13" t="n">
        <x:v>7</x:v>
      </x:c>
      <x:c r="I119" s="12" t="str">
        <x:v>台北市</x:v>
      </x:c>
      <x:c r="J119" s="12" t="str">
        <x:v>500119045</x:v>
      </x:c>
      <x:c r="K119" s="12" t="str">
        <x:v>臺大農業陳列館北側</x:v>
      </x:c>
      <x:c r="L119" s="12" t="str">
        <x:v>ZZB* 且調出/調入且車種2.0/2.0E</x:v>
      </x:c>
    </x:row>
    <x:row r="120">
      <x:c r="A120" s="12" t="str">
        <x:v>2026-09-02</x:v>
      </x:c>
      <x:c r="B120" s="12" t="str">
        <x:v>2026-09-02 18:13:51</x:v>
      </x:c>
      <x:c r="C120" s="12" t="str">
        <x:v>18:00</x:v>
      </x:c>
      <x:c r="D120" s="12" t="str">
        <x:v>18–21</x:v>
      </x:c>
      <x:c r="E120" s="12" t="str">
        <x:v>ZZB-0002</x:v>
      </x:c>
      <x:c r="F120" s="12" t="str">
        <x:v>調入</x:v>
      </x:c>
      <x:c r="G120" s="12" t="str">
        <x:v>2.0</x:v>
      </x:c>
      <x:c r="H120" s="13" t="n">
        <x:v>7</x:v>
      </x:c>
      <x:c r="I120" s="12" t="str">
        <x:v>台北市</x:v>
      </x:c>
      <x:c r="J120" s="12" t="str">
        <x:v>500119050</x:v>
      </x:c>
      <x:c r="K120" s="12" t="str">
        <x:v>臺大小福樓東側</x:v>
      </x:c>
      <x:c r="L120" s="12" t="str">
        <x:v>ZZB* 且調出/調入且車種2.0/2.0E</x:v>
      </x:c>
    </x:row>
    <x:row r="121">
      <x:c r="A121" s="12" t="str">
        <x:v>2026-09-02</x:v>
      </x:c>
      <x:c r="B121" s="12" t="str">
        <x:v>2026-09-02 18:32:11</x:v>
      </x:c>
      <x:c r="C121" s="12" t="str">
        <x:v>18:00</x:v>
      </x:c>
      <x:c r="D121" s="12" t="str">
        <x:v>18–21</x:v>
      </x:c>
      <x:c r="E121" s="12" t="str">
        <x:v>ZZB-0002</x:v>
      </x:c>
      <x:c r="F121" s="12" t="str">
        <x:v>調出</x:v>
      </x:c>
      <x:c r="G121" s="12" t="str">
        <x:v>2.0</x:v>
      </x:c>
      <x:c r="H121" s="13" t="n">
        <x:v>7</x:v>
      </x:c>
      <x:c r="I121" s="12" t="str">
        <x:v>台北市</x:v>
      </x:c>
      <x:c r="J121" s="12" t="str">
        <x:v>500119045</x:v>
      </x:c>
      <x:c r="K121" s="12" t="str">
        <x:v>臺大農業陳列館北側</x:v>
      </x:c>
      <x:c r="L121" s="12" t="str">
        <x:v>ZZB* 且調出/調入且車種2.0/2.0E</x:v>
      </x:c>
    </x:row>
    <x:row r="122">
      <x:c r="A122" s="12" t="str">
        <x:v>2026-09-02</x:v>
      </x:c>
      <x:c r="B122" s="12" t="str">
        <x:v>2026-09-02 18:32:21</x:v>
      </x:c>
      <x:c r="C122" s="12" t="str">
        <x:v>18:00</x:v>
      </x:c>
      <x:c r="D122" s="12" t="str">
        <x:v>18–21</x:v>
      </x:c>
      <x:c r="E122" s="12" t="str">
        <x:v>ZZB-0002</x:v>
      </x:c>
      <x:c r="F122" s="12" t="str">
        <x:v>調入</x:v>
      </x:c>
      <x:c r="G122" s="12" t="str">
        <x:v>2.0</x:v>
      </x:c>
      <x:c r="H122" s="13" t="n">
        <x:v>7</x:v>
      </x:c>
      <x:c r="I122" s="12" t="str">
        <x:v>台北市</x:v>
      </x:c>
      <x:c r="J122" s="12" t="str">
        <x:v>500119050</x:v>
      </x:c>
      <x:c r="K122" s="12" t="str">
        <x:v>臺大小福樓東側</x:v>
      </x:c>
      <x:c r="L122" s="12" t="str">
        <x:v>ZZB* 且調出/調入且車種2.0/2.0E</x:v>
      </x:c>
    </x:row>
    <x:row r="123">
      <x:c r="A123" s="12" t="str">
        <x:v>2026-09-02</x:v>
      </x:c>
      <x:c r="B123" s="12" t="str">
        <x:v>2026-09-02 18:43:15</x:v>
      </x:c>
      <x:c r="C123" s="12" t="str">
        <x:v>18:00</x:v>
      </x:c>
      <x:c r="D123" s="12" t="str">
        <x:v>18–21</x:v>
      </x:c>
      <x:c r="E123" s="12" t="str">
        <x:v>ZZB-0002</x:v>
      </x:c>
      <x:c r="F123" s="12" t="str">
        <x:v>調出</x:v>
      </x:c>
      <x:c r="G123" s="12" t="str">
        <x:v>2.0</x:v>
      </x:c>
      <x:c r="H123" s="13" t="n">
        <x:v>7</x:v>
      </x:c>
      <x:c r="I123" s="12" t="str">
        <x:v>台北市</x:v>
      </x:c>
      <x:c r="J123" s="12" t="str">
        <x:v>500119070</x:v>
      </x:c>
      <x:c r="K123" s="12" t="str">
        <x:v>臺大椰林小舖</x:v>
      </x:c>
      <x:c r="L123" s="12" t="str">
        <x:v>ZZB* 且調出/調入且車種2.0/2.0E</x:v>
      </x:c>
    </x:row>
    <x:row r="124">
      <x:c r="A124" s="12" t="str">
        <x:v>2026-09-02</x:v>
      </x:c>
      <x:c r="B124" s="12" t="str">
        <x:v>2026-09-02 18:43:37</x:v>
      </x:c>
      <x:c r="C124" s="12" t="str">
        <x:v>18:00</x:v>
      </x:c>
      <x:c r="D124" s="12" t="str">
        <x:v>18–21</x:v>
      </x:c>
      <x:c r="E124" s="12" t="str">
        <x:v>ZZB-0002</x:v>
      </x:c>
      <x:c r="F124" s="12" t="str">
        <x:v>調入</x:v>
      </x:c>
      <x:c r="G124" s="12" t="str">
        <x:v>2.0</x:v>
      </x:c>
      <x:c r="H124" s="13" t="n">
        <x:v>7</x:v>
      </x:c>
      <x:c r="I124" s="12" t="str">
        <x:v>台北市</x:v>
      </x:c>
      <x:c r="J124" s="12" t="str">
        <x:v>500119061</x:v>
      </x:c>
      <x:c r="K124" s="12" t="str">
        <x:v>臺大鹿鳴堂東側</x:v>
      </x:c>
      <x:c r="L124" s="12" t="str">
        <x:v>ZZB* 且調出/調入且車種2.0/2.0E</x:v>
      </x:c>
    </x:row>
    <x:row r="125">
      <x:c r="A125" s="12" t="str">
        <x:v>2026-09-02</x:v>
      </x:c>
      <x:c r="B125" s="12" t="str">
        <x:v>2026-09-02 19:11:35</x:v>
      </x:c>
      <x:c r="C125" s="12" t="str">
        <x:v>19:00</x:v>
      </x:c>
      <x:c r="D125" s="12" t="str">
        <x:v>18–21</x:v>
      </x:c>
      <x:c r="E125" s="12" t="str">
        <x:v>ZZB-0002</x:v>
      </x:c>
      <x:c r="F125" s="12" t="str">
        <x:v>調出</x:v>
      </x:c>
      <x:c r="G125" s="12" t="str">
        <x:v>2.0</x:v>
      </x:c>
      <x:c r="H125" s="13" t="n">
        <x:v>7</x:v>
      </x:c>
      <x:c r="I125" s="12" t="str">
        <x:v>台北市</x:v>
      </x:c>
      <x:c r="J125" s="12" t="str">
        <x:v>500119070</x:v>
      </x:c>
      <x:c r="K125" s="12" t="str">
        <x:v>臺大椰林小舖</x:v>
      </x:c>
      <x:c r="L125" s="12" t="str">
        <x:v>ZZB* 且調出/調入且車種2.0/2.0E</x:v>
      </x:c>
    </x:row>
    <x:row r="126">
      <x:c r="A126" s="12" t="str">
        <x:v>2026-09-02</x:v>
      </x:c>
      <x:c r="B126" s="12" t="str">
        <x:v>2026-09-02 19:11:59</x:v>
      </x:c>
      <x:c r="C126" s="12" t="str">
        <x:v>19:00</x:v>
      </x:c>
      <x:c r="D126" s="12" t="str">
        <x:v>18–21</x:v>
      </x:c>
      <x:c r="E126" s="12" t="str">
        <x:v>ZZB-0002</x:v>
      </x:c>
      <x:c r="F126" s="12" t="str">
        <x:v>調入</x:v>
      </x:c>
      <x:c r="G126" s="12" t="str">
        <x:v>2.0</x:v>
      </x:c>
      <x:c r="H126" s="13" t="n">
        <x:v>7</x:v>
      </x:c>
      <x:c r="I126" s="12" t="str">
        <x:v>台北市</x:v>
      </x:c>
      <x:c r="J126" s="12" t="str">
        <x:v>500119061</x:v>
      </x:c>
      <x:c r="K126" s="12" t="str">
        <x:v>臺大鹿鳴堂東側</x:v>
      </x:c>
      <x:c r="L126" s="12" t="str">
        <x:v>ZZB* 且調出/調入且車種2.0/2.0E</x:v>
      </x:c>
    </x:row>
    <x:row r="127">
      <x:c r="A127" s="12" t="str">
        <x:v>2026-09-02</x:v>
      </x:c>
      <x:c r="B127" s="12" t="str">
        <x:v>2026-09-02 19:32:33</x:v>
      </x:c>
      <x:c r="C127" s="12" t="str">
        <x:v>19:00</x:v>
      </x:c>
      <x:c r="D127" s="12" t="str">
        <x:v>18–21</x:v>
      </x:c>
      <x:c r="E127" s="12" t="str">
        <x:v>ZZB-0002</x:v>
      </x:c>
      <x:c r="F127" s="12" t="str">
        <x:v>調出</x:v>
      </x:c>
      <x:c r="G127" s="12" t="str">
        <x:v>2.0</x:v>
      </x:c>
      <x:c r="H127" s="13" t="n">
        <x:v>7</x:v>
      </x:c>
      <x:c r="I127" s="12" t="str">
        <x:v>台北市</x:v>
      </x:c>
      <x:c r="J127" s="12" t="str">
        <x:v>500119048</x:v>
      </x:c>
      <x:c r="K127" s="12" t="str">
        <x:v>臺大大一女舍北側</x:v>
      </x:c>
      <x:c r="L127" s="12" t="str">
        <x:v>ZZB* 且調出/調入且車種2.0/2.0E</x:v>
      </x:c>
    </x:row>
    <x:row r="128">
      <x:c r="A128" s="12" t="str">
        <x:v>2026-09-02</x:v>
      </x:c>
      <x:c r="B128" s="12" t="str">
        <x:v>2026-09-02 19:32:44</x:v>
      </x:c>
      <x:c r="C128" s="12" t="str">
        <x:v>19:00</x:v>
      </x:c>
      <x:c r="D128" s="12" t="str">
        <x:v>18–21</x:v>
      </x:c>
      <x:c r="E128" s="12" t="str">
        <x:v>ZZB-0002</x:v>
      </x:c>
      <x:c r="F128" s="12" t="str">
        <x:v>調入</x:v>
      </x:c>
      <x:c r="G128" s="12" t="str">
        <x:v>2.0</x:v>
      </x:c>
      <x:c r="H128" s="13" t="n">
        <x:v>7</x:v>
      </x:c>
      <x:c r="I128" s="12" t="str">
        <x:v>台北市</x:v>
      </x:c>
      <x:c r="J128" s="12" t="str">
        <x:v>500119074</x:v>
      </x:c>
      <x:c r="K128" s="12" t="str">
        <x:v>臺大生命科學館西北側</x:v>
      </x:c>
      <x:c r="L128" s="12" t="str">
        <x:v>ZZB* 且調出/調入且車種2.0/2.0E</x:v>
      </x:c>
    </x:row>
    <x:row r="129">
      <x:c r="A129" s="12" t="str">
        <x:v>2026-09-02</x:v>
      </x:c>
      <x:c r="B129" s="12" t="str">
        <x:v>2026-09-02 08:38:23</x:v>
      </x:c>
      <x:c r="C129" s="12" t="str">
        <x:v>08:00</x:v>
      </x:c>
      <x:c r="D129" s="12" t="str">
        <x:v>06–09</x:v>
      </x:c>
      <x:c r="E129" s="12" t="str">
        <x:v>ZZB-0003</x:v>
      </x:c>
      <x:c r="F129" s="12" t="str">
        <x:v>調出</x:v>
      </x:c>
      <x:c r="G129" s="12" t="str">
        <x:v>2.0</x:v>
      </x:c>
      <x:c r="H129" s="13" t="n">
        <x:v>6</x:v>
      </x:c>
      <x:c r="I129" s="12" t="str">
        <x:v>台北市</x:v>
      </x:c>
      <x:c r="J129" s="12" t="str">
        <x:v>500119072</x:v>
      </x:c>
      <x:c r="K129" s="12" t="str">
        <x:v>臺大原分所北側</x:v>
      </x:c>
      <x:c r="L129" s="12" t="str">
        <x:v>ZZB* 且調出/調入且車種2.0/2.0E</x:v>
      </x:c>
    </x:row>
    <x:row r="130">
      <x:c r="A130" s="12" t="str">
        <x:v>2026-09-02</x:v>
      </x:c>
      <x:c r="B130" s="12" t="str">
        <x:v>2026-09-02 08:38:39</x:v>
      </x:c>
      <x:c r="C130" s="12" t="str">
        <x:v>08:00</x:v>
      </x:c>
      <x:c r="D130" s="12" t="str">
        <x:v>06–09</x:v>
      </x:c>
      <x:c r="E130" s="12" t="str">
        <x:v>ZZB-0003</x:v>
      </x:c>
      <x:c r="F130" s="12" t="str">
        <x:v>調入</x:v>
      </x:c>
      <x:c r="G130" s="12" t="str">
        <x:v>2.0</x:v>
      </x:c>
      <x:c r="H130" s="13" t="n">
        <x:v>6</x:v>
      </x:c>
      <x:c r="I130" s="12" t="str">
        <x:v>台北市</x:v>
      </x:c>
      <x:c r="J130" s="12" t="str">
        <x:v>500119059</x:v>
      </x:c>
      <x:c r="K130" s="12" t="str">
        <x:v>臺大共同教室北側</x:v>
      </x:c>
      <x:c r="L130" s="12" t="str">
        <x:v>ZZB* 且調出/調入且車種2.0/2.0E</x:v>
      </x:c>
    </x:row>
    <x:row r="131">
      <x:c r="A131" s="12" t="str">
        <x:v>2026-09-02</x:v>
      </x:c>
      <x:c r="B131" s="12" t="str">
        <x:v>2026-09-02 08:38:55</x:v>
      </x:c>
      <x:c r="C131" s="12" t="str">
        <x:v>08:00</x:v>
      </x:c>
      <x:c r="D131" s="12" t="str">
        <x:v>06–09</x:v>
      </x:c>
      <x:c r="E131" s="12" t="str">
        <x:v>ZZB-0003</x:v>
      </x:c>
      <x:c r="F131" s="12" t="str">
        <x:v>調出</x:v>
      </x:c>
      <x:c r="G131" s="12" t="str">
        <x:v>2.0</x:v>
      </x:c>
      <x:c r="H131" s="13" t="n">
        <x:v>7</x:v>
      </x:c>
      <x:c r="I131" s="12" t="str">
        <x:v>台北市</x:v>
      </x:c>
      <x:c r="J131" s="12" t="str">
        <x:v>500119087</x:v>
      </x:c>
      <x:c r="K131" s="12" t="str">
        <x:v>臺大總圖書館西南側</x:v>
      </x:c>
      <x:c r="L131" s="12" t="str">
        <x:v>ZZB* 且調出/調入且車種2.0/2.0E</x:v>
      </x:c>
    </x:row>
    <x:row r="132">
      <x:c r="A132" s="12" t="str">
        <x:v>2026-09-02</x:v>
      </x:c>
      <x:c r="B132" s="12" t="str">
        <x:v>2026-09-02 08:45:33</x:v>
      </x:c>
      <x:c r="C132" s="12" t="str">
        <x:v>08:00</x:v>
      </x:c>
      <x:c r="D132" s="12" t="str">
        <x:v>06–09</x:v>
      </x:c>
      <x:c r="E132" s="12" t="str">
        <x:v>ZZB-0003</x:v>
      </x:c>
      <x:c r="F132" s="12" t="str">
        <x:v>調出</x:v>
      </x:c>
      <x:c r="G132" s="12" t="str">
        <x:v>2.0</x:v>
      </x:c>
      <x:c r="H132" s="13" t="n">
        <x:v>7</x:v>
      </x:c>
      <x:c r="I132" s="12" t="str">
        <x:v>台北市</x:v>
      </x:c>
      <x:c r="J132" s="12" t="str">
        <x:v>500119087</x:v>
      </x:c>
      <x:c r="K132" s="12" t="str">
        <x:v>臺大總圖書館西南側</x:v>
      </x:c>
      <x:c r="L132" s="12" t="str">
        <x:v>ZZB* 且調出/調入且車種2.0/2.0E</x:v>
      </x:c>
    </x:row>
    <x:row r="133">
      <x:c r="A133" s="12" t="str">
        <x:v>2026-09-02</x:v>
      </x:c>
      <x:c r="B133" s="12" t="str">
        <x:v>2026-09-02 08:45:53</x:v>
      </x:c>
      <x:c r="C133" s="12" t="str">
        <x:v>08:00</x:v>
      </x:c>
      <x:c r="D133" s="12" t="str">
        <x:v>06–09</x:v>
      </x:c>
      <x:c r="E133" s="12" t="str">
        <x:v>ZZB-0003</x:v>
      </x:c>
      <x:c r="F133" s="12" t="str">
        <x:v>調入</x:v>
      </x:c>
      <x:c r="G133" s="12" t="str">
        <x:v>2.0</x:v>
      </x:c>
      <x:c r="H133" s="13" t="n">
        <x:v>7</x:v>
      </x:c>
      <x:c r="I133" s="12" t="str">
        <x:v>台北市</x:v>
      </x:c>
      <x:c r="J133" s="12" t="str">
        <x:v>500119061</x:v>
      </x:c>
      <x:c r="K133" s="12" t="str">
        <x:v>臺大鹿鳴堂東側</x:v>
      </x:c>
      <x:c r="L133" s="12" t="str">
        <x:v>ZZB* 且調出/調入且車種2.0/2.0E</x:v>
      </x:c>
    </x:row>
    <x:row r="134">
      <x:c r="A134" s="12" t="str">
        <x:v>2026-09-02</x:v>
      </x:c>
      <x:c r="B134" s="12" t="str">
        <x:v>2026-09-02 09:00:07</x:v>
      </x:c>
      <x:c r="C134" s="12" t="str">
        <x:v>09:00</x:v>
      </x:c>
      <x:c r="D134" s="12" t="str">
        <x:v>06–09</x:v>
      </x:c>
      <x:c r="E134" s="12" t="str">
        <x:v>ZZB-0003</x:v>
      </x:c>
      <x:c r="F134" s="12" t="str">
        <x:v>調出</x:v>
      </x:c>
      <x:c r="G134" s="12" t="str">
        <x:v>2.0</x:v>
      </x:c>
      <x:c r="H134" s="13" t="n">
        <x:v>7</x:v>
      </x:c>
      <x:c r="I134" s="12" t="str">
        <x:v>台北市</x:v>
      </x:c>
      <x:c r="J134" s="12" t="str">
        <x:v>500119087</x:v>
      </x:c>
      <x:c r="K134" s="12" t="str">
        <x:v>臺大總圖書館西南側</x:v>
      </x:c>
      <x:c r="L134" s="12" t="str">
        <x:v>ZZB* 且調出/調入且車種2.0/2.0E</x:v>
      </x:c>
    </x:row>
    <x:row r="135">
      <x:c r="A135" s="12" t="str">
        <x:v>2026-09-02</x:v>
      </x:c>
      <x:c r="B135" s="12" t="str">
        <x:v>2026-09-02 09:00:24</x:v>
      </x:c>
      <x:c r="C135" s="12" t="str">
        <x:v>09:00</x:v>
      </x:c>
      <x:c r="D135" s="12" t="str">
        <x:v>06–09</x:v>
      </x:c>
      <x:c r="E135" s="12" t="str">
        <x:v>ZZB-0003</x:v>
      </x:c>
      <x:c r="F135" s="12" t="str">
        <x:v>調入</x:v>
      </x:c>
      <x:c r="G135" s="12" t="str">
        <x:v>2.0</x:v>
      </x:c>
      <x:c r="H135" s="13" t="n">
        <x:v>7</x:v>
      </x:c>
      <x:c r="I135" s="12" t="str">
        <x:v>台北市</x:v>
      </x:c>
      <x:c r="J135" s="12" t="str">
        <x:v>500119059</x:v>
      </x:c>
      <x:c r="K135" s="12" t="str">
        <x:v>臺大共同教室北側</x:v>
      </x:c>
      <x:c r="L135" s="12" t="str">
        <x:v>ZZB* 且調出/調入且車種2.0/2.0E</x:v>
      </x:c>
    </x:row>
    <x:row r="136">
      <x:c r="A136" s="12" t="str">
        <x:v>2026-09-02</x:v>
      </x:c>
      <x:c r="B136" s="12" t="str">
        <x:v>2026-09-02 09:19:36</x:v>
      </x:c>
      <x:c r="C136" s="12" t="str">
        <x:v>09:00</x:v>
      </x:c>
      <x:c r="D136" s="12" t="str">
        <x:v>06–09</x:v>
      </x:c>
      <x:c r="E136" s="12" t="str">
        <x:v>ZZB-0003</x:v>
      </x:c>
      <x:c r="F136" s="12" t="str">
        <x:v>調出</x:v>
      </x:c>
      <x:c r="G136" s="12" t="str">
        <x:v>2.0</x:v>
      </x:c>
      <x:c r="H136" s="13" t="n">
        <x:v>7</x:v>
      </x:c>
      <x:c r="I136" s="12" t="str">
        <x:v>台北市</x:v>
      </x:c>
      <x:c r="J136" s="12" t="str">
        <x:v>500119086</x:v>
      </x:c>
      <x:c r="K136" s="12" t="str">
        <x:v>臺大圖資系館北側</x:v>
      </x:c>
      <x:c r="L136" s="12" t="str">
        <x:v>ZZB* 且調出/調入且車種2.0/2.0E</x:v>
      </x:c>
    </x:row>
    <x:row r="137">
      <x:c r="A137" s="12" t="str">
        <x:v>2026-09-02</x:v>
      </x:c>
      <x:c r="B137" s="12" t="str">
        <x:v>2026-09-02 09:19:49</x:v>
      </x:c>
      <x:c r="C137" s="12" t="str">
        <x:v>09:00</x:v>
      </x:c>
      <x:c r="D137" s="12" t="str">
        <x:v>06–09</x:v>
      </x:c>
      <x:c r="E137" s="12" t="str">
        <x:v>ZZB-0003</x:v>
      </x:c>
      <x:c r="F137" s="12" t="str">
        <x:v>調入</x:v>
      </x:c>
      <x:c r="G137" s="12" t="str">
        <x:v>2.0</x:v>
      </x:c>
      <x:c r="H137" s="13" t="n">
        <x:v>7</x:v>
      </x:c>
      <x:c r="I137" s="12" t="str">
        <x:v>台北市</x:v>
      </x:c>
      <x:c r="J137" s="12" t="str">
        <x:v>500119061</x:v>
      </x:c>
      <x:c r="K137" s="12" t="str">
        <x:v>臺大鹿鳴堂東側</x:v>
      </x:c>
      <x:c r="L137" s="12" t="str">
        <x:v>ZZB* 且調出/調入且車種2.0/2.0E</x:v>
      </x:c>
    </x:row>
    <x:row r="138">
      <x:c r="A138" s="12" t="str">
        <x:v>2026-09-02</x:v>
      </x:c>
      <x:c r="B138" s="12" t="str">
        <x:v>2026-09-02 09:38:38</x:v>
      </x:c>
      <x:c r="C138" s="12" t="str">
        <x:v>09:00</x:v>
      </x:c>
      <x:c r="D138" s="12" t="str">
        <x:v>06–09</x:v>
      </x:c>
      <x:c r="E138" s="12" t="str">
        <x:v>ZZB-0003</x:v>
      </x:c>
      <x:c r="F138" s="12" t="str">
        <x:v>調出</x:v>
      </x:c>
      <x:c r="G138" s="12" t="str">
        <x:v>2.0</x:v>
      </x:c>
      <x:c r="H138" s="13" t="n">
        <x:v>6</x:v>
      </x:c>
      <x:c r="I138" s="12" t="str">
        <x:v>台北市</x:v>
      </x:c>
      <x:c r="J138" s="12" t="str">
        <x:v>500119087</x:v>
      </x:c>
      <x:c r="K138" s="12" t="str">
        <x:v>臺大總圖書館西南側</x:v>
      </x:c>
      <x:c r="L138" s="12" t="str">
        <x:v>ZZB* 且調出/調入且車種2.0/2.0E</x:v>
      </x:c>
    </x:row>
    <x:row r="139">
      <x:c r="A139" s="12" t="str">
        <x:v>2026-09-02</x:v>
      </x:c>
      <x:c r="B139" s="12" t="str">
        <x:v>2026-09-02 09:38:54</x:v>
      </x:c>
      <x:c r="C139" s="12" t="str">
        <x:v>09:00</x:v>
      </x:c>
      <x:c r="D139" s="12" t="str">
        <x:v>06–09</x:v>
      </x:c>
      <x:c r="E139" s="12" t="str">
        <x:v>ZZB-0003</x:v>
      </x:c>
      <x:c r="F139" s="12" t="str">
        <x:v>調入</x:v>
      </x:c>
      <x:c r="G139" s="12" t="str">
        <x:v>2.0</x:v>
      </x:c>
      <x:c r="H139" s="13" t="n">
        <x:v>6</x:v>
      </x:c>
      <x:c r="I139" s="12" t="str">
        <x:v>台北市</x:v>
      </x:c>
      <x:c r="J139" s="12" t="str">
        <x:v>500119074</x:v>
      </x:c>
      <x:c r="K139" s="12" t="str">
        <x:v>臺大生命科學館西北側</x:v>
      </x:c>
      <x:c r="L139" s="12" t="str">
        <x:v>ZZB* 且調出/調入且車種2.0/2.0E</x:v>
      </x:c>
    </x:row>
    <x:row r="140">
      <x:c r="A140" s="12" t="str">
        <x:v>2026-09-02</x:v>
      </x:c>
      <x:c r="B140" s="12" t="str">
        <x:v>2026-09-02 09:59:41</x:v>
      </x:c>
      <x:c r="C140" s="12" t="str">
        <x:v>09:00</x:v>
      </x:c>
      <x:c r="D140" s="12" t="str">
        <x:v>06–09</x:v>
      </x:c>
      <x:c r="E140" s="12" t="str">
        <x:v>ZZB-0003</x:v>
      </x:c>
      <x:c r="F140" s="12" t="str">
        <x:v>調出</x:v>
      </x:c>
      <x:c r="G140" s="12" t="str">
        <x:v>2.0</x:v>
      </x:c>
      <x:c r="H140" s="13" t="n">
        <x:v>6</x:v>
      </x:c>
      <x:c r="I140" s="12" t="str">
        <x:v>台北市</x:v>
      </x:c>
      <x:c r="J140" s="12" t="str">
        <x:v>500119083</x:v>
      </x:c>
      <x:c r="K140" s="12" t="str">
        <x:v>臺大新生教室南側</x:v>
      </x:c>
      <x:c r="L140" s="12" t="str">
        <x:v>ZZB* 且調出/調入且車種2.0/2.0E</x:v>
      </x:c>
    </x:row>
    <x:row r="141">
      <x:c r="A141" s="12" t="str">
        <x:v>2026-09-02</x:v>
      </x:c>
      <x:c r="B141" s="12" t="str">
        <x:v>2026-09-02 09:59:56</x:v>
      </x:c>
      <x:c r="C141" s="12" t="str">
        <x:v>09:00</x:v>
      </x:c>
      <x:c r="D141" s="12" t="str">
        <x:v>06–09</x:v>
      </x:c>
      <x:c r="E141" s="12" t="str">
        <x:v>ZZB-0003</x:v>
      </x:c>
      <x:c r="F141" s="12" t="str">
        <x:v>調入</x:v>
      </x:c>
      <x:c r="G141" s="12" t="str">
        <x:v>2.0</x:v>
      </x:c>
      <x:c r="H141" s="13" t="n">
        <x:v>6</x:v>
      </x:c>
      <x:c r="I141" s="12" t="str">
        <x:v>台北市</x:v>
      </x:c>
      <x:c r="J141" s="12" t="str">
        <x:v>500119059</x:v>
      </x:c>
      <x:c r="K141" s="12" t="str">
        <x:v>臺大共同教室北側</x:v>
      </x:c>
      <x:c r="L141" s="12" t="str">
        <x:v>ZZB* 且調出/調入且車種2.0/2.0E</x:v>
      </x:c>
    </x:row>
    <x:row r="142">
      <x:c r="A142" s="12" t="str">
        <x:v>2026-09-02</x:v>
      </x:c>
      <x:c r="B142" s="12" t="str">
        <x:v>2026-09-02 10:16:00</x:v>
      </x:c>
      <x:c r="C142" s="12" t="str">
        <x:v>10:00</x:v>
      </x:c>
      <x:c r="D142" s="12" t="str">
        <x:v>10–13</x:v>
      </x:c>
      <x:c r="E142" s="12" t="str">
        <x:v>ZZB-0003</x:v>
      </x:c>
      <x:c r="F142" s="12" t="str">
        <x:v>調出</x:v>
      </x:c>
      <x:c r="G142" s="12" t="str">
        <x:v>2.0</x:v>
      </x:c>
      <x:c r="H142" s="13" t="n">
        <x:v>7</x:v>
      </x:c>
      <x:c r="I142" s="12" t="str">
        <x:v>台北市</x:v>
      </x:c>
      <x:c r="J142" s="12" t="str">
        <x:v>500119047</x:v>
      </x:c>
      <x:c r="K142" s="12" t="str">
        <x:v>臺大土木系館</x:v>
      </x:c>
      <x:c r="L142" s="12" t="str">
        <x:v>ZZB* 且調出/調入且車種2.0/2.0E</x:v>
      </x:c>
    </x:row>
    <x:row r="143">
      <x:c r="A143" s="12" t="str">
        <x:v>2026-09-02</x:v>
      </x:c>
      <x:c r="B143" s="12" t="str">
        <x:v>2026-09-02 10:16:17</x:v>
      </x:c>
      <x:c r="C143" s="12" t="str">
        <x:v>10:00</x:v>
      </x:c>
      <x:c r="D143" s="12" t="str">
        <x:v>10–13</x:v>
      </x:c>
      <x:c r="E143" s="12" t="str">
        <x:v>ZZB-0003</x:v>
      </x:c>
      <x:c r="F143" s="12" t="str">
        <x:v>調入</x:v>
      </x:c>
      <x:c r="G143" s="12" t="str">
        <x:v>2.0</x:v>
      </x:c>
      <x:c r="H143" s="13" t="n">
        <x:v>7</x:v>
      </x:c>
      <x:c r="I143" s="12" t="str">
        <x:v>台北市</x:v>
      </x:c>
      <x:c r="J143" s="12" t="str">
        <x:v>500119061</x:v>
      </x:c>
      <x:c r="K143" s="12" t="str">
        <x:v>臺大鹿鳴堂東側</x:v>
      </x:c>
      <x:c r="L143" s="12" t="str">
        <x:v>ZZB* 且調出/調入且車種2.0/2.0E</x:v>
      </x:c>
    </x:row>
    <x:row r="144">
      <x:c r="A144" s="12" t="str">
        <x:v>2026-09-02</x:v>
      </x:c>
      <x:c r="B144" s="12" t="str">
        <x:v>2026-09-02 10:39:03</x:v>
      </x:c>
      <x:c r="C144" s="12" t="str">
        <x:v>10:00</x:v>
      </x:c>
      <x:c r="D144" s="12" t="str">
        <x:v>10–13</x:v>
      </x:c>
      <x:c r="E144" s="12" t="str">
        <x:v>ZZB-0003</x:v>
      </x:c>
      <x:c r="F144" s="12" t="str">
        <x:v>調出</x:v>
      </x:c>
      <x:c r="G144" s="12" t="str">
        <x:v>2.0</x:v>
      </x:c>
      <x:c r="H144" s="13" t="n">
        <x:v>7</x:v>
      </x:c>
      <x:c r="I144" s="12" t="str">
        <x:v>台北市</x:v>
      </x:c>
      <x:c r="J144" s="12" t="str">
        <x:v>500119087</x:v>
      </x:c>
      <x:c r="K144" s="12" t="str">
        <x:v>臺大總圖書館西南側</x:v>
      </x:c>
      <x:c r="L144" s="12" t="str">
        <x:v>ZZB* 且調出/調入且車種2.0/2.0E</x:v>
      </x:c>
    </x:row>
    <x:row r="145">
      <x:c r="A145" s="12" t="str">
        <x:v>2026-09-02</x:v>
      </x:c>
      <x:c r="B145" s="12" t="str">
        <x:v>2026-09-02 10:39:20</x:v>
      </x:c>
      <x:c r="C145" s="12" t="str">
        <x:v>10:00</x:v>
      </x:c>
      <x:c r="D145" s="12" t="str">
        <x:v>10–13</x:v>
      </x:c>
      <x:c r="E145" s="12" t="str">
        <x:v>ZZB-0003</x:v>
      </x:c>
      <x:c r="F145" s="12" t="str">
        <x:v>調入</x:v>
      </x:c>
      <x:c r="G145" s="12" t="str">
        <x:v>2.0</x:v>
      </x:c>
      <x:c r="H145" s="13" t="n">
        <x:v>7</x:v>
      </x:c>
      <x:c r="I145" s="12" t="str">
        <x:v>台北市</x:v>
      </x:c>
      <x:c r="J145" s="12" t="str">
        <x:v>500119094</x:v>
      </x:c>
      <x:c r="K145" s="12" t="str">
        <x:v>臺大大一女餐廳廣場</x:v>
      </x:c>
      <x:c r="L145" s="12" t="str">
        <x:v>ZZB* 且調出/調入且車種2.0/2.0E</x:v>
      </x:c>
    </x:row>
    <x:row r="146">
      <x:c r="A146" s="12" t="str">
        <x:v>2026-09-02</x:v>
      </x:c>
      <x:c r="B146" s="12" t="str">
        <x:v>2026-09-02 11:05:01</x:v>
      </x:c>
      <x:c r="C146" s="12" t="str">
        <x:v>11:00</x:v>
      </x:c>
      <x:c r="D146" s="12" t="str">
        <x:v>10–13</x:v>
      </x:c>
      <x:c r="E146" s="12" t="str">
        <x:v>ZZB-0003</x:v>
      </x:c>
      <x:c r="F146" s="12" t="str">
        <x:v>調出</x:v>
      </x:c>
      <x:c r="G146" s="12" t="str">
        <x:v>2.0</x:v>
      </x:c>
      <x:c r="H146" s="13" t="n">
        <x:v>7</x:v>
      </x:c>
      <x:c r="I146" s="12" t="str">
        <x:v>台北市</x:v>
      </x:c>
      <x:c r="J146" s="12" t="str">
        <x:v>500119086</x:v>
      </x:c>
      <x:c r="K146" s="12" t="str">
        <x:v>臺大圖資系館北側</x:v>
      </x:c>
      <x:c r="L146" s="12" t="str">
        <x:v>ZZB* 且調出/調入且車種2.0/2.0E</x:v>
      </x:c>
    </x:row>
    <x:row r="147">
      <x:c r="A147" s="12" t="str">
        <x:v>2026-09-02</x:v>
      </x:c>
      <x:c r="B147" s="12" t="str">
        <x:v>2026-09-02 11:05:18</x:v>
      </x:c>
      <x:c r="C147" s="12" t="str">
        <x:v>11:00</x:v>
      </x:c>
      <x:c r="D147" s="12" t="str">
        <x:v>10–13</x:v>
      </x:c>
      <x:c r="E147" s="12" t="str">
        <x:v>ZZB-0003</x:v>
      </x:c>
      <x:c r="F147" s="12" t="str">
        <x:v>調入</x:v>
      </x:c>
      <x:c r="G147" s="12" t="str">
        <x:v>2.0</x:v>
      </x:c>
      <x:c r="H147" s="13" t="n">
        <x:v>7</x:v>
      </x:c>
      <x:c r="I147" s="12" t="str">
        <x:v>台北市</x:v>
      </x:c>
      <x:c r="J147" s="12" t="str">
        <x:v>500119059</x:v>
      </x:c>
      <x:c r="K147" s="12" t="str">
        <x:v>臺大共同教室北側</x:v>
      </x:c>
      <x:c r="L147" s="12" t="str">
        <x:v>ZZB* 且調出/調入且車種2.0/2.0E</x:v>
      </x:c>
    </x:row>
    <x:row r="148">
      <x:c r="A148" s="12" t="str">
        <x:v>2026-09-02</x:v>
      </x:c>
      <x:c r="B148" s="12" t="str">
        <x:v>2026-09-02 12:29:46</x:v>
      </x:c>
      <x:c r="C148" s="12" t="str">
        <x:v>12:00</x:v>
      </x:c>
      <x:c r="D148" s="12" t="str">
        <x:v>10–13</x:v>
      </x:c>
      <x:c r="E148" s="12" t="str">
        <x:v>ZZB-0003</x:v>
      </x:c>
      <x:c r="F148" s="12" t="str">
        <x:v>調出</x:v>
      </x:c>
      <x:c r="G148" s="12" t="str">
        <x:v>2.0</x:v>
      </x:c>
      <x:c r="H148" s="13" t="n">
        <x:v>7</x:v>
      </x:c>
      <x:c r="I148" s="12" t="str">
        <x:v>台北市</x:v>
      </x:c>
      <x:c r="J148" s="12" t="str">
        <x:v>500119086</x:v>
      </x:c>
      <x:c r="K148" s="12" t="str">
        <x:v>臺大圖資系館北側</x:v>
      </x:c>
      <x:c r="L148" s="12" t="str">
        <x:v>ZZB* 且調出/調入且車種2.0/2.0E</x:v>
      </x:c>
    </x:row>
    <x:row r="149">
      <x:c r="A149" s="12" t="str">
        <x:v>2026-09-02</x:v>
      </x:c>
      <x:c r="B149" s="12" t="str">
        <x:v>2026-09-02 12:30:00</x:v>
      </x:c>
      <x:c r="C149" s="12" t="str">
        <x:v>12:00</x:v>
      </x:c>
      <x:c r="D149" s="12" t="str">
        <x:v>10–13</x:v>
      </x:c>
      <x:c r="E149" s="12" t="str">
        <x:v>ZZB-0003</x:v>
      </x:c>
      <x:c r="F149" s="12" t="str">
        <x:v>調入</x:v>
      </x:c>
      <x:c r="G149" s="12" t="str">
        <x:v>2.0</x:v>
      </x:c>
      <x:c r="H149" s="13" t="n">
        <x:v>7</x:v>
      </x:c>
      <x:c r="I149" s="12" t="str">
        <x:v>台北市</x:v>
      </x:c>
      <x:c r="J149" s="12" t="str">
        <x:v>500119060</x:v>
      </x:c>
      <x:c r="K149" s="12" t="str">
        <x:v>臺大共同教室東南側</x:v>
      </x:c>
      <x:c r="L149" s="12" t="str">
        <x:v>ZZB* 且調出/調入且車種2.0/2.0E</x:v>
      </x:c>
    </x:row>
    <x:row r="150">
      <x:c r="A150" s="12" t="str">
        <x:v>2026-09-02</x:v>
      </x:c>
      <x:c r="B150" s="12" t="str">
        <x:v>2026-09-02 12:53:01</x:v>
      </x:c>
      <x:c r="C150" s="12" t="str">
        <x:v>12:00</x:v>
      </x:c>
      <x:c r="D150" s="12" t="str">
        <x:v>10–13</x:v>
      </x:c>
      <x:c r="E150" s="12" t="str">
        <x:v>ZZB-0003</x:v>
      </x:c>
      <x:c r="F150" s="12" t="str">
        <x:v>調出</x:v>
      </x:c>
      <x:c r="G150" s="12" t="str">
        <x:v>2.0</x:v>
      </x:c>
      <x:c r="H150" s="13" t="n">
        <x:v>7</x:v>
      </x:c>
      <x:c r="I150" s="12" t="str">
        <x:v>台北市</x:v>
      </x:c>
      <x:c r="J150" s="12" t="str">
        <x:v>500119098</x:v>
      </x:c>
      <x:c r="K150" s="12" t="str">
        <x:v>臺大數學研究中心(東側)</x:v>
      </x:c>
      <x:c r="L150" s="12" t="str">
        <x:v>ZZB* 且調出/調入且車種2.0/2.0E</x:v>
      </x:c>
    </x:row>
    <x:row r="151">
      <x:c r="A151" s="12" t="str">
        <x:v>2026-09-02</x:v>
      </x:c>
      <x:c r="B151" s="12" t="str">
        <x:v>2026-09-02 12:53:20</x:v>
      </x:c>
      <x:c r="C151" s="12" t="str">
        <x:v>12:00</x:v>
      </x:c>
      <x:c r="D151" s="12" t="str">
        <x:v>10–13</x:v>
      </x:c>
      <x:c r="E151" s="12" t="str">
        <x:v>ZZB-0003</x:v>
      </x:c>
      <x:c r="F151" s="12" t="str">
        <x:v>調入</x:v>
      </x:c>
      <x:c r="G151" s="12" t="str">
        <x:v>2.0</x:v>
      </x:c>
      <x:c r="H151" s="13" t="n">
        <x:v>7</x:v>
      </x:c>
      <x:c r="I151" s="12" t="str">
        <x:v>台北市</x:v>
      </x:c>
      <x:c r="J151" s="12" t="str">
        <x:v>500119061</x:v>
      </x:c>
      <x:c r="K151" s="12" t="str">
        <x:v>臺大鹿鳴堂東側</x:v>
      </x:c>
      <x:c r="L151" s="12" t="str">
        <x:v>ZZB* 且調出/調入且車種2.0/2.0E</x:v>
      </x:c>
    </x:row>
    <x:row r="152">
      <x:c r="A152" s="12" t="str">
        <x:v>2026-09-02</x:v>
      </x:c>
      <x:c r="B152" s="12" t="str">
        <x:v>2026-09-02 13:17:57</x:v>
      </x:c>
      <x:c r="C152" s="12" t="str">
        <x:v>13:00</x:v>
      </x:c>
      <x:c r="D152" s="12" t="str">
        <x:v>10–13</x:v>
      </x:c>
      <x:c r="E152" s="12" t="str">
        <x:v>ZZB-0003</x:v>
      </x:c>
      <x:c r="F152" s="12" t="str">
        <x:v>調出</x:v>
      </x:c>
      <x:c r="G152" s="12" t="str">
        <x:v>2.0</x:v>
      </x:c>
      <x:c r="H152" s="13" t="n">
        <x:v>6</x:v>
      </x:c>
      <x:c r="I152" s="12" t="str">
        <x:v>台北市</x:v>
      </x:c>
      <x:c r="J152" s="12" t="str">
        <x:v>500119098</x:v>
      </x:c>
      <x:c r="K152" s="12" t="str">
        <x:v>臺大數學研究中心(東側)</x:v>
      </x:c>
      <x:c r="L152" s="12" t="str">
        <x:v>ZZB* 且調出/調入且車種2.0/2.0E</x:v>
      </x:c>
    </x:row>
    <x:row r="153">
      <x:c r="A153" s="12" t="str">
        <x:v>2026-09-02</x:v>
      </x:c>
      <x:c r="B153" s="12" t="str">
        <x:v>2026-09-02 13:18:10</x:v>
      </x:c>
      <x:c r="C153" s="12" t="str">
        <x:v>13:00</x:v>
      </x:c>
      <x:c r="D153" s="12" t="str">
        <x:v>10–13</x:v>
      </x:c>
      <x:c r="E153" s="12" t="str">
        <x:v>ZZB-0003</x:v>
      </x:c>
      <x:c r="F153" s="12" t="str">
        <x:v>調入</x:v>
      </x:c>
      <x:c r="G153" s="12" t="str">
        <x:v>2.0</x:v>
      </x:c>
      <x:c r="H153" s="13" t="n">
        <x:v>6</x:v>
      </x:c>
      <x:c r="I153" s="12" t="str">
        <x:v>台北市</x:v>
      </x:c>
      <x:c r="J153" s="12" t="str">
        <x:v>500119074</x:v>
      </x:c>
      <x:c r="K153" s="12" t="str">
        <x:v>臺大生命科學館西北側</x:v>
      </x:c>
      <x:c r="L153" s="12" t="str">
        <x:v>ZZB* 且調出/調入且車種2.0/2.0E</x:v>
      </x:c>
    </x:row>
    <x:row r="154">
      <x:c r="A154" s="12" t="str">
        <x:v>2026-09-02</x:v>
      </x:c>
      <x:c r="B154" s="12" t="str">
        <x:v>2026-09-02 13:41:02</x:v>
      </x:c>
      <x:c r="C154" s="12" t="str">
        <x:v>13:00</x:v>
      </x:c>
      <x:c r="D154" s="12" t="str">
        <x:v>10–13</x:v>
      </x:c>
      <x:c r="E154" s="12" t="str">
        <x:v>ZZB-0003</x:v>
      </x:c>
      <x:c r="F154" s="12" t="str">
        <x:v>調出</x:v>
      </x:c>
      <x:c r="G154" s="12" t="str">
        <x:v>2.0</x:v>
      </x:c>
      <x:c r="H154" s="13" t="n">
        <x:v>6</x:v>
      </x:c>
      <x:c r="I154" s="12" t="str">
        <x:v>台北市</x:v>
      </x:c>
      <x:c r="J154" s="12" t="str">
        <x:v>500119087</x:v>
      </x:c>
      <x:c r="K154" s="12" t="str">
        <x:v>臺大總圖書館西南側</x:v>
      </x:c>
      <x:c r="L154" s="12" t="str">
        <x:v>ZZB* 且調出/調入且車種2.0/2.0E</x:v>
      </x:c>
    </x:row>
    <x:row r="155">
      <x:c r="A155" s="12" t="str">
        <x:v>2026-09-02</x:v>
      </x:c>
      <x:c r="B155" s="12" t="str">
        <x:v>2026-09-02 13:41:21</x:v>
      </x:c>
      <x:c r="C155" s="12" t="str">
        <x:v>13:00</x:v>
      </x:c>
      <x:c r="D155" s="12" t="str">
        <x:v>10–13</x:v>
      </x:c>
      <x:c r="E155" s="12" t="str">
        <x:v>ZZB-0003</x:v>
      </x:c>
      <x:c r="F155" s="12" t="str">
        <x:v>調入</x:v>
      </x:c>
      <x:c r="G155" s="12" t="str">
        <x:v>2.0</x:v>
      </x:c>
      <x:c r="H155" s="13" t="n">
        <x:v>6</x:v>
      </x:c>
      <x:c r="I155" s="12" t="str">
        <x:v>台北市</x:v>
      </x:c>
      <x:c r="J155" s="12" t="str">
        <x:v>500119061</x:v>
      </x:c>
      <x:c r="K155" s="12" t="str">
        <x:v>臺大鹿鳴堂東側</x:v>
      </x:c>
      <x:c r="L155" s="12" t="str">
        <x:v>ZZB* 且調出/調入且車種2.0/2.0E</x:v>
      </x:c>
    </x:row>
    <x:row r="156">
      <x:c r="A156" s="12" t="str">
        <x:v>2026-09-02</x:v>
      </x:c>
      <x:c r="B156" s="12" t="str">
        <x:v>2026-09-02 14:01:36</x:v>
      </x:c>
      <x:c r="C156" s="12" t="str">
        <x:v>14:00</x:v>
      </x:c>
      <x:c r="D156" s="12" t="str">
        <x:v>14–17</x:v>
      </x:c>
      <x:c r="E156" s="12" t="str">
        <x:v>ZZB-0003</x:v>
      </x:c>
      <x:c r="F156" s="12" t="str">
        <x:v>調出</x:v>
      </x:c>
      <x:c r="G156" s="12" t="str">
        <x:v>2.0</x:v>
      </x:c>
      <x:c r="H156" s="13" t="n">
        <x:v>7</x:v>
      </x:c>
      <x:c r="I156" s="12" t="str">
        <x:v>台北市</x:v>
      </x:c>
      <x:c r="J156" s="12" t="str">
        <x:v>500119086</x:v>
      </x:c>
      <x:c r="K156" s="12" t="str">
        <x:v>臺大圖資系館北側</x:v>
      </x:c>
      <x:c r="L156" s="12" t="str">
        <x:v>ZZB* 且調出/調入且車種2.0/2.0E</x:v>
      </x:c>
    </x:row>
    <x:row r="157">
      <x:c r="A157" s="12" t="str">
        <x:v>2026-09-02</x:v>
      </x:c>
      <x:c r="B157" s="12" t="str">
        <x:v>2026-09-02 14:01:51</x:v>
      </x:c>
      <x:c r="C157" s="12" t="str">
        <x:v>14:00</x:v>
      </x:c>
      <x:c r="D157" s="12" t="str">
        <x:v>14–17</x:v>
      </x:c>
      <x:c r="E157" s="12" t="str">
        <x:v>ZZB-0003</x:v>
      </x:c>
      <x:c r="F157" s="12" t="str">
        <x:v>調入</x:v>
      </x:c>
      <x:c r="G157" s="12" t="str">
        <x:v>2.0</x:v>
      </x:c>
      <x:c r="H157" s="13" t="n">
        <x:v>7</x:v>
      </x:c>
      <x:c r="I157" s="12" t="str">
        <x:v>台北市</x:v>
      </x:c>
      <x:c r="J157" s="12" t="str">
        <x:v>500119059</x:v>
      </x:c>
      <x:c r="K157" s="12" t="str">
        <x:v>臺大共同教室北側</x:v>
      </x:c>
      <x:c r="L157" s="12" t="str">
        <x:v>ZZB* 且調出/調入且車種2.0/2.0E</x:v>
      </x:c>
    </x:row>
    <x:row r="158">
      <x:c r="A158" s="12" t="str">
        <x:v>2026-09-02</x:v>
      </x:c>
      <x:c r="B158" s="12" t="str">
        <x:v>2026-09-02 14:20:25</x:v>
      </x:c>
      <x:c r="C158" s="12" t="str">
        <x:v>14:00</x:v>
      </x:c>
      <x:c r="D158" s="12" t="str">
        <x:v>14–17</x:v>
      </x:c>
      <x:c r="E158" s="12" t="str">
        <x:v>ZZB-0003</x:v>
      </x:c>
      <x:c r="F158" s="12" t="str">
        <x:v>調出</x:v>
      </x:c>
      <x:c r="G158" s="12" t="str">
        <x:v>2.0</x:v>
      </x:c>
      <x:c r="H158" s="13" t="n">
        <x:v>7</x:v>
      </x:c>
      <x:c r="I158" s="12" t="str">
        <x:v>台北市</x:v>
      </x:c>
      <x:c r="J158" s="12" t="str">
        <x:v>500119078</x:v>
      </x:c>
      <x:c r="K158" s="12" t="str">
        <x:v>臺大森林館北側</x:v>
      </x:c>
      <x:c r="L158" s="12" t="str">
        <x:v>ZZB* 且調出/調入且車種2.0/2.0E</x:v>
      </x:c>
    </x:row>
    <x:row r="159">
      <x:c r="A159" s="12" t="str">
        <x:v>2026-09-02</x:v>
      </x:c>
      <x:c r="B159" s="12" t="str">
        <x:v>2026-09-02 14:20:42</x:v>
      </x:c>
      <x:c r="C159" s="12" t="str">
        <x:v>14:00</x:v>
      </x:c>
      <x:c r="D159" s="12" t="str">
        <x:v>14–17</x:v>
      </x:c>
      <x:c r="E159" s="12" t="str">
        <x:v>ZZB-0003</x:v>
      </x:c>
      <x:c r="F159" s="12" t="str">
        <x:v>調入</x:v>
      </x:c>
      <x:c r="G159" s="12" t="str">
        <x:v>2.0</x:v>
      </x:c>
      <x:c r="H159" s="13" t="n">
        <x:v>7</x:v>
      </x:c>
      <x:c r="I159" s="12" t="str">
        <x:v>台北市</x:v>
      </x:c>
      <x:c r="J159" s="12" t="str">
        <x:v>500119091</x:v>
      </x:c>
      <x:c r="K159" s="12" t="str">
        <x:v>臺大明達館北側(員工宿舍)</x:v>
      </x:c>
      <x:c r="L159" s="12" t="str">
        <x:v>ZZB* 且調出/調入且車種2.0/2.0E</x:v>
      </x:c>
    </x:row>
    <x:row r="160">
      <x:c r="A160" s="12" t="str">
        <x:v>2026-09-02</x:v>
      </x:c>
      <x:c r="B160" s="12" t="str">
        <x:v>2026-09-02 17:22:14</x:v>
      </x:c>
      <x:c r="C160" s="12" t="str">
        <x:v>17:00</x:v>
      </x:c>
      <x:c r="D160" s="12" t="str">
        <x:v>14–17</x:v>
      </x:c>
      <x:c r="E160" s="12" t="str">
        <x:v>ZZB-0003</x:v>
      </x:c>
      <x:c r="F160" s="12" t="str">
        <x:v>調出</x:v>
      </x:c>
      <x:c r="G160" s="12" t="str">
        <x:v>2.0</x:v>
      </x:c>
      <x:c r="H160" s="13" t="n">
        <x:v>8</x:v>
      </x:c>
      <x:c r="I160" s="12" t="str">
        <x:v>台北市</x:v>
      </x:c>
      <x:c r="J160" s="12" t="str">
        <x:v>500101276</x:v>
      </x:c>
      <x:c r="K160" s="12" t="str">
        <x:v>羅斯福新生南路口</x:v>
      </x:c>
      <x:c r="L160" s="12" t="str">
        <x:v>ZZB* 且調出/調入且車種2.0/2.0E</x:v>
      </x:c>
    </x:row>
    <x:row r="161">
      <x:c r="A161" s="12" t="str">
        <x:v>2026-09-02</x:v>
      </x:c>
      <x:c r="B161" s="12" t="str">
        <x:v>2026-09-02 17:22:32</x:v>
      </x:c>
      <x:c r="C161" s="12" t="str">
        <x:v>17:00</x:v>
      </x:c>
      <x:c r="D161" s="12" t="str">
        <x:v>14–17</x:v>
      </x:c>
      <x:c r="E161" s="12" t="str">
        <x:v>ZZB-0003</x:v>
      </x:c>
      <x:c r="F161" s="12" t="str">
        <x:v>調入</x:v>
      </x:c>
      <x:c r="G161" s="12" t="str">
        <x:v>2.0</x:v>
      </x:c>
      <x:c r="H161" s="13" t="n">
        <x:v>8</x:v>
      </x:c>
      <x:c r="I161" s="12" t="str">
        <x:v>台北市</x:v>
      </x:c>
      <x:c r="J161" s="12" t="str">
        <x:v>500119055</x:v>
      </x:c>
      <x:c r="K161" s="12" t="str">
        <x:v>臺大樂學館東側</x:v>
      </x:c>
      <x:c r="L161" s="12" t="str">
        <x:v>ZZB* 且調出/調入且車種2.0/2.0E</x:v>
      </x:c>
    </x:row>
    <x:row r="162">
      <x:c r="A162" s="12" t="str">
        <x:v>2026-09-02</x:v>
      </x:c>
      <x:c r="B162" s="12" t="str">
        <x:v>2026-09-02 17:22:53</x:v>
      </x:c>
      <x:c r="C162" s="12" t="str">
        <x:v>17:00</x:v>
      </x:c>
      <x:c r="D162" s="12" t="str">
        <x:v>14–17</x:v>
      </x:c>
      <x:c r="E162" s="12" t="str">
        <x:v>ZZB-0003</x:v>
      </x:c>
      <x:c r="F162" s="12" t="str">
        <x:v>調出</x:v>
      </x:c>
      <x:c r="G162" s="12" t="str">
        <x:v>2.0</x:v>
      </x:c>
      <x:c r="H162" s="13" t="n">
        <x:v>8</x:v>
      </x:c>
      <x:c r="I162" s="12" t="str">
        <x:v>台北市</x:v>
      </x:c>
      <x:c r="J162" s="12" t="str">
        <x:v>500119045</x:v>
      </x:c>
      <x:c r="K162" s="12" t="str">
        <x:v>臺大農業陳列館北側</x:v>
      </x:c>
      <x:c r="L162" s="12" t="str">
        <x:v>ZZB* 且調出/調入且車種2.0/2.0E</x:v>
      </x:c>
    </x:row>
    <x:row r="163">
      <x:c r="A163" s="12" t="str">
        <x:v>2026-09-02</x:v>
      </x:c>
      <x:c r="B163" s="12" t="str">
        <x:v>2026-09-02 17:29:36</x:v>
      </x:c>
      <x:c r="C163" s="12" t="str">
        <x:v>17:00</x:v>
      </x:c>
      <x:c r="D163" s="12" t="str">
        <x:v>14–17</x:v>
      </x:c>
      <x:c r="E163" s="12" t="str">
        <x:v>ZZB-0003</x:v>
      </x:c>
      <x:c r="F163" s="12" t="str">
        <x:v>調入</x:v>
      </x:c>
      <x:c r="G163" s="12" t="str">
        <x:v>2.0</x:v>
      </x:c>
      <x:c r="H163" s="13" t="n">
        <x:v>8</x:v>
      </x:c>
      <x:c r="I163" s="12" t="str">
        <x:v>台北市</x:v>
      </x:c>
      <x:c r="J163" s="12" t="str">
        <x:v>500119055</x:v>
      </x:c>
      <x:c r="K163" s="12" t="str">
        <x:v>臺大樂學館東側</x:v>
      </x:c>
      <x:c r="L163" s="12" t="str">
        <x:v>ZZB* 且調出/調入且車種2.0/2.0E</x:v>
      </x:c>
    </x:row>
    <x:row r="164">
      <x:c r="A164" s="12" t="str">
        <x:v>2026-09-02</x:v>
      </x:c>
      <x:c r="B164" s="12" t="str">
        <x:v>2026-09-02 17:55:41</x:v>
      </x:c>
      <x:c r="C164" s="12" t="str">
        <x:v>17:00</x:v>
      </x:c>
      <x:c r="D164" s="12" t="str">
        <x:v>14–17</x:v>
      </x:c>
      <x:c r="E164" s="12" t="str">
        <x:v>ZZB-0003</x:v>
      </x:c>
      <x:c r="F164" s="12" t="str">
        <x:v>調出</x:v>
      </x:c>
      <x:c r="G164" s="12" t="str">
        <x:v>2.0</x:v>
      </x:c>
      <x:c r="H164" s="13" t="n">
        <x:v>8</x:v>
      </x:c>
      <x:c r="I164" s="12" t="str">
        <x:v>台北市</x:v>
      </x:c>
      <x:c r="J164" s="12" t="str">
        <x:v>500101276</x:v>
      </x:c>
      <x:c r="K164" s="12" t="str">
        <x:v>羅斯福新生南路口</x:v>
      </x:c>
      <x:c r="L164" s="12" t="str">
        <x:v>ZZB* 且調出/調入且車種2.0/2.0E</x:v>
      </x:c>
    </x:row>
    <x:row r="165">
      <x:c r="A165" s="12" t="str">
        <x:v>2026-09-02</x:v>
      </x:c>
      <x:c r="B165" s="12" t="str">
        <x:v>2026-09-02 17:56:00</x:v>
      </x:c>
      <x:c r="C165" s="12" t="str">
        <x:v>17:00</x:v>
      </x:c>
      <x:c r="D165" s="12" t="str">
        <x:v>14–17</x:v>
      </x:c>
      <x:c r="E165" s="12" t="str">
        <x:v>ZZB-0003</x:v>
      </x:c>
      <x:c r="F165" s="12" t="str">
        <x:v>調入</x:v>
      </x:c>
      <x:c r="G165" s="12" t="str">
        <x:v>2.0</x:v>
      </x:c>
      <x:c r="H165" s="13" t="n">
        <x:v>8</x:v>
      </x:c>
      <x:c r="I165" s="12" t="str">
        <x:v>台北市</x:v>
      </x:c>
      <x:c r="J165" s="12" t="str">
        <x:v>500119079</x:v>
      </x:c>
      <x:c r="K165" s="12" t="str">
        <x:v>臺大一號館</x:v>
      </x:c>
      <x:c r="L165" s="12" t="str">
        <x:v>ZZB* 且調出/調入且車種2.0/2.0E</x:v>
      </x:c>
    </x:row>
    <x:row r="166">
      <x:c r="A166" s="12" t="str">
        <x:v>2026-09-02</x:v>
      </x:c>
      <x:c r="B166" s="12" t="str">
        <x:v>2026-09-02 18:13:38</x:v>
      </x:c>
      <x:c r="C166" s="12" t="str">
        <x:v>18:00</x:v>
      </x:c>
      <x:c r="D166" s="12" t="str">
        <x:v>18–21</x:v>
      </x:c>
      <x:c r="E166" s="12" t="str">
        <x:v>ZZB-0003</x:v>
      </x:c>
      <x:c r="F166" s="12" t="str">
        <x:v>調出</x:v>
      </x:c>
      <x:c r="G166" s="12" t="str">
        <x:v>2.0</x:v>
      </x:c>
      <x:c r="H166" s="13" t="n">
        <x:v>6</x:v>
      </x:c>
      <x:c r="I166" s="12" t="str">
        <x:v>台北市</x:v>
      </x:c>
      <x:c r="J166" s="12" t="str">
        <x:v>500101276</x:v>
      </x:c>
      <x:c r="K166" s="12" t="str">
        <x:v>羅斯福新生南路口</x:v>
      </x:c>
      <x:c r="L166" s="12" t="str">
        <x:v>ZZB* 且調出/調入且車種2.0/2.0E</x:v>
      </x:c>
    </x:row>
    <x:row r="167">
      <x:c r="A167" s="12" t="str">
        <x:v>2026-09-02</x:v>
      </x:c>
      <x:c r="B167" s="12" t="str">
        <x:v>2026-09-02 18:13:58</x:v>
      </x:c>
      <x:c r="C167" s="12" t="str">
        <x:v>18:00</x:v>
      </x:c>
      <x:c r="D167" s="12" t="str">
        <x:v>18–21</x:v>
      </x:c>
      <x:c r="E167" s="12" t="str">
        <x:v>ZZB-0003</x:v>
      </x:c>
      <x:c r="F167" s="12" t="str">
        <x:v>調入</x:v>
      </x:c>
      <x:c r="G167" s="12" t="str">
        <x:v>2.0</x:v>
      </x:c>
      <x:c r="H167" s="13" t="n">
        <x:v>6</x:v>
      </x:c>
      <x:c r="I167" s="12" t="str">
        <x:v>台北市</x:v>
      </x:c>
      <x:c r="J167" s="12" t="str">
        <x:v>500119065</x:v>
      </x:c>
      <x:c r="K167" s="12" t="str">
        <x:v>臺大二號館</x:v>
      </x:c>
      <x:c r="L167" s="12" t="str">
        <x:v>ZZB* 且調出/調入且車種2.0/2.0E</x:v>
      </x:c>
    </x:row>
    <x:row r="168">
      <x:c r="A168" s="12" t="str">
        <x:v>2026-09-02</x:v>
      </x:c>
      <x:c r="B168" s="12" t="str">
        <x:v>2026-09-02 18:29:00</x:v>
      </x:c>
      <x:c r="C168" s="12" t="str">
        <x:v>18:00</x:v>
      </x:c>
      <x:c r="D168" s="12" t="str">
        <x:v>18–21</x:v>
      </x:c>
      <x:c r="E168" s="12" t="str">
        <x:v>ZZB-0003</x:v>
      </x:c>
      <x:c r="F168" s="12" t="str">
        <x:v>調出</x:v>
      </x:c>
      <x:c r="G168" s="12" t="str">
        <x:v>2.0</x:v>
      </x:c>
      <x:c r="H168" s="13" t="n">
        <x:v>6</x:v>
      </x:c>
      <x:c r="I168" s="12" t="str">
        <x:v>台北市</x:v>
      </x:c>
      <x:c r="J168" s="12" t="str">
        <x:v>500101276</x:v>
      </x:c>
      <x:c r="K168" s="12" t="str">
        <x:v>羅斯福新生南路口</x:v>
      </x:c>
      <x:c r="L168" s="12" t="str">
        <x:v>ZZB* 且調出/調入且車種2.0/2.0E</x:v>
      </x:c>
    </x:row>
    <x:row r="169">
      <x:c r="A169" s="12" t="str">
        <x:v>2026-09-02</x:v>
      </x:c>
      <x:c r="B169" s="12" t="str">
        <x:v>2026-09-02 18:29:26</x:v>
      </x:c>
      <x:c r="C169" s="12" t="str">
        <x:v>18:00</x:v>
      </x:c>
      <x:c r="D169" s="12" t="str">
        <x:v>18–21</x:v>
      </x:c>
      <x:c r="E169" s="12" t="str">
        <x:v>ZZB-0003</x:v>
      </x:c>
      <x:c r="F169" s="12" t="str">
        <x:v>調入</x:v>
      </x:c>
      <x:c r="G169" s="12" t="str">
        <x:v>2.0</x:v>
      </x:c>
      <x:c r="H169" s="13" t="n">
        <x:v>6</x:v>
      </x:c>
      <x:c r="I169" s="12" t="str">
        <x:v>台北市</x:v>
      </x:c>
      <x:c r="J169" s="12" t="str">
        <x:v>500119079</x:v>
      </x:c>
      <x:c r="K169" s="12" t="str">
        <x:v>臺大一號館</x:v>
      </x:c>
      <x:c r="L169" s="12" t="str">
        <x:v>ZZB* 且調出/調入且車種2.0/2.0E</x:v>
      </x:c>
    </x:row>
    <x:row r="170">
      <x:c r="A170" s="12" t="str">
        <x:v>2026-09-02</x:v>
      </x:c>
      <x:c r="B170" s="12" t="str">
        <x:v>2026-09-02 18:37:58</x:v>
      </x:c>
      <x:c r="C170" s="12" t="str">
        <x:v>18:00</x:v>
      </x:c>
      <x:c r="D170" s="12" t="str">
        <x:v>18–21</x:v>
      </x:c>
      <x:c r="E170" s="12" t="str">
        <x:v>ZZB-0003</x:v>
      </x:c>
      <x:c r="F170" s="12" t="str">
        <x:v>調出</x:v>
      </x:c>
      <x:c r="G170" s="12" t="str">
        <x:v>2.0</x:v>
      </x:c>
      <x:c r="H170" s="13" t="n">
        <x:v>6</x:v>
      </x:c>
      <x:c r="I170" s="12" t="str">
        <x:v>台北市</x:v>
      </x:c>
      <x:c r="J170" s="12" t="str">
        <x:v>500119045</x:v>
      </x:c>
      <x:c r="K170" s="12" t="str">
        <x:v>臺大農業陳列館北側</x:v>
      </x:c>
      <x:c r="L170" s="12" t="str">
        <x:v>ZZB* 且調出/調入且車種2.0/2.0E</x:v>
      </x:c>
    </x:row>
    <x:row r="171">
      <x:c r="A171" s="12" t="str">
        <x:v>2026-09-02</x:v>
      </x:c>
      <x:c r="B171" s="12" t="str">
        <x:v>2026-09-02 18:45:21</x:v>
      </x:c>
      <x:c r="C171" s="12" t="str">
        <x:v>18:00</x:v>
      </x:c>
      <x:c r="D171" s="12" t="str">
        <x:v>18–21</x:v>
      </x:c>
      <x:c r="E171" s="12" t="str">
        <x:v>ZZB-0003</x:v>
      </x:c>
      <x:c r="F171" s="12" t="str">
        <x:v>調入</x:v>
      </x:c>
      <x:c r="G171" s="12" t="str">
        <x:v>2.0</x:v>
      </x:c>
      <x:c r="H171" s="13" t="n">
        <x:v>6</x:v>
      </x:c>
      <x:c r="I171" s="12" t="str">
        <x:v>台北市</x:v>
      </x:c>
      <x:c r="J171" s="12" t="str">
        <x:v>500119050</x:v>
      </x:c>
      <x:c r="K171" s="12" t="str">
        <x:v>臺大小福樓東側</x:v>
      </x:c>
      <x:c r="L171" s="12" t="str">
        <x:v>ZZB* 且調出/調入且車種2.0/2.0E</x:v>
      </x:c>
    </x:row>
    <x:row r="172">
      <x:c r="A172" s="12" t="str">
        <x:v>2026-09-02</x:v>
      </x:c>
      <x:c r="B172" s="12" t="str">
        <x:v>2026-09-02 19:24:42</x:v>
      </x:c>
      <x:c r="C172" s="12" t="str">
        <x:v>19:00</x:v>
      </x:c>
      <x:c r="D172" s="12" t="str">
        <x:v>18–21</x:v>
      </x:c>
      <x:c r="E172" s="12" t="str">
        <x:v>ZZB-0003</x:v>
      </x:c>
      <x:c r="F172" s="12" t="str">
        <x:v>調出</x:v>
      </x:c>
      <x:c r="G172" s="12" t="str">
        <x:v>2.0</x:v>
      </x:c>
      <x:c r="H172" s="13" t="n">
        <x:v>6</x:v>
      </x:c>
      <x:c r="I172" s="12" t="str">
        <x:v>台北市</x:v>
      </x:c>
      <x:c r="J172" s="12" t="str">
        <x:v>500101276</x:v>
      </x:c>
      <x:c r="K172" s="12" t="str">
        <x:v>羅斯福新生南路口</x:v>
      </x:c>
      <x:c r="L172" s="12" t="str">
        <x:v>ZZB* 且調出/調入且車種2.0/2.0E</x:v>
      </x:c>
    </x:row>
    <x:row r="173">
      <x:c r="A173" s="12" t="str">
        <x:v>2026-09-02</x:v>
      </x:c>
      <x:c r="B173" s="12" t="str">
        <x:v>2026-09-02 19:31:49</x:v>
      </x:c>
      <x:c r="C173" s="12" t="str">
        <x:v>19:00</x:v>
      </x:c>
      <x:c r="D173" s="12" t="str">
        <x:v>18–21</x:v>
      </x:c>
      <x:c r="E173" s="12" t="str">
        <x:v>ZZB-0003</x:v>
      </x:c>
      <x:c r="F173" s="12" t="str">
        <x:v>調入</x:v>
      </x:c>
      <x:c r="G173" s="12" t="str">
        <x:v>2.0</x:v>
      </x:c>
      <x:c r="H173" s="13" t="n">
        <x:v>6</x:v>
      </x:c>
      <x:c r="I173" s="12" t="str">
        <x:v>台北市</x:v>
      </x:c>
      <x:c r="J173" s="12" t="str">
        <x:v>500119082</x:v>
      </x:c>
      <x:c r="K173" s="12" t="str">
        <x:v>臺大四號館東北側</x:v>
      </x:c>
      <x:c r="L173" s="12" t="str">
        <x:v>ZZB* 且調出/調入且車種2.0/2.0E</x:v>
      </x:c>
    </x:row>
    <x:row r="174">
      <x:c r="A174" s="12" t="str">
        <x:v>2026-09-02</x:v>
      </x:c>
      <x:c r="B174" s="12" t="str">
        <x:v>2026-09-02 19:51:38</x:v>
      </x:c>
      <x:c r="C174" s="12" t="str">
        <x:v>19:00</x:v>
      </x:c>
      <x:c r="D174" s="12" t="str">
        <x:v>18–21</x:v>
      </x:c>
      <x:c r="E174" s="12" t="str">
        <x:v>ZZB-0003</x:v>
      </x:c>
      <x:c r="F174" s="12" t="str">
        <x:v>調出</x:v>
      </x:c>
      <x:c r="G174" s="12" t="str">
        <x:v>2.0</x:v>
      </x:c>
      <x:c r="H174" s="13" t="n">
        <x:v>5</x:v>
      </x:c>
      <x:c r="I174" s="12" t="str">
        <x:v>台北市</x:v>
      </x:c>
      <x:c r="J174" s="12" t="str">
        <x:v>500101276</x:v>
      </x:c>
      <x:c r="K174" s="12" t="str">
        <x:v>羅斯福新生南路口</x:v>
      </x:c>
      <x:c r="L174" s="12" t="str">
        <x:v>ZZB* 且調出/調入且車種2.0/2.0E</x:v>
      </x:c>
    </x:row>
    <x:row r="175">
      <x:c r="A175" s="12" t="str">
        <x:v>2026-09-02</x:v>
      </x:c>
      <x:c r="B175" s="12" t="str">
        <x:v>2026-09-02 19:51:56</x:v>
      </x:c>
      <x:c r="C175" s="12" t="str">
        <x:v>19:00</x:v>
      </x:c>
      <x:c r="D175" s="12" t="str">
        <x:v>18–21</x:v>
      </x:c>
      <x:c r="E175" s="12" t="str">
        <x:v>ZZB-0003</x:v>
      </x:c>
      <x:c r="F175" s="12" t="str">
        <x:v>調入</x:v>
      </x:c>
      <x:c r="G175" s="12" t="str">
        <x:v>2.0</x:v>
      </x:c>
      <x:c r="H175" s="13" t="n">
        <x:v>5</x:v>
      </x:c>
      <x:c r="I175" s="12" t="str">
        <x:v>台北市</x:v>
      </x:c>
      <x:c r="J175" s="12" t="str">
        <x:v>500119055</x:v>
      </x:c>
      <x:c r="K175" s="12" t="str">
        <x:v>臺大樂學館東側</x:v>
      </x:c>
      <x:c r="L175" s="12" t="str">
        <x:v>ZZB* 且調出/調入且車種2.0/2.0E</x:v>
      </x:c>
    </x:row>
    <x:row r="176">
      <x:c r="A176" s="12" t="str">
        <x:v>2026-09-02</x:v>
      </x:c>
      <x:c r="B176" s="12" t="str">
        <x:v>2026-09-02 20:17:20</x:v>
      </x:c>
      <x:c r="C176" s="12" t="str">
        <x:v>20:00</x:v>
      </x:c>
      <x:c r="D176" s="12" t="str">
        <x:v>18–21</x:v>
      </x:c>
      <x:c r="E176" s="12" t="str">
        <x:v>ZZB-0003</x:v>
      </x:c>
      <x:c r="F176" s="12" t="str">
        <x:v>調出</x:v>
      </x:c>
      <x:c r="G176" s="12" t="str">
        <x:v>2.0</x:v>
      </x:c>
      <x:c r="H176" s="13" t="n">
        <x:v>7</x:v>
      </x:c>
      <x:c r="I176" s="12" t="str">
        <x:v>台北市</x:v>
      </x:c>
      <x:c r="J176" s="12" t="str">
        <x:v>500119070</x:v>
      </x:c>
      <x:c r="K176" s="12" t="str">
        <x:v>臺大椰林小舖</x:v>
      </x:c>
      <x:c r="L176" s="12" t="str">
        <x:v>ZZB* 且調出/調入且車種2.0/2.0E</x:v>
      </x:c>
    </x:row>
    <x:row r="177">
      <x:c r="A177" s="12" t="str">
        <x:v>2026-09-02</x:v>
      </x:c>
      <x:c r="B177" s="12" t="str">
        <x:v>2026-09-02 20:18:36</x:v>
      </x:c>
      <x:c r="C177" s="12" t="str">
        <x:v>20:00</x:v>
      </x:c>
      <x:c r="D177" s="12" t="str">
        <x:v>18–21</x:v>
      </x:c>
      <x:c r="E177" s="12" t="str">
        <x:v>ZZB-0003</x:v>
      </x:c>
      <x:c r="F177" s="12" t="str">
        <x:v>調入</x:v>
      </x:c>
      <x:c r="G177" s="12" t="str">
        <x:v>2.0</x:v>
      </x:c>
      <x:c r="H177" s="13" t="n">
        <x:v>7</x:v>
      </x:c>
      <x:c r="I177" s="12" t="str">
        <x:v>台北市</x:v>
      </x:c>
      <x:c r="J177" s="12" t="str">
        <x:v>500119089</x:v>
      </x:c>
      <x:c r="K177" s="12" t="str">
        <x:v>臺大獸醫館南側</x:v>
      </x:c>
      <x:c r="L177" s="12" t="str">
        <x:v>ZZB* 且調出/調入且車種2.0/2.0E</x:v>
      </x:c>
    </x:row>
    <x:row r="178">
      <x:c r="A178" s="12" t="str">
        <x:v>2026-09-02</x:v>
      </x:c>
      <x:c r="B178" s="12" t="str">
        <x:v>2026-09-02 08:38:23</x:v>
      </x:c>
      <x:c r="C178" s="12" t="str">
        <x:v>08:00</x:v>
      </x:c>
      <x:c r="D178" s="12" t="str">
        <x:v>06–09</x:v>
      </x:c>
      <x:c r="E178" s="12" t="str">
        <x:v>ZZB-0003</x:v>
      </x:c>
      <x:c r="F178" s="12" t="str">
        <x:v>調出</x:v>
      </x:c>
      <x:c r="G178" s="12" t="str">
        <x:v>2.0E</x:v>
      </x:c>
      <x:c r="H178" s="13" t="n">
        <x:v>1</x:v>
      </x:c>
      <x:c r="I178" s="12" t="str">
        <x:v>台北市</x:v>
      </x:c>
      <x:c r="J178" s="12" t="str">
        <x:v>500119072</x:v>
      </x:c>
      <x:c r="K178" s="12" t="str">
        <x:v>臺大原分所北側</x:v>
      </x:c>
      <x:c r="L178" s="12" t="str">
        <x:v>ZZB* 且調出/調入且車種2.0/2.0E</x:v>
      </x:c>
    </x:row>
    <x:row r="179">
      <x:c r="A179" s="12" t="str">
        <x:v>2026-09-02</x:v>
      </x:c>
      <x:c r="B179" s="12" t="str">
        <x:v>2026-09-02 08:38:39</x:v>
      </x:c>
      <x:c r="C179" s="12" t="str">
        <x:v>08:00</x:v>
      </x:c>
      <x:c r="D179" s="12" t="str">
        <x:v>06–09</x:v>
      </x:c>
      <x:c r="E179" s="12" t="str">
        <x:v>ZZB-0003</x:v>
      </x:c>
      <x:c r="F179" s="12" t="str">
        <x:v>調入</x:v>
      </x:c>
      <x:c r="G179" s="12" t="str">
        <x:v>2.0E</x:v>
      </x:c>
      <x:c r="H179" s="13" t="n">
        <x:v>1</x:v>
      </x:c>
      <x:c r="I179" s="12" t="str">
        <x:v>台北市</x:v>
      </x:c>
      <x:c r="J179" s="12" t="str">
        <x:v>500119059</x:v>
      </x:c>
      <x:c r="K179" s="12" t="str">
        <x:v>臺大共同教室北側</x:v>
      </x:c>
      <x:c r="L179" s="12" t="str">
        <x:v>ZZB* 且調出/調入且車種2.0/2.0E</x:v>
      </x:c>
    </x:row>
    <x:row r="180">
      <x:c r="A180" s="12" t="str">
        <x:v>2026-09-02</x:v>
      </x:c>
      <x:c r="B180" s="12" t="str">
        <x:v>2026-09-02 09:38:38</x:v>
      </x:c>
      <x:c r="C180" s="12" t="str">
        <x:v>09:00</x:v>
      </x:c>
      <x:c r="D180" s="12" t="str">
        <x:v>06–09</x:v>
      </x:c>
      <x:c r="E180" s="12" t="str">
        <x:v>ZZB-0003</x:v>
      </x:c>
      <x:c r="F180" s="12" t="str">
        <x:v>調出</x:v>
      </x:c>
      <x:c r="G180" s="12" t="str">
        <x:v>2.0E</x:v>
      </x:c>
      <x:c r="H180" s="13" t="n">
        <x:v>1</x:v>
      </x:c>
      <x:c r="I180" s="12" t="str">
        <x:v>台北市</x:v>
      </x:c>
      <x:c r="J180" s="12" t="str">
        <x:v>500119087</x:v>
      </x:c>
      <x:c r="K180" s="12" t="str">
        <x:v>臺大總圖書館西南側</x:v>
      </x:c>
      <x:c r="L180" s="12" t="str">
        <x:v>ZZB* 且調出/調入且車種2.0/2.0E</x:v>
      </x:c>
    </x:row>
    <x:row r="181">
      <x:c r="A181" s="12" t="str">
        <x:v>2026-09-02</x:v>
      </x:c>
      <x:c r="B181" s="12" t="str">
        <x:v>2026-09-02 09:38:54</x:v>
      </x:c>
      <x:c r="C181" s="12" t="str">
        <x:v>09:00</x:v>
      </x:c>
      <x:c r="D181" s="12" t="str">
        <x:v>06–09</x:v>
      </x:c>
      <x:c r="E181" s="12" t="str">
        <x:v>ZZB-0003</x:v>
      </x:c>
      <x:c r="F181" s="12" t="str">
        <x:v>調入</x:v>
      </x:c>
      <x:c r="G181" s="12" t="str">
        <x:v>2.0E</x:v>
      </x:c>
      <x:c r="H181" s="13" t="n">
        <x:v>1</x:v>
      </x:c>
      <x:c r="I181" s="12" t="str">
        <x:v>台北市</x:v>
      </x:c>
      <x:c r="J181" s="12" t="str">
        <x:v>500119074</x:v>
      </x:c>
      <x:c r="K181" s="12" t="str">
        <x:v>臺大生命科學館西北側</x:v>
      </x:c>
      <x:c r="L181" s="12" t="str">
        <x:v>ZZB* 且調出/調入且車種2.0/2.0E</x:v>
      </x:c>
    </x:row>
    <x:row r="182">
      <x:c r="A182" s="12" t="str">
        <x:v>2026-09-02</x:v>
      </x:c>
      <x:c r="B182" s="12" t="str">
        <x:v>2026-09-02 09:59:41</x:v>
      </x:c>
      <x:c r="C182" s="12" t="str">
        <x:v>09:00</x:v>
      </x:c>
      <x:c r="D182" s="12" t="str">
        <x:v>06–09</x:v>
      </x:c>
      <x:c r="E182" s="12" t="str">
        <x:v>ZZB-0003</x:v>
      </x:c>
      <x:c r="F182" s="12" t="str">
        <x:v>調出</x:v>
      </x:c>
      <x:c r="G182" s="12" t="str">
        <x:v>2.0E</x:v>
      </x:c>
      <x:c r="H182" s="13" t="n">
        <x:v>1</x:v>
      </x:c>
      <x:c r="I182" s="12" t="str">
        <x:v>台北市</x:v>
      </x:c>
      <x:c r="J182" s="12" t="str">
        <x:v>500119083</x:v>
      </x:c>
      <x:c r="K182" s="12" t="str">
        <x:v>臺大新生教室南側</x:v>
      </x:c>
      <x:c r="L182" s="12" t="str">
        <x:v>ZZB* 且調出/調入且車種2.0/2.0E</x:v>
      </x:c>
    </x:row>
    <x:row r="183">
      <x:c r="A183" s="12" t="str">
        <x:v>2026-09-02</x:v>
      </x:c>
      <x:c r="B183" s="12" t="str">
        <x:v>2026-09-02 09:59:56</x:v>
      </x:c>
      <x:c r="C183" s="12" t="str">
        <x:v>09:00</x:v>
      </x:c>
      <x:c r="D183" s="12" t="str">
        <x:v>06–09</x:v>
      </x:c>
      <x:c r="E183" s="12" t="str">
        <x:v>ZZB-0003</x:v>
      </x:c>
      <x:c r="F183" s="12" t="str">
        <x:v>調入</x:v>
      </x:c>
      <x:c r="G183" s="12" t="str">
        <x:v>2.0E</x:v>
      </x:c>
      <x:c r="H183" s="13" t="n">
        <x:v>1</x:v>
      </x:c>
      <x:c r="I183" s="12" t="str">
        <x:v>台北市</x:v>
      </x:c>
      <x:c r="J183" s="12" t="str">
        <x:v>500119059</x:v>
      </x:c>
      <x:c r="K183" s="12" t="str">
        <x:v>臺大共同教室北側</x:v>
      </x:c>
      <x:c r="L183" s="12" t="str">
        <x:v>ZZB* 且調出/調入且車種2.0/2.0E</x:v>
      </x:c>
    </x:row>
    <x:row r="184">
      <x:c r="A184" s="12" t="str">
        <x:v>2026-09-02</x:v>
      </x:c>
      <x:c r="B184" s="12" t="str">
        <x:v>2026-09-02 13:17:57</x:v>
      </x:c>
      <x:c r="C184" s="12" t="str">
        <x:v>13:00</x:v>
      </x:c>
      <x:c r="D184" s="12" t="str">
        <x:v>10–13</x:v>
      </x:c>
      <x:c r="E184" s="12" t="str">
        <x:v>ZZB-0003</x:v>
      </x:c>
      <x:c r="F184" s="12" t="str">
        <x:v>調出</x:v>
      </x:c>
      <x:c r="G184" s="12" t="str">
        <x:v>2.0E</x:v>
      </x:c>
      <x:c r="H184" s="13" t="n">
        <x:v>1</x:v>
      </x:c>
      <x:c r="I184" s="12" t="str">
        <x:v>台北市</x:v>
      </x:c>
      <x:c r="J184" s="12" t="str">
        <x:v>500119098</x:v>
      </x:c>
      <x:c r="K184" s="12" t="str">
        <x:v>臺大數學研究中心(東側)</x:v>
      </x:c>
      <x:c r="L184" s="12" t="str">
        <x:v>ZZB* 且調出/調入且車種2.0/2.0E</x:v>
      </x:c>
    </x:row>
    <x:row r="185">
      <x:c r="A185" s="12" t="str">
        <x:v>2026-09-02</x:v>
      </x:c>
      <x:c r="B185" s="12" t="str">
        <x:v>2026-09-02 13:18:10</x:v>
      </x:c>
      <x:c r="C185" s="12" t="str">
        <x:v>13:00</x:v>
      </x:c>
      <x:c r="D185" s="12" t="str">
        <x:v>10–13</x:v>
      </x:c>
      <x:c r="E185" s="12" t="str">
        <x:v>ZZB-0003</x:v>
      </x:c>
      <x:c r="F185" s="12" t="str">
        <x:v>調入</x:v>
      </x:c>
      <x:c r="G185" s="12" t="str">
        <x:v>2.0E</x:v>
      </x:c>
      <x:c r="H185" s="13" t="n">
        <x:v>1</x:v>
      </x:c>
      <x:c r="I185" s="12" t="str">
        <x:v>台北市</x:v>
      </x:c>
      <x:c r="J185" s="12" t="str">
        <x:v>500119074</x:v>
      </x:c>
      <x:c r="K185" s="12" t="str">
        <x:v>臺大生命科學館西北側</x:v>
      </x:c>
      <x:c r="L185" s="12" t="str">
        <x:v>ZZB* 且調出/調入且車種2.0/2.0E</x:v>
      </x:c>
    </x:row>
    <x:row r="186">
      <x:c r="A186" s="12" t="str">
        <x:v>2026-09-02</x:v>
      </x:c>
      <x:c r="B186" s="12" t="str">
        <x:v>2026-09-02 13:41:02</x:v>
      </x:c>
      <x:c r="C186" s="12" t="str">
        <x:v>13:00</x:v>
      </x:c>
      <x:c r="D186" s="12" t="str">
        <x:v>10–13</x:v>
      </x:c>
      <x:c r="E186" s="12" t="str">
        <x:v>ZZB-0003</x:v>
      </x:c>
      <x:c r="F186" s="12" t="str">
        <x:v>調出</x:v>
      </x:c>
      <x:c r="G186" s="12" t="str">
        <x:v>2.0E</x:v>
      </x:c>
      <x:c r="H186" s="13" t="n">
        <x:v>1</x:v>
      </x:c>
      <x:c r="I186" s="12" t="str">
        <x:v>台北市</x:v>
      </x:c>
      <x:c r="J186" s="12" t="str">
        <x:v>500119087</x:v>
      </x:c>
      <x:c r="K186" s="12" t="str">
        <x:v>臺大總圖書館西南側</x:v>
      </x:c>
      <x:c r="L186" s="12" t="str">
        <x:v>ZZB* 且調出/調入且車種2.0/2.0E</x:v>
      </x:c>
    </x:row>
    <x:row r="187">
      <x:c r="A187" s="12" t="str">
        <x:v>2026-09-02</x:v>
      </x:c>
      <x:c r="B187" s="12" t="str">
        <x:v>2026-09-02 13:41:21</x:v>
      </x:c>
      <x:c r="C187" s="12" t="str">
        <x:v>13:00</x:v>
      </x:c>
      <x:c r="D187" s="12" t="str">
        <x:v>10–13</x:v>
      </x:c>
      <x:c r="E187" s="12" t="str">
        <x:v>ZZB-0003</x:v>
      </x:c>
      <x:c r="F187" s="12" t="str">
        <x:v>調入</x:v>
      </x:c>
      <x:c r="G187" s="12" t="str">
        <x:v>2.0E</x:v>
      </x:c>
      <x:c r="H187" s="13" t="n">
        <x:v>1</x:v>
      </x:c>
      <x:c r="I187" s="12" t="str">
        <x:v>台北市</x:v>
      </x:c>
      <x:c r="J187" s="12" t="str">
        <x:v>500119061</x:v>
      </x:c>
      <x:c r="K187" s="12" t="str">
        <x:v>臺大鹿鳴堂東側</x:v>
      </x:c>
      <x:c r="L187" s="12" t="str">
        <x:v>ZZB* 且調出/調入且車種2.0/2.0E</x:v>
      </x:c>
    </x:row>
    <x:row r="188">
      <x:c r="A188" s="12" t="str">
        <x:v>2026-09-02</x:v>
      </x:c>
      <x:c r="B188" s="12" t="str">
        <x:v>2026-09-02 18:13:38</x:v>
      </x:c>
      <x:c r="C188" s="12" t="str">
        <x:v>18:00</x:v>
      </x:c>
      <x:c r="D188" s="12" t="str">
        <x:v>18–21</x:v>
      </x:c>
      <x:c r="E188" s="12" t="str">
        <x:v>ZZB-0003</x:v>
      </x:c>
      <x:c r="F188" s="12" t="str">
        <x:v>調出</x:v>
      </x:c>
      <x:c r="G188" s="12" t="str">
        <x:v>2.0E</x:v>
      </x:c>
      <x:c r="H188" s="13" t="n">
        <x:v>1</x:v>
      </x:c>
      <x:c r="I188" s="12" t="str">
        <x:v>台北市</x:v>
      </x:c>
      <x:c r="J188" s="12" t="str">
        <x:v>500101276</x:v>
      </x:c>
      <x:c r="K188" s="12" t="str">
        <x:v>羅斯福新生南路口</x:v>
      </x:c>
      <x:c r="L188" s="12" t="str">
        <x:v>ZZB* 且調出/調入且車種2.0/2.0E</x:v>
      </x:c>
    </x:row>
    <x:row r="189">
      <x:c r="A189" s="12" t="str">
        <x:v>2026-09-02</x:v>
      </x:c>
      <x:c r="B189" s="12" t="str">
        <x:v>2026-09-02 18:13:58</x:v>
      </x:c>
      <x:c r="C189" s="12" t="str">
        <x:v>18:00</x:v>
      </x:c>
      <x:c r="D189" s="12" t="str">
        <x:v>18–21</x:v>
      </x:c>
      <x:c r="E189" s="12" t="str">
        <x:v>ZZB-0003</x:v>
      </x:c>
      <x:c r="F189" s="12" t="str">
        <x:v>調入</x:v>
      </x:c>
      <x:c r="G189" s="12" t="str">
        <x:v>2.0E</x:v>
      </x:c>
      <x:c r="H189" s="13" t="n">
        <x:v>1</x:v>
      </x:c>
      <x:c r="I189" s="12" t="str">
        <x:v>台北市</x:v>
      </x:c>
      <x:c r="J189" s="12" t="str">
        <x:v>500119065</x:v>
      </x:c>
      <x:c r="K189" s="12" t="str">
        <x:v>臺大二號館</x:v>
      </x:c>
      <x:c r="L189" s="12" t="str">
        <x:v>ZZB* 且調出/調入且車種2.0/2.0E</x:v>
      </x:c>
    </x:row>
    <x:row r="190">
      <x:c r="A190" s="12" t="str">
        <x:v>2026-09-02</x:v>
      </x:c>
      <x:c r="B190" s="12" t="str">
        <x:v>2026-09-02 18:29:00</x:v>
      </x:c>
      <x:c r="C190" s="12" t="str">
        <x:v>18:00</x:v>
      </x:c>
      <x:c r="D190" s="12" t="str">
        <x:v>18–21</x:v>
      </x:c>
      <x:c r="E190" s="12" t="str">
        <x:v>ZZB-0003</x:v>
      </x:c>
      <x:c r="F190" s="12" t="str">
        <x:v>調出</x:v>
      </x:c>
      <x:c r="G190" s="12" t="str">
        <x:v>2.0E</x:v>
      </x:c>
      <x:c r="H190" s="13" t="n">
        <x:v>1</x:v>
      </x:c>
      <x:c r="I190" s="12" t="str">
        <x:v>台北市</x:v>
      </x:c>
      <x:c r="J190" s="12" t="str">
        <x:v>500101276</x:v>
      </x:c>
      <x:c r="K190" s="12" t="str">
        <x:v>羅斯福新生南路口</x:v>
      </x:c>
      <x:c r="L190" s="12" t="str">
        <x:v>ZZB* 且調出/調入且車種2.0/2.0E</x:v>
      </x:c>
    </x:row>
    <x:row r="191">
      <x:c r="A191" s="12" t="str">
        <x:v>2026-09-02</x:v>
      </x:c>
      <x:c r="B191" s="12" t="str">
        <x:v>2026-09-02 18:29:26</x:v>
      </x:c>
      <x:c r="C191" s="12" t="str">
        <x:v>18:00</x:v>
      </x:c>
      <x:c r="D191" s="12" t="str">
        <x:v>18–21</x:v>
      </x:c>
      <x:c r="E191" s="12" t="str">
        <x:v>ZZB-0003</x:v>
      </x:c>
      <x:c r="F191" s="12" t="str">
        <x:v>調入</x:v>
      </x:c>
      <x:c r="G191" s="12" t="str">
        <x:v>2.0E</x:v>
      </x:c>
      <x:c r="H191" s="13" t="n">
        <x:v>1</x:v>
      </x:c>
      <x:c r="I191" s="12" t="str">
        <x:v>台北市</x:v>
      </x:c>
      <x:c r="J191" s="12" t="str">
        <x:v>500119079</x:v>
      </x:c>
      <x:c r="K191" s="12" t="str">
        <x:v>臺大一號館</x:v>
      </x:c>
      <x:c r="L191" s="12" t="str">
        <x:v>ZZB* 且調出/調入且車種2.0/2.0E</x:v>
      </x:c>
    </x:row>
    <x:row r="192">
      <x:c r="A192" s="12" t="str">
        <x:v>2026-09-02</x:v>
      </x:c>
      <x:c r="B192" s="12" t="str">
        <x:v>2026-09-02 18:37:58</x:v>
      </x:c>
      <x:c r="C192" s="12" t="str">
        <x:v>18:00</x:v>
      </x:c>
      <x:c r="D192" s="12" t="str">
        <x:v>18–21</x:v>
      </x:c>
      <x:c r="E192" s="12" t="str">
        <x:v>ZZB-0003</x:v>
      </x:c>
      <x:c r="F192" s="12" t="str">
        <x:v>調出</x:v>
      </x:c>
      <x:c r="G192" s="12" t="str">
        <x:v>2.0E</x:v>
      </x:c>
      <x:c r="H192" s="13" t="n">
        <x:v>1</x:v>
      </x:c>
      <x:c r="I192" s="12" t="str">
        <x:v>台北市</x:v>
      </x:c>
      <x:c r="J192" s="12" t="str">
        <x:v>500119045</x:v>
      </x:c>
      <x:c r="K192" s="12" t="str">
        <x:v>臺大農業陳列館北側</x:v>
      </x:c>
      <x:c r="L192" s="12" t="str">
        <x:v>ZZB* 且調出/調入且車種2.0/2.0E</x:v>
      </x:c>
    </x:row>
    <x:row r="193">
      <x:c r="A193" s="12" t="str">
        <x:v>2026-09-02</x:v>
      </x:c>
      <x:c r="B193" s="12" t="str">
        <x:v>2026-09-02 18:45:21</x:v>
      </x:c>
      <x:c r="C193" s="12" t="str">
        <x:v>18:00</x:v>
      </x:c>
      <x:c r="D193" s="12" t="str">
        <x:v>18–21</x:v>
      </x:c>
      <x:c r="E193" s="12" t="str">
        <x:v>ZZB-0003</x:v>
      </x:c>
      <x:c r="F193" s="12" t="str">
        <x:v>調入</x:v>
      </x:c>
      <x:c r="G193" s="12" t="str">
        <x:v>2.0E</x:v>
      </x:c>
      <x:c r="H193" s="13" t="n">
        <x:v>1</x:v>
      </x:c>
      <x:c r="I193" s="12" t="str">
        <x:v>台北市</x:v>
      </x:c>
      <x:c r="J193" s="12" t="str">
        <x:v>500119050</x:v>
      </x:c>
      <x:c r="K193" s="12" t="str">
        <x:v>臺大小福樓東側</x:v>
      </x:c>
      <x:c r="L193" s="12" t="str">
        <x:v>ZZB* 且調出/調入且車種2.0/2.0E</x:v>
      </x:c>
    </x:row>
    <x:row r="194">
      <x:c r="A194" s="12" t="str">
        <x:v>2026-09-02</x:v>
      </x:c>
      <x:c r="B194" s="12" t="str">
        <x:v>2026-09-02 19:24:42</x:v>
      </x:c>
      <x:c r="C194" s="12" t="str">
        <x:v>19:00</x:v>
      </x:c>
      <x:c r="D194" s="12" t="str">
        <x:v>18–21</x:v>
      </x:c>
      <x:c r="E194" s="12" t="str">
        <x:v>ZZB-0003</x:v>
      </x:c>
      <x:c r="F194" s="12" t="str">
        <x:v>調出</x:v>
      </x:c>
      <x:c r="G194" s="12" t="str">
        <x:v>2.0E</x:v>
      </x:c>
      <x:c r="H194" s="13" t="n">
        <x:v>1</x:v>
      </x:c>
      <x:c r="I194" s="12" t="str">
        <x:v>台北市</x:v>
      </x:c>
      <x:c r="J194" s="12" t="str">
        <x:v>500101276</x:v>
      </x:c>
      <x:c r="K194" s="12" t="str">
        <x:v>羅斯福新生南路口</x:v>
      </x:c>
      <x:c r="L194" s="12" t="str">
        <x:v>ZZB* 且調出/調入且車種2.0/2.0E</x:v>
      </x:c>
    </x:row>
    <x:row r="195">
      <x:c r="A195" s="12" t="str">
        <x:v>2026-09-02</x:v>
      </x:c>
      <x:c r="B195" s="12" t="str">
        <x:v>2026-09-02 19:31:49</x:v>
      </x:c>
      <x:c r="C195" s="12" t="str">
        <x:v>19:00</x:v>
      </x:c>
      <x:c r="D195" s="12" t="str">
        <x:v>18–21</x:v>
      </x:c>
      <x:c r="E195" s="12" t="str">
        <x:v>ZZB-0003</x:v>
      </x:c>
      <x:c r="F195" s="12" t="str">
        <x:v>調入</x:v>
      </x:c>
      <x:c r="G195" s="12" t="str">
        <x:v>2.0E</x:v>
      </x:c>
      <x:c r="H195" s="13" t="n">
        <x:v>1</x:v>
      </x:c>
      <x:c r="I195" s="12" t="str">
        <x:v>台北市</x:v>
      </x:c>
      <x:c r="J195" s="12" t="str">
        <x:v>500119082</x:v>
      </x:c>
      <x:c r="K195" s="12" t="str">
        <x:v>臺大四號館東北側</x:v>
      </x:c>
      <x:c r="L195" s="12" t="str">
        <x:v>ZZB* 且調出/調入且車種2.0/2.0E</x:v>
      </x:c>
    </x:row>
    <x:row r="196">
      <x:c r="A196" s="12" t="str">
        <x:v>2026-09-02</x:v>
      </x:c>
      <x:c r="B196" s="12" t="str">
        <x:v>2026-09-02 19:51:38</x:v>
      </x:c>
      <x:c r="C196" s="12" t="str">
        <x:v>19:00</x:v>
      </x:c>
      <x:c r="D196" s="12" t="str">
        <x:v>18–21</x:v>
      </x:c>
      <x:c r="E196" s="12" t="str">
        <x:v>ZZB-0003</x:v>
      </x:c>
      <x:c r="F196" s="12" t="str">
        <x:v>調出</x:v>
      </x:c>
      <x:c r="G196" s="12" t="str">
        <x:v>2.0E</x:v>
      </x:c>
      <x:c r="H196" s="13" t="n">
        <x:v>2</x:v>
      </x:c>
      <x:c r="I196" s="12" t="str">
        <x:v>台北市</x:v>
      </x:c>
      <x:c r="J196" s="12" t="str">
        <x:v>500101276</x:v>
      </x:c>
      <x:c r="K196" s="12" t="str">
        <x:v>羅斯福新生南路口</x:v>
      </x:c>
      <x:c r="L196" s="12" t="str">
        <x:v>ZZB* 且調出/調入且車種2.0/2.0E</x:v>
      </x:c>
    </x:row>
    <x:row r="197">
      <x:c r="A197" s="12" t="str">
        <x:v>2026-09-02</x:v>
      </x:c>
      <x:c r="B197" s="12" t="str">
        <x:v>2026-09-02 19:51:56</x:v>
      </x:c>
      <x:c r="C197" s="12" t="str">
        <x:v>19:00</x:v>
      </x:c>
      <x:c r="D197" s="12" t="str">
        <x:v>18–21</x:v>
      </x:c>
      <x:c r="E197" s="12" t="str">
        <x:v>ZZB-0003</x:v>
      </x:c>
      <x:c r="F197" s="12" t="str">
        <x:v>調入</x:v>
      </x:c>
      <x:c r="G197" s="12" t="str">
        <x:v>2.0E</x:v>
      </x:c>
      <x:c r="H197" s="13" t="n">
        <x:v>2</x:v>
      </x:c>
      <x:c r="I197" s="12" t="str">
        <x:v>台北市</x:v>
      </x:c>
      <x:c r="J197" s="12" t="str">
        <x:v>500119055</x:v>
      </x:c>
      <x:c r="K197" s="12" t="str">
        <x:v>臺大樂學館東側</x:v>
      </x:c>
      <x:c r="L197" s="12" t="str">
        <x:v>ZZB* 且調出/調入且車種2.0/2.0E</x:v>
      </x:c>
    </x:row>
    <x:row r="198">
      <x:c r="A198" s="12" t="str">
        <x:v>2026-09-02</x:v>
      </x:c>
      <x:c r="B198" s="12" t="str">
        <x:v>2026-09-02 08:23:51</x:v>
      </x:c>
      <x:c r="C198" s="12" t="str">
        <x:v>08:00</x:v>
      </x:c>
      <x:c r="D198" s="12" t="str">
        <x:v>06–09</x:v>
      </x:c>
      <x:c r="E198" s="12" t="str">
        <x:v>ZZB-0004</x:v>
      </x:c>
      <x:c r="F198" s="12" t="str">
        <x:v>調出</x:v>
      </x:c>
      <x:c r="G198" s="12" t="str">
        <x:v>2.0</x:v>
      </x:c>
      <x:c r="H198" s="13" t="n">
        <x:v>7</x:v>
      </x:c>
      <x:c r="I198" s="12" t="str">
        <x:v>台北市</x:v>
      </x:c>
      <x:c r="J198" s="12" t="str">
        <x:v>500119087</x:v>
      </x:c>
      <x:c r="K198" s="12" t="str">
        <x:v>臺大總圖書館西南側</x:v>
      </x:c>
      <x:c r="L198" s="12" t="str">
        <x:v>ZZB* 且調出/調入且車種2.0/2.0E</x:v>
      </x:c>
    </x:row>
    <x:row r="199">
      <x:c r="A199" s="12" t="str">
        <x:v>2026-09-02</x:v>
      </x:c>
      <x:c r="B199" s="12" t="str">
        <x:v>2026-09-02 08:33:29</x:v>
      </x:c>
      <x:c r="C199" s="12" t="str">
        <x:v>08:00</x:v>
      </x:c>
      <x:c r="D199" s="12" t="str">
        <x:v>06–09</x:v>
      </x:c>
      <x:c r="E199" s="12" t="str">
        <x:v>ZZB-0004</x:v>
      </x:c>
      <x:c r="F199" s="12" t="str">
        <x:v>調入</x:v>
      </x:c>
      <x:c r="G199" s="12" t="str">
        <x:v>2.0</x:v>
      </x:c>
      <x:c r="H199" s="13" t="n">
        <x:v>7</x:v>
      </x:c>
      <x:c r="I199" s="12" t="str">
        <x:v>台北市</x:v>
      </x:c>
      <x:c r="J199" s="12" t="str">
        <x:v>500119097</x:v>
      </x:c>
      <x:c r="K199" s="12" t="str">
        <x:v>臺大人文館</x:v>
      </x:c>
      <x:c r="L199" s="12" t="str">
        <x:v>ZZB* 且調出/調入且車種2.0/2.0E</x:v>
      </x:c>
    </x:row>
    <x:row r="200">
      <x:c r="A200" s="12" t="str">
        <x:v>2026-09-02</x:v>
      </x:c>
      <x:c r="B200" s="12" t="str">
        <x:v>2026-09-02 08:43:53</x:v>
      </x:c>
      <x:c r="C200" s="12" t="str">
        <x:v>08:00</x:v>
      </x:c>
      <x:c r="D200" s="12" t="str">
        <x:v>06–09</x:v>
      </x:c>
      <x:c r="E200" s="12" t="str">
        <x:v>ZZB-0004</x:v>
      </x:c>
      <x:c r="F200" s="12" t="str">
        <x:v>調出</x:v>
      </x:c>
      <x:c r="G200" s="12" t="str">
        <x:v>2.0</x:v>
      </x:c>
      <x:c r="H200" s="13" t="n">
        <x:v>7</x:v>
      </x:c>
      <x:c r="I200" s="12" t="str">
        <x:v>台北市</x:v>
      </x:c>
      <x:c r="J200" s="12" t="str">
        <x:v>500119087</x:v>
      </x:c>
      <x:c r="K200" s="12" t="str">
        <x:v>臺大總圖書館西南側</x:v>
      </x:c>
      <x:c r="L200" s="12" t="str">
        <x:v>ZZB* 且調出/調入且車種2.0/2.0E</x:v>
      </x:c>
    </x:row>
    <x:row r="201">
      <x:c r="A201" s="12" t="str">
        <x:v>2026-09-02</x:v>
      </x:c>
      <x:c r="B201" s="12" t="str">
        <x:v>2026-09-02 08:50:47</x:v>
      </x:c>
      <x:c r="C201" s="12" t="str">
        <x:v>08:00</x:v>
      </x:c>
      <x:c r="D201" s="12" t="str">
        <x:v>06–09</x:v>
      </x:c>
      <x:c r="E201" s="12" t="str">
        <x:v>ZZB-0004</x:v>
      </x:c>
      <x:c r="F201" s="12" t="str">
        <x:v>調入</x:v>
      </x:c>
      <x:c r="G201" s="12" t="str">
        <x:v>2.0</x:v>
      </x:c>
      <x:c r="H201" s="13" t="n">
        <x:v>7</x:v>
      </x:c>
      <x:c r="I201" s="12" t="str">
        <x:v>台北市</x:v>
      </x:c>
      <x:c r="J201" s="12" t="str">
        <x:v>500119082</x:v>
      </x:c>
      <x:c r="K201" s="12" t="str">
        <x:v>臺大四號館東北側</x:v>
      </x:c>
      <x:c r="L201" s="12" t="str">
        <x:v>ZZB* 且調出/調入且車種2.0/2.0E</x:v>
      </x:c>
    </x:row>
    <x:row r="202">
      <x:c r="A202" s="12" t="str">
        <x:v>2026-09-02</x:v>
      </x:c>
      <x:c r="B202" s="12" t="str">
        <x:v>2026-09-02 08:59:54</x:v>
      </x:c>
      <x:c r="C202" s="12" t="str">
        <x:v>08:00</x:v>
      </x:c>
      <x:c r="D202" s="12" t="str">
        <x:v>06–09</x:v>
      </x:c>
      <x:c r="E202" s="12" t="str">
        <x:v>ZZB-0004</x:v>
      </x:c>
      <x:c r="F202" s="12" t="str">
        <x:v>調出</x:v>
      </x:c>
      <x:c r="G202" s="12" t="str">
        <x:v>2.0</x:v>
      </x:c>
      <x:c r="H202" s="13" t="n">
        <x:v>6</x:v>
      </x:c>
      <x:c r="I202" s="12" t="str">
        <x:v>台北市</x:v>
      </x:c>
      <x:c r="J202" s="12" t="str">
        <x:v>500119087</x:v>
      </x:c>
      <x:c r="K202" s="12" t="str">
        <x:v>臺大總圖書館西南側</x:v>
      </x:c>
      <x:c r="L202" s="12" t="str">
        <x:v>ZZB* 且調出/調入且車種2.0/2.0E</x:v>
      </x:c>
    </x:row>
    <x:row r="203">
      <x:c r="A203" s="12" t="str">
        <x:v>2026-09-02</x:v>
      </x:c>
      <x:c r="B203" s="12" t="str">
        <x:v>2026-09-02 09:19:01</x:v>
      </x:c>
      <x:c r="C203" s="12" t="str">
        <x:v>09:00</x:v>
      </x:c>
      <x:c r="D203" s="12" t="str">
        <x:v>06–09</x:v>
      </x:c>
      <x:c r="E203" s="12" t="str">
        <x:v>ZZB-0004</x:v>
      </x:c>
      <x:c r="F203" s="12" t="str">
        <x:v>調入</x:v>
      </x:c>
      <x:c r="G203" s="12" t="str">
        <x:v>2.0</x:v>
      </x:c>
      <x:c r="H203" s="13" t="n">
        <x:v>6</x:v>
      </x:c>
      <x:c r="I203" s="12" t="str">
        <x:v>台北市</x:v>
      </x:c>
      <x:c r="J203" s="12" t="str">
        <x:v>500119082</x:v>
      </x:c>
      <x:c r="K203" s="12" t="str">
        <x:v>臺大四號館東北側</x:v>
      </x:c>
      <x:c r="L203" s="12" t="str">
        <x:v>ZZB* 且調出/調入且車種2.0/2.0E</x:v>
      </x:c>
    </x:row>
    <x:row r="204">
      <x:c r="A204" s="12" t="str">
        <x:v>2026-09-02</x:v>
      </x:c>
      <x:c r="B204" s="12" t="str">
        <x:v>2026-09-02 09:19:13</x:v>
      </x:c>
      <x:c r="C204" s="12" t="str">
        <x:v>09:00</x:v>
      </x:c>
      <x:c r="D204" s="12" t="str">
        <x:v>06–09</x:v>
      </x:c>
      <x:c r="E204" s="12" t="str">
        <x:v>ZZB-0004</x:v>
      </x:c>
      <x:c r="F204" s="12" t="str">
        <x:v>調出</x:v>
      </x:c>
      <x:c r="G204" s="12" t="str">
        <x:v>2.0</x:v>
      </x:c>
      <x:c r="H204" s="13" t="n">
        <x:v>7</x:v>
      </x:c>
      <x:c r="I204" s="12" t="str">
        <x:v>台北市</x:v>
      </x:c>
      <x:c r="J204" s="12" t="str">
        <x:v>500119087</x:v>
      </x:c>
      <x:c r="K204" s="12" t="str">
        <x:v>臺大總圖書館西南側</x:v>
      </x:c>
      <x:c r="L204" s="12" t="str">
        <x:v>ZZB* 且調出/調入且車種2.0/2.0E</x:v>
      </x:c>
    </x:row>
    <x:row r="205">
      <x:c r="A205" s="12" t="str">
        <x:v>2026-09-02</x:v>
      </x:c>
      <x:c r="B205" s="12" t="str">
        <x:v>2026-09-02 09:28:09</x:v>
      </x:c>
      <x:c r="C205" s="12" t="str">
        <x:v>09:00</x:v>
      </x:c>
      <x:c r="D205" s="12" t="str">
        <x:v>06–09</x:v>
      </x:c>
      <x:c r="E205" s="12" t="str">
        <x:v>ZZB-0004</x:v>
      </x:c>
      <x:c r="F205" s="12" t="str">
        <x:v>調入</x:v>
      </x:c>
      <x:c r="G205" s="12" t="str">
        <x:v>2.0</x:v>
      </x:c>
      <x:c r="H205" s="13" t="n">
        <x:v>7</x:v>
      </x:c>
      <x:c r="I205" s="12" t="str">
        <x:v>台北市</x:v>
      </x:c>
      <x:c r="J205" s="12" t="str">
        <x:v>500119097</x:v>
      </x:c>
      <x:c r="K205" s="12" t="str">
        <x:v>臺大人文館</x:v>
      </x:c>
      <x:c r="L205" s="12" t="str">
        <x:v>ZZB* 且調出/調入且車種2.0/2.0E</x:v>
      </x:c>
    </x:row>
    <x:row r="206">
      <x:c r="A206" s="12" t="str">
        <x:v>2026-09-02</x:v>
      </x:c>
      <x:c r="B206" s="12" t="str">
        <x:v>2026-09-02 09:40:29</x:v>
      </x:c>
      <x:c r="C206" s="12" t="str">
        <x:v>09:00</x:v>
      </x:c>
      <x:c r="D206" s="12" t="str">
        <x:v>06–09</x:v>
      </x:c>
      <x:c r="E206" s="12" t="str">
        <x:v>ZZB-0004</x:v>
      </x:c>
      <x:c r="F206" s="12" t="str">
        <x:v>調出</x:v>
      </x:c>
      <x:c r="G206" s="12" t="str">
        <x:v>2.0</x:v>
      </x:c>
      <x:c r="H206" s="13" t="n">
        <x:v>6</x:v>
      </x:c>
      <x:c r="I206" s="12" t="str">
        <x:v>台北市</x:v>
      </x:c>
      <x:c r="J206" s="12" t="str">
        <x:v>500119087</x:v>
      </x:c>
      <x:c r="K206" s="12" t="str">
        <x:v>臺大總圖書館西南側</x:v>
      </x:c>
      <x:c r="L206" s="12" t="str">
        <x:v>ZZB* 且調出/調入且車種2.0/2.0E</x:v>
      </x:c>
    </x:row>
    <x:row r="207">
      <x:c r="A207" s="12" t="str">
        <x:v>2026-09-02</x:v>
      </x:c>
      <x:c r="B207" s="12" t="str">
        <x:v>2026-09-02 10:03:42</x:v>
      </x:c>
      <x:c r="C207" s="12" t="str">
        <x:v>10:00</x:v>
      </x:c>
      <x:c r="D207" s="12" t="str">
        <x:v>10–13</x:v>
      </x:c>
      <x:c r="E207" s="12" t="str">
        <x:v>ZZB-0004</x:v>
      </x:c>
      <x:c r="F207" s="12" t="str">
        <x:v>調入</x:v>
      </x:c>
      <x:c r="G207" s="12" t="str">
        <x:v>2.0</x:v>
      </x:c>
      <x:c r="H207" s="13" t="n">
        <x:v>6</x:v>
      </x:c>
      <x:c r="I207" s="12" t="str">
        <x:v>台北市</x:v>
      </x:c>
      <x:c r="J207" s="12" t="str">
        <x:v>500101032</x:v>
      </x:c>
      <x:c r="K207" s="12" t="str">
        <x:v>臺大男一舍前</x:v>
      </x:c>
      <x:c r="L207" s="12" t="str">
        <x:v>ZZB* 且調出/調入且車種2.0/2.0E</x:v>
      </x:c>
    </x:row>
    <x:row r="208">
      <x:c r="A208" s="12" t="str">
        <x:v>2026-09-02</x:v>
      </x:c>
      <x:c r="B208" s="12" t="str">
        <x:v>2026-09-02 10:11:22</x:v>
      </x:c>
      <x:c r="C208" s="12" t="str">
        <x:v>10:00</x:v>
      </x:c>
      <x:c r="D208" s="12" t="str">
        <x:v>10–13</x:v>
      </x:c>
      <x:c r="E208" s="12" t="str">
        <x:v>ZZB-0004</x:v>
      </x:c>
      <x:c r="F208" s="12" t="str">
        <x:v>調出</x:v>
      </x:c>
      <x:c r="G208" s="12" t="str">
        <x:v>2.0</x:v>
      </x:c>
      <x:c r="H208" s="13" t="n">
        <x:v>7</x:v>
      </x:c>
      <x:c r="I208" s="12" t="str">
        <x:v>台北市</x:v>
      </x:c>
      <x:c r="J208" s="12" t="str">
        <x:v>500119085</x:v>
      </x:c>
      <x:c r="K208" s="12" t="str">
        <x:v>臺大電機二館東南側</x:v>
      </x:c>
      <x:c r="L208" s="12" t="str">
        <x:v>ZZB* 且調出/調入且車種2.0/2.0E</x:v>
      </x:c>
    </x:row>
    <x:row r="209">
      <x:c r="A209" s="12" t="str">
        <x:v>2026-09-02</x:v>
      </x:c>
      <x:c r="B209" s="12" t="str">
        <x:v>2026-09-02 10:22:32</x:v>
      </x:c>
      <x:c r="C209" s="12" t="str">
        <x:v>10:00</x:v>
      </x:c>
      <x:c r="D209" s="12" t="str">
        <x:v>10–13</x:v>
      </x:c>
      <x:c r="E209" s="12" t="str">
        <x:v>ZZB-0004</x:v>
      </x:c>
      <x:c r="F209" s="12" t="str">
        <x:v>調入</x:v>
      </x:c>
      <x:c r="G209" s="12" t="str">
        <x:v>2.0</x:v>
      </x:c>
      <x:c r="H209" s="13" t="n">
        <x:v>7</x:v>
      </x:c>
      <x:c r="I209" s="12" t="str">
        <x:v>台北市</x:v>
      </x:c>
      <x:c r="J209" s="12" t="str">
        <x:v>500101032</x:v>
      </x:c>
      <x:c r="K209" s="12" t="str">
        <x:v>臺大男一舍前</x:v>
      </x:c>
      <x:c r="L209" s="12" t="str">
        <x:v>ZZB* 且調出/調入且車種2.0/2.0E</x:v>
      </x:c>
    </x:row>
    <x:row r="210">
      <x:c r="A210" s="12" t="str">
        <x:v>2026-09-02</x:v>
      </x:c>
      <x:c r="B210" s="12" t="str">
        <x:v>2026-09-02 10:30:38</x:v>
      </x:c>
      <x:c r="C210" s="12" t="str">
        <x:v>10:00</x:v>
      </x:c>
      <x:c r="D210" s="12" t="str">
        <x:v>10–13</x:v>
      </x:c>
      <x:c r="E210" s="12" t="str">
        <x:v>ZZB-0004</x:v>
      </x:c>
      <x:c r="F210" s="12" t="str">
        <x:v>調出</x:v>
      </x:c>
      <x:c r="G210" s="12" t="str">
        <x:v>2.0</x:v>
      </x:c>
      <x:c r="H210" s="13" t="n">
        <x:v>6</x:v>
      </x:c>
      <x:c r="I210" s="12" t="str">
        <x:v>台北市</x:v>
      </x:c>
      <x:c r="J210" s="12" t="str">
        <x:v>500119085</x:v>
      </x:c>
      <x:c r="K210" s="12" t="str">
        <x:v>臺大電機二館東南側</x:v>
      </x:c>
      <x:c r="L210" s="12" t="str">
        <x:v>ZZB* 且調出/調入且車種2.0/2.0E</x:v>
      </x:c>
    </x:row>
    <x:row r="211">
      <x:c r="A211" s="12" t="str">
        <x:v>2026-09-02</x:v>
      </x:c>
      <x:c r="B211" s="12" t="str">
        <x:v>2026-09-02 10:42:54</x:v>
      </x:c>
      <x:c r="C211" s="12" t="str">
        <x:v>10:00</x:v>
      </x:c>
      <x:c r="D211" s="12" t="str">
        <x:v>10–13</x:v>
      </x:c>
      <x:c r="E211" s="12" t="str">
        <x:v>ZZB-0004</x:v>
      </x:c>
      <x:c r="F211" s="12" t="str">
        <x:v>調入</x:v>
      </x:c>
      <x:c r="G211" s="12" t="str">
        <x:v>2.0</x:v>
      </x:c>
      <x:c r="H211" s="13" t="n">
        <x:v>6</x:v>
      </x:c>
      <x:c r="I211" s="12" t="str">
        <x:v>台北市</x:v>
      </x:c>
      <x:c r="J211" s="12" t="str">
        <x:v>500119064</x:v>
      </x:c>
      <x:c r="K211" s="12" t="str">
        <x:v>臺大明達館機車停車場</x:v>
      </x:c>
      <x:c r="L211" s="12" t="str">
        <x:v>ZZB* 且調出/調入且車種2.0/2.0E</x:v>
      </x:c>
    </x:row>
    <x:row r="212">
      <x:c r="A212" s="12" t="str">
        <x:v>2026-09-02</x:v>
      </x:c>
      <x:c r="B212" s="12" t="str">
        <x:v>2026-09-02 10:50:44</x:v>
      </x:c>
      <x:c r="C212" s="12" t="str">
        <x:v>10:00</x:v>
      </x:c>
      <x:c r="D212" s="12" t="str">
        <x:v>10–13</x:v>
      </x:c>
      <x:c r="E212" s="12" t="str">
        <x:v>ZZB-0004</x:v>
      </x:c>
      <x:c r="F212" s="12" t="str">
        <x:v>調出</x:v>
      </x:c>
      <x:c r="G212" s="12" t="str">
        <x:v>2.0</x:v>
      </x:c>
      <x:c r="H212" s="13" t="n">
        <x:v>7</x:v>
      </x:c>
      <x:c r="I212" s="12" t="str">
        <x:v>台北市</x:v>
      </x:c>
      <x:c r="J212" s="12" t="str">
        <x:v>500119052</x:v>
      </x:c>
      <x:c r="K212" s="12" t="str">
        <x:v>臺大工綜館南側</x:v>
      </x:c>
      <x:c r="L212" s="12" t="str">
        <x:v>ZZB* 且調出/調入且車種2.0/2.0E</x:v>
      </x:c>
    </x:row>
    <x:row r="213">
      <x:c r="A213" s="12" t="str">
        <x:v>2026-09-02</x:v>
      </x:c>
      <x:c r="B213" s="12" t="str">
        <x:v>2026-09-02 10:59:00</x:v>
      </x:c>
      <x:c r="C213" s="12" t="str">
        <x:v>10:00</x:v>
      </x:c>
      <x:c r="D213" s="12" t="str">
        <x:v>10–13</x:v>
      </x:c>
      <x:c r="E213" s="12" t="str">
        <x:v>ZZB-0004</x:v>
      </x:c>
      <x:c r="F213" s="12" t="str">
        <x:v>調入</x:v>
      </x:c>
      <x:c r="G213" s="12" t="str">
        <x:v>2.0</x:v>
      </x:c>
      <x:c r="H213" s="13" t="n">
        <x:v>7</x:v>
      </x:c>
      <x:c r="I213" s="12" t="str">
        <x:v>台北市</x:v>
      </x:c>
      <x:c r="J213" s="12" t="str">
        <x:v>500119091</x:v>
      </x:c>
      <x:c r="K213" s="12" t="str">
        <x:v>臺大明達館北側(員工宿舍)</x:v>
      </x:c>
      <x:c r="L213" s="12" t="str">
        <x:v>ZZB* 且調出/調入且車種2.0/2.0E</x:v>
      </x:c>
    </x:row>
    <x:row r="214">
      <x:c r="A214" s="12" t="str">
        <x:v>2026-09-02</x:v>
      </x:c>
      <x:c r="B214" s="12" t="str">
        <x:v>2026-09-02 12:51:10</x:v>
      </x:c>
      <x:c r="C214" s="12" t="str">
        <x:v>12:00</x:v>
      </x:c>
      <x:c r="D214" s="12" t="str">
        <x:v>10–13</x:v>
      </x:c>
      <x:c r="E214" s="12" t="str">
        <x:v>ZZB-0004</x:v>
      </x:c>
      <x:c r="F214" s="12" t="str">
        <x:v>調出</x:v>
      </x:c>
      <x:c r="G214" s="12" t="str">
        <x:v>2.0</x:v>
      </x:c>
      <x:c r="H214" s="13" t="n">
        <x:v>7</x:v>
      </x:c>
      <x:c r="I214" s="12" t="str">
        <x:v>台北市</x:v>
      </x:c>
      <x:c r="J214" s="12" t="str">
        <x:v>500119050</x:v>
      </x:c>
      <x:c r="K214" s="12" t="str">
        <x:v>臺大小福樓東側</x:v>
      </x:c>
      <x:c r="L214" s="12" t="str">
        <x:v>ZZB* 且調出/調入且車種2.0/2.0E</x:v>
      </x:c>
    </x:row>
    <x:row r="215">
      <x:c r="A215" s="12" t="str">
        <x:v>2026-09-02</x:v>
      </x:c>
      <x:c r="B215" s="12" t="str">
        <x:v>2026-09-02 13:01:54</x:v>
      </x:c>
      <x:c r="C215" s="12" t="str">
        <x:v>13:00</x:v>
      </x:c>
      <x:c r="D215" s="12" t="str">
        <x:v>10–13</x:v>
      </x:c>
      <x:c r="E215" s="12" t="str">
        <x:v>ZZB-0004</x:v>
      </x:c>
      <x:c r="F215" s="12" t="str">
        <x:v>調入</x:v>
      </x:c>
      <x:c r="G215" s="12" t="str">
        <x:v>2.0</x:v>
      </x:c>
      <x:c r="H215" s="13" t="n">
        <x:v>7</x:v>
      </x:c>
      <x:c r="I215" s="12" t="str">
        <x:v>台北市</x:v>
      </x:c>
      <x:c r="J215" s="12" t="str">
        <x:v>500119045</x:v>
      </x:c>
      <x:c r="K215" s="12" t="str">
        <x:v>臺大農業陳列館北側</x:v>
      </x:c>
      <x:c r="L215" s="12" t="str">
        <x:v>ZZB* 且調出/調入且車種2.0/2.0E</x:v>
      </x:c>
    </x:row>
    <x:row r="216">
      <x:c r="A216" s="12" t="str">
        <x:v>2026-09-02</x:v>
      </x:c>
      <x:c r="B216" s="12" t="str">
        <x:v>2026-09-02 13:12:35</x:v>
      </x:c>
      <x:c r="C216" s="12" t="str">
        <x:v>13:00</x:v>
      </x:c>
      <x:c r="D216" s="12" t="str">
        <x:v>10–13</x:v>
      </x:c>
      <x:c r="E216" s="12" t="str">
        <x:v>ZZB-0004</x:v>
      </x:c>
      <x:c r="F216" s="12" t="str">
        <x:v>調出</x:v>
      </x:c>
      <x:c r="G216" s="12" t="str">
        <x:v>2.0</x:v>
      </x:c>
      <x:c r="H216" s="13" t="n">
        <x:v>7</x:v>
      </x:c>
      <x:c r="I216" s="12" t="str">
        <x:v>台北市</x:v>
      </x:c>
      <x:c r="J216" s="12" t="str">
        <x:v>500119050</x:v>
      </x:c>
      <x:c r="K216" s="12" t="str">
        <x:v>臺大小福樓東側</x:v>
      </x:c>
      <x:c r="L216" s="12" t="str">
        <x:v>ZZB* 且調出/調入且車種2.0/2.0E</x:v>
      </x:c>
    </x:row>
    <x:row r="217">
      <x:c r="A217" s="12" t="str">
        <x:v>2026-09-02</x:v>
      </x:c>
      <x:c r="B217" s="12" t="str">
        <x:v>2026-09-02 13:23:36</x:v>
      </x:c>
      <x:c r="C217" s="12" t="str">
        <x:v>13:00</x:v>
      </x:c>
      <x:c r="D217" s="12" t="str">
        <x:v>10–13</x:v>
      </x:c>
      <x:c r="E217" s="12" t="str">
        <x:v>ZZB-0004</x:v>
      </x:c>
      <x:c r="F217" s="12" t="str">
        <x:v>調出</x:v>
      </x:c>
      <x:c r="G217" s="12" t="str">
        <x:v>2.0</x:v>
      </x:c>
      <x:c r="H217" s="13" t="n">
        <x:v>7</x:v>
      </x:c>
      <x:c r="I217" s="12" t="str">
        <x:v>台北市</x:v>
      </x:c>
      <x:c r="J217" s="12" t="str">
        <x:v>500119050</x:v>
      </x:c>
      <x:c r="K217" s="12" t="str">
        <x:v>臺大小福樓東側</x:v>
      </x:c>
      <x:c r="L217" s="12" t="str">
        <x:v>ZZB* 且調出/調入且車種2.0/2.0E</x:v>
      </x:c>
    </x:row>
    <x:row r="218">
      <x:c r="A218" s="12" t="str">
        <x:v>2026-09-02</x:v>
      </x:c>
      <x:c r="B218" s="12" t="str">
        <x:v>2026-09-02 13:30:50</x:v>
      </x:c>
      <x:c r="C218" s="12" t="str">
        <x:v>13:00</x:v>
      </x:c>
      <x:c r="D218" s="12" t="str">
        <x:v>10–13</x:v>
      </x:c>
      <x:c r="E218" s="12" t="str">
        <x:v>ZZB-0004</x:v>
      </x:c>
      <x:c r="F218" s="12" t="str">
        <x:v>調入</x:v>
      </x:c>
      <x:c r="G218" s="12" t="str">
        <x:v>2.0</x:v>
      </x:c>
      <x:c r="H218" s="13" t="n">
        <x:v>14</x:v>
      </x:c>
      <x:c r="I218" s="12" t="str">
        <x:v>台北市</x:v>
      </x:c>
      <x:c r="J218" s="12" t="str">
        <x:v>500119056</x:v>
      </x:c>
      <x:c r="K218" s="12" t="str">
        <x:v>臺大農化新館西側</x:v>
      </x:c>
      <x:c r="L218" s="12" t="str">
        <x:v>ZZB* 且調出/調入且車種2.0/2.0E</x:v>
      </x:c>
    </x:row>
    <x:row r="219">
      <x:c r="A219" s="12" t="str">
        <x:v>2026-09-02</x:v>
      </x:c>
      <x:c r="B219" s="12" t="str">
        <x:v>2026-09-02 13:41:08</x:v>
      </x:c>
      <x:c r="C219" s="12" t="str">
        <x:v>13:00</x:v>
      </x:c>
      <x:c r="D219" s="12" t="str">
        <x:v>10–13</x:v>
      </x:c>
      <x:c r="E219" s="12" t="str">
        <x:v>ZZB-0004</x:v>
      </x:c>
      <x:c r="F219" s="12" t="str">
        <x:v>調出</x:v>
      </x:c>
      <x:c r="G219" s="12" t="str">
        <x:v>2.0</x:v>
      </x:c>
      <x:c r="H219" s="13" t="n">
        <x:v>6</x:v>
      </x:c>
      <x:c r="I219" s="12" t="str">
        <x:v>台北市</x:v>
      </x:c>
      <x:c r="J219" s="12" t="str">
        <x:v>500119050</x:v>
      </x:c>
      <x:c r="K219" s="12" t="str">
        <x:v>臺大小福樓東側</x:v>
      </x:c>
      <x:c r="L219" s="12" t="str">
        <x:v>ZZB* 且調出/調入且車種2.0/2.0E</x:v>
      </x:c>
    </x:row>
    <x:row r="220">
      <x:c r="A220" s="12" t="str">
        <x:v>2026-09-02</x:v>
      </x:c>
      <x:c r="B220" s="12" t="str">
        <x:v>2026-09-02 17:53:14</x:v>
      </x:c>
      <x:c r="C220" s="12" t="str">
        <x:v>17:00</x:v>
      </x:c>
      <x:c r="D220" s="12" t="str">
        <x:v>14–17</x:v>
      </x:c>
      <x:c r="E220" s="12" t="str">
        <x:v>ZZB-0004</x:v>
      </x:c>
      <x:c r="F220" s="12" t="str">
        <x:v>調出</x:v>
      </x:c>
      <x:c r="G220" s="12" t="str">
        <x:v>2.0</x:v>
      </x:c>
      <x:c r="H220" s="13" t="n">
        <x:v>7</x:v>
      </x:c>
      <x:c r="I220" s="12" t="str">
        <x:v>台北市</x:v>
      </x:c>
      <x:c r="J220" s="12" t="str">
        <x:v>500101276</x:v>
      </x:c>
      <x:c r="K220" s="12" t="str">
        <x:v>羅斯福新生南路口</x:v>
      </x:c>
      <x:c r="L220" s="12" t="str">
        <x:v>ZZB* 且調出/調入且車種2.0/2.0E</x:v>
      </x:c>
    </x:row>
    <x:row r="221">
      <x:c r="A221" s="12" t="str">
        <x:v>2026-09-02</x:v>
      </x:c>
      <x:c r="B221" s="12" t="str">
        <x:v>2026-09-02 18:01:25</x:v>
      </x:c>
      <x:c r="C221" s="12" t="str">
        <x:v>18:00</x:v>
      </x:c>
      <x:c r="D221" s="12" t="str">
        <x:v>18–21</x:v>
      </x:c>
      <x:c r="E221" s="12" t="str">
        <x:v>ZZB-0004</x:v>
      </x:c>
      <x:c r="F221" s="12" t="str">
        <x:v>調入</x:v>
      </x:c>
      <x:c r="G221" s="12" t="str">
        <x:v>2.0</x:v>
      </x:c>
      <x:c r="H221" s="13" t="n">
        <x:v>7</x:v>
      </x:c>
      <x:c r="I221" s="12" t="str">
        <x:v>台北市</x:v>
      </x:c>
      <x:c r="J221" s="12" t="str">
        <x:v>500119078</x:v>
      </x:c>
      <x:c r="K221" s="12" t="str">
        <x:v>臺大森林館北側</x:v>
      </x:c>
      <x:c r="L221" s="12" t="str">
        <x:v>ZZB* 且調出/調入且車種2.0/2.0E</x:v>
      </x:c>
    </x:row>
    <x:row r="222">
      <x:c r="A222" s="12" t="str">
        <x:v>2026-09-02</x:v>
      </x:c>
      <x:c r="B222" s="12" t="str">
        <x:v>2026-09-02 18:13:54</x:v>
      </x:c>
      <x:c r="C222" s="12" t="str">
        <x:v>18:00</x:v>
      </x:c>
      <x:c r="D222" s="12" t="str">
        <x:v>18–21</x:v>
      </x:c>
      <x:c r="E222" s="12" t="str">
        <x:v>ZZB-0004</x:v>
      </x:c>
      <x:c r="F222" s="12" t="str">
        <x:v>調出</x:v>
      </x:c>
      <x:c r="G222" s="12" t="str">
        <x:v>2.0</x:v>
      </x:c>
      <x:c r="H222" s="13" t="n">
        <x:v>7</x:v>
      </x:c>
      <x:c r="I222" s="12" t="str">
        <x:v>台北市</x:v>
      </x:c>
      <x:c r="J222" s="12" t="str">
        <x:v>500101276</x:v>
      </x:c>
      <x:c r="K222" s="12" t="str">
        <x:v>羅斯福新生南路口</x:v>
      </x:c>
      <x:c r="L222" s="12" t="str">
        <x:v>ZZB* 且調出/調入且車種2.0/2.0E</x:v>
      </x:c>
    </x:row>
    <x:row r="223">
      <x:c r="A223" s="12" t="str">
        <x:v>2026-09-02</x:v>
      </x:c>
      <x:c r="B223" s="12" t="str">
        <x:v>2026-09-02 18:22:57</x:v>
      </x:c>
      <x:c r="C223" s="12" t="str">
        <x:v>18:00</x:v>
      </x:c>
      <x:c r="D223" s="12" t="str">
        <x:v>18–21</x:v>
      </x:c>
      <x:c r="E223" s="12" t="str">
        <x:v>ZZB-0004</x:v>
      </x:c>
      <x:c r="F223" s="12" t="str">
        <x:v>調入</x:v>
      </x:c>
      <x:c r="G223" s="12" t="str">
        <x:v>2.0</x:v>
      </x:c>
      <x:c r="H223" s="13" t="n">
        <x:v>7</x:v>
      </x:c>
      <x:c r="I223" s="12" t="str">
        <x:v>台北市</x:v>
      </x:c>
      <x:c r="J223" s="12" t="str">
        <x:v>500119078</x:v>
      </x:c>
      <x:c r="K223" s="12" t="str">
        <x:v>臺大森林館北側</x:v>
      </x:c>
      <x:c r="L223" s="12" t="str">
        <x:v>ZZB* 且調出/調入且車種2.0/2.0E</x:v>
      </x:c>
    </x:row>
    <x:row r="224">
      <x:c r="A224" s="12" t="str">
        <x:v>2026-09-02</x:v>
      </x:c>
      <x:c r="B224" s="12" t="str">
        <x:v>2026-09-02 18:34:33</x:v>
      </x:c>
      <x:c r="C224" s="12" t="str">
        <x:v>18:00</x:v>
      </x:c>
      <x:c r="D224" s="12" t="str">
        <x:v>18–21</x:v>
      </x:c>
      <x:c r="E224" s="12" t="str">
        <x:v>ZZB-0004</x:v>
      </x:c>
      <x:c r="F224" s="12" t="str">
        <x:v>調出</x:v>
      </x:c>
      <x:c r="G224" s="12" t="str">
        <x:v>2.0</x:v>
      </x:c>
      <x:c r="H224" s="13" t="n">
        <x:v>7</x:v>
      </x:c>
      <x:c r="I224" s="12" t="str">
        <x:v>台北市</x:v>
      </x:c>
      <x:c r="J224" s="12" t="str">
        <x:v>500101276</x:v>
      </x:c>
      <x:c r="K224" s="12" t="str">
        <x:v>羅斯福新生南路口</x:v>
      </x:c>
      <x:c r="L224" s="12" t="str">
        <x:v>ZZB* 且調出/調入且車種2.0/2.0E</x:v>
      </x:c>
    </x:row>
    <x:row r="225">
      <x:c r="A225" s="12" t="str">
        <x:v>2026-09-02</x:v>
      </x:c>
      <x:c r="B225" s="12" t="str">
        <x:v>2026-09-02 18:45:12</x:v>
      </x:c>
      <x:c r="C225" s="12" t="str">
        <x:v>18:00</x:v>
      </x:c>
      <x:c r="D225" s="12" t="str">
        <x:v>18–21</x:v>
      </x:c>
      <x:c r="E225" s="12" t="str">
        <x:v>ZZB-0004</x:v>
      </x:c>
      <x:c r="F225" s="12" t="str">
        <x:v>調入</x:v>
      </x:c>
      <x:c r="G225" s="12" t="str">
        <x:v>2.0</x:v>
      </x:c>
      <x:c r="H225" s="13" t="n">
        <x:v>7</x:v>
      </x:c>
      <x:c r="I225" s="12" t="str">
        <x:v>台北市</x:v>
      </x:c>
      <x:c r="J225" s="12" t="str">
        <x:v>500119086</x:v>
      </x:c>
      <x:c r="K225" s="12" t="str">
        <x:v>臺大圖資系館北側</x:v>
      </x:c>
      <x:c r="L225" s="12" t="str">
        <x:v>ZZB* 且調出/調入且車種2.0/2.0E</x:v>
      </x:c>
    </x:row>
    <x:row r="226">
      <x:c r="A226" s="12" t="str">
        <x:v>2026-09-02</x:v>
      </x:c>
      <x:c r="B226" s="12" t="str">
        <x:v>2026-09-02 18:59:03</x:v>
      </x:c>
      <x:c r="C226" s="12" t="str">
        <x:v>18:00</x:v>
      </x:c>
      <x:c r="D226" s="12" t="str">
        <x:v>18–21</x:v>
      </x:c>
      <x:c r="E226" s="12" t="str">
        <x:v>ZZB-0004</x:v>
      </x:c>
      <x:c r="F226" s="12" t="str">
        <x:v>調出</x:v>
      </x:c>
      <x:c r="G226" s="12" t="str">
        <x:v>2.0</x:v>
      </x:c>
      <x:c r="H226" s="13" t="n">
        <x:v>7</x:v>
      </x:c>
      <x:c r="I226" s="12" t="str">
        <x:v>台北市</x:v>
      </x:c>
      <x:c r="J226" s="12" t="str">
        <x:v>500101276</x:v>
      </x:c>
      <x:c r="K226" s="12" t="str">
        <x:v>羅斯福新生南路口</x:v>
      </x:c>
      <x:c r="L226" s="12" t="str">
        <x:v>ZZB* 且調出/調入且車種2.0/2.0E</x:v>
      </x:c>
    </x:row>
    <x:row r="227">
      <x:c r="A227" s="12" t="str">
        <x:v>2026-09-02</x:v>
      </x:c>
      <x:c r="B227" s="12" t="str">
        <x:v>2026-09-02 19:10:55</x:v>
      </x:c>
      <x:c r="C227" s="12" t="str">
        <x:v>19:00</x:v>
      </x:c>
      <x:c r="D227" s="12" t="str">
        <x:v>18–21</x:v>
      </x:c>
      <x:c r="E227" s="12" t="str">
        <x:v>ZZB-0004</x:v>
      </x:c>
      <x:c r="F227" s="12" t="str">
        <x:v>調入</x:v>
      </x:c>
      <x:c r="G227" s="12" t="str">
        <x:v>2.0</x:v>
      </x:c>
      <x:c r="H227" s="13" t="n">
        <x:v>7</x:v>
      </x:c>
      <x:c r="I227" s="12" t="str">
        <x:v>台北市</x:v>
      </x:c>
      <x:c r="J227" s="12" t="str">
        <x:v>500119086</x:v>
      </x:c>
      <x:c r="K227" s="12" t="str">
        <x:v>臺大圖資系館北側</x:v>
      </x:c>
      <x:c r="L227" s="12" t="str">
        <x:v>ZZB* 且調出/調入且車種2.0/2.0E</x:v>
      </x:c>
    </x:row>
    <x:row r="228">
      <x:c r="A228" s="12" t="str">
        <x:v>2026-09-02</x:v>
      </x:c>
      <x:c r="B228" s="12" t="str">
        <x:v>2026-09-02 21:59:08</x:v>
      </x:c>
      <x:c r="C228" s="12" t="str">
        <x:v>21:00</x:v>
      </x:c>
      <x:c r="D228" s="12" t="str">
        <x:v>18–21</x:v>
      </x:c>
      <x:c r="E228" s="12" t="str">
        <x:v>ZZB-0004</x:v>
      </x:c>
      <x:c r="F228" s="12" t="str">
        <x:v>調出</x:v>
      </x:c>
      <x:c r="G228" s="12" t="str">
        <x:v>2.0</x:v>
      </x:c>
      <x:c r="H228" s="13" t="n">
        <x:v>7</x:v>
      </x:c>
      <x:c r="I228" s="12" t="str">
        <x:v>台北市</x:v>
      </x:c>
      <x:c r="J228" s="12" t="str">
        <x:v>500101181</x:v>
      </x:c>
      <x:c r="K228" s="12" t="str">
        <x:v>捷運公館站(3號出口)</x:v>
      </x:c>
      <x:c r="L228" s="12" t="str">
        <x:v>ZZB* 且調出/調入且車種2.0/2.0E</x:v>
      </x:c>
    </x:row>
    <x:row r="229">
      <x:c r="A229" s="12" t="str">
        <x:v>2026-09-02</x:v>
      </x:c>
      <x:c r="B229" s="12" t="str">
        <x:v>2026-09-02 21:59:22</x:v>
      </x:c>
      <x:c r="C229" s="12" t="str">
        <x:v>21:00</x:v>
      </x:c>
      <x:c r="D229" s="12" t="str">
        <x:v>18–21</x:v>
      </x:c>
      <x:c r="E229" s="12" t="str">
        <x:v>ZZB-0004</x:v>
      </x:c>
      <x:c r="F229" s="12" t="str">
        <x:v>調入</x:v>
      </x:c>
      <x:c r="G229" s="12" t="str">
        <x:v>2.0</x:v>
      </x:c>
      <x:c r="H229" s="13" t="n">
        <x:v>7</x:v>
      </x:c>
      <x:c r="I229" s="12" t="str">
        <x:v>台北市</x:v>
      </x:c>
      <x:c r="J229" s="12" t="str">
        <x:v>500119061</x:v>
      </x:c>
      <x:c r="K229" s="12" t="str">
        <x:v>臺大鹿鳴堂東側</x:v>
      </x:c>
      <x:c r="L229" s="12" t="str">
        <x:v>ZZB* 且調出/調入且車種2.0/2.0E</x:v>
      </x:c>
    </x:row>
    <x:row r="230">
      <x:c r="A230" s="12" t="str">
        <x:v>2026-09-02</x:v>
      </x:c>
      <x:c r="B230" s="12" t="str">
        <x:v>2026-09-02 22:09:43</x:v>
      </x:c>
      <x:c r="C230" s="12" t="str">
        <x:v>22:00</x:v>
      </x:c>
      <x:c r="D230" s="12" t="str">
        <x:v>22–23</x:v>
      </x:c>
      <x:c r="E230" s="12" t="str">
        <x:v>ZZB-0004</x:v>
      </x:c>
      <x:c r="F230" s="12" t="str">
        <x:v>調出</x:v>
      </x:c>
      <x:c r="G230" s="12" t="str">
        <x:v>2.0</x:v>
      </x:c>
      <x:c r="H230" s="13" t="n">
        <x:v>7</x:v>
      </x:c>
      <x:c r="I230" s="12" t="str">
        <x:v>台北市</x:v>
      </x:c>
      <x:c r="J230" s="12" t="str">
        <x:v>500101181</x:v>
      </x:c>
      <x:c r="K230" s="12" t="str">
        <x:v>捷運公館站(3號出口)</x:v>
      </x:c>
      <x:c r="L230" s="12" t="str">
        <x:v>ZZB* 且調出/調入且車種2.0/2.0E</x:v>
      </x:c>
    </x:row>
    <x:row r="231">
      <x:c r="A231" s="12" t="str">
        <x:v>2026-09-02</x:v>
      </x:c>
      <x:c r="B231" s="12" t="str">
        <x:v>2026-09-02 22:14:09</x:v>
      </x:c>
      <x:c r="C231" s="12" t="str">
        <x:v>22:00</x:v>
      </x:c>
      <x:c r="D231" s="12" t="str">
        <x:v>22–23</x:v>
      </x:c>
      <x:c r="E231" s="12" t="str">
        <x:v>ZZB-0004</x:v>
      </x:c>
      <x:c r="F231" s="12" t="str">
        <x:v>調入</x:v>
      </x:c>
      <x:c r="G231" s="12" t="str">
        <x:v>2.0</x:v>
      </x:c>
      <x:c r="H231" s="13" t="n">
        <x:v>7</x:v>
      </x:c>
      <x:c r="I231" s="12" t="str">
        <x:v>台北市</x:v>
      </x:c>
      <x:c r="J231" s="12" t="str">
        <x:v>500119086</x:v>
      </x:c>
      <x:c r="K231" s="12" t="str">
        <x:v>臺大圖資系館北側</x:v>
      </x:c>
      <x:c r="L231" s="12" t="str">
        <x:v>ZZB* 且調出/調入且車種2.0/2.0E</x:v>
      </x:c>
    </x:row>
    <x:row r="232">
      <x:c r="A232" s="12" t="str">
        <x:v>2026-09-02</x:v>
      </x:c>
      <x:c r="B232" s="12" t="str">
        <x:v>2026-09-02 22:25:00</x:v>
      </x:c>
      <x:c r="C232" s="12" t="str">
        <x:v>22:00</x:v>
      </x:c>
      <x:c r="D232" s="12" t="str">
        <x:v>22–23</x:v>
      </x:c>
      <x:c r="E232" s="12" t="str">
        <x:v>ZZB-0004</x:v>
      </x:c>
      <x:c r="F232" s="12" t="str">
        <x:v>調出</x:v>
      </x:c>
      <x:c r="G232" s="12" t="str">
        <x:v>2.0</x:v>
      </x:c>
      <x:c r="H232" s="13" t="n">
        <x:v>7</x:v>
      </x:c>
      <x:c r="I232" s="12" t="str">
        <x:v>台北市</x:v>
      </x:c>
      <x:c r="J232" s="12" t="str">
        <x:v>500101181</x:v>
      </x:c>
      <x:c r="K232" s="12" t="str">
        <x:v>捷運公館站(3號出口)</x:v>
      </x:c>
      <x:c r="L232" s="12" t="str">
        <x:v>ZZB* 且調出/調入且車種2.0/2.0E</x:v>
      </x:c>
    </x:row>
    <x:row r="233">
      <x:c r="A233" s="12" t="str">
        <x:v>2026-09-02</x:v>
      </x:c>
      <x:c r="B233" s="12" t="str">
        <x:v>2026-09-02 22:29:31</x:v>
      </x:c>
      <x:c r="C233" s="12" t="str">
        <x:v>22:00</x:v>
      </x:c>
      <x:c r="D233" s="12" t="str">
        <x:v>22–23</x:v>
      </x:c>
      <x:c r="E233" s="12" t="str">
        <x:v>ZZB-0004</x:v>
      </x:c>
      <x:c r="F233" s="12" t="str">
        <x:v>調出</x:v>
      </x:c>
      <x:c r="G233" s="12" t="str">
        <x:v>2.0</x:v>
      </x:c>
      <x:c r="H233" s="13" t="n">
        <x:v>22</x:v>
      </x:c>
      <x:c r="I233" s="12" t="str">
        <x:v>台北市</x:v>
      </x:c>
      <x:c r="J233" s="12" t="str">
        <x:v>500101181</x:v>
      </x:c>
      <x:c r="K233" s="12" t="str">
        <x:v>捷運公館站(3號出口)</x:v>
      </x:c>
      <x:c r="L233" s="12" t="str">
        <x:v>ZZB* 且調出/調入且車種2.0/2.0E</x:v>
      </x:c>
    </x:row>
    <x:row r="234">
      <x:c r="A234" s="12" t="str">
        <x:v>2026-09-02</x:v>
      </x:c>
      <x:c r="B234" s="12" t="str">
        <x:v>2026-09-02 22:29:50</x:v>
      </x:c>
      <x:c r="C234" s="12" t="str">
        <x:v>22:00</x:v>
      </x:c>
      <x:c r="D234" s="12" t="str">
        <x:v>22–23</x:v>
      </x:c>
      <x:c r="E234" s="12" t="str">
        <x:v>ZZB-0004</x:v>
      </x:c>
      <x:c r="F234" s="12" t="str">
        <x:v>調入</x:v>
      </x:c>
      <x:c r="G234" s="12" t="str">
        <x:v>2.0</x:v>
      </x:c>
      <x:c r="H234" s="13" t="n">
        <x:v>22</x:v>
      </x:c>
      <x:c r="I234" s="12" t="str">
        <x:v>台北市</x:v>
      </x:c>
      <x:c r="J234" s="12" t="str">
        <x:v>500101181</x:v>
      </x:c>
      <x:c r="K234" s="12" t="str">
        <x:v>捷運公館站(3號出口)</x:v>
      </x:c>
      <x:c r="L234" s="12" t="str">
        <x:v>ZZB* 且調出/調入且車種2.0/2.0E</x:v>
      </x:c>
    </x:row>
    <x:row r="235">
      <x:c r="A235" s="12" t="str">
        <x:v>2026-09-02</x:v>
      </x:c>
      <x:c r="B235" s="12" t="str">
        <x:v>2026-09-02 22:42:55</x:v>
      </x:c>
      <x:c r="C235" s="12" t="str">
        <x:v>22:00</x:v>
      </x:c>
      <x:c r="D235" s="12" t="str">
        <x:v>22–23</x:v>
      </x:c>
      <x:c r="E235" s="12" t="str">
        <x:v>ZZB-0004</x:v>
      </x:c>
      <x:c r="F235" s="12" t="str">
        <x:v>調入</x:v>
      </x:c>
      <x:c r="G235" s="12" t="str">
        <x:v>2.0</x:v>
      </x:c>
      <x:c r="H235" s="13" t="n">
        <x:v>3</x:v>
      </x:c>
      <x:c r="I235" s="12" t="str">
        <x:v>台北市</x:v>
      </x:c>
      <x:c r="J235" s="12" t="str">
        <x:v>500119082</x:v>
      </x:c>
      <x:c r="K235" s="12" t="str">
        <x:v>臺大四號館東北側</x:v>
      </x:c>
      <x:c r="L235" s="12" t="str">
        <x:v>ZZB* 且調出/調入且車種2.0/2.0E</x:v>
      </x:c>
    </x:row>
    <x:row r="236">
      <x:c r="A236" s="12" t="str">
        <x:v>2026-09-02</x:v>
      </x:c>
      <x:c r="B236" s="12" t="str">
        <x:v>2026-09-02 22:45:41</x:v>
      </x:c>
      <x:c r="C236" s="12" t="str">
        <x:v>22:00</x:v>
      </x:c>
      <x:c r="D236" s="12" t="str">
        <x:v>22–23</x:v>
      </x:c>
      <x:c r="E236" s="12" t="str">
        <x:v>ZZB-0004</x:v>
      </x:c>
      <x:c r="F236" s="12" t="str">
        <x:v>調入</x:v>
      </x:c>
      <x:c r="G236" s="12" t="str">
        <x:v>2.0</x:v>
      </x:c>
      <x:c r="H236" s="13" t="n">
        <x:v>4</x:v>
      </x:c>
      <x:c r="I236" s="12" t="str">
        <x:v>台北市</x:v>
      </x:c>
      <x:c r="J236" s="12" t="str">
        <x:v>500119078</x:v>
      </x:c>
      <x:c r="K236" s="12" t="str">
        <x:v>臺大森林館北側</x:v>
      </x:c>
      <x:c r="L236" s="12" t="str">
        <x:v>ZZB* 且調出/調入且車種2.0/2.0E</x:v>
      </x:c>
    </x:row>
    <x:row r="237">
      <x:c r="A237" s="12" t="str">
        <x:v>2026-09-02</x:v>
      </x:c>
      <x:c r="B237" s="12" t="str">
        <x:v>2026-09-02 22:54:39</x:v>
      </x:c>
      <x:c r="C237" s="12" t="str">
        <x:v>22:00</x:v>
      </x:c>
      <x:c r="D237" s="12" t="str">
        <x:v>22–23</x:v>
      </x:c>
      <x:c r="E237" s="12" t="str">
        <x:v>ZZB-0004</x:v>
      </x:c>
      <x:c r="F237" s="12" t="str">
        <x:v>調出</x:v>
      </x:c>
      <x:c r="G237" s="12" t="str">
        <x:v>2.0</x:v>
      </x:c>
      <x:c r="H237" s="13" t="n">
        <x:v>7</x:v>
      </x:c>
      <x:c r="I237" s="12" t="str">
        <x:v>台北市</x:v>
      </x:c>
      <x:c r="J237" s="12" t="str">
        <x:v>500101181</x:v>
      </x:c>
      <x:c r="K237" s="12" t="str">
        <x:v>捷運公館站(3號出口)</x:v>
      </x:c>
      <x:c r="L237" s="12" t="str">
        <x:v>ZZB* 且調出/調入且車種2.0/2.0E</x:v>
      </x:c>
    </x:row>
    <x:row r="238">
      <x:c r="A238" s="12" t="str">
        <x:v>2026-09-02</x:v>
      </x:c>
      <x:c r="B238" s="12" t="str">
        <x:v>2026-09-02 22:59:08</x:v>
      </x:c>
      <x:c r="C238" s="12" t="str">
        <x:v>22:00</x:v>
      </x:c>
      <x:c r="D238" s="12" t="str">
        <x:v>22–23</x:v>
      </x:c>
      <x:c r="E238" s="12" t="str">
        <x:v>ZZB-0004</x:v>
      </x:c>
      <x:c r="F238" s="12" t="str">
        <x:v>調入</x:v>
      </x:c>
      <x:c r="G238" s="12" t="str">
        <x:v>2.0</x:v>
      </x:c>
      <x:c r="H238" s="13" t="n">
        <x:v>3</x:v>
      </x:c>
      <x:c r="I238" s="12" t="str">
        <x:v>台北市</x:v>
      </x:c>
      <x:c r="J238" s="12" t="str">
        <x:v>500119059</x:v>
      </x:c>
      <x:c r="K238" s="12" t="str">
        <x:v>臺大共同教室北側</x:v>
      </x:c>
      <x:c r="L238" s="12" t="str">
        <x:v>ZZB* 且調出/調入且車種2.0/2.0E</x:v>
      </x:c>
    </x:row>
    <x:row r="239">
      <x:c r="A239" s="12" t="str">
        <x:v>2026-09-02</x:v>
      </x:c>
      <x:c r="B239" s="12" t="str">
        <x:v>2026-09-02 23:03:38</x:v>
      </x:c>
      <x:c r="C239" s="12" t="str">
        <x:v>23:00</x:v>
      </x:c>
      <x:c r="D239" s="12" t="str">
        <x:v>22–23</x:v>
      </x:c>
      <x:c r="E239" s="12" t="str">
        <x:v>ZZB-0004</x:v>
      </x:c>
      <x:c r="F239" s="12" t="str">
        <x:v>調入</x:v>
      </x:c>
      <x:c r="G239" s="12" t="str">
        <x:v>2.0</x:v>
      </x:c>
      <x:c r="H239" s="13" t="n">
        <x:v>4</x:v>
      </x:c>
      <x:c r="I239" s="12" t="str">
        <x:v>台北市</x:v>
      </x:c>
      <x:c r="J239" s="12" t="str">
        <x:v>500119047</x:v>
      </x:c>
      <x:c r="K239" s="12" t="str">
        <x:v>臺大土木系館</x:v>
      </x:c>
      <x:c r="L239" s="12" t="str">
        <x:v>ZZB* 且調出/調入且車種2.0/2.0E</x:v>
      </x:c>
    </x:row>
    <x:row r="240">
      <x:c r="A240" s="12" t="str">
        <x:v>2026-09-02</x:v>
      </x:c>
      <x:c r="B240" s="12" t="str">
        <x:v>2026-09-02 23:12:47</x:v>
      </x:c>
      <x:c r="C240" s="12" t="str">
        <x:v>23:00</x:v>
      </x:c>
      <x:c r="D240" s="12" t="str">
        <x:v>22–23</x:v>
      </x:c>
      <x:c r="E240" s="12" t="str">
        <x:v>ZZB-0004</x:v>
      </x:c>
      <x:c r="F240" s="12" t="str">
        <x:v>調出</x:v>
      </x:c>
      <x:c r="G240" s="12" t="str">
        <x:v>2.0</x:v>
      </x:c>
      <x:c r="H240" s="13" t="n">
        <x:v>7</x:v>
      </x:c>
      <x:c r="I240" s="12" t="str">
        <x:v>台北市</x:v>
      </x:c>
      <x:c r="J240" s="12" t="str">
        <x:v>500101181</x:v>
      </x:c>
      <x:c r="K240" s="12" t="str">
        <x:v>捷運公館站(3號出口)</x:v>
      </x:c>
      <x:c r="L240" s="12" t="str">
        <x:v>ZZB* 且調出/調入且車種2.0/2.0E</x:v>
      </x:c>
    </x:row>
    <x:row r="241">
      <x:c r="A241" s="12" t="str">
        <x:v>2026-09-02</x:v>
      </x:c>
      <x:c r="B241" s="12" t="str">
        <x:v>2026-09-02 23:15:40</x:v>
      </x:c>
      <x:c r="C241" s="12" t="str">
        <x:v>23:00</x:v>
      </x:c>
      <x:c r="D241" s="12" t="str">
        <x:v>22–23</x:v>
      </x:c>
      <x:c r="E241" s="12" t="str">
        <x:v>ZZB-0004</x:v>
      </x:c>
      <x:c r="F241" s="12" t="str">
        <x:v>調出</x:v>
      </x:c>
      <x:c r="G241" s="12" t="str">
        <x:v>2.0</x:v>
      </x:c>
      <x:c r="H241" s="13" t="n">
        <x:v>18</x:v>
      </x:c>
      <x:c r="I241" s="12" t="str">
        <x:v>台北市</x:v>
      </x:c>
      <x:c r="J241" s="12" t="str">
        <x:v>500101181</x:v>
      </x:c>
      <x:c r="K241" s="12" t="str">
        <x:v>捷運公館站(3號出口)</x:v>
      </x:c>
      <x:c r="L241" s="12" t="str">
        <x:v>ZZB* 且調出/調入且車種2.0/2.0E</x:v>
      </x:c>
    </x:row>
    <x:row r="242">
      <x:c r="A242" s="12" t="str">
        <x:v>2026-09-02</x:v>
      </x:c>
      <x:c r="B242" s="12" t="str">
        <x:v>2026-09-02 23:15:58</x:v>
      </x:c>
      <x:c r="C242" s="12" t="str">
        <x:v>23:00</x:v>
      </x:c>
      <x:c r="D242" s="12" t="str">
        <x:v>22–23</x:v>
      </x:c>
      <x:c r="E242" s="12" t="str">
        <x:v>ZZB-0004</x:v>
      </x:c>
      <x:c r="F242" s="12" t="str">
        <x:v>調入</x:v>
      </x:c>
      <x:c r="G242" s="12" t="str">
        <x:v>2.0</x:v>
      </x:c>
      <x:c r="H242" s="13" t="n">
        <x:v>18</x:v>
      </x:c>
      <x:c r="I242" s="12" t="str">
        <x:v>台北市</x:v>
      </x:c>
      <x:c r="J242" s="12" t="str">
        <x:v>500101181</x:v>
      </x:c>
      <x:c r="K242" s="12" t="str">
        <x:v>捷運公館站(3號出口)</x:v>
      </x:c>
      <x:c r="L242" s="12" t="str">
        <x:v>ZZB* 且調出/調入且車種2.0/2.0E</x:v>
      </x:c>
    </x:row>
    <x:row r="243">
      <x:c r="A243" s="12" t="str">
        <x:v>2026-09-02</x:v>
      </x:c>
      <x:c r="B243" s="12" t="str">
        <x:v>2026-09-02 23:28:08</x:v>
      </x:c>
      <x:c r="C243" s="12" t="str">
        <x:v>23:00</x:v>
      </x:c>
      <x:c r="D243" s="12" t="str">
        <x:v>22–23</x:v>
      </x:c>
      <x:c r="E243" s="12" t="str">
        <x:v>ZZB-0004</x:v>
      </x:c>
      <x:c r="F243" s="12" t="str">
        <x:v>調入</x:v>
      </x:c>
      <x:c r="G243" s="12" t="str">
        <x:v>2.0</x:v>
      </x:c>
      <x:c r="H243" s="13" t="n">
        <x:v>3</x:v>
      </x:c>
      <x:c r="I243" s="12" t="str">
        <x:v>台北市</x:v>
      </x:c>
      <x:c r="J243" s="12" t="str">
        <x:v>500119061</x:v>
      </x:c>
      <x:c r="K243" s="12" t="str">
        <x:v>臺大鹿鳴堂東側</x:v>
      </x:c>
      <x:c r="L243" s="12" t="str">
        <x:v>ZZB* 且調出/調入且車種2.0/2.0E</x:v>
      </x:c>
    </x:row>
    <x:row r="244">
      <x:c r="A244" s="12" t="str">
        <x:v>2026-09-02</x:v>
      </x:c>
      <x:c r="B244" s="12" t="str">
        <x:v>2026-09-02 23:30:28</x:v>
      </x:c>
      <x:c r="C244" s="12" t="str">
        <x:v>23:00</x:v>
      </x:c>
      <x:c r="D244" s="12" t="str">
        <x:v>22–23</x:v>
      </x:c>
      <x:c r="E244" s="12" t="str">
        <x:v>ZZB-0004</x:v>
      </x:c>
      <x:c r="F244" s="12" t="str">
        <x:v>調入</x:v>
      </x:c>
      <x:c r="G244" s="12" t="str">
        <x:v>2.0</x:v>
      </x:c>
      <x:c r="H244" s="13" t="n">
        <x:v>2</x:v>
      </x:c>
      <x:c r="I244" s="12" t="str">
        <x:v>台北市</x:v>
      </x:c>
      <x:c r="J244" s="12" t="str">
        <x:v>500119060</x:v>
      </x:c>
      <x:c r="K244" s="12" t="str">
        <x:v>臺大共同教室東南側</x:v>
      </x:c>
      <x:c r="L244" s="12" t="str">
        <x:v>ZZB* 且調出/調入且車種2.0/2.0E</x:v>
      </x:c>
    </x:row>
    <x:row r="245">
      <x:c r="A245" s="12" t="str">
        <x:v>2026-09-02</x:v>
      </x:c>
      <x:c r="B245" s="12" t="str">
        <x:v>2026-09-02 23:32:33</x:v>
      </x:c>
      <x:c r="C245" s="12" t="str">
        <x:v>23:00</x:v>
      </x:c>
      <x:c r="D245" s="12" t="str">
        <x:v>22–23</x:v>
      </x:c>
      <x:c r="E245" s="12" t="str">
        <x:v>ZZB-0004</x:v>
      </x:c>
      <x:c r="F245" s="12" t="str">
        <x:v>調入</x:v>
      </x:c>
      <x:c r="G245" s="12" t="str">
        <x:v>2.0</x:v>
      </x:c>
      <x:c r="H245" s="13" t="n">
        <x:v>2</x:v>
      </x:c>
      <x:c r="I245" s="12" t="str">
        <x:v>台北市</x:v>
      </x:c>
      <x:c r="J245" s="12" t="str">
        <x:v>500119059</x:v>
      </x:c>
      <x:c r="K245" s="12" t="str">
        <x:v>臺大共同教室北側</x:v>
      </x:c>
      <x:c r="L245" s="12" t="str">
        <x:v>ZZB* 且調出/調入且車種2.0/2.0E</x:v>
      </x:c>
    </x:row>
    <x:row r="246">
      <x:c r="A246" s="12" t="str">
        <x:v>2026-09-02</x:v>
      </x:c>
      <x:c r="B246" s="12" t="str">
        <x:v>2026-09-02 23:41:03</x:v>
      </x:c>
      <x:c r="C246" s="12" t="str">
        <x:v>23:00</x:v>
      </x:c>
      <x:c r="D246" s="12" t="str">
        <x:v>22–23</x:v>
      </x:c>
      <x:c r="E246" s="12" t="str">
        <x:v>ZZB-0004</x:v>
      </x:c>
      <x:c r="F246" s="12" t="str">
        <x:v>調出</x:v>
      </x:c>
      <x:c r="G246" s="12" t="str">
        <x:v>2.0</x:v>
      </x:c>
      <x:c r="H246" s="13" t="n">
        <x:v>9</x:v>
      </x:c>
      <x:c r="I246" s="12" t="str">
        <x:v>台北市</x:v>
      </x:c>
      <x:c r="J246" s="12" t="str">
        <x:v>500101181</x:v>
      </x:c>
      <x:c r="K246" s="12" t="str">
        <x:v>捷運公館站(3號出口)</x:v>
      </x:c>
      <x:c r="L246" s="12" t="str">
        <x:v>ZZB* 且調出/調入且車種2.0/2.0E</x:v>
      </x:c>
    </x:row>
    <x:row r="247">
      <x:c r="A247" s="12" t="str">
        <x:v>2026-09-02</x:v>
      </x:c>
      <x:c r="B247" s="12" t="str">
        <x:v>2026-09-02 23:41:31</x:v>
      </x:c>
      <x:c r="C247" s="12" t="str">
        <x:v>23:00</x:v>
      </x:c>
      <x:c r="D247" s="12" t="str">
        <x:v>22–23</x:v>
      </x:c>
      <x:c r="E247" s="12" t="str">
        <x:v>ZZB-0004</x:v>
      </x:c>
      <x:c r="F247" s="12" t="str">
        <x:v>調入</x:v>
      </x:c>
      <x:c r="G247" s="12" t="str">
        <x:v>2.0</x:v>
      </x:c>
      <x:c r="H247" s="13" t="n">
        <x:v>2</x:v>
      </x:c>
      <x:c r="I247" s="12" t="str">
        <x:v>台北市</x:v>
      </x:c>
      <x:c r="J247" s="12" t="str">
        <x:v>500101181</x:v>
      </x:c>
      <x:c r="K247" s="12" t="str">
        <x:v>捷運公館站(3號出口)</x:v>
      </x:c>
      <x:c r="L247" s="12" t="str">
        <x:v>ZZB* 且調出/調入且車種2.0/2.0E</x:v>
      </x:c>
    </x:row>
    <x:row r="248">
      <x:c r="A248" s="12" t="str">
        <x:v>2026-09-02</x:v>
      </x:c>
      <x:c r="B248" s="12" t="str">
        <x:v>2026-09-02 23:46:28</x:v>
      </x:c>
      <x:c r="C248" s="12" t="str">
        <x:v>23:00</x:v>
      </x:c>
      <x:c r="D248" s="12" t="str">
        <x:v>22–23</x:v>
      </x:c>
      <x:c r="E248" s="12" t="str">
        <x:v>ZZB-0004</x:v>
      </x:c>
      <x:c r="F248" s="12" t="str">
        <x:v>調入</x:v>
      </x:c>
      <x:c r="G248" s="12" t="str">
        <x:v>2.0</x:v>
      </x:c>
      <x:c r="H248" s="13" t="n">
        <x:v>4</x:v>
      </x:c>
      <x:c r="I248" s="12" t="str">
        <x:v>台北市</x:v>
      </x:c>
      <x:c r="J248" s="12" t="str">
        <x:v>500119047</x:v>
      </x:c>
      <x:c r="K248" s="12" t="str">
        <x:v>臺大土木系館</x:v>
      </x:c>
      <x:c r="L248" s="12" t="str">
        <x:v>ZZB* 且調出/調入且車種2.0/2.0E</x:v>
      </x:c>
    </x:row>
    <x:row r="249">
      <x:c r="A249" s="12" t="str">
        <x:v>2026-09-02</x:v>
      </x:c>
      <x:c r="B249" s="12" t="str">
        <x:v>2026-09-02 23:50:42</x:v>
      </x:c>
      <x:c r="C249" s="12" t="str">
        <x:v>23:00</x:v>
      </x:c>
      <x:c r="D249" s="12" t="str">
        <x:v>22–23</x:v>
      </x:c>
      <x:c r="E249" s="12" t="str">
        <x:v>ZZB-0004</x:v>
      </x:c>
      <x:c r="F249" s="12" t="str">
        <x:v>調入</x:v>
      </x:c>
      <x:c r="G249" s="12" t="str">
        <x:v>2.0</x:v>
      </x:c>
      <x:c r="H249" s="13" t="n">
        <x:v>3</x:v>
      </x:c>
      <x:c r="I249" s="12" t="str">
        <x:v>台北市</x:v>
      </x:c>
      <x:c r="J249" s="12" t="str">
        <x:v>500119086</x:v>
      </x:c>
      <x:c r="K249" s="12" t="str">
        <x:v>臺大圖資系館北側</x:v>
      </x:c>
      <x:c r="L249" s="12" t="str">
        <x:v>ZZB* 且調出/調入且車種2.0/2.0E</x:v>
      </x:c>
    </x:row>
    <x:row r="250">
      <x:c r="A250" s="12" t="str">
        <x:v>2026-09-02</x:v>
      </x:c>
      <x:c r="B250" s="12" t="str">
        <x:v>2026-09-02 08:59:54</x:v>
      </x:c>
      <x:c r="C250" s="12" t="str">
        <x:v>08:00</x:v>
      </x:c>
      <x:c r="D250" s="12" t="str">
        <x:v>06–09</x:v>
      </x:c>
      <x:c r="E250" s="12" t="str">
        <x:v>ZZB-0004</x:v>
      </x:c>
      <x:c r="F250" s="12" t="str">
        <x:v>調出</x:v>
      </x:c>
      <x:c r="G250" s="12" t="str">
        <x:v>2.0E</x:v>
      </x:c>
      <x:c r="H250" s="13" t="n">
        <x:v>1</x:v>
      </x:c>
      <x:c r="I250" s="12" t="str">
        <x:v>台北市</x:v>
      </x:c>
      <x:c r="J250" s="12" t="str">
        <x:v>500119087</x:v>
      </x:c>
      <x:c r="K250" s="12" t="str">
        <x:v>臺大總圖書館西南側</x:v>
      </x:c>
      <x:c r="L250" s="12" t="str">
        <x:v>ZZB* 且調出/調入且車種2.0/2.0E</x:v>
      </x:c>
    </x:row>
    <x:row r="251">
      <x:c r="A251" s="12" t="str">
        <x:v>2026-09-02</x:v>
      </x:c>
      <x:c r="B251" s="12" t="str">
        <x:v>2026-09-02 09:19:01</x:v>
      </x:c>
      <x:c r="C251" s="12" t="str">
        <x:v>09:00</x:v>
      </x:c>
      <x:c r="D251" s="12" t="str">
        <x:v>06–09</x:v>
      </x:c>
      <x:c r="E251" s="12" t="str">
        <x:v>ZZB-0004</x:v>
      </x:c>
      <x:c r="F251" s="12" t="str">
        <x:v>調入</x:v>
      </x:c>
      <x:c r="G251" s="12" t="str">
        <x:v>2.0E</x:v>
      </x:c>
      <x:c r="H251" s="13" t="n">
        <x:v>1</x:v>
      </x:c>
      <x:c r="I251" s="12" t="str">
        <x:v>台北市</x:v>
      </x:c>
      <x:c r="J251" s="12" t="str">
        <x:v>500119082</x:v>
      </x:c>
      <x:c r="K251" s="12" t="str">
        <x:v>臺大四號館東北側</x:v>
      </x:c>
      <x:c r="L251" s="12" t="str">
        <x:v>ZZB* 且調出/調入且車種2.0/2.0E</x:v>
      </x:c>
    </x:row>
    <x:row r="252">
      <x:c r="A252" s="12" t="str">
        <x:v>2026-09-02</x:v>
      </x:c>
      <x:c r="B252" s="12" t="str">
        <x:v>2026-09-02 09:40:29</x:v>
      </x:c>
      <x:c r="C252" s="12" t="str">
        <x:v>09:00</x:v>
      </x:c>
      <x:c r="D252" s="12" t="str">
        <x:v>06–09</x:v>
      </x:c>
      <x:c r="E252" s="12" t="str">
        <x:v>ZZB-0004</x:v>
      </x:c>
      <x:c r="F252" s="12" t="str">
        <x:v>調出</x:v>
      </x:c>
      <x:c r="G252" s="12" t="str">
        <x:v>2.0E</x:v>
      </x:c>
      <x:c r="H252" s="13" t="n">
        <x:v>1</x:v>
      </x:c>
      <x:c r="I252" s="12" t="str">
        <x:v>台北市</x:v>
      </x:c>
      <x:c r="J252" s="12" t="str">
        <x:v>500119087</x:v>
      </x:c>
      <x:c r="K252" s="12" t="str">
        <x:v>臺大總圖書館西南側</x:v>
      </x:c>
      <x:c r="L252" s="12" t="str">
        <x:v>ZZB* 且調出/調入且車種2.0/2.0E</x:v>
      </x:c>
    </x:row>
    <x:row r="253">
      <x:c r="A253" s="12" t="str">
        <x:v>2026-09-02</x:v>
      </x:c>
      <x:c r="B253" s="12" t="str">
        <x:v>2026-09-02 10:03:42</x:v>
      </x:c>
      <x:c r="C253" s="12" t="str">
        <x:v>10:00</x:v>
      </x:c>
      <x:c r="D253" s="12" t="str">
        <x:v>10–13</x:v>
      </x:c>
      <x:c r="E253" s="12" t="str">
        <x:v>ZZB-0004</x:v>
      </x:c>
      <x:c r="F253" s="12" t="str">
        <x:v>調入</x:v>
      </x:c>
      <x:c r="G253" s="12" t="str">
        <x:v>2.0E</x:v>
      </x:c>
      <x:c r="H253" s="13" t="n">
        <x:v>1</x:v>
      </x:c>
      <x:c r="I253" s="12" t="str">
        <x:v>台北市</x:v>
      </x:c>
      <x:c r="J253" s="12" t="str">
        <x:v>500101032</x:v>
      </x:c>
      <x:c r="K253" s="12" t="str">
        <x:v>臺大男一舍前</x:v>
      </x:c>
      <x:c r="L253" s="12" t="str">
        <x:v>ZZB* 且調出/調入且車種2.0/2.0E</x:v>
      </x:c>
    </x:row>
    <x:row r="254">
      <x:c r="A254" s="12" t="str">
        <x:v>2026-09-02</x:v>
      </x:c>
      <x:c r="B254" s="12" t="str">
        <x:v>2026-09-02 10:30:38</x:v>
      </x:c>
      <x:c r="C254" s="12" t="str">
        <x:v>10:00</x:v>
      </x:c>
      <x:c r="D254" s="12" t="str">
        <x:v>10–13</x:v>
      </x:c>
      <x:c r="E254" s="12" t="str">
        <x:v>ZZB-0004</x:v>
      </x:c>
      <x:c r="F254" s="12" t="str">
        <x:v>調出</x:v>
      </x:c>
      <x:c r="G254" s="12" t="str">
        <x:v>2.0E</x:v>
      </x:c>
      <x:c r="H254" s="13" t="n">
        <x:v>1</x:v>
      </x:c>
      <x:c r="I254" s="12" t="str">
        <x:v>台北市</x:v>
      </x:c>
      <x:c r="J254" s="12" t="str">
        <x:v>500119085</x:v>
      </x:c>
      <x:c r="K254" s="12" t="str">
        <x:v>臺大電機二館東南側</x:v>
      </x:c>
      <x:c r="L254" s="12" t="str">
        <x:v>ZZB* 且調出/調入且車種2.0/2.0E</x:v>
      </x:c>
    </x:row>
    <x:row r="255">
      <x:c r="A255" s="12" t="str">
        <x:v>2026-09-02</x:v>
      </x:c>
      <x:c r="B255" s="12" t="str">
        <x:v>2026-09-02 10:42:54</x:v>
      </x:c>
      <x:c r="C255" s="12" t="str">
        <x:v>10:00</x:v>
      </x:c>
      <x:c r="D255" s="12" t="str">
        <x:v>10–13</x:v>
      </x:c>
      <x:c r="E255" s="12" t="str">
        <x:v>ZZB-0004</x:v>
      </x:c>
      <x:c r="F255" s="12" t="str">
        <x:v>調入</x:v>
      </x:c>
      <x:c r="G255" s="12" t="str">
        <x:v>2.0E</x:v>
      </x:c>
      <x:c r="H255" s="13" t="n">
        <x:v>1</x:v>
      </x:c>
      <x:c r="I255" s="12" t="str">
        <x:v>台北市</x:v>
      </x:c>
      <x:c r="J255" s="12" t="str">
        <x:v>500119064</x:v>
      </x:c>
      <x:c r="K255" s="12" t="str">
        <x:v>臺大明達館機車停車場</x:v>
      </x:c>
      <x:c r="L255" s="12" t="str">
        <x:v>ZZB* 且調出/調入且車種2.0/2.0E</x:v>
      </x:c>
    </x:row>
    <x:row r="256">
      <x:c r="A256" s="12" t="str">
        <x:v>2026-09-02</x:v>
      </x:c>
      <x:c r="B256" s="12" t="str">
        <x:v>2026-09-02 13:41:08</x:v>
      </x:c>
      <x:c r="C256" s="12" t="str">
        <x:v>13:00</x:v>
      </x:c>
      <x:c r="D256" s="12" t="str">
        <x:v>10–13</x:v>
      </x:c>
      <x:c r="E256" s="12" t="str">
        <x:v>ZZB-0004</x:v>
      </x:c>
      <x:c r="F256" s="12" t="str">
        <x:v>調出</x:v>
      </x:c>
      <x:c r="G256" s="12" t="str">
        <x:v>2.0E</x:v>
      </x:c>
      <x:c r="H256" s="13" t="n">
        <x:v>1</x:v>
      </x:c>
      <x:c r="I256" s="12" t="str">
        <x:v>台北市</x:v>
      </x:c>
      <x:c r="J256" s="12" t="str">
        <x:v>500119050</x:v>
      </x:c>
      <x:c r="K256" s="12" t="str">
        <x:v>臺大小福樓東側</x:v>
      </x:c>
      <x:c r="L256" s="12" t="str">
        <x:v>ZZB* 且調出/調入且車種2.0/2.0E</x:v>
      </x:c>
    </x:row>
    <x:row r="257">
      <x:c r="A257" s="12" t="str">
        <x:v>2026-09-03</x:v>
      </x:c>
      <x:c r="B257" s="12" t="str">
        <x:v>2026-09-03 08:17:30</x:v>
      </x:c>
      <x:c r="C257" s="12" t="str">
        <x:v>08:00</x:v>
      </x:c>
      <x:c r="D257" s="12" t="str">
        <x:v>06–09</x:v>
      </x:c>
      <x:c r="E257" s="12" t="str">
        <x:v>ZZB-0004</x:v>
      </x:c>
      <x:c r="F257" s="12" t="str">
        <x:v>調出</x:v>
      </x:c>
      <x:c r="G257" s="12" t="str">
        <x:v>2.0</x:v>
      </x:c>
      <x:c r="H257" s="13" t="n">
        <x:v>6</x:v>
      </x:c>
      <x:c r="I257" s="12" t="str">
        <x:v>台北市</x:v>
      </x:c>
      <x:c r="J257" s="12" t="str">
        <x:v>500119078</x:v>
      </x:c>
      <x:c r="K257" s="12" t="str">
        <x:v>臺大森林館北側</x:v>
      </x:c>
      <x:c r="L257" s="12" t="str">
        <x:v>ZZB* 且調出/調入且車種2.0/2.0E</x:v>
      </x:c>
    </x:row>
    <x:row r="258">
      <x:c r="A258" s="12" t="str">
        <x:v>2026-09-03</x:v>
      </x:c>
      <x:c r="B258" s="12" t="str">
        <x:v>2026-09-03 08:17:44</x:v>
      </x:c>
      <x:c r="C258" s="12" t="str">
        <x:v>08:00</x:v>
      </x:c>
      <x:c r="D258" s="12" t="str">
        <x:v>06–09</x:v>
      </x:c>
      <x:c r="E258" s="12" t="str">
        <x:v>ZZB-0004</x:v>
      </x:c>
      <x:c r="F258" s="12" t="str">
        <x:v>調入</x:v>
      </x:c>
      <x:c r="G258" s="12" t="str">
        <x:v>2.0</x:v>
      </x:c>
      <x:c r="H258" s="13" t="n">
        <x:v>6</x:v>
      </x:c>
      <x:c r="I258" s="12" t="str">
        <x:v>台北市</x:v>
      </x:c>
      <x:c r="J258" s="12" t="str">
        <x:v>500119059</x:v>
      </x:c>
      <x:c r="K258" s="12" t="str">
        <x:v>臺大共同教室北側</x:v>
      </x:c>
      <x:c r="L258" s="12" t="str">
        <x:v>ZZB* 且調出/調入且車種2.0/2.0E</x:v>
      </x:c>
    </x:row>
    <x:row r="259">
      <x:c r="A259" s="12" t="str">
        <x:v>2026-09-03</x:v>
      </x:c>
      <x:c r="B259" s="12" t="str">
        <x:v>2026-09-03 08:32:59</x:v>
      </x:c>
      <x:c r="C259" s="12" t="str">
        <x:v>08:00</x:v>
      </x:c>
      <x:c r="D259" s="12" t="str">
        <x:v>06–09</x:v>
      </x:c>
      <x:c r="E259" s="12" t="str">
        <x:v>ZZB-0004</x:v>
      </x:c>
      <x:c r="F259" s="12" t="str">
        <x:v>調出</x:v>
      </x:c>
      <x:c r="G259" s="12" t="str">
        <x:v>2.0</x:v>
      </x:c>
      <x:c r="H259" s="13" t="n">
        <x:v>7</x:v>
      </x:c>
      <x:c r="I259" s="12" t="str">
        <x:v>台北市</x:v>
      </x:c>
      <x:c r="J259" s="12" t="str">
        <x:v>500119086</x:v>
      </x:c>
      <x:c r="K259" s="12" t="str">
        <x:v>臺大圖資系館北側</x:v>
      </x:c>
      <x:c r="L259" s="12" t="str">
        <x:v>ZZB* 且調出/調入且車種2.0/2.0E</x:v>
      </x:c>
    </x:row>
    <x:row r="260">
      <x:c r="A260" s="12" t="str">
        <x:v>2026-09-03</x:v>
      </x:c>
      <x:c r="B260" s="12" t="str">
        <x:v>2026-09-03 08:33:58</x:v>
      </x:c>
      <x:c r="C260" s="12" t="str">
        <x:v>08:00</x:v>
      </x:c>
      <x:c r="D260" s="12" t="str">
        <x:v>06–09</x:v>
      </x:c>
      <x:c r="E260" s="12" t="str">
        <x:v>ZZB-0004</x:v>
      </x:c>
      <x:c r="F260" s="12" t="str">
        <x:v>調入</x:v>
      </x:c>
      <x:c r="G260" s="12" t="str">
        <x:v>2.0</x:v>
      </x:c>
      <x:c r="H260" s="13" t="n">
        <x:v>7</x:v>
      </x:c>
      <x:c r="I260" s="12" t="str">
        <x:v>台北市</x:v>
      </x:c>
      <x:c r="J260" s="12" t="str">
        <x:v>500119061</x:v>
      </x:c>
      <x:c r="K260" s="12" t="str">
        <x:v>臺大鹿鳴堂東側</x:v>
      </x:c>
      <x:c r="L260" s="12" t="str">
        <x:v>ZZB* 且調出/調入且車種2.0/2.0E</x:v>
      </x:c>
    </x:row>
    <x:row r="261">
      <x:c r="A261" s="12" t="str">
        <x:v>2026-09-03</x:v>
      </x:c>
      <x:c r="B261" s="12" t="str">
        <x:v>2026-09-03 09:00:49</x:v>
      </x:c>
      <x:c r="C261" s="12" t="str">
        <x:v>09:00</x:v>
      </x:c>
      <x:c r="D261" s="12" t="str">
        <x:v>06–09</x:v>
      </x:c>
      <x:c r="E261" s="12" t="str">
        <x:v>ZZB-0004</x:v>
      </x:c>
      <x:c r="F261" s="12" t="str">
        <x:v>調出</x:v>
      </x:c>
      <x:c r="G261" s="12" t="str">
        <x:v>2.0</x:v>
      </x:c>
      <x:c r="H261" s="13" t="n">
        <x:v>7</x:v>
      </x:c>
      <x:c r="I261" s="12" t="str">
        <x:v>台北市</x:v>
      </x:c>
      <x:c r="J261" s="12" t="str">
        <x:v>500119086</x:v>
      </x:c>
      <x:c r="K261" s="12" t="str">
        <x:v>臺大圖資系館北側</x:v>
      </x:c>
      <x:c r="L261" s="12" t="str">
        <x:v>ZZB* 且調出/調入且車種2.0/2.0E</x:v>
      </x:c>
    </x:row>
    <x:row r="262">
      <x:c r="A262" s="12" t="str">
        <x:v>2026-09-03</x:v>
      </x:c>
      <x:c r="B262" s="12" t="str">
        <x:v>2026-09-03 09:01:04</x:v>
      </x:c>
      <x:c r="C262" s="12" t="str">
        <x:v>09:00</x:v>
      </x:c>
      <x:c r="D262" s="12" t="str">
        <x:v>06–09</x:v>
      </x:c>
      <x:c r="E262" s="12" t="str">
        <x:v>ZZB-0004</x:v>
      </x:c>
      <x:c r="F262" s="12" t="str">
        <x:v>調入</x:v>
      </x:c>
      <x:c r="G262" s="12" t="str">
        <x:v>2.0</x:v>
      </x:c>
      <x:c r="H262" s="13" t="n">
        <x:v>7</x:v>
      </x:c>
      <x:c r="I262" s="12" t="str">
        <x:v>台北市</x:v>
      </x:c>
      <x:c r="J262" s="12" t="str">
        <x:v>500119060</x:v>
      </x:c>
      <x:c r="K262" s="12" t="str">
        <x:v>臺大共同教室東南側</x:v>
      </x:c>
      <x:c r="L262" s="12" t="str">
        <x:v>ZZB* 且調出/調入且車種2.0/2.0E</x:v>
      </x:c>
    </x:row>
    <x:row r="263">
      <x:c r="A263" s="12" t="str">
        <x:v>2026-09-03</x:v>
      </x:c>
      <x:c r="B263" s="12" t="str">
        <x:v>2026-09-03 09:17:44</x:v>
      </x:c>
      <x:c r="C263" s="12" t="str">
        <x:v>09:00</x:v>
      </x:c>
      <x:c r="D263" s="12" t="str">
        <x:v>06–09</x:v>
      </x:c>
      <x:c r="E263" s="12" t="str">
        <x:v>ZZB-0004</x:v>
      </x:c>
      <x:c r="F263" s="12" t="str">
        <x:v>調出</x:v>
      </x:c>
      <x:c r="G263" s="12" t="str">
        <x:v>2.0</x:v>
      </x:c>
      <x:c r="H263" s="13" t="n">
        <x:v>7</x:v>
      </x:c>
      <x:c r="I263" s="12" t="str">
        <x:v>台北市</x:v>
      </x:c>
      <x:c r="J263" s="12" t="str">
        <x:v>500119087</x:v>
      </x:c>
      <x:c r="K263" s="12" t="str">
        <x:v>臺大總圖書館西南側</x:v>
      </x:c>
      <x:c r="L263" s="12" t="str">
        <x:v>ZZB* 且調出/調入且車種2.0/2.0E</x:v>
      </x:c>
    </x:row>
    <x:row r="264">
      <x:c r="A264" s="12" t="str">
        <x:v>2026-09-03</x:v>
      </x:c>
      <x:c r="B264" s="12" t="str">
        <x:v>2026-09-03 09:18:11</x:v>
      </x:c>
      <x:c r="C264" s="12" t="str">
        <x:v>09:00</x:v>
      </x:c>
      <x:c r="D264" s="12" t="str">
        <x:v>06–09</x:v>
      </x:c>
      <x:c r="E264" s="12" t="str">
        <x:v>ZZB-0004</x:v>
      </x:c>
      <x:c r="F264" s="12" t="str">
        <x:v>調入</x:v>
      </x:c>
      <x:c r="G264" s="12" t="str">
        <x:v>2.0</x:v>
      </x:c>
      <x:c r="H264" s="13" t="n">
        <x:v>7</x:v>
      </x:c>
      <x:c r="I264" s="12" t="str">
        <x:v>台北市</x:v>
      </x:c>
      <x:c r="J264" s="12" t="str">
        <x:v>500119061</x:v>
      </x:c>
      <x:c r="K264" s="12" t="str">
        <x:v>臺大鹿鳴堂東側</x:v>
      </x:c>
      <x:c r="L264" s="12" t="str">
        <x:v>ZZB* 且調出/調入且車種2.0/2.0E</x:v>
      </x:c>
    </x:row>
    <x:row r="265">
      <x:c r="A265" s="12" t="str">
        <x:v>2026-09-03</x:v>
      </x:c>
      <x:c r="B265" s="12" t="str">
        <x:v>2026-09-03 09:44:30</x:v>
      </x:c>
      <x:c r="C265" s="12" t="str">
        <x:v>09:00</x:v>
      </x:c>
      <x:c r="D265" s="12" t="str">
        <x:v>06–09</x:v>
      </x:c>
      <x:c r="E265" s="12" t="str">
        <x:v>ZZB-0004</x:v>
      </x:c>
      <x:c r="F265" s="12" t="str">
        <x:v>調出</x:v>
      </x:c>
      <x:c r="G265" s="12" t="str">
        <x:v>2.0</x:v>
      </x:c>
      <x:c r="H265" s="13" t="n">
        <x:v>7</x:v>
      </x:c>
      <x:c r="I265" s="12" t="str">
        <x:v>台北市</x:v>
      </x:c>
      <x:c r="J265" s="12" t="str">
        <x:v>500119078</x:v>
      </x:c>
      <x:c r="K265" s="12" t="str">
        <x:v>臺大森林館北側</x:v>
      </x:c>
      <x:c r="L265" s="12" t="str">
        <x:v>ZZB* 且調出/調入且車種2.0/2.0E</x:v>
      </x:c>
    </x:row>
    <x:row r="266">
      <x:c r="A266" s="12" t="str">
        <x:v>2026-09-03</x:v>
      </x:c>
      <x:c r="B266" s="12" t="str">
        <x:v>2026-09-03 09:44:46</x:v>
      </x:c>
      <x:c r="C266" s="12" t="str">
        <x:v>09:00</x:v>
      </x:c>
      <x:c r="D266" s="12" t="str">
        <x:v>06–09</x:v>
      </x:c>
      <x:c r="E266" s="12" t="str">
        <x:v>ZZB-0004</x:v>
      </x:c>
      <x:c r="F266" s="12" t="str">
        <x:v>調入</x:v>
      </x:c>
      <x:c r="G266" s="12" t="str">
        <x:v>2.0</x:v>
      </x:c>
      <x:c r="H266" s="13" t="n">
        <x:v>7</x:v>
      </x:c>
      <x:c r="I266" s="12" t="str">
        <x:v>台北市</x:v>
      </x:c>
      <x:c r="J266" s="12" t="str">
        <x:v>500119094</x:v>
      </x:c>
      <x:c r="K266" s="12" t="str">
        <x:v>臺大大一女餐廳廣場</x:v>
      </x:c>
      <x:c r="L266" s="12" t="str">
        <x:v>ZZB* 且調出/調入且車種2.0/2.0E</x:v>
      </x:c>
    </x:row>
    <x:row r="267">
      <x:c r="A267" s="12" t="str">
        <x:v>2026-09-03</x:v>
      </x:c>
      <x:c r="B267" s="12" t="str">
        <x:v>2026-09-03 10:08:04</x:v>
      </x:c>
      <x:c r="C267" s="12" t="str">
        <x:v>10:00</x:v>
      </x:c>
      <x:c r="D267" s="12" t="str">
        <x:v>10–13</x:v>
      </x:c>
      <x:c r="E267" s="12" t="str">
        <x:v>ZZB-0004</x:v>
      </x:c>
      <x:c r="F267" s="12" t="str">
        <x:v>調出</x:v>
      </x:c>
      <x:c r="G267" s="12" t="str">
        <x:v>2.0</x:v>
      </x:c>
      <x:c r="H267" s="13" t="n">
        <x:v>7</x:v>
      </x:c>
      <x:c r="I267" s="12" t="str">
        <x:v>台北市</x:v>
      </x:c>
      <x:c r="J267" s="12" t="str">
        <x:v>500119086</x:v>
      </x:c>
      <x:c r="K267" s="12" t="str">
        <x:v>臺大圖資系館北側</x:v>
      </x:c>
      <x:c r="L267" s="12" t="str">
        <x:v>ZZB* 且調出/調入且車種2.0/2.0E</x:v>
      </x:c>
    </x:row>
    <x:row r="268">
      <x:c r="A268" s="12" t="str">
        <x:v>2026-09-03</x:v>
      </x:c>
      <x:c r="B268" s="12" t="str">
        <x:v>2026-09-03 10:08:18</x:v>
      </x:c>
      <x:c r="C268" s="12" t="str">
        <x:v>10:00</x:v>
      </x:c>
      <x:c r="D268" s="12" t="str">
        <x:v>10–13</x:v>
      </x:c>
      <x:c r="E268" s="12" t="str">
        <x:v>ZZB-0004</x:v>
      </x:c>
      <x:c r="F268" s="12" t="str">
        <x:v>調入</x:v>
      </x:c>
      <x:c r="G268" s="12" t="str">
        <x:v>2.0</x:v>
      </x:c>
      <x:c r="H268" s="13" t="n">
        <x:v>7</x:v>
      </x:c>
      <x:c r="I268" s="12" t="str">
        <x:v>台北市</x:v>
      </x:c>
      <x:c r="J268" s="12" t="str">
        <x:v>500119059</x:v>
      </x:c>
      <x:c r="K268" s="12" t="str">
        <x:v>臺大共同教室北側</x:v>
      </x:c>
      <x:c r="L268" s="12" t="str">
        <x:v>ZZB* 且調出/調入且車種2.0/2.0E</x:v>
      </x:c>
    </x:row>
    <x:row r="269">
      <x:c r="A269" s="12" t="str">
        <x:v>2026-09-03</x:v>
      </x:c>
      <x:c r="B269" s="12" t="str">
        <x:v>2026-09-03 10:23:48</x:v>
      </x:c>
      <x:c r="C269" s="12" t="str">
        <x:v>10:00</x:v>
      </x:c>
      <x:c r="D269" s="12" t="str">
        <x:v>10–13</x:v>
      </x:c>
      <x:c r="E269" s="12" t="str">
        <x:v>ZZB-0004</x:v>
      </x:c>
      <x:c r="F269" s="12" t="str">
        <x:v>調出</x:v>
      </x:c>
      <x:c r="G269" s="12" t="str">
        <x:v>2.0</x:v>
      </x:c>
      <x:c r="H269" s="13" t="n">
        <x:v>5</x:v>
      </x:c>
      <x:c r="I269" s="12" t="str">
        <x:v>台北市</x:v>
      </x:c>
      <x:c r="J269" s="12" t="str">
        <x:v>500119087</x:v>
      </x:c>
      <x:c r="K269" s="12" t="str">
        <x:v>臺大總圖書館西南側</x:v>
      </x:c>
      <x:c r="L269" s="12" t="str">
        <x:v>ZZB* 且調出/調入且車種2.0/2.0E</x:v>
      </x:c>
    </x:row>
    <x:row r="270">
      <x:c r="A270" s="12" t="str">
        <x:v>2026-09-03</x:v>
      </x:c>
      <x:c r="B270" s="12" t="str">
        <x:v>2026-09-03 10:24:05</x:v>
      </x:c>
      <x:c r="C270" s="12" t="str">
        <x:v>10:00</x:v>
      </x:c>
      <x:c r="D270" s="12" t="str">
        <x:v>10–13</x:v>
      </x:c>
      <x:c r="E270" s="12" t="str">
        <x:v>ZZB-0004</x:v>
      </x:c>
      <x:c r="F270" s="12" t="str">
        <x:v>調入</x:v>
      </x:c>
      <x:c r="G270" s="12" t="str">
        <x:v>2.0</x:v>
      </x:c>
      <x:c r="H270" s="13" t="n">
        <x:v>5</x:v>
      </x:c>
      <x:c r="I270" s="12" t="str">
        <x:v>台北市</x:v>
      </x:c>
      <x:c r="J270" s="12" t="str">
        <x:v>500119060</x:v>
      </x:c>
      <x:c r="K270" s="12" t="str">
        <x:v>臺大共同教室東南側</x:v>
      </x:c>
      <x:c r="L270" s="12" t="str">
        <x:v>ZZB* 且調出/調入且車種2.0/2.0E</x:v>
      </x:c>
    </x:row>
    <x:row r="271">
      <x:c r="A271" s="12" t="str">
        <x:v>2026-09-03</x:v>
      </x:c>
      <x:c r="B271" s="12" t="str">
        <x:v>2026-09-03 10:46:23</x:v>
      </x:c>
      <x:c r="C271" s="12" t="str">
        <x:v>10:00</x:v>
      </x:c>
      <x:c r="D271" s="12" t="str">
        <x:v>10–13</x:v>
      </x:c>
      <x:c r="E271" s="12" t="str">
        <x:v>ZZB-0004</x:v>
      </x:c>
      <x:c r="F271" s="12" t="str">
        <x:v>調出</x:v>
      </x:c>
      <x:c r="G271" s="12" t="str">
        <x:v>2.0</x:v>
      </x:c>
      <x:c r="H271" s="13" t="n">
        <x:v>6</x:v>
      </x:c>
      <x:c r="I271" s="12" t="str">
        <x:v>台北市</x:v>
      </x:c>
      <x:c r="J271" s="12" t="str">
        <x:v>500119074</x:v>
      </x:c>
      <x:c r="K271" s="12" t="str">
        <x:v>臺大生命科學館西北側</x:v>
      </x:c>
      <x:c r="L271" s="12" t="str">
        <x:v>ZZB* 且調出/調入且車種2.0/2.0E</x:v>
      </x:c>
    </x:row>
    <x:row r="272">
      <x:c r="A272" s="12" t="str">
        <x:v>2026-09-03</x:v>
      </x:c>
      <x:c r="B272" s="12" t="str">
        <x:v>2026-09-03 10:46:36</x:v>
      </x:c>
      <x:c r="C272" s="12" t="str">
        <x:v>10:00</x:v>
      </x:c>
      <x:c r="D272" s="12" t="str">
        <x:v>10–13</x:v>
      </x:c>
      <x:c r="E272" s="12" t="str">
        <x:v>ZZB-0004</x:v>
      </x:c>
      <x:c r="F272" s="12" t="str">
        <x:v>調入</x:v>
      </x:c>
      <x:c r="G272" s="12" t="str">
        <x:v>2.0</x:v>
      </x:c>
      <x:c r="H272" s="13" t="n">
        <x:v>6</x:v>
      </x:c>
      <x:c r="I272" s="12" t="str">
        <x:v>台北市</x:v>
      </x:c>
      <x:c r="J272" s="12" t="str">
        <x:v>500119094</x:v>
      </x:c>
      <x:c r="K272" s="12" t="str">
        <x:v>臺大大一女餐廳廣場</x:v>
      </x:c>
      <x:c r="L272" s="12" t="str">
        <x:v>ZZB* 且調出/調入且車種2.0/2.0E</x:v>
      </x:c>
    </x:row>
    <x:row r="273">
      <x:c r="A273" s="12" t="str">
        <x:v>2026-09-03</x:v>
      </x:c>
      <x:c r="B273" s="12" t="str">
        <x:v>2026-09-03 10:54:38</x:v>
      </x:c>
      <x:c r="C273" s="12" t="str">
        <x:v>10:00</x:v>
      </x:c>
      <x:c r="D273" s="12" t="str">
        <x:v>10–13</x:v>
      </x:c>
      <x:c r="E273" s="12" t="str">
        <x:v>ZZB-0004</x:v>
      </x:c>
      <x:c r="F273" s="12" t="str">
        <x:v>調出</x:v>
      </x:c>
      <x:c r="G273" s="12" t="str">
        <x:v>2.0</x:v>
      </x:c>
      <x:c r="H273" s="13" t="n">
        <x:v>7</x:v>
      </x:c>
      <x:c r="I273" s="12" t="str">
        <x:v>台北市</x:v>
      </x:c>
      <x:c r="J273" s="12" t="str">
        <x:v>500119087</x:v>
      </x:c>
      <x:c r="K273" s="12" t="str">
        <x:v>臺大總圖書館西南側</x:v>
      </x:c>
      <x:c r="L273" s="12" t="str">
        <x:v>ZZB* 且調出/調入且車種2.0/2.0E</x:v>
      </x:c>
    </x:row>
    <x:row r="274">
      <x:c r="A274" s="12" t="str">
        <x:v>2026-09-03</x:v>
      </x:c>
      <x:c r="B274" s="12" t="str">
        <x:v>2026-09-03 10:54:53</x:v>
      </x:c>
      <x:c r="C274" s="12" t="str">
        <x:v>10:00</x:v>
      </x:c>
      <x:c r="D274" s="12" t="str">
        <x:v>10–13</x:v>
      </x:c>
      <x:c r="E274" s="12" t="str">
        <x:v>ZZB-0004</x:v>
      </x:c>
      <x:c r="F274" s="12" t="str">
        <x:v>調入</x:v>
      </x:c>
      <x:c r="G274" s="12" t="str">
        <x:v>2.0</x:v>
      </x:c>
      <x:c r="H274" s="13" t="n">
        <x:v>7</x:v>
      </x:c>
      <x:c r="I274" s="12" t="str">
        <x:v>台北市</x:v>
      </x:c>
      <x:c r="J274" s="12" t="str">
        <x:v>500119061</x:v>
      </x:c>
      <x:c r="K274" s="12" t="str">
        <x:v>臺大鹿鳴堂東側</x:v>
      </x:c>
      <x:c r="L274" s="12" t="str">
        <x:v>ZZB* 且調出/調入且車種2.0/2.0E</x:v>
      </x:c>
    </x:row>
    <x:row r="275">
      <x:c r="A275" s="12" t="str">
        <x:v>2026-09-03</x:v>
      </x:c>
      <x:c r="B275" s="12" t="str">
        <x:v>2026-09-03 11:18:44</x:v>
      </x:c>
      <x:c r="C275" s="12" t="str">
        <x:v>11:00</x:v>
      </x:c>
      <x:c r="D275" s="12" t="str">
        <x:v>10–13</x:v>
      </x:c>
      <x:c r="E275" s="12" t="str">
        <x:v>ZZB-0004</x:v>
      </x:c>
      <x:c r="F275" s="12" t="str">
        <x:v>調出</x:v>
      </x:c>
      <x:c r="G275" s="12" t="str">
        <x:v>2.0</x:v>
      </x:c>
      <x:c r="H275" s="13" t="n">
        <x:v>7</x:v>
      </x:c>
      <x:c r="I275" s="12" t="str">
        <x:v>台北市</x:v>
      </x:c>
      <x:c r="J275" s="12" t="str">
        <x:v>500119083</x:v>
      </x:c>
      <x:c r="K275" s="12" t="str">
        <x:v>臺大新生教室南側</x:v>
      </x:c>
      <x:c r="L275" s="12" t="str">
        <x:v>ZZB* 且調出/調入且車種2.0/2.0E</x:v>
      </x:c>
    </x:row>
    <x:row r="276">
      <x:c r="A276" s="12" t="str">
        <x:v>2026-09-03</x:v>
      </x:c>
      <x:c r="B276" s="12" t="str">
        <x:v>2026-09-03 11:18:59</x:v>
      </x:c>
      <x:c r="C276" s="12" t="str">
        <x:v>11:00</x:v>
      </x:c>
      <x:c r="D276" s="12" t="str">
        <x:v>10–13</x:v>
      </x:c>
      <x:c r="E276" s="12" t="str">
        <x:v>ZZB-0004</x:v>
      </x:c>
      <x:c r="F276" s="12" t="str">
        <x:v>調入</x:v>
      </x:c>
      <x:c r="G276" s="12" t="str">
        <x:v>2.0</x:v>
      </x:c>
      <x:c r="H276" s="13" t="n">
        <x:v>7</x:v>
      </x:c>
      <x:c r="I276" s="12" t="str">
        <x:v>台北市</x:v>
      </x:c>
      <x:c r="J276" s="12" t="str">
        <x:v>500119070</x:v>
      </x:c>
      <x:c r="K276" s="12" t="str">
        <x:v>臺大椰林小舖</x:v>
      </x:c>
      <x:c r="L276" s="12" t="str">
        <x:v>ZZB* 且調出/調入且車種2.0/2.0E</x:v>
      </x:c>
    </x:row>
    <x:row r="277">
      <x:c r="A277" s="12" t="str">
        <x:v>2026-09-03</x:v>
      </x:c>
      <x:c r="B277" s="12" t="str">
        <x:v>2026-09-03 12:35:33</x:v>
      </x:c>
      <x:c r="C277" s="12" t="str">
        <x:v>12:00</x:v>
      </x:c>
      <x:c r="D277" s="12" t="str">
        <x:v>10–13</x:v>
      </x:c>
      <x:c r="E277" s="12" t="str">
        <x:v>ZZB-0004</x:v>
      </x:c>
      <x:c r="F277" s="12" t="str">
        <x:v>調出</x:v>
      </x:c>
      <x:c r="G277" s="12" t="str">
        <x:v>2.0</x:v>
      </x:c>
      <x:c r="H277" s="13" t="n">
        <x:v>7</x:v>
      </x:c>
      <x:c r="I277" s="12" t="str">
        <x:v>台北市</x:v>
      </x:c>
      <x:c r="J277" s="12" t="str">
        <x:v>500119086</x:v>
      </x:c>
      <x:c r="K277" s="12" t="str">
        <x:v>臺大圖資系館北側</x:v>
      </x:c>
      <x:c r="L277" s="12" t="str">
        <x:v>ZZB* 且調出/調入且車種2.0/2.0E</x:v>
      </x:c>
    </x:row>
    <x:row r="278">
      <x:c r="A278" s="12" t="str">
        <x:v>2026-09-03</x:v>
      </x:c>
      <x:c r="B278" s="12" t="str">
        <x:v>2026-09-03 12:35:44</x:v>
      </x:c>
      <x:c r="C278" s="12" t="str">
        <x:v>12:00</x:v>
      </x:c>
      <x:c r="D278" s="12" t="str">
        <x:v>10–13</x:v>
      </x:c>
      <x:c r="E278" s="12" t="str">
        <x:v>ZZB-0004</x:v>
      </x:c>
      <x:c r="F278" s="12" t="str">
        <x:v>調入</x:v>
      </x:c>
      <x:c r="G278" s="12" t="str">
        <x:v>2.0</x:v>
      </x:c>
      <x:c r="H278" s="13" t="n">
        <x:v>7</x:v>
      </x:c>
      <x:c r="I278" s="12" t="str">
        <x:v>台北市</x:v>
      </x:c>
      <x:c r="J278" s="12" t="str">
        <x:v>500119061</x:v>
      </x:c>
      <x:c r="K278" s="12" t="str">
        <x:v>臺大鹿鳴堂東側</x:v>
      </x:c>
      <x:c r="L278" s="12" t="str">
        <x:v>ZZB* 且調出/調入且車種2.0/2.0E</x:v>
      </x:c>
    </x:row>
    <x:row r="279">
      <x:c r="A279" s="12" t="str">
        <x:v>2026-09-03</x:v>
      </x:c>
      <x:c r="B279" s="12" t="str">
        <x:v>2026-09-03 13:07:56</x:v>
      </x:c>
      <x:c r="C279" s="12" t="str">
        <x:v>13:00</x:v>
      </x:c>
      <x:c r="D279" s="12" t="str">
        <x:v>10–13</x:v>
      </x:c>
      <x:c r="E279" s="12" t="str">
        <x:v>ZZB-0004</x:v>
      </x:c>
      <x:c r="F279" s="12" t="str">
        <x:v>調出</x:v>
      </x:c>
      <x:c r="G279" s="12" t="str">
        <x:v>2.0</x:v>
      </x:c>
      <x:c r="H279" s="13" t="n">
        <x:v>7</x:v>
      </x:c>
      <x:c r="I279" s="12" t="str">
        <x:v>台北市</x:v>
      </x:c>
      <x:c r="J279" s="12" t="str">
        <x:v>500119054</x:v>
      </x:c>
      <x:c r="K279" s="12" t="str">
        <x:v>臺大心理系館南側</x:v>
      </x:c>
      <x:c r="L279" s="12" t="str">
        <x:v>ZZB* 且調出/調入且車種2.0/2.0E</x:v>
      </x:c>
    </x:row>
    <x:row r="280">
      <x:c r="A280" s="12" t="str">
        <x:v>2026-09-03</x:v>
      </x:c>
      <x:c r="B280" s="12" t="str">
        <x:v>2026-09-03 13:08:07</x:v>
      </x:c>
      <x:c r="C280" s="12" t="str">
        <x:v>13:00</x:v>
      </x:c>
      <x:c r="D280" s="12" t="str">
        <x:v>10–13</x:v>
      </x:c>
      <x:c r="E280" s="12" t="str">
        <x:v>ZZB-0004</x:v>
      </x:c>
      <x:c r="F280" s="12" t="str">
        <x:v>調入</x:v>
      </x:c>
      <x:c r="G280" s="12" t="str">
        <x:v>2.0</x:v>
      </x:c>
      <x:c r="H280" s="13" t="n">
        <x:v>7</x:v>
      </x:c>
      <x:c r="I280" s="12" t="str">
        <x:v>台北市</x:v>
      </x:c>
      <x:c r="J280" s="12" t="str">
        <x:v>500119094</x:v>
      </x:c>
      <x:c r="K280" s="12" t="str">
        <x:v>臺大大一女餐廳廣場</x:v>
      </x:c>
      <x:c r="L280" s="12" t="str">
        <x:v>ZZB* 且調出/調入且車種2.0/2.0E</x:v>
      </x:c>
    </x:row>
    <x:row r="281">
      <x:c r="A281" s="12" t="str">
        <x:v>2026-09-03</x:v>
      </x:c>
      <x:c r="B281" s="12" t="str">
        <x:v>2026-09-03 13:37:36</x:v>
      </x:c>
      <x:c r="C281" s="12" t="str">
        <x:v>13:00</x:v>
      </x:c>
      <x:c r="D281" s="12" t="str">
        <x:v>10–13</x:v>
      </x:c>
      <x:c r="E281" s="12" t="str">
        <x:v>ZZB-0004</x:v>
      </x:c>
      <x:c r="F281" s="12" t="str">
        <x:v>調出</x:v>
      </x:c>
      <x:c r="G281" s="12" t="str">
        <x:v>2.0</x:v>
      </x:c>
      <x:c r="H281" s="13" t="n">
        <x:v>6</x:v>
      </x:c>
      <x:c r="I281" s="12" t="str">
        <x:v>台北市</x:v>
      </x:c>
      <x:c r="J281" s="12" t="str">
        <x:v>500119054</x:v>
      </x:c>
      <x:c r="K281" s="12" t="str">
        <x:v>臺大心理系館南側</x:v>
      </x:c>
      <x:c r="L281" s="12" t="str">
        <x:v>ZZB* 且調出/調入且車種2.0/2.0E</x:v>
      </x:c>
    </x:row>
    <x:row r="282">
      <x:c r="A282" s="12" t="str">
        <x:v>2026-09-03</x:v>
      </x:c>
      <x:c r="B282" s="12" t="str">
        <x:v>2026-09-03 13:37:50</x:v>
      </x:c>
      <x:c r="C282" s="12" t="str">
        <x:v>13:00</x:v>
      </x:c>
      <x:c r="D282" s="12" t="str">
        <x:v>10–13</x:v>
      </x:c>
      <x:c r="E282" s="12" t="str">
        <x:v>ZZB-0004</x:v>
      </x:c>
      <x:c r="F282" s="12" t="str">
        <x:v>調入</x:v>
      </x:c>
      <x:c r="G282" s="12" t="str">
        <x:v>2.0</x:v>
      </x:c>
      <x:c r="H282" s="13" t="n">
        <x:v>6</x:v>
      </x:c>
      <x:c r="I282" s="12" t="str">
        <x:v>台北市</x:v>
      </x:c>
      <x:c r="J282" s="12" t="str">
        <x:v>500119048</x:v>
      </x:c>
      <x:c r="K282" s="12" t="str">
        <x:v>臺大大一女舍北側</x:v>
      </x:c>
      <x:c r="L282" s="12" t="str">
        <x:v>ZZB* 且調出/調入且車種2.0/2.0E</x:v>
      </x:c>
    </x:row>
    <x:row r="283">
      <x:c r="A283" s="12" t="str">
        <x:v>2026-09-03</x:v>
      </x:c>
      <x:c r="B283" s="12" t="str">
        <x:v>2026-09-03 13:59:57</x:v>
      </x:c>
      <x:c r="C283" s="12" t="str">
        <x:v>13:00</x:v>
      </x:c>
      <x:c r="D283" s="12" t="str">
        <x:v>10–13</x:v>
      </x:c>
      <x:c r="E283" s="12" t="str">
        <x:v>ZZB-0004</x:v>
      </x:c>
      <x:c r="F283" s="12" t="str">
        <x:v>調出</x:v>
      </x:c>
      <x:c r="G283" s="12" t="str">
        <x:v>2.0</x:v>
      </x:c>
      <x:c r="H283" s="13" t="n">
        <x:v>5</x:v>
      </x:c>
      <x:c r="I283" s="12" t="str">
        <x:v>台北市</x:v>
      </x:c>
      <x:c r="J283" s="12" t="str">
        <x:v>500119050</x:v>
      </x:c>
      <x:c r="K283" s="12" t="str">
        <x:v>臺大小福樓東側</x:v>
      </x:c>
      <x:c r="L283" s="12" t="str">
        <x:v>ZZB* 且調出/調入且車種2.0/2.0E</x:v>
      </x:c>
    </x:row>
    <x:row r="284">
      <x:c r="A284" s="12" t="str">
        <x:v>2026-09-03</x:v>
      </x:c>
      <x:c r="B284" s="12" t="str">
        <x:v>2026-09-03 14:00:57</x:v>
      </x:c>
      <x:c r="C284" s="12" t="str">
        <x:v>14:00</x:v>
      </x:c>
      <x:c r="D284" s="12" t="str">
        <x:v>14–17</x:v>
      </x:c>
      <x:c r="E284" s="12" t="str">
        <x:v>ZZB-0004</x:v>
      </x:c>
      <x:c r="F284" s="12" t="str">
        <x:v>調入</x:v>
      </x:c>
      <x:c r="G284" s="12" t="str">
        <x:v>2.0</x:v>
      </x:c>
      <x:c r="H284" s="13" t="n">
        <x:v>5</x:v>
      </x:c>
      <x:c r="I284" s="12" t="str">
        <x:v>台北市</x:v>
      </x:c>
      <x:c r="J284" s="12" t="str">
        <x:v>500119070</x:v>
      </x:c>
      <x:c r="K284" s="12" t="str">
        <x:v>臺大椰林小舖</x:v>
      </x:c>
      <x:c r="L284" s="12" t="str">
        <x:v>ZZB* 且調出/調入且車種2.0/2.0E</x:v>
      </x:c>
    </x:row>
    <x:row r="285">
      <x:c r="A285" s="12" t="str">
        <x:v>2026-09-03</x:v>
      </x:c>
      <x:c r="B285" s="12" t="str">
        <x:v>2026-09-03 14:18:59</x:v>
      </x:c>
      <x:c r="C285" s="12" t="str">
        <x:v>14:00</x:v>
      </x:c>
      <x:c r="D285" s="12" t="str">
        <x:v>14–17</x:v>
      </x:c>
      <x:c r="E285" s="12" t="str">
        <x:v>ZZB-0004</x:v>
      </x:c>
      <x:c r="F285" s="12" t="str">
        <x:v>調出</x:v>
      </x:c>
      <x:c r="G285" s="12" t="str">
        <x:v>2.0</x:v>
      </x:c>
      <x:c r="H285" s="13" t="n">
        <x:v>6</x:v>
      </x:c>
      <x:c r="I285" s="12" t="str">
        <x:v>台北市</x:v>
      </x:c>
      <x:c r="J285" s="12" t="str">
        <x:v>500119074</x:v>
      </x:c>
      <x:c r="K285" s="12" t="str">
        <x:v>臺大生命科學館西北側</x:v>
      </x:c>
      <x:c r="L285" s="12" t="str">
        <x:v>ZZB* 且調出/調入且車種2.0/2.0E</x:v>
      </x:c>
    </x:row>
    <x:row r="286">
      <x:c r="A286" s="12" t="str">
        <x:v>2026-09-03</x:v>
      </x:c>
      <x:c r="B286" s="12" t="str">
        <x:v>2026-09-03 14:19:18</x:v>
      </x:c>
      <x:c r="C286" s="12" t="str">
        <x:v>14:00</x:v>
      </x:c>
      <x:c r="D286" s="12" t="str">
        <x:v>14–17</x:v>
      </x:c>
      <x:c r="E286" s="12" t="str">
        <x:v>ZZB-0004</x:v>
      </x:c>
      <x:c r="F286" s="12" t="str">
        <x:v>調入</x:v>
      </x:c>
      <x:c r="G286" s="12" t="str">
        <x:v>2.0</x:v>
      </x:c>
      <x:c r="H286" s="13" t="n">
        <x:v>6</x:v>
      </x:c>
      <x:c r="I286" s="12" t="str">
        <x:v>台北市</x:v>
      </x:c>
      <x:c r="J286" s="12" t="str">
        <x:v>500119091</x:v>
      </x:c>
      <x:c r="K286" s="12" t="str">
        <x:v>臺大明達館北側(員工宿舍)</x:v>
      </x:c>
      <x:c r="L286" s="12" t="str">
        <x:v>ZZB* 且調出/調入且車種2.0/2.0E</x:v>
      </x:c>
    </x:row>
    <x:row r="287">
      <x:c r="A287" s="12" t="str">
        <x:v>2026-09-03</x:v>
      </x:c>
      <x:c r="B287" s="12" t="str">
        <x:v>2026-09-03 08:17:30</x:v>
      </x:c>
      <x:c r="C287" s="12" t="str">
        <x:v>08:00</x:v>
      </x:c>
      <x:c r="D287" s="12" t="str">
        <x:v>06–09</x:v>
      </x:c>
      <x:c r="E287" s="12" t="str">
        <x:v>ZZB-0004</x:v>
      </x:c>
      <x:c r="F287" s="12" t="str">
        <x:v>調出</x:v>
      </x:c>
      <x:c r="G287" s="12" t="str">
        <x:v>2.0E</x:v>
      </x:c>
      <x:c r="H287" s="13" t="n">
        <x:v>1</x:v>
      </x:c>
      <x:c r="I287" s="12" t="str">
        <x:v>台北市</x:v>
      </x:c>
      <x:c r="J287" s="12" t="str">
        <x:v>500119078</x:v>
      </x:c>
      <x:c r="K287" s="12" t="str">
        <x:v>臺大森林館北側</x:v>
      </x:c>
      <x:c r="L287" s="12" t="str">
        <x:v>ZZB* 且調出/調入且車種2.0/2.0E</x:v>
      </x:c>
    </x:row>
    <x:row r="288">
      <x:c r="A288" s="12" t="str">
        <x:v>2026-09-03</x:v>
      </x:c>
      <x:c r="B288" s="12" t="str">
        <x:v>2026-09-03 08:17:44</x:v>
      </x:c>
      <x:c r="C288" s="12" t="str">
        <x:v>08:00</x:v>
      </x:c>
      <x:c r="D288" s="12" t="str">
        <x:v>06–09</x:v>
      </x:c>
      <x:c r="E288" s="12" t="str">
        <x:v>ZZB-0004</x:v>
      </x:c>
      <x:c r="F288" s="12" t="str">
        <x:v>調入</x:v>
      </x:c>
      <x:c r="G288" s="12" t="str">
        <x:v>2.0E</x:v>
      </x:c>
      <x:c r="H288" s="13" t="n">
        <x:v>1</x:v>
      </x:c>
      <x:c r="I288" s="12" t="str">
        <x:v>台北市</x:v>
      </x:c>
      <x:c r="J288" s="12" t="str">
        <x:v>500119059</x:v>
      </x:c>
      <x:c r="K288" s="12" t="str">
        <x:v>臺大共同教室北側</x:v>
      </x:c>
      <x:c r="L288" s="12" t="str">
        <x:v>ZZB* 且調出/調入且車種2.0/2.0E</x:v>
      </x:c>
    </x:row>
    <x:row r="289">
      <x:c r="A289" s="12" t="str">
        <x:v>2026-09-03</x:v>
      </x:c>
      <x:c r="B289" s="12" t="str">
        <x:v>2026-09-03 10:23:48</x:v>
      </x:c>
      <x:c r="C289" s="12" t="str">
        <x:v>10:00</x:v>
      </x:c>
      <x:c r="D289" s="12" t="str">
        <x:v>10–13</x:v>
      </x:c>
      <x:c r="E289" s="12" t="str">
        <x:v>ZZB-0004</x:v>
      </x:c>
      <x:c r="F289" s="12" t="str">
        <x:v>調出</x:v>
      </x:c>
      <x:c r="G289" s="12" t="str">
        <x:v>2.0E</x:v>
      </x:c>
      <x:c r="H289" s="13" t="n">
        <x:v>2</x:v>
      </x:c>
      <x:c r="I289" s="12" t="str">
        <x:v>台北市</x:v>
      </x:c>
      <x:c r="J289" s="12" t="str">
        <x:v>500119087</x:v>
      </x:c>
      <x:c r="K289" s="12" t="str">
        <x:v>臺大總圖書館西南側</x:v>
      </x:c>
      <x:c r="L289" s="12" t="str">
        <x:v>ZZB* 且調出/調入且車種2.0/2.0E</x:v>
      </x:c>
    </x:row>
    <x:row r="290">
      <x:c r="A290" s="12" t="str">
        <x:v>2026-09-03</x:v>
      </x:c>
      <x:c r="B290" s="12" t="str">
        <x:v>2026-09-03 10:24:05</x:v>
      </x:c>
      <x:c r="C290" s="12" t="str">
        <x:v>10:00</x:v>
      </x:c>
      <x:c r="D290" s="12" t="str">
        <x:v>10–13</x:v>
      </x:c>
      <x:c r="E290" s="12" t="str">
        <x:v>ZZB-0004</x:v>
      </x:c>
      <x:c r="F290" s="12" t="str">
        <x:v>調入</x:v>
      </x:c>
      <x:c r="G290" s="12" t="str">
        <x:v>2.0E</x:v>
      </x:c>
      <x:c r="H290" s="13" t="n">
        <x:v>2</x:v>
      </x:c>
      <x:c r="I290" s="12" t="str">
        <x:v>台北市</x:v>
      </x:c>
      <x:c r="J290" s="12" t="str">
        <x:v>500119060</x:v>
      </x:c>
      <x:c r="K290" s="12" t="str">
        <x:v>臺大共同教室東南側</x:v>
      </x:c>
      <x:c r="L290" s="12" t="str">
        <x:v>ZZB* 且調出/調入且車種2.0/2.0E</x:v>
      </x:c>
    </x:row>
    <x:row r="291">
      <x:c r="A291" s="12" t="str">
        <x:v>2026-09-03</x:v>
      </x:c>
      <x:c r="B291" s="12" t="str">
        <x:v>2026-09-03 10:46:23</x:v>
      </x:c>
      <x:c r="C291" s="12" t="str">
        <x:v>10:00</x:v>
      </x:c>
      <x:c r="D291" s="12" t="str">
        <x:v>10–13</x:v>
      </x:c>
      <x:c r="E291" s="12" t="str">
        <x:v>ZZB-0004</x:v>
      </x:c>
      <x:c r="F291" s="12" t="str">
        <x:v>調出</x:v>
      </x:c>
      <x:c r="G291" s="12" t="str">
        <x:v>2.0E</x:v>
      </x:c>
      <x:c r="H291" s="13" t="n">
        <x:v>1</x:v>
      </x:c>
      <x:c r="I291" s="12" t="str">
        <x:v>台北市</x:v>
      </x:c>
      <x:c r="J291" s="12" t="str">
        <x:v>500119074</x:v>
      </x:c>
      <x:c r="K291" s="12" t="str">
        <x:v>臺大生命科學館西北側</x:v>
      </x:c>
      <x:c r="L291" s="12" t="str">
        <x:v>ZZB* 且調出/調入且車種2.0/2.0E</x:v>
      </x:c>
    </x:row>
    <x:row r="292">
      <x:c r="A292" s="12" t="str">
        <x:v>2026-09-03</x:v>
      </x:c>
      <x:c r="B292" s="12" t="str">
        <x:v>2026-09-03 10:46:36</x:v>
      </x:c>
      <x:c r="C292" s="12" t="str">
        <x:v>10:00</x:v>
      </x:c>
      <x:c r="D292" s="12" t="str">
        <x:v>10–13</x:v>
      </x:c>
      <x:c r="E292" s="12" t="str">
        <x:v>ZZB-0004</x:v>
      </x:c>
      <x:c r="F292" s="12" t="str">
        <x:v>調入</x:v>
      </x:c>
      <x:c r="G292" s="12" t="str">
        <x:v>2.0E</x:v>
      </x:c>
      <x:c r="H292" s="13" t="n">
        <x:v>1</x:v>
      </x:c>
      <x:c r="I292" s="12" t="str">
        <x:v>台北市</x:v>
      </x:c>
      <x:c r="J292" s="12" t="str">
        <x:v>500119094</x:v>
      </x:c>
      <x:c r="K292" s="12" t="str">
        <x:v>臺大大一女餐廳廣場</x:v>
      </x:c>
      <x:c r="L292" s="12" t="str">
        <x:v>ZZB* 且調出/調入且車種2.0/2.0E</x:v>
      </x:c>
    </x:row>
    <x:row r="293">
      <x:c r="A293" s="12" t="str">
        <x:v>2026-09-03</x:v>
      </x:c>
      <x:c r="B293" s="12" t="str">
        <x:v>2026-09-03 13:37:36</x:v>
      </x:c>
      <x:c r="C293" s="12" t="str">
        <x:v>13:00</x:v>
      </x:c>
      <x:c r="D293" s="12" t="str">
        <x:v>10–13</x:v>
      </x:c>
      <x:c r="E293" s="12" t="str">
        <x:v>ZZB-0004</x:v>
      </x:c>
      <x:c r="F293" s="12" t="str">
        <x:v>調出</x:v>
      </x:c>
      <x:c r="G293" s="12" t="str">
        <x:v>2.0E</x:v>
      </x:c>
      <x:c r="H293" s="13" t="n">
        <x:v>1</x:v>
      </x:c>
      <x:c r="I293" s="12" t="str">
        <x:v>台北市</x:v>
      </x:c>
      <x:c r="J293" s="12" t="str">
        <x:v>500119054</x:v>
      </x:c>
      <x:c r="K293" s="12" t="str">
        <x:v>臺大心理系館南側</x:v>
      </x:c>
      <x:c r="L293" s="12" t="str">
        <x:v>ZZB* 且調出/調入且車種2.0/2.0E</x:v>
      </x:c>
    </x:row>
    <x:row r="294">
      <x:c r="A294" s="12" t="str">
        <x:v>2026-09-03</x:v>
      </x:c>
      <x:c r="B294" s="12" t="str">
        <x:v>2026-09-03 13:37:50</x:v>
      </x:c>
      <x:c r="C294" s="12" t="str">
        <x:v>13:00</x:v>
      </x:c>
      <x:c r="D294" s="12" t="str">
        <x:v>10–13</x:v>
      </x:c>
      <x:c r="E294" s="12" t="str">
        <x:v>ZZB-0004</x:v>
      </x:c>
      <x:c r="F294" s="12" t="str">
        <x:v>調入</x:v>
      </x:c>
      <x:c r="G294" s="12" t="str">
        <x:v>2.0E</x:v>
      </x:c>
      <x:c r="H294" s="13" t="n">
        <x:v>1</x:v>
      </x:c>
      <x:c r="I294" s="12" t="str">
        <x:v>台北市</x:v>
      </x:c>
      <x:c r="J294" s="12" t="str">
        <x:v>500119048</x:v>
      </x:c>
      <x:c r="K294" s="12" t="str">
        <x:v>臺大大一女舍北側</x:v>
      </x:c>
      <x:c r="L294" s="12" t="str">
        <x:v>ZZB* 且調出/調入且車種2.0/2.0E</x:v>
      </x:c>
    </x:row>
    <x:row r="295">
      <x:c r="A295" s="12" t="str">
        <x:v>2026-09-03</x:v>
      </x:c>
      <x:c r="B295" s="12" t="str">
        <x:v>2026-09-03 13:59:57</x:v>
      </x:c>
      <x:c r="C295" s="12" t="str">
        <x:v>13:00</x:v>
      </x:c>
      <x:c r="D295" s="12" t="str">
        <x:v>10–13</x:v>
      </x:c>
      <x:c r="E295" s="12" t="str">
        <x:v>ZZB-0004</x:v>
      </x:c>
      <x:c r="F295" s="12" t="str">
        <x:v>調出</x:v>
      </x:c>
      <x:c r="G295" s="12" t="str">
        <x:v>2.0E</x:v>
      </x:c>
      <x:c r="H295" s="13" t="n">
        <x:v>2</x:v>
      </x:c>
      <x:c r="I295" s="12" t="str">
        <x:v>台北市</x:v>
      </x:c>
      <x:c r="J295" s="12" t="str">
        <x:v>500119050</x:v>
      </x:c>
      <x:c r="K295" s="12" t="str">
        <x:v>臺大小福樓東側</x:v>
      </x:c>
      <x:c r="L295" s="12" t="str">
        <x:v>ZZB* 且調出/調入且車種2.0/2.0E</x:v>
      </x:c>
    </x:row>
    <x:row r="296">
      <x:c r="A296" s="12" t="str">
        <x:v>2026-09-03</x:v>
      </x:c>
      <x:c r="B296" s="12" t="str">
        <x:v>2026-09-03 14:00:57</x:v>
      </x:c>
      <x:c r="C296" s="12" t="str">
        <x:v>14:00</x:v>
      </x:c>
      <x:c r="D296" s="12" t="str">
        <x:v>14–17</x:v>
      </x:c>
      <x:c r="E296" s="12" t="str">
        <x:v>ZZB-0004</x:v>
      </x:c>
      <x:c r="F296" s="12" t="str">
        <x:v>調入</x:v>
      </x:c>
      <x:c r="G296" s="12" t="str">
        <x:v>2.0E</x:v>
      </x:c>
      <x:c r="H296" s="13" t="n">
        <x:v>2</x:v>
      </x:c>
      <x:c r="I296" s="12" t="str">
        <x:v>台北市</x:v>
      </x:c>
      <x:c r="J296" s="12" t="str">
        <x:v>500119070</x:v>
      </x:c>
      <x:c r="K296" s="12" t="str">
        <x:v>臺大椰林小舖</x:v>
      </x:c>
      <x:c r="L296" s="12" t="str">
        <x:v>ZZB* 且調出/調入且車種2.0/2.0E</x:v>
      </x:c>
    </x:row>
    <x:row r="297">
      <x:c r="A297" s="12" t="str">
        <x:v>2026-09-03</x:v>
      </x:c>
      <x:c r="B297" s="12" t="str">
        <x:v>2026-09-03 14:18:59</x:v>
      </x:c>
      <x:c r="C297" s="12" t="str">
        <x:v>14:00</x:v>
      </x:c>
      <x:c r="D297" s="12" t="str">
        <x:v>14–17</x:v>
      </x:c>
      <x:c r="E297" s="12" t="str">
        <x:v>ZZB-0004</x:v>
      </x:c>
      <x:c r="F297" s="12" t="str">
        <x:v>調出</x:v>
      </x:c>
      <x:c r="G297" s="12" t="str">
        <x:v>2.0E</x:v>
      </x:c>
      <x:c r="H297" s="13" t="n">
        <x:v>1</x:v>
      </x:c>
      <x:c r="I297" s="12" t="str">
        <x:v>台北市</x:v>
      </x:c>
      <x:c r="J297" s="12" t="str">
        <x:v>500119074</x:v>
      </x:c>
      <x:c r="K297" s="12" t="str">
        <x:v>臺大生命科學館西北側</x:v>
      </x:c>
      <x:c r="L297" s="12" t="str">
        <x:v>ZZB* 且調出/調入且車種2.0/2.0E</x:v>
      </x:c>
    </x:row>
    <x:row r="298">
      <x:c r="A298" s="12" t="str">
        <x:v>2026-09-03</x:v>
      </x:c>
      <x:c r="B298" s="12" t="str">
        <x:v>2026-09-03 14:19:18</x:v>
      </x:c>
      <x:c r="C298" s="12" t="str">
        <x:v>14:00</x:v>
      </x:c>
      <x:c r="D298" s="12" t="str">
        <x:v>14–17</x:v>
      </x:c>
      <x:c r="E298" s="12" t="str">
        <x:v>ZZB-0004</x:v>
      </x:c>
      <x:c r="F298" s="12" t="str">
        <x:v>調入</x:v>
      </x:c>
      <x:c r="G298" s="12" t="str">
        <x:v>2.0E</x:v>
      </x:c>
      <x:c r="H298" s="13" t="n">
        <x:v>1</x:v>
      </x:c>
      <x:c r="I298" s="12" t="str">
        <x:v>台北市</x:v>
      </x:c>
      <x:c r="J298" s="12" t="str">
        <x:v>500119091</x:v>
      </x:c>
      <x:c r="K298" s="12" t="str">
        <x:v>臺大明達館北側(員工宿舍)</x:v>
      </x:c>
      <x:c r="L298" s="12" t="str">
        <x:v>ZZB* 且調出/調入且車種2.0/2.0E</x:v>
      </x:c>
    </x:row>
    <x:row r="299">
      <x:c r="A299" s="12" t="str">
        <x:v>2026-09-04</x:v>
      </x:c>
      <x:c r="B299" s="12" t="str">
        <x:v>2026-09-04 07:50:52</x:v>
      </x:c>
      <x:c r="C299" s="12" t="str">
        <x:v>07:00</x:v>
      </x:c>
      <x:c r="D299" s="12" t="str">
        <x:v>06–09</x:v>
      </x:c>
      <x:c r="E299" s="12" t="str">
        <x:v>ZZB-0004</x:v>
      </x:c>
      <x:c r="F299" s="12" t="str">
        <x:v>調出</x:v>
      </x:c>
      <x:c r="G299" s="12" t="str">
        <x:v>2.0</x:v>
      </x:c>
      <x:c r="H299" s="13" t="n">
        <x:v>7</x:v>
      </x:c>
      <x:c r="I299" s="12" t="str">
        <x:v>台北市</x:v>
      </x:c>
      <x:c r="J299" s="12" t="str">
        <x:v>500119052</x:v>
      </x:c>
      <x:c r="K299" s="12" t="str">
        <x:v>臺大工綜館南側</x:v>
      </x:c>
      <x:c r="L299" s="12" t="str">
        <x:v>ZZB* 且調出/調入且車種2.0/2.0E</x:v>
      </x:c>
    </x:row>
    <x:row r="300">
      <x:c r="A300" s="12" t="str">
        <x:v>2026-09-04</x:v>
      </x:c>
      <x:c r="B300" s="12" t="str">
        <x:v>2026-09-04 07:51:09</x:v>
      </x:c>
      <x:c r="C300" s="12" t="str">
        <x:v>07:00</x:v>
      </x:c>
      <x:c r="D300" s="12" t="str">
        <x:v>06–09</x:v>
      </x:c>
      <x:c r="E300" s="12" t="str">
        <x:v>ZZB-0004</x:v>
      </x:c>
      <x:c r="F300" s="12" t="str">
        <x:v>調入</x:v>
      </x:c>
      <x:c r="G300" s="12" t="str">
        <x:v>2.0</x:v>
      </x:c>
      <x:c r="H300" s="13" t="n">
        <x:v>7</x:v>
      </x:c>
      <x:c r="I300" s="12" t="str">
        <x:v>台北市</x:v>
      </x:c>
      <x:c r="J300" s="12" t="str">
        <x:v>500119059</x:v>
      </x:c>
      <x:c r="K300" s="12" t="str">
        <x:v>臺大共同教室北側</x:v>
      </x:c>
      <x:c r="L300" s="12" t="str">
        <x:v>ZZB* 且調出/調入且車種2.0/2.0E</x:v>
      </x:c>
    </x:row>
    <x:row r="301">
      <x:c r="A301" s="12" t="str">
        <x:v>2026-09-04</x:v>
      </x:c>
      <x:c r="B301" s="12" t="str">
        <x:v>2026-09-04 08:12:57</x:v>
      </x:c>
      <x:c r="C301" s="12" t="str">
        <x:v>08:00</x:v>
      </x:c>
      <x:c r="D301" s="12" t="str">
        <x:v>06–09</x:v>
      </x:c>
      <x:c r="E301" s="12" t="str">
        <x:v>ZZB-0004</x:v>
      </x:c>
      <x:c r="F301" s="12" t="str">
        <x:v>調出</x:v>
      </x:c>
      <x:c r="G301" s="12" t="str">
        <x:v>2.0</x:v>
      </x:c>
      <x:c r="H301" s="13" t="n">
        <x:v>7</x:v>
      </x:c>
      <x:c r="I301" s="12" t="str">
        <x:v>台北市</x:v>
      </x:c>
      <x:c r="J301" s="12" t="str">
        <x:v>500119049</x:v>
      </x:c>
      <x:c r="K301" s="12" t="str">
        <x:v>臺大女九舍西南側</x:v>
      </x:c>
      <x:c r="L301" s="12" t="str">
        <x:v>ZZB* 且調出/調入且車種2.0/2.0E</x:v>
      </x:c>
    </x:row>
    <x:row r="302">
      <x:c r="A302" s="12" t="str">
        <x:v>2026-09-04</x:v>
      </x:c>
      <x:c r="B302" s="12" t="str">
        <x:v>2026-09-04 08:13:12</x:v>
      </x:c>
      <x:c r="C302" s="12" t="str">
        <x:v>08:00</x:v>
      </x:c>
      <x:c r="D302" s="12" t="str">
        <x:v>06–09</x:v>
      </x:c>
      <x:c r="E302" s="12" t="str">
        <x:v>ZZB-0004</x:v>
      </x:c>
      <x:c r="F302" s="12" t="str">
        <x:v>調入</x:v>
      </x:c>
      <x:c r="G302" s="12" t="str">
        <x:v>2.0</x:v>
      </x:c>
      <x:c r="H302" s="13" t="n">
        <x:v>7</x:v>
      </x:c>
      <x:c r="I302" s="12" t="str">
        <x:v>台北市</x:v>
      </x:c>
      <x:c r="J302" s="12" t="str">
        <x:v>500119061</x:v>
      </x:c>
      <x:c r="K302" s="12" t="str">
        <x:v>臺大鹿鳴堂東側</x:v>
      </x:c>
      <x:c r="L302" s="12" t="str">
        <x:v>ZZB* 且調出/調入且車種2.0/2.0E</x:v>
      </x:c>
    </x:row>
    <x:row r="303">
      <x:c r="A303" s="12" t="str">
        <x:v>2026-09-04</x:v>
      </x:c>
      <x:c r="B303" s="12" t="str">
        <x:v>2026-09-04 08:41:37</x:v>
      </x:c>
      <x:c r="C303" s="12" t="str">
        <x:v>08:00</x:v>
      </x:c>
      <x:c r="D303" s="12" t="str">
        <x:v>06–09</x:v>
      </x:c>
      <x:c r="E303" s="12" t="str">
        <x:v>ZZB-0004</x:v>
      </x:c>
      <x:c r="F303" s="12" t="str">
        <x:v>調出</x:v>
      </x:c>
      <x:c r="G303" s="12" t="str">
        <x:v>2.0</x:v>
      </x:c>
      <x:c r="H303" s="13" t="n">
        <x:v>6</x:v>
      </x:c>
      <x:c r="I303" s="12" t="str">
        <x:v>台北市</x:v>
      </x:c>
      <x:c r="J303" s="12" t="str">
        <x:v>500119065</x:v>
      </x:c>
      <x:c r="K303" s="12" t="str">
        <x:v>臺大二號館</x:v>
      </x:c>
      <x:c r="L303" s="12" t="str">
        <x:v>ZZB* 且調出/調入且車種2.0/2.0E</x:v>
      </x:c>
    </x:row>
    <x:row r="304">
      <x:c r="A304" s="12" t="str">
        <x:v>2026-09-04</x:v>
      </x:c>
      <x:c r="B304" s="12" t="str">
        <x:v>2026-09-04 08:41:50</x:v>
      </x:c>
      <x:c r="C304" s="12" t="str">
        <x:v>08:00</x:v>
      </x:c>
      <x:c r="D304" s="12" t="str">
        <x:v>06–09</x:v>
      </x:c>
      <x:c r="E304" s="12" t="str">
        <x:v>ZZB-0004</x:v>
      </x:c>
      <x:c r="F304" s="12" t="str">
        <x:v>調入</x:v>
      </x:c>
      <x:c r="G304" s="12" t="str">
        <x:v>2.0</x:v>
      </x:c>
      <x:c r="H304" s="13" t="n">
        <x:v>6</x:v>
      </x:c>
      <x:c r="I304" s="12" t="str">
        <x:v>台北市</x:v>
      </x:c>
      <x:c r="J304" s="12" t="str">
        <x:v>500119060</x:v>
      </x:c>
      <x:c r="K304" s="12" t="str">
        <x:v>臺大共同教室東南側</x:v>
      </x:c>
      <x:c r="L304" s="12" t="str">
        <x:v>ZZB* 且調出/調入且車種2.0/2.0E</x:v>
      </x:c>
    </x:row>
    <x:row r="305">
      <x:c r="A305" s="12" t="str">
        <x:v>2026-09-04</x:v>
      </x:c>
      <x:c r="B305" s="12" t="str">
        <x:v>2026-09-04 09:03:21</x:v>
      </x:c>
      <x:c r="C305" s="12" t="str">
        <x:v>09:00</x:v>
      </x:c>
      <x:c r="D305" s="12" t="str">
        <x:v>06–09</x:v>
      </x:c>
      <x:c r="E305" s="12" t="str">
        <x:v>ZZB-0004</x:v>
      </x:c>
      <x:c r="F305" s="12" t="str">
        <x:v>調出</x:v>
      </x:c>
      <x:c r="G305" s="12" t="str">
        <x:v>2.0</x:v>
      </x:c>
      <x:c r="H305" s="13" t="n">
        <x:v>7</x:v>
      </x:c>
      <x:c r="I305" s="12" t="str">
        <x:v>台北市</x:v>
      </x:c>
      <x:c r="J305" s="12" t="str">
        <x:v>500119075</x:v>
      </x:c>
      <x:c r="K305" s="12" t="str">
        <x:v>臺大第一活動中心西南側</x:v>
      </x:c>
      <x:c r="L305" s="12" t="str">
        <x:v>ZZB* 且調出/調入且車種2.0/2.0E</x:v>
      </x:c>
    </x:row>
    <x:row r="306">
      <x:c r="A306" s="12" t="str">
        <x:v>2026-09-04</x:v>
      </x:c>
      <x:c r="B306" s="12" t="str">
        <x:v>2026-09-04 09:03:36</x:v>
      </x:c>
      <x:c r="C306" s="12" t="str">
        <x:v>09:00</x:v>
      </x:c>
      <x:c r="D306" s="12" t="str">
        <x:v>06–09</x:v>
      </x:c>
      <x:c r="E306" s="12" t="str">
        <x:v>ZZB-0004</x:v>
      </x:c>
      <x:c r="F306" s="12" t="str">
        <x:v>調入</x:v>
      </x:c>
      <x:c r="G306" s="12" t="str">
        <x:v>2.0</x:v>
      </x:c>
      <x:c r="H306" s="13" t="n">
        <x:v>7</x:v>
      </x:c>
      <x:c r="I306" s="12" t="str">
        <x:v>台北市</x:v>
      </x:c>
      <x:c r="J306" s="12" t="str">
        <x:v>500119094</x:v>
      </x:c>
      <x:c r="K306" s="12" t="str">
        <x:v>臺大大一女餐廳廣場</x:v>
      </x:c>
      <x:c r="L306" s="12" t="str">
        <x:v>ZZB* 且調出/調入且車種2.0/2.0E</x:v>
      </x:c>
    </x:row>
    <x:row r="307">
      <x:c r="A307" s="12" t="str">
        <x:v>2026-09-04</x:v>
      </x:c>
      <x:c r="B307" s="12" t="str">
        <x:v>2026-09-04 09:25:42</x:v>
      </x:c>
      <x:c r="C307" s="12" t="str">
        <x:v>09:00</x:v>
      </x:c>
      <x:c r="D307" s="12" t="str">
        <x:v>06–09</x:v>
      </x:c>
      <x:c r="E307" s="12" t="str">
        <x:v>ZZB-0004</x:v>
      </x:c>
      <x:c r="F307" s="12" t="str">
        <x:v>調出</x:v>
      </x:c>
      <x:c r="G307" s="12" t="str">
        <x:v>2.0</x:v>
      </x:c>
      <x:c r="H307" s="13" t="n">
        <x:v>7</x:v>
      </x:c>
      <x:c r="I307" s="12" t="str">
        <x:v>台北市</x:v>
      </x:c>
      <x:c r="J307" s="12" t="str">
        <x:v>500119072</x:v>
      </x:c>
      <x:c r="K307" s="12" t="str">
        <x:v>臺大原分所北側</x:v>
      </x:c>
      <x:c r="L307" s="12" t="str">
        <x:v>ZZB* 且調出/調入且車種2.0/2.0E</x:v>
      </x:c>
    </x:row>
    <x:row r="308">
      <x:c r="A308" s="12" t="str">
        <x:v>2026-09-04</x:v>
      </x:c>
      <x:c r="B308" s="12" t="str">
        <x:v>2026-09-04 09:25:57</x:v>
      </x:c>
      <x:c r="C308" s="12" t="str">
        <x:v>09:00</x:v>
      </x:c>
      <x:c r="D308" s="12" t="str">
        <x:v>06–09</x:v>
      </x:c>
      <x:c r="E308" s="12" t="str">
        <x:v>ZZB-0004</x:v>
      </x:c>
      <x:c r="F308" s="12" t="str">
        <x:v>調入</x:v>
      </x:c>
      <x:c r="G308" s="12" t="str">
        <x:v>2.0</x:v>
      </x:c>
      <x:c r="H308" s="13" t="n">
        <x:v>7</x:v>
      </x:c>
      <x:c r="I308" s="12" t="str">
        <x:v>台北市</x:v>
      </x:c>
      <x:c r="J308" s="12" t="str">
        <x:v>500119048</x:v>
      </x:c>
      <x:c r="K308" s="12" t="str">
        <x:v>臺大大一女舍北側</x:v>
      </x:c>
      <x:c r="L308" s="12" t="str">
        <x:v>ZZB* 且調出/調入且車種2.0/2.0E</x:v>
      </x:c>
    </x:row>
    <x:row r="309">
      <x:c r="A309" s="12" t="str">
        <x:v>2026-09-04</x:v>
      </x:c>
      <x:c r="B309" s="12" t="str">
        <x:v>2026-09-04 09:50:57</x:v>
      </x:c>
      <x:c r="C309" s="12" t="str">
        <x:v>09:00</x:v>
      </x:c>
      <x:c r="D309" s="12" t="str">
        <x:v>06–09</x:v>
      </x:c>
      <x:c r="E309" s="12" t="str">
        <x:v>ZZB-0004</x:v>
      </x:c>
      <x:c r="F309" s="12" t="str">
        <x:v>調出</x:v>
      </x:c>
      <x:c r="G309" s="12" t="str">
        <x:v>2.0</x:v>
      </x:c>
      <x:c r="H309" s="13" t="n">
        <x:v>7</x:v>
      </x:c>
      <x:c r="I309" s="12" t="str">
        <x:v>台北市</x:v>
      </x:c>
      <x:c r="J309" s="12" t="str">
        <x:v>500119072</x:v>
      </x:c>
      <x:c r="K309" s="12" t="str">
        <x:v>臺大原分所北側</x:v>
      </x:c>
      <x:c r="L309" s="12" t="str">
        <x:v>ZZB* 且調出/調入且車種2.0/2.0E</x:v>
      </x:c>
    </x:row>
    <x:row r="310">
      <x:c r="A310" s="12" t="str">
        <x:v>2026-09-04</x:v>
      </x:c>
      <x:c r="B310" s="12" t="str">
        <x:v>2026-09-04 09:51:10</x:v>
      </x:c>
      <x:c r="C310" s="12" t="str">
        <x:v>09:00</x:v>
      </x:c>
      <x:c r="D310" s="12" t="str">
        <x:v>06–09</x:v>
      </x:c>
      <x:c r="E310" s="12" t="str">
        <x:v>ZZB-0004</x:v>
      </x:c>
      <x:c r="F310" s="12" t="str">
        <x:v>調入</x:v>
      </x:c>
      <x:c r="G310" s="12" t="str">
        <x:v>2.0</x:v>
      </x:c>
      <x:c r="H310" s="13" t="n">
        <x:v>7</x:v>
      </x:c>
      <x:c r="I310" s="12" t="str">
        <x:v>台北市</x:v>
      </x:c>
      <x:c r="J310" s="12" t="str">
        <x:v>500119060</x:v>
      </x:c>
      <x:c r="K310" s="12" t="str">
        <x:v>臺大共同教室東南側</x:v>
      </x:c>
      <x:c r="L310" s="12" t="str">
        <x:v>ZZB* 且調出/調入且車種2.0/2.0E</x:v>
      </x:c>
    </x:row>
    <x:row r="311">
      <x:c r="A311" s="12" t="str">
        <x:v>2026-09-04</x:v>
      </x:c>
      <x:c r="B311" s="12" t="str">
        <x:v>2026-09-04 10:14:41</x:v>
      </x:c>
      <x:c r="C311" s="12" t="str">
        <x:v>10:00</x:v>
      </x:c>
      <x:c r="D311" s="12" t="str">
        <x:v>10–13</x:v>
      </x:c>
      <x:c r="E311" s="12" t="str">
        <x:v>ZZB-0004</x:v>
      </x:c>
      <x:c r="F311" s="12" t="str">
        <x:v>調出</x:v>
      </x:c>
      <x:c r="G311" s="12" t="str">
        <x:v>2.0</x:v>
      </x:c>
      <x:c r="H311" s="13" t="n">
        <x:v>3</x:v>
      </x:c>
      <x:c r="I311" s="12" t="str">
        <x:v>台北市</x:v>
      </x:c>
      <x:c r="J311" s="12" t="str">
        <x:v>500119056</x:v>
      </x:c>
      <x:c r="K311" s="12" t="str">
        <x:v>臺大農化新館西側</x:v>
      </x:c>
      <x:c r="L311" s="12" t="str">
        <x:v>ZZB* 且調出/調入且車種2.0/2.0E</x:v>
      </x:c>
    </x:row>
    <x:row r="312">
      <x:c r="A312" s="12" t="str">
        <x:v>2026-09-04</x:v>
      </x:c>
      <x:c r="B312" s="12" t="str">
        <x:v>2026-09-04 10:15:00</x:v>
      </x:c>
      <x:c r="C312" s="12" t="str">
        <x:v>10:00</x:v>
      </x:c>
      <x:c r="D312" s="12" t="str">
        <x:v>10–13</x:v>
      </x:c>
      <x:c r="E312" s="12" t="str">
        <x:v>ZZB-0004</x:v>
      </x:c>
      <x:c r="F312" s="12" t="str">
        <x:v>調出</x:v>
      </x:c>
      <x:c r="G312" s="12" t="str">
        <x:v>2.0</x:v>
      </x:c>
      <x:c r="H312" s="13" t="n">
        <x:v>3</x:v>
      </x:c>
      <x:c r="I312" s="12" t="str">
        <x:v>台北市</x:v>
      </x:c>
      <x:c r="J312" s="12" t="str">
        <x:v>500119078</x:v>
      </x:c>
      <x:c r="K312" s="12" t="str">
        <x:v>臺大森林館北側</x:v>
      </x:c>
      <x:c r="L312" s="12" t="str">
        <x:v>ZZB* 且調出/調入且車種2.0/2.0E</x:v>
      </x:c>
    </x:row>
    <x:row r="313">
      <x:c r="A313" s="12" t="str">
        <x:v>2026-09-04</x:v>
      </x:c>
      <x:c r="B313" s="12" t="str">
        <x:v>2026-09-04 10:15:18</x:v>
      </x:c>
      <x:c r="C313" s="12" t="str">
        <x:v>10:00</x:v>
      </x:c>
      <x:c r="D313" s="12" t="str">
        <x:v>10–13</x:v>
      </x:c>
      <x:c r="E313" s="12" t="str">
        <x:v>ZZB-0004</x:v>
      </x:c>
      <x:c r="F313" s="12" t="str">
        <x:v>調入</x:v>
      </x:c>
      <x:c r="G313" s="12" t="str">
        <x:v>2.0</x:v>
      </x:c>
      <x:c r="H313" s="13" t="n">
        <x:v>6</x:v>
      </x:c>
      <x:c r="I313" s="12" t="str">
        <x:v>台北市</x:v>
      </x:c>
      <x:c r="J313" s="12" t="str">
        <x:v>500119094</x:v>
      </x:c>
      <x:c r="K313" s="12" t="str">
        <x:v>臺大大一女餐廳廣場</x:v>
      </x:c>
      <x:c r="L313" s="12" t="str">
        <x:v>ZZB* 且調出/調入且車種2.0/2.0E</x:v>
      </x:c>
    </x:row>
    <x:row r="314">
      <x:c r="A314" s="12" t="str">
        <x:v>2026-09-04</x:v>
      </x:c>
      <x:c r="B314" s="12" t="str">
        <x:v>2026-09-04 10:37:40</x:v>
      </x:c>
      <x:c r="C314" s="12" t="str">
        <x:v>10:00</x:v>
      </x:c>
      <x:c r="D314" s="12" t="str">
        <x:v>10–13</x:v>
      </x:c>
      <x:c r="E314" s="12" t="str">
        <x:v>ZZB-0004</x:v>
      </x:c>
      <x:c r="F314" s="12" t="str">
        <x:v>調出</x:v>
      </x:c>
      <x:c r="G314" s="12" t="str">
        <x:v>2.0</x:v>
      </x:c>
      <x:c r="H314" s="13" t="n">
        <x:v>7</x:v>
      </x:c>
      <x:c r="I314" s="12" t="str">
        <x:v>台北市</x:v>
      </x:c>
      <x:c r="J314" s="12" t="str">
        <x:v>500119083</x:v>
      </x:c>
      <x:c r="K314" s="12" t="str">
        <x:v>臺大新生教室南側</x:v>
      </x:c>
      <x:c r="L314" s="12" t="str">
        <x:v>ZZB* 且調出/調入且車種2.0/2.0E</x:v>
      </x:c>
    </x:row>
    <x:row r="315">
      <x:c r="A315" s="12" t="str">
        <x:v>2026-09-04</x:v>
      </x:c>
      <x:c r="B315" s="12" t="str">
        <x:v>2026-09-04 10:37:58</x:v>
      </x:c>
      <x:c r="C315" s="12" t="str">
        <x:v>10:00</x:v>
      </x:c>
      <x:c r="D315" s="12" t="str">
        <x:v>10–13</x:v>
      </x:c>
      <x:c r="E315" s="12" t="str">
        <x:v>ZZB-0004</x:v>
      </x:c>
      <x:c r="F315" s="12" t="str">
        <x:v>調入</x:v>
      </x:c>
      <x:c r="G315" s="12" t="str">
        <x:v>2.0</x:v>
      </x:c>
      <x:c r="H315" s="13" t="n">
        <x:v>7</x:v>
      </x:c>
      <x:c r="I315" s="12" t="str">
        <x:v>台北市</x:v>
      </x:c>
      <x:c r="J315" s="12" t="str">
        <x:v>500119048</x:v>
      </x:c>
      <x:c r="K315" s="12" t="str">
        <x:v>臺大大一女舍北側</x:v>
      </x:c>
      <x:c r="L315" s="12" t="str">
        <x:v>ZZB* 且調出/調入且車種2.0/2.0E</x:v>
      </x:c>
    </x:row>
    <x:row r="316">
      <x:c r="A316" s="12" t="str">
        <x:v>2026-09-04</x:v>
      </x:c>
      <x:c r="B316" s="12" t="str">
        <x:v>2026-09-04 11:05:17</x:v>
      </x:c>
      <x:c r="C316" s="12" t="str">
        <x:v>11:00</x:v>
      </x:c>
      <x:c r="D316" s="12" t="str">
        <x:v>10–13</x:v>
      </x:c>
      <x:c r="E316" s="12" t="str">
        <x:v>ZZB-0004</x:v>
      </x:c>
      <x:c r="F316" s="12" t="str">
        <x:v>調出</x:v>
      </x:c>
      <x:c r="G316" s="12" t="str">
        <x:v>2.0</x:v>
      </x:c>
      <x:c r="H316" s="13" t="n">
        <x:v>7</x:v>
      </x:c>
      <x:c r="I316" s="12" t="str">
        <x:v>台北市</x:v>
      </x:c>
      <x:c r="J316" s="12" t="str">
        <x:v>500119086</x:v>
      </x:c>
      <x:c r="K316" s="12" t="str">
        <x:v>臺大圖資系館北側</x:v>
      </x:c>
      <x:c r="L316" s="12" t="str">
        <x:v>ZZB* 且調出/調入且車種2.0/2.0E</x:v>
      </x:c>
    </x:row>
    <x:row r="317">
      <x:c r="A317" s="12" t="str">
        <x:v>2026-09-04</x:v>
      </x:c>
      <x:c r="B317" s="12" t="str">
        <x:v>2026-09-04 11:05:30</x:v>
      </x:c>
      <x:c r="C317" s="12" t="str">
        <x:v>11:00</x:v>
      </x:c>
      <x:c r="D317" s="12" t="str">
        <x:v>10–13</x:v>
      </x:c>
      <x:c r="E317" s="12" t="str">
        <x:v>ZZB-0004</x:v>
      </x:c>
      <x:c r="F317" s="12" t="str">
        <x:v>調入</x:v>
      </x:c>
      <x:c r="G317" s="12" t="str">
        <x:v>2.0</x:v>
      </x:c>
      <x:c r="H317" s="13" t="n">
        <x:v>7</x:v>
      </x:c>
      <x:c r="I317" s="12" t="str">
        <x:v>台北市</x:v>
      </x:c>
      <x:c r="J317" s="12" t="str">
        <x:v>500119094</x:v>
      </x:c>
      <x:c r="K317" s="12" t="str">
        <x:v>臺大大一女餐廳廣場</x:v>
      </x:c>
      <x:c r="L317" s="12" t="str">
        <x:v>ZZB* 且調出/調入且車種2.0/2.0E</x:v>
      </x:c>
    </x:row>
    <x:row r="318">
      <x:c r="A318" s="12" t="str">
        <x:v>2026-09-04</x:v>
      </x:c>
      <x:c r="B318" s="12" t="str">
        <x:v>2026-09-04 12:36:40</x:v>
      </x:c>
      <x:c r="C318" s="12" t="str">
        <x:v>12:00</x:v>
      </x:c>
      <x:c r="D318" s="12" t="str">
        <x:v>10–13</x:v>
      </x:c>
      <x:c r="E318" s="12" t="str">
        <x:v>ZZB-0004</x:v>
      </x:c>
      <x:c r="F318" s="12" t="str">
        <x:v>調出</x:v>
      </x:c>
      <x:c r="G318" s="12" t="str">
        <x:v>2.0</x:v>
      </x:c>
      <x:c r="H318" s="13" t="n">
        <x:v>7</x:v>
      </x:c>
      <x:c r="I318" s="12" t="str">
        <x:v>台北市</x:v>
      </x:c>
      <x:c r="J318" s="12" t="str">
        <x:v>500119083</x:v>
      </x:c>
      <x:c r="K318" s="12" t="str">
        <x:v>臺大新生教室南側</x:v>
      </x:c>
      <x:c r="L318" s="12" t="str">
        <x:v>ZZB* 且調出/調入且車種2.0/2.0E</x:v>
      </x:c>
    </x:row>
    <x:row r="319">
      <x:c r="A319" s="12" t="str">
        <x:v>2026-09-04</x:v>
      </x:c>
      <x:c r="B319" s="12" t="str">
        <x:v>2026-09-04 12:37:01</x:v>
      </x:c>
      <x:c r="C319" s="12" t="str">
        <x:v>12:00</x:v>
      </x:c>
      <x:c r="D319" s="12" t="str">
        <x:v>10–13</x:v>
      </x:c>
      <x:c r="E319" s="12" t="str">
        <x:v>ZZB-0004</x:v>
      </x:c>
      <x:c r="F319" s="12" t="str">
        <x:v>調入</x:v>
      </x:c>
      <x:c r="G319" s="12" t="str">
        <x:v>2.0</x:v>
      </x:c>
      <x:c r="H319" s="13" t="n">
        <x:v>7</x:v>
      </x:c>
      <x:c r="I319" s="12" t="str">
        <x:v>台北市</x:v>
      </x:c>
      <x:c r="J319" s="12" t="str">
        <x:v>500119060</x:v>
      </x:c>
      <x:c r="K319" s="12" t="str">
        <x:v>臺大共同教室東南側</x:v>
      </x:c>
      <x:c r="L319" s="12" t="str">
        <x:v>ZZB* 且調出/調入且車種2.0/2.0E</x:v>
      </x:c>
    </x:row>
    <x:row r="320">
      <x:c r="A320" s="12" t="str">
        <x:v>2026-09-04</x:v>
      </x:c>
      <x:c r="B320" s="12" t="str">
        <x:v>2026-09-04 13:05:36</x:v>
      </x:c>
      <x:c r="C320" s="12" t="str">
        <x:v>13:00</x:v>
      </x:c>
      <x:c r="D320" s="12" t="str">
        <x:v>10–13</x:v>
      </x:c>
      <x:c r="E320" s="12" t="str">
        <x:v>ZZB-0004</x:v>
      </x:c>
      <x:c r="F320" s="12" t="str">
        <x:v>調出</x:v>
      </x:c>
      <x:c r="G320" s="12" t="str">
        <x:v>2.0</x:v>
      </x:c>
      <x:c r="H320" s="13" t="n">
        <x:v>7</x:v>
      </x:c>
      <x:c r="I320" s="12" t="str">
        <x:v>台北市</x:v>
      </x:c>
      <x:c r="J320" s="12" t="str">
        <x:v>500119053</x:v>
      </x:c>
      <x:c r="K320" s="12" t="str">
        <x:v>臺大天文數學館南側</x:v>
      </x:c>
      <x:c r="L320" s="12" t="str">
        <x:v>ZZB* 且調出/調入且車種2.0/2.0E</x:v>
      </x:c>
    </x:row>
    <x:row r="321">
      <x:c r="A321" s="12" t="str">
        <x:v>2026-09-04</x:v>
      </x:c>
      <x:c r="B321" s="12" t="str">
        <x:v>2026-09-04 13:05:50</x:v>
      </x:c>
      <x:c r="C321" s="12" t="str">
        <x:v>13:00</x:v>
      </x:c>
      <x:c r="D321" s="12" t="str">
        <x:v>10–13</x:v>
      </x:c>
      <x:c r="E321" s="12" t="str">
        <x:v>ZZB-0004</x:v>
      </x:c>
      <x:c r="F321" s="12" t="str">
        <x:v>調入</x:v>
      </x:c>
      <x:c r="G321" s="12" t="str">
        <x:v>2.0</x:v>
      </x:c>
      <x:c r="H321" s="13" t="n">
        <x:v>7</x:v>
      </x:c>
      <x:c r="I321" s="12" t="str">
        <x:v>台北市</x:v>
      </x:c>
      <x:c r="J321" s="12" t="str">
        <x:v>500119048</x:v>
      </x:c>
      <x:c r="K321" s="12" t="str">
        <x:v>臺大大一女舍北側</x:v>
      </x:c>
      <x:c r="L321" s="12" t="str">
        <x:v>ZZB* 且調出/調入且車種2.0/2.0E</x:v>
      </x:c>
    </x:row>
    <x:row r="322">
      <x:c r="A322" s="12" t="str">
        <x:v>2026-09-04</x:v>
      </x:c>
      <x:c r="B322" s="12" t="str">
        <x:v>2026-09-04 13:36:48</x:v>
      </x:c>
      <x:c r="C322" s="12" t="str">
        <x:v>13:00</x:v>
      </x:c>
      <x:c r="D322" s="12" t="str">
        <x:v>10–13</x:v>
      </x:c>
      <x:c r="E322" s="12" t="str">
        <x:v>ZZB-0004</x:v>
      </x:c>
      <x:c r="F322" s="12" t="str">
        <x:v>調出</x:v>
      </x:c>
      <x:c r="G322" s="12" t="str">
        <x:v>2.0</x:v>
      </x:c>
      <x:c r="H322" s="13" t="n">
        <x:v>5</x:v>
      </x:c>
      <x:c r="I322" s="12" t="str">
        <x:v>台北市</x:v>
      </x:c>
      <x:c r="J322" s="12" t="str">
        <x:v>500119072</x:v>
      </x:c>
      <x:c r="K322" s="12" t="str">
        <x:v>臺大原分所北側</x:v>
      </x:c>
      <x:c r="L322" s="12" t="str">
        <x:v>ZZB* 且調出/調入且車種2.0/2.0E</x:v>
      </x:c>
    </x:row>
    <x:row r="323">
      <x:c r="A323" s="12" t="str">
        <x:v>2026-09-04</x:v>
      </x:c>
      <x:c r="B323" s="12" t="str">
        <x:v>2026-09-04 13:37:04</x:v>
      </x:c>
      <x:c r="C323" s="12" t="str">
        <x:v>13:00</x:v>
      </x:c>
      <x:c r="D323" s="12" t="str">
        <x:v>10–13</x:v>
      </x:c>
      <x:c r="E323" s="12" t="str">
        <x:v>ZZB-0004</x:v>
      </x:c>
      <x:c r="F323" s="12" t="str">
        <x:v>調入</x:v>
      </x:c>
      <x:c r="G323" s="12" t="str">
        <x:v>2.0</x:v>
      </x:c>
      <x:c r="H323" s="13" t="n">
        <x:v>5</x:v>
      </x:c>
      <x:c r="I323" s="12" t="str">
        <x:v>台北市</x:v>
      </x:c>
      <x:c r="J323" s="12" t="str">
        <x:v>500119094</x:v>
      </x:c>
      <x:c r="K323" s="12" t="str">
        <x:v>臺大大一女餐廳廣場</x:v>
      </x:c>
      <x:c r="L323" s="12" t="str">
        <x:v>ZZB* 且調出/調入且車種2.0/2.0E</x:v>
      </x:c>
    </x:row>
    <x:row r="324">
      <x:c r="A324" s="12" t="str">
        <x:v>2026-09-04</x:v>
      </x:c>
      <x:c r="B324" s="12" t="str">
        <x:v>2026-09-04 13:58:13</x:v>
      </x:c>
      <x:c r="C324" s="12" t="str">
        <x:v>13:00</x:v>
      </x:c>
      <x:c r="D324" s="12" t="str">
        <x:v>10–13</x:v>
      </x:c>
      <x:c r="E324" s="12" t="str">
        <x:v>ZZB-0004</x:v>
      </x:c>
      <x:c r="F324" s="12" t="str">
        <x:v>調出</x:v>
      </x:c>
      <x:c r="G324" s="12" t="str">
        <x:v>2.0</x:v>
      </x:c>
      <x:c r="H324" s="13" t="n">
        <x:v>7</x:v>
      </x:c>
      <x:c r="I324" s="12" t="str">
        <x:v>台北市</x:v>
      </x:c>
      <x:c r="J324" s="12" t="str">
        <x:v>500119074</x:v>
      </x:c>
      <x:c r="K324" s="12" t="str">
        <x:v>臺大生命科學館西北側</x:v>
      </x:c>
      <x:c r="L324" s="12" t="str">
        <x:v>ZZB* 且調出/調入且車種2.0/2.0E</x:v>
      </x:c>
    </x:row>
    <x:row r="325">
      <x:c r="A325" s="12" t="str">
        <x:v>2026-09-04</x:v>
      </x:c>
      <x:c r="B325" s="12" t="str">
        <x:v>2026-09-04 13:58:26</x:v>
      </x:c>
      <x:c r="C325" s="12" t="str">
        <x:v>13:00</x:v>
      </x:c>
      <x:c r="D325" s="12" t="str">
        <x:v>10–13</x:v>
      </x:c>
      <x:c r="E325" s="12" t="str">
        <x:v>ZZB-0004</x:v>
      </x:c>
      <x:c r="F325" s="12" t="str">
        <x:v>調入</x:v>
      </x:c>
      <x:c r="G325" s="12" t="str">
        <x:v>2.0</x:v>
      </x:c>
      <x:c r="H325" s="13" t="n">
        <x:v>7</x:v>
      </x:c>
      <x:c r="I325" s="12" t="str">
        <x:v>台北市</x:v>
      </x:c>
      <x:c r="J325" s="12" t="str">
        <x:v>500119048</x:v>
      </x:c>
      <x:c r="K325" s="12" t="str">
        <x:v>臺大大一女舍北側</x:v>
      </x:c>
      <x:c r="L325" s="12" t="str">
        <x:v>ZZB* 且調出/調入且車種2.0/2.0E</x:v>
      </x:c>
    </x:row>
    <x:row r="326">
      <x:c r="A326" s="12" t="str">
        <x:v>2026-09-04</x:v>
      </x:c>
      <x:c r="B326" s="12" t="str">
        <x:v>2026-09-04 14:21:31</x:v>
      </x:c>
      <x:c r="C326" s="12" t="str">
        <x:v>14:00</x:v>
      </x:c>
      <x:c r="D326" s="12" t="str">
        <x:v>14–17</x:v>
      </x:c>
      <x:c r="E326" s="12" t="str">
        <x:v>ZZB-0004</x:v>
      </x:c>
      <x:c r="F326" s="12" t="str">
        <x:v>調出</x:v>
      </x:c>
      <x:c r="G326" s="12" t="str">
        <x:v>2.0</x:v>
      </x:c>
      <x:c r="H326" s="13" t="n">
        <x:v>3</x:v>
      </x:c>
      <x:c r="I326" s="12" t="str">
        <x:v>台北市</x:v>
      </x:c>
      <x:c r="J326" s="12" t="str">
        <x:v>500119086</x:v>
      </x:c>
      <x:c r="K326" s="12" t="str">
        <x:v>臺大圖資系館北側</x:v>
      </x:c>
      <x:c r="L326" s="12" t="str">
        <x:v>ZZB* 且調出/調入且車種2.0/2.0E</x:v>
      </x:c>
    </x:row>
    <x:row r="327">
      <x:c r="A327" s="12" t="str">
        <x:v>2026-09-04</x:v>
      </x:c>
      <x:c r="B327" s="12" t="str">
        <x:v>2026-09-04 14:21:47</x:v>
      </x:c>
      <x:c r="C327" s="12" t="str">
        <x:v>14:00</x:v>
      </x:c>
      <x:c r="D327" s="12" t="str">
        <x:v>14–17</x:v>
      </x:c>
      <x:c r="E327" s="12" t="str">
        <x:v>ZZB-0004</x:v>
      </x:c>
      <x:c r="F327" s="12" t="str">
        <x:v>調入</x:v>
      </x:c>
      <x:c r="G327" s="12" t="str">
        <x:v>2.0</x:v>
      </x:c>
      <x:c r="H327" s="13" t="n">
        <x:v>3</x:v>
      </x:c>
      <x:c r="I327" s="12" t="str">
        <x:v>台北市</x:v>
      </x:c>
      <x:c r="J327" s="12" t="str">
        <x:v>500119091</x:v>
      </x:c>
      <x:c r="K327" s="12" t="str">
        <x:v>臺大明達館北側(員工宿舍)</x:v>
      </x:c>
      <x:c r="L327" s="12" t="str">
        <x:v>ZZB* 且調出/調入且車種2.0/2.0E</x:v>
      </x:c>
    </x:row>
    <x:row r="328">
      <x:c r="A328" s="12" t="str">
        <x:v>2026-09-04</x:v>
      </x:c>
      <x:c r="B328" s="12" t="str">
        <x:v>2026-09-04 08:41:37</x:v>
      </x:c>
      <x:c r="C328" s="12" t="str">
        <x:v>08:00</x:v>
      </x:c>
      <x:c r="D328" s="12" t="str">
        <x:v>06–09</x:v>
      </x:c>
      <x:c r="E328" s="12" t="str">
        <x:v>ZZB-0004</x:v>
      </x:c>
      <x:c r="F328" s="12" t="str">
        <x:v>調出</x:v>
      </x:c>
      <x:c r="G328" s="12" t="str">
        <x:v>2.0E</x:v>
      </x:c>
      <x:c r="H328" s="13" t="n">
        <x:v>1</x:v>
      </x:c>
      <x:c r="I328" s="12" t="str">
        <x:v>台北市</x:v>
      </x:c>
      <x:c r="J328" s="12" t="str">
        <x:v>500119065</x:v>
      </x:c>
      <x:c r="K328" s="12" t="str">
        <x:v>臺大二號館</x:v>
      </x:c>
      <x:c r="L328" s="12" t="str">
        <x:v>ZZB* 且調出/調入且車種2.0/2.0E</x:v>
      </x:c>
    </x:row>
    <x:row r="329">
      <x:c r="A329" s="12" t="str">
        <x:v>2026-09-04</x:v>
      </x:c>
      <x:c r="B329" s="12" t="str">
        <x:v>2026-09-04 08:41:50</x:v>
      </x:c>
      <x:c r="C329" s="12" t="str">
        <x:v>08:00</x:v>
      </x:c>
      <x:c r="D329" s="12" t="str">
        <x:v>06–09</x:v>
      </x:c>
      <x:c r="E329" s="12" t="str">
        <x:v>ZZB-0004</x:v>
      </x:c>
      <x:c r="F329" s="12" t="str">
        <x:v>調入</x:v>
      </x:c>
      <x:c r="G329" s="12" t="str">
        <x:v>2.0E</x:v>
      </x:c>
      <x:c r="H329" s="13" t="n">
        <x:v>1</x:v>
      </x:c>
      <x:c r="I329" s="12" t="str">
        <x:v>台北市</x:v>
      </x:c>
      <x:c r="J329" s="12" t="str">
        <x:v>500119060</x:v>
      </x:c>
      <x:c r="K329" s="12" t="str">
        <x:v>臺大共同教室東南側</x:v>
      </x:c>
      <x:c r="L329" s="12" t="str">
        <x:v>ZZB* 且調出/調入且車種2.0/2.0E</x:v>
      </x:c>
    </x:row>
    <x:row r="330">
      <x:c r="A330" s="12" t="str">
        <x:v>2026-09-04</x:v>
      </x:c>
      <x:c r="B330" s="12" t="str">
        <x:v>2026-09-04 10:14:41</x:v>
      </x:c>
      <x:c r="C330" s="12" t="str">
        <x:v>10:00</x:v>
      </x:c>
      <x:c r="D330" s="12" t="str">
        <x:v>10–13</x:v>
      </x:c>
      <x:c r="E330" s="12" t="str">
        <x:v>ZZB-0004</x:v>
      </x:c>
      <x:c r="F330" s="12" t="str">
        <x:v>調出</x:v>
      </x:c>
      <x:c r="G330" s="12" t="str">
        <x:v>2.0E</x:v>
      </x:c>
      <x:c r="H330" s="13" t="n">
        <x:v>1</x:v>
      </x:c>
      <x:c r="I330" s="12" t="str">
        <x:v>台北市</x:v>
      </x:c>
      <x:c r="J330" s="12" t="str">
        <x:v>500119056</x:v>
      </x:c>
      <x:c r="K330" s="12" t="str">
        <x:v>臺大農化新館西側</x:v>
      </x:c>
      <x:c r="L330" s="12" t="str">
        <x:v>ZZB* 且調出/調入且車種2.0/2.0E</x:v>
      </x:c>
    </x:row>
    <x:row r="331">
      <x:c r="A331" s="12" t="str">
        <x:v>2026-09-04</x:v>
      </x:c>
      <x:c r="B331" s="12" t="str">
        <x:v>2026-09-04 10:15:18</x:v>
      </x:c>
      <x:c r="C331" s="12" t="str">
        <x:v>10:00</x:v>
      </x:c>
      <x:c r="D331" s="12" t="str">
        <x:v>10–13</x:v>
      </x:c>
      <x:c r="E331" s="12" t="str">
        <x:v>ZZB-0004</x:v>
      </x:c>
      <x:c r="F331" s="12" t="str">
        <x:v>調入</x:v>
      </x:c>
      <x:c r="G331" s="12" t="str">
        <x:v>2.0E</x:v>
      </x:c>
      <x:c r="H331" s="13" t="n">
        <x:v>1</x:v>
      </x:c>
      <x:c r="I331" s="12" t="str">
        <x:v>台北市</x:v>
      </x:c>
      <x:c r="J331" s="12" t="str">
        <x:v>500119094</x:v>
      </x:c>
      <x:c r="K331" s="12" t="str">
        <x:v>臺大大一女餐廳廣場</x:v>
      </x:c>
      <x:c r="L331" s="12" t="str">
        <x:v>ZZB* 且調出/調入且車種2.0/2.0E</x:v>
      </x:c>
    </x:row>
    <x:row r="332">
      <x:c r="A332" s="12" t="str">
        <x:v>2026-09-04</x:v>
      </x:c>
      <x:c r="B332" s="12" t="str">
        <x:v>2026-09-04 13:36:48</x:v>
      </x:c>
      <x:c r="C332" s="12" t="str">
        <x:v>13:00</x:v>
      </x:c>
      <x:c r="D332" s="12" t="str">
        <x:v>10–13</x:v>
      </x:c>
      <x:c r="E332" s="12" t="str">
        <x:v>ZZB-0004</x:v>
      </x:c>
      <x:c r="F332" s="12" t="str">
        <x:v>調出</x:v>
      </x:c>
      <x:c r="G332" s="12" t="str">
        <x:v>2.0E</x:v>
      </x:c>
      <x:c r="H332" s="13" t="n">
        <x:v>2</x:v>
      </x:c>
      <x:c r="I332" s="12" t="str">
        <x:v>台北市</x:v>
      </x:c>
      <x:c r="J332" s="12" t="str">
        <x:v>500119072</x:v>
      </x:c>
      <x:c r="K332" s="12" t="str">
        <x:v>臺大原分所北側</x:v>
      </x:c>
      <x:c r="L332" s="12" t="str">
        <x:v>ZZB* 且調出/調入且車種2.0/2.0E</x:v>
      </x:c>
    </x:row>
    <x:row r="333">
      <x:c r="A333" s="12" t="str">
        <x:v>2026-09-04</x:v>
      </x:c>
      <x:c r="B333" s="12" t="str">
        <x:v>2026-09-04 13:37:04</x:v>
      </x:c>
      <x:c r="C333" s="12" t="str">
        <x:v>13:00</x:v>
      </x:c>
      <x:c r="D333" s="12" t="str">
        <x:v>10–13</x:v>
      </x:c>
      <x:c r="E333" s="12" t="str">
        <x:v>ZZB-0004</x:v>
      </x:c>
      <x:c r="F333" s="12" t="str">
        <x:v>調入</x:v>
      </x:c>
      <x:c r="G333" s="12" t="str">
        <x:v>2.0E</x:v>
      </x:c>
      <x:c r="H333" s="13" t="n">
        <x:v>2</x:v>
      </x:c>
      <x:c r="I333" s="12" t="str">
        <x:v>台北市</x:v>
      </x:c>
      <x:c r="J333" s="12" t="str">
        <x:v>500119094</x:v>
      </x:c>
      <x:c r="K333" s="12" t="str">
        <x:v>臺大大一女餐廳廣場</x:v>
      </x:c>
      <x:c r="L333" s="12" t="str">
        <x:v>ZZB* 且調出/調入且車種2.0/2.0E</x:v>
      </x:c>
    </x:row>
    <x:row r="334">
      <x:c r="A334" s="12" t="str">
        <x:v>2026-09-07</x:v>
      </x:c>
      <x:c r="B334" s="12" t="str">
        <x:v>2026-09-07 07:56:35</x:v>
      </x:c>
      <x:c r="C334" s="12" t="str">
        <x:v>07:00</x:v>
      </x:c>
      <x:c r="D334" s="12" t="str">
        <x:v>06–09</x:v>
      </x:c>
      <x:c r="E334" s="12" t="str">
        <x:v>ZZB-0001</x:v>
      </x:c>
      <x:c r="F334" s="12" t="str">
        <x:v>調出</x:v>
      </x:c>
      <x:c r="G334" s="12" t="str">
        <x:v>2.0</x:v>
      </x:c>
      <x:c r="H334" s="13" t="n">
        <x:v>7</x:v>
      </x:c>
      <x:c r="I334" s="12" t="str">
        <x:v>台北市</x:v>
      </x:c>
      <x:c r="J334" s="12" t="str">
        <x:v>500119047</x:v>
      </x:c>
      <x:c r="K334" s="12" t="str">
        <x:v>臺大土木系館</x:v>
      </x:c>
      <x:c r="L334" s="12" t="str">
        <x:v>ZZB* 且調出/調入且車種2.0/2.0E</x:v>
      </x:c>
    </x:row>
    <x:row r="335">
      <x:c r="A335" s="12" t="str">
        <x:v>2026-09-07</x:v>
      </x:c>
      <x:c r="B335" s="12" t="str">
        <x:v>2026-09-07 07:56:53</x:v>
      </x:c>
      <x:c r="C335" s="12" t="str">
        <x:v>07:00</x:v>
      </x:c>
      <x:c r="D335" s="12" t="str">
        <x:v>06–09</x:v>
      </x:c>
      <x:c r="E335" s="12" t="str">
        <x:v>ZZB-0001</x:v>
      </x:c>
      <x:c r="F335" s="12" t="str">
        <x:v>調入</x:v>
      </x:c>
      <x:c r="G335" s="12" t="str">
        <x:v>2.0</x:v>
      </x:c>
      <x:c r="H335" s="13" t="n">
        <x:v>7</x:v>
      </x:c>
      <x:c r="I335" s="12" t="str">
        <x:v>台北市</x:v>
      </x:c>
      <x:c r="J335" s="12" t="str">
        <x:v>500119059</x:v>
      </x:c>
      <x:c r="K335" s="12" t="str">
        <x:v>臺大共同教室北側</x:v>
      </x:c>
      <x:c r="L335" s="12" t="str">
        <x:v>ZZB* 且調出/調入且車種2.0/2.0E</x:v>
      </x:c>
    </x:row>
    <x:row r="336">
      <x:c r="A336" s="12" t="str">
        <x:v>2026-09-07</x:v>
      </x:c>
      <x:c r="B336" s="12" t="str">
        <x:v>2026-09-07 08:17:59</x:v>
      </x:c>
      <x:c r="C336" s="12" t="str">
        <x:v>08:00</x:v>
      </x:c>
      <x:c r="D336" s="12" t="str">
        <x:v>06–09</x:v>
      </x:c>
      <x:c r="E336" s="12" t="str">
        <x:v>ZZB-0001</x:v>
      </x:c>
      <x:c r="F336" s="12" t="str">
        <x:v>調出</x:v>
      </x:c>
      <x:c r="G336" s="12" t="str">
        <x:v>2.0</x:v>
      </x:c>
      <x:c r="H336" s="13" t="n">
        <x:v>7</x:v>
      </x:c>
      <x:c r="I336" s="12" t="str">
        <x:v>台北市</x:v>
      </x:c>
      <x:c r="J336" s="12" t="str">
        <x:v>500119087</x:v>
      </x:c>
      <x:c r="K336" s="12" t="str">
        <x:v>臺大總圖書館西南側</x:v>
      </x:c>
      <x:c r="L336" s="12" t="str">
        <x:v>ZZB* 且調出/調入且車種2.0/2.0E</x:v>
      </x:c>
    </x:row>
    <x:row r="337">
      <x:c r="A337" s="12" t="str">
        <x:v>2026-09-07</x:v>
      </x:c>
      <x:c r="B337" s="12" t="str">
        <x:v>2026-09-07 08:18:11</x:v>
      </x:c>
      <x:c r="C337" s="12" t="str">
        <x:v>08:00</x:v>
      </x:c>
      <x:c r="D337" s="12" t="str">
        <x:v>06–09</x:v>
      </x:c>
      <x:c r="E337" s="12" t="str">
        <x:v>ZZB-0001</x:v>
      </x:c>
      <x:c r="F337" s="12" t="str">
        <x:v>調入</x:v>
      </x:c>
      <x:c r="G337" s="12" t="str">
        <x:v>2.0</x:v>
      </x:c>
      <x:c r="H337" s="13" t="n">
        <x:v>7</x:v>
      </x:c>
      <x:c r="I337" s="12" t="str">
        <x:v>台北市</x:v>
      </x:c>
      <x:c r="J337" s="12" t="str">
        <x:v>500119061</x:v>
      </x:c>
      <x:c r="K337" s="12" t="str">
        <x:v>臺大鹿鳴堂東側</x:v>
      </x:c>
      <x:c r="L337" s="12" t="str">
        <x:v>ZZB* 且調出/調入且車種2.0/2.0E</x:v>
      </x:c>
    </x:row>
    <x:row r="338">
      <x:c r="A338" s="12" t="str">
        <x:v>2026-09-07</x:v>
      </x:c>
      <x:c r="B338" s="12" t="str">
        <x:v>2026-09-07 08:36:36</x:v>
      </x:c>
      <x:c r="C338" s="12" t="str">
        <x:v>08:00</x:v>
      </x:c>
      <x:c r="D338" s="12" t="str">
        <x:v>06–09</x:v>
      </x:c>
      <x:c r="E338" s="12" t="str">
        <x:v>ZZB-0001</x:v>
      </x:c>
      <x:c r="F338" s="12" t="str">
        <x:v>調出</x:v>
      </x:c>
      <x:c r="G338" s="12" t="str">
        <x:v>2.0</x:v>
      </x:c>
      <x:c r="H338" s="13" t="n">
        <x:v>7</x:v>
      </x:c>
      <x:c r="I338" s="12" t="str">
        <x:v>台北市</x:v>
      </x:c>
      <x:c r="J338" s="12" t="str">
        <x:v>500119086</x:v>
      </x:c>
      <x:c r="K338" s="12" t="str">
        <x:v>臺大圖資系館北側</x:v>
      </x:c>
      <x:c r="L338" s="12" t="str">
        <x:v>ZZB* 且調出/調入且車種2.0/2.0E</x:v>
      </x:c>
    </x:row>
    <x:row r="339">
      <x:c r="A339" s="12" t="str">
        <x:v>2026-09-07</x:v>
      </x:c>
      <x:c r="B339" s="12" t="str">
        <x:v>2026-09-07 08:36:49</x:v>
      </x:c>
      <x:c r="C339" s="12" t="str">
        <x:v>08:00</x:v>
      </x:c>
      <x:c r="D339" s="12" t="str">
        <x:v>06–09</x:v>
      </x:c>
      <x:c r="E339" s="12" t="str">
        <x:v>ZZB-0001</x:v>
      </x:c>
      <x:c r="F339" s="12" t="str">
        <x:v>調入</x:v>
      </x:c>
      <x:c r="G339" s="12" t="str">
        <x:v>2.0</x:v>
      </x:c>
      <x:c r="H339" s="13" t="n">
        <x:v>7</x:v>
      </x:c>
      <x:c r="I339" s="12" t="str">
        <x:v>台北市</x:v>
      </x:c>
      <x:c r="J339" s="12" t="str">
        <x:v>500119060</x:v>
      </x:c>
      <x:c r="K339" s="12" t="str">
        <x:v>臺大共同教室東南側</x:v>
      </x:c>
      <x:c r="L339" s="12" t="str">
        <x:v>ZZB* 且調出/調入且車種2.0/2.0E</x:v>
      </x:c>
    </x:row>
    <x:row r="340">
      <x:c r="A340" s="12" t="str">
        <x:v>2026-09-07</x:v>
      </x:c>
      <x:c r="B340" s="12" t="str">
        <x:v>2026-09-07 08:55:45</x:v>
      </x:c>
      <x:c r="C340" s="12" t="str">
        <x:v>08:00</x:v>
      </x:c>
      <x:c r="D340" s="12" t="str">
        <x:v>06–09</x:v>
      </x:c>
      <x:c r="E340" s="12" t="str">
        <x:v>ZZB-0001</x:v>
      </x:c>
      <x:c r="F340" s="12" t="str">
        <x:v>調出</x:v>
      </x:c>
      <x:c r="G340" s="12" t="str">
        <x:v>2.0</x:v>
      </x:c>
      <x:c r="H340" s="13" t="n">
        <x:v>7</x:v>
      </x:c>
      <x:c r="I340" s="12" t="str">
        <x:v>台北市</x:v>
      </x:c>
      <x:c r="J340" s="12" t="str">
        <x:v>500119087</x:v>
      </x:c>
      <x:c r="K340" s="12" t="str">
        <x:v>臺大總圖書館西南側</x:v>
      </x:c>
      <x:c r="L340" s="12" t="str">
        <x:v>ZZB* 且調出/調入且車種2.0/2.0E</x:v>
      </x:c>
    </x:row>
    <x:row r="341">
      <x:c r="A341" s="12" t="str">
        <x:v>2026-09-07</x:v>
      </x:c>
      <x:c r="B341" s="12" t="str">
        <x:v>2026-09-07 08:55:59</x:v>
      </x:c>
      <x:c r="C341" s="12" t="str">
        <x:v>08:00</x:v>
      </x:c>
      <x:c r="D341" s="12" t="str">
        <x:v>06–09</x:v>
      </x:c>
      <x:c r="E341" s="12" t="str">
        <x:v>ZZB-0001</x:v>
      </x:c>
      <x:c r="F341" s="12" t="str">
        <x:v>調入</x:v>
      </x:c>
      <x:c r="G341" s="12" t="str">
        <x:v>2.0</x:v>
      </x:c>
      <x:c r="H341" s="13" t="n">
        <x:v>7</x:v>
      </x:c>
      <x:c r="I341" s="12" t="str">
        <x:v>台北市</x:v>
      </x:c>
      <x:c r="J341" s="12" t="str">
        <x:v>500119074</x:v>
      </x:c>
      <x:c r="K341" s="12" t="str">
        <x:v>臺大生命科學館西北側</x:v>
      </x:c>
      <x:c r="L341" s="12" t="str">
        <x:v>ZZB* 且調出/調入且車種2.0/2.0E</x:v>
      </x:c>
    </x:row>
    <x:row r="342">
      <x:c r="A342" s="12" t="str">
        <x:v>2026-09-07</x:v>
      </x:c>
      <x:c r="B342" s="12" t="str">
        <x:v>2026-09-07 09:17:16</x:v>
      </x:c>
      <x:c r="C342" s="12" t="str">
        <x:v>09:00</x:v>
      </x:c>
      <x:c r="D342" s="12" t="str">
        <x:v>06–09</x:v>
      </x:c>
      <x:c r="E342" s="12" t="str">
        <x:v>ZZB-0001</x:v>
      </x:c>
      <x:c r="F342" s="12" t="str">
        <x:v>調出</x:v>
      </x:c>
      <x:c r="G342" s="12" t="str">
        <x:v>2.0</x:v>
      </x:c>
      <x:c r="H342" s="13" t="n">
        <x:v>6</x:v>
      </x:c>
      <x:c r="I342" s="12" t="str">
        <x:v>台北市</x:v>
      </x:c>
      <x:c r="J342" s="12" t="str">
        <x:v>500119072</x:v>
      </x:c>
      <x:c r="K342" s="12" t="str">
        <x:v>臺大原分所北側</x:v>
      </x:c>
      <x:c r="L342" s="12" t="str">
        <x:v>ZZB* 且調出/調入且車種2.0/2.0E</x:v>
      </x:c>
    </x:row>
    <x:row r="343">
      <x:c r="A343" s="12" t="str">
        <x:v>2026-09-07</x:v>
      </x:c>
      <x:c r="B343" s="12" t="str">
        <x:v>2026-09-07 09:17:31</x:v>
      </x:c>
      <x:c r="C343" s="12" t="str">
        <x:v>09:00</x:v>
      </x:c>
      <x:c r="D343" s="12" t="str">
        <x:v>06–09</x:v>
      </x:c>
      <x:c r="E343" s="12" t="str">
        <x:v>ZZB-0001</x:v>
      </x:c>
      <x:c r="F343" s="12" t="str">
        <x:v>調入</x:v>
      </x:c>
      <x:c r="G343" s="12" t="str">
        <x:v>2.0</x:v>
      </x:c>
      <x:c r="H343" s="13" t="n">
        <x:v>6</x:v>
      </x:c>
      <x:c r="I343" s="12" t="str">
        <x:v>台北市</x:v>
      </x:c>
      <x:c r="J343" s="12" t="str">
        <x:v>500119059</x:v>
      </x:c>
      <x:c r="K343" s="12" t="str">
        <x:v>臺大共同教室北側</x:v>
      </x:c>
      <x:c r="L343" s="12" t="str">
        <x:v>ZZB* 且調出/調入且車種2.0/2.0E</x:v>
      </x:c>
    </x:row>
    <x:row r="344">
      <x:c r="A344" s="12" t="str">
        <x:v>2026-09-07</x:v>
      </x:c>
      <x:c r="B344" s="12" t="str">
        <x:v>2026-09-07 09:45:59</x:v>
      </x:c>
      <x:c r="C344" s="12" t="str">
        <x:v>09:00</x:v>
      </x:c>
      <x:c r="D344" s="12" t="str">
        <x:v>06–09</x:v>
      </x:c>
      <x:c r="E344" s="12" t="str">
        <x:v>ZZB-0001</x:v>
      </x:c>
      <x:c r="F344" s="12" t="str">
        <x:v>調出</x:v>
      </x:c>
      <x:c r="G344" s="12" t="str">
        <x:v>2.0</x:v>
      </x:c>
      <x:c r="H344" s="13" t="n">
        <x:v>6</x:v>
      </x:c>
      <x:c r="I344" s="12" t="str">
        <x:v>台北市</x:v>
      </x:c>
      <x:c r="J344" s="12" t="str">
        <x:v>500119086</x:v>
      </x:c>
      <x:c r="K344" s="12" t="str">
        <x:v>臺大圖資系館北側</x:v>
      </x:c>
      <x:c r="L344" s="12" t="str">
        <x:v>ZZB* 且調出/調入且車種2.0/2.0E</x:v>
      </x:c>
    </x:row>
    <x:row r="345">
      <x:c r="A345" s="12" t="str">
        <x:v>2026-09-07</x:v>
      </x:c>
      <x:c r="B345" s="12" t="str">
        <x:v>2026-09-07 09:46:16</x:v>
      </x:c>
      <x:c r="C345" s="12" t="str">
        <x:v>09:00</x:v>
      </x:c>
      <x:c r="D345" s="12" t="str">
        <x:v>06–09</x:v>
      </x:c>
      <x:c r="E345" s="12" t="str">
        <x:v>ZZB-0001</x:v>
      </x:c>
      <x:c r="F345" s="12" t="str">
        <x:v>調入</x:v>
      </x:c>
      <x:c r="G345" s="12" t="str">
        <x:v>2.0</x:v>
      </x:c>
      <x:c r="H345" s="13" t="n">
        <x:v>6</x:v>
      </x:c>
      <x:c r="I345" s="12" t="str">
        <x:v>台北市</x:v>
      </x:c>
      <x:c r="J345" s="12" t="str">
        <x:v>500119061</x:v>
      </x:c>
      <x:c r="K345" s="12" t="str">
        <x:v>臺大鹿鳴堂東側</x:v>
      </x:c>
      <x:c r="L345" s="12" t="str">
        <x:v>ZZB* 且調出/調入且車種2.0/2.0E</x:v>
      </x:c>
    </x:row>
    <x:row r="346">
      <x:c r="A346" s="12" t="str">
        <x:v>2026-09-07</x:v>
      </x:c>
      <x:c r="B346" s="12" t="str">
        <x:v>2026-09-07 10:08:54</x:v>
      </x:c>
      <x:c r="C346" s="12" t="str">
        <x:v>10:00</x:v>
      </x:c>
      <x:c r="D346" s="12" t="str">
        <x:v>10–13</x:v>
      </x:c>
      <x:c r="E346" s="12" t="str">
        <x:v>ZZB-0001</x:v>
      </x:c>
      <x:c r="F346" s="12" t="str">
        <x:v>調出</x:v>
      </x:c>
      <x:c r="G346" s="12" t="str">
        <x:v>2.0</x:v>
      </x:c>
      <x:c r="H346" s="13" t="n">
        <x:v>7</x:v>
      </x:c>
      <x:c r="I346" s="12" t="str">
        <x:v>台北市</x:v>
      </x:c>
      <x:c r="J346" s="12" t="str">
        <x:v>500119083</x:v>
      </x:c>
      <x:c r="K346" s="12" t="str">
        <x:v>臺大新生教室南側</x:v>
      </x:c>
      <x:c r="L346" s="12" t="str">
        <x:v>ZZB* 且調出/調入且車種2.0/2.0E</x:v>
      </x:c>
    </x:row>
    <x:row r="347">
      <x:c r="A347" s="12" t="str">
        <x:v>2026-09-07</x:v>
      </x:c>
      <x:c r="B347" s="12" t="str">
        <x:v>2026-09-07 10:09:06</x:v>
      </x:c>
      <x:c r="C347" s="12" t="str">
        <x:v>10:00</x:v>
      </x:c>
      <x:c r="D347" s="12" t="str">
        <x:v>10–13</x:v>
      </x:c>
      <x:c r="E347" s="12" t="str">
        <x:v>ZZB-0001</x:v>
      </x:c>
      <x:c r="F347" s="12" t="str">
        <x:v>調入</x:v>
      </x:c>
      <x:c r="G347" s="12" t="str">
        <x:v>2.0</x:v>
      </x:c>
      <x:c r="H347" s="13" t="n">
        <x:v>7</x:v>
      </x:c>
      <x:c r="I347" s="12" t="str">
        <x:v>台北市</x:v>
      </x:c>
      <x:c r="J347" s="12" t="str">
        <x:v>500119060</x:v>
      </x:c>
      <x:c r="K347" s="12" t="str">
        <x:v>臺大共同教室東南側</x:v>
      </x:c>
      <x:c r="L347" s="12" t="str">
        <x:v>ZZB* 且調出/調入且車種2.0/2.0E</x:v>
      </x:c>
    </x:row>
    <x:row r="348">
      <x:c r="A348" s="12" t="str">
        <x:v>2026-09-07</x:v>
      </x:c>
      <x:c r="B348" s="12" t="str">
        <x:v>2026-09-07 10:32:45</x:v>
      </x:c>
      <x:c r="C348" s="12" t="str">
        <x:v>10:00</x:v>
      </x:c>
      <x:c r="D348" s="12" t="str">
        <x:v>10–13</x:v>
      </x:c>
      <x:c r="E348" s="12" t="str">
        <x:v>ZZB-0001</x:v>
      </x:c>
      <x:c r="F348" s="12" t="str">
        <x:v>調出</x:v>
      </x:c>
      <x:c r="G348" s="12" t="str">
        <x:v>2.0</x:v>
      </x:c>
      <x:c r="H348" s="13" t="n">
        <x:v>6</x:v>
      </x:c>
      <x:c r="I348" s="12" t="str">
        <x:v>台北市</x:v>
      </x:c>
      <x:c r="J348" s="12" t="str">
        <x:v>500119098</x:v>
      </x:c>
      <x:c r="K348" s="12" t="str">
        <x:v>臺大數學研究中心(東側)</x:v>
      </x:c>
      <x:c r="L348" s="12" t="str">
        <x:v>ZZB* 且調出/調入且車種2.0/2.0E</x:v>
      </x:c>
    </x:row>
    <x:row r="349">
      <x:c r="A349" s="12" t="str">
        <x:v>2026-09-07</x:v>
      </x:c>
      <x:c r="B349" s="12" t="str">
        <x:v>2026-09-07 10:33:00</x:v>
      </x:c>
      <x:c r="C349" s="12" t="str">
        <x:v>10:00</x:v>
      </x:c>
      <x:c r="D349" s="12" t="str">
        <x:v>10–13</x:v>
      </x:c>
      <x:c r="E349" s="12" t="str">
        <x:v>ZZB-0001</x:v>
      </x:c>
      <x:c r="F349" s="12" t="str">
        <x:v>調入</x:v>
      </x:c>
      <x:c r="G349" s="12" t="str">
        <x:v>2.0</x:v>
      </x:c>
      <x:c r="H349" s="13" t="n">
        <x:v>6</x:v>
      </x:c>
      <x:c r="I349" s="12" t="str">
        <x:v>台北市</x:v>
      </x:c>
      <x:c r="J349" s="12" t="str">
        <x:v>500119059</x:v>
      </x:c>
      <x:c r="K349" s="12" t="str">
        <x:v>臺大共同教室北側</x:v>
      </x:c>
      <x:c r="L349" s="12" t="str">
        <x:v>ZZB* 且調出/調入且車種2.0/2.0E</x:v>
      </x:c>
    </x:row>
    <x:row r="350">
      <x:c r="A350" s="12" t="str">
        <x:v>2026-09-07</x:v>
      </x:c>
      <x:c r="B350" s="12" t="str">
        <x:v>2026-09-07 10:57:22</x:v>
      </x:c>
      <x:c r="C350" s="12" t="str">
        <x:v>10:00</x:v>
      </x:c>
      <x:c r="D350" s="12" t="str">
        <x:v>10–13</x:v>
      </x:c>
      <x:c r="E350" s="12" t="str">
        <x:v>ZZB-0001</x:v>
      </x:c>
      <x:c r="F350" s="12" t="str">
        <x:v>調出</x:v>
      </x:c>
      <x:c r="G350" s="12" t="str">
        <x:v>2.0</x:v>
      </x:c>
      <x:c r="H350" s="13" t="n">
        <x:v>5</x:v>
      </x:c>
      <x:c r="I350" s="12" t="str">
        <x:v>台北市</x:v>
      </x:c>
      <x:c r="J350" s="12" t="str">
        <x:v>500119086</x:v>
      </x:c>
      <x:c r="K350" s="12" t="str">
        <x:v>臺大圖資系館北側</x:v>
      </x:c>
      <x:c r="L350" s="12" t="str">
        <x:v>ZZB* 且調出/調入且車種2.0/2.0E</x:v>
      </x:c>
    </x:row>
    <x:row r="351">
      <x:c r="A351" s="12" t="str">
        <x:v>2026-09-07</x:v>
      </x:c>
      <x:c r="B351" s="12" t="str">
        <x:v>2026-09-07 10:57:40</x:v>
      </x:c>
      <x:c r="C351" s="12" t="str">
        <x:v>10:00</x:v>
      </x:c>
      <x:c r="D351" s="12" t="str">
        <x:v>10–13</x:v>
      </x:c>
      <x:c r="E351" s="12" t="str">
        <x:v>ZZB-0001</x:v>
      </x:c>
      <x:c r="F351" s="12" t="str">
        <x:v>調入</x:v>
      </x:c>
      <x:c r="G351" s="12" t="str">
        <x:v>2.0</x:v>
      </x:c>
      <x:c r="H351" s="13" t="n">
        <x:v>5</x:v>
      </x:c>
      <x:c r="I351" s="12" t="str">
        <x:v>台北市</x:v>
      </x:c>
      <x:c r="J351" s="12" t="str">
        <x:v>500119094</x:v>
      </x:c>
      <x:c r="K351" s="12" t="str">
        <x:v>臺大大一女餐廳廣場</x:v>
      </x:c>
      <x:c r="L351" s="12" t="str">
        <x:v>ZZB* 且調出/調入且車種2.0/2.0E</x:v>
      </x:c>
    </x:row>
    <x:row r="352">
      <x:c r="A352" s="12" t="str">
        <x:v>2026-09-07</x:v>
      </x:c>
      <x:c r="B352" s="12" t="str">
        <x:v>2026-09-07 11:18:46</x:v>
      </x:c>
      <x:c r="C352" s="12" t="str">
        <x:v>11:00</x:v>
      </x:c>
      <x:c r="D352" s="12" t="str">
        <x:v>10–13</x:v>
      </x:c>
      <x:c r="E352" s="12" t="str">
        <x:v>ZZB-0001</x:v>
      </x:c>
      <x:c r="F352" s="12" t="str">
        <x:v>調出</x:v>
      </x:c>
      <x:c r="G352" s="12" t="str">
        <x:v>2.0</x:v>
      </x:c>
      <x:c r="H352" s="13" t="n">
        <x:v>6</x:v>
      </x:c>
      <x:c r="I352" s="12" t="str">
        <x:v>台北市</x:v>
      </x:c>
      <x:c r="J352" s="12" t="str">
        <x:v>500119085</x:v>
      </x:c>
      <x:c r="K352" s="12" t="str">
        <x:v>臺大電機二館東南側</x:v>
      </x:c>
      <x:c r="L352" s="12" t="str">
        <x:v>ZZB* 且調出/調入且車種2.0/2.0E</x:v>
      </x:c>
    </x:row>
    <x:row r="353">
      <x:c r="A353" s="12" t="str">
        <x:v>2026-09-07</x:v>
      </x:c>
      <x:c r="B353" s="12" t="str">
        <x:v>2026-09-07 11:19:01</x:v>
      </x:c>
      <x:c r="C353" s="12" t="str">
        <x:v>11:00</x:v>
      </x:c>
      <x:c r="D353" s="12" t="str">
        <x:v>10–13</x:v>
      </x:c>
      <x:c r="E353" s="12" t="str">
        <x:v>ZZB-0001</x:v>
      </x:c>
      <x:c r="F353" s="12" t="str">
        <x:v>調入</x:v>
      </x:c>
      <x:c r="G353" s="12" t="str">
        <x:v>2.0</x:v>
      </x:c>
      <x:c r="H353" s="13" t="n">
        <x:v>6</x:v>
      </x:c>
      <x:c r="I353" s="12" t="str">
        <x:v>台北市</x:v>
      </x:c>
      <x:c r="J353" s="12" t="str">
        <x:v>500119091</x:v>
      </x:c>
      <x:c r="K353" s="12" t="str">
        <x:v>臺大明達館北側(員工宿舍)</x:v>
      </x:c>
      <x:c r="L353" s="12" t="str">
        <x:v>ZZB* 且調出/調入且車種2.0/2.0E</x:v>
      </x:c>
    </x:row>
    <x:row r="354">
      <x:c r="A354" s="12" t="str">
        <x:v>2026-09-07</x:v>
      </x:c>
      <x:c r="B354" s="12" t="str">
        <x:v>2026-09-07 12:28:26</x:v>
      </x:c>
      <x:c r="C354" s="12" t="str">
        <x:v>12:00</x:v>
      </x:c>
      <x:c r="D354" s="12" t="str">
        <x:v>10–13</x:v>
      </x:c>
      <x:c r="E354" s="12" t="str">
        <x:v>ZZB-0001</x:v>
      </x:c>
      <x:c r="F354" s="12" t="str">
        <x:v>調出</x:v>
      </x:c>
      <x:c r="G354" s="12" t="str">
        <x:v>2.0</x:v>
      </x:c>
      <x:c r="H354" s="13" t="n">
        <x:v>6</x:v>
      </x:c>
      <x:c r="I354" s="12" t="str">
        <x:v>台北市</x:v>
      </x:c>
      <x:c r="J354" s="12" t="str">
        <x:v>500119087</x:v>
      </x:c>
      <x:c r="K354" s="12" t="str">
        <x:v>臺大總圖書館西南側</x:v>
      </x:c>
      <x:c r="L354" s="12" t="str">
        <x:v>ZZB* 且調出/調入且車種2.0/2.0E</x:v>
      </x:c>
    </x:row>
    <x:row r="355">
      <x:c r="A355" s="12" t="str">
        <x:v>2026-09-07</x:v>
      </x:c>
      <x:c r="B355" s="12" t="str">
        <x:v>2026-09-07 12:28:47</x:v>
      </x:c>
      <x:c r="C355" s="12" t="str">
        <x:v>12:00</x:v>
      </x:c>
      <x:c r="D355" s="12" t="str">
        <x:v>10–13</x:v>
      </x:c>
      <x:c r="E355" s="12" t="str">
        <x:v>ZZB-0001</x:v>
      </x:c>
      <x:c r="F355" s="12" t="str">
        <x:v>調入</x:v>
      </x:c>
      <x:c r="G355" s="12" t="str">
        <x:v>2.0</x:v>
      </x:c>
      <x:c r="H355" s="13" t="n">
        <x:v>6</x:v>
      </x:c>
      <x:c r="I355" s="12" t="str">
        <x:v>台北市</x:v>
      </x:c>
      <x:c r="J355" s="12" t="str">
        <x:v>500119061</x:v>
      </x:c>
      <x:c r="K355" s="12" t="str">
        <x:v>臺大鹿鳴堂東側</x:v>
      </x:c>
      <x:c r="L355" s="12" t="str">
        <x:v>ZZB* 且調出/調入且車種2.0/2.0E</x:v>
      </x:c>
    </x:row>
    <x:row r="356">
      <x:c r="A356" s="12" t="str">
        <x:v>2026-09-07</x:v>
      </x:c>
      <x:c r="B356" s="12" t="str">
        <x:v>2026-09-07 12:47:56</x:v>
      </x:c>
      <x:c r="C356" s="12" t="str">
        <x:v>12:00</x:v>
      </x:c>
      <x:c r="D356" s="12" t="str">
        <x:v>10–13</x:v>
      </x:c>
      <x:c r="E356" s="12" t="str">
        <x:v>ZZB-0001</x:v>
      </x:c>
      <x:c r="F356" s="12" t="str">
        <x:v>調出</x:v>
      </x:c>
      <x:c r="G356" s="12" t="str">
        <x:v>2.0</x:v>
      </x:c>
      <x:c r="H356" s="13" t="n">
        <x:v>7</x:v>
      </x:c>
      <x:c r="I356" s="12" t="str">
        <x:v>台北市</x:v>
      </x:c>
      <x:c r="J356" s="12" t="str">
        <x:v>500119076</x:v>
      </x:c>
      <x:c r="K356" s="12" t="str">
        <x:v>臺大博理館西側</x:v>
      </x:c>
      <x:c r="L356" s="12" t="str">
        <x:v>ZZB* 且調出/調入且車種2.0/2.0E</x:v>
      </x:c>
    </x:row>
    <x:row r="357">
      <x:c r="A357" s="12" t="str">
        <x:v>2026-09-07</x:v>
      </x:c>
      <x:c r="B357" s="12" t="str">
        <x:v>2026-09-07 12:48:08</x:v>
      </x:c>
      <x:c r="C357" s="12" t="str">
        <x:v>12:00</x:v>
      </x:c>
      <x:c r="D357" s="12" t="str">
        <x:v>10–13</x:v>
      </x:c>
      <x:c r="E357" s="12" t="str">
        <x:v>ZZB-0001</x:v>
      </x:c>
      <x:c r="F357" s="12" t="str">
        <x:v>調入</x:v>
      </x:c>
      <x:c r="G357" s="12" t="str">
        <x:v>2.0</x:v>
      </x:c>
      <x:c r="H357" s="13" t="n">
        <x:v>7</x:v>
      </x:c>
      <x:c r="I357" s="12" t="str">
        <x:v>台北市</x:v>
      </x:c>
      <x:c r="J357" s="12" t="str">
        <x:v>500119086</x:v>
      </x:c>
      <x:c r="K357" s="12" t="str">
        <x:v>臺大圖資系館北側</x:v>
      </x:c>
      <x:c r="L357" s="12" t="str">
        <x:v>ZZB* 且調出/調入且車種2.0/2.0E</x:v>
      </x:c>
    </x:row>
    <x:row r="358">
      <x:c r="A358" s="12" t="str">
        <x:v>2026-09-07</x:v>
      </x:c>
      <x:c r="B358" s="12" t="str">
        <x:v>2026-09-07 13:17:10</x:v>
      </x:c>
      <x:c r="C358" s="12" t="str">
        <x:v>13:00</x:v>
      </x:c>
      <x:c r="D358" s="12" t="str">
        <x:v>10–13</x:v>
      </x:c>
      <x:c r="E358" s="12" t="str">
        <x:v>ZZB-0001</x:v>
      </x:c>
      <x:c r="F358" s="12" t="str">
        <x:v>調出</x:v>
      </x:c>
      <x:c r="G358" s="12" t="str">
        <x:v>2.0</x:v>
      </x:c>
      <x:c r="H358" s="13" t="n">
        <x:v>5</x:v>
      </x:c>
      <x:c r="I358" s="12" t="str">
        <x:v>台北市</x:v>
      </x:c>
      <x:c r="J358" s="12" t="str">
        <x:v>500119067</x:v>
      </x:c>
      <x:c r="K358" s="12" t="str">
        <x:v>臺大社科院西側</x:v>
      </x:c>
      <x:c r="L358" s="12" t="str">
        <x:v>ZZB* 且調出/調入且車種2.0/2.0E</x:v>
      </x:c>
    </x:row>
    <x:row r="359">
      <x:c r="A359" s="12" t="str">
        <x:v>2026-09-07</x:v>
      </x:c>
      <x:c r="B359" s="12" t="str">
        <x:v>2026-09-07 13:17:31</x:v>
      </x:c>
      <x:c r="C359" s="12" t="str">
        <x:v>13:00</x:v>
      </x:c>
      <x:c r="D359" s="12" t="str">
        <x:v>10–13</x:v>
      </x:c>
      <x:c r="E359" s="12" t="str">
        <x:v>ZZB-0001</x:v>
      </x:c>
      <x:c r="F359" s="12" t="str">
        <x:v>調入</x:v>
      </x:c>
      <x:c r="G359" s="12" t="str">
        <x:v>2.0</x:v>
      </x:c>
      <x:c r="H359" s="13" t="n">
        <x:v>5</x:v>
      </x:c>
      <x:c r="I359" s="12" t="str">
        <x:v>台北市</x:v>
      </x:c>
      <x:c r="J359" s="12" t="str">
        <x:v>500119061</x:v>
      </x:c>
      <x:c r="K359" s="12" t="str">
        <x:v>臺大鹿鳴堂東側</x:v>
      </x:c>
      <x:c r="L359" s="12" t="str">
        <x:v>ZZB* 且調出/調入且車種2.0/2.0E</x:v>
      </x:c>
    </x:row>
    <x:row r="360">
      <x:c r="A360" s="12" t="str">
        <x:v>2026-09-07</x:v>
      </x:c>
      <x:c r="B360" s="12" t="str">
        <x:v>2026-09-07 13:49:32</x:v>
      </x:c>
      <x:c r="C360" s="12" t="str">
        <x:v>13:00</x:v>
      </x:c>
      <x:c r="D360" s="12" t="str">
        <x:v>10–13</x:v>
      </x:c>
      <x:c r="E360" s="12" t="str">
        <x:v>ZZB-0001</x:v>
      </x:c>
      <x:c r="F360" s="12" t="str">
        <x:v>調出</x:v>
      </x:c>
      <x:c r="G360" s="12" t="str">
        <x:v>2.0</x:v>
      </x:c>
      <x:c r="H360" s="13" t="n">
        <x:v>6</x:v>
      </x:c>
      <x:c r="I360" s="12" t="str">
        <x:v>台北市</x:v>
      </x:c>
      <x:c r="J360" s="12" t="str">
        <x:v>500119086</x:v>
      </x:c>
      <x:c r="K360" s="12" t="str">
        <x:v>臺大圖資系館北側</x:v>
      </x:c>
      <x:c r="L360" s="12" t="str">
        <x:v>ZZB* 且調出/調入且車種2.0/2.0E</x:v>
      </x:c>
    </x:row>
    <x:row r="361">
      <x:c r="A361" s="12" t="str">
        <x:v>2026-09-07</x:v>
      </x:c>
      <x:c r="B361" s="12" t="str">
        <x:v>2026-09-07 13:49:44</x:v>
      </x:c>
      <x:c r="C361" s="12" t="str">
        <x:v>13:00</x:v>
      </x:c>
      <x:c r="D361" s="12" t="str">
        <x:v>10–13</x:v>
      </x:c>
      <x:c r="E361" s="12" t="str">
        <x:v>ZZB-0001</x:v>
      </x:c>
      <x:c r="F361" s="12" t="str">
        <x:v>調入</x:v>
      </x:c>
      <x:c r="G361" s="12" t="str">
        <x:v>2.0</x:v>
      </x:c>
      <x:c r="H361" s="13" t="n">
        <x:v>6</x:v>
      </x:c>
      <x:c r="I361" s="12" t="str">
        <x:v>台北市</x:v>
      </x:c>
      <x:c r="J361" s="12" t="str">
        <x:v>500119070</x:v>
      </x:c>
      <x:c r="K361" s="12" t="str">
        <x:v>臺大椰林小舖</x:v>
      </x:c>
      <x:c r="L361" s="12" t="str">
        <x:v>ZZB* 且調出/調入且車種2.0/2.0E</x:v>
      </x:c>
    </x:row>
    <x:row r="362">
      <x:c r="A362" s="12" t="str">
        <x:v>2026-09-07</x:v>
      </x:c>
      <x:c r="B362" s="12" t="str">
        <x:v>2026-09-07 14:15:44</x:v>
      </x:c>
      <x:c r="C362" s="12" t="str">
        <x:v>14:00</x:v>
      </x:c>
      <x:c r="D362" s="12" t="str">
        <x:v>14–17</x:v>
      </x:c>
      <x:c r="E362" s="12" t="str">
        <x:v>ZZB-0001</x:v>
      </x:c>
      <x:c r="F362" s="12" t="str">
        <x:v>調出</x:v>
      </x:c>
      <x:c r="G362" s="12" t="str">
        <x:v>2.0</x:v>
      </x:c>
      <x:c r="H362" s="13" t="n">
        <x:v>6</x:v>
      </x:c>
      <x:c r="I362" s="12" t="str">
        <x:v>台北市</x:v>
      </x:c>
      <x:c r="J362" s="12" t="str">
        <x:v>500119098</x:v>
      </x:c>
      <x:c r="K362" s="12" t="str">
        <x:v>臺大數學研究中心(東側)</x:v>
      </x:c>
      <x:c r="L362" s="12" t="str">
        <x:v>ZZB* 且調出/調入且車種2.0/2.0E</x:v>
      </x:c>
    </x:row>
    <x:row r="363">
      <x:c r="A363" s="12" t="str">
        <x:v>2026-09-07</x:v>
      </x:c>
      <x:c r="B363" s="12" t="str">
        <x:v>2026-09-07 14:15:58</x:v>
      </x:c>
      <x:c r="C363" s="12" t="str">
        <x:v>14:00</x:v>
      </x:c>
      <x:c r="D363" s="12" t="str">
        <x:v>14–17</x:v>
      </x:c>
      <x:c r="E363" s="12" t="str">
        <x:v>ZZB-0001</x:v>
      </x:c>
      <x:c r="F363" s="12" t="str">
        <x:v>調入</x:v>
      </x:c>
      <x:c r="G363" s="12" t="str">
        <x:v>2.0</x:v>
      </x:c>
      <x:c r="H363" s="13" t="n">
        <x:v>6</x:v>
      </x:c>
      <x:c r="I363" s="12" t="str">
        <x:v>台北市</x:v>
      </x:c>
      <x:c r="J363" s="12" t="str">
        <x:v>500119094</x:v>
      </x:c>
      <x:c r="K363" s="12" t="str">
        <x:v>臺大大一女餐廳廣場</x:v>
      </x:c>
      <x:c r="L363" s="12" t="str">
        <x:v>ZZB* 且調出/調入且車種2.0/2.0E</x:v>
      </x:c>
    </x:row>
    <x:row r="364">
      <x:c r="A364" s="12" t="str">
        <x:v>2026-09-07</x:v>
      </x:c>
      <x:c r="B364" s="12" t="str">
        <x:v>2026-09-07 17:25:05</x:v>
      </x:c>
      <x:c r="C364" s="12" t="str">
        <x:v>17:00</x:v>
      </x:c>
      <x:c r="D364" s="12" t="str">
        <x:v>14–17</x:v>
      </x:c>
      <x:c r="E364" s="12" t="str">
        <x:v>ZZB-0001</x:v>
      </x:c>
      <x:c r="F364" s="12" t="str">
        <x:v>調出</x:v>
      </x:c>
      <x:c r="G364" s="12" t="str">
        <x:v>2.0</x:v>
      </x:c>
      <x:c r="H364" s="13" t="n">
        <x:v>7</x:v>
      </x:c>
      <x:c r="I364" s="12" t="str">
        <x:v>台北市</x:v>
      </x:c>
      <x:c r="J364" s="12" t="str">
        <x:v>500119045</x:v>
      </x:c>
      <x:c r="K364" s="12" t="str">
        <x:v>臺大農業陳列館北側</x:v>
      </x:c>
      <x:c r="L364" s="12" t="str">
        <x:v>ZZB* 且調出/調入且車種2.0/2.0E</x:v>
      </x:c>
    </x:row>
    <x:row r="365">
      <x:c r="A365" s="12" t="str">
        <x:v>2026-09-07</x:v>
      </x:c>
      <x:c r="B365" s="12" t="str">
        <x:v>2026-09-07 17:31:44</x:v>
      </x:c>
      <x:c r="C365" s="12" t="str">
        <x:v>17:00</x:v>
      </x:c>
      <x:c r="D365" s="12" t="str">
        <x:v>14–17</x:v>
      </x:c>
      <x:c r="E365" s="12" t="str">
        <x:v>ZZB-0001</x:v>
      </x:c>
      <x:c r="F365" s="12" t="str">
        <x:v>調入</x:v>
      </x:c>
      <x:c r="G365" s="12" t="str">
        <x:v>2.0</x:v>
      </x:c>
      <x:c r="H365" s="13" t="n">
        <x:v>7</x:v>
      </x:c>
      <x:c r="I365" s="12" t="str">
        <x:v>台北市</x:v>
      </x:c>
      <x:c r="J365" s="12" t="str">
        <x:v>500119050</x:v>
      </x:c>
      <x:c r="K365" s="12" t="str">
        <x:v>臺大小福樓東側</x:v>
      </x:c>
      <x:c r="L365" s="12" t="str">
        <x:v>ZZB* 且調出/調入且車種2.0/2.0E</x:v>
      </x:c>
    </x:row>
    <x:row r="366">
      <x:c r="A366" s="12" t="str">
        <x:v>2026-09-07</x:v>
      </x:c>
      <x:c r="B366" s="12" t="str">
        <x:v>2026-09-07 17:38:02</x:v>
      </x:c>
      <x:c r="C366" s="12" t="str">
        <x:v>17:00</x:v>
      </x:c>
      <x:c r="D366" s="12" t="str">
        <x:v>14–17</x:v>
      </x:c>
      <x:c r="E366" s="12" t="str">
        <x:v>ZZB-0001</x:v>
      </x:c>
      <x:c r="F366" s="12" t="str">
        <x:v>調出</x:v>
      </x:c>
      <x:c r="G366" s="12" t="str">
        <x:v>2.0</x:v>
      </x:c>
      <x:c r="H366" s="13" t="n">
        <x:v>7</x:v>
      </x:c>
      <x:c r="I366" s="12" t="str">
        <x:v>台北市</x:v>
      </x:c>
      <x:c r="J366" s="12" t="str">
        <x:v>500119045</x:v>
      </x:c>
      <x:c r="K366" s="12" t="str">
        <x:v>臺大農業陳列館北側</x:v>
      </x:c>
      <x:c r="L366" s="12" t="str">
        <x:v>ZZB* 且調出/調入且車種2.0/2.0E</x:v>
      </x:c>
    </x:row>
    <x:row r="367">
      <x:c r="A367" s="12" t="str">
        <x:v>2026-09-07</x:v>
      </x:c>
      <x:c r="B367" s="12" t="str">
        <x:v>2026-09-07 17:43:51</x:v>
      </x:c>
      <x:c r="C367" s="12" t="str">
        <x:v>17:00</x:v>
      </x:c>
      <x:c r="D367" s="12" t="str">
        <x:v>14–17</x:v>
      </x:c>
      <x:c r="E367" s="12" t="str">
        <x:v>ZZB-0001</x:v>
      </x:c>
      <x:c r="F367" s="12" t="str">
        <x:v>調入</x:v>
      </x:c>
      <x:c r="G367" s="12" t="str">
        <x:v>2.0</x:v>
      </x:c>
      <x:c r="H367" s="13" t="n">
        <x:v>7</x:v>
      </x:c>
      <x:c r="I367" s="12" t="str">
        <x:v>台北市</x:v>
      </x:c>
      <x:c r="J367" s="12" t="str">
        <x:v>500119050</x:v>
      </x:c>
      <x:c r="K367" s="12" t="str">
        <x:v>臺大小福樓東側</x:v>
      </x:c>
      <x:c r="L367" s="12" t="str">
        <x:v>ZZB* 且調出/調入且車種2.0/2.0E</x:v>
      </x:c>
    </x:row>
    <x:row r="368">
      <x:c r="A368" s="12" t="str">
        <x:v>2026-09-07</x:v>
      </x:c>
      <x:c r="B368" s="12" t="str">
        <x:v>2026-09-07 17:49:31</x:v>
      </x:c>
      <x:c r="C368" s="12" t="str">
        <x:v>17:00</x:v>
      </x:c>
      <x:c r="D368" s="12" t="str">
        <x:v>14–17</x:v>
      </x:c>
      <x:c r="E368" s="12" t="str">
        <x:v>ZZB-0001</x:v>
      </x:c>
      <x:c r="F368" s="12" t="str">
        <x:v>調出</x:v>
      </x:c>
      <x:c r="G368" s="12" t="str">
        <x:v>2.0</x:v>
      </x:c>
      <x:c r="H368" s="13" t="n">
        <x:v>7</x:v>
      </x:c>
      <x:c r="I368" s="12" t="str">
        <x:v>台北市</x:v>
      </x:c>
      <x:c r="J368" s="12" t="str">
        <x:v>500119045</x:v>
      </x:c>
      <x:c r="K368" s="12" t="str">
        <x:v>臺大農業陳列館北側</x:v>
      </x:c>
      <x:c r="L368" s="12" t="str">
        <x:v>ZZB* 且調出/調入且車種2.0/2.0E</x:v>
      </x:c>
    </x:row>
    <x:row r="369">
      <x:c r="A369" s="12" t="str">
        <x:v>2026-09-07</x:v>
      </x:c>
      <x:c r="B369" s="12" t="str">
        <x:v>2026-09-07 17:56:03</x:v>
      </x:c>
      <x:c r="C369" s="12" t="str">
        <x:v>17:00</x:v>
      </x:c>
      <x:c r="D369" s="12" t="str">
        <x:v>14–17</x:v>
      </x:c>
      <x:c r="E369" s="12" t="str">
        <x:v>ZZB-0001</x:v>
      </x:c>
      <x:c r="F369" s="12" t="str">
        <x:v>調入</x:v>
      </x:c>
      <x:c r="G369" s="12" t="str">
        <x:v>2.0</x:v>
      </x:c>
      <x:c r="H369" s="13" t="n">
        <x:v>7</x:v>
      </x:c>
      <x:c r="I369" s="12" t="str">
        <x:v>台北市</x:v>
      </x:c>
      <x:c r="J369" s="12" t="str">
        <x:v>500119050</x:v>
      </x:c>
      <x:c r="K369" s="12" t="str">
        <x:v>臺大小福樓東側</x:v>
      </x:c>
      <x:c r="L369" s="12" t="str">
        <x:v>ZZB* 且調出/調入且車種2.0/2.0E</x:v>
      </x:c>
    </x:row>
    <x:row r="370">
      <x:c r="A370" s="12" t="str">
        <x:v>2026-09-07</x:v>
      </x:c>
      <x:c r="B370" s="12" t="str">
        <x:v>2026-09-07 18:07:21</x:v>
      </x:c>
      <x:c r="C370" s="12" t="str">
        <x:v>18:00</x:v>
      </x:c>
      <x:c r="D370" s="12" t="str">
        <x:v>18–21</x:v>
      </x:c>
      <x:c r="E370" s="12" t="str">
        <x:v>ZZB-0001</x:v>
      </x:c>
      <x:c r="F370" s="12" t="str">
        <x:v>調出</x:v>
      </x:c>
      <x:c r="G370" s="12" t="str">
        <x:v>2.0</x:v>
      </x:c>
      <x:c r="H370" s="13" t="n">
        <x:v>7</x:v>
      </x:c>
      <x:c r="I370" s="12" t="str">
        <x:v>台北市</x:v>
      </x:c>
      <x:c r="J370" s="12" t="str">
        <x:v>500101276</x:v>
      </x:c>
      <x:c r="K370" s="12" t="str">
        <x:v>羅斯福新生南路口</x:v>
      </x:c>
      <x:c r="L370" s="12" t="str">
        <x:v>ZZB* 且調出/調入且車種2.0/2.0E</x:v>
      </x:c>
    </x:row>
    <x:row r="371">
      <x:c r="A371" s="12" t="str">
        <x:v>2026-09-07</x:v>
      </x:c>
      <x:c r="B371" s="12" t="str">
        <x:v>2026-09-07 18:14:47</x:v>
      </x:c>
      <x:c r="C371" s="12" t="str">
        <x:v>18:00</x:v>
      </x:c>
      <x:c r="D371" s="12" t="str">
        <x:v>18–21</x:v>
      </x:c>
      <x:c r="E371" s="12" t="str">
        <x:v>ZZB-0001</x:v>
      </x:c>
      <x:c r="F371" s="12" t="str">
        <x:v>調入</x:v>
      </x:c>
      <x:c r="G371" s="12" t="str">
        <x:v>2.0</x:v>
      </x:c>
      <x:c r="H371" s="13" t="n">
        <x:v>7</x:v>
      </x:c>
      <x:c r="I371" s="12" t="str">
        <x:v>台北市</x:v>
      </x:c>
      <x:c r="J371" s="12" t="str">
        <x:v>500119050</x:v>
      </x:c>
      <x:c r="K371" s="12" t="str">
        <x:v>臺大小福樓東側</x:v>
      </x:c>
      <x:c r="L371" s="12" t="str">
        <x:v>ZZB* 且調出/調入且車種2.0/2.0E</x:v>
      </x:c>
    </x:row>
    <x:row r="372">
      <x:c r="A372" s="12" t="str">
        <x:v>2026-09-07</x:v>
      </x:c>
      <x:c r="B372" s="12" t="str">
        <x:v>2026-09-07 18:25:18</x:v>
      </x:c>
      <x:c r="C372" s="12" t="str">
        <x:v>18:00</x:v>
      </x:c>
      <x:c r="D372" s="12" t="str">
        <x:v>18–21</x:v>
      </x:c>
      <x:c r="E372" s="12" t="str">
        <x:v>ZZB-0001</x:v>
      </x:c>
      <x:c r="F372" s="12" t="str">
        <x:v>調出</x:v>
      </x:c>
      <x:c r="G372" s="12" t="str">
        <x:v>2.0</x:v>
      </x:c>
      <x:c r="H372" s="13" t="n">
        <x:v>7</x:v>
      </x:c>
      <x:c r="I372" s="12" t="str">
        <x:v>台北市</x:v>
      </x:c>
      <x:c r="J372" s="12" t="str">
        <x:v>500101276</x:v>
      </x:c>
      <x:c r="K372" s="12" t="str">
        <x:v>羅斯福新生南路口</x:v>
      </x:c>
      <x:c r="L372" s="12" t="str">
        <x:v>ZZB* 且調出/調入且車種2.0/2.0E</x:v>
      </x:c>
    </x:row>
    <x:row r="373">
      <x:c r="A373" s="12" t="str">
        <x:v>2026-09-07</x:v>
      </x:c>
      <x:c r="B373" s="12" t="str">
        <x:v>2026-09-07 18:34:14</x:v>
      </x:c>
      <x:c r="C373" s="12" t="str">
        <x:v>18:00</x:v>
      </x:c>
      <x:c r="D373" s="12" t="str">
        <x:v>18–21</x:v>
      </x:c>
      <x:c r="E373" s="12" t="str">
        <x:v>ZZB-0001</x:v>
      </x:c>
      <x:c r="F373" s="12" t="str">
        <x:v>調入</x:v>
      </x:c>
      <x:c r="G373" s="12" t="str">
        <x:v>2.0</x:v>
      </x:c>
      <x:c r="H373" s="13" t="n">
        <x:v>7</x:v>
      </x:c>
      <x:c r="I373" s="12" t="str">
        <x:v>台北市</x:v>
      </x:c>
      <x:c r="J373" s="12" t="str">
        <x:v>500119055</x:v>
      </x:c>
      <x:c r="K373" s="12" t="str">
        <x:v>臺大樂學館東側</x:v>
      </x:c>
      <x:c r="L373" s="12" t="str">
        <x:v>ZZB* 且調出/調入且車種2.0/2.0E</x:v>
      </x:c>
    </x:row>
    <x:row r="374">
      <x:c r="A374" s="12" t="str">
        <x:v>2026-09-07</x:v>
      </x:c>
      <x:c r="B374" s="12" t="str">
        <x:v>2026-09-07 18:41:33</x:v>
      </x:c>
      <x:c r="C374" s="12" t="str">
        <x:v>18:00</x:v>
      </x:c>
      <x:c r="D374" s="12" t="str">
        <x:v>18–21</x:v>
      </x:c>
      <x:c r="E374" s="12" t="str">
        <x:v>ZZB-0001</x:v>
      </x:c>
      <x:c r="F374" s="12" t="str">
        <x:v>調出</x:v>
      </x:c>
      <x:c r="G374" s="12" t="str">
        <x:v>2.0</x:v>
      </x:c>
      <x:c r="H374" s="13" t="n">
        <x:v>7</x:v>
      </x:c>
      <x:c r="I374" s="12" t="str">
        <x:v>台北市</x:v>
      </x:c>
      <x:c r="J374" s="12" t="str">
        <x:v>500119070</x:v>
      </x:c>
      <x:c r="K374" s="12" t="str">
        <x:v>臺大椰林小舖</x:v>
      </x:c>
      <x:c r="L374" s="12" t="str">
        <x:v>ZZB* 且調出/調入且車種2.0/2.0E</x:v>
      </x:c>
    </x:row>
    <x:row r="375">
      <x:c r="A375" s="12" t="str">
        <x:v>2026-09-07</x:v>
      </x:c>
      <x:c r="B375" s="12" t="str">
        <x:v>2026-09-07 18:47:15</x:v>
      </x:c>
      <x:c r="C375" s="12" t="str">
        <x:v>18:00</x:v>
      </x:c>
      <x:c r="D375" s="12" t="str">
        <x:v>18–21</x:v>
      </x:c>
      <x:c r="E375" s="12" t="str">
        <x:v>ZZB-0001</x:v>
      </x:c>
      <x:c r="F375" s="12" t="str">
        <x:v>調入</x:v>
      </x:c>
      <x:c r="G375" s="12" t="str">
        <x:v>2.0</x:v>
      </x:c>
      <x:c r="H375" s="13" t="n">
        <x:v>7</x:v>
      </x:c>
      <x:c r="I375" s="12" t="str">
        <x:v>台北市</x:v>
      </x:c>
      <x:c r="J375" s="12" t="str">
        <x:v>500119061</x:v>
      </x:c>
      <x:c r="K375" s="12" t="str">
        <x:v>臺大鹿鳴堂東側</x:v>
      </x:c>
      <x:c r="L375" s="12" t="str">
        <x:v>ZZB* 且調出/調入且車種2.0/2.0E</x:v>
      </x:c>
    </x:row>
    <x:row r="376">
      <x:c r="A376" s="12" t="str">
        <x:v>2026-09-07</x:v>
      </x:c>
      <x:c r="B376" s="12" t="str">
        <x:v>2026-09-07 18:54:30</x:v>
      </x:c>
      <x:c r="C376" s="12" t="str">
        <x:v>18:00</x:v>
      </x:c>
      <x:c r="D376" s="12" t="str">
        <x:v>18–21</x:v>
      </x:c>
      <x:c r="E376" s="12" t="str">
        <x:v>ZZB-0001</x:v>
      </x:c>
      <x:c r="F376" s="12" t="str">
        <x:v>調出</x:v>
      </x:c>
      <x:c r="G376" s="12" t="str">
        <x:v>2.0</x:v>
      </x:c>
      <x:c r="H376" s="13" t="n">
        <x:v>7</x:v>
      </x:c>
      <x:c r="I376" s="12" t="str">
        <x:v>台北市</x:v>
      </x:c>
      <x:c r="J376" s="12" t="str">
        <x:v>500119048</x:v>
      </x:c>
      <x:c r="K376" s="12" t="str">
        <x:v>臺大大一女舍北側</x:v>
      </x:c>
      <x:c r="L376" s="12" t="str">
        <x:v>ZZB* 且調出/調入且車種2.0/2.0E</x:v>
      </x:c>
    </x:row>
    <x:row r="377">
      <x:c r="A377" s="12" t="str">
        <x:v>2026-09-07</x:v>
      </x:c>
      <x:c r="B377" s="12" t="str">
        <x:v>2026-09-07 18:59:51</x:v>
      </x:c>
      <x:c r="C377" s="12" t="str">
        <x:v>18:00</x:v>
      </x:c>
      <x:c r="D377" s="12" t="str">
        <x:v>18–21</x:v>
      </x:c>
      <x:c r="E377" s="12" t="str">
        <x:v>ZZB-0001</x:v>
      </x:c>
      <x:c r="F377" s="12" t="str">
        <x:v>調入</x:v>
      </x:c>
      <x:c r="G377" s="12" t="str">
        <x:v>2.0</x:v>
      </x:c>
      <x:c r="H377" s="13" t="n">
        <x:v>7</x:v>
      </x:c>
      <x:c r="I377" s="12" t="str">
        <x:v>台北市</x:v>
      </x:c>
      <x:c r="J377" s="12" t="str">
        <x:v>500119061</x:v>
      </x:c>
      <x:c r="K377" s="12" t="str">
        <x:v>臺大鹿鳴堂東側</x:v>
      </x:c>
      <x:c r="L377" s="12" t="str">
        <x:v>ZZB* 且調出/調入且車種2.0/2.0E</x:v>
      </x:c>
    </x:row>
    <x:row r="378">
      <x:c r="A378" s="12" t="str">
        <x:v>2026-09-07</x:v>
      </x:c>
      <x:c r="B378" s="12" t="str">
        <x:v>2026-09-07 19:06:40</x:v>
      </x:c>
      <x:c r="C378" s="12" t="str">
        <x:v>19:00</x:v>
      </x:c>
      <x:c r="D378" s="12" t="str">
        <x:v>18–21</x:v>
      </x:c>
      <x:c r="E378" s="12" t="str">
        <x:v>ZZB-0001</x:v>
      </x:c>
      <x:c r="F378" s="12" t="str">
        <x:v>調出</x:v>
      </x:c>
      <x:c r="G378" s="12" t="str">
        <x:v>2.0</x:v>
      </x:c>
      <x:c r="H378" s="13" t="n">
        <x:v>7</x:v>
      </x:c>
      <x:c r="I378" s="12" t="str">
        <x:v>台北市</x:v>
      </x:c>
      <x:c r="J378" s="12" t="str">
        <x:v>500119094</x:v>
      </x:c>
      <x:c r="K378" s="12" t="str">
        <x:v>臺大大一女餐廳廣場</x:v>
      </x:c>
      <x:c r="L378" s="12" t="str">
        <x:v>ZZB* 且調出/調入且車種2.0/2.0E</x:v>
      </x:c>
    </x:row>
    <x:row r="379">
      <x:c r="A379" s="12" t="str">
        <x:v>2026-09-07</x:v>
      </x:c>
      <x:c r="B379" s="12" t="str">
        <x:v>2026-09-07 19:12:39</x:v>
      </x:c>
      <x:c r="C379" s="12" t="str">
        <x:v>19:00</x:v>
      </x:c>
      <x:c r="D379" s="12" t="str">
        <x:v>18–21</x:v>
      </x:c>
      <x:c r="E379" s="12" t="str">
        <x:v>ZZB-0001</x:v>
      </x:c>
      <x:c r="F379" s="12" t="str">
        <x:v>調入</x:v>
      </x:c>
      <x:c r="G379" s="12" t="str">
        <x:v>2.0</x:v>
      </x:c>
      <x:c r="H379" s="13" t="n">
        <x:v>7</x:v>
      </x:c>
      <x:c r="I379" s="12" t="str">
        <x:v>台北市</x:v>
      </x:c>
      <x:c r="J379" s="12" t="str">
        <x:v>500119061</x:v>
      </x:c>
      <x:c r="K379" s="12" t="str">
        <x:v>臺大鹿鳴堂東側</x:v>
      </x:c>
      <x:c r="L379" s="12" t="str">
        <x:v>ZZB* 且調出/調入且車種2.0/2.0E</x:v>
      </x:c>
    </x:row>
    <x:row r="380">
      <x:c r="A380" s="12" t="str">
        <x:v>2026-09-07</x:v>
      </x:c>
      <x:c r="B380" s="12" t="str">
        <x:v>2026-09-07 22:04:28</x:v>
      </x:c>
      <x:c r="C380" s="12" t="str">
        <x:v>22:00</x:v>
      </x:c>
      <x:c r="D380" s="12" t="str">
        <x:v>22–23</x:v>
      </x:c>
      <x:c r="E380" s="12" t="str">
        <x:v>ZZB-0001</x:v>
      </x:c>
      <x:c r="F380" s="12" t="str">
        <x:v>調出</x:v>
      </x:c>
      <x:c r="G380" s="12" t="str">
        <x:v>2.0</x:v>
      </x:c>
      <x:c r="H380" s="13" t="n">
        <x:v>7</x:v>
      </x:c>
      <x:c r="I380" s="12" t="str">
        <x:v>台北市</x:v>
      </x:c>
      <x:c r="J380" s="12" t="str">
        <x:v>500101181</x:v>
      </x:c>
      <x:c r="K380" s="12" t="str">
        <x:v>捷運公館站(3號出口)</x:v>
      </x:c>
      <x:c r="L380" s="12" t="str">
        <x:v>ZZB* 且調出/調入且車種2.0/2.0E</x:v>
      </x:c>
    </x:row>
    <x:row r="381">
      <x:c r="A381" s="12" t="str">
        <x:v>2026-09-07</x:v>
      </x:c>
      <x:c r="B381" s="12" t="str">
        <x:v>2026-09-07 22:04:39</x:v>
      </x:c>
      <x:c r="C381" s="12" t="str">
        <x:v>22:00</x:v>
      </x:c>
      <x:c r="D381" s="12" t="str">
        <x:v>22–23</x:v>
      </x:c>
      <x:c r="E381" s="12" t="str">
        <x:v>ZZB-0001</x:v>
      </x:c>
      <x:c r="F381" s="12" t="str">
        <x:v>調入</x:v>
      </x:c>
      <x:c r="G381" s="12" t="str">
        <x:v>2.0</x:v>
      </x:c>
      <x:c r="H381" s="13" t="n">
        <x:v>7</x:v>
      </x:c>
      <x:c r="I381" s="12" t="str">
        <x:v>台北市</x:v>
      </x:c>
      <x:c r="J381" s="12" t="str">
        <x:v>500101276</x:v>
      </x:c>
      <x:c r="K381" s="12" t="str">
        <x:v>羅斯福新生南路口</x:v>
      </x:c>
      <x:c r="L381" s="12" t="str">
        <x:v>ZZB* 且調出/調入且車種2.0/2.0E</x:v>
      </x:c>
    </x:row>
    <x:row r="382">
      <x:c r="A382" s="12" t="str">
        <x:v>2026-09-07</x:v>
      </x:c>
      <x:c r="B382" s="12" t="str">
        <x:v>2026-09-07 22:21:39</x:v>
      </x:c>
      <x:c r="C382" s="12" t="str">
        <x:v>22:00</x:v>
      </x:c>
      <x:c r="D382" s="12" t="str">
        <x:v>22–23</x:v>
      </x:c>
      <x:c r="E382" s="12" t="str">
        <x:v>ZZB-0001</x:v>
      </x:c>
      <x:c r="F382" s="12" t="str">
        <x:v>調出</x:v>
      </x:c>
      <x:c r="G382" s="12" t="str">
        <x:v>2.0</x:v>
      </x:c>
      <x:c r="H382" s="13" t="n">
        <x:v>7</x:v>
      </x:c>
      <x:c r="I382" s="12" t="str">
        <x:v>台北市</x:v>
      </x:c>
      <x:c r="J382" s="12" t="str">
        <x:v>500101181</x:v>
      </x:c>
      <x:c r="K382" s="12" t="str">
        <x:v>捷運公館站(3號出口)</x:v>
      </x:c>
      <x:c r="L382" s="12" t="str">
        <x:v>ZZB* 且調出/調入且車種2.0/2.0E</x:v>
      </x:c>
    </x:row>
    <x:row r="383">
      <x:c r="A383" s="12" t="str">
        <x:v>2026-09-07</x:v>
      </x:c>
      <x:c r="B383" s="12" t="str">
        <x:v>2026-09-07 22:21:51</x:v>
      </x:c>
      <x:c r="C383" s="12" t="str">
        <x:v>22:00</x:v>
      </x:c>
      <x:c r="D383" s="12" t="str">
        <x:v>22–23</x:v>
      </x:c>
      <x:c r="E383" s="12" t="str">
        <x:v>ZZB-0001</x:v>
      </x:c>
      <x:c r="F383" s="12" t="str">
        <x:v>調入</x:v>
      </x:c>
      <x:c r="G383" s="12" t="str">
        <x:v>2.0</x:v>
      </x:c>
      <x:c r="H383" s="13" t="n">
        <x:v>7</x:v>
      </x:c>
      <x:c r="I383" s="12" t="str">
        <x:v>台北市</x:v>
      </x:c>
      <x:c r="J383" s="12" t="str">
        <x:v>500101276</x:v>
      </x:c>
      <x:c r="K383" s="12" t="str">
        <x:v>羅斯福新生南路口</x:v>
      </x:c>
      <x:c r="L383" s="12" t="str">
        <x:v>ZZB* 且調出/調入且車種2.0/2.0E</x:v>
      </x:c>
    </x:row>
    <x:row r="384">
      <x:c r="A384" s="12" t="str">
        <x:v>2026-09-07</x:v>
      </x:c>
      <x:c r="B384" s="12" t="str">
        <x:v>2026-09-07 22:47:15</x:v>
      </x:c>
      <x:c r="C384" s="12" t="str">
        <x:v>22:00</x:v>
      </x:c>
      <x:c r="D384" s="12" t="str">
        <x:v>22–23</x:v>
      </x:c>
      <x:c r="E384" s="12" t="str">
        <x:v>ZZB-0001</x:v>
      </x:c>
      <x:c r="F384" s="12" t="str">
        <x:v>調出</x:v>
      </x:c>
      <x:c r="G384" s="12" t="str">
        <x:v>2.0</x:v>
      </x:c>
      <x:c r="H384" s="13" t="n">
        <x:v>7</x:v>
      </x:c>
      <x:c r="I384" s="12" t="str">
        <x:v>台北市</x:v>
      </x:c>
      <x:c r="J384" s="12" t="str">
        <x:v>500101181</x:v>
      </x:c>
      <x:c r="K384" s="12" t="str">
        <x:v>捷運公館站(3號出口)</x:v>
      </x:c>
      <x:c r="L384" s="12" t="str">
        <x:v>ZZB* 且調出/調入且車種2.0/2.0E</x:v>
      </x:c>
    </x:row>
    <x:row r="385">
      <x:c r="A385" s="12" t="str">
        <x:v>2026-09-07</x:v>
      </x:c>
      <x:c r="B385" s="12" t="str">
        <x:v>2026-09-07 22:47:28</x:v>
      </x:c>
      <x:c r="C385" s="12" t="str">
        <x:v>22:00</x:v>
      </x:c>
      <x:c r="D385" s="12" t="str">
        <x:v>22–23</x:v>
      </x:c>
      <x:c r="E385" s="12" t="str">
        <x:v>ZZB-0001</x:v>
      </x:c>
      <x:c r="F385" s="12" t="str">
        <x:v>調入</x:v>
      </x:c>
      <x:c r="G385" s="12" t="str">
        <x:v>2.0</x:v>
      </x:c>
      <x:c r="H385" s="13" t="n">
        <x:v>7</x:v>
      </x:c>
      <x:c r="I385" s="12" t="str">
        <x:v>台北市</x:v>
      </x:c>
      <x:c r="J385" s="12" t="str">
        <x:v>500101276</x:v>
      </x:c>
      <x:c r="K385" s="12" t="str">
        <x:v>羅斯福新生南路口</x:v>
      </x:c>
      <x:c r="L385" s="12" t="str">
        <x:v>ZZB* 且調出/調入且車種2.0/2.0E</x:v>
      </x:c>
    </x:row>
    <x:row r="386">
      <x:c r="A386" s="12" t="str">
        <x:v>2026-09-07</x:v>
      </x:c>
      <x:c r="B386" s="12" t="str">
        <x:v>2026-09-07 09:17:16</x:v>
      </x:c>
      <x:c r="C386" s="12" t="str">
        <x:v>09:00</x:v>
      </x:c>
      <x:c r="D386" s="12" t="str">
        <x:v>06–09</x:v>
      </x:c>
      <x:c r="E386" s="12" t="str">
        <x:v>ZZB-0001</x:v>
      </x:c>
      <x:c r="F386" s="12" t="str">
        <x:v>調出</x:v>
      </x:c>
      <x:c r="G386" s="12" t="str">
        <x:v>2.0E</x:v>
      </x:c>
      <x:c r="H386" s="13" t="n">
        <x:v>1</x:v>
      </x:c>
      <x:c r="I386" s="12" t="str">
        <x:v>台北市</x:v>
      </x:c>
      <x:c r="J386" s="12" t="str">
        <x:v>500119072</x:v>
      </x:c>
      <x:c r="K386" s="12" t="str">
        <x:v>臺大原分所北側</x:v>
      </x:c>
      <x:c r="L386" s="12" t="str">
        <x:v>ZZB* 且調出/調入且車種2.0/2.0E</x:v>
      </x:c>
    </x:row>
    <x:row r="387">
      <x:c r="A387" s="12" t="str">
        <x:v>2026-09-07</x:v>
      </x:c>
      <x:c r="B387" s="12" t="str">
        <x:v>2026-09-07 09:17:31</x:v>
      </x:c>
      <x:c r="C387" s="12" t="str">
        <x:v>09:00</x:v>
      </x:c>
      <x:c r="D387" s="12" t="str">
        <x:v>06–09</x:v>
      </x:c>
      <x:c r="E387" s="12" t="str">
        <x:v>ZZB-0001</x:v>
      </x:c>
      <x:c r="F387" s="12" t="str">
        <x:v>調入</x:v>
      </x:c>
      <x:c r="G387" s="12" t="str">
        <x:v>2.0E</x:v>
      </x:c>
      <x:c r="H387" s="13" t="n">
        <x:v>1</x:v>
      </x:c>
      <x:c r="I387" s="12" t="str">
        <x:v>台北市</x:v>
      </x:c>
      <x:c r="J387" s="12" t="str">
        <x:v>500119059</x:v>
      </x:c>
      <x:c r="K387" s="12" t="str">
        <x:v>臺大共同教室北側</x:v>
      </x:c>
      <x:c r="L387" s="12" t="str">
        <x:v>ZZB* 且調出/調入且車種2.0/2.0E</x:v>
      </x:c>
    </x:row>
    <x:row r="388">
      <x:c r="A388" s="12" t="str">
        <x:v>2026-09-07</x:v>
      </x:c>
      <x:c r="B388" s="12" t="str">
        <x:v>2026-09-07 09:45:59</x:v>
      </x:c>
      <x:c r="C388" s="12" t="str">
        <x:v>09:00</x:v>
      </x:c>
      <x:c r="D388" s="12" t="str">
        <x:v>06–09</x:v>
      </x:c>
      <x:c r="E388" s="12" t="str">
        <x:v>ZZB-0001</x:v>
      </x:c>
      <x:c r="F388" s="12" t="str">
        <x:v>調出</x:v>
      </x:c>
      <x:c r="G388" s="12" t="str">
        <x:v>2.0E</x:v>
      </x:c>
      <x:c r="H388" s="13" t="n">
        <x:v>1</x:v>
      </x:c>
      <x:c r="I388" s="12" t="str">
        <x:v>台北市</x:v>
      </x:c>
      <x:c r="J388" s="12" t="str">
        <x:v>500119086</x:v>
      </x:c>
      <x:c r="K388" s="12" t="str">
        <x:v>臺大圖資系館北側</x:v>
      </x:c>
      <x:c r="L388" s="12" t="str">
        <x:v>ZZB* 且調出/調入且車種2.0/2.0E</x:v>
      </x:c>
    </x:row>
    <x:row r="389">
      <x:c r="A389" s="12" t="str">
        <x:v>2026-09-07</x:v>
      </x:c>
      <x:c r="B389" s="12" t="str">
        <x:v>2026-09-07 09:46:16</x:v>
      </x:c>
      <x:c r="C389" s="12" t="str">
        <x:v>09:00</x:v>
      </x:c>
      <x:c r="D389" s="12" t="str">
        <x:v>06–09</x:v>
      </x:c>
      <x:c r="E389" s="12" t="str">
        <x:v>ZZB-0001</x:v>
      </x:c>
      <x:c r="F389" s="12" t="str">
        <x:v>調入</x:v>
      </x:c>
      <x:c r="G389" s="12" t="str">
        <x:v>2.0E</x:v>
      </x:c>
      <x:c r="H389" s="13" t="n">
        <x:v>1</x:v>
      </x:c>
      <x:c r="I389" s="12" t="str">
        <x:v>台北市</x:v>
      </x:c>
      <x:c r="J389" s="12" t="str">
        <x:v>500119061</x:v>
      </x:c>
      <x:c r="K389" s="12" t="str">
        <x:v>臺大鹿鳴堂東側</x:v>
      </x:c>
      <x:c r="L389" s="12" t="str">
        <x:v>ZZB* 且調出/調入且車種2.0/2.0E</x:v>
      </x:c>
    </x:row>
    <x:row r="390">
      <x:c r="A390" s="12" t="str">
        <x:v>2026-09-07</x:v>
      </x:c>
      <x:c r="B390" s="12" t="str">
        <x:v>2026-09-07 10:32:45</x:v>
      </x:c>
      <x:c r="C390" s="12" t="str">
        <x:v>10:00</x:v>
      </x:c>
      <x:c r="D390" s="12" t="str">
        <x:v>10–13</x:v>
      </x:c>
      <x:c r="E390" s="12" t="str">
        <x:v>ZZB-0001</x:v>
      </x:c>
      <x:c r="F390" s="12" t="str">
        <x:v>調出</x:v>
      </x:c>
      <x:c r="G390" s="12" t="str">
        <x:v>2.0E</x:v>
      </x:c>
      <x:c r="H390" s="13" t="n">
        <x:v>1</x:v>
      </x:c>
      <x:c r="I390" s="12" t="str">
        <x:v>台北市</x:v>
      </x:c>
      <x:c r="J390" s="12" t="str">
        <x:v>500119098</x:v>
      </x:c>
      <x:c r="K390" s="12" t="str">
        <x:v>臺大數學研究中心(東側)</x:v>
      </x:c>
      <x:c r="L390" s="12" t="str">
        <x:v>ZZB* 且調出/調入且車種2.0/2.0E</x:v>
      </x:c>
    </x:row>
    <x:row r="391">
      <x:c r="A391" s="12" t="str">
        <x:v>2026-09-07</x:v>
      </x:c>
      <x:c r="B391" s="12" t="str">
        <x:v>2026-09-07 10:33:00</x:v>
      </x:c>
      <x:c r="C391" s="12" t="str">
        <x:v>10:00</x:v>
      </x:c>
      <x:c r="D391" s="12" t="str">
        <x:v>10–13</x:v>
      </x:c>
      <x:c r="E391" s="12" t="str">
        <x:v>ZZB-0001</x:v>
      </x:c>
      <x:c r="F391" s="12" t="str">
        <x:v>調入</x:v>
      </x:c>
      <x:c r="G391" s="12" t="str">
        <x:v>2.0E</x:v>
      </x:c>
      <x:c r="H391" s="13" t="n">
        <x:v>1</x:v>
      </x:c>
      <x:c r="I391" s="12" t="str">
        <x:v>台北市</x:v>
      </x:c>
      <x:c r="J391" s="12" t="str">
        <x:v>500119059</x:v>
      </x:c>
      <x:c r="K391" s="12" t="str">
        <x:v>臺大共同教室北側</x:v>
      </x:c>
      <x:c r="L391" s="12" t="str">
        <x:v>ZZB* 且調出/調入且車種2.0/2.0E</x:v>
      </x:c>
    </x:row>
    <x:row r="392">
      <x:c r="A392" s="12" t="str">
        <x:v>2026-09-07</x:v>
      </x:c>
      <x:c r="B392" s="12" t="str">
        <x:v>2026-09-07 10:57:22</x:v>
      </x:c>
      <x:c r="C392" s="12" t="str">
        <x:v>10:00</x:v>
      </x:c>
      <x:c r="D392" s="12" t="str">
        <x:v>10–13</x:v>
      </x:c>
      <x:c r="E392" s="12" t="str">
        <x:v>ZZB-0001</x:v>
      </x:c>
      <x:c r="F392" s="12" t="str">
        <x:v>調出</x:v>
      </x:c>
      <x:c r="G392" s="12" t="str">
        <x:v>2.0E</x:v>
      </x:c>
      <x:c r="H392" s="13" t="n">
        <x:v>2</x:v>
      </x:c>
      <x:c r="I392" s="12" t="str">
        <x:v>台北市</x:v>
      </x:c>
      <x:c r="J392" s="12" t="str">
        <x:v>500119086</x:v>
      </x:c>
      <x:c r="K392" s="12" t="str">
        <x:v>臺大圖資系館北側</x:v>
      </x:c>
      <x:c r="L392" s="12" t="str">
        <x:v>ZZB* 且調出/調入且車種2.0/2.0E</x:v>
      </x:c>
    </x:row>
    <x:row r="393">
      <x:c r="A393" s="12" t="str">
        <x:v>2026-09-07</x:v>
      </x:c>
      <x:c r="B393" s="12" t="str">
        <x:v>2026-09-07 10:57:40</x:v>
      </x:c>
      <x:c r="C393" s="12" t="str">
        <x:v>10:00</x:v>
      </x:c>
      <x:c r="D393" s="12" t="str">
        <x:v>10–13</x:v>
      </x:c>
      <x:c r="E393" s="12" t="str">
        <x:v>ZZB-0001</x:v>
      </x:c>
      <x:c r="F393" s="12" t="str">
        <x:v>調入</x:v>
      </x:c>
      <x:c r="G393" s="12" t="str">
        <x:v>2.0E</x:v>
      </x:c>
      <x:c r="H393" s="13" t="n">
        <x:v>2</x:v>
      </x:c>
      <x:c r="I393" s="12" t="str">
        <x:v>台北市</x:v>
      </x:c>
      <x:c r="J393" s="12" t="str">
        <x:v>500119094</x:v>
      </x:c>
      <x:c r="K393" s="12" t="str">
        <x:v>臺大大一女餐廳廣場</x:v>
      </x:c>
      <x:c r="L393" s="12" t="str">
        <x:v>ZZB* 且調出/調入且車種2.0/2.0E</x:v>
      </x:c>
    </x:row>
    <x:row r="394">
      <x:c r="A394" s="12" t="str">
        <x:v>2026-09-07</x:v>
      </x:c>
      <x:c r="B394" s="12" t="str">
        <x:v>2026-09-07 12:28:26</x:v>
      </x:c>
      <x:c r="C394" s="12" t="str">
        <x:v>12:00</x:v>
      </x:c>
      <x:c r="D394" s="12" t="str">
        <x:v>10–13</x:v>
      </x:c>
      <x:c r="E394" s="12" t="str">
        <x:v>ZZB-0001</x:v>
      </x:c>
      <x:c r="F394" s="12" t="str">
        <x:v>調出</x:v>
      </x:c>
      <x:c r="G394" s="12" t="str">
        <x:v>2.0E</x:v>
      </x:c>
      <x:c r="H394" s="13" t="n">
        <x:v>1</x:v>
      </x:c>
      <x:c r="I394" s="12" t="str">
        <x:v>台北市</x:v>
      </x:c>
      <x:c r="J394" s="12" t="str">
        <x:v>500119087</x:v>
      </x:c>
      <x:c r="K394" s="12" t="str">
        <x:v>臺大總圖書館西南側</x:v>
      </x:c>
      <x:c r="L394" s="12" t="str">
        <x:v>ZZB* 且調出/調入且車種2.0/2.0E</x:v>
      </x:c>
    </x:row>
    <x:row r="395">
      <x:c r="A395" s="12" t="str">
        <x:v>2026-09-07</x:v>
      </x:c>
      <x:c r="B395" s="12" t="str">
        <x:v>2026-09-07 12:28:47</x:v>
      </x:c>
      <x:c r="C395" s="12" t="str">
        <x:v>12:00</x:v>
      </x:c>
      <x:c r="D395" s="12" t="str">
        <x:v>10–13</x:v>
      </x:c>
      <x:c r="E395" s="12" t="str">
        <x:v>ZZB-0001</x:v>
      </x:c>
      <x:c r="F395" s="12" t="str">
        <x:v>調入</x:v>
      </x:c>
      <x:c r="G395" s="12" t="str">
        <x:v>2.0E</x:v>
      </x:c>
      <x:c r="H395" s="13" t="n">
        <x:v>1</x:v>
      </x:c>
      <x:c r="I395" s="12" t="str">
        <x:v>台北市</x:v>
      </x:c>
      <x:c r="J395" s="12" t="str">
        <x:v>500119061</x:v>
      </x:c>
      <x:c r="K395" s="12" t="str">
        <x:v>臺大鹿鳴堂東側</x:v>
      </x:c>
      <x:c r="L395" s="12" t="str">
        <x:v>ZZB* 且調出/調入且車種2.0/2.0E</x:v>
      </x:c>
    </x:row>
    <x:row r="396">
      <x:c r="A396" s="12" t="str">
        <x:v>2026-09-07</x:v>
      </x:c>
      <x:c r="B396" s="12" t="str">
        <x:v>2026-09-07 13:17:10</x:v>
      </x:c>
      <x:c r="C396" s="12" t="str">
        <x:v>13:00</x:v>
      </x:c>
      <x:c r="D396" s="12" t="str">
        <x:v>10–13</x:v>
      </x:c>
      <x:c r="E396" s="12" t="str">
        <x:v>ZZB-0001</x:v>
      </x:c>
      <x:c r="F396" s="12" t="str">
        <x:v>調出</x:v>
      </x:c>
      <x:c r="G396" s="12" t="str">
        <x:v>2.0E</x:v>
      </x:c>
      <x:c r="H396" s="13" t="n">
        <x:v>2</x:v>
      </x:c>
      <x:c r="I396" s="12" t="str">
        <x:v>台北市</x:v>
      </x:c>
      <x:c r="J396" s="12" t="str">
        <x:v>500119067</x:v>
      </x:c>
      <x:c r="K396" s="12" t="str">
        <x:v>臺大社科院西側</x:v>
      </x:c>
      <x:c r="L396" s="12" t="str">
        <x:v>ZZB* 且調出/調入且車種2.0/2.0E</x:v>
      </x:c>
    </x:row>
    <x:row r="397">
      <x:c r="A397" s="12" t="str">
        <x:v>2026-09-07</x:v>
      </x:c>
      <x:c r="B397" s="12" t="str">
        <x:v>2026-09-07 13:17:31</x:v>
      </x:c>
      <x:c r="C397" s="12" t="str">
        <x:v>13:00</x:v>
      </x:c>
      <x:c r="D397" s="12" t="str">
        <x:v>10–13</x:v>
      </x:c>
      <x:c r="E397" s="12" t="str">
        <x:v>ZZB-0001</x:v>
      </x:c>
      <x:c r="F397" s="12" t="str">
        <x:v>調入</x:v>
      </x:c>
      <x:c r="G397" s="12" t="str">
        <x:v>2.0E</x:v>
      </x:c>
      <x:c r="H397" s="13" t="n">
        <x:v>2</x:v>
      </x:c>
      <x:c r="I397" s="12" t="str">
        <x:v>台北市</x:v>
      </x:c>
      <x:c r="J397" s="12" t="str">
        <x:v>500119061</x:v>
      </x:c>
      <x:c r="K397" s="12" t="str">
        <x:v>臺大鹿鳴堂東側</x:v>
      </x:c>
      <x:c r="L397" s="12" t="str">
        <x:v>ZZB* 且調出/調入且車種2.0/2.0E</x:v>
      </x:c>
    </x:row>
    <x:row r="398">
      <x:c r="A398" s="12" t="str">
        <x:v>2026-09-07</x:v>
      </x:c>
      <x:c r="B398" s="12" t="str">
        <x:v>2026-09-07 13:49:32</x:v>
      </x:c>
      <x:c r="C398" s="12" t="str">
        <x:v>13:00</x:v>
      </x:c>
      <x:c r="D398" s="12" t="str">
        <x:v>10–13</x:v>
      </x:c>
      <x:c r="E398" s="12" t="str">
        <x:v>ZZB-0001</x:v>
      </x:c>
      <x:c r="F398" s="12" t="str">
        <x:v>調出</x:v>
      </x:c>
      <x:c r="G398" s="12" t="str">
        <x:v>2.0E</x:v>
      </x:c>
      <x:c r="H398" s="13" t="n">
        <x:v>1</x:v>
      </x:c>
      <x:c r="I398" s="12" t="str">
        <x:v>台北市</x:v>
      </x:c>
      <x:c r="J398" s="12" t="str">
        <x:v>500119086</x:v>
      </x:c>
      <x:c r="K398" s="12" t="str">
        <x:v>臺大圖資系館北側</x:v>
      </x:c>
      <x:c r="L398" s="12" t="str">
        <x:v>ZZB* 且調出/調入且車種2.0/2.0E</x:v>
      </x:c>
    </x:row>
    <x:row r="399">
      <x:c r="A399" s="12" t="str">
        <x:v>2026-09-07</x:v>
      </x:c>
      <x:c r="B399" s="12" t="str">
        <x:v>2026-09-07 13:49:44</x:v>
      </x:c>
      <x:c r="C399" s="12" t="str">
        <x:v>13:00</x:v>
      </x:c>
      <x:c r="D399" s="12" t="str">
        <x:v>10–13</x:v>
      </x:c>
      <x:c r="E399" s="12" t="str">
        <x:v>ZZB-0001</x:v>
      </x:c>
      <x:c r="F399" s="12" t="str">
        <x:v>調入</x:v>
      </x:c>
      <x:c r="G399" s="12" t="str">
        <x:v>2.0E</x:v>
      </x:c>
      <x:c r="H399" s="13" t="n">
        <x:v>1</x:v>
      </x:c>
      <x:c r="I399" s="12" t="str">
        <x:v>台北市</x:v>
      </x:c>
      <x:c r="J399" s="12" t="str">
        <x:v>500119070</x:v>
      </x:c>
      <x:c r="K399" s="12" t="str">
        <x:v>臺大椰林小舖</x:v>
      </x:c>
      <x:c r="L399" s="12" t="str">
        <x:v>ZZB* 且調出/調入且車種2.0/2.0E</x:v>
      </x:c>
    </x:row>
    <x:row r="400">
      <x:c r="A400" s="12" t="str">
        <x:v>2026-09-07</x:v>
      </x:c>
      <x:c r="B400" s="12" t="str">
        <x:v>2026-09-07 14:15:44</x:v>
      </x:c>
      <x:c r="C400" s="12" t="str">
        <x:v>14:00</x:v>
      </x:c>
      <x:c r="D400" s="12" t="str">
        <x:v>14–17</x:v>
      </x:c>
      <x:c r="E400" s="12" t="str">
        <x:v>ZZB-0001</x:v>
      </x:c>
      <x:c r="F400" s="12" t="str">
        <x:v>調出</x:v>
      </x:c>
      <x:c r="G400" s="12" t="str">
        <x:v>2.0E</x:v>
      </x:c>
      <x:c r="H400" s="13" t="n">
        <x:v>1</x:v>
      </x:c>
      <x:c r="I400" s="12" t="str">
        <x:v>台北市</x:v>
      </x:c>
      <x:c r="J400" s="12" t="str">
        <x:v>500119098</x:v>
      </x:c>
      <x:c r="K400" s="12" t="str">
        <x:v>臺大數學研究中心(東側)</x:v>
      </x:c>
      <x:c r="L400" s="12" t="str">
        <x:v>ZZB* 且調出/調入且車種2.0/2.0E</x:v>
      </x:c>
    </x:row>
    <x:row r="401">
      <x:c r="A401" s="12" t="str">
        <x:v>2026-09-07</x:v>
      </x:c>
      <x:c r="B401" s="12" t="str">
        <x:v>2026-09-07 14:15:58</x:v>
      </x:c>
      <x:c r="C401" s="12" t="str">
        <x:v>14:00</x:v>
      </x:c>
      <x:c r="D401" s="12" t="str">
        <x:v>14–17</x:v>
      </x:c>
      <x:c r="E401" s="12" t="str">
        <x:v>ZZB-0001</x:v>
      </x:c>
      <x:c r="F401" s="12" t="str">
        <x:v>調入</x:v>
      </x:c>
      <x:c r="G401" s="12" t="str">
        <x:v>2.0E</x:v>
      </x:c>
      <x:c r="H401" s="13" t="n">
        <x:v>1</x:v>
      </x:c>
      <x:c r="I401" s="12" t="str">
        <x:v>台北市</x:v>
      </x:c>
      <x:c r="J401" s="12" t="str">
        <x:v>500119094</x:v>
      </x:c>
      <x:c r="K401" s="12" t="str">
        <x:v>臺大大一女餐廳廣場</x:v>
      </x:c>
      <x:c r="L401" s="12" t="str">
        <x:v>ZZB* 且調出/調入且車種2.0/2.0E</x:v>
      </x:c>
    </x:row>
    <x:row r="402">
      <x:c r="A402" s="12" t="str">
        <x:v>2026-09-07</x:v>
      </x:c>
      <x:c r="B402" s="12" t="str">
        <x:v>2026-09-07 08:16:10</x:v>
      </x:c>
      <x:c r="C402" s="12" t="str">
        <x:v>08:00</x:v>
      </x:c>
      <x:c r="D402" s="12" t="str">
        <x:v>06–09</x:v>
      </x:c>
      <x:c r="E402" s="12" t="str">
        <x:v>ZZB-0004</x:v>
      </x:c>
      <x:c r="F402" s="12" t="str">
        <x:v>調出</x:v>
      </x:c>
      <x:c r="G402" s="12" t="str">
        <x:v>2.0</x:v>
      </x:c>
      <x:c r="H402" s="13" t="n">
        <x:v>6</x:v>
      </x:c>
      <x:c r="I402" s="12" t="str">
        <x:v>台北市</x:v>
      </x:c>
      <x:c r="J402" s="12" t="str">
        <x:v>500119050</x:v>
      </x:c>
      <x:c r="K402" s="12" t="str">
        <x:v>臺大小福樓東側</x:v>
      </x:c>
      <x:c r="L402" s="12" t="str">
        <x:v>ZZB* 且調出/調入且車種2.0/2.0E</x:v>
      </x:c>
    </x:row>
    <x:row r="403">
      <x:c r="A403" s="12" t="str">
        <x:v>2026-09-07</x:v>
      </x:c>
      <x:c r="B403" s="12" t="str">
        <x:v>2026-09-07 08:27:26</x:v>
      </x:c>
      <x:c r="C403" s="12" t="str">
        <x:v>08:00</x:v>
      </x:c>
      <x:c r="D403" s="12" t="str">
        <x:v>06–09</x:v>
      </x:c>
      <x:c r="E403" s="12" t="str">
        <x:v>ZZB-0004</x:v>
      </x:c>
      <x:c r="F403" s="12" t="str">
        <x:v>調入</x:v>
      </x:c>
      <x:c r="G403" s="12" t="str">
        <x:v>2.0</x:v>
      </x:c>
      <x:c r="H403" s="13" t="n">
        <x:v>6</x:v>
      </x:c>
      <x:c r="I403" s="12" t="str">
        <x:v>台北市</x:v>
      </x:c>
      <x:c r="J403" s="12" t="str">
        <x:v>500119097</x:v>
      </x:c>
      <x:c r="K403" s="12" t="str">
        <x:v>臺大人文館</x:v>
      </x:c>
      <x:c r="L403" s="12" t="str">
        <x:v>ZZB* 且調出/調入且車種2.0/2.0E</x:v>
      </x:c>
    </x:row>
    <x:row r="404">
      <x:c r="A404" s="12" t="str">
        <x:v>2026-09-07</x:v>
      </x:c>
      <x:c r="B404" s="12" t="str">
        <x:v>2026-09-07 08:35:27</x:v>
      </x:c>
      <x:c r="C404" s="12" t="str">
        <x:v>08:00</x:v>
      </x:c>
      <x:c r="D404" s="12" t="str">
        <x:v>06–09</x:v>
      </x:c>
      <x:c r="E404" s="12" t="str">
        <x:v>ZZB-0004</x:v>
      </x:c>
      <x:c r="F404" s="12" t="str">
        <x:v>調出</x:v>
      </x:c>
      <x:c r="G404" s="12" t="str">
        <x:v>2.0</x:v>
      </x:c>
      <x:c r="H404" s="13" t="n">
        <x:v>6</x:v>
      </x:c>
      <x:c r="I404" s="12" t="str">
        <x:v>台北市</x:v>
      </x:c>
      <x:c r="J404" s="12" t="str">
        <x:v>500119050</x:v>
      </x:c>
      <x:c r="K404" s="12" t="str">
        <x:v>臺大小福樓東側</x:v>
      </x:c>
      <x:c r="L404" s="12" t="str">
        <x:v>ZZB* 且調出/調入且車種2.0/2.0E</x:v>
      </x:c>
    </x:row>
    <x:row r="405">
      <x:c r="A405" s="12" t="str">
        <x:v>2026-09-07</x:v>
      </x:c>
      <x:c r="B405" s="12" t="str">
        <x:v>2026-09-07 08:41:58</x:v>
      </x:c>
      <x:c r="C405" s="12" t="str">
        <x:v>08:00</x:v>
      </x:c>
      <x:c r="D405" s="12" t="str">
        <x:v>06–09</x:v>
      </x:c>
      <x:c r="E405" s="12" t="str">
        <x:v>ZZB-0004</x:v>
      </x:c>
      <x:c r="F405" s="12" t="str">
        <x:v>調入</x:v>
      </x:c>
      <x:c r="G405" s="12" t="str">
        <x:v>2.0</x:v>
      </x:c>
      <x:c r="H405" s="13" t="n">
        <x:v>6</x:v>
      </x:c>
      <x:c r="I405" s="12" t="str">
        <x:v>台北市</x:v>
      </x:c>
      <x:c r="J405" s="12" t="str">
        <x:v>500119097</x:v>
      </x:c>
      <x:c r="K405" s="12" t="str">
        <x:v>臺大人文館</x:v>
      </x:c>
      <x:c r="L405" s="12" t="str">
        <x:v>ZZB* 且調出/調入且車種2.0/2.0E</x:v>
      </x:c>
    </x:row>
    <x:row r="406">
      <x:c r="A406" s="12" t="str">
        <x:v>2026-09-07</x:v>
      </x:c>
      <x:c r="B406" s="12" t="str">
        <x:v>2026-09-07 08:50:00</x:v>
      </x:c>
      <x:c r="C406" s="12" t="str">
        <x:v>08:00</x:v>
      </x:c>
      <x:c r="D406" s="12" t="str">
        <x:v>06–09</x:v>
      </x:c>
      <x:c r="E406" s="12" t="str">
        <x:v>ZZB-0004</x:v>
      </x:c>
      <x:c r="F406" s="12" t="str">
        <x:v>調出</x:v>
      </x:c>
      <x:c r="G406" s="12" t="str">
        <x:v>2.0</x:v>
      </x:c>
      <x:c r="H406" s="13" t="n">
        <x:v>6</x:v>
      </x:c>
      <x:c r="I406" s="12" t="str">
        <x:v>台北市</x:v>
      </x:c>
      <x:c r="J406" s="12" t="str">
        <x:v>500119050</x:v>
      </x:c>
      <x:c r="K406" s="12" t="str">
        <x:v>臺大小福樓東側</x:v>
      </x:c>
      <x:c r="L406" s="12" t="str">
        <x:v>ZZB* 且調出/調入且車種2.0/2.0E</x:v>
      </x:c>
    </x:row>
    <x:row r="407">
      <x:c r="A407" s="12" t="str">
        <x:v>2026-09-07</x:v>
      </x:c>
      <x:c r="B407" s="12" t="str">
        <x:v>2026-09-07 08:56:51</x:v>
      </x:c>
      <x:c r="C407" s="12" t="str">
        <x:v>08:00</x:v>
      </x:c>
      <x:c r="D407" s="12" t="str">
        <x:v>06–09</x:v>
      </x:c>
      <x:c r="E407" s="12" t="str">
        <x:v>ZZB-0004</x:v>
      </x:c>
      <x:c r="F407" s="12" t="str">
        <x:v>調入</x:v>
      </x:c>
      <x:c r="G407" s="12" t="str">
        <x:v>2.0</x:v>
      </x:c>
      <x:c r="H407" s="13" t="n">
        <x:v>6</x:v>
      </x:c>
      <x:c r="I407" s="12" t="str">
        <x:v>台北市</x:v>
      </x:c>
      <x:c r="J407" s="12" t="str">
        <x:v>500119097</x:v>
      </x:c>
      <x:c r="K407" s="12" t="str">
        <x:v>臺大人文館</x:v>
      </x:c>
      <x:c r="L407" s="12" t="str">
        <x:v>ZZB* 且調出/調入且車種2.0/2.0E</x:v>
      </x:c>
    </x:row>
    <x:row r="408">
      <x:c r="A408" s="12" t="str">
        <x:v>2026-09-07</x:v>
      </x:c>
      <x:c r="B408" s="12" t="str">
        <x:v>2026-09-07 09:05:15</x:v>
      </x:c>
      <x:c r="C408" s="12" t="str">
        <x:v>09:00</x:v>
      </x:c>
      <x:c r="D408" s="12" t="str">
        <x:v>06–09</x:v>
      </x:c>
      <x:c r="E408" s="12" t="str">
        <x:v>ZZB-0004</x:v>
      </x:c>
      <x:c r="F408" s="12" t="str">
        <x:v>調出</x:v>
      </x:c>
      <x:c r="G408" s="12" t="str">
        <x:v>2.0</x:v>
      </x:c>
      <x:c r="H408" s="13" t="n">
        <x:v>6</x:v>
      </x:c>
      <x:c r="I408" s="12" t="str">
        <x:v>台北市</x:v>
      </x:c>
      <x:c r="J408" s="12" t="str">
        <x:v>500119050</x:v>
      </x:c>
      <x:c r="K408" s="12" t="str">
        <x:v>臺大小福樓東側</x:v>
      </x:c>
      <x:c r="L408" s="12" t="str">
        <x:v>ZZB* 且調出/調入且車種2.0/2.0E</x:v>
      </x:c>
    </x:row>
    <x:row r="409">
      <x:c r="A409" s="12" t="str">
        <x:v>2026-09-07</x:v>
      </x:c>
      <x:c r="B409" s="12" t="str">
        <x:v>2026-09-07 09:11:00</x:v>
      </x:c>
      <x:c r="C409" s="12" t="str">
        <x:v>09:00</x:v>
      </x:c>
      <x:c r="D409" s="12" t="str">
        <x:v>06–09</x:v>
      </x:c>
      <x:c r="E409" s="12" t="str">
        <x:v>ZZB-0004</x:v>
      </x:c>
      <x:c r="F409" s="12" t="str">
        <x:v>調入</x:v>
      </x:c>
      <x:c r="G409" s="12" t="str">
        <x:v>2.0</x:v>
      </x:c>
      <x:c r="H409" s="13" t="n">
        <x:v>6</x:v>
      </x:c>
      <x:c r="I409" s="12" t="str">
        <x:v>台北市</x:v>
      </x:c>
      <x:c r="J409" s="12" t="str">
        <x:v>500119097</x:v>
      </x:c>
      <x:c r="K409" s="12" t="str">
        <x:v>臺大人文館</x:v>
      </x:c>
      <x:c r="L409" s="12" t="str">
        <x:v>ZZB* 且調出/調入且車種2.0/2.0E</x:v>
      </x:c>
    </x:row>
    <x:row r="410">
      <x:c r="A410" s="12" t="str">
        <x:v>2026-09-07</x:v>
      </x:c>
      <x:c r="B410" s="12" t="str">
        <x:v>2026-09-07 09:20:42</x:v>
      </x:c>
      <x:c r="C410" s="12" t="str">
        <x:v>09:00</x:v>
      </x:c>
      <x:c r="D410" s="12" t="str">
        <x:v>06–09</x:v>
      </x:c>
      <x:c r="E410" s="12" t="str">
        <x:v>ZZB-0004</x:v>
      </x:c>
      <x:c r="F410" s="12" t="str">
        <x:v>調出</x:v>
      </x:c>
      <x:c r="G410" s="12" t="str">
        <x:v>2.0</x:v>
      </x:c>
      <x:c r="H410" s="13" t="n">
        <x:v>3</x:v>
      </x:c>
      <x:c r="I410" s="12" t="str">
        <x:v>台北市</x:v>
      </x:c>
      <x:c r="J410" s="12" t="str">
        <x:v>500119050</x:v>
      </x:c>
      <x:c r="K410" s="12" t="str">
        <x:v>臺大小福樓東側</x:v>
      </x:c>
      <x:c r="L410" s="12" t="str">
        <x:v>ZZB* 且調出/調入且車種2.0/2.0E</x:v>
      </x:c>
    </x:row>
    <x:row r="411">
      <x:c r="A411" s="12" t="str">
        <x:v>2026-09-07</x:v>
      </x:c>
      <x:c r="B411" s="12" t="str">
        <x:v>2026-09-07 09:28:03</x:v>
      </x:c>
      <x:c r="C411" s="12" t="str">
        <x:v>09:00</x:v>
      </x:c>
      <x:c r="D411" s="12" t="str">
        <x:v>06–09</x:v>
      </x:c>
      <x:c r="E411" s="12" t="str">
        <x:v>ZZB-0004</x:v>
      </x:c>
      <x:c r="F411" s="12" t="str">
        <x:v>調入</x:v>
      </x:c>
      <x:c r="G411" s="12" t="str">
        <x:v>2.0</x:v>
      </x:c>
      <x:c r="H411" s="13" t="n">
        <x:v>3</x:v>
      </x:c>
      <x:c r="I411" s="12" t="str">
        <x:v>台北市</x:v>
      </x:c>
      <x:c r="J411" s="12" t="str">
        <x:v>500119097</x:v>
      </x:c>
      <x:c r="K411" s="12" t="str">
        <x:v>臺大人文館</x:v>
      </x:c>
      <x:c r="L411" s="12" t="str">
        <x:v>ZZB* 且調出/調入且車種2.0/2.0E</x:v>
      </x:c>
    </x:row>
    <x:row r="412">
      <x:c r="A412" s="12" t="str">
        <x:v>2026-09-07</x:v>
      </x:c>
      <x:c r="B412" s="12" t="str">
        <x:v>2026-09-07 09:47:17</x:v>
      </x:c>
      <x:c r="C412" s="12" t="str">
        <x:v>09:00</x:v>
      </x:c>
      <x:c r="D412" s="12" t="str">
        <x:v>06–09</x:v>
      </x:c>
      <x:c r="E412" s="12" t="str">
        <x:v>ZZB-0004</x:v>
      </x:c>
      <x:c r="F412" s="12" t="str">
        <x:v>調出</x:v>
      </x:c>
      <x:c r="G412" s="12" t="str">
        <x:v>2.0</x:v>
      </x:c>
      <x:c r="H412" s="13" t="n">
        <x:v>5</x:v>
      </x:c>
      <x:c r="I412" s="12" t="str">
        <x:v>台北市</x:v>
      </x:c>
      <x:c r="J412" s="12" t="str">
        <x:v>500119050</x:v>
      </x:c>
      <x:c r="K412" s="12" t="str">
        <x:v>臺大小福樓東側</x:v>
      </x:c>
      <x:c r="L412" s="12" t="str">
        <x:v>ZZB* 且調出/調入且車種2.0/2.0E</x:v>
      </x:c>
    </x:row>
    <x:row r="413">
      <x:c r="A413" s="12" t="str">
        <x:v>2026-09-07</x:v>
      </x:c>
      <x:c r="B413" s="12" t="str">
        <x:v>2026-09-07 10:17:13</x:v>
      </x:c>
      <x:c r="C413" s="12" t="str">
        <x:v>10:00</x:v>
      </x:c>
      <x:c r="D413" s="12" t="str">
        <x:v>10–13</x:v>
      </x:c>
      <x:c r="E413" s="12" t="str">
        <x:v>ZZB-0004</x:v>
      </x:c>
      <x:c r="F413" s="12" t="str">
        <x:v>調入</x:v>
      </x:c>
      <x:c r="G413" s="12" t="str">
        <x:v>2.0</x:v>
      </x:c>
      <x:c r="H413" s="13" t="n">
        <x:v>5</x:v>
      </x:c>
      <x:c r="I413" s="12" t="str">
        <x:v>台北市</x:v>
      </x:c>
      <x:c r="J413" s="12" t="str">
        <x:v>500101032</x:v>
      </x:c>
      <x:c r="K413" s="12" t="str">
        <x:v>臺大男一舍前</x:v>
      </x:c>
      <x:c r="L413" s="12" t="str">
        <x:v>ZZB* 且調出/調入且車種2.0/2.0E</x:v>
      </x:c>
    </x:row>
    <x:row r="414">
      <x:c r="A414" s="12" t="str">
        <x:v>2026-09-07</x:v>
      </x:c>
      <x:c r="B414" s="12" t="str">
        <x:v>2026-09-07 10:40:41</x:v>
      </x:c>
      <x:c r="C414" s="12" t="str">
        <x:v>10:00</x:v>
      </x:c>
      <x:c r="D414" s="12" t="str">
        <x:v>10–13</x:v>
      </x:c>
      <x:c r="E414" s="12" t="str">
        <x:v>ZZB-0004</x:v>
      </x:c>
      <x:c r="F414" s="12" t="str">
        <x:v>調出</x:v>
      </x:c>
      <x:c r="G414" s="12" t="str">
        <x:v>2.0</x:v>
      </x:c>
      <x:c r="H414" s="13" t="n">
        <x:v>6</x:v>
      </x:c>
      <x:c r="I414" s="12" t="str">
        <x:v>台北市</x:v>
      </x:c>
      <x:c r="J414" s="12" t="str">
        <x:v>500119085</x:v>
      </x:c>
      <x:c r="K414" s="12" t="str">
        <x:v>臺大電機二館東南側</x:v>
      </x:c>
      <x:c r="L414" s="12" t="str">
        <x:v>ZZB* 且調出/調入且車種2.0/2.0E</x:v>
      </x:c>
    </x:row>
    <x:row r="415">
      <x:c r="A415" s="12" t="str">
        <x:v>2026-09-07</x:v>
      </x:c>
      <x:c r="B415" s="12" t="str">
        <x:v>2026-09-07 10:47:42</x:v>
      </x:c>
      <x:c r="C415" s="12" t="str">
        <x:v>10:00</x:v>
      </x:c>
      <x:c r="D415" s="12" t="str">
        <x:v>10–13</x:v>
      </x:c>
      <x:c r="E415" s="12" t="str">
        <x:v>ZZB-0004</x:v>
      </x:c>
      <x:c r="F415" s="12" t="str">
        <x:v>調入</x:v>
      </x:c>
      <x:c r="G415" s="12" t="str">
        <x:v>2.0</x:v>
      </x:c>
      <x:c r="H415" s="13" t="n">
        <x:v>6</x:v>
      </x:c>
      <x:c r="I415" s="12" t="str">
        <x:v>台北市</x:v>
      </x:c>
      <x:c r="J415" s="12" t="str">
        <x:v>500101032</x:v>
      </x:c>
      <x:c r="K415" s="12" t="str">
        <x:v>臺大男一舍前</x:v>
      </x:c>
      <x:c r="L415" s="12" t="str">
        <x:v>ZZB* 且調出/調入且車種2.0/2.0E</x:v>
      </x:c>
    </x:row>
    <x:row r="416">
      <x:c r="A416" s="12" t="str">
        <x:v>2026-09-07</x:v>
      </x:c>
      <x:c r="B416" s="12" t="str">
        <x:v>2026-09-07 10:58:42</x:v>
      </x:c>
      <x:c r="C416" s="12" t="str">
        <x:v>10:00</x:v>
      </x:c>
      <x:c r="D416" s="12" t="str">
        <x:v>10–13</x:v>
      </x:c>
      <x:c r="E416" s="12" t="str">
        <x:v>ZZB-0004</x:v>
      </x:c>
      <x:c r="F416" s="12" t="str">
        <x:v>調出</x:v>
      </x:c>
      <x:c r="G416" s="12" t="str">
        <x:v>2.0</x:v>
      </x:c>
      <x:c r="H416" s="13" t="n">
        <x:v>2</x:v>
      </x:c>
      <x:c r="I416" s="12" t="str">
        <x:v>台北市</x:v>
      </x:c>
      <x:c r="J416" s="12" t="str">
        <x:v>500119091</x:v>
      </x:c>
      <x:c r="K416" s="12" t="str">
        <x:v>臺大明達館北側(員工宿舍)</x:v>
      </x:c>
      <x:c r="L416" s="12" t="str">
        <x:v>ZZB* 且調出/調入且車種2.0/2.0E</x:v>
      </x:c>
    </x:row>
    <x:row r="417">
      <x:c r="A417" s="12" t="str">
        <x:v>2026-09-07</x:v>
      </x:c>
      <x:c r="B417" s="12" t="str">
        <x:v>2026-09-07 11:00:56</x:v>
      </x:c>
      <x:c r="C417" s="12" t="str">
        <x:v>11:00</x:v>
      </x:c>
      <x:c r="D417" s="12" t="str">
        <x:v>10–13</x:v>
      </x:c>
      <x:c r="E417" s="12" t="str">
        <x:v>ZZB-0004</x:v>
      </x:c>
      <x:c r="F417" s="12" t="str">
        <x:v>調入</x:v>
      </x:c>
      <x:c r="G417" s="12" t="str">
        <x:v>2.0</x:v>
      </x:c>
      <x:c r="H417" s="13" t="n">
        <x:v>2</x:v>
      </x:c>
      <x:c r="I417" s="12" t="str">
        <x:v>台北市</x:v>
      </x:c>
      <x:c r="J417" s="12" t="str">
        <x:v>500119064</x:v>
      </x:c>
      <x:c r="K417" s="12" t="str">
        <x:v>臺大明達館機車停車場</x:v>
      </x:c>
      <x:c r="L417" s="12" t="str">
        <x:v>ZZB* 且調出/調入且車種2.0/2.0E</x:v>
      </x:c>
    </x:row>
    <x:row r="418">
      <x:c r="A418" s="12" t="str">
        <x:v>2026-09-07</x:v>
      </x:c>
      <x:c r="B418" s="12" t="str">
        <x:v>2026-09-07 13:05:17</x:v>
      </x:c>
      <x:c r="C418" s="12" t="str">
        <x:v>13:00</x:v>
      </x:c>
      <x:c r="D418" s="12" t="str">
        <x:v>10–13</x:v>
      </x:c>
      <x:c r="E418" s="12" t="str">
        <x:v>ZZB-0004</x:v>
      </x:c>
      <x:c r="F418" s="12" t="str">
        <x:v>調出</x:v>
      </x:c>
      <x:c r="G418" s="12" t="str">
        <x:v>2.0</x:v>
      </x:c>
      <x:c r="H418" s="13" t="n">
        <x:v>7</x:v>
      </x:c>
      <x:c r="I418" s="12" t="str">
        <x:v>台北市</x:v>
      </x:c>
      <x:c r="J418" s="12" t="str">
        <x:v>500119076</x:v>
      </x:c>
      <x:c r="K418" s="12" t="str">
        <x:v>臺大博理館西側</x:v>
      </x:c>
      <x:c r="L418" s="12" t="str">
        <x:v>ZZB* 且調出/調入且車種2.0/2.0E</x:v>
      </x:c>
    </x:row>
    <x:row r="419">
      <x:c r="A419" s="12" t="str">
        <x:v>2026-09-07</x:v>
      </x:c>
      <x:c r="B419" s="12" t="str">
        <x:v>2026-09-07 13:05:27</x:v>
      </x:c>
      <x:c r="C419" s="12" t="str">
        <x:v>13:00</x:v>
      </x:c>
      <x:c r="D419" s="12" t="str">
        <x:v>10–13</x:v>
      </x:c>
      <x:c r="E419" s="12" t="str">
        <x:v>ZZB-0004</x:v>
      </x:c>
      <x:c r="F419" s="12" t="str">
        <x:v>調入</x:v>
      </x:c>
      <x:c r="G419" s="12" t="str">
        <x:v>2.0</x:v>
      </x:c>
      <x:c r="H419" s="13" t="n">
        <x:v>7</x:v>
      </x:c>
      <x:c r="I419" s="12" t="str">
        <x:v>台北市</x:v>
      </x:c>
      <x:c r="J419" s="12" t="str">
        <x:v>500119045</x:v>
      </x:c>
      <x:c r="K419" s="12" t="str">
        <x:v>臺大農業陳列館北側</x:v>
      </x:c>
      <x:c r="L419" s="12" t="str">
        <x:v>ZZB* 且調出/調入且車種2.0/2.0E</x:v>
      </x:c>
    </x:row>
    <x:row r="420">
      <x:c r="A420" s="12" t="str">
        <x:v>2026-09-07</x:v>
      </x:c>
      <x:c r="B420" s="12" t="str">
        <x:v>2026-09-07 13:25:33</x:v>
      </x:c>
      <x:c r="C420" s="12" t="str">
        <x:v>13:00</x:v>
      </x:c>
      <x:c r="D420" s="12" t="str">
        <x:v>10–13</x:v>
      </x:c>
      <x:c r="E420" s="12" t="str">
        <x:v>ZZB-0004</x:v>
      </x:c>
      <x:c r="F420" s="12" t="str">
        <x:v>調出</x:v>
      </x:c>
      <x:c r="G420" s="12" t="str">
        <x:v>2.0</x:v>
      </x:c>
      <x:c r="H420" s="13" t="n">
        <x:v>7</x:v>
      </x:c>
      <x:c r="I420" s="12" t="str">
        <x:v>台北市</x:v>
      </x:c>
      <x:c r="J420" s="12" t="str">
        <x:v>500119085</x:v>
      </x:c>
      <x:c r="K420" s="12" t="str">
        <x:v>臺大電機二館東南側</x:v>
      </x:c>
      <x:c r="L420" s="12" t="str">
        <x:v>ZZB* 且調出/調入且車種2.0/2.0E</x:v>
      </x:c>
    </x:row>
    <x:row r="421">
      <x:c r="A421" s="12" t="str">
        <x:v>2026-09-07</x:v>
      </x:c>
      <x:c r="B421" s="12" t="str">
        <x:v>2026-09-07 13:25:42</x:v>
      </x:c>
      <x:c r="C421" s="12" t="str">
        <x:v>13:00</x:v>
      </x:c>
      <x:c r="D421" s="12" t="str">
        <x:v>10–13</x:v>
      </x:c>
      <x:c r="E421" s="12" t="str">
        <x:v>ZZB-0004</x:v>
      </x:c>
      <x:c r="F421" s="12" t="str">
        <x:v>調入</x:v>
      </x:c>
      <x:c r="G421" s="12" t="str">
        <x:v>2.0</x:v>
      </x:c>
      <x:c r="H421" s="13" t="n">
        <x:v>7</x:v>
      </x:c>
      <x:c r="I421" s="12" t="str">
        <x:v>台北市</x:v>
      </x:c>
      <x:c r="J421" s="12" t="str">
        <x:v>500119045</x:v>
      </x:c>
      <x:c r="K421" s="12" t="str">
        <x:v>臺大農業陳列館北側</x:v>
      </x:c>
      <x:c r="L421" s="12" t="str">
        <x:v>ZZB* 且調出/調入且車種2.0/2.0E</x:v>
      </x:c>
    </x:row>
    <x:row r="422">
      <x:c r="A422" s="12" t="str">
        <x:v>2026-09-07</x:v>
      </x:c>
      <x:c r="B422" s="12" t="str">
        <x:v>2026-09-07 13:41:45</x:v>
      </x:c>
      <x:c r="C422" s="12" t="str">
        <x:v>13:00</x:v>
      </x:c>
      <x:c r="D422" s="12" t="str">
        <x:v>10–13</x:v>
      </x:c>
      <x:c r="E422" s="12" t="str">
        <x:v>ZZB-0004</x:v>
      </x:c>
      <x:c r="F422" s="12" t="str">
        <x:v>調出</x:v>
      </x:c>
      <x:c r="G422" s="12" t="str">
        <x:v>2.0</x:v>
      </x:c>
      <x:c r="H422" s="13" t="n">
        <x:v>7</x:v>
      </x:c>
      <x:c r="I422" s="12" t="str">
        <x:v>台北市</x:v>
      </x:c>
      <x:c r="J422" s="12" t="str">
        <x:v>500119083</x:v>
      </x:c>
      <x:c r="K422" s="12" t="str">
        <x:v>臺大新生教室南側</x:v>
      </x:c>
      <x:c r="L422" s="12" t="str">
        <x:v>ZZB* 且調出/調入且車種2.0/2.0E</x:v>
      </x:c>
    </x:row>
    <x:row r="423">
      <x:c r="A423" s="12" t="str">
        <x:v>2026-09-07</x:v>
      </x:c>
      <x:c r="B423" s="12" t="str">
        <x:v>2026-09-07 13:41:57</x:v>
      </x:c>
      <x:c r="C423" s="12" t="str">
        <x:v>13:00</x:v>
      </x:c>
      <x:c r="D423" s="12" t="str">
        <x:v>10–13</x:v>
      </x:c>
      <x:c r="E423" s="12" t="str">
        <x:v>ZZB-0004</x:v>
      </x:c>
      <x:c r="F423" s="12" t="str">
        <x:v>調入</x:v>
      </x:c>
      <x:c r="G423" s="12" t="str">
        <x:v>2.0</x:v>
      </x:c>
      <x:c r="H423" s="13" t="n">
        <x:v>7</x:v>
      </x:c>
      <x:c r="I423" s="12" t="str">
        <x:v>台北市</x:v>
      </x:c>
      <x:c r="J423" s="12" t="str">
        <x:v>500119045</x:v>
      </x:c>
      <x:c r="K423" s="12" t="str">
        <x:v>臺大農業陳列館北側</x:v>
      </x:c>
      <x:c r="L423" s="12" t="str">
        <x:v>ZZB* 且調出/調入且車種2.0/2.0E</x:v>
      </x:c>
    </x:row>
    <x:row r="424">
      <x:c r="A424" s="12" t="str">
        <x:v>2026-09-07</x:v>
      </x:c>
      <x:c r="B424" s="12" t="str">
        <x:v>2026-09-07 14:01:33</x:v>
      </x:c>
      <x:c r="C424" s="12" t="str">
        <x:v>14:00</x:v>
      </x:c>
      <x:c r="D424" s="12" t="str">
        <x:v>14–17</x:v>
      </x:c>
      <x:c r="E424" s="12" t="str">
        <x:v>ZZB-0004</x:v>
      </x:c>
      <x:c r="F424" s="12" t="str">
        <x:v>調出</x:v>
      </x:c>
      <x:c r="G424" s="12" t="str">
        <x:v>2.0</x:v>
      </x:c>
      <x:c r="H424" s="13" t="n">
        <x:v>7</x:v>
      </x:c>
      <x:c r="I424" s="12" t="str">
        <x:v>台北市</x:v>
      </x:c>
      <x:c r="J424" s="12" t="str">
        <x:v>500119076</x:v>
      </x:c>
      <x:c r="K424" s="12" t="str">
        <x:v>臺大博理館西側</x:v>
      </x:c>
      <x:c r="L424" s="12" t="str">
        <x:v>ZZB* 且調出/調入且車種2.0/2.0E</x:v>
      </x:c>
    </x:row>
    <x:row r="425">
      <x:c r="A425" s="12" t="str">
        <x:v>2026-09-07</x:v>
      </x:c>
      <x:c r="B425" s="12" t="str">
        <x:v>2026-09-07 14:01:47</x:v>
      </x:c>
      <x:c r="C425" s="12" t="str">
        <x:v>14:00</x:v>
      </x:c>
      <x:c r="D425" s="12" t="str">
        <x:v>14–17</x:v>
      </x:c>
      <x:c r="E425" s="12" t="str">
        <x:v>ZZB-0004</x:v>
      </x:c>
      <x:c r="F425" s="12" t="str">
        <x:v>調入</x:v>
      </x:c>
      <x:c r="G425" s="12" t="str">
        <x:v>2.0</x:v>
      </x:c>
      <x:c r="H425" s="13" t="n">
        <x:v>7</x:v>
      </x:c>
      <x:c r="I425" s="12" t="str">
        <x:v>台北市</x:v>
      </x:c>
      <x:c r="J425" s="12" t="str">
        <x:v>500119045</x:v>
      </x:c>
      <x:c r="K425" s="12" t="str">
        <x:v>臺大農業陳列館北側</x:v>
      </x:c>
      <x:c r="L425" s="12" t="str">
        <x:v>ZZB* 且調出/調入且車種2.0/2.0E</x:v>
      </x:c>
    </x:row>
    <x:row r="426">
      <x:c r="A426" s="12" t="str">
        <x:v>2026-09-07</x:v>
      </x:c>
      <x:c r="B426" s="12" t="str">
        <x:v>2026-09-07 14:23:58</x:v>
      </x:c>
      <x:c r="C426" s="12" t="str">
        <x:v>14:00</x:v>
      </x:c>
      <x:c r="D426" s="12" t="str">
        <x:v>14–17</x:v>
      </x:c>
      <x:c r="E426" s="12" t="str">
        <x:v>ZZB-0004</x:v>
      </x:c>
      <x:c r="F426" s="12" t="str">
        <x:v>調出</x:v>
      </x:c>
      <x:c r="G426" s="12" t="str">
        <x:v>2.0</x:v>
      </x:c>
      <x:c r="H426" s="13" t="n">
        <x:v>7</x:v>
      </x:c>
      <x:c r="I426" s="12" t="str">
        <x:v>台北市</x:v>
      </x:c>
      <x:c r="J426" s="12" t="str">
        <x:v>500119076</x:v>
      </x:c>
      <x:c r="K426" s="12" t="str">
        <x:v>臺大博理館西側</x:v>
      </x:c>
      <x:c r="L426" s="12" t="str">
        <x:v>ZZB* 且調出/調入且車種2.0/2.0E</x:v>
      </x:c>
    </x:row>
    <x:row r="427">
      <x:c r="A427" s="12" t="str">
        <x:v>2026-09-07</x:v>
      </x:c>
      <x:c r="B427" s="12" t="str">
        <x:v>2026-09-07 14:24:10</x:v>
      </x:c>
      <x:c r="C427" s="12" t="str">
        <x:v>14:00</x:v>
      </x:c>
      <x:c r="D427" s="12" t="str">
        <x:v>14–17</x:v>
      </x:c>
      <x:c r="E427" s="12" t="str">
        <x:v>ZZB-0004</x:v>
      </x:c>
      <x:c r="F427" s="12" t="str">
        <x:v>調入</x:v>
      </x:c>
      <x:c r="G427" s="12" t="str">
        <x:v>2.0</x:v>
      </x:c>
      <x:c r="H427" s="13" t="n">
        <x:v>7</x:v>
      </x:c>
      <x:c r="I427" s="12" t="str">
        <x:v>台北市</x:v>
      </x:c>
      <x:c r="J427" s="12" t="str">
        <x:v>500119045</x:v>
      </x:c>
      <x:c r="K427" s="12" t="str">
        <x:v>臺大農業陳列館北側</x:v>
      </x:c>
      <x:c r="L427" s="12" t="str">
        <x:v>ZZB* 且調出/調入且車種2.0/2.0E</x:v>
      </x:c>
    </x:row>
    <x:row r="428">
      <x:c r="A428" s="12" t="str">
        <x:v>2026-09-07</x:v>
      </x:c>
      <x:c r="B428" s="12" t="str">
        <x:v>2026-09-07 14:59:54</x:v>
      </x:c>
      <x:c r="C428" s="12" t="str">
        <x:v>14:00</x:v>
      </x:c>
      <x:c r="D428" s="12" t="str">
        <x:v>14–17</x:v>
      </x:c>
      <x:c r="E428" s="12" t="str">
        <x:v>ZZB-0004</x:v>
      </x:c>
      <x:c r="F428" s="12" t="str">
        <x:v>調出</x:v>
      </x:c>
      <x:c r="G428" s="12" t="str">
        <x:v>2.0</x:v>
      </x:c>
      <x:c r="H428" s="13" t="n">
        <x:v>7</x:v>
      </x:c>
      <x:c r="I428" s="12" t="str">
        <x:v>台北市</x:v>
      </x:c>
      <x:c r="J428" s="12" t="str">
        <x:v>500119102</x:v>
      </x:c>
      <x:c r="K428" s="12" t="str">
        <x:v>臺大普通教學館東側</x:v>
      </x:c>
      <x:c r="L428" s="12" t="str">
        <x:v>ZZB* 且調出/調入且車種2.0/2.0E</x:v>
      </x:c>
    </x:row>
    <x:row r="429">
      <x:c r="A429" s="12" t="str">
        <x:v>2026-09-07</x:v>
      </x:c>
      <x:c r="B429" s="12" t="str">
        <x:v>2026-09-07 15:00:05</x:v>
      </x:c>
      <x:c r="C429" s="12" t="str">
        <x:v>15:00</x:v>
      </x:c>
      <x:c r="D429" s="12" t="str">
        <x:v>14–17</x:v>
      </x:c>
      <x:c r="E429" s="12" t="str">
        <x:v>ZZB-0004</x:v>
      </x:c>
      <x:c r="F429" s="12" t="str">
        <x:v>調入</x:v>
      </x:c>
      <x:c r="G429" s="12" t="str">
        <x:v>2.0</x:v>
      </x:c>
      <x:c r="H429" s="13" t="n">
        <x:v>7</x:v>
      </x:c>
      <x:c r="I429" s="12" t="str">
        <x:v>台北市</x:v>
      </x:c>
      <x:c r="J429" s="12" t="str">
        <x:v>500119045</x:v>
      </x:c>
      <x:c r="K429" s="12" t="str">
        <x:v>臺大農業陳列館北側</x:v>
      </x:c>
      <x:c r="L429" s="12" t="str">
        <x:v>ZZB* 且調出/調入且車種2.0/2.0E</x:v>
      </x:c>
    </x:row>
    <x:row r="430">
      <x:c r="A430" s="12" t="str">
        <x:v>2026-09-07</x:v>
      </x:c>
      <x:c r="B430" s="12" t="str">
        <x:v>2026-09-07 17:17:24</x:v>
      </x:c>
      <x:c r="C430" s="12" t="str">
        <x:v>17:00</x:v>
      </x:c>
      <x:c r="D430" s="12" t="str">
        <x:v>14–17</x:v>
      </x:c>
      <x:c r="E430" s="12" t="str">
        <x:v>ZZB-0004</x:v>
      </x:c>
      <x:c r="F430" s="12" t="str">
        <x:v>調出</x:v>
      </x:c>
      <x:c r="G430" s="12" t="str">
        <x:v>2.0</x:v>
      </x:c>
      <x:c r="H430" s="13" t="n">
        <x:v>7</x:v>
      </x:c>
      <x:c r="I430" s="12" t="str">
        <x:v>台北市</x:v>
      </x:c>
      <x:c r="J430" s="12" t="str">
        <x:v>500101276</x:v>
      </x:c>
      <x:c r="K430" s="12" t="str">
        <x:v>羅斯福新生南路口</x:v>
      </x:c>
      <x:c r="L430" s="12" t="str">
        <x:v>ZZB* 且調出/調入且車種2.0/2.0E</x:v>
      </x:c>
    </x:row>
    <x:row r="431">
      <x:c r="A431" s="12" t="str">
        <x:v>2026-09-07</x:v>
      </x:c>
      <x:c r="B431" s="12" t="str">
        <x:v>2026-09-07 17:17:51</x:v>
      </x:c>
      <x:c r="C431" s="12" t="str">
        <x:v>17:00</x:v>
      </x:c>
      <x:c r="D431" s="12" t="str">
        <x:v>14–17</x:v>
      </x:c>
      <x:c r="E431" s="12" t="str">
        <x:v>ZZB-0004</x:v>
      </x:c>
      <x:c r="F431" s="12" t="str">
        <x:v>調入</x:v>
      </x:c>
      <x:c r="G431" s="12" t="str">
        <x:v>2.0</x:v>
      </x:c>
      <x:c r="H431" s="13" t="n">
        <x:v>7</x:v>
      </x:c>
      <x:c r="I431" s="12" t="str">
        <x:v>台北市</x:v>
      </x:c>
      <x:c r="J431" s="12" t="str">
        <x:v>500119065</x:v>
      </x:c>
      <x:c r="K431" s="12" t="str">
        <x:v>臺大二號館</x:v>
      </x:c>
      <x:c r="L431" s="12" t="str">
        <x:v>ZZB* 且調出/調入且車種2.0/2.0E</x:v>
      </x:c>
    </x:row>
    <x:row r="432">
      <x:c r="A432" s="12" t="str">
        <x:v>2026-09-07</x:v>
      </x:c>
      <x:c r="B432" s="12" t="str">
        <x:v>2026-09-07 17:32:03</x:v>
      </x:c>
      <x:c r="C432" s="12" t="str">
        <x:v>17:00</x:v>
      </x:c>
      <x:c r="D432" s="12" t="str">
        <x:v>14–17</x:v>
      </x:c>
      <x:c r="E432" s="12" t="str">
        <x:v>ZZB-0004</x:v>
      </x:c>
      <x:c r="F432" s="12" t="str">
        <x:v>調出</x:v>
      </x:c>
      <x:c r="G432" s="12" t="str">
        <x:v>2.0</x:v>
      </x:c>
      <x:c r="H432" s="13" t="n">
        <x:v>8</x:v>
      </x:c>
      <x:c r="I432" s="12" t="str">
        <x:v>台北市</x:v>
      </x:c>
      <x:c r="J432" s="12" t="str">
        <x:v>500101276</x:v>
      </x:c>
      <x:c r="K432" s="12" t="str">
        <x:v>羅斯福新生南路口</x:v>
      </x:c>
      <x:c r="L432" s="12" t="str">
        <x:v>ZZB* 且調出/調入且車種2.0/2.0E</x:v>
      </x:c>
    </x:row>
    <x:row r="433">
      <x:c r="A433" s="12" t="str">
        <x:v>2026-09-07</x:v>
      </x:c>
      <x:c r="B433" s="12" t="str">
        <x:v>2026-09-07 17:32:33</x:v>
      </x:c>
      <x:c r="C433" s="12" t="str">
        <x:v>17:00</x:v>
      </x:c>
      <x:c r="D433" s="12" t="str">
        <x:v>14–17</x:v>
      </x:c>
      <x:c r="E433" s="12" t="str">
        <x:v>ZZB-0004</x:v>
      </x:c>
      <x:c r="F433" s="12" t="str">
        <x:v>調入</x:v>
      </x:c>
      <x:c r="G433" s="12" t="str">
        <x:v>2.0</x:v>
      </x:c>
      <x:c r="H433" s="13" t="n">
        <x:v>8</x:v>
      </x:c>
      <x:c r="I433" s="12" t="str">
        <x:v>台北市</x:v>
      </x:c>
      <x:c r="J433" s="12" t="str">
        <x:v>500119055</x:v>
      </x:c>
      <x:c r="K433" s="12" t="str">
        <x:v>臺大樂學館東側</x:v>
      </x:c>
      <x:c r="L433" s="12" t="str">
        <x:v>ZZB* 且調出/調入且車種2.0/2.0E</x:v>
      </x:c>
    </x:row>
    <x:row r="434">
      <x:c r="A434" s="12" t="str">
        <x:v>2026-09-07</x:v>
      </x:c>
      <x:c r="B434" s="12" t="str">
        <x:v>2026-09-07 17:50:32</x:v>
      </x:c>
      <x:c r="C434" s="12" t="str">
        <x:v>17:00</x:v>
      </x:c>
      <x:c r="D434" s="12" t="str">
        <x:v>14–17</x:v>
      </x:c>
      <x:c r="E434" s="12" t="str">
        <x:v>ZZB-0004</x:v>
      </x:c>
      <x:c r="F434" s="12" t="str">
        <x:v>調出</x:v>
      </x:c>
      <x:c r="G434" s="12" t="str">
        <x:v>2.0</x:v>
      </x:c>
      <x:c r="H434" s="13" t="n">
        <x:v>10</x:v>
      </x:c>
      <x:c r="I434" s="12" t="str">
        <x:v>台北市</x:v>
      </x:c>
      <x:c r="J434" s="12" t="str">
        <x:v>500101276</x:v>
      </x:c>
      <x:c r="K434" s="12" t="str">
        <x:v>羅斯福新生南路口</x:v>
      </x:c>
      <x:c r="L434" s="12" t="str">
        <x:v>ZZB* 且調出/調入且車種2.0/2.0E</x:v>
      </x:c>
    </x:row>
    <x:row r="435">
      <x:c r="A435" s="12" t="str">
        <x:v>2026-09-07</x:v>
      </x:c>
      <x:c r="B435" s="12" t="str">
        <x:v>2026-09-07 17:50:51</x:v>
      </x:c>
      <x:c r="C435" s="12" t="str">
        <x:v>17:00</x:v>
      </x:c>
      <x:c r="D435" s="12" t="str">
        <x:v>14–17</x:v>
      </x:c>
      <x:c r="E435" s="12" t="str">
        <x:v>ZZB-0004</x:v>
      </x:c>
      <x:c r="F435" s="12" t="str">
        <x:v>調入</x:v>
      </x:c>
      <x:c r="G435" s="12" t="str">
        <x:v>2.0</x:v>
      </x:c>
      <x:c r="H435" s="13" t="n">
        <x:v>10</x:v>
      </x:c>
      <x:c r="I435" s="12" t="str">
        <x:v>台北市</x:v>
      </x:c>
      <x:c r="J435" s="12" t="str">
        <x:v>500119057</x:v>
      </x:c>
      <x:c r="K435" s="12" t="str">
        <x:v>臺大五號館西側</x:v>
      </x:c>
      <x:c r="L435" s="12" t="str">
        <x:v>ZZB* 且調出/調入且車種2.0/2.0E</x:v>
      </x:c>
    </x:row>
    <x:row r="436">
      <x:c r="A436" s="12" t="str">
        <x:v>2026-09-07</x:v>
      </x:c>
      <x:c r="B436" s="12" t="str">
        <x:v>2026-09-07 18:12:33</x:v>
      </x:c>
      <x:c r="C436" s="12" t="str">
        <x:v>18:00</x:v>
      </x:c>
      <x:c r="D436" s="12" t="str">
        <x:v>18–21</x:v>
      </x:c>
      <x:c r="E436" s="12" t="str">
        <x:v>ZZB-0004</x:v>
      </x:c>
      <x:c r="F436" s="12" t="str">
        <x:v>調出</x:v>
      </x:c>
      <x:c r="G436" s="12" t="str">
        <x:v>2.0</x:v>
      </x:c>
      <x:c r="H436" s="13" t="n">
        <x:v>10</x:v>
      </x:c>
      <x:c r="I436" s="12" t="str">
        <x:v>台北市</x:v>
      </x:c>
      <x:c r="J436" s="12" t="str">
        <x:v>500101276</x:v>
      </x:c>
      <x:c r="K436" s="12" t="str">
        <x:v>羅斯福新生南路口</x:v>
      </x:c>
      <x:c r="L436" s="12" t="str">
        <x:v>ZZB* 且調出/調入且車種2.0/2.0E</x:v>
      </x:c>
    </x:row>
    <x:row r="437">
      <x:c r="A437" s="12" t="str">
        <x:v>2026-09-07</x:v>
      </x:c>
      <x:c r="B437" s="12" t="str">
        <x:v>2026-09-07 18:12:45</x:v>
      </x:c>
      <x:c r="C437" s="12" t="str">
        <x:v>18:00</x:v>
      </x:c>
      <x:c r="D437" s="12" t="str">
        <x:v>18–21</x:v>
      </x:c>
      <x:c r="E437" s="12" t="str">
        <x:v>ZZB-0004</x:v>
      </x:c>
      <x:c r="F437" s="12" t="str">
        <x:v>調入</x:v>
      </x:c>
      <x:c r="G437" s="12" t="str">
        <x:v>2.0</x:v>
      </x:c>
      <x:c r="H437" s="13" t="n">
        <x:v>10</x:v>
      </x:c>
      <x:c r="I437" s="12" t="str">
        <x:v>台北市</x:v>
      </x:c>
      <x:c r="J437" s="12" t="str">
        <x:v>500119055</x:v>
      </x:c>
      <x:c r="K437" s="12" t="str">
        <x:v>臺大樂學館東側</x:v>
      </x:c>
      <x:c r="L437" s="12" t="str">
        <x:v>ZZB* 且調出/調入且車種2.0/2.0E</x:v>
      </x:c>
    </x:row>
    <x:row r="438">
      <x:c r="A438" s="12" t="str">
        <x:v>2026-09-07</x:v>
      </x:c>
      <x:c r="B438" s="12" t="str">
        <x:v>2026-09-07 18:34:18</x:v>
      </x:c>
      <x:c r="C438" s="12" t="str">
        <x:v>18:00</x:v>
      </x:c>
      <x:c r="D438" s="12" t="str">
        <x:v>18–21</x:v>
      </x:c>
      <x:c r="E438" s="12" t="str">
        <x:v>ZZB-0004</x:v>
      </x:c>
      <x:c r="F438" s="12" t="str">
        <x:v>調出</x:v>
      </x:c>
      <x:c r="G438" s="12" t="str">
        <x:v>2.0</x:v>
      </x:c>
      <x:c r="H438" s="13" t="n">
        <x:v>7</x:v>
      </x:c>
      <x:c r="I438" s="12" t="str">
        <x:v>台北市</x:v>
      </x:c>
      <x:c r="J438" s="12" t="str">
        <x:v>500101276</x:v>
      </x:c>
      <x:c r="K438" s="12" t="str">
        <x:v>羅斯福新生南路口</x:v>
      </x:c>
      <x:c r="L438" s="12" t="str">
        <x:v>ZZB* 且調出/調入且車種2.0/2.0E</x:v>
      </x:c>
    </x:row>
    <x:row r="439">
      <x:c r="A439" s="12" t="str">
        <x:v>2026-09-07</x:v>
      </x:c>
      <x:c r="B439" s="12" t="str">
        <x:v>2026-09-07 18:43:33</x:v>
      </x:c>
      <x:c r="C439" s="12" t="str">
        <x:v>18:00</x:v>
      </x:c>
      <x:c r="D439" s="12" t="str">
        <x:v>18–21</x:v>
      </x:c>
      <x:c r="E439" s="12" t="str">
        <x:v>ZZB-0004</x:v>
      </x:c>
      <x:c r="F439" s="12" t="str">
        <x:v>調入</x:v>
      </x:c>
      <x:c r="G439" s="12" t="str">
        <x:v>2.0</x:v>
      </x:c>
      <x:c r="H439" s="13" t="n">
        <x:v>7</x:v>
      </x:c>
      <x:c r="I439" s="12" t="str">
        <x:v>台北市</x:v>
      </x:c>
      <x:c r="J439" s="12" t="str">
        <x:v>500119055</x:v>
      </x:c>
      <x:c r="K439" s="12" t="str">
        <x:v>臺大樂學館東側</x:v>
      </x:c>
      <x:c r="L439" s="12" t="str">
        <x:v>ZZB* 且調出/調入且車種2.0/2.0E</x:v>
      </x:c>
    </x:row>
    <x:row r="440">
      <x:c r="A440" s="12" t="str">
        <x:v>2026-09-07</x:v>
      </x:c>
      <x:c r="B440" s="12" t="str">
        <x:v>2026-09-07 18:57:40</x:v>
      </x:c>
      <x:c r="C440" s="12" t="str">
        <x:v>18:00</x:v>
      </x:c>
      <x:c r="D440" s="12" t="str">
        <x:v>18–21</x:v>
      </x:c>
      <x:c r="E440" s="12" t="str">
        <x:v>ZZB-0004</x:v>
      </x:c>
      <x:c r="F440" s="12" t="str">
        <x:v>調出</x:v>
      </x:c>
      <x:c r="G440" s="12" t="str">
        <x:v>2.0</x:v>
      </x:c>
      <x:c r="H440" s="13" t="n">
        <x:v>7</x:v>
      </x:c>
      <x:c r="I440" s="12" t="str">
        <x:v>台北市</x:v>
      </x:c>
      <x:c r="J440" s="12" t="str">
        <x:v>500101276</x:v>
      </x:c>
      <x:c r="K440" s="12" t="str">
        <x:v>羅斯福新生南路口</x:v>
      </x:c>
      <x:c r="L440" s="12" t="str">
        <x:v>ZZB* 且調出/調入且車種2.0/2.0E</x:v>
      </x:c>
    </x:row>
    <x:row r="441">
      <x:c r="A441" s="12" t="str">
        <x:v>2026-09-07</x:v>
      </x:c>
      <x:c r="B441" s="12" t="str">
        <x:v>2026-09-07 19:07:11</x:v>
      </x:c>
      <x:c r="C441" s="12" t="str">
        <x:v>19:00</x:v>
      </x:c>
      <x:c r="D441" s="12" t="str">
        <x:v>18–21</x:v>
      </x:c>
      <x:c r="E441" s="12" t="str">
        <x:v>ZZB-0004</x:v>
      </x:c>
      <x:c r="F441" s="12" t="str">
        <x:v>調入</x:v>
      </x:c>
      <x:c r="G441" s="12" t="str">
        <x:v>2.0</x:v>
      </x:c>
      <x:c r="H441" s="13" t="n">
        <x:v>7</x:v>
      </x:c>
      <x:c r="I441" s="12" t="str">
        <x:v>台北市</x:v>
      </x:c>
      <x:c r="J441" s="12" t="str">
        <x:v>500119082</x:v>
      </x:c>
      <x:c r="K441" s="12" t="str">
        <x:v>臺大四號館東北側</x:v>
      </x:c>
      <x:c r="L441" s="12" t="str">
        <x:v>ZZB* 且調出/調入且車種2.0/2.0E</x:v>
      </x:c>
    </x:row>
    <x:row r="442">
      <x:c r="A442" s="12" t="str">
        <x:v>2026-09-07</x:v>
      </x:c>
      <x:c r="B442" s="12" t="str">
        <x:v>2026-09-07 19:33:38</x:v>
      </x:c>
      <x:c r="C442" s="12" t="str">
        <x:v>19:00</x:v>
      </x:c>
      <x:c r="D442" s="12" t="str">
        <x:v>18–21</x:v>
      </x:c>
      <x:c r="E442" s="12" t="str">
        <x:v>ZZB-0004</x:v>
      </x:c>
      <x:c r="F442" s="12" t="str">
        <x:v>調出</x:v>
      </x:c>
      <x:c r="G442" s="12" t="str">
        <x:v>2.0</x:v>
      </x:c>
      <x:c r="H442" s="13" t="n">
        <x:v>10</x:v>
      </x:c>
      <x:c r="I442" s="12" t="str">
        <x:v>台北市</x:v>
      </x:c>
      <x:c r="J442" s="12" t="str">
        <x:v>500101276</x:v>
      </x:c>
      <x:c r="K442" s="12" t="str">
        <x:v>羅斯福新生南路口</x:v>
      </x:c>
      <x:c r="L442" s="12" t="str">
        <x:v>ZZB* 且調出/調入且車種2.0/2.0E</x:v>
      </x:c>
    </x:row>
    <x:row r="443">
      <x:c r="A443" s="12" t="str">
        <x:v>2026-09-07</x:v>
      </x:c>
      <x:c r="B443" s="12" t="str">
        <x:v>2026-09-07 19:33:54</x:v>
      </x:c>
      <x:c r="C443" s="12" t="str">
        <x:v>19:00</x:v>
      </x:c>
      <x:c r="D443" s="12" t="str">
        <x:v>18–21</x:v>
      </x:c>
      <x:c r="E443" s="12" t="str">
        <x:v>ZZB-0004</x:v>
      </x:c>
      <x:c r="F443" s="12" t="str">
        <x:v>調入</x:v>
      </x:c>
      <x:c r="G443" s="12" t="str">
        <x:v>2.0</x:v>
      </x:c>
      <x:c r="H443" s="13" t="n">
        <x:v>10</x:v>
      </x:c>
      <x:c r="I443" s="12" t="str">
        <x:v>台北市</x:v>
      </x:c>
      <x:c r="J443" s="12" t="str">
        <x:v>500119075</x:v>
      </x:c>
      <x:c r="K443" s="12" t="str">
        <x:v>臺大第一活動中心西南側</x:v>
      </x:c>
      <x:c r="L443" s="12" t="str">
        <x:v>ZZB* 且調出/調入且車種2.0/2.0E</x:v>
      </x:c>
    </x:row>
    <x:row r="444">
      <x:c r="A444" s="12" t="str">
        <x:v>2026-09-07</x:v>
      </x:c>
      <x:c r="B444" s="12" t="str">
        <x:v>2026-09-07 20:24:16</x:v>
      </x:c>
      <x:c r="C444" s="12" t="str">
        <x:v>20:00</x:v>
      </x:c>
      <x:c r="D444" s="12" t="str">
        <x:v>18–21</x:v>
      </x:c>
      <x:c r="E444" s="12" t="str">
        <x:v>ZZB-0004</x:v>
      </x:c>
      <x:c r="F444" s="12" t="str">
        <x:v>調出</x:v>
      </x:c>
      <x:c r="G444" s="12" t="str">
        <x:v>2.0</x:v>
      </x:c>
      <x:c r="H444" s="13" t="n">
        <x:v>7</x:v>
      </x:c>
      <x:c r="I444" s="12" t="str">
        <x:v>台北市</x:v>
      </x:c>
      <x:c r="J444" s="12" t="str">
        <x:v>500101276</x:v>
      </x:c>
      <x:c r="K444" s="12" t="str">
        <x:v>羅斯福新生南路口</x:v>
      </x:c>
      <x:c r="L444" s="12" t="str">
        <x:v>ZZB* 且調出/調入且車種2.0/2.0E</x:v>
      </x:c>
    </x:row>
    <x:row r="445">
      <x:c r="A445" s="12" t="str">
        <x:v>2026-09-07</x:v>
      </x:c>
      <x:c r="B445" s="12" t="str">
        <x:v>2026-09-07 20:35:40</x:v>
      </x:c>
      <x:c r="C445" s="12" t="str">
        <x:v>20:00</x:v>
      </x:c>
      <x:c r="D445" s="12" t="str">
        <x:v>18–21</x:v>
      </x:c>
      <x:c r="E445" s="12" t="str">
        <x:v>ZZB-0004</x:v>
      </x:c>
      <x:c r="F445" s="12" t="str">
        <x:v>調入</x:v>
      </x:c>
      <x:c r="G445" s="12" t="str">
        <x:v>2.0</x:v>
      </x:c>
      <x:c r="H445" s="13" t="n">
        <x:v>7</x:v>
      </x:c>
      <x:c r="I445" s="12" t="str">
        <x:v>台北市</x:v>
      </x:c>
      <x:c r="J445" s="12" t="str">
        <x:v>500119086</x:v>
      </x:c>
      <x:c r="K445" s="12" t="str">
        <x:v>臺大圖資系館北側</x:v>
      </x:c>
      <x:c r="L445" s="12" t="str">
        <x:v>ZZB* 且調出/調入且車種2.0/2.0E</x:v>
      </x:c>
    </x:row>
    <x:row r="446">
      <x:c r="A446" s="12" t="str">
        <x:v>2026-09-07</x:v>
      </x:c>
      <x:c r="B446" s="12" t="str">
        <x:v>2026-09-07 22:02:16</x:v>
      </x:c>
      <x:c r="C446" s="12" t="str">
        <x:v>22:00</x:v>
      </x:c>
      <x:c r="D446" s="12" t="str">
        <x:v>22–23</x:v>
      </x:c>
      <x:c r="E446" s="12" t="str">
        <x:v>ZZB-0004</x:v>
      </x:c>
      <x:c r="F446" s="12" t="str">
        <x:v>調出</x:v>
      </x:c>
      <x:c r="G446" s="12" t="str">
        <x:v>2.0</x:v>
      </x:c>
      <x:c r="H446" s="13" t="n">
        <x:v>7</x:v>
      </x:c>
      <x:c r="I446" s="12" t="str">
        <x:v>台北市</x:v>
      </x:c>
      <x:c r="J446" s="12" t="str">
        <x:v>500101181</x:v>
      </x:c>
      <x:c r="K446" s="12" t="str">
        <x:v>捷運公館站(3號出口)</x:v>
      </x:c>
      <x:c r="L446" s="12" t="str">
        <x:v>ZZB* 且調出/調入且車種2.0/2.0E</x:v>
      </x:c>
    </x:row>
    <x:row r="447">
      <x:c r="A447" s="12" t="str">
        <x:v>2026-09-07</x:v>
      </x:c>
      <x:c r="B447" s="12" t="str">
        <x:v>2026-09-07 22:02:30</x:v>
      </x:c>
      <x:c r="C447" s="12" t="str">
        <x:v>22:00</x:v>
      </x:c>
      <x:c r="D447" s="12" t="str">
        <x:v>22–23</x:v>
      </x:c>
      <x:c r="E447" s="12" t="str">
        <x:v>ZZB-0004</x:v>
      </x:c>
      <x:c r="F447" s="12" t="str">
        <x:v>調入</x:v>
      </x:c>
      <x:c r="G447" s="12" t="str">
        <x:v>2.0</x:v>
      </x:c>
      <x:c r="H447" s="13" t="n">
        <x:v>7</x:v>
      </x:c>
      <x:c r="I447" s="12" t="str">
        <x:v>台北市</x:v>
      </x:c>
      <x:c r="J447" s="12" t="str">
        <x:v>500101276</x:v>
      </x:c>
      <x:c r="K447" s="12" t="str">
        <x:v>羅斯福新生南路口</x:v>
      </x:c>
      <x:c r="L447" s="12" t="str">
        <x:v>ZZB* 且調出/調入且車種2.0/2.0E</x:v>
      </x:c>
    </x:row>
    <x:row r="448">
      <x:c r="A448" s="12" t="str">
        <x:v>2026-09-07</x:v>
      </x:c>
      <x:c r="B448" s="12" t="str">
        <x:v>2026-09-07 22:21:14</x:v>
      </x:c>
      <x:c r="C448" s="12" t="str">
        <x:v>22:00</x:v>
      </x:c>
      <x:c r="D448" s="12" t="str">
        <x:v>22–23</x:v>
      </x:c>
      <x:c r="E448" s="12" t="str">
        <x:v>ZZB-0004</x:v>
      </x:c>
      <x:c r="F448" s="12" t="str">
        <x:v>調出</x:v>
      </x:c>
      <x:c r="G448" s="12" t="str">
        <x:v>2.0</x:v>
      </x:c>
      <x:c r="H448" s="13" t="n">
        <x:v>7</x:v>
      </x:c>
      <x:c r="I448" s="12" t="str">
        <x:v>台北市</x:v>
      </x:c>
      <x:c r="J448" s="12" t="str">
        <x:v>500101181</x:v>
      </x:c>
      <x:c r="K448" s="12" t="str">
        <x:v>捷運公館站(3號出口)</x:v>
      </x:c>
      <x:c r="L448" s="12" t="str">
        <x:v>ZZB* 且調出/調入且車種2.0/2.0E</x:v>
      </x:c>
    </x:row>
    <x:row r="449">
      <x:c r="A449" s="12" t="str">
        <x:v>2026-09-07</x:v>
      </x:c>
      <x:c r="B449" s="12" t="str">
        <x:v>2026-09-07 22:21:30</x:v>
      </x:c>
      <x:c r="C449" s="12" t="str">
        <x:v>22:00</x:v>
      </x:c>
      <x:c r="D449" s="12" t="str">
        <x:v>22–23</x:v>
      </x:c>
      <x:c r="E449" s="12" t="str">
        <x:v>ZZB-0004</x:v>
      </x:c>
      <x:c r="F449" s="12" t="str">
        <x:v>調入</x:v>
      </x:c>
      <x:c r="G449" s="12" t="str">
        <x:v>2.0</x:v>
      </x:c>
      <x:c r="H449" s="13" t="n">
        <x:v>7</x:v>
      </x:c>
      <x:c r="I449" s="12" t="str">
        <x:v>台北市</x:v>
      </x:c>
      <x:c r="J449" s="12" t="str">
        <x:v>500101276</x:v>
      </x:c>
      <x:c r="K449" s="12" t="str">
        <x:v>羅斯福新生南路口</x:v>
      </x:c>
      <x:c r="L449" s="12" t="str">
        <x:v>ZZB* 且調出/調入且車種2.0/2.0E</x:v>
      </x:c>
    </x:row>
    <x:row r="450">
      <x:c r="A450" s="12" t="str">
        <x:v>2026-09-07</x:v>
      </x:c>
      <x:c r="B450" s="12" t="str">
        <x:v>2026-09-07 23:21:18</x:v>
      </x:c>
      <x:c r="C450" s="12" t="str">
        <x:v>23:00</x:v>
      </x:c>
      <x:c r="D450" s="12" t="str">
        <x:v>22–23</x:v>
      </x:c>
      <x:c r="E450" s="12" t="str">
        <x:v>ZZB-0004</x:v>
      </x:c>
      <x:c r="F450" s="12" t="str">
        <x:v>調出</x:v>
      </x:c>
      <x:c r="G450" s="12" t="str">
        <x:v>2.0</x:v>
      </x:c>
      <x:c r="H450" s="13" t="n">
        <x:v>14</x:v>
      </x:c>
      <x:c r="I450" s="12" t="str">
        <x:v>台北市</x:v>
      </x:c>
      <x:c r="J450" s="12" t="str">
        <x:v>500101181</x:v>
      </x:c>
      <x:c r="K450" s="12" t="str">
        <x:v>捷運公館站(3號出口)</x:v>
      </x:c>
      <x:c r="L450" s="12" t="str">
        <x:v>ZZB* 且調出/調入且車種2.0/2.0E</x:v>
      </x:c>
    </x:row>
    <x:row r="451">
      <x:c r="A451" s="12" t="str">
        <x:v>2026-09-07</x:v>
      </x:c>
      <x:c r="B451" s="12" t="str">
        <x:v>2026-09-07 23:21:42</x:v>
      </x:c>
      <x:c r="C451" s="12" t="str">
        <x:v>23:00</x:v>
      </x:c>
      <x:c r="D451" s="12" t="str">
        <x:v>22–23</x:v>
      </x:c>
      <x:c r="E451" s="12" t="str">
        <x:v>ZZB-0004</x:v>
      </x:c>
      <x:c r="F451" s="12" t="str">
        <x:v>調入</x:v>
      </x:c>
      <x:c r="G451" s="12" t="str">
        <x:v>2.0</x:v>
      </x:c>
      <x:c r="H451" s="13" t="n">
        <x:v>14</x:v>
      </x:c>
      <x:c r="I451" s="12" t="str">
        <x:v>台北市</x:v>
      </x:c>
      <x:c r="J451" s="12" t="str">
        <x:v>500101276</x:v>
      </x:c>
      <x:c r="K451" s="12" t="str">
        <x:v>羅斯福新生南路口</x:v>
      </x:c>
      <x:c r="L451" s="12" t="str">
        <x:v>ZZB* 且調出/調入且車種2.0/2.0E</x:v>
      </x:c>
    </x:row>
    <x:row r="452">
      <x:c r="A452" s="12" t="str">
        <x:v>2026-09-07</x:v>
      </x:c>
      <x:c r="B452" s="12" t="str">
        <x:v>2026-09-07 08:16:10</x:v>
      </x:c>
      <x:c r="C452" s="12" t="str">
        <x:v>08:00</x:v>
      </x:c>
      <x:c r="D452" s="12" t="str">
        <x:v>06–09</x:v>
      </x:c>
      <x:c r="E452" s="12" t="str">
        <x:v>ZZB-0004</x:v>
      </x:c>
      <x:c r="F452" s="12" t="str">
        <x:v>調出</x:v>
      </x:c>
      <x:c r="G452" s="12" t="str">
        <x:v>2.0E</x:v>
      </x:c>
      <x:c r="H452" s="13" t="n">
        <x:v>1</x:v>
      </x:c>
      <x:c r="I452" s="12" t="str">
        <x:v>台北市</x:v>
      </x:c>
      <x:c r="J452" s="12" t="str">
        <x:v>500119050</x:v>
      </x:c>
      <x:c r="K452" s="12" t="str">
        <x:v>臺大小福樓東側</x:v>
      </x:c>
      <x:c r="L452" s="12" t="str">
        <x:v>ZZB* 且調出/調入且車種2.0/2.0E</x:v>
      </x:c>
    </x:row>
    <x:row r="453">
      <x:c r="A453" s="12" t="str">
        <x:v>2026-09-07</x:v>
      </x:c>
      <x:c r="B453" s="12" t="str">
        <x:v>2026-09-07 08:19:13</x:v>
      </x:c>
      <x:c r="C453" s="12" t="str">
        <x:v>08:00</x:v>
      </x:c>
      <x:c r="D453" s="12" t="str">
        <x:v>06–09</x:v>
      </x:c>
      <x:c r="E453" s="12" t="str">
        <x:v>ZZB-0004</x:v>
      </x:c>
      <x:c r="F453" s="12" t="str">
        <x:v>調入</x:v>
      </x:c>
      <x:c r="G453" s="12" t="str">
        <x:v>2.0E</x:v>
      </x:c>
      <x:c r="H453" s="13" t="n">
        <x:v>1</x:v>
      </x:c>
      <x:c r="I453" s="12" t="str">
        <x:v>台北市</x:v>
      </x:c>
      <x:c r="J453" s="12" t="str">
        <x:v>500119082</x:v>
      </x:c>
      <x:c r="K453" s="12" t="str">
        <x:v>臺大四號館東北側</x:v>
      </x:c>
      <x:c r="L453" s="12" t="str">
        <x:v>ZZB* 且調出/調入且車種2.0/2.0E</x:v>
      </x:c>
    </x:row>
    <x:row r="454">
      <x:c r="A454" s="12" t="str">
        <x:v>2026-09-07</x:v>
      </x:c>
      <x:c r="B454" s="12" t="str">
        <x:v>2026-09-07 08:35:27</x:v>
      </x:c>
      <x:c r="C454" s="12" t="str">
        <x:v>08:00</x:v>
      </x:c>
      <x:c r="D454" s="12" t="str">
        <x:v>06–09</x:v>
      </x:c>
      <x:c r="E454" s="12" t="str">
        <x:v>ZZB-0004</x:v>
      </x:c>
      <x:c r="F454" s="12" t="str">
        <x:v>調出</x:v>
      </x:c>
      <x:c r="G454" s="12" t="str">
        <x:v>2.0E</x:v>
      </x:c>
      <x:c r="H454" s="13" t="n">
        <x:v>1</x:v>
      </x:c>
      <x:c r="I454" s="12" t="str">
        <x:v>台北市</x:v>
      </x:c>
      <x:c r="J454" s="12" t="str">
        <x:v>500119050</x:v>
      </x:c>
      <x:c r="K454" s="12" t="str">
        <x:v>臺大小福樓東側</x:v>
      </x:c>
      <x:c r="L454" s="12" t="str">
        <x:v>ZZB* 且調出/調入且車種2.0/2.0E</x:v>
      </x:c>
    </x:row>
    <x:row r="455">
      <x:c r="A455" s="12" t="str">
        <x:v>2026-09-07</x:v>
      </x:c>
      <x:c r="B455" s="12" t="str">
        <x:v>2026-09-07 08:41:58</x:v>
      </x:c>
      <x:c r="C455" s="12" t="str">
        <x:v>08:00</x:v>
      </x:c>
      <x:c r="D455" s="12" t="str">
        <x:v>06–09</x:v>
      </x:c>
      <x:c r="E455" s="12" t="str">
        <x:v>ZZB-0004</x:v>
      </x:c>
      <x:c r="F455" s="12" t="str">
        <x:v>調入</x:v>
      </x:c>
      <x:c r="G455" s="12" t="str">
        <x:v>2.0E</x:v>
      </x:c>
      <x:c r="H455" s="13" t="n">
        <x:v>1</x:v>
      </x:c>
      <x:c r="I455" s="12" t="str">
        <x:v>台北市</x:v>
      </x:c>
      <x:c r="J455" s="12" t="str">
        <x:v>500119097</x:v>
      </x:c>
      <x:c r="K455" s="12" t="str">
        <x:v>臺大人文館</x:v>
      </x:c>
      <x:c r="L455" s="12" t="str">
        <x:v>ZZB* 且調出/調入且車種2.0/2.0E</x:v>
      </x:c>
    </x:row>
    <x:row r="456">
      <x:c r="A456" s="12" t="str">
        <x:v>2026-09-07</x:v>
      </x:c>
      <x:c r="B456" s="12" t="str">
        <x:v>2026-09-07 08:50:00</x:v>
      </x:c>
      <x:c r="C456" s="12" t="str">
        <x:v>08:00</x:v>
      </x:c>
      <x:c r="D456" s="12" t="str">
        <x:v>06–09</x:v>
      </x:c>
      <x:c r="E456" s="12" t="str">
        <x:v>ZZB-0004</x:v>
      </x:c>
      <x:c r="F456" s="12" t="str">
        <x:v>調出</x:v>
      </x:c>
      <x:c r="G456" s="12" t="str">
        <x:v>2.0E</x:v>
      </x:c>
      <x:c r="H456" s="13" t="n">
        <x:v>1</x:v>
      </x:c>
      <x:c r="I456" s="12" t="str">
        <x:v>台北市</x:v>
      </x:c>
      <x:c r="J456" s="12" t="str">
        <x:v>500119050</x:v>
      </x:c>
      <x:c r="K456" s="12" t="str">
        <x:v>臺大小福樓東側</x:v>
      </x:c>
      <x:c r="L456" s="12" t="str">
        <x:v>ZZB* 且調出/調入且車種2.0/2.0E</x:v>
      </x:c>
    </x:row>
    <x:row r="457">
      <x:c r="A457" s="12" t="str">
        <x:v>2026-09-07</x:v>
      </x:c>
      <x:c r="B457" s="12" t="str">
        <x:v>2026-09-07 08:56:51</x:v>
      </x:c>
      <x:c r="C457" s="12" t="str">
        <x:v>08:00</x:v>
      </x:c>
      <x:c r="D457" s="12" t="str">
        <x:v>06–09</x:v>
      </x:c>
      <x:c r="E457" s="12" t="str">
        <x:v>ZZB-0004</x:v>
      </x:c>
      <x:c r="F457" s="12" t="str">
        <x:v>調入</x:v>
      </x:c>
      <x:c r="G457" s="12" t="str">
        <x:v>2.0E</x:v>
      </x:c>
      <x:c r="H457" s="13" t="n">
        <x:v>1</x:v>
      </x:c>
      <x:c r="I457" s="12" t="str">
        <x:v>台北市</x:v>
      </x:c>
      <x:c r="J457" s="12" t="str">
        <x:v>500119097</x:v>
      </x:c>
      <x:c r="K457" s="12" t="str">
        <x:v>臺大人文館</x:v>
      </x:c>
      <x:c r="L457" s="12" t="str">
        <x:v>ZZB* 且調出/調入且車種2.0/2.0E</x:v>
      </x:c>
    </x:row>
    <x:row r="458">
      <x:c r="A458" s="12" t="str">
        <x:v>2026-09-07</x:v>
      </x:c>
      <x:c r="B458" s="12" t="str">
        <x:v>2026-09-07 09:05:15</x:v>
      </x:c>
      <x:c r="C458" s="12" t="str">
        <x:v>09:00</x:v>
      </x:c>
      <x:c r="D458" s="12" t="str">
        <x:v>06–09</x:v>
      </x:c>
      <x:c r="E458" s="12" t="str">
        <x:v>ZZB-0004</x:v>
      </x:c>
      <x:c r="F458" s="12" t="str">
        <x:v>調出</x:v>
      </x:c>
      <x:c r="G458" s="12" t="str">
        <x:v>2.0E</x:v>
      </x:c>
      <x:c r="H458" s="13" t="n">
        <x:v>1</x:v>
      </x:c>
      <x:c r="I458" s="12" t="str">
        <x:v>台北市</x:v>
      </x:c>
      <x:c r="J458" s="12" t="str">
        <x:v>500119050</x:v>
      </x:c>
      <x:c r="K458" s="12" t="str">
        <x:v>臺大小福樓東側</x:v>
      </x:c>
      <x:c r="L458" s="12" t="str">
        <x:v>ZZB* 且調出/調入且車種2.0/2.0E</x:v>
      </x:c>
    </x:row>
    <x:row r="459">
      <x:c r="A459" s="12" t="str">
        <x:v>2026-09-07</x:v>
      </x:c>
      <x:c r="B459" s="12" t="str">
        <x:v>2026-09-07 09:11:00</x:v>
      </x:c>
      <x:c r="C459" s="12" t="str">
        <x:v>09:00</x:v>
      </x:c>
      <x:c r="D459" s="12" t="str">
        <x:v>06–09</x:v>
      </x:c>
      <x:c r="E459" s="12" t="str">
        <x:v>ZZB-0004</x:v>
      </x:c>
      <x:c r="F459" s="12" t="str">
        <x:v>調入</x:v>
      </x:c>
      <x:c r="G459" s="12" t="str">
        <x:v>2.0E</x:v>
      </x:c>
      <x:c r="H459" s="13" t="n">
        <x:v>1</x:v>
      </x:c>
      <x:c r="I459" s="12" t="str">
        <x:v>台北市</x:v>
      </x:c>
      <x:c r="J459" s="12" t="str">
        <x:v>500119097</x:v>
      </x:c>
      <x:c r="K459" s="12" t="str">
        <x:v>臺大人文館</x:v>
      </x:c>
      <x:c r="L459" s="12" t="str">
        <x:v>ZZB* 且調出/調入且車種2.0/2.0E</x:v>
      </x:c>
    </x:row>
    <x:row r="460">
      <x:c r="A460" s="12" t="str">
        <x:v>2026-09-07</x:v>
      </x:c>
      <x:c r="B460" s="12" t="str">
        <x:v>2026-09-07 09:17:32</x:v>
      </x:c>
      <x:c r="C460" s="12" t="str">
        <x:v>09:00</x:v>
      </x:c>
      <x:c r="D460" s="12" t="str">
        <x:v>06–09</x:v>
      </x:c>
      <x:c r="E460" s="12" t="str">
        <x:v>ZZB-0004</x:v>
      </x:c>
      <x:c r="F460" s="12" t="str">
        <x:v>調出</x:v>
      </x:c>
      <x:c r="G460" s="12" t="str">
        <x:v>2.0E</x:v>
      </x:c>
      <x:c r="H460" s="13" t="n">
        <x:v>4</x:v>
      </x:c>
      <x:c r="I460" s="12" t="str">
        <x:v>台北市</x:v>
      </x:c>
      <x:c r="J460" s="12" t="str">
        <x:v>500119102</x:v>
      </x:c>
      <x:c r="K460" s="12" t="str">
        <x:v>臺大普通教學館東側</x:v>
      </x:c>
      <x:c r="L460" s="12" t="str">
        <x:v>ZZB* 且調出/調入且車種2.0/2.0E</x:v>
      </x:c>
    </x:row>
    <x:row r="461">
      <x:c r="A461" s="12" t="str">
        <x:v>2026-09-07</x:v>
      </x:c>
      <x:c r="B461" s="12" t="str">
        <x:v>2026-09-07 09:28:03</x:v>
      </x:c>
      <x:c r="C461" s="12" t="str">
        <x:v>09:00</x:v>
      </x:c>
      <x:c r="D461" s="12" t="str">
        <x:v>06–09</x:v>
      </x:c>
      <x:c r="E461" s="12" t="str">
        <x:v>ZZB-0004</x:v>
      </x:c>
      <x:c r="F461" s="12" t="str">
        <x:v>調入</x:v>
      </x:c>
      <x:c r="G461" s="12" t="str">
        <x:v>2.0E</x:v>
      </x:c>
      <x:c r="H461" s="13" t="n">
        <x:v>4</x:v>
      </x:c>
      <x:c r="I461" s="12" t="str">
        <x:v>台北市</x:v>
      </x:c>
      <x:c r="J461" s="12" t="str">
        <x:v>500119097</x:v>
      </x:c>
      <x:c r="K461" s="12" t="str">
        <x:v>臺大人文館</x:v>
      </x:c>
      <x:c r="L461" s="12" t="str">
        <x:v>ZZB* 且調出/調入且車種2.0/2.0E</x:v>
      </x:c>
    </x:row>
    <x:row r="462">
      <x:c r="A462" s="12" t="str">
        <x:v>2026-09-07</x:v>
      </x:c>
      <x:c r="B462" s="12" t="str">
        <x:v>2026-09-07 10:04:44</x:v>
      </x:c>
      <x:c r="C462" s="12" t="str">
        <x:v>10:00</x:v>
      </x:c>
      <x:c r="D462" s="12" t="str">
        <x:v>10–13</x:v>
      </x:c>
      <x:c r="E462" s="12" t="str">
        <x:v>ZZB-0004</x:v>
      </x:c>
      <x:c r="F462" s="12" t="str">
        <x:v>調出</x:v>
      </x:c>
      <x:c r="G462" s="12" t="str">
        <x:v>2.0E</x:v>
      </x:c>
      <x:c r="H462" s="13" t="n">
        <x:v>2</x:v>
      </x:c>
      <x:c r="I462" s="12" t="str">
        <x:v>台北市</x:v>
      </x:c>
      <x:c r="J462" s="12" t="str">
        <x:v>500119085</x:v>
      </x:c>
      <x:c r="K462" s="12" t="str">
        <x:v>臺大電機二館東南側</x:v>
      </x:c>
      <x:c r="L462" s="12" t="str">
        <x:v>ZZB* 且調出/調入且車種2.0/2.0E</x:v>
      </x:c>
    </x:row>
    <x:row r="463">
      <x:c r="A463" s="12" t="str">
        <x:v>2026-09-07</x:v>
      </x:c>
      <x:c r="B463" s="12" t="str">
        <x:v>2026-09-07 10:17:13</x:v>
      </x:c>
      <x:c r="C463" s="12" t="str">
        <x:v>10:00</x:v>
      </x:c>
      <x:c r="D463" s="12" t="str">
        <x:v>10–13</x:v>
      </x:c>
      <x:c r="E463" s="12" t="str">
        <x:v>ZZB-0004</x:v>
      </x:c>
      <x:c r="F463" s="12" t="str">
        <x:v>調入</x:v>
      </x:c>
      <x:c r="G463" s="12" t="str">
        <x:v>2.0E</x:v>
      </x:c>
      <x:c r="H463" s="13" t="n">
        <x:v>2</x:v>
      </x:c>
      <x:c r="I463" s="12" t="str">
        <x:v>台北市</x:v>
      </x:c>
      <x:c r="J463" s="12" t="str">
        <x:v>500101032</x:v>
      </x:c>
      <x:c r="K463" s="12" t="str">
        <x:v>臺大男一舍前</x:v>
      </x:c>
      <x:c r="L463" s="12" t="str">
        <x:v>ZZB* 且調出/調入且車種2.0/2.0E</x:v>
      </x:c>
    </x:row>
    <x:row r="464">
      <x:c r="A464" s="12" t="str">
        <x:v>2026-09-07</x:v>
      </x:c>
      <x:c r="B464" s="12" t="str">
        <x:v>2026-09-07 10:40:41</x:v>
      </x:c>
      <x:c r="C464" s="12" t="str">
        <x:v>10:00</x:v>
      </x:c>
      <x:c r="D464" s="12" t="str">
        <x:v>10–13</x:v>
      </x:c>
      <x:c r="E464" s="12" t="str">
        <x:v>ZZB-0004</x:v>
      </x:c>
      <x:c r="F464" s="12" t="str">
        <x:v>調出</x:v>
      </x:c>
      <x:c r="G464" s="12" t="str">
        <x:v>2.0E</x:v>
      </x:c>
      <x:c r="H464" s="13" t="n">
        <x:v>1</x:v>
      </x:c>
      <x:c r="I464" s="12" t="str">
        <x:v>台北市</x:v>
      </x:c>
      <x:c r="J464" s="12" t="str">
        <x:v>500119085</x:v>
      </x:c>
      <x:c r="K464" s="12" t="str">
        <x:v>臺大電機二館東南側</x:v>
      </x:c>
      <x:c r="L464" s="12" t="str">
        <x:v>ZZB* 且調出/調入且車種2.0/2.0E</x:v>
      </x:c>
    </x:row>
    <x:row r="465">
      <x:c r="A465" s="12" t="str">
        <x:v>2026-09-07</x:v>
      </x:c>
      <x:c r="B465" s="12" t="str">
        <x:v>2026-09-07 10:47:42</x:v>
      </x:c>
      <x:c r="C465" s="12" t="str">
        <x:v>10:00</x:v>
      </x:c>
      <x:c r="D465" s="12" t="str">
        <x:v>10–13</x:v>
      </x:c>
      <x:c r="E465" s="12" t="str">
        <x:v>ZZB-0004</x:v>
      </x:c>
      <x:c r="F465" s="12" t="str">
        <x:v>調入</x:v>
      </x:c>
      <x:c r="G465" s="12" t="str">
        <x:v>2.0E</x:v>
      </x:c>
      <x:c r="H465" s="13" t="n">
        <x:v>1</x:v>
      </x:c>
      <x:c r="I465" s="12" t="str">
        <x:v>台北市</x:v>
      </x:c>
      <x:c r="J465" s="12" t="str">
        <x:v>500101032</x:v>
      </x:c>
      <x:c r="K465" s="12" t="str">
        <x:v>臺大男一舍前</x:v>
      </x:c>
      <x:c r="L465" s="12" t="str">
        <x:v>ZZB* 且調出/調入且車種2.0/2.0E</x:v>
      </x:c>
    </x:row>
    <x:row r="466">
      <x:c r="A466" s="12" t="str">
        <x:v>2026-09-07</x:v>
      </x:c>
      <x:c r="B466" s="12" t="str">
        <x:v>2026-09-07 18:34:18</x:v>
      </x:c>
      <x:c r="C466" s="12" t="str">
        <x:v>18:00</x:v>
      </x:c>
      <x:c r="D466" s="12" t="str">
        <x:v>18–21</x:v>
      </x:c>
      <x:c r="E466" s="12" t="str">
        <x:v>ZZB-0004</x:v>
      </x:c>
      <x:c r="F466" s="12" t="str">
        <x:v>調出</x:v>
      </x:c>
      <x:c r="G466" s="12" t="str">
        <x:v>2.0E</x:v>
      </x:c>
      <x:c r="H466" s="13" t="n">
        <x:v>2</x:v>
      </x:c>
      <x:c r="I466" s="12" t="str">
        <x:v>台北市</x:v>
      </x:c>
      <x:c r="J466" s="12" t="str">
        <x:v>500101276</x:v>
      </x:c>
      <x:c r="K466" s="12" t="str">
        <x:v>羅斯福新生南路口</x:v>
      </x:c>
      <x:c r="L466" s="12" t="str">
        <x:v>ZZB* 且調出/調入且車種2.0/2.0E</x:v>
      </x:c>
    </x:row>
    <x:row r="467">
      <x:c r="A467" s="12" t="str">
        <x:v>2026-09-07</x:v>
      </x:c>
      <x:c r="B467" s="12" t="str">
        <x:v>2026-09-07 18:43:33</x:v>
      </x:c>
      <x:c r="C467" s="12" t="str">
        <x:v>18:00</x:v>
      </x:c>
      <x:c r="D467" s="12" t="str">
        <x:v>18–21</x:v>
      </x:c>
      <x:c r="E467" s="12" t="str">
        <x:v>ZZB-0004</x:v>
      </x:c>
      <x:c r="F467" s="12" t="str">
        <x:v>調入</x:v>
      </x:c>
      <x:c r="G467" s="12" t="str">
        <x:v>2.0E</x:v>
      </x:c>
      <x:c r="H467" s="13" t="n">
        <x:v>2</x:v>
      </x:c>
      <x:c r="I467" s="12" t="str">
        <x:v>台北市</x:v>
      </x:c>
      <x:c r="J467" s="12" t="str">
        <x:v>500119055</x:v>
      </x:c>
      <x:c r="K467" s="12" t="str">
        <x:v>臺大樂學館東側</x:v>
      </x:c>
      <x:c r="L467" s="12" t="str">
        <x:v>ZZB* 且調出/調入且車種2.0/2.0E</x:v>
      </x:c>
    </x:row>
    <x:row r="468">
      <x:c r="A468" s="12" t="str">
        <x:v>2026-09-07</x:v>
      </x:c>
      <x:c r="B468" s="12" t="str">
        <x:v>2026-09-07 18:57:40</x:v>
      </x:c>
      <x:c r="C468" s="12" t="str">
        <x:v>18:00</x:v>
      </x:c>
      <x:c r="D468" s="12" t="str">
        <x:v>18–21</x:v>
      </x:c>
      <x:c r="E468" s="12" t="str">
        <x:v>ZZB-0004</x:v>
      </x:c>
      <x:c r="F468" s="12" t="str">
        <x:v>調出</x:v>
      </x:c>
      <x:c r="G468" s="12" t="str">
        <x:v>2.0E</x:v>
      </x:c>
      <x:c r="H468" s="13" t="n">
        <x:v>2</x:v>
      </x:c>
      <x:c r="I468" s="12" t="str">
        <x:v>台北市</x:v>
      </x:c>
      <x:c r="J468" s="12" t="str">
        <x:v>500101276</x:v>
      </x:c>
      <x:c r="K468" s="12" t="str">
        <x:v>羅斯福新生南路口</x:v>
      </x:c>
      <x:c r="L468" s="12" t="str">
        <x:v>ZZB* 且調出/調入且車種2.0/2.0E</x:v>
      </x:c>
    </x:row>
    <x:row r="469">
      <x:c r="A469" s="12" t="str">
        <x:v>2026-09-07</x:v>
      </x:c>
      <x:c r="B469" s="12" t="str">
        <x:v>2026-09-07 19:07:11</x:v>
      </x:c>
      <x:c r="C469" s="12" t="str">
        <x:v>19:00</x:v>
      </x:c>
      <x:c r="D469" s="12" t="str">
        <x:v>18–21</x:v>
      </x:c>
      <x:c r="E469" s="12" t="str">
        <x:v>ZZB-0004</x:v>
      </x:c>
      <x:c r="F469" s="12" t="str">
        <x:v>調入</x:v>
      </x:c>
      <x:c r="G469" s="12" t="str">
        <x:v>2.0E</x:v>
      </x:c>
      <x:c r="H469" s="13" t="n">
        <x:v>2</x:v>
      </x:c>
      <x:c r="I469" s="12" t="str">
        <x:v>台北市</x:v>
      </x:c>
      <x:c r="J469" s="12" t="str">
        <x:v>500119082</x:v>
      </x:c>
      <x:c r="K469" s="12" t="str">
        <x:v>臺大四號館東北側</x:v>
      </x:c>
      <x:c r="L469" s="12" t="str">
        <x:v>ZZB* 且調出/調入且車種2.0/2.0E</x:v>
      </x:c>
    </x:row>
    <x:row r="470">
      <x:c r="A470" s="12" t="str">
        <x:v>2026-09-07</x:v>
      </x:c>
      <x:c r="B470" s="12" t="str">
        <x:v>2026-09-07 20:24:16</x:v>
      </x:c>
      <x:c r="C470" s="12" t="str">
        <x:v>20:00</x:v>
      </x:c>
      <x:c r="D470" s="12" t="str">
        <x:v>18–21</x:v>
      </x:c>
      <x:c r="E470" s="12" t="str">
        <x:v>ZZB-0004</x:v>
      </x:c>
      <x:c r="F470" s="12" t="str">
        <x:v>調出</x:v>
      </x:c>
      <x:c r="G470" s="12" t="str">
        <x:v>2.0E</x:v>
      </x:c>
      <x:c r="H470" s="13" t="n">
        <x:v>2</x:v>
      </x:c>
      <x:c r="I470" s="12" t="str">
        <x:v>台北市</x:v>
      </x:c>
      <x:c r="J470" s="12" t="str">
        <x:v>500101276</x:v>
      </x:c>
      <x:c r="K470" s="12" t="str">
        <x:v>羅斯福新生南路口</x:v>
      </x:c>
      <x:c r="L470" s="12" t="str">
        <x:v>ZZB* 且調出/調入且車種2.0/2.0E</x:v>
      </x:c>
    </x:row>
    <x:row r="471">
      <x:c r="A471" s="12" t="str">
        <x:v>2026-09-07</x:v>
      </x:c>
      <x:c r="B471" s="12" t="str">
        <x:v>2026-09-07 20:35:40</x:v>
      </x:c>
      <x:c r="C471" s="12" t="str">
        <x:v>20:00</x:v>
      </x:c>
      <x:c r="D471" s="12" t="str">
        <x:v>18–21</x:v>
      </x:c>
      <x:c r="E471" s="12" t="str">
        <x:v>ZZB-0004</x:v>
      </x:c>
      <x:c r="F471" s="12" t="str">
        <x:v>調入</x:v>
      </x:c>
      <x:c r="G471" s="12" t="str">
        <x:v>2.0E</x:v>
      </x:c>
      <x:c r="H471" s="13" t="n">
        <x:v>2</x:v>
      </x:c>
      <x:c r="I471" s="12" t="str">
        <x:v>台北市</x:v>
      </x:c>
      <x:c r="J471" s="12" t="str">
        <x:v>500119086</x:v>
      </x:c>
      <x:c r="K471" s="12" t="str">
        <x:v>臺大圖資系館北側</x:v>
      </x:c>
      <x:c r="L471" s="12" t="str">
        <x:v>ZZB* 且調出/調入且車種2.0/2.0E</x:v>
      </x:c>
    </x:row>
    <x:row r="472">
      <x:c r="A472" s="12" t="str">
        <x:v>2026-09-08</x:v>
      </x:c>
      <x:c r="B472" s="12" t="str">
        <x:v>2026-09-08 00:05:04</x:v>
      </x:c>
      <x:c r="C472" s="12" t="str">
        <x:v>00:00</x:v>
      </x:c>
      <x:c r="D472" s="12" t="str">
        <x:v>00–05</x:v>
      </x:c>
      <x:c r="E472" s="12" t="str">
        <x:v>ZZB-0001</x:v>
      </x:c>
      <x:c r="F472" s="12" t="str">
        <x:v>調出</x:v>
      </x:c>
      <x:c r="G472" s="12" t="str">
        <x:v>2.0</x:v>
      </x:c>
      <x:c r="H472" s="13" t="n">
        <x:v>10</x:v>
      </x:c>
      <x:c r="I472" s="12" t="str">
        <x:v>台北市</x:v>
      </x:c>
      <x:c r="J472" s="12" t="str">
        <x:v>500101181</x:v>
      </x:c>
      <x:c r="K472" s="12" t="str">
        <x:v>捷運公館站(3號出口)</x:v>
      </x:c>
      <x:c r="L472" s="12" t="str">
        <x:v>ZZB* 且調出/調入且車種2.0/2.0E</x:v>
      </x:c>
    </x:row>
    <x:row r="473">
      <x:c r="A473" s="12" t="str">
        <x:v>2026-09-08</x:v>
      </x:c>
      <x:c r="B473" s="12" t="str">
        <x:v>2026-09-08 00:05:26</x:v>
      </x:c>
      <x:c r="C473" s="12" t="str">
        <x:v>00:00</x:v>
      </x:c>
      <x:c r="D473" s="12" t="str">
        <x:v>00–05</x:v>
      </x:c>
      <x:c r="E473" s="12" t="str">
        <x:v>ZZB-0001</x:v>
      </x:c>
      <x:c r="F473" s="12" t="str">
        <x:v>調入</x:v>
      </x:c>
      <x:c r="G473" s="12" t="str">
        <x:v>2.0</x:v>
      </x:c>
      <x:c r="H473" s="13" t="n">
        <x:v>10</x:v>
      </x:c>
      <x:c r="I473" s="12" t="str">
        <x:v>台北市</x:v>
      </x:c>
      <x:c r="J473" s="12" t="str">
        <x:v>500101276</x:v>
      </x:c>
      <x:c r="K473" s="12" t="str">
        <x:v>羅斯福新生南路口</x:v>
      </x:c>
      <x:c r="L473" s="12" t="str">
        <x:v>ZZB* 且調出/調入且車種2.0/2.0E</x:v>
      </x:c>
    </x:row>
    <x:row r="474">
      <x:c r="A474" s="12" t="str">
        <x:v>2026-09-08</x:v>
      </x:c>
      <x:c r="B474" s="12" t="str">
        <x:v>2026-09-08 07:45:15</x:v>
      </x:c>
      <x:c r="C474" s="12" t="str">
        <x:v>07:00</x:v>
      </x:c>
      <x:c r="D474" s="12" t="str">
        <x:v>06–09</x:v>
      </x:c>
      <x:c r="E474" s="12" t="str">
        <x:v>ZZB-0001</x:v>
      </x:c>
      <x:c r="F474" s="12" t="str">
        <x:v>調出</x:v>
      </x:c>
      <x:c r="G474" s="12" t="str">
        <x:v>2.0</x:v>
      </x:c>
      <x:c r="H474" s="13" t="n">
        <x:v>7</x:v>
      </x:c>
      <x:c r="I474" s="12" t="str">
        <x:v>台北市</x:v>
      </x:c>
      <x:c r="J474" s="12" t="str">
        <x:v>500119052</x:v>
      </x:c>
      <x:c r="K474" s="12" t="str">
        <x:v>臺大工綜館南側</x:v>
      </x:c>
      <x:c r="L474" s="12" t="str">
        <x:v>ZZB* 且調出/調入且車種2.0/2.0E</x:v>
      </x:c>
    </x:row>
    <x:row r="475">
      <x:c r="A475" s="12" t="str">
        <x:v>2026-09-08</x:v>
      </x:c>
      <x:c r="B475" s="12" t="str">
        <x:v>2026-09-08 07:45:27</x:v>
      </x:c>
      <x:c r="C475" s="12" t="str">
        <x:v>07:00</x:v>
      </x:c>
      <x:c r="D475" s="12" t="str">
        <x:v>06–09</x:v>
      </x:c>
      <x:c r="E475" s="12" t="str">
        <x:v>ZZB-0001</x:v>
      </x:c>
      <x:c r="F475" s="12" t="str">
        <x:v>調入</x:v>
      </x:c>
      <x:c r="G475" s="12" t="str">
        <x:v>2.0</x:v>
      </x:c>
      <x:c r="H475" s="13" t="n">
        <x:v>7</x:v>
      </x:c>
      <x:c r="I475" s="12" t="str">
        <x:v>台北市</x:v>
      </x:c>
      <x:c r="J475" s="12" t="str">
        <x:v>500119061</x:v>
      </x:c>
      <x:c r="K475" s="12" t="str">
        <x:v>臺大鹿鳴堂東側</x:v>
      </x:c>
      <x:c r="L475" s="12" t="str">
        <x:v>ZZB* 且調出/調入且車種2.0/2.0E</x:v>
      </x:c>
    </x:row>
    <x:row r="476">
      <x:c r="A476" s="12" t="str">
        <x:v>2026-09-08</x:v>
      </x:c>
      <x:c r="B476" s="12" t="str">
        <x:v>2026-09-08 08:01:02</x:v>
      </x:c>
      <x:c r="C476" s="12" t="str">
        <x:v>08:00</x:v>
      </x:c>
      <x:c r="D476" s="12" t="str">
        <x:v>06–09</x:v>
      </x:c>
      <x:c r="E476" s="12" t="str">
        <x:v>ZZB-0001</x:v>
      </x:c>
      <x:c r="F476" s="12" t="str">
        <x:v>調出</x:v>
      </x:c>
      <x:c r="G476" s="12" t="str">
        <x:v>2.0</x:v>
      </x:c>
      <x:c r="H476" s="13" t="n">
        <x:v>7</x:v>
      </x:c>
      <x:c r="I476" s="12" t="str">
        <x:v>台北市</x:v>
      </x:c>
      <x:c r="J476" s="12" t="str">
        <x:v>500119087</x:v>
      </x:c>
      <x:c r="K476" s="12" t="str">
        <x:v>臺大總圖書館西南側</x:v>
      </x:c>
      <x:c r="L476" s="12" t="str">
        <x:v>ZZB* 且調出/調入且車種2.0/2.0E</x:v>
      </x:c>
    </x:row>
    <x:row r="477">
      <x:c r="A477" s="12" t="str">
        <x:v>2026-09-08</x:v>
      </x:c>
      <x:c r="B477" s="12" t="str">
        <x:v>2026-09-08 08:01:40</x:v>
      </x:c>
      <x:c r="C477" s="12" t="str">
        <x:v>08:00</x:v>
      </x:c>
      <x:c r="D477" s="12" t="str">
        <x:v>06–09</x:v>
      </x:c>
      <x:c r="E477" s="12" t="str">
        <x:v>ZZB-0001</x:v>
      </x:c>
      <x:c r="F477" s="12" t="str">
        <x:v>調入</x:v>
      </x:c>
      <x:c r="G477" s="12" t="str">
        <x:v>2.0</x:v>
      </x:c>
      <x:c r="H477" s="13" t="n">
        <x:v>7</x:v>
      </x:c>
      <x:c r="I477" s="12" t="str">
        <x:v>台北市</x:v>
      </x:c>
      <x:c r="J477" s="12" t="str">
        <x:v>500119059</x:v>
      </x:c>
      <x:c r="K477" s="12" t="str">
        <x:v>臺大共同教室北側</x:v>
      </x:c>
      <x:c r="L477" s="12" t="str">
        <x:v>ZZB* 且調出/調入且車種2.0/2.0E</x:v>
      </x:c>
    </x:row>
    <x:row r="478">
      <x:c r="A478" s="12" t="str">
        <x:v>2026-09-08</x:v>
      </x:c>
      <x:c r="B478" s="12" t="str">
        <x:v>2026-09-08 08:22:14</x:v>
      </x:c>
      <x:c r="C478" s="12" t="str">
        <x:v>08:00</x:v>
      </x:c>
      <x:c r="D478" s="12" t="str">
        <x:v>06–09</x:v>
      </x:c>
      <x:c r="E478" s="12" t="str">
        <x:v>ZZB-0001</x:v>
      </x:c>
      <x:c r="F478" s="12" t="str">
        <x:v>調出</x:v>
      </x:c>
      <x:c r="G478" s="12" t="str">
        <x:v>2.0</x:v>
      </x:c>
      <x:c r="H478" s="13" t="n">
        <x:v>6</x:v>
      </x:c>
      <x:c r="I478" s="12" t="str">
        <x:v>台北市</x:v>
      </x:c>
      <x:c r="J478" s="12" t="str">
        <x:v>500119086</x:v>
      </x:c>
      <x:c r="K478" s="12" t="str">
        <x:v>臺大圖資系館北側</x:v>
      </x:c>
      <x:c r="L478" s="12" t="str">
        <x:v>ZZB* 且調出/調入且車種2.0/2.0E</x:v>
      </x:c>
    </x:row>
    <x:row r="479">
      <x:c r="A479" s="12" t="str">
        <x:v>2026-09-08</x:v>
      </x:c>
      <x:c r="B479" s="12" t="str">
        <x:v>2026-09-08 08:22:32</x:v>
      </x:c>
      <x:c r="C479" s="12" t="str">
        <x:v>08:00</x:v>
      </x:c>
      <x:c r="D479" s="12" t="str">
        <x:v>06–09</x:v>
      </x:c>
      <x:c r="E479" s="12" t="str">
        <x:v>ZZB-0001</x:v>
      </x:c>
      <x:c r="F479" s="12" t="str">
        <x:v>調入</x:v>
      </x:c>
      <x:c r="G479" s="12" t="str">
        <x:v>2.0</x:v>
      </x:c>
      <x:c r="H479" s="13" t="n">
        <x:v>6</x:v>
      </x:c>
      <x:c r="I479" s="12" t="str">
        <x:v>台北市</x:v>
      </x:c>
      <x:c r="J479" s="12" t="str">
        <x:v>500119074</x:v>
      </x:c>
      <x:c r="K479" s="12" t="str">
        <x:v>臺大生命科學館西北側</x:v>
      </x:c>
      <x:c r="L479" s="12" t="str">
        <x:v>ZZB* 且調出/調入且車種2.0/2.0E</x:v>
      </x:c>
    </x:row>
    <x:row r="480">
      <x:c r="A480" s="12" t="str">
        <x:v>2026-09-08</x:v>
      </x:c>
      <x:c r="B480" s="12" t="str">
        <x:v>2026-09-08 08:40:17</x:v>
      </x:c>
      <x:c r="C480" s="12" t="str">
        <x:v>08:00</x:v>
      </x:c>
      <x:c r="D480" s="12" t="str">
        <x:v>06–09</x:v>
      </x:c>
      <x:c r="E480" s="12" t="str">
        <x:v>ZZB-0001</x:v>
      </x:c>
      <x:c r="F480" s="12" t="str">
        <x:v>調出</x:v>
      </x:c>
      <x:c r="G480" s="12" t="str">
        <x:v>2.0</x:v>
      </x:c>
      <x:c r="H480" s="13" t="n">
        <x:v>7</x:v>
      </x:c>
      <x:c r="I480" s="12" t="str">
        <x:v>台北市</x:v>
      </x:c>
      <x:c r="J480" s="12" t="str">
        <x:v>500119087</x:v>
      </x:c>
      <x:c r="K480" s="12" t="str">
        <x:v>臺大總圖書館西南側</x:v>
      </x:c>
      <x:c r="L480" s="12" t="str">
        <x:v>ZZB* 且調出/調入且車種2.0/2.0E</x:v>
      </x:c>
    </x:row>
    <x:row r="481">
      <x:c r="A481" s="12" t="str">
        <x:v>2026-09-08</x:v>
      </x:c>
      <x:c r="B481" s="12" t="str">
        <x:v>2026-09-08 08:40:40</x:v>
      </x:c>
      <x:c r="C481" s="12" t="str">
        <x:v>08:00</x:v>
      </x:c>
      <x:c r="D481" s="12" t="str">
        <x:v>06–09</x:v>
      </x:c>
      <x:c r="E481" s="12" t="str">
        <x:v>ZZB-0001</x:v>
      </x:c>
      <x:c r="F481" s="12" t="str">
        <x:v>調入</x:v>
      </x:c>
      <x:c r="G481" s="12" t="str">
        <x:v>2.0</x:v>
      </x:c>
      <x:c r="H481" s="13" t="n">
        <x:v>7</x:v>
      </x:c>
      <x:c r="I481" s="12" t="str">
        <x:v>台北市</x:v>
      </x:c>
      <x:c r="J481" s="12" t="str">
        <x:v>500119061</x:v>
      </x:c>
      <x:c r="K481" s="12" t="str">
        <x:v>臺大鹿鳴堂東側</x:v>
      </x:c>
      <x:c r="L481" s="12" t="str">
        <x:v>ZZB* 且調出/調入且車種2.0/2.0E</x:v>
      </x:c>
    </x:row>
    <x:row r="482">
      <x:c r="A482" s="12" t="str">
        <x:v>2026-09-08</x:v>
      </x:c>
      <x:c r="B482" s="12" t="str">
        <x:v>2026-09-08 09:05:48</x:v>
      </x:c>
      <x:c r="C482" s="12" t="str">
        <x:v>09:00</x:v>
      </x:c>
      <x:c r="D482" s="12" t="str">
        <x:v>06–09</x:v>
      </x:c>
      <x:c r="E482" s="12" t="str">
        <x:v>ZZB-0001</x:v>
      </x:c>
      <x:c r="F482" s="12" t="str">
        <x:v>調出</x:v>
      </x:c>
      <x:c r="G482" s="12" t="str">
        <x:v>2.0</x:v>
      </x:c>
      <x:c r="H482" s="13" t="n">
        <x:v>7</x:v>
      </x:c>
      <x:c r="I482" s="12" t="str">
        <x:v>台北市</x:v>
      </x:c>
      <x:c r="J482" s="12" t="str">
        <x:v>500119086</x:v>
      </x:c>
      <x:c r="K482" s="12" t="str">
        <x:v>臺大圖資系館北側</x:v>
      </x:c>
      <x:c r="L482" s="12" t="str">
        <x:v>ZZB* 且調出/調入且車種2.0/2.0E</x:v>
      </x:c>
    </x:row>
    <x:row r="483">
      <x:c r="A483" s="12" t="str">
        <x:v>2026-09-08</x:v>
      </x:c>
      <x:c r="B483" s="12" t="str">
        <x:v>2026-09-08 09:06:06</x:v>
      </x:c>
      <x:c r="C483" s="12" t="str">
        <x:v>09:00</x:v>
      </x:c>
      <x:c r="D483" s="12" t="str">
        <x:v>06–09</x:v>
      </x:c>
      <x:c r="E483" s="12" t="str">
        <x:v>ZZB-0001</x:v>
      </x:c>
      <x:c r="F483" s="12" t="str">
        <x:v>調入</x:v>
      </x:c>
      <x:c r="G483" s="12" t="str">
        <x:v>2.0</x:v>
      </x:c>
      <x:c r="H483" s="13" t="n">
        <x:v>7</x:v>
      </x:c>
      <x:c r="I483" s="12" t="str">
        <x:v>台北市</x:v>
      </x:c>
      <x:c r="J483" s="12" t="str">
        <x:v>500119059</x:v>
      </x:c>
      <x:c r="K483" s="12" t="str">
        <x:v>臺大共同教室北側</x:v>
      </x:c>
      <x:c r="L483" s="12" t="str">
        <x:v>ZZB* 且調出/調入且車種2.0/2.0E</x:v>
      </x:c>
    </x:row>
    <x:row r="484">
      <x:c r="A484" s="12" t="str">
        <x:v>2026-09-08</x:v>
      </x:c>
      <x:c r="B484" s="12" t="str">
        <x:v>2026-09-08 09:29:20</x:v>
      </x:c>
      <x:c r="C484" s="12" t="str">
        <x:v>09:00</x:v>
      </x:c>
      <x:c r="D484" s="12" t="str">
        <x:v>06–09</x:v>
      </x:c>
      <x:c r="E484" s="12" t="str">
        <x:v>ZZB-0001</x:v>
      </x:c>
      <x:c r="F484" s="12" t="str">
        <x:v>調出</x:v>
      </x:c>
      <x:c r="G484" s="12" t="str">
        <x:v>2.0</x:v>
      </x:c>
      <x:c r="H484" s="13" t="n">
        <x:v>7</x:v>
      </x:c>
      <x:c r="I484" s="12" t="str">
        <x:v>台北市</x:v>
      </x:c>
      <x:c r="J484" s="12" t="str">
        <x:v>500119086</x:v>
      </x:c>
      <x:c r="K484" s="12" t="str">
        <x:v>臺大圖資系館北側</x:v>
      </x:c>
      <x:c r="L484" s="12" t="str">
        <x:v>ZZB* 且調出/調入且車種2.0/2.0E</x:v>
      </x:c>
    </x:row>
    <x:row r="485">
      <x:c r="A485" s="12" t="str">
        <x:v>2026-09-08</x:v>
      </x:c>
      <x:c r="B485" s="12" t="str">
        <x:v>2026-09-08 09:29:38</x:v>
      </x:c>
      <x:c r="C485" s="12" t="str">
        <x:v>09:00</x:v>
      </x:c>
      <x:c r="D485" s="12" t="str">
        <x:v>06–09</x:v>
      </x:c>
      <x:c r="E485" s="12" t="str">
        <x:v>ZZB-0001</x:v>
      </x:c>
      <x:c r="F485" s="12" t="str">
        <x:v>調入</x:v>
      </x:c>
      <x:c r="G485" s="12" t="str">
        <x:v>2.0</x:v>
      </x:c>
      <x:c r="H485" s="13" t="n">
        <x:v>7</x:v>
      </x:c>
      <x:c r="I485" s="12" t="str">
        <x:v>台北市</x:v>
      </x:c>
      <x:c r="J485" s="12" t="str">
        <x:v>500119061</x:v>
      </x:c>
      <x:c r="K485" s="12" t="str">
        <x:v>臺大鹿鳴堂東側</x:v>
      </x:c>
      <x:c r="L485" s="12" t="str">
        <x:v>ZZB* 且調出/調入且車種2.0/2.0E</x:v>
      </x:c>
    </x:row>
    <x:row r="486">
      <x:c r="A486" s="12" t="str">
        <x:v>2026-09-08</x:v>
      </x:c>
      <x:c r="B486" s="12" t="str">
        <x:v>2026-09-08 09:47:04</x:v>
      </x:c>
      <x:c r="C486" s="12" t="str">
        <x:v>09:00</x:v>
      </x:c>
      <x:c r="D486" s="12" t="str">
        <x:v>06–09</x:v>
      </x:c>
      <x:c r="E486" s="12" t="str">
        <x:v>ZZB-0001</x:v>
      </x:c>
      <x:c r="F486" s="12" t="str">
        <x:v>調出</x:v>
      </x:c>
      <x:c r="G486" s="12" t="str">
        <x:v>2.0</x:v>
      </x:c>
      <x:c r="H486" s="13" t="n">
        <x:v>6</x:v>
      </x:c>
      <x:c r="I486" s="12" t="str">
        <x:v>台北市</x:v>
      </x:c>
      <x:c r="J486" s="12" t="str">
        <x:v>500119086</x:v>
      </x:c>
      <x:c r="K486" s="12" t="str">
        <x:v>臺大圖資系館北側</x:v>
      </x:c>
      <x:c r="L486" s="12" t="str">
        <x:v>ZZB* 且調出/調入且車種2.0/2.0E</x:v>
      </x:c>
    </x:row>
    <x:row r="487">
      <x:c r="A487" s="12" t="str">
        <x:v>2026-09-08</x:v>
      </x:c>
      <x:c r="B487" s="12" t="str">
        <x:v>2026-09-08 09:47:21</x:v>
      </x:c>
      <x:c r="C487" s="12" t="str">
        <x:v>09:00</x:v>
      </x:c>
      <x:c r="D487" s="12" t="str">
        <x:v>06–09</x:v>
      </x:c>
      <x:c r="E487" s="12" t="str">
        <x:v>ZZB-0001</x:v>
      </x:c>
      <x:c r="F487" s="12" t="str">
        <x:v>調入</x:v>
      </x:c>
      <x:c r="G487" s="12" t="str">
        <x:v>2.0</x:v>
      </x:c>
      <x:c r="H487" s="13" t="n">
        <x:v>6</x:v>
      </x:c>
      <x:c r="I487" s="12" t="str">
        <x:v>台北市</x:v>
      </x:c>
      <x:c r="J487" s="12" t="str">
        <x:v>500119059</x:v>
      </x:c>
      <x:c r="K487" s="12" t="str">
        <x:v>臺大共同教室北側</x:v>
      </x:c>
      <x:c r="L487" s="12" t="str">
        <x:v>ZZB* 且調出/調入且車種2.0/2.0E</x:v>
      </x:c>
    </x:row>
    <x:row r="488">
      <x:c r="A488" s="12" t="str">
        <x:v>2026-09-08</x:v>
      </x:c>
      <x:c r="B488" s="12" t="str">
        <x:v>2026-09-08 10:10:04</x:v>
      </x:c>
      <x:c r="C488" s="12" t="str">
        <x:v>10:00</x:v>
      </x:c>
      <x:c r="D488" s="12" t="str">
        <x:v>10–13</x:v>
      </x:c>
      <x:c r="E488" s="12" t="str">
        <x:v>ZZB-0001</x:v>
      </x:c>
      <x:c r="F488" s="12" t="str">
        <x:v>調出</x:v>
      </x:c>
      <x:c r="G488" s="12" t="str">
        <x:v>2.0</x:v>
      </x:c>
      <x:c r="H488" s="13" t="n">
        <x:v>6</x:v>
      </x:c>
      <x:c r="I488" s="12" t="str">
        <x:v>台北市</x:v>
      </x:c>
      <x:c r="J488" s="12" t="str">
        <x:v>500119083</x:v>
      </x:c>
      <x:c r="K488" s="12" t="str">
        <x:v>臺大新生教室南側</x:v>
      </x:c>
      <x:c r="L488" s="12" t="str">
        <x:v>ZZB* 且調出/調入且車種2.0/2.0E</x:v>
      </x:c>
    </x:row>
    <x:row r="489">
      <x:c r="A489" s="12" t="str">
        <x:v>2026-09-08</x:v>
      </x:c>
      <x:c r="B489" s="12" t="str">
        <x:v>2026-09-08 10:10:22</x:v>
      </x:c>
      <x:c r="C489" s="12" t="str">
        <x:v>10:00</x:v>
      </x:c>
      <x:c r="D489" s="12" t="str">
        <x:v>10–13</x:v>
      </x:c>
      <x:c r="E489" s="12" t="str">
        <x:v>ZZB-0001</x:v>
      </x:c>
      <x:c r="F489" s="12" t="str">
        <x:v>調入</x:v>
      </x:c>
      <x:c r="G489" s="12" t="str">
        <x:v>2.0</x:v>
      </x:c>
      <x:c r="H489" s="13" t="n">
        <x:v>6</x:v>
      </x:c>
      <x:c r="I489" s="12" t="str">
        <x:v>台北市</x:v>
      </x:c>
      <x:c r="J489" s="12" t="str">
        <x:v>500119070</x:v>
      </x:c>
      <x:c r="K489" s="12" t="str">
        <x:v>臺大椰林小舖</x:v>
      </x:c>
      <x:c r="L489" s="12" t="str">
        <x:v>ZZB* 且調出/調入且車種2.0/2.0E</x:v>
      </x:c>
    </x:row>
    <x:row r="490">
      <x:c r="A490" s="12" t="str">
        <x:v>2026-09-08</x:v>
      </x:c>
      <x:c r="B490" s="12" t="str">
        <x:v>2026-09-08 10:34:08</x:v>
      </x:c>
      <x:c r="C490" s="12" t="str">
        <x:v>10:00</x:v>
      </x:c>
      <x:c r="D490" s="12" t="str">
        <x:v>10–13</x:v>
      </x:c>
      <x:c r="E490" s="12" t="str">
        <x:v>ZZB-0001</x:v>
      </x:c>
      <x:c r="F490" s="12" t="str">
        <x:v>調出</x:v>
      </x:c>
      <x:c r="G490" s="12" t="str">
        <x:v>2.0</x:v>
      </x:c>
      <x:c r="H490" s="13" t="n">
        <x:v>5</x:v>
      </x:c>
      <x:c r="I490" s="12" t="str">
        <x:v>台北市</x:v>
      </x:c>
      <x:c r="J490" s="12" t="str">
        <x:v>500119098</x:v>
      </x:c>
      <x:c r="K490" s="12" t="str">
        <x:v>臺大數學研究中心(東側)</x:v>
      </x:c>
      <x:c r="L490" s="12" t="str">
        <x:v>ZZB* 且調出/調入且車種2.0/2.0E</x:v>
      </x:c>
    </x:row>
    <x:row r="491">
      <x:c r="A491" s="12" t="str">
        <x:v>2026-09-08</x:v>
      </x:c>
      <x:c r="B491" s="12" t="str">
        <x:v>2026-09-08 10:34:29</x:v>
      </x:c>
      <x:c r="C491" s="12" t="str">
        <x:v>10:00</x:v>
      </x:c>
      <x:c r="D491" s="12" t="str">
        <x:v>10–13</x:v>
      </x:c>
      <x:c r="E491" s="12" t="str">
        <x:v>ZZB-0001</x:v>
      </x:c>
      <x:c r="F491" s="12" t="str">
        <x:v>調入</x:v>
      </x:c>
      <x:c r="G491" s="12" t="str">
        <x:v>2.0</x:v>
      </x:c>
      <x:c r="H491" s="13" t="n">
        <x:v>5</x:v>
      </x:c>
      <x:c r="I491" s="12" t="str">
        <x:v>台北市</x:v>
      </x:c>
      <x:c r="J491" s="12" t="str">
        <x:v>500119060</x:v>
      </x:c>
      <x:c r="K491" s="12" t="str">
        <x:v>臺大共同教室東南側</x:v>
      </x:c>
      <x:c r="L491" s="12" t="str">
        <x:v>ZZB* 且調出/調入且車種2.0/2.0E</x:v>
      </x:c>
    </x:row>
    <x:row r="492">
      <x:c r="A492" s="12" t="str">
        <x:v>2026-09-08</x:v>
      </x:c>
      <x:c r="B492" s="12" t="str">
        <x:v>2026-09-08 10:55:03</x:v>
      </x:c>
      <x:c r="C492" s="12" t="str">
        <x:v>10:00</x:v>
      </x:c>
      <x:c r="D492" s="12" t="str">
        <x:v>10–13</x:v>
      </x:c>
      <x:c r="E492" s="12" t="str">
        <x:v>ZZB-0001</x:v>
      </x:c>
      <x:c r="F492" s="12" t="str">
        <x:v>調出</x:v>
      </x:c>
      <x:c r="G492" s="12" t="str">
        <x:v>2.0</x:v>
      </x:c>
      <x:c r="H492" s="13" t="n">
        <x:v>5</x:v>
      </x:c>
      <x:c r="I492" s="12" t="str">
        <x:v>台北市</x:v>
      </x:c>
      <x:c r="J492" s="12" t="str">
        <x:v>500119087</x:v>
      </x:c>
      <x:c r="K492" s="12" t="str">
        <x:v>臺大總圖書館西南側</x:v>
      </x:c>
      <x:c r="L492" s="12" t="str">
        <x:v>ZZB* 且調出/調入且車種2.0/2.0E</x:v>
      </x:c>
    </x:row>
    <x:row r="493">
      <x:c r="A493" s="12" t="str">
        <x:v>2026-09-08</x:v>
      </x:c>
      <x:c r="B493" s="12" t="str">
        <x:v>2026-09-08 10:55:18</x:v>
      </x:c>
      <x:c r="C493" s="12" t="str">
        <x:v>10:00</x:v>
      </x:c>
      <x:c r="D493" s="12" t="str">
        <x:v>10–13</x:v>
      </x:c>
      <x:c r="E493" s="12" t="str">
        <x:v>ZZB-0001</x:v>
      </x:c>
      <x:c r="F493" s="12" t="str">
        <x:v>調入</x:v>
      </x:c>
      <x:c r="G493" s="12" t="str">
        <x:v>2.0</x:v>
      </x:c>
      <x:c r="H493" s="13" t="n">
        <x:v>5</x:v>
      </x:c>
      <x:c r="I493" s="12" t="str">
        <x:v>台北市</x:v>
      </x:c>
      <x:c r="J493" s="12" t="str">
        <x:v>500119094</x:v>
      </x:c>
      <x:c r="K493" s="12" t="str">
        <x:v>臺大大一女餐廳廣場</x:v>
      </x:c>
      <x:c r="L493" s="12" t="str">
        <x:v>ZZB* 且調出/調入且車種2.0/2.0E</x:v>
      </x:c>
    </x:row>
    <x:row r="494">
      <x:c r="A494" s="12" t="str">
        <x:v>2026-09-08</x:v>
      </x:c>
      <x:c r="B494" s="12" t="str">
        <x:v>2026-09-08 11:22:17</x:v>
      </x:c>
      <x:c r="C494" s="12" t="str">
        <x:v>11:00</x:v>
      </x:c>
      <x:c r="D494" s="12" t="str">
        <x:v>10–13</x:v>
      </x:c>
      <x:c r="E494" s="12" t="str">
        <x:v>ZZB-0001</x:v>
      </x:c>
      <x:c r="F494" s="12" t="str">
        <x:v>調出</x:v>
      </x:c>
      <x:c r="G494" s="12" t="str">
        <x:v>2.0</x:v>
      </x:c>
      <x:c r="H494" s="13" t="n">
        <x:v>5</x:v>
      </x:c>
      <x:c r="I494" s="12" t="str">
        <x:v>台北市</x:v>
      </x:c>
      <x:c r="J494" s="12" t="str">
        <x:v>500119087</x:v>
      </x:c>
      <x:c r="K494" s="12" t="str">
        <x:v>臺大總圖書館西南側</x:v>
      </x:c>
      <x:c r="L494" s="12" t="str">
        <x:v>ZZB* 且調出/調入且車種2.0/2.0E</x:v>
      </x:c>
    </x:row>
    <x:row r="495">
      <x:c r="A495" s="12" t="str">
        <x:v>2026-09-08</x:v>
      </x:c>
      <x:c r="B495" s="12" t="str">
        <x:v>2026-09-08 11:22:30</x:v>
      </x:c>
      <x:c r="C495" s="12" t="str">
        <x:v>11:00</x:v>
      </x:c>
      <x:c r="D495" s="12" t="str">
        <x:v>10–13</x:v>
      </x:c>
      <x:c r="E495" s="12" t="str">
        <x:v>ZZB-0001</x:v>
      </x:c>
      <x:c r="F495" s="12" t="str">
        <x:v>調入</x:v>
      </x:c>
      <x:c r="G495" s="12" t="str">
        <x:v>2.0</x:v>
      </x:c>
      <x:c r="H495" s="13" t="n">
        <x:v>5</x:v>
      </x:c>
      <x:c r="I495" s="12" t="str">
        <x:v>台北市</x:v>
      </x:c>
      <x:c r="J495" s="12" t="str">
        <x:v>500119091</x:v>
      </x:c>
      <x:c r="K495" s="12" t="str">
        <x:v>臺大明達館北側(員工宿舍)</x:v>
      </x:c>
      <x:c r="L495" s="12" t="str">
        <x:v>ZZB* 且調出/調入且車種2.0/2.0E</x:v>
      </x:c>
    </x:row>
    <x:row r="496">
      <x:c r="A496" s="12" t="str">
        <x:v>2026-09-08</x:v>
      </x:c>
      <x:c r="B496" s="12" t="str">
        <x:v>2026-09-08 12:30:38</x:v>
      </x:c>
      <x:c r="C496" s="12" t="str">
        <x:v>12:00</x:v>
      </x:c>
      <x:c r="D496" s="12" t="str">
        <x:v>10–13</x:v>
      </x:c>
      <x:c r="E496" s="12" t="str">
        <x:v>ZZB-0001</x:v>
      </x:c>
      <x:c r="F496" s="12" t="str">
        <x:v>調出</x:v>
      </x:c>
      <x:c r="G496" s="12" t="str">
        <x:v>2.0</x:v>
      </x:c>
      <x:c r="H496" s="13" t="n">
        <x:v>6</x:v>
      </x:c>
      <x:c r="I496" s="12" t="str">
        <x:v>台北市</x:v>
      </x:c>
      <x:c r="J496" s="12" t="str">
        <x:v>500119071</x:v>
      </x:c>
      <x:c r="K496" s="12" t="str">
        <x:v>臺大計資中心南側</x:v>
      </x:c>
      <x:c r="L496" s="12" t="str">
        <x:v>ZZB* 且調出/調入且車種2.0/2.0E</x:v>
      </x:c>
    </x:row>
    <x:row r="497">
      <x:c r="A497" s="12" t="str">
        <x:v>2026-09-08</x:v>
      </x:c>
      <x:c r="B497" s="12" t="str">
        <x:v>2026-09-08 12:30:53</x:v>
      </x:c>
      <x:c r="C497" s="12" t="str">
        <x:v>12:00</x:v>
      </x:c>
      <x:c r="D497" s="12" t="str">
        <x:v>10–13</x:v>
      </x:c>
      <x:c r="E497" s="12" t="str">
        <x:v>ZZB-0001</x:v>
      </x:c>
      <x:c r="F497" s="12" t="str">
        <x:v>調入</x:v>
      </x:c>
      <x:c r="G497" s="12" t="str">
        <x:v>2.0</x:v>
      </x:c>
      <x:c r="H497" s="13" t="n">
        <x:v>6</x:v>
      </x:c>
      <x:c r="I497" s="12" t="str">
        <x:v>台北市</x:v>
      </x:c>
      <x:c r="J497" s="12" t="str">
        <x:v>500119083</x:v>
      </x:c>
      <x:c r="K497" s="12" t="str">
        <x:v>臺大新生教室南側</x:v>
      </x:c>
      <x:c r="L497" s="12" t="str">
        <x:v>ZZB* 且調出/調入且車種2.0/2.0E</x:v>
      </x:c>
    </x:row>
    <x:row r="498">
      <x:c r="A498" s="12" t="str">
        <x:v>2026-09-08</x:v>
      </x:c>
      <x:c r="B498" s="12" t="str">
        <x:v>2026-09-08 13:17:30</x:v>
      </x:c>
      <x:c r="C498" s="12" t="str">
        <x:v>13:00</x:v>
      </x:c>
      <x:c r="D498" s="12" t="str">
        <x:v>10–13</x:v>
      </x:c>
      <x:c r="E498" s="12" t="str">
        <x:v>ZZB-0001</x:v>
      </x:c>
      <x:c r="F498" s="12" t="str">
        <x:v>調出</x:v>
      </x:c>
      <x:c r="G498" s="12" t="str">
        <x:v>2.0</x:v>
      </x:c>
      <x:c r="H498" s="13" t="n">
        <x:v>5</x:v>
      </x:c>
      <x:c r="I498" s="12" t="str">
        <x:v>台北市</x:v>
      </x:c>
      <x:c r="J498" s="12" t="str">
        <x:v>500119087</x:v>
      </x:c>
      <x:c r="K498" s="12" t="str">
        <x:v>臺大總圖書館西南側</x:v>
      </x:c>
      <x:c r="L498" s="12" t="str">
        <x:v>ZZB* 且調出/調入且車種2.0/2.0E</x:v>
      </x:c>
    </x:row>
    <x:row r="499">
      <x:c r="A499" s="12" t="str">
        <x:v>2026-09-08</x:v>
      </x:c>
      <x:c r="B499" s="12" t="str">
        <x:v>2026-09-08 13:17:44</x:v>
      </x:c>
      <x:c r="C499" s="12" t="str">
        <x:v>13:00</x:v>
      </x:c>
      <x:c r="D499" s="12" t="str">
        <x:v>10–13</x:v>
      </x:c>
      <x:c r="E499" s="12" t="str">
        <x:v>ZZB-0001</x:v>
      </x:c>
      <x:c r="F499" s="12" t="str">
        <x:v>調入</x:v>
      </x:c>
      <x:c r="G499" s="12" t="str">
        <x:v>2.0</x:v>
      </x:c>
      <x:c r="H499" s="13" t="n">
        <x:v>5</x:v>
      </x:c>
      <x:c r="I499" s="12" t="str">
        <x:v>台北市</x:v>
      </x:c>
      <x:c r="J499" s="12" t="str">
        <x:v>500119074</x:v>
      </x:c>
      <x:c r="K499" s="12" t="str">
        <x:v>臺大生命科學館西北側</x:v>
      </x:c>
      <x:c r="L499" s="12" t="str">
        <x:v>ZZB* 且調出/調入且車種2.0/2.0E</x:v>
      </x:c>
    </x:row>
    <x:row r="500">
      <x:c r="A500" s="12" t="str">
        <x:v>2026-09-08</x:v>
      </x:c>
      <x:c r="B500" s="12" t="str">
        <x:v>2026-09-08 13:40:29</x:v>
      </x:c>
      <x:c r="C500" s="12" t="str">
        <x:v>13:00</x:v>
      </x:c>
      <x:c r="D500" s="12" t="str">
        <x:v>10–13</x:v>
      </x:c>
      <x:c r="E500" s="12" t="str">
        <x:v>ZZB-0001</x:v>
      </x:c>
      <x:c r="F500" s="12" t="str">
        <x:v>調出</x:v>
      </x:c>
      <x:c r="G500" s="12" t="str">
        <x:v>2.0</x:v>
      </x:c>
      <x:c r="H500" s="13" t="n">
        <x:v>7</x:v>
      </x:c>
      <x:c r="I500" s="12" t="str">
        <x:v>台北市</x:v>
      </x:c>
      <x:c r="J500" s="12" t="str">
        <x:v>500119086</x:v>
      </x:c>
      <x:c r="K500" s="12" t="str">
        <x:v>臺大圖資系館北側</x:v>
      </x:c>
      <x:c r="L500" s="12" t="str">
        <x:v>ZZB* 且調出/調入且車種2.0/2.0E</x:v>
      </x:c>
    </x:row>
    <x:row r="501">
      <x:c r="A501" s="12" t="str">
        <x:v>2026-09-08</x:v>
      </x:c>
      <x:c r="B501" s="12" t="str">
        <x:v>2026-09-08 13:40:45</x:v>
      </x:c>
      <x:c r="C501" s="12" t="str">
        <x:v>13:00</x:v>
      </x:c>
      <x:c r="D501" s="12" t="str">
        <x:v>10–13</x:v>
      </x:c>
      <x:c r="E501" s="12" t="str">
        <x:v>ZZB-0001</x:v>
      </x:c>
      <x:c r="F501" s="12" t="str">
        <x:v>調入</x:v>
      </x:c>
      <x:c r="G501" s="12" t="str">
        <x:v>2.0</x:v>
      </x:c>
      <x:c r="H501" s="13" t="n">
        <x:v>7</x:v>
      </x:c>
      <x:c r="I501" s="12" t="str">
        <x:v>台北市</x:v>
      </x:c>
      <x:c r="J501" s="12" t="str">
        <x:v>500119060</x:v>
      </x:c>
      <x:c r="K501" s="12" t="str">
        <x:v>臺大共同教室東南側</x:v>
      </x:c>
      <x:c r="L501" s="12" t="str">
        <x:v>ZZB* 且調出/調入且車種2.0/2.0E</x:v>
      </x:c>
    </x:row>
    <x:row r="502">
      <x:c r="A502" s="12" t="str">
        <x:v>2026-09-08</x:v>
      </x:c>
      <x:c r="B502" s="12" t="str">
        <x:v>2026-09-08 14:07:07</x:v>
      </x:c>
      <x:c r="C502" s="12" t="str">
        <x:v>14:00</x:v>
      </x:c>
      <x:c r="D502" s="12" t="str">
        <x:v>14–17</x:v>
      </x:c>
      <x:c r="E502" s="12" t="str">
        <x:v>ZZB-0001</x:v>
      </x:c>
      <x:c r="F502" s="12" t="str">
        <x:v>調出</x:v>
      </x:c>
      <x:c r="G502" s="12" t="str">
        <x:v>2.0</x:v>
      </x:c>
      <x:c r="H502" s="13" t="n">
        <x:v>2</x:v>
      </x:c>
      <x:c r="I502" s="12" t="str">
        <x:v>台北市</x:v>
      </x:c>
      <x:c r="J502" s="12" t="str">
        <x:v>500119087</x:v>
      </x:c>
      <x:c r="K502" s="12" t="str">
        <x:v>臺大總圖書館西南側</x:v>
      </x:c>
      <x:c r="L502" s="12" t="str">
        <x:v>ZZB* 且調出/調入且車種2.0/2.0E</x:v>
      </x:c>
    </x:row>
    <x:row r="503">
      <x:c r="A503" s="12" t="str">
        <x:v>2026-09-08</x:v>
      </x:c>
      <x:c r="B503" s="12" t="str">
        <x:v>2026-09-08 14:07:22</x:v>
      </x:c>
      <x:c r="C503" s="12" t="str">
        <x:v>14:00</x:v>
      </x:c>
      <x:c r="D503" s="12" t="str">
        <x:v>14–17</x:v>
      </x:c>
      <x:c r="E503" s="12" t="str">
        <x:v>ZZB-0001</x:v>
      </x:c>
      <x:c r="F503" s="12" t="str">
        <x:v>調出</x:v>
      </x:c>
      <x:c r="G503" s="12" t="str">
        <x:v>2.0</x:v>
      </x:c>
      <x:c r="H503" s="13" t="n">
        <x:v>5</x:v>
      </x:c>
      <x:c r="I503" s="12" t="str">
        <x:v>台北市</x:v>
      </x:c>
      <x:c r="J503" s="12" t="str">
        <x:v>500119086</x:v>
      </x:c>
      <x:c r="K503" s="12" t="str">
        <x:v>臺大圖資系館北側</x:v>
      </x:c>
      <x:c r="L503" s="12" t="str">
        <x:v>ZZB* 且調出/調入且車種2.0/2.0E</x:v>
      </x:c>
    </x:row>
    <x:row r="504">
      <x:c r="A504" s="12" t="str">
        <x:v>2026-09-08</x:v>
      </x:c>
      <x:c r="B504" s="12" t="str">
        <x:v>2026-09-08 14:07:38</x:v>
      </x:c>
      <x:c r="C504" s="12" t="str">
        <x:v>14:00</x:v>
      </x:c>
      <x:c r="D504" s="12" t="str">
        <x:v>14–17</x:v>
      </x:c>
      <x:c r="E504" s="12" t="str">
        <x:v>ZZB-0001</x:v>
      </x:c>
      <x:c r="F504" s="12" t="str">
        <x:v>調入</x:v>
      </x:c>
      <x:c r="G504" s="12" t="str">
        <x:v>2.0</x:v>
      </x:c>
      <x:c r="H504" s="13" t="n">
        <x:v>7</x:v>
      </x:c>
      <x:c r="I504" s="12" t="str">
        <x:v>台北市</x:v>
      </x:c>
      <x:c r="J504" s="12" t="str">
        <x:v>500119094</x:v>
      </x:c>
      <x:c r="K504" s="12" t="str">
        <x:v>臺大大一女餐廳廣場</x:v>
      </x:c>
      <x:c r="L504" s="12" t="str">
        <x:v>ZZB* 且調出/調入且車種2.0/2.0E</x:v>
      </x:c>
    </x:row>
    <x:row r="505">
      <x:c r="A505" s="12" t="str">
        <x:v>2026-09-08</x:v>
      </x:c>
      <x:c r="B505" s="12" t="str">
        <x:v>2026-09-08 14:21:48</x:v>
      </x:c>
      <x:c r="C505" s="12" t="str">
        <x:v>14:00</x:v>
      </x:c>
      <x:c r="D505" s="12" t="str">
        <x:v>14–17</x:v>
      </x:c>
      <x:c r="E505" s="12" t="str">
        <x:v>ZZB-0001</x:v>
      </x:c>
      <x:c r="F505" s="12" t="str">
        <x:v>調出</x:v>
      </x:c>
      <x:c r="G505" s="12" t="str">
        <x:v>2.0</x:v>
      </x:c>
      <x:c r="H505" s="13" t="n">
        <x:v>3</x:v>
      </x:c>
      <x:c r="I505" s="12" t="str">
        <x:v>台北市</x:v>
      </x:c>
      <x:c r="J505" s="12" t="str">
        <x:v>500119087</x:v>
      </x:c>
      <x:c r="K505" s="12" t="str">
        <x:v>臺大總圖書館西南側</x:v>
      </x:c>
      <x:c r="L505" s="12" t="str">
        <x:v>ZZB* 且調出/調入且車種2.0/2.0E</x:v>
      </x:c>
    </x:row>
    <x:row r="506">
      <x:c r="A506" s="12" t="str">
        <x:v>2026-09-08</x:v>
      </x:c>
      <x:c r="B506" s="12" t="str">
        <x:v>2026-09-08 14:22:00</x:v>
      </x:c>
      <x:c r="C506" s="12" t="str">
        <x:v>14:00</x:v>
      </x:c>
      <x:c r="D506" s="12" t="str">
        <x:v>14–17</x:v>
      </x:c>
      <x:c r="E506" s="12" t="str">
        <x:v>ZZB-0001</x:v>
      </x:c>
      <x:c r="F506" s="12" t="str">
        <x:v>調入</x:v>
      </x:c>
      <x:c r="G506" s="12" t="str">
        <x:v>2.0</x:v>
      </x:c>
      <x:c r="H506" s="13" t="n">
        <x:v>3</x:v>
      </x:c>
      <x:c r="I506" s="12" t="str">
        <x:v>台北市</x:v>
      </x:c>
      <x:c r="J506" s="12" t="str">
        <x:v>500119091</x:v>
      </x:c>
      <x:c r="K506" s="12" t="str">
        <x:v>臺大明達館北側(員工宿舍)</x:v>
      </x:c>
      <x:c r="L506" s="12" t="str">
        <x:v>ZZB* 且調出/調入且車種2.0/2.0E</x:v>
      </x:c>
    </x:row>
    <x:row r="507">
      <x:c r="A507" s="12" t="str">
        <x:v>2026-09-08</x:v>
      </x:c>
      <x:c r="B507" s="12" t="str">
        <x:v>2026-09-08 17:53:00</x:v>
      </x:c>
      <x:c r="C507" s="12" t="str">
        <x:v>17:00</x:v>
      </x:c>
      <x:c r="D507" s="12" t="str">
        <x:v>14–17</x:v>
      </x:c>
      <x:c r="E507" s="12" t="str">
        <x:v>ZZB-0001</x:v>
      </x:c>
      <x:c r="F507" s="12" t="str">
        <x:v>調出</x:v>
      </x:c>
      <x:c r="G507" s="12" t="str">
        <x:v>2.0</x:v>
      </x:c>
      <x:c r="H507" s="13" t="n">
        <x:v>7</x:v>
      </x:c>
      <x:c r="I507" s="12" t="str">
        <x:v>台北市</x:v>
      </x:c>
      <x:c r="J507" s="12" t="str">
        <x:v>500119048</x:v>
      </x:c>
      <x:c r="K507" s="12" t="str">
        <x:v>臺大大一女舍北側</x:v>
      </x:c>
      <x:c r="L507" s="12" t="str">
        <x:v>ZZB* 且調出/調入且車種2.0/2.0E</x:v>
      </x:c>
    </x:row>
    <x:row r="508">
      <x:c r="A508" s="12" t="str">
        <x:v>2026-09-08</x:v>
      </x:c>
      <x:c r="B508" s="12" t="str">
        <x:v>2026-09-08 17:53:12</x:v>
      </x:c>
      <x:c r="C508" s="12" t="str">
        <x:v>17:00</x:v>
      </x:c>
      <x:c r="D508" s="12" t="str">
        <x:v>14–17</x:v>
      </x:c>
      <x:c r="E508" s="12" t="str">
        <x:v>ZZB-0001</x:v>
      </x:c>
      <x:c r="F508" s="12" t="str">
        <x:v>調入</x:v>
      </x:c>
      <x:c r="G508" s="12" t="str">
        <x:v>2.0</x:v>
      </x:c>
      <x:c r="H508" s="13" t="n">
        <x:v>7</x:v>
      </x:c>
      <x:c r="I508" s="12" t="str">
        <x:v>台北市</x:v>
      </x:c>
      <x:c r="J508" s="12" t="str">
        <x:v>500119059</x:v>
      </x:c>
      <x:c r="K508" s="12" t="str">
        <x:v>臺大共同教室北側</x:v>
      </x:c>
      <x:c r="L508" s="12" t="str">
        <x:v>ZZB* 且調出/調入且車種2.0/2.0E</x:v>
      </x:c>
    </x:row>
    <x:row r="509">
      <x:c r="A509" s="12" t="str">
        <x:v>2026-09-08</x:v>
      </x:c>
      <x:c r="B509" s="12" t="str">
        <x:v>2026-09-08 18:38:16</x:v>
      </x:c>
      <x:c r="C509" s="12" t="str">
        <x:v>18:00</x:v>
      </x:c>
      <x:c r="D509" s="12" t="str">
        <x:v>18–21</x:v>
      </x:c>
      <x:c r="E509" s="12" t="str">
        <x:v>ZZB-0001</x:v>
      </x:c>
      <x:c r="F509" s="12" t="str">
        <x:v>調出</x:v>
      </x:c>
      <x:c r="G509" s="12" t="str">
        <x:v>2.0</x:v>
      </x:c>
      <x:c r="H509" s="13" t="n">
        <x:v>7</x:v>
      </x:c>
      <x:c r="I509" s="12" t="str">
        <x:v>台北市</x:v>
      </x:c>
      <x:c r="J509" s="12" t="str">
        <x:v>500101276</x:v>
      </x:c>
      <x:c r="K509" s="12" t="str">
        <x:v>羅斯福新生南路口</x:v>
      </x:c>
      <x:c r="L509" s="12" t="str">
        <x:v>ZZB* 且調出/調入且車種2.0/2.0E</x:v>
      </x:c>
    </x:row>
    <x:row r="510">
      <x:c r="A510" s="12" t="str">
        <x:v>2026-09-08</x:v>
      </x:c>
      <x:c r="B510" s="12" t="str">
        <x:v>2026-09-08 18:38:30</x:v>
      </x:c>
      <x:c r="C510" s="12" t="str">
        <x:v>18:00</x:v>
      </x:c>
      <x:c r="D510" s="12" t="str">
        <x:v>18–21</x:v>
      </x:c>
      <x:c r="E510" s="12" t="str">
        <x:v>ZZB-0001</x:v>
      </x:c>
      <x:c r="F510" s="12" t="str">
        <x:v>調入</x:v>
      </x:c>
      <x:c r="G510" s="12" t="str">
        <x:v>2.0</x:v>
      </x:c>
      <x:c r="H510" s="13" t="n">
        <x:v>7</x:v>
      </x:c>
      <x:c r="I510" s="12" t="str">
        <x:v>台北市</x:v>
      </x:c>
      <x:c r="J510" s="12" t="str">
        <x:v>500119082</x:v>
      </x:c>
      <x:c r="K510" s="12" t="str">
        <x:v>臺大四號館東北側</x:v>
      </x:c>
      <x:c r="L510" s="12" t="str">
        <x:v>ZZB* 且調出/調入且車種2.0/2.0E</x:v>
      </x:c>
    </x:row>
    <x:row r="511">
      <x:c r="A511" s="12" t="str">
        <x:v>2026-09-08</x:v>
      </x:c>
      <x:c r="B511" s="12" t="str">
        <x:v>2026-09-08 18:58:22</x:v>
      </x:c>
      <x:c r="C511" s="12" t="str">
        <x:v>18:00</x:v>
      </x:c>
      <x:c r="D511" s="12" t="str">
        <x:v>18–21</x:v>
      </x:c>
      <x:c r="E511" s="12" t="str">
        <x:v>ZZB-0001</x:v>
      </x:c>
      <x:c r="F511" s="12" t="str">
        <x:v>調出</x:v>
      </x:c>
      <x:c r="G511" s="12" t="str">
        <x:v>2.0</x:v>
      </x:c>
      <x:c r="H511" s="13" t="n">
        <x:v>7</x:v>
      </x:c>
      <x:c r="I511" s="12" t="str">
        <x:v>台北市</x:v>
      </x:c>
      <x:c r="J511" s="12" t="str">
        <x:v>500101276</x:v>
      </x:c>
      <x:c r="K511" s="12" t="str">
        <x:v>羅斯福新生南路口</x:v>
      </x:c>
      <x:c r="L511" s="12" t="str">
        <x:v>ZZB* 且調出/調入且車種2.0/2.0E</x:v>
      </x:c>
    </x:row>
    <x:row r="512">
      <x:c r="A512" s="12" t="str">
        <x:v>2026-09-08</x:v>
      </x:c>
      <x:c r="B512" s="12" t="str">
        <x:v>2026-09-08 18:58:41</x:v>
      </x:c>
      <x:c r="C512" s="12" t="str">
        <x:v>18:00</x:v>
      </x:c>
      <x:c r="D512" s="12" t="str">
        <x:v>18–21</x:v>
      </x:c>
      <x:c r="E512" s="12" t="str">
        <x:v>ZZB-0001</x:v>
      </x:c>
      <x:c r="F512" s="12" t="str">
        <x:v>調入</x:v>
      </x:c>
      <x:c r="G512" s="12" t="str">
        <x:v>2.0</x:v>
      </x:c>
      <x:c r="H512" s="13" t="n">
        <x:v>7</x:v>
      </x:c>
      <x:c r="I512" s="12" t="str">
        <x:v>台北市</x:v>
      </x:c>
      <x:c r="J512" s="12" t="str">
        <x:v>500119082</x:v>
      </x:c>
      <x:c r="K512" s="12" t="str">
        <x:v>臺大四號館東北側</x:v>
      </x:c>
      <x:c r="L512" s="12" t="str">
        <x:v>ZZB* 且調出/調入且車種2.0/2.0E</x:v>
      </x:c>
    </x:row>
    <x:row r="513">
      <x:c r="A513" s="12" t="str">
        <x:v>2026-09-08</x:v>
      </x:c>
      <x:c r="B513" s="12" t="str">
        <x:v>2026-09-08 19:21:20</x:v>
      </x:c>
      <x:c r="C513" s="12" t="str">
        <x:v>19:00</x:v>
      </x:c>
      <x:c r="D513" s="12" t="str">
        <x:v>18–21</x:v>
      </x:c>
      <x:c r="E513" s="12" t="str">
        <x:v>ZZB-0001</x:v>
      </x:c>
      <x:c r="F513" s="12" t="str">
        <x:v>調出</x:v>
      </x:c>
      <x:c r="G513" s="12" t="str">
        <x:v>2.0</x:v>
      </x:c>
      <x:c r="H513" s="13" t="n">
        <x:v>7</x:v>
      </x:c>
      <x:c r="I513" s="12" t="str">
        <x:v>台北市</x:v>
      </x:c>
      <x:c r="J513" s="12" t="str">
        <x:v>500101276</x:v>
      </x:c>
      <x:c r="K513" s="12" t="str">
        <x:v>羅斯福新生南路口</x:v>
      </x:c>
      <x:c r="L513" s="12" t="str">
        <x:v>ZZB* 且調出/調入且車種2.0/2.0E</x:v>
      </x:c>
    </x:row>
    <x:row r="514">
      <x:c r="A514" s="12" t="str">
        <x:v>2026-09-08</x:v>
      </x:c>
      <x:c r="B514" s="12" t="str">
        <x:v>2026-09-08 19:21:31</x:v>
      </x:c>
      <x:c r="C514" s="12" t="str">
        <x:v>19:00</x:v>
      </x:c>
      <x:c r="D514" s="12" t="str">
        <x:v>18–21</x:v>
      </x:c>
      <x:c r="E514" s="12" t="str">
        <x:v>ZZB-0001</x:v>
      </x:c>
      <x:c r="F514" s="12" t="str">
        <x:v>調入</x:v>
      </x:c>
      <x:c r="G514" s="12" t="str">
        <x:v>2.0</x:v>
      </x:c>
      <x:c r="H514" s="13" t="n">
        <x:v>7</x:v>
      </x:c>
      <x:c r="I514" s="12" t="str">
        <x:v>台北市</x:v>
      </x:c>
      <x:c r="J514" s="12" t="str">
        <x:v>500119082</x:v>
      </x:c>
      <x:c r="K514" s="12" t="str">
        <x:v>臺大四號館東北側</x:v>
      </x:c>
      <x:c r="L514" s="12" t="str">
        <x:v>ZZB* 且調出/調入且車種2.0/2.0E</x:v>
      </x:c>
    </x:row>
    <x:row r="515">
      <x:c r="A515" s="12" t="str">
        <x:v>2026-09-08</x:v>
      </x:c>
      <x:c r="B515" s="12" t="str">
        <x:v>2026-09-08 21:57:47</x:v>
      </x:c>
      <x:c r="C515" s="12" t="str">
        <x:v>21:00</x:v>
      </x:c>
      <x:c r="D515" s="12" t="str">
        <x:v>18–21</x:v>
      </x:c>
      <x:c r="E515" s="12" t="str">
        <x:v>ZZB-0001</x:v>
      </x:c>
      <x:c r="F515" s="12" t="str">
        <x:v>調出</x:v>
      </x:c>
      <x:c r="G515" s="12" t="str">
        <x:v>2.0</x:v>
      </x:c>
      <x:c r="H515" s="13" t="n">
        <x:v>7</x:v>
      </x:c>
      <x:c r="I515" s="12" t="str">
        <x:v>台北市</x:v>
      </x:c>
      <x:c r="J515" s="12" t="str">
        <x:v>500101181</x:v>
      </x:c>
      <x:c r="K515" s="12" t="str">
        <x:v>捷運公館站(3號出口)</x:v>
      </x:c>
      <x:c r="L515" s="12" t="str">
        <x:v>ZZB* 且調出/調入且車種2.0/2.0E</x:v>
      </x:c>
    </x:row>
    <x:row r="516">
      <x:c r="A516" s="12" t="str">
        <x:v>2026-09-08</x:v>
      </x:c>
      <x:c r="B516" s="12" t="str">
        <x:v>2026-09-08 21:58:02</x:v>
      </x:c>
      <x:c r="C516" s="12" t="str">
        <x:v>21:00</x:v>
      </x:c>
      <x:c r="D516" s="12" t="str">
        <x:v>18–21</x:v>
      </x:c>
      <x:c r="E516" s="12" t="str">
        <x:v>ZZB-0001</x:v>
      </x:c>
      <x:c r="F516" s="12" t="str">
        <x:v>調入</x:v>
      </x:c>
      <x:c r="G516" s="12" t="str">
        <x:v>2.0</x:v>
      </x:c>
      <x:c r="H516" s="13" t="n">
        <x:v>7</x:v>
      </x:c>
      <x:c r="I516" s="12" t="str">
        <x:v>台北市</x:v>
      </x:c>
      <x:c r="J516" s="12" t="str">
        <x:v>500119086</x:v>
      </x:c>
      <x:c r="K516" s="12" t="str">
        <x:v>臺大圖資系館北側</x:v>
      </x:c>
      <x:c r="L516" s="12" t="str">
        <x:v>ZZB* 且調出/調入且車種2.0/2.0E</x:v>
      </x:c>
    </x:row>
    <x:row r="517">
      <x:c r="A517" s="12" t="str">
        <x:v>2026-09-08</x:v>
      </x:c>
      <x:c r="B517" s="12" t="str">
        <x:v>2026-09-08 22:10:23</x:v>
      </x:c>
      <x:c r="C517" s="12" t="str">
        <x:v>22:00</x:v>
      </x:c>
      <x:c r="D517" s="12" t="str">
        <x:v>22–23</x:v>
      </x:c>
      <x:c r="E517" s="12" t="str">
        <x:v>ZZB-0001</x:v>
      </x:c>
      <x:c r="F517" s="12" t="str">
        <x:v>調出</x:v>
      </x:c>
      <x:c r="G517" s="12" t="str">
        <x:v>2.0</x:v>
      </x:c>
      <x:c r="H517" s="13" t="n">
        <x:v>7</x:v>
      </x:c>
      <x:c r="I517" s="12" t="str">
        <x:v>台北市</x:v>
      </x:c>
      <x:c r="J517" s="12" t="str">
        <x:v>500101181</x:v>
      </x:c>
      <x:c r="K517" s="12" t="str">
        <x:v>捷運公館站(3號出口)</x:v>
      </x:c>
      <x:c r="L517" s="12" t="str">
        <x:v>ZZB* 且調出/調入且車種2.0/2.0E</x:v>
      </x:c>
    </x:row>
    <x:row r="518">
      <x:c r="A518" s="12" t="str">
        <x:v>2026-09-08</x:v>
      </x:c>
      <x:c r="B518" s="12" t="str">
        <x:v>2026-09-08 22:13:34</x:v>
      </x:c>
      <x:c r="C518" s="12" t="str">
        <x:v>22:00</x:v>
      </x:c>
      <x:c r="D518" s="12" t="str">
        <x:v>22–23</x:v>
      </x:c>
      <x:c r="E518" s="12" t="str">
        <x:v>ZZB-0001</x:v>
      </x:c>
      <x:c r="F518" s="12" t="str">
        <x:v>調入</x:v>
      </x:c>
      <x:c r="G518" s="12" t="str">
        <x:v>2.0</x:v>
      </x:c>
      <x:c r="H518" s="13" t="n">
        <x:v>3</x:v>
      </x:c>
      <x:c r="I518" s="12" t="str">
        <x:v>台北市</x:v>
      </x:c>
      <x:c r="J518" s="12" t="str">
        <x:v>500119056</x:v>
      </x:c>
      <x:c r="K518" s="12" t="str">
        <x:v>臺大農化新館西側</x:v>
      </x:c>
      <x:c r="L518" s="12" t="str">
        <x:v>ZZB* 且調出/調入且車種2.0/2.0E</x:v>
      </x:c>
    </x:row>
    <x:row r="519">
      <x:c r="A519" s="12" t="str">
        <x:v>2026-09-08</x:v>
      </x:c>
      <x:c r="B519" s="12" t="str">
        <x:v>2026-09-08 22:17:13</x:v>
      </x:c>
      <x:c r="C519" s="12" t="str">
        <x:v>22:00</x:v>
      </x:c>
      <x:c r="D519" s="12" t="str">
        <x:v>22–23</x:v>
      </x:c>
      <x:c r="E519" s="12" t="str">
        <x:v>ZZB-0001</x:v>
      </x:c>
      <x:c r="F519" s="12" t="str">
        <x:v>調入</x:v>
      </x:c>
      <x:c r="G519" s="12" t="str">
        <x:v>2.0</x:v>
      </x:c>
      <x:c r="H519" s="13" t="n">
        <x:v>4</x:v>
      </x:c>
      <x:c r="I519" s="12" t="str">
        <x:v>台北市</x:v>
      </x:c>
      <x:c r="J519" s="12" t="str">
        <x:v>500119061</x:v>
      </x:c>
      <x:c r="K519" s="12" t="str">
        <x:v>臺大鹿鳴堂東側</x:v>
      </x:c>
      <x:c r="L519" s="12" t="str">
        <x:v>ZZB* 且調出/調入且車種2.0/2.0E</x:v>
      </x:c>
    </x:row>
    <x:row r="520">
      <x:c r="A520" s="12" t="str">
        <x:v>2026-09-08</x:v>
      </x:c>
      <x:c r="B520" s="12" t="str">
        <x:v>2026-09-08 22:30:36</x:v>
      </x:c>
      <x:c r="C520" s="12" t="str">
        <x:v>22:00</x:v>
      </x:c>
      <x:c r="D520" s="12" t="str">
        <x:v>22–23</x:v>
      </x:c>
      <x:c r="E520" s="12" t="str">
        <x:v>ZZB-0001</x:v>
      </x:c>
      <x:c r="F520" s="12" t="str">
        <x:v>調出</x:v>
      </x:c>
      <x:c r="G520" s="12" t="str">
        <x:v>2.0</x:v>
      </x:c>
      <x:c r="H520" s="13" t="n">
        <x:v>7</x:v>
      </x:c>
      <x:c r="I520" s="12" t="str">
        <x:v>台北市</x:v>
      </x:c>
      <x:c r="J520" s="12" t="str">
        <x:v>500101181</x:v>
      </x:c>
      <x:c r="K520" s="12" t="str">
        <x:v>捷運公館站(3號出口)</x:v>
      </x:c>
      <x:c r="L520" s="12" t="str">
        <x:v>ZZB* 且調出/調入且車種2.0/2.0E</x:v>
      </x:c>
    </x:row>
    <x:row r="521">
      <x:c r="A521" s="12" t="str">
        <x:v>2026-09-08</x:v>
      </x:c>
      <x:c r="B521" s="12" t="str">
        <x:v>2026-09-08 22:31:17</x:v>
      </x:c>
      <x:c r="C521" s="12" t="str">
        <x:v>22:00</x:v>
      </x:c>
      <x:c r="D521" s="12" t="str">
        <x:v>22–23</x:v>
      </x:c>
      <x:c r="E521" s="12" t="str">
        <x:v>ZZB-0001</x:v>
      </x:c>
      <x:c r="F521" s="12" t="str">
        <x:v>調出</x:v>
      </x:c>
      <x:c r="G521" s="12" t="str">
        <x:v>2.0</x:v>
      </x:c>
      <x:c r="H521" s="13" t="n">
        <x:v>20</x:v>
      </x:c>
      <x:c r="I521" s="12" t="str">
        <x:v>台北市</x:v>
      </x:c>
      <x:c r="J521" s="12" t="str">
        <x:v>500101181</x:v>
      </x:c>
      <x:c r="K521" s="12" t="str">
        <x:v>捷運公館站(3號出口)</x:v>
      </x:c>
      <x:c r="L521" s="12" t="str">
        <x:v>ZZB* 且調出/調入且車種2.0/2.0E</x:v>
      </x:c>
    </x:row>
    <x:row r="522">
      <x:c r="A522" s="12" t="str">
        <x:v>2026-09-08</x:v>
      </x:c>
      <x:c r="B522" s="12" t="str">
        <x:v>2026-09-08 22:31:32</x:v>
      </x:c>
      <x:c r="C522" s="12" t="str">
        <x:v>22:00</x:v>
      </x:c>
      <x:c r="D522" s="12" t="str">
        <x:v>22–23</x:v>
      </x:c>
      <x:c r="E522" s="12" t="str">
        <x:v>ZZB-0001</x:v>
      </x:c>
      <x:c r="F522" s="12" t="str">
        <x:v>調入</x:v>
      </x:c>
      <x:c r="G522" s="12" t="str">
        <x:v>2.0</x:v>
      </x:c>
      <x:c r="H522" s="13" t="n">
        <x:v>20</x:v>
      </x:c>
      <x:c r="I522" s="12" t="str">
        <x:v>台北市</x:v>
      </x:c>
      <x:c r="J522" s="12" t="str">
        <x:v>500101181</x:v>
      </x:c>
      <x:c r="K522" s="12" t="str">
        <x:v>捷運公館站(3號出口)</x:v>
      </x:c>
      <x:c r="L522" s="12" t="str">
        <x:v>ZZB* 且調出/調入且車種2.0/2.0E</x:v>
      </x:c>
    </x:row>
    <x:row r="523">
      <x:c r="A523" s="12" t="str">
        <x:v>2026-09-08</x:v>
      </x:c>
      <x:c r="B523" s="12" t="str">
        <x:v>2026-09-08 22:45:26</x:v>
      </x:c>
      <x:c r="C523" s="12" t="str">
        <x:v>22:00</x:v>
      </x:c>
      <x:c r="D523" s="12" t="str">
        <x:v>22–23</x:v>
      </x:c>
      <x:c r="E523" s="12" t="str">
        <x:v>ZZB-0001</x:v>
      </x:c>
      <x:c r="F523" s="12" t="str">
        <x:v>調入</x:v>
      </x:c>
      <x:c r="G523" s="12" t="str">
        <x:v>2.0</x:v>
      </x:c>
      <x:c r="H523" s="13" t="n">
        <x:v>7</x:v>
      </x:c>
      <x:c r="I523" s="12" t="str">
        <x:v>台北市</x:v>
      </x:c>
      <x:c r="J523" s="12" t="str">
        <x:v>500101181</x:v>
      </x:c>
      <x:c r="K523" s="12" t="str">
        <x:v>捷運公館站(3號出口)</x:v>
      </x:c>
      <x:c r="L523" s="12" t="str">
        <x:v>ZZB* 且調出/調入且車種2.0/2.0E</x:v>
      </x:c>
    </x:row>
    <x:row r="524">
      <x:c r="A524" s="12" t="str">
        <x:v>2026-09-08</x:v>
      </x:c>
      <x:c r="B524" s="12" t="str">
        <x:v>2026-09-08 22:49:23</x:v>
      </x:c>
      <x:c r="C524" s="12" t="str">
        <x:v>22:00</x:v>
      </x:c>
      <x:c r="D524" s="12" t="str">
        <x:v>22–23</x:v>
      </x:c>
      <x:c r="E524" s="12" t="str">
        <x:v>ZZB-0001</x:v>
      </x:c>
      <x:c r="F524" s="12" t="str">
        <x:v>調出</x:v>
      </x:c>
      <x:c r="G524" s="12" t="str">
        <x:v>2.0</x:v>
      </x:c>
      <x:c r="H524" s="13" t="n">
        <x:v>21</x:v>
      </x:c>
      <x:c r="I524" s="12" t="str">
        <x:v>台北市</x:v>
      </x:c>
      <x:c r="J524" s="12" t="str">
        <x:v>500101181</x:v>
      </x:c>
      <x:c r="K524" s="12" t="str">
        <x:v>捷運公館站(3號出口)</x:v>
      </x:c>
      <x:c r="L524" s="12" t="str">
        <x:v>ZZB* 且調出/調入且車種2.0/2.0E</x:v>
      </x:c>
    </x:row>
    <x:row r="525">
      <x:c r="A525" s="12" t="str">
        <x:v>2026-09-08</x:v>
      </x:c>
      <x:c r="B525" s="12" t="str">
        <x:v>2026-09-08 22:49:37</x:v>
      </x:c>
      <x:c r="C525" s="12" t="str">
        <x:v>22:00</x:v>
      </x:c>
      <x:c r="D525" s="12" t="str">
        <x:v>22–23</x:v>
      </x:c>
      <x:c r="E525" s="12" t="str">
        <x:v>ZZB-0001</x:v>
      </x:c>
      <x:c r="F525" s="12" t="str">
        <x:v>調入</x:v>
      </x:c>
      <x:c r="G525" s="12" t="str">
        <x:v>2.0</x:v>
      </x:c>
      <x:c r="H525" s="13" t="n">
        <x:v>21</x:v>
      </x:c>
      <x:c r="I525" s="12" t="str">
        <x:v>台北市</x:v>
      </x:c>
      <x:c r="J525" s="12" t="str">
        <x:v>500101181</x:v>
      </x:c>
      <x:c r="K525" s="12" t="str">
        <x:v>捷運公館站(3號出口)</x:v>
      </x:c>
      <x:c r="L525" s="12" t="str">
        <x:v>ZZB* 且調出/調入且車種2.0/2.0E</x:v>
      </x:c>
    </x:row>
    <x:row r="526">
      <x:c r="A526" s="12" t="str">
        <x:v>2026-09-08</x:v>
      </x:c>
      <x:c r="B526" s="12" t="str">
        <x:v>2026-09-08 08:22:14</x:v>
      </x:c>
      <x:c r="C526" s="12" t="str">
        <x:v>08:00</x:v>
      </x:c>
      <x:c r="D526" s="12" t="str">
        <x:v>06–09</x:v>
      </x:c>
      <x:c r="E526" s="12" t="str">
        <x:v>ZZB-0001</x:v>
      </x:c>
      <x:c r="F526" s="12" t="str">
        <x:v>調出</x:v>
      </x:c>
      <x:c r="G526" s="12" t="str">
        <x:v>2.0E</x:v>
      </x:c>
      <x:c r="H526" s="13" t="n">
        <x:v>1</x:v>
      </x:c>
      <x:c r="I526" s="12" t="str">
        <x:v>台北市</x:v>
      </x:c>
      <x:c r="J526" s="12" t="str">
        <x:v>500119086</x:v>
      </x:c>
      <x:c r="K526" s="12" t="str">
        <x:v>臺大圖資系館北側</x:v>
      </x:c>
      <x:c r="L526" s="12" t="str">
        <x:v>ZZB* 且調出/調入且車種2.0/2.0E</x:v>
      </x:c>
    </x:row>
    <x:row r="527">
      <x:c r="A527" s="12" t="str">
        <x:v>2026-09-08</x:v>
      </x:c>
      <x:c r="B527" s="12" t="str">
        <x:v>2026-09-08 08:22:32</x:v>
      </x:c>
      <x:c r="C527" s="12" t="str">
        <x:v>08:00</x:v>
      </x:c>
      <x:c r="D527" s="12" t="str">
        <x:v>06–09</x:v>
      </x:c>
      <x:c r="E527" s="12" t="str">
        <x:v>ZZB-0001</x:v>
      </x:c>
      <x:c r="F527" s="12" t="str">
        <x:v>調入</x:v>
      </x:c>
      <x:c r="G527" s="12" t="str">
        <x:v>2.0E</x:v>
      </x:c>
      <x:c r="H527" s="13" t="n">
        <x:v>1</x:v>
      </x:c>
      <x:c r="I527" s="12" t="str">
        <x:v>台北市</x:v>
      </x:c>
      <x:c r="J527" s="12" t="str">
        <x:v>500119074</x:v>
      </x:c>
      <x:c r="K527" s="12" t="str">
        <x:v>臺大生命科學館西北側</x:v>
      </x:c>
      <x:c r="L527" s="12" t="str">
        <x:v>ZZB* 且調出/調入且車種2.0/2.0E</x:v>
      </x:c>
    </x:row>
    <x:row r="528">
      <x:c r="A528" s="12" t="str">
        <x:v>2026-09-08</x:v>
      </x:c>
      <x:c r="B528" s="12" t="str">
        <x:v>2026-09-08 09:47:04</x:v>
      </x:c>
      <x:c r="C528" s="12" t="str">
        <x:v>09:00</x:v>
      </x:c>
      <x:c r="D528" s="12" t="str">
        <x:v>06–09</x:v>
      </x:c>
      <x:c r="E528" s="12" t="str">
        <x:v>ZZB-0001</x:v>
      </x:c>
      <x:c r="F528" s="12" t="str">
        <x:v>調出</x:v>
      </x:c>
      <x:c r="G528" s="12" t="str">
        <x:v>2.0E</x:v>
      </x:c>
      <x:c r="H528" s="13" t="n">
        <x:v>1</x:v>
      </x:c>
      <x:c r="I528" s="12" t="str">
        <x:v>台北市</x:v>
      </x:c>
      <x:c r="J528" s="12" t="str">
        <x:v>500119086</x:v>
      </x:c>
      <x:c r="K528" s="12" t="str">
        <x:v>臺大圖資系館北側</x:v>
      </x:c>
      <x:c r="L528" s="12" t="str">
        <x:v>ZZB* 且調出/調入且車種2.0/2.0E</x:v>
      </x:c>
    </x:row>
    <x:row r="529">
      <x:c r="A529" s="12" t="str">
        <x:v>2026-09-08</x:v>
      </x:c>
      <x:c r="B529" s="12" t="str">
        <x:v>2026-09-08 09:47:21</x:v>
      </x:c>
      <x:c r="C529" s="12" t="str">
        <x:v>09:00</x:v>
      </x:c>
      <x:c r="D529" s="12" t="str">
        <x:v>06–09</x:v>
      </x:c>
      <x:c r="E529" s="12" t="str">
        <x:v>ZZB-0001</x:v>
      </x:c>
      <x:c r="F529" s="12" t="str">
        <x:v>調入</x:v>
      </x:c>
      <x:c r="G529" s="12" t="str">
        <x:v>2.0E</x:v>
      </x:c>
      <x:c r="H529" s="13" t="n">
        <x:v>1</x:v>
      </x:c>
      <x:c r="I529" s="12" t="str">
        <x:v>台北市</x:v>
      </x:c>
      <x:c r="J529" s="12" t="str">
        <x:v>500119059</x:v>
      </x:c>
      <x:c r="K529" s="12" t="str">
        <x:v>臺大共同教室北側</x:v>
      </x:c>
      <x:c r="L529" s="12" t="str">
        <x:v>ZZB* 且調出/調入且車種2.0/2.0E</x:v>
      </x:c>
    </x:row>
    <x:row r="530">
      <x:c r="A530" s="12" t="str">
        <x:v>2026-09-08</x:v>
      </x:c>
      <x:c r="B530" s="12" t="str">
        <x:v>2026-09-08 10:10:04</x:v>
      </x:c>
      <x:c r="C530" s="12" t="str">
        <x:v>10:00</x:v>
      </x:c>
      <x:c r="D530" s="12" t="str">
        <x:v>10–13</x:v>
      </x:c>
      <x:c r="E530" s="12" t="str">
        <x:v>ZZB-0001</x:v>
      </x:c>
      <x:c r="F530" s="12" t="str">
        <x:v>調出</x:v>
      </x:c>
      <x:c r="G530" s="12" t="str">
        <x:v>2.0E</x:v>
      </x:c>
      <x:c r="H530" s="13" t="n">
        <x:v>1</x:v>
      </x:c>
      <x:c r="I530" s="12" t="str">
        <x:v>台北市</x:v>
      </x:c>
      <x:c r="J530" s="12" t="str">
        <x:v>500119083</x:v>
      </x:c>
      <x:c r="K530" s="12" t="str">
        <x:v>臺大新生教室南側</x:v>
      </x:c>
      <x:c r="L530" s="12" t="str">
        <x:v>ZZB* 且調出/調入且車種2.0/2.0E</x:v>
      </x:c>
    </x:row>
    <x:row r="531">
      <x:c r="A531" s="12" t="str">
        <x:v>2026-09-08</x:v>
      </x:c>
      <x:c r="B531" s="12" t="str">
        <x:v>2026-09-08 10:10:22</x:v>
      </x:c>
      <x:c r="C531" s="12" t="str">
        <x:v>10:00</x:v>
      </x:c>
      <x:c r="D531" s="12" t="str">
        <x:v>10–13</x:v>
      </x:c>
      <x:c r="E531" s="12" t="str">
        <x:v>ZZB-0001</x:v>
      </x:c>
      <x:c r="F531" s="12" t="str">
        <x:v>調入</x:v>
      </x:c>
      <x:c r="G531" s="12" t="str">
        <x:v>2.0E</x:v>
      </x:c>
      <x:c r="H531" s="13" t="n">
        <x:v>1</x:v>
      </x:c>
      <x:c r="I531" s="12" t="str">
        <x:v>台北市</x:v>
      </x:c>
      <x:c r="J531" s="12" t="str">
        <x:v>500119070</x:v>
      </x:c>
      <x:c r="K531" s="12" t="str">
        <x:v>臺大椰林小舖</x:v>
      </x:c>
      <x:c r="L531" s="12" t="str">
        <x:v>ZZB* 且調出/調入且車種2.0/2.0E</x:v>
      </x:c>
    </x:row>
    <x:row r="532">
      <x:c r="A532" s="12" t="str">
        <x:v>2026-09-08</x:v>
      </x:c>
      <x:c r="B532" s="12" t="str">
        <x:v>2026-09-08 10:34:08</x:v>
      </x:c>
      <x:c r="C532" s="12" t="str">
        <x:v>10:00</x:v>
      </x:c>
      <x:c r="D532" s="12" t="str">
        <x:v>10–13</x:v>
      </x:c>
      <x:c r="E532" s="12" t="str">
        <x:v>ZZB-0001</x:v>
      </x:c>
      <x:c r="F532" s="12" t="str">
        <x:v>調出</x:v>
      </x:c>
      <x:c r="G532" s="12" t="str">
        <x:v>2.0E</x:v>
      </x:c>
      <x:c r="H532" s="13" t="n">
        <x:v>2</x:v>
      </x:c>
      <x:c r="I532" s="12" t="str">
        <x:v>台北市</x:v>
      </x:c>
      <x:c r="J532" s="12" t="str">
        <x:v>500119098</x:v>
      </x:c>
      <x:c r="K532" s="12" t="str">
        <x:v>臺大數學研究中心(東側)</x:v>
      </x:c>
      <x:c r="L532" s="12" t="str">
        <x:v>ZZB* 且調出/調入且車種2.0/2.0E</x:v>
      </x:c>
    </x:row>
    <x:row r="533">
      <x:c r="A533" s="12" t="str">
        <x:v>2026-09-08</x:v>
      </x:c>
      <x:c r="B533" s="12" t="str">
        <x:v>2026-09-08 10:34:29</x:v>
      </x:c>
      <x:c r="C533" s="12" t="str">
        <x:v>10:00</x:v>
      </x:c>
      <x:c r="D533" s="12" t="str">
        <x:v>10–13</x:v>
      </x:c>
      <x:c r="E533" s="12" t="str">
        <x:v>ZZB-0001</x:v>
      </x:c>
      <x:c r="F533" s="12" t="str">
        <x:v>調入</x:v>
      </x:c>
      <x:c r="G533" s="12" t="str">
        <x:v>2.0E</x:v>
      </x:c>
      <x:c r="H533" s="13" t="n">
        <x:v>2</x:v>
      </x:c>
      <x:c r="I533" s="12" t="str">
        <x:v>台北市</x:v>
      </x:c>
      <x:c r="J533" s="12" t="str">
        <x:v>500119060</x:v>
      </x:c>
      <x:c r="K533" s="12" t="str">
        <x:v>臺大共同教室東南側</x:v>
      </x:c>
      <x:c r="L533" s="12" t="str">
        <x:v>ZZB* 且調出/調入且車種2.0/2.0E</x:v>
      </x:c>
    </x:row>
    <x:row r="534">
      <x:c r="A534" s="12" t="str">
        <x:v>2026-09-08</x:v>
      </x:c>
      <x:c r="B534" s="12" t="str">
        <x:v>2026-09-08 10:55:03</x:v>
      </x:c>
      <x:c r="C534" s="12" t="str">
        <x:v>10:00</x:v>
      </x:c>
      <x:c r="D534" s="12" t="str">
        <x:v>10–13</x:v>
      </x:c>
      <x:c r="E534" s="12" t="str">
        <x:v>ZZB-0001</x:v>
      </x:c>
      <x:c r="F534" s="12" t="str">
        <x:v>調出</x:v>
      </x:c>
      <x:c r="G534" s="12" t="str">
        <x:v>2.0E</x:v>
      </x:c>
      <x:c r="H534" s="13" t="n">
        <x:v>2</x:v>
      </x:c>
      <x:c r="I534" s="12" t="str">
        <x:v>台北市</x:v>
      </x:c>
      <x:c r="J534" s="12" t="str">
        <x:v>500119087</x:v>
      </x:c>
      <x:c r="K534" s="12" t="str">
        <x:v>臺大總圖書館西南側</x:v>
      </x:c>
      <x:c r="L534" s="12" t="str">
        <x:v>ZZB* 且調出/調入且車種2.0/2.0E</x:v>
      </x:c>
    </x:row>
    <x:row r="535">
      <x:c r="A535" s="12" t="str">
        <x:v>2026-09-08</x:v>
      </x:c>
      <x:c r="B535" s="12" t="str">
        <x:v>2026-09-08 10:55:18</x:v>
      </x:c>
      <x:c r="C535" s="12" t="str">
        <x:v>10:00</x:v>
      </x:c>
      <x:c r="D535" s="12" t="str">
        <x:v>10–13</x:v>
      </x:c>
      <x:c r="E535" s="12" t="str">
        <x:v>ZZB-0001</x:v>
      </x:c>
      <x:c r="F535" s="12" t="str">
        <x:v>調入</x:v>
      </x:c>
      <x:c r="G535" s="12" t="str">
        <x:v>2.0E</x:v>
      </x:c>
      <x:c r="H535" s="13" t="n">
        <x:v>2</x:v>
      </x:c>
      <x:c r="I535" s="12" t="str">
        <x:v>台北市</x:v>
      </x:c>
      <x:c r="J535" s="12" t="str">
        <x:v>500119094</x:v>
      </x:c>
      <x:c r="K535" s="12" t="str">
        <x:v>臺大大一女餐廳廣場</x:v>
      </x:c>
      <x:c r="L535" s="12" t="str">
        <x:v>ZZB* 且調出/調入且車種2.0/2.0E</x:v>
      </x:c>
    </x:row>
    <x:row r="536">
      <x:c r="A536" s="12" t="str">
        <x:v>2026-09-08</x:v>
      </x:c>
      <x:c r="B536" s="12" t="str">
        <x:v>2026-09-08 11:22:17</x:v>
      </x:c>
      <x:c r="C536" s="12" t="str">
        <x:v>11:00</x:v>
      </x:c>
      <x:c r="D536" s="12" t="str">
        <x:v>10–13</x:v>
      </x:c>
      <x:c r="E536" s="12" t="str">
        <x:v>ZZB-0001</x:v>
      </x:c>
      <x:c r="F536" s="12" t="str">
        <x:v>調出</x:v>
      </x:c>
      <x:c r="G536" s="12" t="str">
        <x:v>2.0E</x:v>
      </x:c>
      <x:c r="H536" s="13" t="n">
        <x:v>2</x:v>
      </x:c>
      <x:c r="I536" s="12" t="str">
        <x:v>台北市</x:v>
      </x:c>
      <x:c r="J536" s="12" t="str">
        <x:v>500119087</x:v>
      </x:c>
      <x:c r="K536" s="12" t="str">
        <x:v>臺大總圖書館西南側</x:v>
      </x:c>
      <x:c r="L536" s="12" t="str">
        <x:v>ZZB* 且調出/調入且車種2.0/2.0E</x:v>
      </x:c>
    </x:row>
    <x:row r="537">
      <x:c r="A537" s="12" t="str">
        <x:v>2026-09-08</x:v>
      </x:c>
      <x:c r="B537" s="12" t="str">
        <x:v>2026-09-08 11:22:30</x:v>
      </x:c>
      <x:c r="C537" s="12" t="str">
        <x:v>11:00</x:v>
      </x:c>
      <x:c r="D537" s="12" t="str">
        <x:v>10–13</x:v>
      </x:c>
      <x:c r="E537" s="12" t="str">
        <x:v>ZZB-0001</x:v>
      </x:c>
      <x:c r="F537" s="12" t="str">
        <x:v>調入</x:v>
      </x:c>
      <x:c r="G537" s="12" t="str">
        <x:v>2.0E</x:v>
      </x:c>
      <x:c r="H537" s="13" t="n">
        <x:v>2</x:v>
      </x:c>
      <x:c r="I537" s="12" t="str">
        <x:v>台北市</x:v>
      </x:c>
      <x:c r="J537" s="12" t="str">
        <x:v>500119091</x:v>
      </x:c>
      <x:c r="K537" s="12" t="str">
        <x:v>臺大明達館北側(員工宿舍)</x:v>
      </x:c>
      <x:c r="L537" s="12" t="str">
        <x:v>ZZB* 且調出/調入且車種2.0/2.0E</x:v>
      </x:c>
    </x:row>
    <x:row r="538">
      <x:c r="A538" s="12" t="str">
        <x:v>2026-09-08</x:v>
      </x:c>
      <x:c r="B538" s="12" t="str">
        <x:v>2026-09-08 12:30:38</x:v>
      </x:c>
      <x:c r="C538" s="12" t="str">
        <x:v>12:00</x:v>
      </x:c>
      <x:c r="D538" s="12" t="str">
        <x:v>10–13</x:v>
      </x:c>
      <x:c r="E538" s="12" t="str">
        <x:v>ZZB-0001</x:v>
      </x:c>
      <x:c r="F538" s="12" t="str">
        <x:v>調出</x:v>
      </x:c>
      <x:c r="G538" s="12" t="str">
        <x:v>2.0E</x:v>
      </x:c>
      <x:c r="H538" s="13" t="n">
        <x:v>1</x:v>
      </x:c>
      <x:c r="I538" s="12" t="str">
        <x:v>台北市</x:v>
      </x:c>
      <x:c r="J538" s="12" t="str">
        <x:v>500119071</x:v>
      </x:c>
      <x:c r="K538" s="12" t="str">
        <x:v>臺大計資中心南側</x:v>
      </x:c>
      <x:c r="L538" s="12" t="str">
        <x:v>ZZB* 且調出/調入且車種2.0/2.0E</x:v>
      </x:c>
    </x:row>
    <x:row r="539">
      <x:c r="A539" s="12" t="str">
        <x:v>2026-09-08</x:v>
      </x:c>
      <x:c r="B539" s="12" t="str">
        <x:v>2026-09-08 12:30:53</x:v>
      </x:c>
      <x:c r="C539" s="12" t="str">
        <x:v>12:00</x:v>
      </x:c>
      <x:c r="D539" s="12" t="str">
        <x:v>10–13</x:v>
      </x:c>
      <x:c r="E539" s="12" t="str">
        <x:v>ZZB-0001</x:v>
      </x:c>
      <x:c r="F539" s="12" t="str">
        <x:v>調入</x:v>
      </x:c>
      <x:c r="G539" s="12" t="str">
        <x:v>2.0E</x:v>
      </x:c>
      <x:c r="H539" s="13" t="n">
        <x:v>1</x:v>
      </x:c>
      <x:c r="I539" s="12" t="str">
        <x:v>台北市</x:v>
      </x:c>
      <x:c r="J539" s="12" t="str">
        <x:v>500119083</x:v>
      </x:c>
      <x:c r="K539" s="12" t="str">
        <x:v>臺大新生教室南側</x:v>
      </x:c>
      <x:c r="L539" s="12" t="str">
        <x:v>ZZB* 且調出/調入且車種2.0/2.0E</x:v>
      </x:c>
    </x:row>
    <x:row r="540">
      <x:c r="A540" s="12" t="str">
        <x:v>2026-09-08</x:v>
      </x:c>
      <x:c r="B540" s="12" t="str">
        <x:v>2026-09-08 12:55:53</x:v>
      </x:c>
      <x:c r="C540" s="12" t="str">
        <x:v>12:00</x:v>
      </x:c>
      <x:c r="D540" s="12" t="str">
        <x:v>10–13</x:v>
      </x:c>
      <x:c r="E540" s="12" t="str">
        <x:v>ZZB-0001</x:v>
      </x:c>
      <x:c r="F540" s="12" t="str">
        <x:v>調出</x:v>
      </x:c>
      <x:c r="G540" s="12" t="str">
        <x:v>2.0E</x:v>
      </x:c>
      <x:c r="H540" s="13" t="n">
        <x:v>7</x:v>
      </x:c>
      <x:c r="I540" s="12" t="str">
        <x:v>台北市</x:v>
      </x:c>
      <x:c r="J540" s="12" t="str">
        <x:v>500119071</x:v>
      </x:c>
      <x:c r="K540" s="12" t="str">
        <x:v>臺大計資中心南側</x:v>
      </x:c>
      <x:c r="L540" s="12" t="str">
        <x:v>ZZB* 且調出/調入且車種2.0/2.0E</x:v>
      </x:c>
    </x:row>
    <x:row r="541">
      <x:c r="A541" s="12" t="str">
        <x:v>2026-09-08</x:v>
      </x:c>
      <x:c r="B541" s="12" t="str">
        <x:v>2026-09-08 12:56:14</x:v>
      </x:c>
      <x:c r="C541" s="12" t="str">
        <x:v>12:00</x:v>
      </x:c>
      <x:c r="D541" s="12" t="str">
        <x:v>10–13</x:v>
      </x:c>
      <x:c r="E541" s="12" t="str">
        <x:v>ZZB-0001</x:v>
      </x:c>
      <x:c r="F541" s="12" t="str">
        <x:v>調入</x:v>
      </x:c>
      <x:c r="G541" s="12" t="str">
        <x:v>2.0E</x:v>
      </x:c>
      <x:c r="H541" s="13" t="n">
        <x:v>7</x:v>
      </x:c>
      <x:c r="I541" s="12" t="str">
        <x:v>台北市</x:v>
      </x:c>
      <x:c r="J541" s="12" t="str">
        <x:v>500119061</x:v>
      </x:c>
      <x:c r="K541" s="12" t="str">
        <x:v>臺大鹿鳴堂東側</x:v>
      </x:c>
      <x:c r="L541" s="12" t="str">
        <x:v>ZZB* 且調出/調入且車種2.0/2.0E</x:v>
      </x:c>
    </x:row>
    <x:row r="542">
      <x:c r="A542" s="12" t="str">
        <x:v>2026-09-08</x:v>
      </x:c>
      <x:c r="B542" s="12" t="str">
        <x:v>2026-09-08 13:17:30</x:v>
      </x:c>
      <x:c r="C542" s="12" t="str">
        <x:v>13:00</x:v>
      </x:c>
      <x:c r="D542" s="12" t="str">
        <x:v>10–13</x:v>
      </x:c>
      <x:c r="E542" s="12" t="str">
        <x:v>ZZB-0001</x:v>
      </x:c>
      <x:c r="F542" s="12" t="str">
        <x:v>調出</x:v>
      </x:c>
      <x:c r="G542" s="12" t="str">
        <x:v>2.0E</x:v>
      </x:c>
      <x:c r="H542" s="13" t="n">
        <x:v>2</x:v>
      </x:c>
      <x:c r="I542" s="12" t="str">
        <x:v>台北市</x:v>
      </x:c>
      <x:c r="J542" s="12" t="str">
        <x:v>500119087</x:v>
      </x:c>
      <x:c r="K542" s="12" t="str">
        <x:v>臺大總圖書館西南側</x:v>
      </x:c>
      <x:c r="L542" s="12" t="str">
        <x:v>ZZB* 且調出/調入且車種2.0/2.0E</x:v>
      </x:c>
    </x:row>
    <x:row r="543">
      <x:c r="A543" s="12" t="str">
        <x:v>2026-09-08</x:v>
      </x:c>
      <x:c r="B543" s="12" t="str">
        <x:v>2026-09-08 13:17:44</x:v>
      </x:c>
      <x:c r="C543" s="12" t="str">
        <x:v>13:00</x:v>
      </x:c>
      <x:c r="D543" s="12" t="str">
        <x:v>10–13</x:v>
      </x:c>
      <x:c r="E543" s="12" t="str">
        <x:v>ZZB-0001</x:v>
      </x:c>
      <x:c r="F543" s="12" t="str">
        <x:v>調入</x:v>
      </x:c>
      <x:c r="G543" s="12" t="str">
        <x:v>2.0E</x:v>
      </x:c>
      <x:c r="H543" s="13" t="n">
        <x:v>2</x:v>
      </x:c>
      <x:c r="I543" s="12" t="str">
        <x:v>台北市</x:v>
      </x:c>
      <x:c r="J543" s="12" t="str">
        <x:v>500119074</x:v>
      </x:c>
      <x:c r="K543" s="12" t="str">
        <x:v>臺大生命科學館西北側</x:v>
      </x:c>
      <x:c r="L543" s="12" t="str">
        <x:v>ZZB* 且調出/調入且車種2.0/2.0E</x:v>
      </x:c>
    </x:row>
    <x:row r="544">
      <x:c r="A544" s="12" t="str">
        <x:v>2026-09-08</x:v>
      </x:c>
      <x:c r="B544" s="12" t="str">
        <x:v>2026-09-08 00:38:01</x:v>
      </x:c>
      <x:c r="C544" s="12" t="str">
        <x:v>00:00</x:v>
      </x:c>
      <x:c r="D544" s="12" t="str">
        <x:v>00–05</x:v>
      </x:c>
      <x:c r="E544" s="12" t="str">
        <x:v>ZZB-0004</x:v>
      </x:c>
      <x:c r="F544" s="12" t="str">
        <x:v>調出</x:v>
      </x:c>
      <x:c r="G544" s="12" t="str">
        <x:v>2.0</x:v>
      </x:c>
      <x:c r="H544" s="13" t="n">
        <x:v>7</x:v>
      </x:c>
      <x:c r="I544" s="12" t="str">
        <x:v>台北市</x:v>
      </x:c>
      <x:c r="J544" s="12" t="str">
        <x:v>500101181</x:v>
      </x:c>
      <x:c r="K544" s="12" t="str">
        <x:v>捷運公館站(3號出口)</x:v>
      </x:c>
      <x:c r="L544" s="12" t="str">
        <x:v>ZZB* 且調出/調入且車種2.0/2.0E</x:v>
      </x:c>
    </x:row>
    <x:row r="545">
      <x:c r="A545" s="12" t="str">
        <x:v>2026-09-08</x:v>
      </x:c>
      <x:c r="B545" s="12" t="str">
        <x:v>2026-09-08 00:38:17</x:v>
      </x:c>
      <x:c r="C545" s="12" t="str">
        <x:v>00:00</x:v>
      </x:c>
      <x:c r="D545" s="12" t="str">
        <x:v>00–05</x:v>
      </x:c>
      <x:c r="E545" s="12" t="str">
        <x:v>ZZB-0004</x:v>
      </x:c>
      <x:c r="F545" s="12" t="str">
        <x:v>調入</x:v>
      </x:c>
      <x:c r="G545" s="12" t="str">
        <x:v>2.0</x:v>
      </x:c>
      <x:c r="H545" s="13" t="n">
        <x:v>7</x:v>
      </x:c>
      <x:c r="I545" s="12" t="str">
        <x:v>台北市</x:v>
      </x:c>
      <x:c r="J545" s="12" t="str">
        <x:v>500101276</x:v>
      </x:c>
      <x:c r="K545" s="12" t="str">
        <x:v>羅斯福新生南路口</x:v>
      </x:c>
      <x:c r="L545" s="12" t="str">
        <x:v>ZZB* 且調出/調入且車種2.0/2.0E</x:v>
      </x:c>
    </x:row>
    <x:row r="546">
      <x:c r="A546" s="12" t="str">
        <x:v>2026-09-08</x:v>
      </x:c>
      <x:c r="B546" s="12" t="str">
        <x:v>2026-09-08 00:38:59</x:v>
      </x:c>
      <x:c r="C546" s="12" t="str">
        <x:v>00:00</x:v>
      </x:c>
      <x:c r="D546" s="12" t="str">
        <x:v>00–05</x:v>
      </x:c>
      <x:c r="E546" s="12" t="str">
        <x:v>ZZB-0004</x:v>
      </x:c>
      <x:c r="F546" s="12" t="str">
        <x:v>調出</x:v>
      </x:c>
      <x:c r="G546" s="12" t="str">
        <x:v>2.0</x:v>
      </x:c>
      <x:c r="H546" s="13" t="n">
        <x:v>7</x:v>
      </x:c>
      <x:c r="I546" s="12" t="str">
        <x:v>台北市</x:v>
      </x:c>
      <x:c r="J546" s="12" t="str">
        <x:v>500101181</x:v>
      </x:c>
      <x:c r="K546" s="12" t="str">
        <x:v>捷運公館站(3號出口)</x:v>
      </x:c>
      <x:c r="L546" s="12" t="str">
        <x:v>ZZB* 且調出/調入且車種2.0/2.0E</x:v>
      </x:c>
    </x:row>
    <x:row r="547">
      <x:c r="A547" s="12" t="str">
        <x:v>2026-09-08</x:v>
      </x:c>
      <x:c r="B547" s="12" t="str">
        <x:v>2026-09-08 00:39:10</x:v>
      </x:c>
      <x:c r="C547" s="12" t="str">
        <x:v>00:00</x:v>
      </x:c>
      <x:c r="D547" s="12" t="str">
        <x:v>00–05</x:v>
      </x:c>
      <x:c r="E547" s="12" t="str">
        <x:v>ZZB-0004</x:v>
      </x:c>
      <x:c r="F547" s="12" t="str">
        <x:v>調入</x:v>
      </x:c>
      <x:c r="G547" s="12" t="str">
        <x:v>2.0</x:v>
      </x:c>
      <x:c r="H547" s="13" t="n">
        <x:v>7</x:v>
      </x:c>
      <x:c r="I547" s="12" t="str">
        <x:v>台北市</x:v>
      </x:c>
      <x:c r="J547" s="12" t="str">
        <x:v>500101276</x:v>
      </x:c>
      <x:c r="K547" s="12" t="str">
        <x:v>羅斯福新生南路口</x:v>
      </x:c>
      <x:c r="L547" s="12" t="str">
        <x:v>ZZB* 且調出/調入且車種2.0/2.0E</x:v>
      </x:c>
    </x:row>
    <x:row r="548">
      <x:c r="A548" s="12" t="str">
        <x:v>2026-09-08</x:v>
      </x:c>
      <x:c r="B548" s="12" t="str">
        <x:v>2026-09-08 08:00:26</x:v>
      </x:c>
      <x:c r="C548" s="12" t="str">
        <x:v>08:00</x:v>
      </x:c>
      <x:c r="D548" s="12" t="str">
        <x:v>06–09</x:v>
      </x:c>
      <x:c r="E548" s="12" t="str">
        <x:v>ZZB-0004</x:v>
      </x:c>
      <x:c r="F548" s="12" t="str">
        <x:v>調出</x:v>
      </x:c>
      <x:c r="G548" s="12" t="str">
        <x:v>2.0</x:v>
      </x:c>
      <x:c r="H548" s="13" t="n">
        <x:v>7</x:v>
      </x:c>
      <x:c r="I548" s="12" t="str">
        <x:v>台北市</x:v>
      </x:c>
      <x:c r="J548" s="12" t="str">
        <x:v>500119052</x:v>
      </x:c>
      <x:c r="K548" s="12" t="str">
        <x:v>臺大工綜館南側</x:v>
      </x:c>
      <x:c r="L548" s="12" t="str">
        <x:v>ZZB* 且調出/調入且車種2.0/2.0E</x:v>
      </x:c>
    </x:row>
    <x:row r="549">
      <x:c r="A549" s="12" t="str">
        <x:v>2026-09-08</x:v>
      </x:c>
      <x:c r="B549" s="12" t="str">
        <x:v>2026-09-08 08:09:23</x:v>
      </x:c>
      <x:c r="C549" s="12" t="str">
        <x:v>08:00</x:v>
      </x:c>
      <x:c r="D549" s="12" t="str">
        <x:v>06–09</x:v>
      </x:c>
      <x:c r="E549" s="12" t="str">
        <x:v>ZZB-0004</x:v>
      </x:c>
      <x:c r="F549" s="12" t="str">
        <x:v>調入</x:v>
      </x:c>
      <x:c r="G549" s="12" t="str">
        <x:v>2.0</x:v>
      </x:c>
      <x:c r="H549" s="13" t="n">
        <x:v>7</x:v>
      </x:c>
      <x:c r="I549" s="12" t="str">
        <x:v>台北市</x:v>
      </x:c>
      <x:c r="J549" s="12" t="str">
        <x:v>500119097</x:v>
      </x:c>
      <x:c r="K549" s="12" t="str">
        <x:v>臺大人文館</x:v>
      </x:c>
      <x:c r="L549" s="12" t="str">
        <x:v>ZZB* 且調出/調入且車種2.0/2.0E</x:v>
      </x:c>
    </x:row>
    <x:row r="550">
      <x:c r="A550" s="12" t="str">
        <x:v>2026-09-08</x:v>
      </x:c>
      <x:c r="B550" s="12" t="str">
        <x:v>2026-09-08 08:18:35</x:v>
      </x:c>
      <x:c r="C550" s="12" t="str">
        <x:v>08:00</x:v>
      </x:c>
      <x:c r="D550" s="12" t="str">
        <x:v>06–09</x:v>
      </x:c>
      <x:c r="E550" s="12" t="str">
        <x:v>ZZB-0004</x:v>
      </x:c>
      <x:c r="F550" s="12" t="str">
        <x:v>調出</x:v>
      </x:c>
      <x:c r="G550" s="12" t="str">
        <x:v>2.0</x:v>
      </x:c>
      <x:c r="H550" s="13" t="n">
        <x:v>7</x:v>
      </x:c>
      <x:c r="I550" s="12" t="str">
        <x:v>台北市</x:v>
      </x:c>
      <x:c r="J550" s="12" t="str">
        <x:v>500119050</x:v>
      </x:c>
      <x:c r="K550" s="12" t="str">
        <x:v>臺大小福樓東側</x:v>
      </x:c>
      <x:c r="L550" s="12" t="str">
        <x:v>ZZB* 且調出/調入且車種2.0/2.0E</x:v>
      </x:c>
    </x:row>
    <x:row r="551">
      <x:c r="A551" s="12" t="str">
        <x:v>2026-09-08</x:v>
      </x:c>
      <x:c r="B551" s="12" t="str">
        <x:v>2026-09-08 08:24:31</x:v>
      </x:c>
      <x:c r="C551" s="12" t="str">
        <x:v>08:00</x:v>
      </x:c>
      <x:c r="D551" s="12" t="str">
        <x:v>06–09</x:v>
      </x:c>
      <x:c r="E551" s="12" t="str">
        <x:v>ZZB-0004</x:v>
      </x:c>
      <x:c r="F551" s="12" t="str">
        <x:v>調入</x:v>
      </x:c>
      <x:c r="G551" s="12" t="str">
        <x:v>2.0</x:v>
      </x:c>
      <x:c r="H551" s="13" t="n">
        <x:v>7</x:v>
      </x:c>
      <x:c r="I551" s="12" t="str">
        <x:v>台北市</x:v>
      </x:c>
      <x:c r="J551" s="12" t="str">
        <x:v>500119045</x:v>
      </x:c>
      <x:c r="K551" s="12" t="str">
        <x:v>臺大農業陳列館北側</x:v>
      </x:c>
      <x:c r="L551" s="12" t="str">
        <x:v>ZZB* 且調出/調入且車種2.0/2.0E</x:v>
      </x:c>
    </x:row>
    <x:row r="552">
      <x:c r="A552" s="12" t="str">
        <x:v>2026-09-08</x:v>
      </x:c>
      <x:c r="B552" s="12" t="str">
        <x:v>2026-09-08 08:32:50</x:v>
      </x:c>
      <x:c r="C552" s="12" t="str">
        <x:v>08:00</x:v>
      </x:c>
      <x:c r="D552" s="12" t="str">
        <x:v>06–09</x:v>
      </x:c>
      <x:c r="E552" s="12" t="str">
        <x:v>ZZB-0004</x:v>
      </x:c>
      <x:c r="F552" s="12" t="str">
        <x:v>調出</x:v>
      </x:c>
      <x:c r="G552" s="12" t="str">
        <x:v>2.0</x:v>
      </x:c>
      <x:c r="H552" s="13" t="n">
        <x:v>5</x:v>
      </x:c>
      <x:c r="I552" s="12" t="str">
        <x:v>台北市</x:v>
      </x:c>
      <x:c r="J552" s="12" t="str">
        <x:v>500119050</x:v>
      </x:c>
      <x:c r="K552" s="12" t="str">
        <x:v>臺大小福樓東側</x:v>
      </x:c>
      <x:c r="L552" s="12" t="str">
        <x:v>ZZB* 且調出/調入且車種2.0/2.0E</x:v>
      </x:c>
    </x:row>
    <x:row r="553">
      <x:c r="A553" s="12" t="str">
        <x:v>2026-09-08</x:v>
      </x:c>
      <x:c r="B553" s="12" t="str">
        <x:v>2026-09-08 08:39:22</x:v>
      </x:c>
      <x:c r="C553" s="12" t="str">
        <x:v>08:00</x:v>
      </x:c>
      <x:c r="D553" s="12" t="str">
        <x:v>06–09</x:v>
      </x:c>
      <x:c r="E553" s="12" t="str">
        <x:v>ZZB-0004</x:v>
      </x:c>
      <x:c r="F553" s="12" t="str">
        <x:v>調入</x:v>
      </x:c>
      <x:c r="G553" s="12" t="str">
        <x:v>2.0</x:v>
      </x:c>
      <x:c r="H553" s="13" t="n">
        <x:v>5</x:v>
      </x:c>
      <x:c r="I553" s="12" t="str">
        <x:v>台北市</x:v>
      </x:c>
      <x:c r="J553" s="12" t="str">
        <x:v>500119097</x:v>
      </x:c>
      <x:c r="K553" s="12" t="str">
        <x:v>臺大人文館</x:v>
      </x:c>
      <x:c r="L553" s="12" t="str">
        <x:v>ZZB* 且調出/調入且車種2.0/2.0E</x:v>
      </x:c>
    </x:row>
    <x:row r="554">
      <x:c r="A554" s="12" t="str">
        <x:v>2026-09-08</x:v>
      </x:c>
      <x:c r="B554" s="12" t="str">
        <x:v>2026-09-08 08:50:57</x:v>
      </x:c>
      <x:c r="C554" s="12" t="str">
        <x:v>08:00</x:v>
      </x:c>
      <x:c r="D554" s="12" t="str">
        <x:v>06–09</x:v>
      </x:c>
      <x:c r="E554" s="12" t="str">
        <x:v>ZZB-0004</x:v>
      </x:c>
      <x:c r="F554" s="12" t="str">
        <x:v>調出</x:v>
      </x:c>
      <x:c r="G554" s="12" t="str">
        <x:v>2.0</x:v>
      </x:c>
      <x:c r="H554" s="13" t="n">
        <x:v>5</x:v>
      </x:c>
      <x:c r="I554" s="12" t="str">
        <x:v>台北市</x:v>
      </x:c>
      <x:c r="J554" s="12" t="str">
        <x:v>500119050</x:v>
      </x:c>
      <x:c r="K554" s="12" t="str">
        <x:v>臺大小福樓東側</x:v>
      </x:c>
      <x:c r="L554" s="12" t="str">
        <x:v>ZZB* 且調出/調入且車種2.0/2.0E</x:v>
      </x:c>
    </x:row>
    <x:row r="555">
      <x:c r="A555" s="12" t="str">
        <x:v>2026-09-08</x:v>
      </x:c>
      <x:c r="B555" s="12" t="str">
        <x:v>2026-09-08 08:57:45</x:v>
      </x:c>
      <x:c r="C555" s="12" t="str">
        <x:v>08:00</x:v>
      </x:c>
      <x:c r="D555" s="12" t="str">
        <x:v>06–09</x:v>
      </x:c>
      <x:c r="E555" s="12" t="str">
        <x:v>ZZB-0004</x:v>
      </x:c>
      <x:c r="F555" s="12" t="str">
        <x:v>調入</x:v>
      </x:c>
      <x:c r="G555" s="12" t="str">
        <x:v>2.0</x:v>
      </x:c>
      <x:c r="H555" s="13" t="n">
        <x:v>5</x:v>
      </x:c>
      <x:c r="I555" s="12" t="str">
        <x:v>台北市</x:v>
      </x:c>
      <x:c r="J555" s="12" t="str">
        <x:v>500119045</x:v>
      </x:c>
      <x:c r="K555" s="12" t="str">
        <x:v>臺大農業陳列館北側</x:v>
      </x:c>
      <x:c r="L555" s="12" t="str">
        <x:v>ZZB* 且調出/調入且車種2.0/2.0E</x:v>
      </x:c>
    </x:row>
    <x:row r="556">
      <x:c r="A556" s="12" t="str">
        <x:v>2026-09-08</x:v>
      </x:c>
      <x:c r="B556" s="12" t="str">
        <x:v>2026-09-08 09:05:20</x:v>
      </x:c>
      <x:c r="C556" s="12" t="str">
        <x:v>09:00</x:v>
      </x:c>
      <x:c r="D556" s="12" t="str">
        <x:v>06–09</x:v>
      </x:c>
      <x:c r="E556" s="12" t="str">
        <x:v>ZZB-0004</x:v>
      </x:c>
      <x:c r="F556" s="12" t="str">
        <x:v>調出</x:v>
      </x:c>
      <x:c r="G556" s="12" t="str">
        <x:v>2.0</x:v>
      </x:c>
      <x:c r="H556" s="13" t="n">
        <x:v>6</x:v>
      </x:c>
      <x:c r="I556" s="12" t="str">
        <x:v>台北市</x:v>
      </x:c>
      <x:c r="J556" s="12" t="str">
        <x:v>500119050</x:v>
      </x:c>
      <x:c r="K556" s="12" t="str">
        <x:v>臺大小福樓東側</x:v>
      </x:c>
      <x:c r="L556" s="12" t="str">
        <x:v>ZZB* 且調出/調入且車種2.0/2.0E</x:v>
      </x:c>
    </x:row>
    <x:row r="557">
      <x:c r="A557" s="12" t="str">
        <x:v>2026-09-08</x:v>
      </x:c>
      <x:c r="B557" s="12" t="str">
        <x:v>2026-09-08 09:12:08</x:v>
      </x:c>
      <x:c r="C557" s="12" t="str">
        <x:v>09:00</x:v>
      </x:c>
      <x:c r="D557" s="12" t="str">
        <x:v>06–09</x:v>
      </x:c>
      <x:c r="E557" s="12" t="str">
        <x:v>ZZB-0004</x:v>
      </x:c>
      <x:c r="F557" s="12" t="str">
        <x:v>調入</x:v>
      </x:c>
      <x:c r="G557" s="12" t="str">
        <x:v>2.0</x:v>
      </x:c>
      <x:c r="H557" s="13" t="n">
        <x:v>6</x:v>
      </x:c>
      <x:c r="I557" s="12" t="str">
        <x:v>台北市</x:v>
      </x:c>
      <x:c r="J557" s="12" t="str">
        <x:v>500119097</x:v>
      </x:c>
      <x:c r="K557" s="12" t="str">
        <x:v>臺大人文館</x:v>
      </x:c>
      <x:c r="L557" s="12" t="str">
        <x:v>ZZB* 且調出/調入且車種2.0/2.0E</x:v>
      </x:c>
    </x:row>
    <x:row r="558">
      <x:c r="A558" s="12" t="str">
        <x:v>2026-09-08</x:v>
      </x:c>
      <x:c r="B558" s="12" t="str">
        <x:v>2026-09-08 09:20:06</x:v>
      </x:c>
      <x:c r="C558" s="12" t="str">
        <x:v>09:00</x:v>
      </x:c>
      <x:c r="D558" s="12" t="str">
        <x:v>06–09</x:v>
      </x:c>
      <x:c r="E558" s="12" t="str">
        <x:v>ZZB-0004</x:v>
      </x:c>
      <x:c r="F558" s="12" t="str">
        <x:v>調出</x:v>
      </x:c>
      <x:c r="G558" s="12" t="str">
        <x:v>2.0</x:v>
      </x:c>
      <x:c r="H558" s="13" t="n">
        <x:v>7</x:v>
      </x:c>
      <x:c r="I558" s="12" t="str">
        <x:v>台北市</x:v>
      </x:c>
      <x:c r="J558" s="12" t="str">
        <x:v>500119050</x:v>
      </x:c>
      <x:c r="K558" s="12" t="str">
        <x:v>臺大小福樓東側</x:v>
      </x:c>
      <x:c r="L558" s="12" t="str">
        <x:v>ZZB* 且調出/調入且車種2.0/2.0E</x:v>
      </x:c>
    </x:row>
    <x:row r="559">
      <x:c r="A559" s="12" t="str">
        <x:v>2026-09-08</x:v>
      </x:c>
      <x:c r="B559" s="12" t="str">
        <x:v>2026-09-08 09:34:01</x:v>
      </x:c>
      <x:c r="C559" s="12" t="str">
        <x:v>09:00</x:v>
      </x:c>
      <x:c r="D559" s="12" t="str">
        <x:v>06–09</x:v>
      </x:c>
      <x:c r="E559" s="12" t="str">
        <x:v>ZZB-0004</x:v>
      </x:c>
      <x:c r="F559" s="12" t="str">
        <x:v>調入</x:v>
      </x:c>
      <x:c r="G559" s="12" t="str">
        <x:v>2.0</x:v>
      </x:c>
      <x:c r="H559" s="13" t="n">
        <x:v>7</x:v>
      </x:c>
      <x:c r="I559" s="12" t="str">
        <x:v>台北市</x:v>
      </x:c>
      <x:c r="J559" s="12" t="str">
        <x:v>500119097</x:v>
      </x:c>
      <x:c r="K559" s="12" t="str">
        <x:v>臺大人文館</x:v>
      </x:c>
      <x:c r="L559" s="12" t="str">
        <x:v>ZZB* 且調出/調入且車種2.0/2.0E</x:v>
      </x:c>
    </x:row>
    <x:row r="560">
      <x:c r="A560" s="12" t="str">
        <x:v>2026-09-08</x:v>
      </x:c>
      <x:c r="B560" s="12" t="str">
        <x:v>2026-09-08 09:42:16</x:v>
      </x:c>
      <x:c r="C560" s="12" t="str">
        <x:v>09:00</x:v>
      </x:c>
      <x:c r="D560" s="12" t="str">
        <x:v>06–09</x:v>
      </x:c>
      <x:c r="E560" s="12" t="str">
        <x:v>ZZB-0004</x:v>
      </x:c>
      <x:c r="F560" s="12" t="str">
        <x:v>調出</x:v>
      </x:c>
      <x:c r="G560" s="12" t="str">
        <x:v>2.0</x:v>
      </x:c>
      <x:c r="H560" s="13" t="n">
        <x:v>7</x:v>
      </x:c>
      <x:c r="I560" s="12" t="str">
        <x:v>台北市</x:v>
      </x:c>
      <x:c r="J560" s="12" t="str">
        <x:v>500119050</x:v>
      </x:c>
      <x:c r="K560" s="12" t="str">
        <x:v>臺大小福樓東側</x:v>
      </x:c>
      <x:c r="L560" s="12" t="str">
        <x:v>ZZB* 且調出/調入且車種2.0/2.0E</x:v>
      </x:c>
    </x:row>
    <x:row r="561">
      <x:c r="A561" s="12" t="str">
        <x:v>2026-09-08</x:v>
      </x:c>
      <x:c r="B561" s="12" t="str">
        <x:v>2026-09-08 10:10:23</x:v>
      </x:c>
      <x:c r="C561" s="12" t="str">
        <x:v>10:00</x:v>
      </x:c>
      <x:c r="D561" s="12" t="str">
        <x:v>10–13</x:v>
      </x:c>
      <x:c r="E561" s="12" t="str">
        <x:v>ZZB-0004</x:v>
      </x:c>
      <x:c r="F561" s="12" t="str">
        <x:v>調入</x:v>
      </x:c>
      <x:c r="G561" s="12" t="str">
        <x:v>2.0</x:v>
      </x:c>
      <x:c r="H561" s="13" t="n">
        <x:v>7</x:v>
      </x:c>
      <x:c r="I561" s="12" t="str">
        <x:v>台北市</x:v>
      </x:c>
      <x:c r="J561" s="12" t="str">
        <x:v>500101032</x:v>
      </x:c>
      <x:c r="K561" s="12" t="str">
        <x:v>臺大男一舍前</x:v>
      </x:c>
      <x:c r="L561" s="12" t="str">
        <x:v>ZZB* 且調出/調入且車種2.0/2.0E</x:v>
      </x:c>
    </x:row>
    <x:row r="562">
      <x:c r="A562" s="12" t="str">
        <x:v>2026-09-08</x:v>
      </x:c>
      <x:c r="B562" s="12" t="str">
        <x:v>2026-09-08 10:24:31</x:v>
      </x:c>
      <x:c r="C562" s="12" t="str">
        <x:v>10:00</x:v>
      </x:c>
      <x:c r="D562" s="12" t="str">
        <x:v>10–13</x:v>
      </x:c>
      <x:c r="E562" s="12" t="str">
        <x:v>ZZB-0004</x:v>
      </x:c>
      <x:c r="F562" s="12" t="str">
        <x:v>調出</x:v>
      </x:c>
      <x:c r="G562" s="12" t="str">
        <x:v>2.0</x:v>
      </x:c>
      <x:c r="H562" s="13" t="n">
        <x:v>6</x:v>
      </x:c>
      <x:c r="I562" s="12" t="str">
        <x:v>台北市</x:v>
      </x:c>
      <x:c r="J562" s="12" t="str">
        <x:v>500119052</x:v>
      </x:c>
      <x:c r="K562" s="12" t="str">
        <x:v>臺大工綜館南側</x:v>
      </x:c>
      <x:c r="L562" s="12" t="str">
        <x:v>ZZB* 且調出/調入且車種2.0/2.0E</x:v>
      </x:c>
    </x:row>
    <x:row r="563">
      <x:c r="A563" s="12" t="str">
        <x:v>2026-09-08</x:v>
      </x:c>
      <x:c r="B563" s="12" t="str">
        <x:v>2026-09-08 10:37:36</x:v>
      </x:c>
      <x:c r="C563" s="12" t="str">
        <x:v>10:00</x:v>
      </x:c>
      <x:c r="D563" s="12" t="str">
        <x:v>10–13</x:v>
      </x:c>
      <x:c r="E563" s="12" t="str">
        <x:v>ZZB-0004</x:v>
      </x:c>
      <x:c r="F563" s="12" t="str">
        <x:v>調入</x:v>
      </x:c>
      <x:c r="G563" s="12" t="str">
        <x:v>2.0</x:v>
      </x:c>
      <x:c r="H563" s="13" t="n">
        <x:v>6</x:v>
      </x:c>
      <x:c r="I563" s="12" t="str">
        <x:v>台北市</x:v>
      </x:c>
      <x:c r="J563" s="12" t="str">
        <x:v>500101032</x:v>
      </x:c>
      <x:c r="K563" s="12" t="str">
        <x:v>臺大男一舍前</x:v>
      </x:c>
      <x:c r="L563" s="12" t="str">
        <x:v>ZZB* 且調出/調入且車種2.0/2.0E</x:v>
      </x:c>
    </x:row>
    <x:row r="564">
      <x:c r="A564" s="12" t="str">
        <x:v>2026-09-08</x:v>
      </x:c>
      <x:c r="B564" s="12" t="str">
        <x:v>2026-09-08 10:48:16</x:v>
      </x:c>
      <x:c r="C564" s="12" t="str">
        <x:v>10:00</x:v>
      </x:c>
      <x:c r="D564" s="12" t="str">
        <x:v>10–13</x:v>
      </x:c>
      <x:c r="E564" s="12" t="str">
        <x:v>ZZB-0004</x:v>
      </x:c>
      <x:c r="F564" s="12" t="str">
        <x:v>調出</x:v>
      </x:c>
      <x:c r="G564" s="12" t="str">
        <x:v>2.0</x:v>
      </x:c>
      <x:c r="H564" s="13" t="n">
        <x:v>6</x:v>
      </x:c>
      <x:c r="I564" s="12" t="str">
        <x:v>台北市</x:v>
      </x:c>
      <x:c r="J564" s="12" t="str">
        <x:v>500119085</x:v>
      </x:c>
      <x:c r="K564" s="12" t="str">
        <x:v>臺大電機二館東南側</x:v>
      </x:c>
      <x:c r="L564" s="12" t="str">
        <x:v>ZZB* 且調出/調入且車種2.0/2.0E</x:v>
      </x:c>
    </x:row>
    <x:row r="565">
      <x:c r="A565" s="12" t="str">
        <x:v>2026-09-08</x:v>
      </x:c>
      <x:c r="B565" s="12" t="str">
        <x:v>2026-09-08 10:54:20</x:v>
      </x:c>
      <x:c r="C565" s="12" t="str">
        <x:v>10:00</x:v>
      </x:c>
      <x:c r="D565" s="12" t="str">
        <x:v>10–13</x:v>
      </x:c>
      <x:c r="E565" s="12" t="str">
        <x:v>ZZB-0004</x:v>
      </x:c>
      <x:c r="F565" s="12" t="str">
        <x:v>調入</x:v>
      </x:c>
      <x:c r="G565" s="12" t="str">
        <x:v>2.0</x:v>
      </x:c>
      <x:c r="H565" s="13" t="n">
        <x:v>6</x:v>
      </x:c>
      <x:c r="I565" s="12" t="str">
        <x:v>台北市</x:v>
      </x:c>
      <x:c r="J565" s="12" t="str">
        <x:v>500119064</x:v>
      </x:c>
      <x:c r="K565" s="12" t="str">
        <x:v>臺大明達館機車停車場</x:v>
      </x:c>
      <x:c r="L565" s="12" t="str">
        <x:v>ZZB* 且調出/調入且車種2.0/2.0E</x:v>
      </x:c>
    </x:row>
    <x:row r="566">
      <x:c r="A566" s="12" t="str">
        <x:v>2026-09-08</x:v>
      </x:c>
      <x:c r="B566" s="12" t="str">
        <x:v>2026-09-08 13:08:27</x:v>
      </x:c>
      <x:c r="C566" s="12" t="str">
        <x:v>13:00</x:v>
      </x:c>
      <x:c r="D566" s="12" t="str">
        <x:v>10–13</x:v>
      </x:c>
      <x:c r="E566" s="12" t="str">
        <x:v>ZZB-0004</x:v>
      </x:c>
      <x:c r="F566" s="12" t="str">
        <x:v>調出</x:v>
      </x:c>
      <x:c r="G566" s="12" t="str">
        <x:v>2.0</x:v>
      </x:c>
      <x:c r="H566" s="13" t="n">
        <x:v>7</x:v>
      </x:c>
      <x:c r="I566" s="12" t="str">
        <x:v>台北市</x:v>
      </x:c>
      <x:c r="J566" s="12" t="str">
        <x:v>500119076</x:v>
      </x:c>
      <x:c r="K566" s="12" t="str">
        <x:v>臺大博理館西側</x:v>
      </x:c>
      <x:c r="L566" s="12" t="str">
        <x:v>ZZB* 且調出/調入且車種2.0/2.0E</x:v>
      </x:c>
    </x:row>
    <x:row r="567">
      <x:c r="A567" s="12" t="str">
        <x:v>2026-09-08</x:v>
      </x:c>
      <x:c r="B567" s="12" t="str">
        <x:v>2026-09-08 13:08:44</x:v>
      </x:c>
      <x:c r="C567" s="12" t="str">
        <x:v>13:00</x:v>
      </x:c>
      <x:c r="D567" s="12" t="str">
        <x:v>10–13</x:v>
      </x:c>
      <x:c r="E567" s="12" t="str">
        <x:v>ZZB-0004</x:v>
      </x:c>
      <x:c r="F567" s="12" t="str">
        <x:v>調入</x:v>
      </x:c>
      <x:c r="G567" s="12" t="str">
        <x:v>2.0</x:v>
      </x:c>
      <x:c r="H567" s="13" t="n">
        <x:v>7</x:v>
      </x:c>
      <x:c r="I567" s="12" t="str">
        <x:v>台北市</x:v>
      </x:c>
      <x:c r="J567" s="12" t="str">
        <x:v>500119097</x:v>
      </x:c>
      <x:c r="K567" s="12" t="str">
        <x:v>臺大人文館</x:v>
      </x:c>
      <x:c r="L567" s="12" t="str">
        <x:v>ZZB* 且調出/調入且車種2.0/2.0E</x:v>
      </x:c>
    </x:row>
    <x:row r="568">
      <x:c r="A568" s="12" t="str">
        <x:v>2026-09-08</x:v>
      </x:c>
      <x:c r="B568" s="12" t="str">
        <x:v>2026-09-08 13:25:16</x:v>
      </x:c>
      <x:c r="C568" s="12" t="str">
        <x:v>13:00</x:v>
      </x:c>
      <x:c r="D568" s="12" t="str">
        <x:v>10–13</x:v>
      </x:c>
      <x:c r="E568" s="12" t="str">
        <x:v>ZZB-0004</x:v>
      </x:c>
      <x:c r="F568" s="12" t="str">
        <x:v>調出</x:v>
      </x:c>
      <x:c r="G568" s="12" t="str">
        <x:v>2.0</x:v>
      </x:c>
      <x:c r="H568" s="13" t="n">
        <x:v>7</x:v>
      </x:c>
      <x:c r="I568" s="12" t="str">
        <x:v>台北市</x:v>
      </x:c>
      <x:c r="J568" s="12" t="str">
        <x:v>500119083</x:v>
      </x:c>
      <x:c r="K568" s="12" t="str">
        <x:v>臺大新生教室南側</x:v>
      </x:c>
      <x:c r="L568" s="12" t="str">
        <x:v>ZZB* 且調出/調入且車種2.0/2.0E</x:v>
      </x:c>
    </x:row>
    <x:row r="569">
      <x:c r="A569" s="12" t="str">
        <x:v>2026-09-08</x:v>
      </x:c>
      <x:c r="B569" s="12" t="str">
        <x:v>2026-09-08 13:25:28</x:v>
      </x:c>
      <x:c r="C569" s="12" t="str">
        <x:v>13:00</x:v>
      </x:c>
      <x:c r="D569" s="12" t="str">
        <x:v>10–13</x:v>
      </x:c>
      <x:c r="E569" s="12" t="str">
        <x:v>ZZB-0004</x:v>
      </x:c>
      <x:c r="F569" s="12" t="str">
        <x:v>調入</x:v>
      </x:c>
      <x:c r="G569" s="12" t="str">
        <x:v>2.0</x:v>
      </x:c>
      <x:c r="H569" s="13" t="n">
        <x:v>7</x:v>
      </x:c>
      <x:c r="I569" s="12" t="str">
        <x:v>台北市</x:v>
      </x:c>
      <x:c r="J569" s="12" t="str">
        <x:v>500119045</x:v>
      </x:c>
      <x:c r="K569" s="12" t="str">
        <x:v>臺大農業陳列館北側</x:v>
      </x:c>
      <x:c r="L569" s="12" t="str">
        <x:v>ZZB* 且調出/調入且車種2.0/2.0E</x:v>
      </x:c>
    </x:row>
    <x:row r="570">
      <x:c r="A570" s="12" t="str">
        <x:v>2026-09-08</x:v>
      </x:c>
      <x:c r="B570" s="12" t="str">
        <x:v>2026-09-08 13:40:29</x:v>
      </x:c>
      <x:c r="C570" s="12" t="str">
        <x:v>13:00</x:v>
      </x:c>
      <x:c r="D570" s="12" t="str">
        <x:v>10–13</x:v>
      </x:c>
      <x:c r="E570" s="12" t="str">
        <x:v>ZZB-0004</x:v>
      </x:c>
      <x:c r="F570" s="12" t="str">
        <x:v>調出</x:v>
      </x:c>
      <x:c r="G570" s="12" t="str">
        <x:v>2.0</x:v>
      </x:c>
      <x:c r="H570" s="13" t="n">
        <x:v>7</x:v>
      </x:c>
      <x:c r="I570" s="12" t="str">
        <x:v>台北市</x:v>
      </x:c>
      <x:c r="J570" s="12" t="str">
        <x:v>500119050</x:v>
      </x:c>
      <x:c r="K570" s="12" t="str">
        <x:v>臺大小福樓東側</x:v>
      </x:c>
      <x:c r="L570" s="12" t="str">
        <x:v>ZZB* 且調出/調入且車種2.0/2.0E</x:v>
      </x:c>
    </x:row>
    <x:row r="571">
      <x:c r="A571" s="12" t="str">
        <x:v>2026-09-08</x:v>
      </x:c>
      <x:c r="B571" s="12" t="str">
        <x:v>2026-09-08 13:40:39</x:v>
      </x:c>
      <x:c r="C571" s="12" t="str">
        <x:v>13:00</x:v>
      </x:c>
      <x:c r="D571" s="12" t="str">
        <x:v>10–13</x:v>
      </x:c>
      <x:c r="E571" s="12" t="str">
        <x:v>ZZB-0004</x:v>
      </x:c>
      <x:c r="F571" s="12" t="str">
        <x:v>調入</x:v>
      </x:c>
      <x:c r="G571" s="12" t="str">
        <x:v>2.0</x:v>
      </x:c>
      <x:c r="H571" s="13" t="n">
        <x:v>7</x:v>
      </x:c>
      <x:c r="I571" s="12" t="str">
        <x:v>台北市</x:v>
      </x:c>
      <x:c r="J571" s="12" t="str">
        <x:v>500119045</x:v>
      </x:c>
      <x:c r="K571" s="12" t="str">
        <x:v>臺大農業陳列館北側</x:v>
      </x:c>
      <x:c r="L571" s="12" t="str">
        <x:v>ZZB* 且調出/調入且車種2.0/2.0E</x:v>
      </x:c>
    </x:row>
    <x:row r="572">
      <x:c r="A572" s="12" t="str">
        <x:v>2026-09-08</x:v>
      </x:c>
      <x:c r="B572" s="12" t="str">
        <x:v>2026-09-08 13:56:40</x:v>
      </x:c>
      <x:c r="C572" s="12" t="str">
        <x:v>13:00</x:v>
      </x:c>
      <x:c r="D572" s="12" t="str">
        <x:v>10–13</x:v>
      </x:c>
      <x:c r="E572" s="12" t="str">
        <x:v>ZZB-0004</x:v>
      </x:c>
      <x:c r="F572" s="12" t="str">
        <x:v>調出</x:v>
      </x:c>
      <x:c r="G572" s="12" t="str">
        <x:v>2.0</x:v>
      </x:c>
      <x:c r="H572" s="13" t="n">
        <x:v>7</x:v>
      </x:c>
      <x:c r="I572" s="12" t="str">
        <x:v>台北市</x:v>
      </x:c>
      <x:c r="J572" s="12" t="str">
        <x:v>500119069</x:v>
      </x:c>
      <x:c r="K572" s="12" t="str">
        <x:v>臺大思亮館東南側</x:v>
      </x:c>
      <x:c r="L572" s="12" t="str">
        <x:v>ZZB* 且調出/調入且車種2.0/2.0E</x:v>
      </x:c>
    </x:row>
    <x:row r="573">
      <x:c r="A573" s="12" t="str">
        <x:v>2026-09-08</x:v>
      </x:c>
      <x:c r="B573" s="12" t="str">
        <x:v>2026-09-08 13:56:52</x:v>
      </x:c>
      <x:c r="C573" s="12" t="str">
        <x:v>13:00</x:v>
      </x:c>
      <x:c r="D573" s="12" t="str">
        <x:v>10–13</x:v>
      </x:c>
      <x:c r="E573" s="12" t="str">
        <x:v>ZZB-0004</x:v>
      </x:c>
      <x:c r="F573" s="12" t="str">
        <x:v>調入</x:v>
      </x:c>
      <x:c r="G573" s="12" t="str">
        <x:v>2.0</x:v>
      </x:c>
      <x:c r="H573" s="13" t="n">
        <x:v>7</x:v>
      </x:c>
      <x:c r="I573" s="12" t="str">
        <x:v>台北市</x:v>
      </x:c>
      <x:c r="J573" s="12" t="str">
        <x:v>500119045</x:v>
      </x:c>
      <x:c r="K573" s="12" t="str">
        <x:v>臺大農業陳列館北側</x:v>
      </x:c>
      <x:c r="L573" s="12" t="str">
        <x:v>ZZB* 且調出/調入且車種2.0/2.0E</x:v>
      </x:c>
    </x:row>
    <x:row r="574">
      <x:c r="A574" s="12" t="str">
        <x:v>2026-09-08</x:v>
      </x:c>
      <x:c r="B574" s="12" t="str">
        <x:v>2026-09-08 14:26:42</x:v>
      </x:c>
      <x:c r="C574" s="12" t="str">
        <x:v>14:00</x:v>
      </x:c>
      <x:c r="D574" s="12" t="str">
        <x:v>14–17</x:v>
      </x:c>
      <x:c r="E574" s="12" t="str">
        <x:v>ZZB-0004</x:v>
      </x:c>
      <x:c r="F574" s="12" t="str">
        <x:v>調出</x:v>
      </x:c>
      <x:c r="G574" s="12" t="str">
        <x:v>2.0</x:v>
      </x:c>
      <x:c r="H574" s="13" t="n">
        <x:v>7</x:v>
      </x:c>
      <x:c r="I574" s="12" t="str">
        <x:v>台北市</x:v>
      </x:c>
      <x:c r="J574" s="12" t="str">
        <x:v>500119071</x:v>
      </x:c>
      <x:c r="K574" s="12" t="str">
        <x:v>臺大計資中心南側</x:v>
      </x:c>
      <x:c r="L574" s="12" t="str">
        <x:v>ZZB* 且調出/調入且車種2.0/2.0E</x:v>
      </x:c>
    </x:row>
    <x:row r="575">
      <x:c r="A575" s="12" t="str">
        <x:v>2026-09-08</x:v>
      </x:c>
      <x:c r="B575" s="12" t="str">
        <x:v>2026-09-08 14:26:52</x:v>
      </x:c>
      <x:c r="C575" s="12" t="str">
        <x:v>14:00</x:v>
      </x:c>
      <x:c r="D575" s="12" t="str">
        <x:v>14–17</x:v>
      </x:c>
      <x:c r="E575" s="12" t="str">
        <x:v>ZZB-0004</x:v>
      </x:c>
      <x:c r="F575" s="12" t="str">
        <x:v>調入</x:v>
      </x:c>
      <x:c r="G575" s="12" t="str">
        <x:v>2.0</x:v>
      </x:c>
      <x:c r="H575" s="13" t="n">
        <x:v>7</x:v>
      </x:c>
      <x:c r="I575" s="12" t="str">
        <x:v>台北市</x:v>
      </x:c>
      <x:c r="J575" s="12" t="str">
        <x:v>500119045</x:v>
      </x:c>
      <x:c r="K575" s="12" t="str">
        <x:v>臺大農業陳列館北側</x:v>
      </x:c>
      <x:c r="L575" s="12" t="str">
        <x:v>ZZB* 且調出/調入且車種2.0/2.0E</x:v>
      </x:c>
    </x:row>
    <x:row r="576">
      <x:c r="A576" s="12" t="str">
        <x:v>2026-09-08</x:v>
      </x:c>
      <x:c r="B576" s="12" t="str">
        <x:v>2026-09-08 17:24:44</x:v>
      </x:c>
      <x:c r="C576" s="12" t="str">
        <x:v>17:00</x:v>
      </x:c>
      <x:c r="D576" s="12" t="str">
        <x:v>14–17</x:v>
      </x:c>
      <x:c r="E576" s="12" t="str">
        <x:v>ZZB-0004</x:v>
      </x:c>
      <x:c r="F576" s="12" t="str">
        <x:v>調出</x:v>
      </x:c>
      <x:c r="G576" s="12" t="str">
        <x:v>2.0</x:v>
      </x:c>
      <x:c r="H576" s="13" t="n">
        <x:v>10</x:v>
      </x:c>
      <x:c r="I576" s="12" t="str">
        <x:v>台北市</x:v>
      </x:c>
      <x:c r="J576" s="12" t="str">
        <x:v>500101276</x:v>
      </x:c>
      <x:c r="K576" s="12" t="str">
        <x:v>羅斯福新生南路口</x:v>
      </x:c>
      <x:c r="L576" s="12" t="str">
        <x:v>ZZB* 且調出/調入且車種2.0/2.0E</x:v>
      </x:c>
    </x:row>
    <x:row r="577">
      <x:c r="A577" s="12" t="str">
        <x:v>2026-09-08</x:v>
      </x:c>
      <x:c r="B577" s="12" t="str">
        <x:v>2026-09-08 17:24:58</x:v>
      </x:c>
      <x:c r="C577" s="12" t="str">
        <x:v>17:00</x:v>
      </x:c>
      <x:c r="D577" s="12" t="str">
        <x:v>14–17</x:v>
      </x:c>
      <x:c r="E577" s="12" t="str">
        <x:v>ZZB-0004</x:v>
      </x:c>
      <x:c r="F577" s="12" t="str">
        <x:v>調入</x:v>
      </x:c>
      <x:c r="G577" s="12" t="str">
        <x:v>2.0</x:v>
      </x:c>
      <x:c r="H577" s="13" t="n">
        <x:v>10</x:v>
      </x:c>
      <x:c r="I577" s="12" t="str">
        <x:v>台北市</x:v>
      </x:c>
      <x:c r="J577" s="12" t="str">
        <x:v>500119047</x:v>
      </x:c>
      <x:c r="K577" s="12" t="str">
        <x:v>臺大土木系館</x:v>
      </x:c>
      <x:c r="L577" s="12" t="str">
        <x:v>ZZB* 且調出/調入且車種2.0/2.0E</x:v>
      </x:c>
    </x:row>
    <x:row r="578">
      <x:c r="A578" s="12" t="str">
        <x:v>2026-09-08</x:v>
      </x:c>
      <x:c r="B578" s="12" t="str">
        <x:v>2026-09-08 17:44:38</x:v>
      </x:c>
      <x:c r="C578" s="12" t="str">
        <x:v>17:00</x:v>
      </x:c>
      <x:c r="D578" s="12" t="str">
        <x:v>14–17</x:v>
      </x:c>
      <x:c r="E578" s="12" t="str">
        <x:v>ZZB-0004</x:v>
      </x:c>
      <x:c r="F578" s="12" t="str">
        <x:v>調出</x:v>
      </x:c>
      <x:c r="G578" s="12" t="str">
        <x:v>2.0</x:v>
      </x:c>
      <x:c r="H578" s="13" t="n">
        <x:v>10</x:v>
      </x:c>
      <x:c r="I578" s="12" t="str">
        <x:v>台北市</x:v>
      </x:c>
      <x:c r="J578" s="12" t="str">
        <x:v>500101276</x:v>
      </x:c>
      <x:c r="K578" s="12" t="str">
        <x:v>羅斯福新生南路口</x:v>
      </x:c>
      <x:c r="L578" s="12" t="str">
        <x:v>ZZB* 且調出/調入且車種2.0/2.0E</x:v>
      </x:c>
    </x:row>
    <x:row r="579">
      <x:c r="A579" s="12" t="str">
        <x:v>2026-09-08</x:v>
      </x:c>
      <x:c r="B579" s="12" t="str">
        <x:v>2026-09-08 17:44:51</x:v>
      </x:c>
      <x:c r="C579" s="12" t="str">
        <x:v>17:00</x:v>
      </x:c>
      <x:c r="D579" s="12" t="str">
        <x:v>14–17</x:v>
      </x:c>
      <x:c r="E579" s="12" t="str">
        <x:v>ZZB-0004</x:v>
      </x:c>
      <x:c r="F579" s="12" t="str">
        <x:v>調入</x:v>
      </x:c>
      <x:c r="G579" s="12" t="str">
        <x:v>2.0</x:v>
      </x:c>
      <x:c r="H579" s="13" t="n">
        <x:v>10</x:v>
      </x:c>
      <x:c r="I579" s="12" t="str">
        <x:v>台北市</x:v>
      </x:c>
      <x:c r="J579" s="12" t="str">
        <x:v>500119047</x:v>
      </x:c>
      <x:c r="K579" s="12" t="str">
        <x:v>臺大土木系館</x:v>
      </x:c>
      <x:c r="L579" s="12" t="str">
        <x:v>ZZB* 且調出/調入且車種2.0/2.0E</x:v>
      </x:c>
    </x:row>
    <x:row r="580">
      <x:c r="A580" s="12" t="str">
        <x:v>2026-09-08</x:v>
      </x:c>
      <x:c r="B580" s="12" t="str">
        <x:v>2026-09-08 18:03:12</x:v>
      </x:c>
      <x:c r="C580" s="12" t="str">
        <x:v>18:00</x:v>
      </x:c>
      <x:c r="D580" s="12" t="str">
        <x:v>18–21</x:v>
      </x:c>
      <x:c r="E580" s="12" t="str">
        <x:v>ZZB-0004</x:v>
      </x:c>
      <x:c r="F580" s="12" t="str">
        <x:v>調出</x:v>
      </x:c>
      <x:c r="G580" s="12" t="str">
        <x:v>2.0</x:v>
      </x:c>
      <x:c r="H580" s="13" t="n">
        <x:v>8</x:v>
      </x:c>
      <x:c r="I580" s="12" t="str">
        <x:v>台北市</x:v>
      </x:c>
      <x:c r="J580" s="12" t="str">
        <x:v>500101276</x:v>
      </x:c>
      <x:c r="K580" s="12" t="str">
        <x:v>羅斯福新生南路口</x:v>
      </x:c>
      <x:c r="L580" s="12" t="str">
        <x:v>ZZB* 且調出/調入且車種2.0/2.0E</x:v>
      </x:c>
    </x:row>
    <x:row r="581">
      <x:c r="A581" s="12" t="str">
        <x:v>2026-09-08</x:v>
      </x:c>
      <x:c r="B581" s="12" t="str">
        <x:v>2026-09-08 18:03:31</x:v>
      </x:c>
      <x:c r="C581" s="12" t="str">
        <x:v>18:00</x:v>
      </x:c>
      <x:c r="D581" s="12" t="str">
        <x:v>18–21</x:v>
      </x:c>
      <x:c r="E581" s="12" t="str">
        <x:v>ZZB-0004</x:v>
      </x:c>
      <x:c r="F581" s="12" t="str">
        <x:v>調入</x:v>
      </x:c>
      <x:c r="G581" s="12" t="str">
        <x:v>2.0</x:v>
      </x:c>
      <x:c r="H581" s="13" t="n">
        <x:v>8</x:v>
      </x:c>
      <x:c r="I581" s="12" t="str">
        <x:v>台北市</x:v>
      </x:c>
      <x:c r="J581" s="12" t="str">
        <x:v>500119050</x:v>
      </x:c>
      <x:c r="K581" s="12" t="str">
        <x:v>臺大小福樓東側</x:v>
      </x:c>
      <x:c r="L581" s="12" t="str">
        <x:v>ZZB* 且調出/調入且車種2.0/2.0E</x:v>
      </x:c>
    </x:row>
    <x:row r="582">
      <x:c r="A582" s="12" t="str">
        <x:v>2026-09-08</x:v>
      </x:c>
      <x:c r="B582" s="12" t="str">
        <x:v>2026-09-08 18:14:39</x:v>
      </x:c>
      <x:c r="C582" s="12" t="str">
        <x:v>18:00</x:v>
      </x:c>
      <x:c r="D582" s="12" t="str">
        <x:v>18–21</x:v>
      </x:c>
      <x:c r="E582" s="12" t="str">
        <x:v>ZZB-0004</x:v>
      </x:c>
      <x:c r="F582" s="12" t="str">
        <x:v>調出</x:v>
      </x:c>
      <x:c r="G582" s="12" t="str">
        <x:v>2.0</x:v>
      </x:c>
      <x:c r="H582" s="13" t="n">
        <x:v>8</x:v>
      </x:c>
      <x:c r="I582" s="12" t="str">
        <x:v>台北市</x:v>
      </x:c>
      <x:c r="J582" s="12" t="str">
        <x:v>500119045</x:v>
      </x:c>
      <x:c r="K582" s="12" t="str">
        <x:v>臺大農業陳列館北側</x:v>
      </x:c>
      <x:c r="L582" s="12" t="str">
        <x:v>ZZB* 且調出/調入且車種2.0/2.0E</x:v>
      </x:c>
    </x:row>
    <x:row r="583">
      <x:c r="A583" s="12" t="str">
        <x:v>2026-09-08</x:v>
      </x:c>
      <x:c r="B583" s="12" t="str">
        <x:v>2026-09-08 18:23:40</x:v>
      </x:c>
      <x:c r="C583" s="12" t="str">
        <x:v>18:00</x:v>
      </x:c>
      <x:c r="D583" s="12" t="str">
        <x:v>18–21</x:v>
      </x:c>
      <x:c r="E583" s="12" t="str">
        <x:v>ZZB-0004</x:v>
      </x:c>
      <x:c r="F583" s="12" t="str">
        <x:v>調入</x:v>
      </x:c>
      <x:c r="G583" s="12" t="str">
        <x:v>2.0</x:v>
      </x:c>
      <x:c r="H583" s="13" t="n">
        <x:v>8</x:v>
      </x:c>
      <x:c r="I583" s="12" t="str">
        <x:v>台北市</x:v>
      </x:c>
      <x:c r="J583" s="12" t="str">
        <x:v>500119055</x:v>
      </x:c>
      <x:c r="K583" s="12" t="str">
        <x:v>臺大樂學館東側</x:v>
      </x:c>
      <x:c r="L583" s="12" t="str">
        <x:v>ZZB* 且調出/調入且車種2.0/2.0E</x:v>
      </x:c>
    </x:row>
    <x:row r="584">
      <x:c r="A584" s="12" t="str">
        <x:v>2026-09-08</x:v>
      </x:c>
      <x:c r="B584" s="12" t="str">
        <x:v>2026-09-08 18:42:35</x:v>
      </x:c>
      <x:c r="C584" s="12" t="str">
        <x:v>18:00</x:v>
      </x:c>
      <x:c r="D584" s="12" t="str">
        <x:v>18–21</x:v>
      </x:c>
      <x:c r="E584" s="12" t="str">
        <x:v>ZZB-0004</x:v>
      </x:c>
      <x:c r="F584" s="12" t="str">
        <x:v>調出</x:v>
      </x:c>
      <x:c r="G584" s="12" t="str">
        <x:v>2.0</x:v>
      </x:c>
      <x:c r="H584" s="13" t="n">
        <x:v>9</x:v>
      </x:c>
      <x:c r="I584" s="12" t="str">
        <x:v>台北市</x:v>
      </x:c>
      <x:c r="J584" s="12" t="str">
        <x:v>500101276</x:v>
      </x:c>
      <x:c r="K584" s="12" t="str">
        <x:v>羅斯福新生南路口</x:v>
      </x:c>
      <x:c r="L584" s="12" t="str">
        <x:v>ZZB* 且調出/調入且車種2.0/2.0E</x:v>
      </x:c>
    </x:row>
    <x:row r="585">
      <x:c r="A585" s="12" t="str">
        <x:v>2026-09-08</x:v>
      </x:c>
      <x:c r="B585" s="12" t="str">
        <x:v>2026-09-08 18:44:15</x:v>
      </x:c>
      <x:c r="C585" s="12" t="str">
        <x:v>18:00</x:v>
      </x:c>
      <x:c r="D585" s="12" t="str">
        <x:v>18–21</x:v>
      </x:c>
      <x:c r="E585" s="12" t="str">
        <x:v>ZZB-0004</x:v>
      </x:c>
      <x:c r="F585" s="12" t="str">
        <x:v>調入</x:v>
      </x:c>
      <x:c r="G585" s="12" t="str">
        <x:v>2.0</x:v>
      </x:c>
      <x:c r="H585" s="13" t="n">
        <x:v>9</x:v>
      </x:c>
      <x:c r="I585" s="12" t="str">
        <x:v>台北市</x:v>
      </x:c>
      <x:c r="J585" s="12" t="str">
        <x:v>500119047</x:v>
      </x:c>
      <x:c r="K585" s="12" t="str">
        <x:v>臺大土木系館</x:v>
      </x:c>
      <x:c r="L585" s="12" t="str">
        <x:v>ZZB* 且調出/調入且車種2.0/2.0E</x:v>
      </x:c>
    </x:row>
    <x:row r="586">
      <x:c r="A586" s="12" t="str">
        <x:v>2026-09-08</x:v>
      </x:c>
      <x:c r="B586" s="12" t="str">
        <x:v>2026-09-08 19:04:40</x:v>
      </x:c>
      <x:c r="C586" s="12" t="str">
        <x:v>19:00</x:v>
      </x:c>
      <x:c r="D586" s="12" t="str">
        <x:v>18–21</x:v>
      </x:c>
      <x:c r="E586" s="12" t="str">
        <x:v>ZZB-0004</x:v>
      </x:c>
      <x:c r="F586" s="12" t="str">
        <x:v>調出</x:v>
      </x:c>
      <x:c r="G586" s="12" t="str">
        <x:v>2.0</x:v>
      </x:c>
      <x:c r="H586" s="13" t="n">
        <x:v>8</x:v>
      </x:c>
      <x:c r="I586" s="12" t="str">
        <x:v>台北市</x:v>
      </x:c>
      <x:c r="J586" s="12" t="str">
        <x:v>500101276</x:v>
      </x:c>
      <x:c r="K586" s="12" t="str">
        <x:v>羅斯福新生南路口</x:v>
      </x:c>
      <x:c r="L586" s="12" t="str">
        <x:v>ZZB* 且調出/調入且車種2.0/2.0E</x:v>
      </x:c>
    </x:row>
    <x:row r="587">
      <x:c r="A587" s="12" t="str">
        <x:v>2026-09-08</x:v>
      </x:c>
      <x:c r="B587" s="12" t="str">
        <x:v>2026-09-08 19:05:03</x:v>
      </x:c>
      <x:c r="C587" s="12" t="str">
        <x:v>19:00</x:v>
      </x:c>
      <x:c r="D587" s="12" t="str">
        <x:v>18–21</x:v>
      </x:c>
      <x:c r="E587" s="12" t="str">
        <x:v>ZZB-0004</x:v>
      </x:c>
      <x:c r="F587" s="12" t="str">
        <x:v>調入</x:v>
      </x:c>
      <x:c r="G587" s="12" t="str">
        <x:v>2.0</x:v>
      </x:c>
      <x:c r="H587" s="13" t="n">
        <x:v>8</x:v>
      </x:c>
      <x:c r="I587" s="12" t="str">
        <x:v>台北市</x:v>
      </x:c>
      <x:c r="J587" s="12" t="str">
        <x:v>500119075</x:v>
      </x:c>
      <x:c r="K587" s="12" t="str">
        <x:v>臺大第一活動中心西南側</x:v>
      </x:c>
      <x:c r="L587" s="12" t="str">
        <x:v>ZZB* 且調出/調入且車種2.0/2.0E</x:v>
      </x:c>
    </x:row>
    <x:row r="588">
      <x:c r="A588" s="12" t="str">
        <x:v>2026-09-08</x:v>
      </x:c>
      <x:c r="B588" s="12" t="str">
        <x:v>2026-09-08 19:58:51</x:v>
      </x:c>
      <x:c r="C588" s="12" t="str">
        <x:v>19:00</x:v>
      </x:c>
      <x:c r="D588" s="12" t="str">
        <x:v>18–21</x:v>
      </x:c>
      <x:c r="E588" s="12" t="str">
        <x:v>ZZB-0004</x:v>
      </x:c>
      <x:c r="F588" s="12" t="str">
        <x:v>調出</x:v>
      </x:c>
      <x:c r="G588" s="12" t="str">
        <x:v>2.0</x:v>
      </x:c>
      <x:c r="H588" s="13" t="n">
        <x:v>8</x:v>
      </x:c>
      <x:c r="I588" s="12" t="str">
        <x:v>台北市</x:v>
      </x:c>
      <x:c r="J588" s="12" t="str">
        <x:v>500101276</x:v>
      </x:c>
      <x:c r="K588" s="12" t="str">
        <x:v>羅斯福新生南路口</x:v>
      </x:c>
      <x:c r="L588" s="12" t="str">
        <x:v>ZZB* 且調出/調入且車種2.0/2.0E</x:v>
      </x:c>
    </x:row>
    <x:row r="589">
      <x:c r="A589" s="12" t="str">
        <x:v>2026-09-08</x:v>
      </x:c>
      <x:c r="B589" s="12" t="str">
        <x:v>2026-09-08 20:07:25</x:v>
      </x:c>
      <x:c r="C589" s="12" t="str">
        <x:v>20:00</x:v>
      </x:c>
      <x:c r="D589" s="12" t="str">
        <x:v>18–21</x:v>
      </x:c>
      <x:c r="E589" s="12" t="str">
        <x:v>ZZB-0004</x:v>
      </x:c>
      <x:c r="F589" s="12" t="str">
        <x:v>調入</x:v>
      </x:c>
      <x:c r="G589" s="12" t="str">
        <x:v>2.0</x:v>
      </x:c>
      <x:c r="H589" s="13" t="n">
        <x:v>8</x:v>
      </x:c>
      <x:c r="I589" s="12" t="str">
        <x:v>台北市</x:v>
      </x:c>
      <x:c r="J589" s="12" t="str">
        <x:v>500119086</x:v>
      </x:c>
      <x:c r="K589" s="12" t="str">
        <x:v>臺大圖資系館北側</x:v>
      </x:c>
      <x:c r="L589" s="12" t="str">
        <x:v>ZZB* 且調出/調入且車種2.0/2.0E</x:v>
      </x:c>
    </x:row>
    <x:row r="590">
      <x:c r="A590" s="12" t="str">
        <x:v>2026-09-08</x:v>
      </x:c>
      <x:c r="B590" s="12" t="str">
        <x:v>2026-09-08 21:44:43</x:v>
      </x:c>
      <x:c r="C590" s="12" t="str">
        <x:v>21:00</x:v>
      </x:c>
      <x:c r="D590" s="12" t="str">
        <x:v>18–21</x:v>
      </x:c>
      <x:c r="E590" s="12" t="str">
        <x:v>ZZB-0004</x:v>
      </x:c>
      <x:c r="F590" s="12" t="str">
        <x:v>調出</x:v>
      </x:c>
      <x:c r="G590" s="12" t="str">
        <x:v>2.0</x:v>
      </x:c>
      <x:c r="H590" s="13" t="n">
        <x:v>8</x:v>
      </x:c>
      <x:c r="I590" s="12" t="str">
        <x:v>台北市</x:v>
      </x:c>
      <x:c r="J590" s="12" t="str">
        <x:v>500101181</x:v>
      </x:c>
      <x:c r="K590" s="12" t="str">
        <x:v>捷運公館站(3號出口)</x:v>
      </x:c>
      <x:c r="L590" s="12" t="str">
        <x:v>ZZB* 且調出/調入且車種2.0/2.0E</x:v>
      </x:c>
    </x:row>
    <x:row r="591">
      <x:c r="A591" s="12" t="str">
        <x:v>2026-09-08</x:v>
      </x:c>
      <x:c r="B591" s="12" t="str">
        <x:v>2026-09-08 21:52:27</x:v>
      </x:c>
      <x:c r="C591" s="12" t="str">
        <x:v>21:00</x:v>
      </x:c>
      <x:c r="D591" s="12" t="str">
        <x:v>18–21</x:v>
      </x:c>
      <x:c r="E591" s="12" t="str">
        <x:v>ZZB-0004</x:v>
      </x:c>
      <x:c r="F591" s="12" t="str">
        <x:v>調入</x:v>
      </x:c>
      <x:c r="G591" s="12" t="str">
        <x:v>2.0</x:v>
      </x:c>
      <x:c r="H591" s="13" t="n">
        <x:v>8</x:v>
      </x:c>
      <x:c r="I591" s="12" t="str">
        <x:v>台北市</x:v>
      </x:c>
      <x:c r="J591" s="12" t="str">
        <x:v>500119078</x:v>
      </x:c>
      <x:c r="K591" s="12" t="str">
        <x:v>臺大森林館北側</x:v>
      </x:c>
      <x:c r="L591" s="12" t="str">
        <x:v>ZZB* 且調出/調入且車種2.0/2.0E</x:v>
      </x:c>
    </x:row>
    <x:row r="592">
      <x:c r="A592" s="12" t="str">
        <x:v>2026-09-08</x:v>
      </x:c>
      <x:c r="B592" s="12" t="str">
        <x:v>2026-09-08 22:32:13</x:v>
      </x:c>
      <x:c r="C592" s="12" t="str">
        <x:v>22:00</x:v>
      </x:c>
      <x:c r="D592" s="12" t="str">
        <x:v>22–23</x:v>
      </x:c>
      <x:c r="E592" s="12" t="str">
        <x:v>ZZB-0004</x:v>
      </x:c>
      <x:c r="F592" s="12" t="str">
        <x:v>調出</x:v>
      </x:c>
      <x:c r="G592" s="12" t="str">
        <x:v>2.0</x:v>
      </x:c>
      <x:c r="H592" s="13" t="n">
        <x:v>10</x:v>
      </x:c>
      <x:c r="I592" s="12" t="str">
        <x:v>台北市</x:v>
      </x:c>
      <x:c r="J592" s="12" t="str">
        <x:v>500101181</x:v>
      </x:c>
      <x:c r="K592" s="12" t="str">
        <x:v>捷運公館站(3號出口)</x:v>
      </x:c>
      <x:c r="L592" s="12" t="str">
        <x:v>ZZB* 且調出/調入且車種2.0/2.0E</x:v>
      </x:c>
    </x:row>
    <x:row r="593">
      <x:c r="A593" s="12" t="str">
        <x:v>2026-09-08</x:v>
      </x:c>
      <x:c r="B593" s="12" t="str">
        <x:v>2026-09-08 22:32:28</x:v>
      </x:c>
      <x:c r="C593" s="12" t="str">
        <x:v>22:00</x:v>
      </x:c>
      <x:c r="D593" s="12" t="str">
        <x:v>22–23</x:v>
      </x:c>
      <x:c r="E593" s="12" t="str">
        <x:v>ZZB-0004</x:v>
      </x:c>
      <x:c r="F593" s="12" t="str">
        <x:v>調入</x:v>
      </x:c>
      <x:c r="G593" s="12" t="str">
        <x:v>2.0</x:v>
      </x:c>
      <x:c r="H593" s="13" t="n">
        <x:v>10</x:v>
      </x:c>
      <x:c r="I593" s="12" t="str">
        <x:v>台北市</x:v>
      </x:c>
      <x:c r="J593" s="12" t="str">
        <x:v>500101276</x:v>
      </x:c>
      <x:c r="K593" s="12" t="str">
        <x:v>羅斯福新生南路口</x:v>
      </x:c>
      <x:c r="L593" s="12" t="str">
        <x:v>ZZB* 且調出/調入且車種2.0/2.0E</x:v>
      </x:c>
    </x:row>
    <x:row r="594">
      <x:c r="A594" s="12" t="str">
        <x:v>2026-09-08</x:v>
      </x:c>
      <x:c r="B594" s="12" t="str">
        <x:v>2026-09-08 08:32:50</x:v>
      </x:c>
      <x:c r="C594" s="12" t="str">
        <x:v>08:00</x:v>
      </x:c>
      <x:c r="D594" s="12" t="str">
        <x:v>06–09</x:v>
      </x:c>
      <x:c r="E594" s="12" t="str">
        <x:v>ZZB-0004</x:v>
      </x:c>
      <x:c r="F594" s="12" t="str">
        <x:v>調出</x:v>
      </x:c>
      <x:c r="G594" s="12" t="str">
        <x:v>2.0E</x:v>
      </x:c>
      <x:c r="H594" s="13" t="n">
        <x:v>2</x:v>
      </x:c>
      <x:c r="I594" s="12" t="str">
        <x:v>台北市</x:v>
      </x:c>
      <x:c r="J594" s="12" t="str">
        <x:v>500119050</x:v>
      </x:c>
      <x:c r="K594" s="12" t="str">
        <x:v>臺大小福樓東側</x:v>
      </x:c>
      <x:c r="L594" s="12" t="str">
        <x:v>ZZB* 且調出/調入且車種2.0/2.0E</x:v>
      </x:c>
    </x:row>
    <x:row r="595">
      <x:c r="A595" s="12" t="str">
        <x:v>2026-09-08</x:v>
      </x:c>
      <x:c r="B595" s="12" t="str">
        <x:v>2026-09-08 08:39:22</x:v>
      </x:c>
      <x:c r="C595" s="12" t="str">
        <x:v>08:00</x:v>
      </x:c>
      <x:c r="D595" s="12" t="str">
        <x:v>06–09</x:v>
      </x:c>
      <x:c r="E595" s="12" t="str">
        <x:v>ZZB-0004</x:v>
      </x:c>
      <x:c r="F595" s="12" t="str">
        <x:v>調入</x:v>
      </x:c>
      <x:c r="G595" s="12" t="str">
        <x:v>2.0E</x:v>
      </x:c>
      <x:c r="H595" s="13" t="n">
        <x:v>2</x:v>
      </x:c>
      <x:c r="I595" s="12" t="str">
        <x:v>台北市</x:v>
      </x:c>
      <x:c r="J595" s="12" t="str">
        <x:v>500119097</x:v>
      </x:c>
      <x:c r="K595" s="12" t="str">
        <x:v>臺大人文館</x:v>
      </x:c>
      <x:c r="L595" s="12" t="str">
        <x:v>ZZB* 且調出/調入且車種2.0/2.0E</x:v>
      </x:c>
    </x:row>
    <x:row r="596">
      <x:c r="A596" s="12" t="str">
        <x:v>2026-09-08</x:v>
      </x:c>
      <x:c r="B596" s="12" t="str">
        <x:v>2026-09-08 08:50:57</x:v>
      </x:c>
      <x:c r="C596" s="12" t="str">
        <x:v>08:00</x:v>
      </x:c>
      <x:c r="D596" s="12" t="str">
        <x:v>06–09</x:v>
      </x:c>
      <x:c r="E596" s="12" t="str">
        <x:v>ZZB-0004</x:v>
      </x:c>
      <x:c r="F596" s="12" t="str">
        <x:v>調出</x:v>
      </x:c>
      <x:c r="G596" s="12" t="str">
        <x:v>2.0E</x:v>
      </x:c>
      <x:c r="H596" s="13" t="n">
        <x:v>2</x:v>
      </x:c>
      <x:c r="I596" s="12" t="str">
        <x:v>台北市</x:v>
      </x:c>
      <x:c r="J596" s="12" t="str">
        <x:v>500119050</x:v>
      </x:c>
      <x:c r="K596" s="12" t="str">
        <x:v>臺大小福樓東側</x:v>
      </x:c>
      <x:c r="L596" s="12" t="str">
        <x:v>ZZB* 且調出/調入且車種2.0/2.0E</x:v>
      </x:c>
    </x:row>
    <x:row r="597">
      <x:c r="A597" s="12" t="str">
        <x:v>2026-09-08</x:v>
      </x:c>
      <x:c r="B597" s="12" t="str">
        <x:v>2026-09-08 08:57:45</x:v>
      </x:c>
      <x:c r="C597" s="12" t="str">
        <x:v>08:00</x:v>
      </x:c>
      <x:c r="D597" s="12" t="str">
        <x:v>06–09</x:v>
      </x:c>
      <x:c r="E597" s="12" t="str">
        <x:v>ZZB-0004</x:v>
      </x:c>
      <x:c r="F597" s="12" t="str">
        <x:v>調入</x:v>
      </x:c>
      <x:c r="G597" s="12" t="str">
        <x:v>2.0E</x:v>
      </x:c>
      <x:c r="H597" s="13" t="n">
        <x:v>2</x:v>
      </x:c>
      <x:c r="I597" s="12" t="str">
        <x:v>台北市</x:v>
      </x:c>
      <x:c r="J597" s="12" t="str">
        <x:v>500119045</x:v>
      </x:c>
      <x:c r="K597" s="12" t="str">
        <x:v>臺大農業陳列館北側</x:v>
      </x:c>
      <x:c r="L597" s="12" t="str">
        <x:v>ZZB* 且調出/調入且車種2.0/2.0E</x:v>
      </x:c>
    </x:row>
    <x:row r="598">
      <x:c r="A598" s="12" t="str">
        <x:v>2026-09-08</x:v>
      </x:c>
      <x:c r="B598" s="12" t="str">
        <x:v>2026-09-08 09:05:20</x:v>
      </x:c>
      <x:c r="C598" s="12" t="str">
        <x:v>09:00</x:v>
      </x:c>
      <x:c r="D598" s="12" t="str">
        <x:v>06–09</x:v>
      </x:c>
      <x:c r="E598" s="12" t="str">
        <x:v>ZZB-0004</x:v>
      </x:c>
      <x:c r="F598" s="12" t="str">
        <x:v>調出</x:v>
      </x:c>
      <x:c r="G598" s="12" t="str">
        <x:v>2.0E</x:v>
      </x:c>
      <x:c r="H598" s="13" t="n">
        <x:v>1</x:v>
      </x:c>
      <x:c r="I598" s="12" t="str">
        <x:v>台北市</x:v>
      </x:c>
      <x:c r="J598" s="12" t="str">
        <x:v>500119050</x:v>
      </x:c>
      <x:c r="K598" s="12" t="str">
        <x:v>臺大小福樓東側</x:v>
      </x:c>
      <x:c r="L598" s="12" t="str">
        <x:v>ZZB* 且調出/調入且車種2.0/2.0E</x:v>
      </x:c>
    </x:row>
    <x:row r="599">
      <x:c r="A599" s="12" t="str">
        <x:v>2026-09-08</x:v>
      </x:c>
      <x:c r="B599" s="12" t="str">
        <x:v>2026-09-08 09:12:08</x:v>
      </x:c>
      <x:c r="C599" s="12" t="str">
        <x:v>09:00</x:v>
      </x:c>
      <x:c r="D599" s="12" t="str">
        <x:v>06–09</x:v>
      </x:c>
      <x:c r="E599" s="12" t="str">
        <x:v>ZZB-0004</x:v>
      </x:c>
      <x:c r="F599" s="12" t="str">
        <x:v>調入</x:v>
      </x:c>
      <x:c r="G599" s="12" t="str">
        <x:v>2.0E</x:v>
      </x:c>
      <x:c r="H599" s="13" t="n">
        <x:v>1</x:v>
      </x:c>
      <x:c r="I599" s="12" t="str">
        <x:v>台北市</x:v>
      </x:c>
      <x:c r="J599" s="12" t="str">
        <x:v>500119097</x:v>
      </x:c>
      <x:c r="K599" s="12" t="str">
        <x:v>臺大人文館</x:v>
      </x:c>
      <x:c r="L599" s="12" t="str">
        <x:v>ZZB* 且調出/調入且車種2.0/2.0E</x:v>
      </x:c>
    </x:row>
    <x:row r="600">
      <x:c r="A600" s="12" t="str">
        <x:v>2026-09-08</x:v>
      </x:c>
      <x:c r="B600" s="12" t="str">
        <x:v>2026-09-08 10:24:31</x:v>
      </x:c>
      <x:c r="C600" s="12" t="str">
        <x:v>10:00</x:v>
      </x:c>
      <x:c r="D600" s="12" t="str">
        <x:v>10–13</x:v>
      </x:c>
      <x:c r="E600" s="12" t="str">
        <x:v>ZZB-0004</x:v>
      </x:c>
      <x:c r="F600" s="12" t="str">
        <x:v>調出</x:v>
      </x:c>
      <x:c r="G600" s="12" t="str">
        <x:v>2.0E</x:v>
      </x:c>
      <x:c r="H600" s="13" t="n">
        <x:v>1</x:v>
      </x:c>
      <x:c r="I600" s="12" t="str">
        <x:v>台北市</x:v>
      </x:c>
      <x:c r="J600" s="12" t="str">
        <x:v>500119052</x:v>
      </x:c>
      <x:c r="K600" s="12" t="str">
        <x:v>臺大工綜館南側</x:v>
      </x:c>
      <x:c r="L600" s="12" t="str">
        <x:v>ZZB* 且調出/調入且車種2.0/2.0E</x:v>
      </x:c>
    </x:row>
    <x:row r="601">
      <x:c r="A601" s="12" t="str">
        <x:v>2026-09-08</x:v>
      </x:c>
      <x:c r="B601" s="12" t="str">
        <x:v>2026-09-08 10:37:36</x:v>
      </x:c>
      <x:c r="C601" s="12" t="str">
        <x:v>10:00</x:v>
      </x:c>
      <x:c r="D601" s="12" t="str">
        <x:v>10–13</x:v>
      </x:c>
      <x:c r="E601" s="12" t="str">
        <x:v>ZZB-0004</x:v>
      </x:c>
      <x:c r="F601" s="12" t="str">
        <x:v>調入</x:v>
      </x:c>
      <x:c r="G601" s="12" t="str">
        <x:v>2.0E</x:v>
      </x:c>
      <x:c r="H601" s="13" t="n">
        <x:v>1</x:v>
      </x:c>
      <x:c r="I601" s="12" t="str">
        <x:v>台北市</x:v>
      </x:c>
      <x:c r="J601" s="12" t="str">
        <x:v>500101032</x:v>
      </x:c>
      <x:c r="K601" s="12" t="str">
        <x:v>臺大男一舍前</x:v>
      </x:c>
      <x:c r="L601" s="12" t="str">
        <x:v>ZZB* 且調出/調入且車種2.0/2.0E</x:v>
      </x:c>
    </x:row>
    <x:row r="602">
      <x:c r="A602" s="12" t="str">
        <x:v>2026-09-08</x:v>
      </x:c>
      <x:c r="B602" s="12" t="str">
        <x:v>2026-09-08 10:48:16</x:v>
      </x:c>
      <x:c r="C602" s="12" t="str">
        <x:v>10:00</x:v>
      </x:c>
      <x:c r="D602" s="12" t="str">
        <x:v>10–13</x:v>
      </x:c>
      <x:c r="E602" s="12" t="str">
        <x:v>ZZB-0004</x:v>
      </x:c>
      <x:c r="F602" s="12" t="str">
        <x:v>調出</x:v>
      </x:c>
      <x:c r="G602" s="12" t="str">
        <x:v>2.0E</x:v>
      </x:c>
      <x:c r="H602" s="13" t="n">
        <x:v>1</x:v>
      </x:c>
      <x:c r="I602" s="12" t="str">
        <x:v>台北市</x:v>
      </x:c>
      <x:c r="J602" s="12" t="str">
        <x:v>500119085</x:v>
      </x:c>
      <x:c r="K602" s="12" t="str">
        <x:v>臺大電機二館東南側</x:v>
      </x:c>
      <x:c r="L602" s="12" t="str">
        <x:v>ZZB* 且調出/調入且車種2.0/2.0E</x:v>
      </x:c>
    </x:row>
    <x:row r="603">
      <x:c r="A603" s="12" t="str">
        <x:v>2026-09-08</x:v>
      </x:c>
      <x:c r="B603" s="12" t="str">
        <x:v>2026-09-08 10:54:20</x:v>
      </x:c>
      <x:c r="C603" s="12" t="str">
        <x:v>10:00</x:v>
      </x:c>
      <x:c r="D603" s="12" t="str">
        <x:v>10–13</x:v>
      </x:c>
      <x:c r="E603" s="12" t="str">
        <x:v>ZZB-0004</x:v>
      </x:c>
      <x:c r="F603" s="12" t="str">
        <x:v>調入</x:v>
      </x:c>
      <x:c r="G603" s="12" t="str">
        <x:v>2.0E</x:v>
      </x:c>
      <x:c r="H603" s="13" t="n">
        <x:v>1</x:v>
      </x:c>
      <x:c r="I603" s="12" t="str">
        <x:v>台北市</x:v>
      </x:c>
      <x:c r="J603" s="12" t="str">
        <x:v>500119064</x:v>
      </x:c>
      <x:c r="K603" s="12" t="str">
        <x:v>臺大明達館機車停車場</x:v>
      </x:c>
      <x:c r="L603" s="12" t="str">
        <x:v>ZZB* 且調出/調入且車種2.0/2.0E</x:v>
      </x:c>
    </x:row>
    <x:row r="604">
      <x:c r="A604" s="12" t="str">
        <x:v>2026-09-08</x:v>
      </x:c>
      <x:c r="B604" s="12" t="str">
        <x:v>2026-09-08 18:03:12</x:v>
      </x:c>
      <x:c r="C604" s="12" t="str">
        <x:v>18:00</x:v>
      </x:c>
      <x:c r="D604" s="12" t="str">
        <x:v>18–21</x:v>
      </x:c>
      <x:c r="E604" s="12" t="str">
        <x:v>ZZB-0004</x:v>
      </x:c>
      <x:c r="F604" s="12" t="str">
        <x:v>調出</x:v>
      </x:c>
      <x:c r="G604" s="12" t="str">
        <x:v>2.0E</x:v>
      </x:c>
      <x:c r="H604" s="13" t="n">
        <x:v>1</x:v>
      </x:c>
      <x:c r="I604" s="12" t="str">
        <x:v>台北市</x:v>
      </x:c>
      <x:c r="J604" s="12" t="str">
        <x:v>500101276</x:v>
      </x:c>
      <x:c r="K604" s="12" t="str">
        <x:v>羅斯福新生南路口</x:v>
      </x:c>
      <x:c r="L604" s="12" t="str">
        <x:v>ZZB* 且調出/調入且車種2.0/2.0E</x:v>
      </x:c>
    </x:row>
    <x:row r="605">
      <x:c r="A605" s="12" t="str">
        <x:v>2026-09-08</x:v>
      </x:c>
      <x:c r="B605" s="12" t="str">
        <x:v>2026-09-08 18:03:31</x:v>
      </x:c>
      <x:c r="C605" s="12" t="str">
        <x:v>18:00</x:v>
      </x:c>
      <x:c r="D605" s="12" t="str">
        <x:v>18–21</x:v>
      </x:c>
      <x:c r="E605" s="12" t="str">
        <x:v>ZZB-0004</x:v>
      </x:c>
      <x:c r="F605" s="12" t="str">
        <x:v>調入</x:v>
      </x:c>
      <x:c r="G605" s="12" t="str">
        <x:v>2.0E</x:v>
      </x:c>
      <x:c r="H605" s="13" t="n">
        <x:v>1</x:v>
      </x:c>
      <x:c r="I605" s="12" t="str">
        <x:v>台北市</x:v>
      </x:c>
      <x:c r="J605" s="12" t="str">
        <x:v>500119050</x:v>
      </x:c>
      <x:c r="K605" s="12" t="str">
        <x:v>臺大小福樓東側</x:v>
      </x:c>
      <x:c r="L605" s="12" t="str">
        <x:v>ZZB* 且調出/調入且車種2.0/2.0E</x:v>
      </x:c>
    </x:row>
    <x:row r="606">
      <x:c r="A606" s="12" t="str">
        <x:v>2026-09-08</x:v>
      </x:c>
      <x:c r="B606" s="12" t="str">
        <x:v>2026-09-08 18:14:39</x:v>
      </x:c>
      <x:c r="C606" s="12" t="str">
        <x:v>18:00</x:v>
      </x:c>
      <x:c r="D606" s="12" t="str">
        <x:v>18–21</x:v>
      </x:c>
      <x:c r="E606" s="12" t="str">
        <x:v>ZZB-0004</x:v>
      </x:c>
      <x:c r="F606" s="12" t="str">
        <x:v>調出</x:v>
      </x:c>
      <x:c r="G606" s="12" t="str">
        <x:v>2.0E</x:v>
      </x:c>
      <x:c r="H606" s="13" t="n">
        <x:v>1</x:v>
      </x:c>
      <x:c r="I606" s="12" t="str">
        <x:v>台北市</x:v>
      </x:c>
      <x:c r="J606" s="12" t="str">
        <x:v>500119045</x:v>
      </x:c>
      <x:c r="K606" s="12" t="str">
        <x:v>臺大農業陳列館北側</x:v>
      </x:c>
      <x:c r="L606" s="12" t="str">
        <x:v>ZZB* 且調出/調入且車種2.0/2.0E</x:v>
      </x:c>
    </x:row>
    <x:row r="607">
      <x:c r="A607" s="12" t="str">
        <x:v>2026-09-08</x:v>
      </x:c>
      <x:c r="B607" s="12" t="str">
        <x:v>2026-09-08 18:23:40</x:v>
      </x:c>
      <x:c r="C607" s="12" t="str">
        <x:v>18:00</x:v>
      </x:c>
      <x:c r="D607" s="12" t="str">
        <x:v>18–21</x:v>
      </x:c>
      <x:c r="E607" s="12" t="str">
        <x:v>ZZB-0004</x:v>
      </x:c>
      <x:c r="F607" s="12" t="str">
        <x:v>調入</x:v>
      </x:c>
      <x:c r="G607" s="12" t="str">
        <x:v>2.0E</x:v>
      </x:c>
      <x:c r="H607" s="13" t="n">
        <x:v>1</x:v>
      </x:c>
      <x:c r="I607" s="12" t="str">
        <x:v>台北市</x:v>
      </x:c>
      <x:c r="J607" s="12" t="str">
        <x:v>500119055</x:v>
      </x:c>
      <x:c r="K607" s="12" t="str">
        <x:v>臺大樂學館東側</x:v>
      </x:c>
      <x:c r="L607" s="12" t="str">
        <x:v>ZZB* 且調出/調入且車種2.0/2.0E</x:v>
      </x:c>
    </x:row>
    <x:row r="608">
      <x:c r="A608" s="12" t="str">
        <x:v>2026-09-08</x:v>
      </x:c>
      <x:c r="B608" s="12" t="str">
        <x:v>2026-09-08 19:04:40</x:v>
      </x:c>
      <x:c r="C608" s="12" t="str">
        <x:v>19:00</x:v>
      </x:c>
      <x:c r="D608" s="12" t="str">
        <x:v>18–21</x:v>
      </x:c>
      <x:c r="E608" s="12" t="str">
        <x:v>ZZB-0004</x:v>
      </x:c>
      <x:c r="F608" s="12" t="str">
        <x:v>調出</x:v>
      </x:c>
      <x:c r="G608" s="12" t="str">
        <x:v>2.0E</x:v>
      </x:c>
      <x:c r="H608" s="13" t="n">
        <x:v>1</x:v>
      </x:c>
      <x:c r="I608" s="12" t="str">
        <x:v>台北市</x:v>
      </x:c>
      <x:c r="J608" s="12" t="str">
        <x:v>500101276</x:v>
      </x:c>
      <x:c r="K608" s="12" t="str">
        <x:v>羅斯福新生南路口</x:v>
      </x:c>
      <x:c r="L608" s="12" t="str">
        <x:v>ZZB* 且調出/調入且車種2.0/2.0E</x:v>
      </x:c>
    </x:row>
    <x:row r="609">
      <x:c r="A609" s="12" t="str">
        <x:v>2026-09-08</x:v>
      </x:c>
      <x:c r="B609" s="12" t="str">
        <x:v>2026-09-08 19:05:03</x:v>
      </x:c>
      <x:c r="C609" s="12" t="str">
        <x:v>19:00</x:v>
      </x:c>
      <x:c r="D609" s="12" t="str">
        <x:v>18–21</x:v>
      </x:c>
      <x:c r="E609" s="12" t="str">
        <x:v>ZZB-0004</x:v>
      </x:c>
      <x:c r="F609" s="12" t="str">
        <x:v>調入</x:v>
      </x:c>
      <x:c r="G609" s="12" t="str">
        <x:v>2.0E</x:v>
      </x:c>
      <x:c r="H609" s="13" t="n">
        <x:v>1</x:v>
      </x:c>
      <x:c r="I609" s="12" t="str">
        <x:v>台北市</x:v>
      </x:c>
      <x:c r="J609" s="12" t="str">
        <x:v>500119075</x:v>
      </x:c>
      <x:c r="K609" s="12" t="str">
        <x:v>臺大第一活動中心西南側</x:v>
      </x:c>
      <x:c r="L609" s="12" t="str">
        <x:v>ZZB* 且調出/調入且車種2.0/2.0E</x:v>
      </x:c>
    </x:row>
    <x:row r="610">
      <x:c r="A610" s="12" t="str">
        <x:v>2026-09-08</x:v>
      </x:c>
      <x:c r="B610" s="12" t="str">
        <x:v>2026-09-08 19:58:51</x:v>
      </x:c>
      <x:c r="C610" s="12" t="str">
        <x:v>19:00</x:v>
      </x:c>
      <x:c r="D610" s="12" t="str">
        <x:v>18–21</x:v>
      </x:c>
      <x:c r="E610" s="12" t="str">
        <x:v>ZZB-0004</x:v>
      </x:c>
      <x:c r="F610" s="12" t="str">
        <x:v>調出</x:v>
      </x:c>
      <x:c r="G610" s="12" t="str">
        <x:v>2.0E</x:v>
      </x:c>
      <x:c r="H610" s="13" t="n">
        <x:v>1</x:v>
      </x:c>
      <x:c r="I610" s="12" t="str">
        <x:v>台北市</x:v>
      </x:c>
      <x:c r="J610" s="12" t="str">
        <x:v>500101276</x:v>
      </x:c>
      <x:c r="K610" s="12" t="str">
        <x:v>羅斯福新生南路口</x:v>
      </x:c>
      <x:c r="L610" s="12" t="str">
        <x:v>ZZB* 且調出/調入且車種2.0/2.0E</x:v>
      </x:c>
    </x:row>
    <x:row r="611">
      <x:c r="A611" s="12" t="str">
        <x:v>2026-09-08</x:v>
      </x:c>
      <x:c r="B611" s="12" t="str">
        <x:v>2026-09-08 20:07:25</x:v>
      </x:c>
      <x:c r="C611" s="12" t="str">
        <x:v>20:00</x:v>
      </x:c>
      <x:c r="D611" s="12" t="str">
        <x:v>18–21</x:v>
      </x:c>
      <x:c r="E611" s="12" t="str">
        <x:v>ZZB-0004</x:v>
      </x:c>
      <x:c r="F611" s="12" t="str">
        <x:v>調入</x:v>
      </x:c>
      <x:c r="G611" s="12" t="str">
        <x:v>2.0E</x:v>
      </x:c>
      <x:c r="H611" s="13" t="n">
        <x:v>1</x:v>
      </x:c>
      <x:c r="I611" s="12" t="str">
        <x:v>台北市</x:v>
      </x:c>
      <x:c r="J611" s="12" t="str">
        <x:v>500119086</x:v>
      </x:c>
      <x:c r="K611" s="12" t="str">
        <x:v>臺大圖資系館北側</x:v>
      </x:c>
      <x:c r="L611" s="12" t="str">
        <x:v>ZZB* 且調出/調入且車種2.0/2.0E</x:v>
      </x:c>
    </x:row>
    <x:row r="612">
      <x:c r="A612" s="12" t="str">
        <x:v>2026-09-09</x:v>
      </x:c>
      <x:c r="B612" s="12" t="str">
        <x:v>2026-09-09 07:44:42</x:v>
      </x:c>
      <x:c r="C612" s="12" t="str">
        <x:v>07:00</x:v>
      </x:c>
      <x:c r="D612" s="12" t="str">
        <x:v>06–09</x:v>
      </x:c>
      <x:c r="E612" s="12" t="str">
        <x:v>ZZB-0001</x:v>
      </x:c>
      <x:c r="F612" s="12" t="str">
        <x:v>調出</x:v>
      </x:c>
      <x:c r="G612" s="12" t="str">
        <x:v>2.0</x:v>
      </x:c>
      <x:c r="H612" s="13" t="n">
        <x:v>7</x:v>
      </x:c>
      <x:c r="I612" s="12" t="str">
        <x:v>台北市</x:v>
      </x:c>
      <x:c r="J612" s="12" t="str">
        <x:v>500119052</x:v>
      </x:c>
      <x:c r="K612" s="12" t="str">
        <x:v>臺大工綜館南側</x:v>
      </x:c>
      <x:c r="L612" s="12" t="str">
        <x:v>ZZB* 且調出/調入且車種2.0/2.0E</x:v>
      </x:c>
    </x:row>
    <x:row r="613">
      <x:c r="A613" s="12" t="str">
        <x:v>2026-09-09</x:v>
      </x:c>
      <x:c r="B613" s="12" t="str">
        <x:v>2026-09-09 07:44:55</x:v>
      </x:c>
      <x:c r="C613" s="12" t="str">
        <x:v>07:00</x:v>
      </x:c>
      <x:c r="D613" s="12" t="str">
        <x:v>06–09</x:v>
      </x:c>
      <x:c r="E613" s="12" t="str">
        <x:v>ZZB-0001</x:v>
      </x:c>
      <x:c r="F613" s="12" t="str">
        <x:v>調入</x:v>
      </x:c>
      <x:c r="G613" s="12" t="str">
        <x:v>2.0</x:v>
      </x:c>
      <x:c r="H613" s="13" t="n">
        <x:v>7</x:v>
      </x:c>
      <x:c r="I613" s="12" t="str">
        <x:v>台北市</x:v>
      </x:c>
      <x:c r="J613" s="12" t="str">
        <x:v>500119074</x:v>
      </x:c>
      <x:c r="K613" s="12" t="str">
        <x:v>臺大生命科學館西北側</x:v>
      </x:c>
      <x:c r="L613" s="12" t="str">
        <x:v>ZZB* 且調出/調入且車種2.0/2.0E</x:v>
      </x:c>
    </x:row>
    <x:row r="614">
      <x:c r="A614" s="12" t="str">
        <x:v>2026-09-09</x:v>
      </x:c>
      <x:c r="B614" s="12" t="str">
        <x:v>2026-09-09 09:18:46</x:v>
      </x:c>
      <x:c r="C614" s="12" t="str">
        <x:v>09:00</x:v>
      </x:c>
      <x:c r="D614" s="12" t="str">
        <x:v>06–09</x:v>
      </x:c>
      <x:c r="E614" s="12" t="str">
        <x:v>ZZB-0001</x:v>
      </x:c>
      <x:c r="F614" s="12" t="str">
        <x:v>調出</x:v>
      </x:c>
      <x:c r="G614" s="12" t="str">
        <x:v>2.0</x:v>
      </x:c>
      <x:c r="H614" s="13" t="n">
        <x:v>5</x:v>
      </x:c>
      <x:c r="I614" s="12" t="str">
        <x:v>台北市</x:v>
      </x:c>
      <x:c r="J614" s="12" t="str">
        <x:v>500119087</x:v>
      </x:c>
      <x:c r="K614" s="12" t="str">
        <x:v>臺大總圖書館西南側</x:v>
      </x:c>
      <x:c r="L614" s="12" t="str">
        <x:v>ZZB* 且調出/調入且車種2.0/2.0E</x:v>
      </x:c>
    </x:row>
    <x:row r="615">
      <x:c r="A615" s="12" t="str">
        <x:v>2026-09-09</x:v>
      </x:c>
      <x:c r="B615" s="12" t="str">
        <x:v>2026-09-09 09:19:01</x:v>
      </x:c>
      <x:c r="C615" s="12" t="str">
        <x:v>09:00</x:v>
      </x:c>
      <x:c r="D615" s="12" t="str">
        <x:v>06–09</x:v>
      </x:c>
      <x:c r="E615" s="12" t="str">
        <x:v>ZZB-0001</x:v>
      </x:c>
      <x:c r="F615" s="12" t="str">
        <x:v>調入</x:v>
      </x:c>
      <x:c r="G615" s="12" t="str">
        <x:v>2.0</x:v>
      </x:c>
      <x:c r="H615" s="13" t="n">
        <x:v>5</x:v>
      </x:c>
      <x:c r="I615" s="12" t="str">
        <x:v>台北市</x:v>
      </x:c>
      <x:c r="J615" s="12" t="str">
        <x:v>500119059</x:v>
      </x:c>
      <x:c r="K615" s="12" t="str">
        <x:v>臺大共同教室北側</x:v>
      </x:c>
      <x:c r="L615" s="12" t="str">
        <x:v>ZZB* 且調出/調入且車種2.0/2.0E</x:v>
      </x:c>
    </x:row>
    <x:row r="616">
      <x:c r="A616" s="12" t="str">
        <x:v>2026-09-09</x:v>
      </x:c>
      <x:c r="B616" s="12" t="str">
        <x:v>2026-09-09 09:40:03</x:v>
      </x:c>
      <x:c r="C616" s="12" t="str">
        <x:v>09:00</x:v>
      </x:c>
      <x:c r="D616" s="12" t="str">
        <x:v>06–09</x:v>
      </x:c>
      <x:c r="E616" s="12" t="str">
        <x:v>ZZB-0001</x:v>
      </x:c>
      <x:c r="F616" s="12" t="str">
        <x:v>調出</x:v>
      </x:c>
      <x:c r="G616" s="12" t="str">
        <x:v>2.0</x:v>
      </x:c>
      <x:c r="H616" s="13" t="n">
        <x:v>6</x:v>
      </x:c>
      <x:c r="I616" s="12" t="str">
        <x:v>台北市</x:v>
      </x:c>
      <x:c r="J616" s="12" t="str">
        <x:v>500119072</x:v>
      </x:c>
      <x:c r="K616" s="12" t="str">
        <x:v>臺大原分所北側</x:v>
      </x:c>
      <x:c r="L616" s="12" t="str">
        <x:v>ZZB* 且調出/調入且車種2.0/2.0E</x:v>
      </x:c>
    </x:row>
    <x:row r="617">
      <x:c r="A617" s="12" t="str">
        <x:v>2026-09-09</x:v>
      </x:c>
      <x:c r="B617" s="12" t="str">
        <x:v>2026-09-09 09:40:18</x:v>
      </x:c>
      <x:c r="C617" s="12" t="str">
        <x:v>09:00</x:v>
      </x:c>
      <x:c r="D617" s="12" t="str">
        <x:v>06–09</x:v>
      </x:c>
      <x:c r="E617" s="12" t="str">
        <x:v>ZZB-0001</x:v>
      </x:c>
      <x:c r="F617" s="12" t="str">
        <x:v>調入</x:v>
      </x:c>
      <x:c r="G617" s="12" t="str">
        <x:v>2.0</x:v>
      </x:c>
      <x:c r="H617" s="13" t="n">
        <x:v>6</x:v>
      </x:c>
      <x:c r="I617" s="12" t="str">
        <x:v>台北市</x:v>
      </x:c>
      <x:c r="J617" s="12" t="str">
        <x:v>500119061</x:v>
      </x:c>
      <x:c r="K617" s="12" t="str">
        <x:v>臺大鹿鳴堂東側</x:v>
      </x:c>
      <x:c r="L617" s="12" t="str">
        <x:v>ZZB* 且調出/調入且車種2.0/2.0E</x:v>
      </x:c>
    </x:row>
    <x:row r="618">
      <x:c r="A618" s="12" t="str">
        <x:v>2026-09-09</x:v>
      </x:c>
      <x:c r="B618" s="12" t="str">
        <x:v>2026-09-09 10:10:37</x:v>
      </x:c>
      <x:c r="C618" s="12" t="str">
        <x:v>10:00</x:v>
      </x:c>
      <x:c r="D618" s="12" t="str">
        <x:v>10–13</x:v>
      </x:c>
      <x:c r="E618" s="12" t="str">
        <x:v>ZZB-0001</x:v>
      </x:c>
      <x:c r="F618" s="12" t="str">
        <x:v>調出</x:v>
      </x:c>
      <x:c r="G618" s="12" t="str">
        <x:v>2.0</x:v>
      </x:c>
      <x:c r="H618" s="13" t="n">
        <x:v>6</x:v>
      </x:c>
      <x:c r="I618" s="12" t="str">
        <x:v>台北市</x:v>
      </x:c>
      <x:c r="J618" s="12" t="str">
        <x:v>500119086</x:v>
      </x:c>
      <x:c r="K618" s="12" t="str">
        <x:v>臺大圖資系館北側</x:v>
      </x:c>
      <x:c r="L618" s="12" t="str">
        <x:v>ZZB* 且調出/調入且車種2.0/2.0E</x:v>
      </x:c>
    </x:row>
    <x:row r="619">
      <x:c r="A619" s="12" t="str">
        <x:v>2026-09-09</x:v>
      </x:c>
      <x:c r="B619" s="12" t="str">
        <x:v>2026-09-09 10:10:50</x:v>
      </x:c>
      <x:c r="C619" s="12" t="str">
        <x:v>10:00</x:v>
      </x:c>
      <x:c r="D619" s="12" t="str">
        <x:v>10–13</x:v>
      </x:c>
      <x:c r="E619" s="12" t="str">
        <x:v>ZZB-0001</x:v>
      </x:c>
      <x:c r="F619" s="12" t="str">
        <x:v>調入</x:v>
      </x:c>
      <x:c r="G619" s="12" t="str">
        <x:v>2.0</x:v>
      </x:c>
      <x:c r="H619" s="13" t="n">
        <x:v>6</x:v>
      </x:c>
      <x:c r="I619" s="12" t="str">
        <x:v>台北市</x:v>
      </x:c>
      <x:c r="J619" s="12" t="str">
        <x:v>500119060</x:v>
      </x:c>
      <x:c r="K619" s="12" t="str">
        <x:v>臺大共同教室東南側</x:v>
      </x:c>
      <x:c r="L619" s="12" t="str">
        <x:v>ZZB* 且調出/調入且車種2.0/2.0E</x:v>
      </x:c>
    </x:row>
    <x:row r="620">
      <x:c r="A620" s="12" t="str">
        <x:v>2026-09-09</x:v>
      </x:c>
      <x:c r="B620" s="12" t="str">
        <x:v>2026-09-09 10:31:38</x:v>
      </x:c>
      <x:c r="C620" s="12" t="str">
        <x:v>10:00</x:v>
      </x:c>
      <x:c r="D620" s="12" t="str">
        <x:v>10–13</x:v>
      </x:c>
      <x:c r="E620" s="12" t="str">
        <x:v>ZZB-0001</x:v>
      </x:c>
      <x:c r="F620" s="12" t="str">
        <x:v>調出</x:v>
      </x:c>
      <x:c r="G620" s="12" t="str">
        <x:v>2.0</x:v>
      </x:c>
      <x:c r="H620" s="13" t="n">
        <x:v>4</x:v>
      </x:c>
      <x:c r="I620" s="12" t="str">
        <x:v>台北市</x:v>
      </x:c>
      <x:c r="J620" s="12" t="str">
        <x:v>500119078</x:v>
      </x:c>
      <x:c r="K620" s="12" t="str">
        <x:v>臺大森林館北側</x:v>
      </x:c>
      <x:c r="L620" s="12" t="str">
        <x:v>ZZB* 且調出/調入且車種2.0/2.0E</x:v>
      </x:c>
    </x:row>
    <x:row r="621">
      <x:c r="A621" s="12" t="str">
        <x:v>2026-09-09</x:v>
      </x:c>
      <x:c r="B621" s="12" t="str">
        <x:v>2026-09-09 10:31:56</x:v>
      </x:c>
      <x:c r="C621" s="12" t="str">
        <x:v>10:00</x:v>
      </x:c>
      <x:c r="D621" s="12" t="str">
        <x:v>10–13</x:v>
      </x:c>
      <x:c r="E621" s="12" t="str">
        <x:v>ZZB-0001</x:v>
      </x:c>
      <x:c r="F621" s="12" t="str">
        <x:v>調出</x:v>
      </x:c>
      <x:c r="G621" s="12" t="str">
        <x:v>2.0</x:v>
      </x:c>
      <x:c r="H621" s="13" t="n">
        <x:v>3</x:v>
      </x:c>
      <x:c r="I621" s="12" t="str">
        <x:v>台北市</x:v>
      </x:c>
      <x:c r="J621" s="12" t="str">
        <x:v>500119087</x:v>
      </x:c>
      <x:c r="K621" s="12" t="str">
        <x:v>臺大總圖書館西南側</x:v>
      </x:c>
      <x:c r="L621" s="12" t="str">
        <x:v>ZZB* 且調出/調入且車種2.0/2.0E</x:v>
      </x:c>
    </x:row>
    <x:row r="622">
      <x:c r="A622" s="12" t="str">
        <x:v>2026-09-09</x:v>
      </x:c>
      <x:c r="B622" s="12" t="str">
        <x:v>2026-09-09 10:32:10</x:v>
      </x:c>
      <x:c r="C622" s="12" t="str">
        <x:v>10:00</x:v>
      </x:c>
      <x:c r="D622" s="12" t="str">
        <x:v>10–13</x:v>
      </x:c>
      <x:c r="E622" s="12" t="str">
        <x:v>ZZB-0001</x:v>
      </x:c>
      <x:c r="F622" s="12" t="str">
        <x:v>調入</x:v>
      </x:c>
      <x:c r="G622" s="12" t="str">
        <x:v>2.0</x:v>
      </x:c>
      <x:c r="H622" s="13" t="n">
        <x:v>7</x:v>
      </x:c>
      <x:c r="I622" s="12" t="str">
        <x:v>台北市</x:v>
      </x:c>
      <x:c r="J622" s="12" t="str">
        <x:v>500119059</x:v>
      </x:c>
      <x:c r="K622" s="12" t="str">
        <x:v>臺大共同教室北側</x:v>
      </x:c>
      <x:c r="L622" s="12" t="str">
        <x:v>ZZB* 且調出/調入且車種2.0/2.0E</x:v>
      </x:c>
    </x:row>
    <x:row r="623">
      <x:c r="A623" s="12" t="str">
        <x:v>2026-09-09</x:v>
      </x:c>
      <x:c r="B623" s="12" t="str">
        <x:v>2026-09-09 10:57:43</x:v>
      </x:c>
      <x:c r="C623" s="12" t="str">
        <x:v>10:00</x:v>
      </x:c>
      <x:c r="D623" s="12" t="str">
        <x:v>10–13</x:v>
      </x:c>
      <x:c r="E623" s="12" t="str">
        <x:v>ZZB-0001</x:v>
      </x:c>
      <x:c r="F623" s="12" t="str">
        <x:v>調出</x:v>
      </x:c>
      <x:c r="G623" s="12" t="str">
        <x:v>2.0</x:v>
      </x:c>
      <x:c r="H623" s="13" t="n">
        <x:v>5</x:v>
      </x:c>
      <x:c r="I623" s="12" t="str">
        <x:v>台北市</x:v>
      </x:c>
      <x:c r="J623" s="12" t="str">
        <x:v>500119098</x:v>
      </x:c>
      <x:c r="K623" s="12" t="str">
        <x:v>臺大數學研究中心(東側)</x:v>
      </x:c>
      <x:c r="L623" s="12" t="str">
        <x:v>ZZB* 且調出/調入且車種2.0/2.0E</x:v>
      </x:c>
    </x:row>
    <x:row r="624">
      <x:c r="A624" s="12" t="str">
        <x:v>2026-09-09</x:v>
      </x:c>
      <x:c r="B624" s="12" t="str">
        <x:v>2026-09-09 10:58:00</x:v>
      </x:c>
      <x:c r="C624" s="12" t="str">
        <x:v>10:00</x:v>
      </x:c>
      <x:c r="D624" s="12" t="str">
        <x:v>10–13</x:v>
      </x:c>
      <x:c r="E624" s="12" t="str">
        <x:v>ZZB-0001</x:v>
      </x:c>
      <x:c r="F624" s="12" t="str">
        <x:v>調入</x:v>
      </x:c>
      <x:c r="G624" s="12" t="str">
        <x:v>2.0</x:v>
      </x:c>
      <x:c r="H624" s="13" t="n">
        <x:v>5</x:v>
      </x:c>
      <x:c r="I624" s="12" t="str">
        <x:v>台北市</x:v>
      </x:c>
      <x:c r="J624" s="12" t="str">
        <x:v>500119094</x:v>
      </x:c>
      <x:c r="K624" s="12" t="str">
        <x:v>臺大大一女餐廳廣場</x:v>
      </x:c>
      <x:c r="L624" s="12" t="str">
        <x:v>ZZB* 且調出/調入且車種2.0/2.0E</x:v>
      </x:c>
    </x:row>
    <x:row r="625">
      <x:c r="A625" s="12" t="str">
        <x:v>2026-09-09</x:v>
      </x:c>
      <x:c r="B625" s="12" t="str">
        <x:v>2026-09-09 11:20:16</x:v>
      </x:c>
      <x:c r="C625" s="12" t="str">
        <x:v>11:00</x:v>
      </x:c>
      <x:c r="D625" s="12" t="str">
        <x:v>10–13</x:v>
      </x:c>
      <x:c r="E625" s="12" t="str">
        <x:v>ZZB-0001</x:v>
      </x:c>
      <x:c r="F625" s="12" t="str">
        <x:v>調出</x:v>
      </x:c>
      <x:c r="G625" s="12" t="str">
        <x:v>2.0</x:v>
      </x:c>
      <x:c r="H625" s="13" t="n">
        <x:v>7</x:v>
      </x:c>
      <x:c r="I625" s="12" t="str">
        <x:v>台北市</x:v>
      </x:c>
      <x:c r="J625" s="12" t="str">
        <x:v>500119087</x:v>
      </x:c>
      <x:c r="K625" s="12" t="str">
        <x:v>臺大總圖書館西南側</x:v>
      </x:c>
      <x:c r="L625" s="12" t="str">
        <x:v>ZZB* 且調出/調入且車種2.0/2.0E</x:v>
      </x:c>
    </x:row>
    <x:row r="626">
      <x:c r="A626" s="12" t="str">
        <x:v>2026-09-09</x:v>
      </x:c>
      <x:c r="B626" s="12" t="str">
        <x:v>2026-09-09 11:20:28</x:v>
      </x:c>
      <x:c r="C626" s="12" t="str">
        <x:v>11:00</x:v>
      </x:c>
      <x:c r="D626" s="12" t="str">
        <x:v>10–13</x:v>
      </x:c>
      <x:c r="E626" s="12" t="str">
        <x:v>ZZB-0001</x:v>
      </x:c>
      <x:c r="F626" s="12" t="str">
        <x:v>調入</x:v>
      </x:c>
      <x:c r="G626" s="12" t="str">
        <x:v>2.0</x:v>
      </x:c>
      <x:c r="H626" s="13" t="n">
        <x:v>7</x:v>
      </x:c>
      <x:c r="I626" s="12" t="str">
        <x:v>台北市</x:v>
      </x:c>
      <x:c r="J626" s="12" t="str">
        <x:v>500119091</x:v>
      </x:c>
      <x:c r="K626" s="12" t="str">
        <x:v>臺大明達館北側(員工宿舍)</x:v>
      </x:c>
      <x:c r="L626" s="12" t="str">
        <x:v>ZZB* 且調出/調入且車種2.0/2.0E</x:v>
      </x:c>
    </x:row>
    <x:row r="627">
      <x:c r="A627" s="12" t="str">
        <x:v>2026-09-09</x:v>
      </x:c>
      <x:c r="B627" s="12" t="str">
        <x:v>2026-09-09 12:28:15</x:v>
      </x:c>
      <x:c r="C627" s="12" t="str">
        <x:v>12:00</x:v>
      </x:c>
      <x:c r="D627" s="12" t="str">
        <x:v>10–13</x:v>
      </x:c>
      <x:c r="E627" s="12" t="str">
        <x:v>ZZB-0001</x:v>
      </x:c>
      <x:c r="F627" s="12" t="str">
        <x:v>調出</x:v>
      </x:c>
      <x:c r="G627" s="12" t="str">
        <x:v>2.0</x:v>
      </x:c>
      <x:c r="H627" s="13" t="n">
        <x:v>7</x:v>
      </x:c>
      <x:c r="I627" s="12" t="str">
        <x:v>台北市</x:v>
      </x:c>
      <x:c r="J627" s="12" t="str">
        <x:v>500119087</x:v>
      </x:c>
      <x:c r="K627" s="12" t="str">
        <x:v>臺大總圖書館西南側</x:v>
      </x:c>
      <x:c r="L627" s="12" t="str">
        <x:v>ZZB* 且調出/調入且車種2.0/2.0E</x:v>
      </x:c>
    </x:row>
    <x:row r="628">
      <x:c r="A628" s="12" t="str">
        <x:v>2026-09-09</x:v>
      </x:c>
      <x:c r="B628" s="12" t="str">
        <x:v>2026-09-09 12:28:29</x:v>
      </x:c>
      <x:c r="C628" s="12" t="str">
        <x:v>12:00</x:v>
      </x:c>
      <x:c r="D628" s="12" t="str">
        <x:v>10–13</x:v>
      </x:c>
      <x:c r="E628" s="12" t="str">
        <x:v>ZZB-0001</x:v>
      </x:c>
      <x:c r="F628" s="12" t="str">
        <x:v>調入</x:v>
      </x:c>
      <x:c r="G628" s="12" t="str">
        <x:v>2.0</x:v>
      </x:c>
      <x:c r="H628" s="13" t="n">
        <x:v>7</x:v>
      </x:c>
      <x:c r="I628" s="12" t="str">
        <x:v>台北市</x:v>
      </x:c>
      <x:c r="J628" s="12" t="str">
        <x:v>500119074</x:v>
      </x:c>
      <x:c r="K628" s="12" t="str">
        <x:v>臺大生命科學館西北側</x:v>
      </x:c>
      <x:c r="L628" s="12" t="str">
        <x:v>ZZB* 且調出/調入且車種2.0/2.0E</x:v>
      </x:c>
    </x:row>
    <x:row r="629">
      <x:c r="A629" s="12" t="str">
        <x:v>2026-09-09</x:v>
      </x:c>
      <x:c r="B629" s="12" t="str">
        <x:v>2026-09-09 12:59:58</x:v>
      </x:c>
      <x:c r="C629" s="12" t="str">
        <x:v>12:00</x:v>
      </x:c>
      <x:c r="D629" s="12" t="str">
        <x:v>10–13</x:v>
      </x:c>
      <x:c r="E629" s="12" t="str">
        <x:v>ZZB-0001</x:v>
      </x:c>
      <x:c r="F629" s="12" t="str">
        <x:v>調出</x:v>
      </x:c>
      <x:c r="G629" s="12" t="str">
        <x:v>2.0</x:v>
      </x:c>
      <x:c r="H629" s="13" t="n">
        <x:v>6</x:v>
      </x:c>
      <x:c r="I629" s="12" t="str">
        <x:v>台北市</x:v>
      </x:c>
      <x:c r="J629" s="12" t="str">
        <x:v>500119086</x:v>
      </x:c>
      <x:c r="K629" s="12" t="str">
        <x:v>臺大圖資系館北側</x:v>
      </x:c>
      <x:c r="L629" s="12" t="str">
        <x:v>ZZB* 且調出/調入且車種2.0/2.0E</x:v>
      </x:c>
    </x:row>
    <x:row r="630">
      <x:c r="A630" s="12" t="str">
        <x:v>2026-09-09</x:v>
      </x:c>
      <x:c r="B630" s="12" t="str">
        <x:v>2026-09-09 13:00:16</x:v>
      </x:c>
      <x:c r="C630" s="12" t="str">
        <x:v>13:00</x:v>
      </x:c>
      <x:c r="D630" s="12" t="str">
        <x:v>10–13</x:v>
      </x:c>
      <x:c r="E630" s="12" t="str">
        <x:v>ZZB-0001</x:v>
      </x:c>
      <x:c r="F630" s="12" t="str">
        <x:v>調入</x:v>
      </x:c>
      <x:c r="G630" s="12" t="str">
        <x:v>2.0</x:v>
      </x:c>
      <x:c r="H630" s="13" t="n">
        <x:v>6</x:v>
      </x:c>
      <x:c r="I630" s="12" t="str">
        <x:v>台北市</x:v>
      </x:c>
      <x:c r="J630" s="12" t="str">
        <x:v>500119061</x:v>
      </x:c>
      <x:c r="K630" s="12" t="str">
        <x:v>臺大鹿鳴堂東側</x:v>
      </x:c>
      <x:c r="L630" s="12" t="str">
        <x:v>ZZB* 且調出/調入且車種2.0/2.0E</x:v>
      </x:c>
    </x:row>
    <x:row r="631">
      <x:c r="A631" s="12" t="str">
        <x:v>2026-09-09</x:v>
      </x:c>
      <x:c r="B631" s="12" t="str">
        <x:v>2026-09-09 13:26:29</x:v>
      </x:c>
      <x:c r="C631" s="12" t="str">
        <x:v>13:00</x:v>
      </x:c>
      <x:c r="D631" s="12" t="str">
        <x:v>10–13</x:v>
      </x:c>
      <x:c r="E631" s="12" t="str">
        <x:v>ZZB-0001</x:v>
      </x:c>
      <x:c r="F631" s="12" t="str">
        <x:v>調出</x:v>
      </x:c>
      <x:c r="G631" s="12" t="str">
        <x:v>2.0</x:v>
      </x:c>
      <x:c r="H631" s="13" t="n">
        <x:v>7</x:v>
      </x:c>
      <x:c r="I631" s="12" t="str">
        <x:v>台北市</x:v>
      </x:c>
      <x:c r="J631" s="12" t="str">
        <x:v>500119072</x:v>
      </x:c>
      <x:c r="K631" s="12" t="str">
        <x:v>臺大原分所北側</x:v>
      </x:c>
      <x:c r="L631" s="12" t="str">
        <x:v>ZZB* 且調出/調入且車種2.0/2.0E</x:v>
      </x:c>
    </x:row>
    <x:row r="632">
      <x:c r="A632" s="12" t="str">
        <x:v>2026-09-09</x:v>
      </x:c>
      <x:c r="B632" s="12" t="str">
        <x:v>2026-09-09 13:26:44</x:v>
      </x:c>
      <x:c r="C632" s="12" t="str">
        <x:v>13:00</x:v>
      </x:c>
      <x:c r="D632" s="12" t="str">
        <x:v>10–13</x:v>
      </x:c>
      <x:c r="E632" s="12" t="str">
        <x:v>ZZB-0001</x:v>
      </x:c>
      <x:c r="F632" s="12" t="str">
        <x:v>調入</x:v>
      </x:c>
      <x:c r="G632" s="12" t="str">
        <x:v>2.0</x:v>
      </x:c>
      <x:c r="H632" s="13" t="n">
        <x:v>7</x:v>
      </x:c>
      <x:c r="I632" s="12" t="str">
        <x:v>台北市</x:v>
      </x:c>
      <x:c r="J632" s="12" t="str">
        <x:v>500119060</x:v>
      </x:c>
      <x:c r="K632" s="12" t="str">
        <x:v>臺大共同教室東南側</x:v>
      </x:c>
      <x:c r="L632" s="12" t="str">
        <x:v>ZZB* 且調出/調入且車種2.0/2.0E</x:v>
      </x:c>
    </x:row>
    <x:row r="633">
      <x:c r="A633" s="12" t="str">
        <x:v>2026-09-09</x:v>
      </x:c>
      <x:c r="B633" s="12" t="str">
        <x:v>2026-09-09 13:58:45</x:v>
      </x:c>
      <x:c r="C633" s="12" t="str">
        <x:v>13:00</x:v>
      </x:c>
      <x:c r="D633" s="12" t="str">
        <x:v>10–13</x:v>
      </x:c>
      <x:c r="E633" s="12" t="str">
        <x:v>ZZB-0001</x:v>
      </x:c>
      <x:c r="F633" s="12" t="str">
        <x:v>調出</x:v>
      </x:c>
      <x:c r="G633" s="12" t="str">
        <x:v>2.0</x:v>
      </x:c>
      <x:c r="H633" s="13" t="n">
        <x:v>5</x:v>
      </x:c>
      <x:c r="I633" s="12" t="str">
        <x:v>台北市</x:v>
      </x:c>
      <x:c r="J633" s="12" t="str">
        <x:v>500119098</x:v>
      </x:c>
      <x:c r="K633" s="12" t="str">
        <x:v>臺大數學研究中心(東側)</x:v>
      </x:c>
      <x:c r="L633" s="12" t="str">
        <x:v>ZZB* 且調出/調入且車種2.0/2.0E</x:v>
      </x:c>
    </x:row>
    <x:row r="634">
      <x:c r="A634" s="12" t="str">
        <x:v>2026-09-09</x:v>
      </x:c>
      <x:c r="B634" s="12" t="str">
        <x:v>2026-09-09 13:59:21</x:v>
      </x:c>
      <x:c r="C634" s="12" t="str">
        <x:v>13:00</x:v>
      </x:c>
      <x:c r="D634" s="12" t="str">
        <x:v>10–13</x:v>
      </x:c>
      <x:c r="E634" s="12" t="str">
        <x:v>ZZB-0001</x:v>
      </x:c>
      <x:c r="F634" s="12" t="str">
        <x:v>調入</x:v>
      </x:c>
      <x:c r="G634" s="12" t="str">
        <x:v>2.0</x:v>
      </x:c>
      <x:c r="H634" s="13" t="n">
        <x:v>5</x:v>
      </x:c>
      <x:c r="I634" s="12" t="str">
        <x:v>台北市</x:v>
      </x:c>
      <x:c r="J634" s="12" t="str">
        <x:v>500119059</x:v>
      </x:c>
      <x:c r="K634" s="12" t="str">
        <x:v>臺大共同教室北側</x:v>
      </x:c>
      <x:c r="L634" s="12" t="str">
        <x:v>ZZB* 且調出/調入且車種2.0/2.0E</x:v>
      </x:c>
    </x:row>
    <x:row r="635">
      <x:c r="A635" s="12" t="str">
        <x:v>2026-09-09</x:v>
      </x:c>
      <x:c r="B635" s="12" t="str">
        <x:v>2026-09-09 14:19:31</x:v>
      </x:c>
      <x:c r="C635" s="12" t="str">
        <x:v>14:00</x:v>
      </x:c>
      <x:c r="D635" s="12" t="str">
        <x:v>14–17</x:v>
      </x:c>
      <x:c r="E635" s="12" t="str">
        <x:v>ZZB-0001</x:v>
      </x:c>
      <x:c r="F635" s="12" t="str">
        <x:v>調出</x:v>
      </x:c>
      <x:c r="G635" s="12" t="str">
        <x:v>2.0</x:v>
      </x:c>
      <x:c r="H635" s="13" t="n">
        <x:v>3</x:v>
      </x:c>
      <x:c r="I635" s="12" t="str">
        <x:v>台北市</x:v>
      </x:c>
      <x:c r="J635" s="12" t="str">
        <x:v>500119072</x:v>
      </x:c>
      <x:c r="K635" s="12" t="str">
        <x:v>臺大原分所北側</x:v>
      </x:c>
      <x:c r="L635" s="12" t="str">
        <x:v>ZZB* 且調出/調入且車種2.0/2.0E</x:v>
      </x:c>
    </x:row>
    <x:row r="636">
      <x:c r="A636" s="12" t="str">
        <x:v>2026-09-09</x:v>
      </x:c>
      <x:c r="B636" s="12" t="str">
        <x:v>2026-09-09 14:19:44</x:v>
      </x:c>
      <x:c r="C636" s="12" t="str">
        <x:v>14:00</x:v>
      </x:c>
      <x:c r="D636" s="12" t="str">
        <x:v>14–17</x:v>
      </x:c>
      <x:c r="E636" s="12" t="str">
        <x:v>ZZB-0001</x:v>
      </x:c>
      <x:c r="F636" s="12" t="str">
        <x:v>調入</x:v>
      </x:c>
      <x:c r="G636" s="12" t="str">
        <x:v>2.0</x:v>
      </x:c>
      <x:c r="H636" s="13" t="n">
        <x:v>3</x:v>
      </x:c>
      <x:c r="I636" s="12" t="str">
        <x:v>台北市</x:v>
      </x:c>
      <x:c r="J636" s="12" t="str">
        <x:v>500119091</x:v>
      </x:c>
      <x:c r="K636" s="12" t="str">
        <x:v>臺大明達館北側(員工宿舍)</x:v>
      </x:c>
      <x:c r="L636" s="12" t="str">
        <x:v>ZZB* 且調出/調入且車種2.0/2.0E</x:v>
      </x:c>
    </x:row>
    <x:row r="637">
      <x:c r="A637" s="12" t="str">
        <x:v>2026-09-09</x:v>
      </x:c>
      <x:c r="B637" s="12" t="str">
        <x:v>2026-09-09 17:40:33</x:v>
      </x:c>
      <x:c r="C637" s="12" t="str">
        <x:v>17:00</x:v>
      </x:c>
      <x:c r="D637" s="12" t="str">
        <x:v>14–17</x:v>
      </x:c>
      <x:c r="E637" s="12" t="str">
        <x:v>ZZB-0001</x:v>
      </x:c>
      <x:c r="F637" s="12" t="str">
        <x:v>調出</x:v>
      </x:c>
      <x:c r="G637" s="12" t="str">
        <x:v>2.0</x:v>
      </x:c>
      <x:c r="H637" s="13" t="n">
        <x:v>7</x:v>
      </x:c>
      <x:c r="I637" s="12" t="str">
        <x:v>台北市</x:v>
      </x:c>
      <x:c r="J637" s="12" t="str">
        <x:v>500119048</x:v>
      </x:c>
      <x:c r="K637" s="12" t="str">
        <x:v>臺大大一女舍北側</x:v>
      </x:c>
      <x:c r="L637" s="12" t="str">
        <x:v>ZZB* 且調出/調入且車種2.0/2.0E</x:v>
      </x:c>
    </x:row>
    <x:row r="638">
      <x:c r="A638" s="12" t="str">
        <x:v>2026-09-09</x:v>
      </x:c>
      <x:c r="B638" s="12" t="str">
        <x:v>2026-09-09 17:40:45</x:v>
      </x:c>
      <x:c r="C638" s="12" t="str">
        <x:v>17:00</x:v>
      </x:c>
      <x:c r="D638" s="12" t="str">
        <x:v>14–17</x:v>
      </x:c>
      <x:c r="E638" s="12" t="str">
        <x:v>ZZB-0001</x:v>
      </x:c>
      <x:c r="F638" s="12" t="str">
        <x:v>調入</x:v>
      </x:c>
      <x:c r="G638" s="12" t="str">
        <x:v>2.0</x:v>
      </x:c>
      <x:c r="H638" s="13" t="n">
        <x:v>7</x:v>
      </x:c>
      <x:c r="I638" s="12" t="str">
        <x:v>台北市</x:v>
      </x:c>
      <x:c r="J638" s="12" t="str">
        <x:v>500119059</x:v>
      </x:c>
      <x:c r="K638" s="12" t="str">
        <x:v>臺大共同教室北側</x:v>
      </x:c>
      <x:c r="L638" s="12" t="str">
        <x:v>ZZB* 且調出/調入且車種2.0/2.0E</x:v>
      </x:c>
    </x:row>
    <x:row r="639">
      <x:c r="A639" s="12" t="str">
        <x:v>2026-09-09</x:v>
      </x:c>
      <x:c r="B639" s="12" t="str">
        <x:v>2026-09-09 17:58:03</x:v>
      </x:c>
      <x:c r="C639" s="12" t="str">
        <x:v>17:00</x:v>
      </x:c>
      <x:c r="D639" s="12" t="str">
        <x:v>14–17</x:v>
      </x:c>
      <x:c r="E639" s="12" t="str">
        <x:v>ZZB-0001</x:v>
      </x:c>
      <x:c r="F639" s="12" t="str">
        <x:v>調出</x:v>
      </x:c>
      <x:c r="G639" s="12" t="str">
        <x:v>2.0</x:v>
      </x:c>
      <x:c r="H639" s="13" t="n">
        <x:v>7</x:v>
      </x:c>
      <x:c r="I639" s="12" t="str">
        <x:v>台北市</x:v>
      </x:c>
      <x:c r="J639" s="12" t="str">
        <x:v>500101276</x:v>
      </x:c>
      <x:c r="K639" s="12" t="str">
        <x:v>羅斯福新生南路口</x:v>
      </x:c>
      <x:c r="L639" s="12" t="str">
        <x:v>ZZB* 且調出/調入且車種2.0/2.0E</x:v>
      </x:c>
    </x:row>
    <x:row r="640">
      <x:c r="A640" s="12" t="str">
        <x:v>2026-09-09</x:v>
      </x:c>
      <x:c r="B640" s="12" t="str">
        <x:v>2026-09-09 17:58:16</x:v>
      </x:c>
      <x:c r="C640" s="12" t="str">
        <x:v>17:00</x:v>
      </x:c>
      <x:c r="D640" s="12" t="str">
        <x:v>14–17</x:v>
      </x:c>
      <x:c r="E640" s="12" t="str">
        <x:v>ZZB-0001</x:v>
      </x:c>
      <x:c r="F640" s="12" t="str">
        <x:v>調入</x:v>
      </x:c>
      <x:c r="G640" s="12" t="str">
        <x:v>2.0</x:v>
      </x:c>
      <x:c r="H640" s="13" t="n">
        <x:v>7</x:v>
      </x:c>
      <x:c r="I640" s="12" t="str">
        <x:v>台北市</x:v>
      </x:c>
      <x:c r="J640" s="12" t="str">
        <x:v>500119059</x:v>
      </x:c>
      <x:c r="K640" s="12" t="str">
        <x:v>臺大共同教室北側</x:v>
      </x:c>
      <x:c r="L640" s="12" t="str">
        <x:v>ZZB* 且調出/調入且車種2.0/2.0E</x:v>
      </x:c>
    </x:row>
    <x:row r="641">
      <x:c r="A641" s="12" t="str">
        <x:v>2026-09-09</x:v>
      </x:c>
      <x:c r="B641" s="12" t="str">
        <x:v>2026-09-09 18:13:00</x:v>
      </x:c>
      <x:c r="C641" s="12" t="str">
        <x:v>18:00</x:v>
      </x:c>
      <x:c r="D641" s="12" t="str">
        <x:v>18–21</x:v>
      </x:c>
      <x:c r="E641" s="12" t="str">
        <x:v>ZZB-0001</x:v>
      </x:c>
      <x:c r="F641" s="12" t="str">
        <x:v>調出</x:v>
      </x:c>
      <x:c r="G641" s="12" t="str">
        <x:v>2.0</x:v>
      </x:c>
      <x:c r="H641" s="13" t="n">
        <x:v>7</x:v>
      </x:c>
      <x:c r="I641" s="12" t="str">
        <x:v>台北市</x:v>
      </x:c>
      <x:c r="J641" s="12" t="str">
        <x:v>500119094</x:v>
      </x:c>
      <x:c r="K641" s="12" t="str">
        <x:v>臺大大一女餐廳廣場</x:v>
      </x:c>
      <x:c r="L641" s="12" t="str">
        <x:v>ZZB* 且調出/調入且車種2.0/2.0E</x:v>
      </x:c>
    </x:row>
    <x:row r="642">
      <x:c r="A642" s="12" t="str">
        <x:v>2026-09-09</x:v>
      </x:c>
      <x:c r="B642" s="12" t="str">
        <x:v>2026-09-09 18:13:12</x:v>
      </x:c>
      <x:c r="C642" s="12" t="str">
        <x:v>18:00</x:v>
      </x:c>
      <x:c r="D642" s="12" t="str">
        <x:v>18–21</x:v>
      </x:c>
      <x:c r="E642" s="12" t="str">
        <x:v>ZZB-0001</x:v>
      </x:c>
      <x:c r="F642" s="12" t="str">
        <x:v>調入</x:v>
      </x:c>
      <x:c r="G642" s="12" t="str">
        <x:v>2.0</x:v>
      </x:c>
      <x:c r="H642" s="13" t="n">
        <x:v>7</x:v>
      </x:c>
      <x:c r="I642" s="12" t="str">
        <x:v>台北市</x:v>
      </x:c>
      <x:c r="J642" s="12" t="str">
        <x:v>500119061</x:v>
      </x:c>
      <x:c r="K642" s="12" t="str">
        <x:v>臺大鹿鳴堂東側</x:v>
      </x:c>
      <x:c r="L642" s="12" t="str">
        <x:v>ZZB* 且調出/調入且車種2.0/2.0E</x:v>
      </x:c>
    </x:row>
    <x:row r="643">
      <x:c r="A643" s="12" t="str">
        <x:v>2026-09-09</x:v>
      </x:c>
      <x:c r="B643" s="12" t="str">
        <x:v>2026-09-09 21:53:05</x:v>
      </x:c>
      <x:c r="C643" s="12" t="str">
        <x:v>21:00</x:v>
      </x:c>
      <x:c r="D643" s="12" t="str">
        <x:v>18–21</x:v>
      </x:c>
      <x:c r="E643" s="12" t="str">
        <x:v>ZZB-0001</x:v>
      </x:c>
      <x:c r="F643" s="12" t="str">
        <x:v>調出</x:v>
      </x:c>
      <x:c r="G643" s="12" t="str">
        <x:v>2.0</x:v>
      </x:c>
      <x:c r="H643" s="13" t="n">
        <x:v>7</x:v>
      </x:c>
      <x:c r="I643" s="12" t="str">
        <x:v>台北市</x:v>
      </x:c>
      <x:c r="J643" s="12" t="str">
        <x:v>500101181</x:v>
      </x:c>
      <x:c r="K643" s="12" t="str">
        <x:v>捷運公館站(3號出口)</x:v>
      </x:c>
      <x:c r="L643" s="12" t="str">
        <x:v>ZZB* 且調出/調入且車種2.0/2.0E</x:v>
      </x:c>
    </x:row>
    <x:row r="644">
      <x:c r="A644" s="12" t="str">
        <x:v>2026-09-09</x:v>
      </x:c>
      <x:c r="B644" s="12" t="str">
        <x:v>2026-09-09 21:53:16</x:v>
      </x:c>
      <x:c r="C644" s="12" t="str">
        <x:v>21:00</x:v>
      </x:c>
      <x:c r="D644" s="12" t="str">
        <x:v>18–21</x:v>
      </x:c>
      <x:c r="E644" s="12" t="str">
        <x:v>ZZB-0001</x:v>
      </x:c>
      <x:c r="F644" s="12" t="str">
        <x:v>調入</x:v>
      </x:c>
      <x:c r="G644" s="12" t="str">
        <x:v>2.0</x:v>
      </x:c>
      <x:c r="H644" s="13" t="n">
        <x:v>7</x:v>
      </x:c>
      <x:c r="I644" s="12" t="str">
        <x:v>台北市</x:v>
      </x:c>
      <x:c r="J644" s="12" t="str">
        <x:v>500119056</x:v>
      </x:c>
      <x:c r="K644" s="12" t="str">
        <x:v>臺大農化新館西側</x:v>
      </x:c>
      <x:c r="L644" s="12" t="str">
        <x:v>ZZB* 且調出/調入且車種2.0/2.0E</x:v>
      </x:c>
    </x:row>
    <x:row r="645">
      <x:c r="A645" s="12" t="str">
        <x:v>2026-09-09</x:v>
      </x:c>
      <x:c r="B645" s="12" t="str">
        <x:v>2026-09-09 22:42:53</x:v>
      </x:c>
      <x:c r="C645" s="12" t="str">
        <x:v>22:00</x:v>
      </x:c>
      <x:c r="D645" s="12" t="str">
        <x:v>22–23</x:v>
      </x:c>
      <x:c r="E645" s="12" t="str">
        <x:v>ZZB-0001</x:v>
      </x:c>
      <x:c r="F645" s="12" t="str">
        <x:v>調出</x:v>
      </x:c>
      <x:c r="G645" s="12" t="str">
        <x:v>2.0</x:v>
      </x:c>
      <x:c r="H645" s="13" t="n">
        <x:v>15</x:v>
      </x:c>
      <x:c r="I645" s="12" t="str">
        <x:v>台北市</x:v>
      </x:c>
      <x:c r="J645" s="12" t="str">
        <x:v>500101181</x:v>
      </x:c>
      <x:c r="K645" s="12" t="str">
        <x:v>捷運公館站(3號出口)</x:v>
      </x:c>
      <x:c r="L645" s="12" t="str">
        <x:v>ZZB* 且調出/調入且車種2.0/2.0E</x:v>
      </x:c>
    </x:row>
    <x:row r="646">
      <x:c r="A646" s="12" t="str">
        <x:v>2026-09-09</x:v>
      </x:c>
      <x:c r="B646" s="12" t="str">
        <x:v>2026-09-09 22:43:07</x:v>
      </x:c>
      <x:c r="C646" s="12" t="str">
        <x:v>22:00</x:v>
      </x:c>
      <x:c r="D646" s="12" t="str">
        <x:v>22–23</x:v>
      </x:c>
      <x:c r="E646" s="12" t="str">
        <x:v>ZZB-0001</x:v>
      </x:c>
      <x:c r="F646" s="12" t="str">
        <x:v>調入</x:v>
      </x:c>
      <x:c r="G646" s="12" t="str">
        <x:v>2.0</x:v>
      </x:c>
      <x:c r="H646" s="13" t="n">
        <x:v>15</x:v>
      </x:c>
      <x:c r="I646" s="12" t="str">
        <x:v>台北市</x:v>
      </x:c>
      <x:c r="J646" s="12" t="str">
        <x:v>500101181</x:v>
      </x:c>
      <x:c r="K646" s="12" t="str">
        <x:v>捷運公館站(3號出口)</x:v>
      </x:c>
      <x:c r="L646" s="12" t="str">
        <x:v>ZZB* 且調出/調入且車種2.0/2.0E</x:v>
      </x:c>
    </x:row>
    <x:row r="647">
      <x:c r="A647" s="12" t="str">
        <x:v>2026-09-09</x:v>
      </x:c>
      <x:c r="B647" s="12" t="str">
        <x:v>2026-09-09 09:18:46</x:v>
      </x:c>
      <x:c r="C647" s="12" t="str">
        <x:v>09:00</x:v>
      </x:c>
      <x:c r="D647" s="12" t="str">
        <x:v>06–09</x:v>
      </x:c>
      <x:c r="E647" s="12" t="str">
        <x:v>ZZB-0001</x:v>
      </x:c>
      <x:c r="F647" s="12" t="str">
        <x:v>調出</x:v>
      </x:c>
      <x:c r="G647" s="12" t="str">
        <x:v>2.0E</x:v>
      </x:c>
      <x:c r="H647" s="13" t="n">
        <x:v>2</x:v>
      </x:c>
      <x:c r="I647" s="12" t="str">
        <x:v>台北市</x:v>
      </x:c>
      <x:c r="J647" s="12" t="str">
        <x:v>500119087</x:v>
      </x:c>
      <x:c r="K647" s="12" t="str">
        <x:v>臺大總圖書館西南側</x:v>
      </x:c>
      <x:c r="L647" s="12" t="str">
        <x:v>ZZB* 且調出/調入且車種2.0/2.0E</x:v>
      </x:c>
    </x:row>
    <x:row r="648">
      <x:c r="A648" s="12" t="str">
        <x:v>2026-09-09</x:v>
      </x:c>
      <x:c r="B648" s="12" t="str">
        <x:v>2026-09-09 09:19:01</x:v>
      </x:c>
      <x:c r="C648" s="12" t="str">
        <x:v>09:00</x:v>
      </x:c>
      <x:c r="D648" s="12" t="str">
        <x:v>06–09</x:v>
      </x:c>
      <x:c r="E648" s="12" t="str">
        <x:v>ZZB-0001</x:v>
      </x:c>
      <x:c r="F648" s="12" t="str">
        <x:v>調入</x:v>
      </x:c>
      <x:c r="G648" s="12" t="str">
        <x:v>2.0E</x:v>
      </x:c>
      <x:c r="H648" s="13" t="n">
        <x:v>2</x:v>
      </x:c>
      <x:c r="I648" s="12" t="str">
        <x:v>台北市</x:v>
      </x:c>
      <x:c r="J648" s="12" t="str">
        <x:v>500119059</x:v>
      </x:c>
      <x:c r="K648" s="12" t="str">
        <x:v>臺大共同教室北側</x:v>
      </x:c>
      <x:c r="L648" s="12" t="str">
        <x:v>ZZB* 且調出/調入且車種2.0/2.0E</x:v>
      </x:c>
    </x:row>
    <x:row r="649">
      <x:c r="A649" s="12" t="str">
        <x:v>2026-09-09</x:v>
      </x:c>
      <x:c r="B649" s="12" t="str">
        <x:v>2026-09-09 09:40:03</x:v>
      </x:c>
      <x:c r="C649" s="12" t="str">
        <x:v>09:00</x:v>
      </x:c>
      <x:c r="D649" s="12" t="str">
        <x:v>06–09</x:v>
      </x:c>
      <x:c r="E649" s="12" t="str">
        <x:v>ZZB-0001</x:v>
      </x:c>
      <x:c r="F649" s="12" t="str">
        <x:v>調出</x:v>
      </x:c>
      <x:c r="G649" s="12" t="str">
        <x:v>2.0E</x:v>
      </x:c>
      <x:c r="H649" s="13" t="n">
        <x:v>1</x:v>
      </x:c>
      <x:c r="I649" s="12" t="str">
        <x:v>台北市</x:v>
      </x:c>
      <x:c r="J649" s="12" t="str">
        <x:v>500119072</x:v>
      </x:c>
      <x:c r="K649" s="12" t="str">
        <x:v>臺大原分所北側</x:v>
      </x:c>
      <x:c r="L649" s="12" t="str">
        <x:v>ZZB* 且調出/調入且車種2.0/2.0E</x:v>
      </x:c>
    </x:row>
    <x:row r="650">
      <x:c r="A650" s="12" t="str">
        <x:v>2026-09-09</x:v>
      </x:c>
      <x:c r="B650" s="12" t="str">
        <x:v>2026-09-09 09:40:18</x:v>
      </x:c>
      <x:c r="C650" s="12" t="str">
        <x:v>09:00</x:v>
      </x:c>
      <x:c r="D650" s="12" t="str">
        <x:v>06–09</x:v>
      </x:c>
      <x:c r="E650" s="12" t="str">
        <x:v>ZZB-0001</x:v>
      </x:c>
      <x:c r="F650" s="12" t="str">
        <x:v>調入</x:v>
      </x:c>
      <x:c r="G650" s="12" t="str">
        <x:v>2.0E</x:v>
      </x:c>
      <x:c r="H650" s="13" t="n">
        <x:v>1</x:v>
      </x:c>
      <x:c r="I650" s="12" t="str">
        <x:v>台北市</x:v>
      </x:c>
      <x:c r="J650" s="12" t="str">
        <x:v>500119061</x:v>
      </x:c>
      <x:c r="K650" s="12" t="str">
        <x:v>臺大鹿鳴堂東側</x:v>
      </x:c>
      <x:c r="L650" s="12" t="str">
        <x:v>ZZB* 且調出/調入且車種2.0/2.0E</x:v>
      </x:c>
    </x:row>
    <x:row r="651">
      <x:c r="A651" s="12" t="str">
        <x:v>2026-09-09</x:v>
      </x:c>
      <x:c r="B651" s="12" t="str">
        <x:v>2026-09-09 10:10:37</x:v>
      </x:c>
      <x:c r="C651" s="12" t="str">
        <x:v>10:00</x:v>
      </x:c>
      <x:c r="D651" s="12" t="str">
        <x:v>10–13</x:v>
      </x:c>
      <x:c r="E651" s="12" t="str">
        <x:v>ZZB-0001</x:v>
      </x:c>
      <x:c r="F651" s="12" t="str">
        <x:v>調出</x:v>
      </x:c>
      <x:c r="G651" s="12" t="str">
        <x:v>2.0E</x:v>
      </x:c>
      <x:c r="H651" s="13" t="n">
        <x:v>1</x:v>
      </x:c>
      <x:c r="I651" s="12" t="str">
        <x:v>台北市</x:v>
      </x:c>
      <x:c r="J651" s="12" t="str">
        <x:v>500119086</x:v>
      </x:c>
      <x:c r="K651" s="12" t="str">
        <x:v>臺大圖資系館北側</x:v>
      </x:c>
      <x:c r="L651" s="12" t="str">
        <x:v>ZZB* 且調出/調入且車種2.0/2.0E</x:v>
      </x:c>
    </x:row>
    <x:row r="652">
      <x:c r="A652" s="12" t="str">
        <x:v>2026-09-09</x:v>
      </x:c>
      <x:c r="B652" s="12" t="str">
        <x:v>2026-09-09 10:10:50</x:v>
      </x:c>
      <x:c r="C652" s="12" t="str">
        <x:v>10:00</x:v>
      </x:c>
      <x:c r="D652" s="12" t="str">
        <x:v>10–13</x:v>
      </x:c>
      <x:c r="E652" s="12" t="str">
        <x:v>ZZB-0001</x:v>
      </x:c>
      <x:c r="F652" s="12" t="str">
        <x:v>調入</x:v>
      </x:c>
      <x:c r="G652" s="12" t="str">
        <x:v>2.0E</x:v>
      </x:c>
      <x:c r="H652" s="13" t="n">
        <x:v>1</x:v>
      </x:c>
      <x:c r="I652" s="12" t="str">
        <x:v>台北市</x:v>
      </x:c>
      <x:c r="J652" s="12" t="str">
        <x:v>500119060</x:v>
      </x:c>
      <x:c r="K652" s="12" t="str">
        <x:v>臺大共同教室東南側</x:v>
      </x:c>
      <x:c r="L652" s="12" t="str">
        <x:v>ZZB* 且調出/調入且車種2.0/2.0E</x:v>
      </x:c>
    </x:row>
    <x:row r="653">
      <x:c r="A653" s="12" t="str">
        <x:v>2026-09-09</x:v>
      </x:c>
      <x:c r="B653" s="12" t="str">
        <x:v>2026-09-09 10:57:43</x:v>
      </x:c>
      <x:c r="C653" s="12" t="str">
        <x:v>10:00</x:v>
      </x:c>
      <x:c r="D653" s="12" t="str">
        <x:v>10–13</x:v>
      </x:c>
      <x:c r="E653" s="12" t="str">
        <x:v>ZZB-0001</x:v>
      </x:c>
      <x:c r="F653" s="12" t="str">
        <x:v>調出</x:v>
      </x:c>
      <x:c r="G653" s="12" t="str">
        <x:v>2.0E</x:v>
      </x:c>
      <x:c r="H653" s="13" t="n">
        <x:v>2</x:v>
      </x:c>
      <x:c r="I653" s="12" t="str">
        <x:v>台北市</x:v>
      </x:c>
      <x:c r="J653" s="12" t="str">
        <x:v>500119098</x:v>
      </x:c>
      <x:c r="K653" s="12" t="str">
        <x:v>臺大數學研究中心(東側)</x:v>
      </x:c>
      <x:c r="L653" s="12" t="str">
        <x:v>ZZB* 且調出/調入且車種2.0/2.0E</x:v>
      </x:c>
    </x:row>
    <x:row r="654">
      <x:c r="A654" s="12" t="str">
        <x:v>2026-09-09</x:v>
      </x:c>
      <x:c r="B654" s="12" t="str">
        <x:v>2026-09-09 10:58:00</x:v>
      </x:c>
      <x:c r="C654" s="12" t="str">
        <x:v>10:00</x:v>
      </x:c>
      <x:c r="D654" s="12" t="str">
        <x:v>10–13</x:v>
      </x:c>
      <x:c r="E654" s="12" t="str">
        <x:v>ZZB-0001</x:v>
      </x:c>
      <x:c r="F654" s="12" t="str">
        <x:v>調入</x:v>
      </x:c>
      <x:c r="G654" s="12" t="str">
        <x:v>2.0E</x:v>
      </x:c>
      <x:c r="H654" s="13" t="n">
        <x:v>2</x:v>
      </x:c>
      <x:c r="I654" s="12" t="str">
        <x:v>台北市</x:v>
      </x:c>
      <x:c r="J654" s="12" t="str">
        <x:v>500119094</x:v>
      </x:c>
      <x:c r="K654" s="12" t="str">
        <x:v>臺大大一女餐廳廣場</x:v>
      </x:c>
      <x:c r="L654" s="12" t="str">
        <x:v>ZZB* 且調出/調入且車種2.0/2.0E</x:v>
      </x:c>
    </x:row>
    <x:row r="655">
      <x:c r="A655" s="12" t="str">
        <x:v>2026-09-09</x:v>
      </x:c>
      <x:c r="B655" s="12" t="str">
        <x:v>2026-09-09 12:59:58</x:v>
      </x:c>
      <x:c r="C655" s="12" t="str">
        <x:v>12:00</x:v>
      </x:c>
      <x:c r="D655" s="12" t="str">
        <x:v>10–13</x:v>
      </x:c>
      <x:c r="E655" s="12" t="str">
        <x:v>ZZB-0001</x:v>
      </x:c>
      <x:c r="F655" s="12" t="str">
        <x:v>調出</x:v>
      </x:c>
      <x:c r="G655" s="12" t="str">
        <x:v>2.0E</x:v>
      </x:c>
      <x:c r="H655" s="13" t="n">
        <x:v>1</x:v>
      </x:c>
      <x:c r="I655" s="12" t="str">
        <x:v>台北市</x:v>
      </x:c>
      <x:c r="J655" s="12" t="str">
        <x:v>500119086</x:v>
      </x:c>
      <x:c r="K655" s="12" t="str">
        <x:v>臺大圖資系館北側</x:v>
      </x:c>
      <x:c r="L655" s="12" t="str">
        <x:v>ZZB* 且調出/調入且車種2.0/2.0E</x:v>
      </x:c>
    </x:row>
    <x:row r="656">
      <x:c r="A656" s="12" t="str">
        <x:v>2026-09-09</x:v>
      </x:c>
      <x:c r="B656" s="12" t="str">
        <x:v>2026-09-09 13:00:16</x:v>
      </x:c>
      <x:c r="C656" s="12" t="str">
        <x:v>13:00</x:v>
      </x:c>
      <x:c r="D656" s="12" t="str">
        <x:v>10–13</x:v>
      </x:c>
      <x:c r="E656" s="12" t="str">
        <x:v>ZZB-0001</x:v>
      </x:c>
      <x:c r="F656" s="12" t="str">
        <x:v>調入</x:v>
      </x:c>
      <x:c r="G656" s="12" t="str">
        <x:v>2.0E</x:v>
      </x:c>
      <x:c r="H656" s="13" t="n">
        <x:v>1</x:v>
      </x:c>
      <x:c r="I656" s="12" t="str">
        <x:v>台北市</x:v>
      </x:c>
      <x:c r="J656" s="12" t="str">
        <x:v>500119061</x:v>
      </x:c>
      <x:c r="K656" s="12" t="str">
        <x:v>臺大鹿鳴堂東側</x:v>
      </x:c>
      <x:c r="L656" s="12" t="str">
        <x:v>ZZB* 且調出/調入且車種2.0/2.0E</x:v>
      </x:c>
    </x:row>
    <x:row r="657">
      <x:c r="A657" s="12" t="str">
        <x:v>2026-09-09</x:v>
      </x:c>
      <x:c r="B657" s="12" t="str">
        <x:v>2026-09-09 13:58:45</x:v>
      </x:c>
      <x:c r="C657" s="12" t="str">
        <x:v>13:00</x:v>
      </x:c>
      <x:c r="D657" s="12" t="str">
        <x:v>10–13</x:v>
      </x:c>
      <x:c r="E657" s="12" t="str">
        <x:v>ZZB-0001</x:v>
      </x:c>
      <x:c r="F657" s="12" t="str">
        <x:v>調出</x:v>
      </x:c>
      <x:c r="G657" s="12" t="str">
        <x:v>2.0E</x:v>
      </x:c>
      <x:c r="H657" s="13" t="n">
        <x:v>2</x:v>
      </x:c>
      <x:c r="I657" s="12" t="str">
        <x:v>台北市</x:v>
      </x:c>
      <x:c r="J657" s="12" t="str">
        <x:v>500119098</x:v>
      </x:c>
      <x:c r="K657" s="12" t="str">
        <x:v>臺大數學研究中心(東側)</x:v>
      </x:c>
      <x:c r="L657" s="12" t="str">
        <x:v>ZZB* 且調出/調入且車種2.0/2.0E</x:v>
      </x:c>
    </x:row>
    <x:row r="658">
      <x:c r="A658" s="12" t="str">
        <x:v>2026-09-09</x:v>
      </x:c>
      <x:c r="B658" s="12" t="str">
        <x:v>2026-09-09 13:59:21</x:v>
      </x:c>
      <x:c r="C658" s="12" t="str">
        <x:v>13:00</x:v>
      </x:c>
      <x:c r="D658" s="12" t="str">
        <x:v>10–13</x:v>
      </x:c>
      <x:c r="E658" s="12" t="str">
        <x:v>ZZB-0001</x:v>
      </x:c>
      <x:c r="F658" s="12" t="str">
        <x:v>調入</x:v>
      </x:c>
      <x:c r="G658" s="12" t="str">
        <x:v>2.0E</x:v>
      </x:c>
      <x:c r="H658" s="13" t="n">
        <x:v>2</x:v>
      </x:c>
      <x:c r="I658" s="12" t="str">
        <x:v>台北市</x:v>
      </x:c>
      <x:c r="J658" s="12" t="str">
        <x:v>500119059</x:v>
      </x:c>
      <x:c r="K658" s="12" t="str">
        <x:v>臺大共同教室北側</x:v>
      </x:c>
      <x:c r="L658" s="12" t="str">
        <x:v>ZZB* 且調出/調入且車種2.0/2.0E</x:v>
      </x:c>
    </x:row>
    <x:row r="659">
      <x:c r="A659" s="12" t="str">
        <x:v>2026-09-09</x:v>
      </x:c>
      <x:c r="B659" s="12" t="str">
        <x:v>2026-09-09 08:54:36</x:v>
      </x:c>
      <x:c r="C659" s="12" t="str">
        <x:v>08:00</x:v>
      </x:c>
      <x:c r="D659" s="12" t="str">
        <x:v>06–09</x:v>
      </x:c>
      <x:c r="E659" s="12" t="str">
        <x:v>ZZB-0004</x:v>
      </x:c>
      <x:c r="F659" s="12" t="str">
        <x:v>調出</x:v>
      </x:c>
      <x:c r="G659" s="12" t="str">
        <x:v>2.0</x:v>
      </x:c>
      <x:c r="H659" s="13" t="n">
        <x:v>7</x:v>
      </x:c>
      <x:c r="I659" s="12" t="str">
        <x:v>台北市</x:v>
      </x:c>
      <x:c r="J659" s="12" t="str">
        <x:v>500119050</x:v>
      </x:c>
      <x:c r="K659" s="12" t="str">
        <x:v>臺大小福樓東側</x:v>
      </x:c>
      <x:c r="L659" s="12" t="str">
        <x:v>ZZB* 且調出/調入且車種2.0/2.0E</x:v>
      </x:c>
    </x:row>
    <x:row r="660">
      <x:c r="A660" s="12" t="str">
        <x:v>2026-09-09</x:v>
      </x:c>
      <x:c r="B660" s="12" t="str">
        <x:v>2026-09-09 08:59:50</x:v>
      </x:c>
      <x:c r="C660" s="12" t="str">
        <x:v>08:00</x:v>
      </x:c>
      <x:c r="D660" s="12" t="str">
        <x:v>06–09</x:v>
      </x:c>
      <x:c r="E660" s="12" t="str">
        <x:v>ZZB-0004</x:v>
      </x:c>
      <x:c r="F660" s="12" t="str">
        <x:v>調入</x:v>
      </x:c>
      <x:c r="G660" s="12" t="str">
        <x:v>2.0</x:v>
      </x:c>
      <x:c r="H660" s="13" t="n">
        <x:v>7</x:v>
      </x:c>
      <x:c r="I660" s="12" t="str">
        <x:v>台北市</x:v>
      </x:c>
      <x:c r="J660" s="12" t="str">
        <x:v>500119097</x:v>
      </x:c>
      <x:c r="K660" s="12" t="str">
        <x:v>臺大人文館</x:v>
      </x:c>
      <x:c r="L660" s="12" t="str">
        <x:v>ZZB* 且調出/調入且車種2.0/2.0E</x:v>
      </x:c>
    </x:row>
    <x:row r="661">
      <x:c r="A661" s="12" t="str">
        <x:v>2026-09-09</x:v>
      </x:c>
      <x:c r="B661" s="12" t="str">
        <x:v>2026-09-09 09:07:41</x:v>
      </x:c>
      <x:c r="C661" s="12" t="str">
        <x:v>09:00</x:v>
      </x:c>
      <x:c r="D661" s="12" t="str">
        <x:v>06–09</x:v>
      </x:c>
      <x:c r="E661" s="12" t="str">
        <x:v>ZZB-0004</x:v>
      </x:c>
      <x:c r="F661" s="12" t="str">
        <x:v>調出</x:v>
      </x:c>
      <x:c r="G661" s="12" t="str">
        <x:v>2.0</x:v>
      </x:c>
      <x:c r="H661" s="13" t="n">
        <x:v>7</x:v>
      </x:c>
      <x:c r="I661" s="12" t="str">
        <x:v>台北市</x:v>
      </x:c>
      <x:c r="J661" s="12" t="str">
        <x:v>500119050</x:v>
      </x:c>
      <x:c r="K661" s="12" t="str">
        <x:v>臺大小福樓東側</x:v>
      </x:c>
      <x:c r="L661" s="12" t="str">
        <x:v>ZZB* 且調出/調入且車種2.0/2.0E</x:v>
      </x:c>
    </x:row>
    <x:row r="662">
      <x:c r="A662" s="12" t="str">
        <x:v>2026-09-09</x:v>
      </x:c>
      <x:c r="B662" s="12" t="str">
        <x:v>2026-09-09 09:13:13</x:v>
      </x:c>
      <x:c r="C662" s="12" t="str">
        <x:v>09:00</x:v>
      </x:c>
      <x:c r="D662" s="12" t="str">
        <x:v>06–09</x:v>
      </x:c>
      <x:c r="E662" s="12" t="str">
        <x:v>ZZB-0004</x:v>
      </x:c>
      <x:c r="F662" s="12" t="str">
        <x:v>調入</x:v>
      </x:c>
      <x:c r="G662" s="12" t="str">
        <x:v>2.0</x:v>
      </x:c>
      <x:c r="H662" s="13" t="n">
        <x:v>7</x:v>
      </x:c>
      <x:c r="I662" s="12" t="str">
        <x:v>台北市</x:v>
      </x:c>
      <x:c r="J662" s="12" t="str">
        <x:v>500119050</x:v>
      </x:c>
      <x:c r="K662" s="12" t="str">
        <x:v>臺大小福樓東側</x:v>
      </x:c>
      <x:c r="L662" s="12" t="str">
        <x:v>ZZB* 且調出/調入且車種2.0/2.0E</x:v>
      </x:c>
    </x:row>
    <x:row r="663">
      <x:c r="A663" s="12" t="str">
        <x:v>2026-09-09</x:v>
      </x:c>
      <x:c r="B663" s="12" t="str">
        <x:v>2026-09-09 09:21:26</x:v>
      </x:c>
      <x:c r="C663" s="12" t="str">
        <x:v>09:00</x:v>
      </x:c>
      <x:c r="D663" s="12" t="str">
        <x:v>06–09</x:v>
      </x:c>
      <x:c r="E663" s="12" t="str">
        <x:v>ZZB-0004</x:v>
      </x:c>
      <x:c r="F663" s="12" t="str">
        <x:v>調出</x:v>
      </x:c>
      <x:c r="G663" s="12" t="str">
        <x:v>2.0</x:v>
      </x:c>
      <x:c r="H663" s="13" t="n">
        <x:v>2</x:v>
      </x:c>
      <x:c r="I663" s="12" t="str">
        <x:v>台北市</x:v>
      </x:c>
      <x:c r="J663" s="12" t="str">
        <x:v>500119050</x:v>
      </x:c>
      <x:c r="K663" s="12" t="str">
        <x:v>臺大小福樓東側</x:v>
      </x:c>
      <x:c r="L663" s="12" t="str">
        <x:v>ZZB* 且調出/調入且車種2.0/2.0E</x:v>
      </x:c>
    </x:row>
    <x:row r="664">
      <x:c r="A664" s="12" t="str">
        <x:v>2026-09-09</x:v>
      </x:c>
      <x:c r="B664" s="12" t="str">
        <x:v>2026-09-09 09:30:18</x:v>
      </x:c>
      <x:c r="C664" s="12" t="str">
        <x:v>09:00</x:v>
      </x:c>
      <x:c r="D664" s="12" t="str">
        <x:v>06–09</x:v>
      </x:c>
      <x:c r="E664" s="12" t="str">
        <x:v>ZZB-0004</x:v>
      </x:c>
      <x:c r="F664" s="12" t="str">
        <x:v>調入</x:v>
      </x:c>
      <x:c r="G664" s="12" t="str">
        <x:v>2.0</x:v>
      </x:c>
      <x:c r="H664" s="13" t="n">
        <x:v>2</x:v>
      </x:c>
      <x:c r="I664" s="12" t="str">
        <x:v>台北市</x:v>
      </x:c>
      <x:c r="J664" s="12" t="str">
        <x:v>500119097</x:v>
      </x:c>
      <x:c r="K664" s="12" t="str">
        <x:v>臺大人文館</x:v>
      </x:c>
      <x:c r="L664" s="12" t="str">
        <x:v>ZZB* 且調出/調入且車種2.0/2.0E</x:v>
      </x:c>
    </x:row>
    <x:row r="665">
      <x:c r="A665" s="12" t="str">
        <x:v>2026-09-09</x:v>
      </x:c>
      <x:c r="B665" s="12" t="str">
        <x:v>2026-09-09 09:39:28</x:v>
      </x:c>
      <x:c r="C665" s="12" t="str">
        <x:v>09:00</x:v>
      </x:c>
      <x:c r="D665" s="12" t="str">
        <x:v>06–09</x:v>
      </x:c>
      <x:c r="E665" s="12" t="str">
        <x:v>ZZB-0004</x:v>
      </x:c>
      <x:c r="F665" s="12" t="str">
        <x:v>調出</x:v>
      </x:c>
      <x:c r="G665" s="12" t="str">
        <x:v>2.0</x:v>
      </x:c>
      <x:c r="H665" s="13" t="n">
        <x:v>3</x:v>
      </x:c>
      <x:c r="I665" s="12" t="str">
        <x:v>台北市</x:v>
      </x:c>
      <x:c r="J665" s="12" t="str">
        <x:v>500119050</x:v>
      </x:c>
      <x:c r="K665" s="12" t="str">
        <x:v>臺大小福樓東側</x:v>
      </x:c>
      <x:c r="L665" s="12" t="str">
        <x:v>ZZB* 且調出/調入且車種2.0/2.0E</x:v>
      </x:c>
    </x:row>
    <x:row r="666">
      <x:c r="A666" s="12" t="str">
        <x:v>2026-09-09</x:v>
      </x:c>
      <x:c r="B666" s="12" t="str">
        <x:v>2026-09-09 09:45:27</x:v>
      </x:c>
      <x:c r="C666" s="12" t="str">
        <x:v>09:00</x:v>
      </x:c>
      <x:c r="D666" s="12" t="str">
        <x:v>06–09</x:v>
      </x:c>
      <x:c r="E666" s="12" t="str">
        <x:v>ZZB-0004</x:v>
      </x:c>
      <x:c r="F666" s="12" t="str">
        <x:v>調入</x:v>
      </x:c>
      <x:c r="G666" s="12" t="str">
        <x:v>2.0</x:v>
      </x:c>
      <x:c r="H666" s="13" t="n">
        <x:v>3</x:v>
      </x:c>
      <x:c r="I666" s="12" t="str">
        <x:v>台北市</x:v>
      </x:c>
      <x:c r="J666" s="12" t="str">
        <x:v>500119082</x:v>
      </x:c>
      <x:c r="K666" s="12" t="str">
        <x:v>臺大四號館東北側</x:v>
      </x:c>
      <x:c r="L666" s="12" t="str">
        <x:v>ZZB* 且調出/調入且車種2.0/2.0E</x:v>
      </x:c>
    </x:row>
    <x:row r="667">
      <x:c r="A667" s="12" t="str">
        <x:v>2026-09-09</x:v>
      </x:c>
      <x:c r="B667" s="12" t="str">
        <x:v>2026-09-09 09:55:26</x:v>
      </x:c>
      <x:c r="C667" s="12" t="str">
        <x:v>09:00</x:v>
      </x:c>
      <x:c r="D667" s="12" t="str">
        <x:v>06–09</x:v>
      </x:c>
      <x:c r="E667" s="12" t="str">
        <x:v>ZZB-0004</x:v>
      </x:c>
      <x:c r="F667" s="12" t="str">
        <x:v>調出</x:v>
      </x:c>
      <x:c r="G667" s="12" t="str">
        <x:v>2.0</x:v>
      </x:c>
      <x:c r="H667" s="13" t="n">
        <x:v>7</x:v>
      </x:c>
      <x:c r="I667" s="12" t="str">
        <x:v>台北市</x:v>
      </x:c>
      <x:c r="J667" s="12" t="str">
        <x:v>500119072</x:v>
      </x:c>
      <x:c r="K667" s="12" t="str">
        <x:v>臺大原分所北側</x:v>
      </x:c>
      <x:c r="L667" s="12" t="str">
        <x:v>ZZB* 且調出/調入且車種2.0/2.0E</x:v>
      </x:c>
    </x:row>
    <x:row r="668">
      <x:c r="A668" s="12" t="str">
        <x:v>2026-09-09</x:v>
      </x:c>
      <x:c r="B668" s="12" t="str">
        <x:v>2026-09-09 10:01:57</x:v>
      </x:c>
      <x:c r="C668" s="12" t="str">
        <x:v>10:00</x:v>
      </x:c>
      <x:c r="D668" s="12" t="str">
        <x:v>10–13</x:v>
      </x:c>
      <x:c r="E668" s="12" t="str">
        <x:v>ZZB-0004</x:v>
      </x:c>
      <x:c r="F668" s="12" t="str">
        <x:v>調入</x:v>
      </x:c>
      <x:c r="G668" s="12" t="str">
        <x:v>2.0</x:v>
      </x:c>
      <x:c r="H668" s="13" t="n">
        <x:v>7</x:v>
      </x:c>
      <x:c r="I668" s="12" t="str">
        <x:v>台北市</x:v>
      </x:c>
      <x:c r="J668" s="12" t="str">
        <x:v>500119082</x:v>
      </x:c>
      <x:c r="K668" s="12" t="str">
        <x:v>臺大四號館東北側</x:v>
      </x:c>
      <x:c r="L668" s="12" t="str">
        <x:v>ZZB* 且調出/調入且車種2.0/2.0E</x:v>
      </x:c>
    </x:row>
    <x:row r="669">
      <x:c r="A669" s="12" t="str">
        <x:v>2026-09-09</x:v>
      </x:c>
      <x:c r="B669" s="12" t="str">
        <x:v>2026-09-09 10:10:10</x:v>
      </x:c>
      <x:c r="C669" s="12" t="str">
        <x:v>10:00</x:v>
      </x:c>
      <x:c r="D669" s="12" t="str">
        <x:v>10–13</x:v>
      </x:c>
      <x:c r="E669" s="12" t="str">
        <x:v>ZZB-0004</x:v>
      </x:c>
      <x:c r="F669" s="12" t="str">
        <x:v>調出</x:v>
      </x:c>
      <x:c r="G669" s="12" t="str">
        <x:v>2.0</x:v>
      </x:c>
      <x:c r="H669" s="13" t="n">
        <x:v>7</x:v>
      </x:c>
      <x:c r="I669" s="12" t="str">
        <x:v>台北市</x:v>
      </x:c>
      <x:c r="J669" s="12" t="str">
        <x:v>500119050</x:v>
      </x:c>
      <x:c r="K669" s="12" t="str">
        <x:v>臺大小福樓東側</x:v>
      </x:c>
      <x:c r="L669" s="12" t="str">
        <x:v>ZZB* 且調出/調入且車種2.0/2.0E</x:v>
      </x:c>
    </x:row>
    <x:row r="670">
      <x:c r="A670" s="12" t="str">
        <x:v>2026-09-09</x:v>
      </x:c>
      <x:c r="B670" s="12" t="str">
        <x:v>2026-09-09 10:15:54</x:v>
      </x:c>
      <x:c r="C670" s="12" t="str">
        <x:v>10:00</x:v>
      </x:c>
      <x:c r="D670" s="12" t="str">
        <x:v>10–13</x:v>
      </x:c>
      <x:c r="E670" s="12" t="str">
        <x:v>ZZB-0004</x:v>
      </x:c>
      <x:c r="F670" s="12" t="str">
        <x:v>調入</x:v>
      </x:c>
      <x:c r="G670" s="12" t="str">
        <x:v>2.0</x:v>
      </x:c>
      <x:c r="H670" s="13" t="n">
        <x:v>7</x:v>
      </x:c>
      <x:c r="I670" s="12" t="str">
        <x:v>台北市</x:v>
      </x:c>
      <x:c r="J670" s="12" t="str">
        <x:v>500119097</x:v>
      </x:c>
      <x:c r="K670" s="12" t="str">
        <x:v>臺大人文館</x:v>
      </x:c>
      <x:c r="L670" s="12" t="str">
        <x:v>ZZB* 且調出/調入且車種2.0/2.0E</x:v>
      </x:c>
    </x:row>
    <x:row r="671">
      <x:c r="A671" s="12" t="str">
        <x:v>2026-09-09</x:v>
      </x:c>
      <x:c r="B671" s="12" t="str">
        <x:v>2026-09-09 10:28:12</x:v>
      </x:c>
      <x:c r="C671" s="12" t="str">
        <x:v>10:00</x:v>
      </x:c>
      <x:c r="D671" s="12" t="str">
        <x:v>10–13</x:v>
      </x:c>
      <x:c r="E671" s="12" t="str">
        <x:v>ZZB-0004</x:v>
      </x:c>
      <x:c r="F671" s="12" t="str">
        <x:v>調出</x:v>
      </x:c>
      <x:c r="G671" s="12" t="str">
        <x:v>2.0</x:v>
      </x:c>
      <x:c r="H671" s="13" t="n">
        <x:v>7</x:v>
      </x:c>
      <x:c r="I671" s="12" t="str">
        <x:v>台北市</x:v>
      </x:c>
      <x:c r="J671" s="12" t="str">
        <x:v>500119050</x:v>
      </x:c>
      <x:c r="K671" s="12" t="str">
        <x:v>臺大小福樓東側</x:v>
      </x:c>
      <x:c r="L671" s="12" t="str">
        <x:v>ZZB* 且調出/調入且車種2.0/2.0E</x:v>
      </x:c>
    </x:row>
    <x:row r="672">
      <x:c r="A672" s="12" t="str">
        <x:v>2026-09-09</x:v>
      </x:c>
      <x:c r="B672" s="12" t="str">
        <x:v>2026-09-09 10:33:29</x:v>
      </x:c>
      <x:c r="C672" s="12" t="str">
        <x:v>10:00</x:v>
      </x:c>
      <x:c r="D672" s="12" t="str">
        <x:v>10–13</x:v>
      </x:c>
      <x:c r="E672" s="12" t="str">
        <x:v>ZZB-0004</x:v>
      </x:c>
      <x:c r="F672" s="12" t="str">
        <x:v>調入</x:v>
      </x:c>
      <x:c r="G672" s="12" t="str">
        <x:v>2.0</x:v>
      </x:c>
      <x:c r="H672" s="13" t="n">
        <x:v>7</x:v>
      </x:c>
      <x:c r="I672" s="12" t="str">
        <x:v>台北市</x:v>
      </x:c>
      <x:c r="J672" s="12" t="str">
        <x:v>500119082</x:v>
      </x:c>
      <x:c r="K672" s="12" t="str">
        <x:v>臺大四號館東北側</x:v>
      </x:c>
      <x:c r="L672" s="12" t="str">
        <x:v>ZZB* 且調出/調入且車種2.0/2.0E</x:v>
      </x:c>
    </x:row>
    <x:row r="673">
      <x:c r="A673" s="12" t="str">
        <x:v>2026-09-09</x:v>
      </x:c>
      <x:c r="B673" s="12" t="str">
        <x:v>2026-09-09 10:46:11</x:v>
      </x:c>
      <x:c r="C673" s="12" t="str">
        <x:v>10:00</x:v>
      </x:c>
      <x:c r="D673" s="12" t="str">
        <x:v>10–13</x:v>
      </x:c>
      <x:c r="E673" s="12" t="str">
        <x:v>ZZB-0004</x:v>
      </x:c>
      <x:c r="F673" s="12" t="str">
        <x:v>調出</x:v>
      </x:c>
      <x:c r="G673" s="12" t="str">
        <x:v>2.0</x:v>
      </x:c>
      <x:c r="H673" s="13" t="n">
        <x:v>6</x:v>
      </x:c>
      <x:c r="I673" s="12" t="str">
        <x:v>台北市</x:v>
      </x:c>
      <x:c r="J673" s="12" t="str">
        <x:v>500119083</x:v>
      </x:c>
      <x:c r="K673" s="12" t="str">
        <x:v>臺大新生教室南側</x:v>
      </x:c>
      <x:c r="L673" s="12" t="str">
        <x:v>ZZB* 且調出/調入且車種2.0/2.0E</x:v>
      </x:c>
    </x:row>
    <x:row r="674">
      <x:c r="A674" s="12" t="str">
        <x:v>2026-09-09</x:v>
      </x:c>
      <x:c r="B674" s="12" t="str">
        <x:v>2026-09-09 10:59:16</x:v>
      </x:c>
      <x:c r="C674" s="12" t="str">
        <x:v>10:00</x:v>
      </x:c>
      <x:c r="D674" s="12" t="str">
        <x:v>10–13</x:v>
      </x:c>
      <x:c r="E674" s="12" t="str">
        <x:v>ZZB-0004</x:v>
      </x:c>
      <x:c r="F674" s="12" t="str">
        <x:v>調入</x:v>
      </x:c>
      <x:c r="G674" s="12" t="str">
        <x:v>2.0</x:v>
      </x:c>
      <x:c r="H674" s="13" t="n">
        <x:v>6</x:v>
      </x:c>
      <x:c r="I674" s="12" t="str">
        <x:v>台北市</x:v>
      </x:c>
      <x:c r="J674" s="12" t="str">
        <x:v>500119064</x:v>
      </x:c>
      <x:c r="K674" s="12" t="str">
        <x:v>臺大明達館機車停車場</x:v>
      </x:c>
      <x:c r="L674" s="12" t="str">
        <x:v>ZZB* 且調出/調入且車種2.0/2.0E</x:v>
      </x:c>
    </x:row>
    <x:row r="675">
      <x:c r="A675" s="12" t="str">
        <x:v>2026-09-09</x:v>
      </x:c>
      <x:c r="B675" s="12" t="str">
        <x:v>2026-09-09 11:06:16</x:v>
      </x:c>
      <x:c r="C675" s="12" t="str">
        <x:v>11:00</x:v>
      </x:c>
      <x:c r="D675" s="12" t="str">
        <x:v>10–13</x:v>
      </x:c>
      <x:c r="E675" s="12" t="str">
        <x:v>ZZB-0004</x:v>
      </x:c>
      <x:c r="F675" s="12" t="str">
        <x:v>調出</x:v>
      </x:c>
      <x:c r="G675" s="12" t="str">
        <x:v>2.0</x:v>
      </x:c>
      <x:c r="H675" s="13" t="n">
        <x:v>7</x:v>
      </x:c>
      <x:c r="I675" s="12" t="str">
        <x:v>台北市</x:v>
      </x:c>
      <x:c r="J675" s="12" t="str">
        <x:v>500119085</x:v>
      </x:c>
      <x:c r="K675" s="12" t="str">
        <x:v>臺大電機二館東南側</x:v>
      </x:c>
      <x:c r="L675" s="12" t="str">
        <x:v>ZZB* 且調出/調入且車種2.0/2.0E</x:v>
      </x:c>
    </x:row>
    <x:row r="676">
      <x:c r="A676" s="12" t="str">
        <x:v>2026-09-09</x:v>
      </x:c>
      <x:c r="B676" s="12" t="str">
        <x:v>2026-09-09 11:16:01</x:v>
      </x:c>
      <x:c r="C676" s="12" t="str">
        <x:v>11:00</x:v>
      </x:c>
      <x:c r="D676" s="12" t="str">
        <x:v>10–13</x:v>
      </x:c>
      <x:c r="E676" s="12" t="str">
        <x:v>ZZB-0004</x:v>
      </x:c>
      <x:c r="F676" s="12" t="str">
        <x:v>調入</x:v>
      </x:c>
      <x:c r="G676" s="12" t="str">
        <x:v>2.0</x:v>
      </x:c>
      <x:c r="H676" s="13" t="n">
        <x:v>7</x:v>
      </x:c>
      <x:c r="I676" s="12" t="str">
        <x:v>台北市</x:v>
      </x:c>
      <x:c r="J676" s="12" t="str">
        <x:v>500119091</x:v>
      </x:c>
      <x:c r="K676" s="12" t="str">
        <x:v>臺大明達館北側(員工宿舍)</x:v>
      </x:c>
      <x:c r="L676" s="12" t="str">
        <x:v>ZZB* 且調出/調入且車種2.0/2.0E</x:v>
      </x:c>
    </x:row>
    <x:row r="677">
      <x:c r="A677" s="12" t="str">
        <x:v>2026-09-09</x:v>
      </x:c>
      <x:c r="B677" s="12" t="str">
        <x:v>2026-09-09 13:09:24</x:v>
      </x:c>
      <x:c r="C677" s="12" t="str">
        <x:v>13:00</x:v>
      </x:c>
      <x:c r="D677" s="12" t="str">
        <x:v>10–13</x:v>
      </x:c>
      <x:c r="E677" s="12" t="str">
        <x:v>ZZB-0004</x:v>
      </x:c>
      <x:c r="F677" s="12" t="str">
        <x:v>調出</x:v>
      </x:c>
      <x:c r="G677" s="12" t="str">
        <x:v>2.0</x:v>
      </x:c>
      <x:c r="H677" s="13" t="n">
        <x:v>7</x:v>
      </x:c>
      <x:c r="I677" s="12" t="str">
        <x:v>台北市</x:v>
      </x:c>
      <x:c r="J677" s="12" t="str">
        <x:v>500119052</x:v>
      </x:c>
      <x:c r="K677" s="12" t="str">
        <x:v>臺大工綜館南側</x:v>
      </x:c>
      <x:c r="L677" s="12" t="str">
        <x:v>ZZB* 且調出/調入且車種2.0/2.0E</x:v>
      </x:c>
    </x:row>
    <x:row r="678">
      <x:c r="A678" s="12" t="str">
        <x:v>2026-09-09</x:v>
      </x:c>
      <x:c r="B678" s="12" t="str">
        <x:v>2026-09-09 13:09:33</x:v>
      </x:c>
      <x:c r="C678" s="12" t="str">
        <x:v>13:00</x:v>
      </x:c>
      <x:c r="D678" s="12" t="str">
        <x:v>10–13</x:v>
      </x:c>
      <x:c r="E678" s="12" t="str">
        <x:v>ZZB-0004</x:v>
      </x:c>
      <x:c r="F678" s="12" t="str">
        <x:v>調入</x:v>
      </x:c>
      <x:c r="G678" s="12" t="str">
        <x:v>2.0</x:v>
      </x:c>
      <x:c r="H678" s="13" t="n">
        <x:v>7</x:v>
      </x:c>
      <x:c r="I678" s="12" t="str">
        <x:v>台北市</x:v>
      </x:c>
      <x:c r="J678" s="12" t="str">
        <x:v>500119045</x:v>
      </x:c>
      <x:c r="K678" s="12" t="str">
        <x:v>臺大農業陳列館北側</x:v>
      </x:c>
      <x:c r="L678" s="12" t="str">
        <x:v>ZZB* 且調出/調入且車種2.0/2.0E</x:v>
      </x:c>
    </x:row>
    <x:row r="679">
      <x:c r="A679" s="12" t="str">
        <x:v>2026-09-09</x:v>
      </x:c>
      <x:c r="B679" s="12" t="str">
        <x:v>2026-09-09 13:20:43</x:v>
      </x:c>
      <x:c r="C679" s="12" t="str">
        <x:v>13:00</x:v>
      </x:c>
      <x:c r="D679" s="12" t="str">
        <x:v>10–13</x:v>
      </x:c>
      <x:c r="E679" s="12" t="str">
        <x:v>ZZB-0004</x:v>
      </x:c>
      <x:c r="F679" s="12" t="str">
        <x:v>調出</x:v>
      </x:c>
      <x:c r="G679" s="12" t="str">
        <x:v>2.0</x:v>
      </x:c>
      <x:c r="H679" s="13" t="n">
        <x:v>7</x:v>
      </x:c>
      <x:c r="I679" s="12" t="str">
        <x:v>台北市</x:v>
      </x:c>
      <x:c r="J679" s="12" t="str">
        <x:v>500119050</x:v>
      </x:c>
      <x:c r="K679" s="12" t="str">
        <x:v>臺大小福樓東側</x:v>
      </x:c>
      <x:c r="L679" s="12" t="str">
        <x:v>ZZB* 且調出/調入且車種2.0/2.0E</x:v>
      </x:c>
    </x:row>
    <x:row r="680">
      <x:c r="A680" s="12" t="str">
        <x:v>2026-09-09</x:v>
      </x:c>
      <x:c r="B680" s="12" t="str">
        <x:v>2026-09-09 13:20:53</x:v>
      </x:c>
      <x:c r="C680" s="12" t="str">
        <x:v>13:00</x:v>
      </x:c>
      <x:c r="D680" s="12" t="str">
        <x:v>10–13</x:v>
      </x:c>
      <x:c r="E680" s="12" t="str">
        <x:v>ZZB-0004</x:v>
      </x:c>
      <x:c r="F680" s="12" t="str">
        <x:v>調入</x:v>
      </x:c>
      <x:c r="G680" s="12" t="str">
        <x:v>2.0</x:v>
      </x:c>
      <x:c r="H680" s="13" t="n">
        <x:v>7</x:v>
      </x:c>
      <x:c r="I680" s="12" t="str">
        <x:v>台北市</x:v>
      </x:c>
      <x:c r="J680" s="12" t="str">
        <x:v>500119045</x:v>
      </x:c>
      <x:c r="K680" s="12" t="str">
        <x:v>臺大農業陳列館北側</x:v>
      </x:c>
      <x:c r="L680" s="12" t="str">
        <x:v>ZZB* 且調出/調入且車種2.0/2.0E</x:v>
      </x:c>
    </x:row>
    <x:row r="681">
      <x:c r="A681" s="12" t="str">
        <x:v>2026-09-09</x:v>
      </x:c>
      <x:c r="B681" s="12" t="str">
        <x:v>2026-09-09 13:30:58</x:v>
      </x:c>
      <x:c r="C681" s="12" t="str">
        <x:v>13:00</x:v>
      </x:c>
      <x:c r="D681" s="12" t="str">
        <x:v>10–13</x:v>
      </x:c>
      <x:c r="E681" s="12" t="str">
        <x:v>ZZB-0004</x:v>
      </x:c>
      <x:c r="F681" s="12" t="str">
        <x:v>調出</x:v>
      </x:c>
      <x:c r="G681" s="12" t="str">
        <x:v>2.0</x:v>
      </x:c>
      <x:c r="H681" s="13" t="n">
        <x:v>7</x:v>
      </x:c>
      <x:c r="I681" s="12" t="str">
        <x:v>台北市</x:v>
      </x:c>
      <x:c r="J681" s="12" t="str">
        <x:v>500119050</x:v>
      </x:c>
      <x:c r="K681" s="12" t="str">
        <x:v>臺大小福樓東側</x:v>
      </x:c>
      <x:c r="L681" s="12" t="str">
        <x:v>ZZB* 且調出/調入且車種2.0/2.0E</x:v>
      </x:c>
    </x:row>
    <x:row r="682">
      <x:c r="A682" s="12" t="str">
        <x:v>2026-09-09</x:v>
      </x:c>
      <x:c r="B682" s="12" t="str">
        <x:v>2026-09-09 13:31:07</x:v>
      </x:c>
      <x:c r="C682" s="12" t="str">
        <x:v>13:00</x:v>
      </x:c>
      <x:c r="D682" s="12" t="str">
        <x:v>10–13</x:v>
      </x:c>
      <x:c r="E682" s="12" t="str">
        <x:v>ZZB-0004</x:v>
      </x:c>
      <x:c r="F682" s="12" t="str">
        <x:v>調入</x:v>
      </x:c>
      <x:c r="G682" s="12" t="str">
        <x:v>2.0</x:v>
      </x:c>
      <x:c r="H682" s="13" t="n">
        <x:v>7</x:v>
      </x:c>
      <x:c r="I682" s="12" t="str">
        <x:v>台北市</x:v>
      </x:c>
      <x:c r="J682" s="12" t="str">
        <x:v>500119045</x:v>
      </x:c>
      <x:c r="K682" s="12" t="str">
        <x:v>臺大農業陳列館北側</x:v>
      </x:c>
      <x:c r="L682" s="12" t="str">
        <x:v>ZZB* 且調出/調入且車種2.0/2.0E</x:v>
      </x:c>
    </x:row>
    <x:row r="683">
      <x:c r="A683" s="12" t="str">
        <x:v>2026-09-09</x:v>
      </x:c>
      <x:c r="B683" s="12" t="str">
        <x:v>2026-09-09 13:41:49</x:v>
      </x:c>
      <x:c r="C683" s="12" t="str">
        <x:v>13:00</x:v>
      </x:c>
      <x:c r="D683" s="12" t="str">
        <x:v>10–13</x:v>
      </x:c>
      <x:c r="E683" s="12" t="str">
        <x:v>ZZB-0004</x:v>
      </x:c>
      <x:c r="F683" s="12" t="str">
        <x:v>調出</x:v>
      </x:c>
      <x:c r="G683" s="12" t="str">
        <x:v>2.0</x:v>
      </x:c>
      <x:c r="H683" s="13" t="n">
        <x:v>7</x:v>
      </x:c>
      <x:c r="I683" s="12" t="str">
        <x:v>台北市</x:v>
      </x:c>
      <x:c r="J683" s="12" t="str">
        <x:v>500119050</x:v>
      </x:c>
      <x:c r="K683" s="12" t="str">
        <x:v>臺大小福樓東側</x:v>
      </x:c>
      <x:c r="L683" s="12" t="str">
        <x:v>ZZB* 且調出/調入且車種2.0/2.0E</x:v>
      </x:c>
    </x:row>
    <x:row r="684">
      <x:c r="A684" s="12" t="str">
        <x:v>2026-09-09</x:v>
      </x:c>
      <x:c r="B684" s="12" t="str">
        <x:v>2026-09-09 13:41:58</x:v>
      </x:c>
      <x:c r="C684" s="12" t="str">
        <x:v>13:00</x:v>
      </x:c>
      <x:c r="D684" s="12" t="str">
        <x:v>10–13</x:v>
      </x:c>
      <x:c r="E684" s="12" t="str">
        <x:v>ZZB-0004</x:v>
      </x:c>
      <x:c r="F684" s="12" t="str">
        <x:v>調入</x:v>
      </x:c>
      <x:c r="G684" s="12" t="str">
        <x:v>2.0</x:v>
      </x:c>
      <x:c r="H684" s="13" t="n">
        <x:v>7</x:v>
      </x:c>
      <x:c r="I684" s="12" t="str">
        <x:v>台北市</x:v>
      </x:c>
      <x:c r="J684" s="12" t="str">
        <x:v>500119045</x:v>
      </x:c>
      <x:c r="K684" s="12" t="str">
        <x:v>臺大農業陳列館北側</x:v>
      </x:c>
      <x:c r="L684" s="12" t="str">
        <x:v>ZZB* 且調出/調入且車種2.0/2.0E</x:v>
      </x:c>
    </x:row>
    <x:row r="685">
      <x:c r="A685" s="12" t="str">
        <x:v>2026-09-09</x:v>
      </x:c>
      <x:c r="B685" s="12" t="str">
        <x:v>2026-09-09 13:57:23</x:v>
      </x:c>
      <x:c r="C685" s="12" t="str">
        <x:v>13:00</x:v>
      </x:c>
      <x:c r="D685" s="12" t="str">
        <x:v>10–13</x:v>
      </x:c>
      <x:c r="E685" s="12" t="str">
        <x:v>ZZB-0004</x:v>
      </x:c>
      <x:c r="F685" s="12" t="str">
        <x:v>調出</x:v>
      </x:c>
      <x:c r="G685" s="12" t="str">
        <x:v>2.0</x:v>
      </x:c>
      <x:c r="H685" s="13" t="n">
        <x:v>7</x:v>
      </x:c>
      <x:c r="I685" s="12" t="str">
        <x:v>台北市</x:v>
      </x:c>
      <x:c r="J685" s="12" t="str">
        <x:v>500119083</x:v>
      </x:c>
      <x:c r="K685" s="12" t="str">
        <x:v>臺大新生教室南側</x:v>
      </x:c>
      <x:c r="L685" s="12" t="str">
        <x:v>ZZB* 且調出/調入且車種2.0/2.0E</x:v>
      </x:c>
    </x:row>
    <x:row r="686">
      <x:c r="A686" s="12" t="str">
        <x:v>2026-09-09</x:v>
      </x:c>
      <x:c r="B686" s="12" t="str">
        <x:v>2026-09-09 13:57:33</x:v>
      </x:c>
      <x:c r="C686" s="12" t="str">
        <x:v>13:00</x:v>
      </x:c>
      <x:c r="D686" s="12" t="str">
        <x:v>10–13</x:v>
      </x:c>
      <x:c r="E686" s="12" t="str">
        <x:v>ZZB-0004</x:v>
      </x:c>
      <x:c r="F686" s="12" t="str">
        <x:v>調入</x:v>
      </x:c>
      <x:c r="G686" s="12" t="str">
        <x:v>2.0</x:v>
      </x:c>
      <x:c r="H686" s="13" t="n">
        <x:v>7</x:v>
      </x:c>
      <x:c r="I686" s="12" t="str">
        <x:v>台北市</x:v>
      </x:c>
      <x:c r="J686" s="12" t="str">
        <x:v>500119097</x:v>
      </x:c>
      <x:c r="K686" s="12" t="str">
        <x:v>臺大人文館</x:v>
      </x:c>
      <x:c r="L686" s="12" t="str">
        <x:v>ZZB* 且調出/調入且車種2.0/2.0E</x:v>
      </x:c>
    </x:row>
    <x:row r="687">
      <x:c r="A687" s="12" t="str">
        <x:v>2026-09-09</x:v>
      </x:c>
      <x:c r="B687" s="12" t="str">
        <x:v>2026-09-09 14:11:50</x:v>
      </x:c>
      <x:c r="C687" s="12" t="str">
        <x:v>14:00</x:v>
      </x:c>
      <x:c r="D687" s="12" t="str">
        <x:v>14–17</x:v>
      </x:c>
      <x:c r="E687" s="12" t="str">
        <x:v>ZZB-0004</x:v>
      </x:c>
      <x:c r="F687" s="12" t="str">
        <x:v>調出</x:v>
      </x:c>
      <x:c r="G687" s="12" t="str">
        <x:v>2.0</x:v>
      </x:c>
      <x:c r="H687" s="13" t="n">
        <x:v>7</x:v>
      </x:c>
      <x:c r="I687" s="12" t="str">
        <x:v>台北市</x:v>
      </x:c>
      <x:c r="J687" s="12" t="str">
        <x:v>500119069</x:v>
      </x:c>
      <x:c r="K687" s="12" t="str">
        <x:v>臺大思亮館東南側</x:v>
      </x:c>
      <x:c r="L687" s="12" t="str">
        <x:v>ZZB* 且調出/調入且車種2.0/2.0E</x:v>
      </x:c>
    </x:row>
    <x:row r="688">
      <x:c r="A688" s="12" t="str">
        <x:v>2026-09-09</x:v>
      </x:c>
      <x:c r="B688" s="12" t="str">
        <x:v>2026-09-09 14:11:59</x:v>
      </x:c>
      <x:c r="C688" s="12" t="str">
        <x:v>14:00</x:v>
      </x:c>
      <x:c r="D688" s="12" t="str">
        <x:v>14–17</x:v>
      </x:c>
      <x:c r="E688" s="12" t="str">
        <x:v>ZZB-0004</x:v>
      </x:c>
      <x:c r="F688" s="12" t="str">
        <x:v>調入</x:v>
      </x:c>
      <x:c r="G688" s="12" t="str">
        <x:v>2.0</x:v>
      </x:c>
      <x:c r="H688" s="13" t="n">
        <x:v>7</x:v>
      </x:c>
      <x:c r="I688" s="12" t="str">
        <x:v>台北市</x:v>
      </x:c>
      <x:c r="J688" s="12" t="str">
        <x:v>500119045</x:v>
      </x:c>
      <x:c r="K688" s="12" t="str">
        <x:v>臺大農業陳列館北側</x:v>
      </x:c>
      <x:c r="L688" s="12" t="str">
        <x:v>ZZB* 且調出/調入且車種2.0/2.0E</x:v>
      </x:c>
    </x:row>
    <x:row r="689">
      <x:c r="A689" s="12" t="str">
        <x:v>2026-09-09</x:v>
      </x:c>
      <x:c r="B689" s="12" t="str">
        <x:v>2026-09-09 14:23:32</x:v>
      </x:c>
      <x:c r="C689" s="12" t="str">
        <x:v>14:00</x:v>
      </x:c>
      <x:c r="D689" s="12" t="str">
        <x:v>14–17</x:v>
      </x:c>
      <x:c r="E689" s="12" t="str">
        <x:v>ZZB-0004</x:v>
      </x:c>
      <x:c r="F689" s="12" t="str">
        <x:v>調出</x:v>
      </x:c>
      <x:c r="G689" s="12" t="str">
        <x:v>2.0</x:v>
      </x:c>
      <x:c r="H689" s="13" t="n">
        <x:v>7</x:v>
      </x:c>
      <x:c r="I689" s="12" t="str">
        <x:v>台北市</x:v>
      </x:c>
      <x:c r="J689" s="12" t="str">
        <x:v>500119050</x:v>
      </x:c>
      <x:c r="K689" s="12" t="str">
        <x:v>臺大小福樓東側</x:v>
      </x:c>
      <x:c r="L689" s="12" t="str">
        <x:v>ZZB* 且調出/調入且車種2.0/2.0E</x:v>
      </x:c>
    </x:row>
    <x:row r="690">
      <x:c r="A690" s="12" t="str">
        <x:v>2026-09-09</x:v>
      </x:c>
      <x:c r="B690" s="12" t="str">
        <x:v>2026-09-09 14:23:46</x:v>
      </x:c>
      <x:c r="C690" s="12" t="str">
        <x:v>14:00</x:v>
      </x:c>
      <x:c r="D690" s="12" t="str">
        <x:v>14–17</x:v>
      </x:c>
      <x:c r="E690" s="12" t="str">
        <x:v>ZZB-0004</x:v>
      </x:c>
      <x:c r="F690" s="12" t="str">
        <x:v>調入</x:v>
      </x:c>
      <x:c r="G690" s="12" t="str">
        <x:v>2.0</x:v>
      </x:c>
      <x:c r="H690" s="13" t="n">
        <x:v>7</x:v>
      </x:c>
      <x:c r="I690" s="12" t="str">
        <x:v>台北市</x:v>
      </x:c>
      <x:c r="J690" s="12" t="str">
        <x:v>500119045</x:v>
      </x:c>
      <x:c r="K690" s="12" t="str">
        <x:v>臺大農業陳列館北側</x:v>
      </x:c>
      <x:c r="L690" s="12" t="str">
        <x:v>ZZB* 且調出/調入且車種2.0/2.0E</x:v>
      </x:c>
    </x:row>
    <x:row r="691">
      <x:c r="A691" s="12" t="str">
        <x:v>2026-09-09</x:v>
      </x:c>
      <x:c r="B691" s="12" t="str">
        <x:v>2026-09-09 17:10:11</x:v>
      </x:c>
      <x:c r="C691" s="12" t="str">
        <x:v>17:00</x:v>
      </x:c>
      <x:c r="D691" s="12" t="str">
        <x:v>14–17</x:v>
      </x:c>
      <x:c r="E691" s="12" t="str">
        <x:v>ZZB-0004</x:v>
      </x:c>
      <x:c r="F691" s="12" t="str">
        <x:v>調出</x:v>
      </x:c>
      <x:c r="G691" s="12" t="str">
        <x:v>2.0</x:v>
      </x:c>
      <x:c r="H691" s="13" t="n">
        <x:v>7</x:v>
      </x:c>
      <x:c r="I691" s="12" t="str">
        <x:v>台北市</x:v>
      </x:c>
      <x:c r="J691" s="12" t="str">
        <x:v>500101276</x:v>
      </x:c>
      <x:c r="K691" s="12" t="str">
        <x:v>羅斯福新生南路口</x:v>
      </x:c>
      <x:c r="L691" s="12" t="str">
        <x:v>ZZB* 且調出/調入且車種2.0/2.0E</x:v>
      </x:c>
    </x:row>
    <x:row r="692">
      <x:c r="A692" s="12" t="str">
        <x:v>2026-09-09</x:v>
      </x:c>
      <x:c r="B692" s="12" t="str">
        <x:v>2026-09-09 17:18:00</x:v>
      </x:c>
      <x:c r="C692" s="12" t="str">
        <x:v>17:00</x:v>
      </x:c>
      <x:c r="D692" s="12" t="str">
        <x:v>14–17</x:v>
      </x:c>
      <x:c r="E692" s="12" t="str">
        <x:v>ZZB-0004</x:v>
      </x:c>
      <x:c r="F692" s="12" t="str">
        <x:v>調入</x:v>
      </x:c>
      <x:c r="G692" s="12" t="str">
        <x:v>2.0</x:v>
      </x:c>
      <x:c r="H692" s="13" t="n">
        <x:v>7</x:v>
      </x:c>
      <x:c r="I692" s="12" t="str">
        <x:v>台北市</x:v>
      </x:c>
      <x:c r="J692" s="12" t="str">
        <x:v>500119050</x:v>
      </x:c>
      <x:c r="K692" s="12" t="str">
        <x:v>臺大小福樓東側</x:v>
      </x:c>
      <x:c r="L692" s="12" t="str">
        <x:v>ZZB* 且調出/調入且車種2.0/2.0E</x:v>
      </x:c>
    </x:row>
    <x:row r="693">
      <x:c r="A693" s="12" t="str">
        <x:v>2026-09-09</x:v>
      </x:c>
      <x:c r="B693" s="12" t="str">
        <x:v>2026-09-09 17:30:37</x:v>
      </x:c>
      <x:c r="C693" s="12" t="str">
        <x:v>17:00</x:v>
      </x:c>
      <x:c r="D693" s="12" t="str">
        <x:v>14–17</x:v>
      </x:c>
      <x:c r="E693" s="12" t="str">
        <x:v>ZZB-0004</x:v>
      </x:c>
      <x:c r="F693" s="12" t="str">
        <x:v>調出</x:v>
      </x:c>
      <x:c r="G693" s="12" t="str">
        <x:v>2.0</x:v>
      </x:c>
      <x:c r="H693" s="13" t="n">
        <x:v>7</x:v>
      </x:c>
      <x:c r="I693" s="12" t="str">
        <x:v>台北市</x:v>
      </x:c>
      <x:c r="J693" s="12" t="str">
        <x:v>500119048</x:v>
      </x:c>
      <x:c r="K693" s="12" t="str">
        <x:v>臺大大一女舍北側</x:v>
      </x:c>
      <x:c r="L693" s="12" t="str">
        <x:v>ZZB* 且調出/調入且車種2.0/2.0E</x:v>
      </x:c>
    </x:row>
    <x:row r="694">
      <x:c r="A694" s="12" t="str">
        <x:v>2026-09-09</x:v>
      </x:c>
      <x:c r="B694" s="12" t="str">
        <x:v>2026-09-09 17:39:09</x:v>
      </x:c>
      <x:c r="C694" s="12" t="str">
        <x:v>17:00</x:v>
      </x:c>
      <x:c r="D694" s="12" t="str">
        <x:v>14–17</x:v>
      </x:c>
      <x:c r="E694" s="12" t="str">
        <x:v>ZZB-0004</x:v>
      </x:c>
      <x:c r="F694" s="12" t="str">
        <x:v>調入</x:v>
      </x:c>
      <x:c r="G694" s="12" t="str">
        <x:v>2.0</x:v>
      </x:c>
      <x:c r="H694" s="13" t="n">
        <x:v>7</x:v>
      </x:c>
      <x:c r="I694" s="12" t="str">
        <x:v>台北市</x:v>
      </x:c>
      <x:c r="J694" s="12" t="str">
        <x:v>500119086</x:v>
      </x:c>
      <x:c r="K694" s="12" t="str">
        <x:v>臺大圖資系館北側</x:v>
      </x:c>
      <x:c r="L694" s="12" t="str">
        <x:v>ZZB* 且調出/調入且車種2.0/2.0E</x:v>
      </x:c>
    </x:row>
    <x:row r="695">
      <x:c r="A695" s="12" t="str">
        <x:v>2026-09-09</x:v>
      </x:c>
      <x:c r="B695" s="12" t="str">
        <x:v>2026-09-09 17:50:19</x:v>
      </x:c>
      <x:c r="C695" s="12" t="str">
        <x:v>17:00</x:v>
      </x:c>
      <x:c r="D695" s="12" t="str">
        <x:v>14–17</x:v>
      </x:c>
      <x:c r="E695" s="12" t="str">
        <x:v>ZZB-0004</x:v>
      </x:c>
      <x:c r="F695" s="12" t="str">
        <x:v>調出</x:v>
      </x:c>
      <x:c r="G695" s="12" t="str">
        <x:v>2.0</x:v>
      </x:c>
      <x:c r="H695" s="13" t="n">
        <x:v>7</x:v>
      </x:c>
      <x:c r="I695" s="12" t="str">
        <x:v>台北市</x:v>
      </x:c>
      <x:c r="J695" s="12" t="str">
        <x:v>500101276</x:v>
      </x:c>
      <x:c r="K695" s="12" t="str">
        <x:v>羅斯福新生南路口</x:v>
      </x:c>
      <x:c r="L695" s="12" t="str">
        <x:v>ZZB* 且調出/調入且車種2.0/2.0E</x:v>
      </x:c>
    </x:row>
    <x:row r="696">
      <x:c r="A696" s="12" t="str">
        <x:v>2026-09-09</x:v>
      </x:c>
      <x:c r="B696" s="12" t="str">
        <x:v>2026-09-09 17:59:35</x:v>
      </x:c>
      <x:c r="C696" s="12" t="str">
        <x:v>17:00</x:v>
      </x:c>
      <x:c r="D696" s="12" t="str">
        <x:v>14–17</x:v>
      </x:c>
      <x:c r="E696" s="12" t="str">
        <x:v>ZZB-0004</x:v>
      </x:c>
      <x:c r="F696" s="12" t="str">
        <x:v>調入</x:v>
      </x:c>
      <x:c r="G696" s="12" t="str">
        <x:v>2.0</x:v>
      </x:c>
      <x:c r="H696" s="13" t="n">
        <x:v>7</x:v>
      </x:c>
      <x:c r="I696" s="12" t="str">
        <x:v>台北市</x:v>
      </x:c>
      <x:c r="J696" s="12" t="str">
        <x:v>500119047</x:v>
      </x:c>
      <x:c r="K696" s="12" t="str">
        <x:v>臺大土木系館</x:v>
      </x:c>
      <x:c r="L696" s="12" t="str">
        <x:v>ZZB* 且調出/調入且車種2.0/2.0E</x:v>
      </x:c>
    </x:row>
    <x:row r="697">
      <x:c r="A697" s="12" t="str">
        <x:v>2026-09-09</x:v>
      </x:c>
      <x:c r="B697" s="12" t="str">
        <x:v>2026-09-09 18:10:00</x:v>
      </x:c>
      <x:c r="C697" s="12" t="str">
        <x:v>18:00</x:v>
      </x:c>
      <x:c r="D697" s="12" t="str">
        <x:v>18–21</x:v>
      </x:c>
      <x:c r="E697" s="12" t="str">
        <x:v>ZZB-0004</x:v>
      </x:c>
      <x:c r="F697" s="12" t="str">
        <x:v>調出</x:v>
      </x:c>
      <x:c r="G697" s="12" t="str">
        <x:v>2.0</x:v>
      </x:c>
      <x:c r="H697" s="13" t="n">
        <x:v>7</x:v>
      </x:c>
      <x:c r="I697" s="12" t="str">
        <x:v>台北市</x:v>
      </x:c>
      <x:c r="J697" s="12" t="str">
        <x:v>500101276</x:v>
      </x:c>
      <x:c r="K697" s="12" t="str">
        <x:v>羅斯福新生南路口</x:v>
      </x:c>
      <x:c r="L697" s="12" t="str">
        <x:v>ZZB* 且調出/調入且車種2.0/2.0E</x:v>
      </x:c>
    </x:row>
    <x:row r="698">
      <x:c r="A698" s="12" t="str">
        <x:v>2026-09-09</x:v>
      </x:c>
      <x:c r="B698" s="12" t="str">
        <x:v>2026-09-09 18:18:23</x:v>
      </x:c>
      <x:c r="C698" s="12" t="str">
        <x:v>18:00</x:v>
      </x:c>
      <x:c r="D698" s="12" t="str">
        <x:v>18–21</x:v>
      </x:c>
      <x:c r="E698" s="12" t="str">
        <x:v>ZZB-0004</x:v>
      </x:c>
      <x:c r="F698" s="12" t="str">
        <x:v>調入</x:v>
      </x:c>
      <x:c r="G698" s="12" t="str">
        <x:v>2.0</x:v>
      </x:c>
      <x:c r="H698" s="13" t="n">
        <x:v>7</x:v>
      </x:c>
      <x:c r="I698" s="12" t="str">
        <x:v>台北市</x:v>
      </x:c>
      <x:c r="J698" s="12" t="str">
        <x:v>500119086</x:v>
      </x:c>
      <x:c r="K698" s="12" t="str">
        <x:v>臺大圖資系館北側</x:v>
      </x:c>
      <x:c r="L698" s="12" t="str">
        <x:v>ZZB* 且調出/調入且車種2.0/2.0E</x:v>
      </x:c>
    </x:row>
    <x:row r="699">
      <x:c r="A699" s="12" t="str">
        <x:v>2026-09-09</x:v>
      </x:c>
      <x:c r="B699" s="12" t="str">
        <x:v>2026-09-09 18:33:35</x:v>
      </x:c>
      <x:c r="C699" s="12" t="str">
        <x:v>18:00</x:v>
      </x:c>
      <x:c r="D699" s="12" t="str">
        <x:v>18–21</x:v>
      </x:c>
      <x:c r="E699" s="12" t="str">
        <x:v>ZZB-0004</x:v>
      </x:c>
      <x:c r="F699" s="12" t="str">
        <x:v>調出</x:v>
      </x:c>
      <x:c r="G699" s="12" t="str">
        <x:v>2.0</x:v>
      </x:c>
      <x:c r="H699" s="13" t="n">
        <x:v>7</x:v>
      </x:c>
      <x:c r="I699" s="12" t="str">
        <x:v>台北市</x:v>
      </x:c>
      <x:c r="J699" s="12" t="str">
        <x:v>500101276</x:v>
      </x:c>
      <x:c r="K699" s="12" t="str">
        <x:v>羅斯福新生南路口</x:v>
      </x:c>
      <x:c r="L699" s="12" t="str">
        <x:v>ZZB* 且調出/調入且車種2.0/2.0E</x:v>
      </x:c>
    </x:row>
    <x:row r="700">
      <x:c r="A700" s="12" t="str">
        <x:v>2026-09-09</x:v>
      </x:c>
      <x:c r="B700" s="12" t="str">
        <x:v>2026-09-09 19:17:29</x:v>
      </x:c>
      <x:c r="C700" s="12" t="str">
        <x:v>19:00</x:v>
      </x:c>
      <x:c r="D700" s="12" t="str">
        <x:v>18–21</x:v>
      </x:c>
      <x:c r="E700" s="12" t="str">
        <x:v>ZZB-0004</x:v>
      </x:c>
      <x:c r="F700" s="12" t="str">
        <x:v>調入</x:v>
      </x:c>
      <x:c r="G700" s="12" t="str">
        <x:v>2.0</x:v>
      </x:c>
      <x:c r="H700" s="13" t="n">
        <x:v>7</x:v>
      </x:c>
      <x:c r="I700" s="12" t="str">
        <x:v>台北市</x:v>
      </x:c>
      <x:c r="J700" s="12" t="str">
        <x:v>500119047</x:v>
      </x:c>
      <x:c r="K700" s="12" t="str">
        <x:v>臺大土木系館</x:v>
      </x:c>
      <x:c r="L700" s="12" t="str">
        <x:v>ZZB* 且調出/調入且車種2.0/2.0E</x:v>
      </x:c>
    </x:row>
    <x:row r="701">
      <x:c r="A701" s="12" t="str">
        <x:v>2026-09-09</x:v>
      </x:c>
      <x:c r="B701" s="12" t="str">
        <x:v>2026-09-09 21:46:48</x:v>
      </x:c>
      <x:c r="C701" s="12" t="str">
        <x:v>21:00</x:v>
      </x:c>
      <x:c r="D701" s="12" t="str">
        <x:v>18–21</x:v>
      </x:c>
      <x:c r="E701" s="12" t="str">
        <x:v>ZZB-0004</x:v>
      </x:c>
      <x:c r="F701" s="12" t="str">
        <x:v>調出</x:v>
      </x:c>
      <x:c r="G701" s="12" t="str">
        <x:v>2.0</x:v>
      </x:c>
      <x:c r="H701" s="13" t="n">
        <x:v>11</x:v>
      </x:c>
      <x:c r="I701" s="12" t="str">
        <x:v>台北市</x:v>
      </x:c>
      <x:c r="J701" s="12" t="str">
        <x:v>500101181</x:v>
      </x:c>
      <x:c r="K701" s="12" t="str">
        <x:v>捷運公館站(3號出口)</x:v>
      </x:c>
      <x:c r="L701" s="12" t="str">
        <x:v>ZZB* 且調出/調入且車種2.0/2.0E</x:v>
      </x:c>
    </x:row>
    <x:row r="702">
      <x:c r="A702" s="12" t="str">
        <x:v>2026-09-09</x:v>
      </x:c>
      <x:c r="B702" s="12" t="str">
        <x:v>2026-09-09 22:05:38</x:v>
      </x:c>
      <x:c r="C702" s="12" t="str">
        <x:v>22:00</x:v>
      </x:c>
      <x:c r="D702" s="12" t="str">
        <x:v>22–23</x:v>
      </x:c>
      <x:c r="E702" s="12" t="str">
        <x:v>ZZB-0004</x:v>
      </x:c>
      <x:c r="F702" s="12" t="str">
        <x:v>調入</x:v>
      </x:c>
      <x:c r="G702" s="12" t="str">
        <x:v>2.0</x:v>
      </x:c>
      <x:c r="H702" s="13" t="n">
        <x:v>7</x:v>
      </x:c>
      <x:c r="I702" s="12" t="str">
        <x:v>台北市</x:v>
      </x:c>
      <x:c r="J702" s="12" t="str">
        <x:v>500119065</x:v>
      </x:c>
      <x:c r="K702" s="12" t="str">
        <x:v>臺大二號館</x:v>
      </x:c>
      <x:c r="L702" s="12" t="str">
        <x:v>ZZB* 且調出/調入且車種2.0/2.0E</x:v>
      </x:c>
    </x:row>
    <x:row r="703">
      <x:c r="A703" s="12" t="str">
        <x:v>2026-09-09</x:v>
      </x:c>
      <x:c r="B703" s="12" t="str">
        <x:v>2026-09-09 22:05:59</x:v>
      </x:c>
      <x:c r="C703" s="12" t="str">
        <x:v>22:00</x:v>
      </x:c>
      <x:c r="D703" s="12" t="str">
        <x:v>22–23</x:v>
      </x:c>
      <x:c r="E703" s="12" t="str">
        <x:v>ZZB-0004</x:v>
      </x:c>
      <x:c r="F703" s="12" t="str">
        <x:v>調入</x:v>
      </x:c>
      <x:c r="G703" s="12" t="str">
        <x:v>2.0</x:v>
      </x:c>
      <x:c r="H703" s="13" t="n">
        <x:v>4</x:v>
      </x:c>
      <x:c r="I703" s="12" t="str">
        <x:v>台北市</x:v>
      </x:c>
      <x:c r="J703" s="12" t="str">
        <x:v>500119057</x:v>
      </x:c>
      <x:c r="K703" s="12" t="str">
        <x:v>臺大五號館西側</x:v>
      </x:c>
      <x:c r="L703" s="12" t="str">
        <x:v>ZZB* 且調出/調入且車種2.0/2.0E</x:v>
      </x:c>
    </x:row>
    <x:row r="704">
      <x:c r="A704" s="12" t="str">
        <x:v>2026-09-09</x:v>
      </x:c>
      <x:c r="B704" s="12" t="str">
        <x:v>2026-09-09 22:20:40</x:v>
      </x:c>
      <x:c r="C704" s="12" t="str">
        <x:v>22:00</x:v>
      </x:c>
      <x:c r="D704" s="12" t="str">
        <x:v>22–23</x:v>
      </x:c>
      <x:c r="E704" s="12" t="str">
        <x:v>ZZB-0004</x:v>
      </x:c>
      <x:c r="F704" s="12" t="str">
        <x:v>調出</x:v>
      </x:c>
      <x:c r="G704" s="12" t="str">
        <x:v>2.0</x:v>
      </x:c>
      <x:c r="H704" s="13" t="n">
        <x:v>9</x:v>
      </x:c>
      <x:c r="I704" s="12" t="str">
        <x:v>台北市</x:v>
      </x:c>
      <x:c r="J704" s="12" t="str">
        <x:v>500101181</x:v>
      </x:c>
      <x:c r="K704" s="12" t="str">
        <x:v>捷運公館站(3號出口)</x:v>
      </x:c>
      <x:c r="L704" s="12" t="str">
        <x:v>ZZB* 且調出/調入且車種2.0/2.0E</x:v>
      </x:c>
    </x:row>
    <x:row r="705">
      <x:c r="A705" s="12" t="str">
        <x:v>2026-09-09</x:v>
      </x:c>
      <x:c r="B705" s="12" t="str">
        <x:v>2026-09-09 22:26:36</x:v>
      </x:c>
      <x:c r="C705" s="12" t="str">
        <x:v>22:00</x:v>
      </x:c>
      <x:c r="D705" s="12" t="str">
        <x:v>22–23</x:v>
      </x:c>
      <x:c r="E705" s="12" t="str">
        <x:v>ZZB-0004</x:v>
      </x:c>
      <x:c r="F705" s="12" t="str">
        <x:v>調入</x:v>
      </x:c>
      <x:c r="G705" s="12" t="str">
        <x:v>2.0</x:v>
      </x:c>
      <x:c r="H705" s="13" t="n">
        <x:v>9</x:v>
      </x:c>
      <x:c r="I705" s="12" t="str">
        <x:v>台北市</x:v>
      </x:c>
      <x:c r="J705" s="12" t="str">
        <x:v>500119082</x:v>
      </x:c>
      <x:c r="K705" s="12" t="str">
        <x:v>臺大四號館東北側</x:v>
      </x:c>
      <x:c r="L705" s="12" t="str">
        <x:v>ZZB* 且調出/調入且車種2.0/2.0E</x:v>
      </x:c>
    </x:row>
    <x:row r="706">
      <x:c r="A706" s="12" t="str">
        <x:v>2026-09-09</x:v>
      </x:c>
      <x:c r="B706" s="12" t="str">
        <x:v>2026-09-09 23:18:24</x:v>
      </x:c>
      <x:c r="C706" s="12" t="str">
        <x:v>23:00</x:v>
      </x:c>
      <x:c r="D706" s="12" t="str">
        <x:v>22–23</x:v>
      </x:c>
      <x:c r="E706" s="12" t="str">
        <x:v>ZZB-0004</x:v>
      </x:c>
      <x:c r="F706" s="12" t="str">
        <x:v>調出</x:v>
      </x:c>
      <x:c r="G706" s="12" t="str">
        <x:v>2.0</x:v>
      </x:c>
      <x:c r="H706" s="13" t="n">
        <x:v>10</x:v>
      </x:c>
      <x:c r="I706" s="12" t="str">
        <x:v>台北市</x:v>
      </x:c>
      <x:c r="J706" s="12" t="str">
        <x:v>500101181</x:v>
      </x:c>
      <x:c r="K706" s="12" t="str">
        <x:v>捷運公館站(3號出口)</x:v>
      </x:c>
      <x:c r="L706" s="12" t="str">
        <x:v>ZZB* 且調出/調入且車種2.0/2.0E</x:v>
      </x:c>
    </x:row>
    <x:row r="707">
      <x:c r="A707" s="12" t="str">
        <x:v>2026-09-09</x:v>
      </x:c>
      <x:c r="B707" s="12" t="str">
        <x:v>2026-09-09 23:18:41</x:v>
      </x:c>
      <x:c r="C707" s="12" t="str">
        <x:v>23:00</x:v>
      </x:c>
      <x:c r="D707" s="12" t="str">
        <x:v>22–23</x:v>
      </x:c>
      <x:c r="E707" s="12" t="str">
        <x:v>ZZB-0004</x:v>
      </x:c>
      <x:c r="F707" s="12" t="str">
        <x:v>調入</x:v>
      </x:c>
      <x:c r="G707" s="12" t="str">
        <x:v>2.0</x:v>
      </x:c>
      <x:c r="H707" s="13" t="n">
        <x:v>10</x:v>
      </x:c>
      <x:c r="I707" s="12" t="str">
        <x:v>台北市</x:v>
      </x:c>
      <x:c r="J707" s="12" t="str">
        <x:v>500101276</x:v>
      </x:c>
      <x:c r="K707" s="12" t="str">
        <x:v>羅斯福新生南路口</x:v>
      </x:c>
      <x:c r="L707" s="12" t="str">
        <x:v>ZZB* 且調出/調入且車種2.0/2.0E</x:v>
      </x:c>
    </x:row>
    <x:row r="708">
      <x:c r="A708" s="12" t="str">
        <x:v>2026-09-09</x:v>
      </x:c>
      <x:c r="B708" s="12" t="str">
        <x:v>2026-09-09 09:21:26</x:v>
      </x:c>
      <x:c r="C708" s="12" t="str">
        <x:v>09:00</x:v>
      </x:c>
      <x:c r="D708" s="12" t="str">
        <x:v>06–09</x:v>
      </x:c>
      <x:c r="E708" s="12" t="str">
        <x:v>ZZB-0004</x:v>
      </x:c>
      <x:c r="F708" s="12" t="str">
        <x:v>調出</x:v>
      </x:c>
      <x:c r="G708" s="12" t="str">
        <x:v>2.0E</x:v>
      </x:c>
      <x:c r="H708" s="13" t="n">
        <x:v>5</x:v>
      </x:c>
      <x:c r="I708" s="12" t="str">
        <x:v>台北市</x:v>
      </x:c>
      <x:c r="J708" s="12" t="str">
        <x:v>500119050</x:v>
      </x:c>
      <x:c r="K708" s="12" t="str">
        <x:v>臺大小福樓東側</x:v>
      </x:c>
      <x:c r="L708" s="12" t="str">
        <x:v>ZZB* 且調出/調入且車種2.0/2.0E</x:v>
      </x:c>
    </x:row>
    <x:row r="709">
      <x:c r="A709" s="12" t="str">
        <x:v>2026-09-09</x:v>
      </x:c>
      <x:c r="B709" s="12" t="str">
        <x:v>2026-09-09 09:30:06</x:v>
      </x:c>
      <x:c r="C709" s="12" t="str">
        <x:v>09:00</x:v>
      </x:c>
      <x:c r="D709" s="12" t="str">
        <x:v>06–09</x:v>
      </x:c>
      <x:c r="E709" s="12" t="str">
        <x:v>ZZB-0004</x:v>
      </x:c>
      <x:c r="F709" s="12" t="str">
        <x:v>調入</x:v>
      </x:c>
      <x:c r="G709" s="12" t="str">
        <x:v>2.0E</x:v>
      </x:c>
      <x:c r="H709" s="13" t="n">
        <x:v>5</x:v>
      </x:c>
      <x:c r="I709" s="12" t="str">
        <x:v>台北市</x:v>
      </x:c>
      <x:c r="J709" s="12" t="str">
        <x:v>500119045</x:v>
      </x:c>
      <x:c r="K709" s="12" t="str">
        <x:v>臺大農業陳列館北側</x:v>
      </x:c>
      <x:c r="L709" s="12" t="str">
        <x:v>ZZB* 且調出/調入且車種2.0/2.0E</x:v>
      </x:c>
    </x:row>
    <x:row r="710">
      <x:c r="A710" s="12" t="str">
        <x:v>2026-09-09</x:v>
      </x:c>
      <x:c r="B710" s="12" t="str">
        <x:v>2026-09-09 09:39:28</x:v>
      </x:c>
      <x:c r="C710" s="12" t="str">
        <x:v>09:00</x:v>
      </x:c>
      <x:c r="D710" s="12" t="str">
        <x:v>06–09</x:v>
      </x:c>
      <x:c r="E710" s="12" t="str">
        <x:v>ZZB-0004</x:v>
      </x:c>
      <x:c r="F710" s="12" t="str">
        <x:v>調出</x:v>
      </x:c>
      <x:c r="G710" s="12" t="str">
        <x:v>2.0E</x:v>
      </x:c>
      <x:c r="H710" s="13" t="n">
        <x:v>4</x:v>
      </x:c>
      <x:c r="I710" s="12" t="str">
        <x:v>台北市</x:v>
      </x:c>
      <x:c r="J710" s="12" t="str">
        <x:v>500119050</x:v>
      </x:c>
      <x:c r="K710" s="12" t="str">
        <x:v>臺大小福樓東側</x:v>
      </x:c>
      <x:c r="L710" s="12" t="str">
        <x:v>ZZB* 且調出/調入且車種2.0/2.0E</x:v>
      </x:c>
    </x:row>
    <x:row r="711">
      <x:c r="A711" s="12" t="str">
        <x:v>2026-09-09</x:v>
      </x:c>
      <x:c r="B711" s="12" t="str">
        <x:v>2026-09-09 09:45:27</x:v>
      </x:c>
      <x:c r="C711" s="12" t="str">
        <x:v>09:00</x:v>
      </x:c>
      <x:c r="D711" s="12" t="str">
        <x:v>06–09</x:v>
      </x:c>
      <x:c r="E711" s="12" t="str">
        <x:v>ZZB-0004</x:v>
      </x:c>
      <x:c r="F711" s="12" t="str">
        <x:v>調入</x:v>
      </x:c>
      <x:c r="G711" s="12" t="str">
        <x:v>2.0E</x:v>
      </x:c>
      <x:c r="H711" s="13" t="n">
        <x:v>4</x:v>
      </x:c>
      <x:c r="I711" s="12" t="str">
        <x:v>台北市</x:v>
      </x:c>
      <x:c r="J711" s="12" t="str">
        <x:v>500119082</x:v>
      </x:c>
      <x:c r="K711" s="12" t="str">
        <x:v>臺大四號館東北側</x:v>
      </x:c>
      <x:c r="L711" s="12" t="str">
        <x:v>ZZB* 且調出/調入且車種2.0/2.0E</x:v>
      </x:c>
    </x:row>
    <x:row r="712">
      <x:c r="A712" s="12" t="str">
        <x:v>2026-09-09</x:v>
      </x:c>
      <x:c r="B712" s="12" t="str">
        <x:v>2026-09-09 10:46:11</x:v>
      </x:c>
      <x:c r="C712" s="12" t="str">
        <x:v>10:00</x:v>
      </x:c>
      <x:c r="D712" s="12" t="str">
        <x:v>10–13</x:v>
      </x:c>
      <x:c r="E712" s="12" t="str">
        <x:v>ZZB-0004</x:v>
      </x:c>
      <x:c r="F712" s="12" t="str">
        <x:v>調出</x:v>
      </x:c>
      <x:c r="G712" s="12" t="str">
        <x:v>2.0E</x:v>
      </x:c>
      <x:c r="H712" s="13" t="n">
        <x:v>1</x:v>
      </x:c>
      <x:c r="I712" s="12" t="str">
        <x:v>台北市</x:v>
      </x:c>
      <x:c r="J712" s="12" t="str">
        <x:v>500119083</x:v>
      </x:c>
      <x:c r="K712" s="12" t="str">
        <x:v>臺大新生教室南側</x:v>
      </x:c>
      <x:c r="L712" s="12" t="str">
        <x:v>ZZB* 且調出/調入且車種2.0/2.0E</x:v>
      </x:c>
    </x:row>
    <x:row r="713">
      <x:c r="A713" s="12" t="str">
        <x:v>2026-09-09</x:v>
      </x:c>
      <x:c r="B713" s="12" t="str">
        <x:v>2026-09-09 10:59:16</x:v>
      </x:c>
      <x:c r="C713" s="12" t="str">
        <x:v>10:00</x:v>
      </x:c>
      <x:c r="D713" s="12" t="str">
        <x:v>10–13</x:v>
      </x:c>
      <x:c r="E713" s="12" t="str">
        <x:v>ZZB-0004</x:v>
      </x:c>
      <x:c r="F713" s="12" t="str">
        <x:v>調入</x:v>
      </x:c>
      <x:c r="G713" s="12" t="str">
        <x:v>2.0E</x:v>
      </x:c>
      <x:c r="H713" s="13" t="n">
        <x:v>1</x:v>
      </x:c>
      <x:c r="I713" s="12" t="str">
        <x:v>台北市</x:v>
      </x:c>
      <x:c r="J713" s="12" t="str">
        <x:v>500119064</x:v>
      </x:c>
      <x:c r="K713" s="12" t="str">
        <x:v>臺大明達館機車停車場</x:v>
      </x:c>
      <x:c r="L713" s="12" t="str">
        <x:v>ZZB* 且調出/調入且車種2.0/2.0E</x:v>
      </x:c>
    </x:row>
    <x:row r="714">
      <x:c r="A714" s="12" t="str">
        <x:v>2026-09-10</x:v>
      </x:c>
      <x:c r="B714" s="12" t="str">
        <x:v>2026-09-10 08:06:58</x:v>
      </x:c>
      <x:c r="C714" s="12" t="str">
        <x:v>08:00</x:v>
      </x:c>
      <x:c r="D714" s="12" t="str">
        <x:v>06–09</x:v>
      </x:c>
      <x:c r="E714" s="12" t="str">
        <x:v>ZZB-0002</x:v>
      </x:c>
      <x:c r="F714" s="12" t="str">
        <x:v>調出</x:v>
      </x:c>
      <x:c r="G714" s="12" t="str">
        <x:v>2.0</x:v>
      </x:c>
      <x:c r="H714" s="13" t="n">
        <x:v>4</x:v>
      </x:c>
      <x:c r="I714" s="12" t="str">
        <x:v>台北市</x:v>
      </x:c>
      <x:c r="J714" s="12" t="str">
        <x:v>500119052</x:v>
      </x:c>
      <x:c r="K714" s="12" t="str">
        <x:v>臺大工綜館南側</x:v>
      </x:c>
      <x:c r="L714" s="12" t="str">
        <x:v>ZZB* 且調出/調入且車種2.0/2.0E</x:v>
      </x:c>
    </x:row>
    <x:row r="715">
      <x:c r="A715" s="12" t="str">
        <x:v>2026-09-10</x:v>
      </x:c>
      <x:c r="B715" s="12" t="str">
        <x:v>2026-09-10 08:07:14</x:v>
      </x:c>
      <x:c r="C715" s="12" t="str">
        <x:v>08:00</x:v>
      </x:c>
      <x:c r="D715" s="12" t="str">
        <x:v>06–09</x:v>
      </x:c>
      <x:c r="E715" s="12" t="str">
        <x:v>ZZB-0002</x:v>
      </x:c>
      <x:c r="F715" s="12" t="str">
        <x:v>調出</x:v>
      </x:c>
      <x:c r="G715" s="12" t="str">
        <x:v>2.0</x:v>
      </x:c>
      <x:c r="H715" s="13" t="n">
        <x:v>3</x:v>
      </x:c>
      <x:c r="I715" s="12" t="str">
        <x:v>台北市</x:v>
      </x:c>
      <x:c r="J715" s="12" t="str">
        <x:v>500119086</x:v>
      </x:c>
      <x:c r="K715" s="12" t="str">
        <x:v>臺大圖資系館北側</x:v>
      </x:c>
      <x:c r="L715" s="12" t="str">
        <x:v>ZZB* 且調出/調入且車種2.0/2.0E</x:v>
      </x:c>
    </x:row>
    <x:row r="716">
      <x:c r="A716" s="12" t="str">
        <x:v>2026-09-10</x:v>
      </x:c>
      <x:c r="B716" s="12" t="str">
        <x:v>2026-09-10 08:07:29</x:v>
      </x:c>
      <x:c r="C716" s="12" t="str">
        <x:v>08:00</x:v>
      </x:c>
      <x:c r="D716" s="12" t="str">
        <x:v>06–09</x:v>
      </x:c>
      <x:c r="E716" s="12" t="str">
        <x:v>ZZB-0002</x:v>
      </x:c>
      <x:c r="F716" s="12" t="str">
        <x:v>調入</x:v>
      </x:c>
      <x:c r="G716" s="12" t="str">
        <x:v>2.0</x:v>
      </x:c>
      <x:c r="H716" s="13" t="n">
        <x:v>7</x:v>
      </x:c>
      <x:c r="I716" s="12" t="str">
        <x:v>台北市</x:v>
      </x:c>
      <x:c r="J716" s="12" t="str">
        <x:v>500119059</x:v>
      </x:c>
      <x:c r="K716" s="12" t="str">
        <x:v>臺大共同教室北側</x:v>
      </x:c>
      <x:c r="L716" s="12" t="str">
        <x:v>ZZB* 且調出/調入且車種2.0/2.0E</x:v>
      </x:c>
    </x:row>
    <x:row r="717">
      <x:c r="A717" s="12" t="str">
        <x:v>2026-09-10</x:v>
      </x:c>
      <x:c r="B717" s="12" t="str">
        <x:v>2026-09-10 00:04:48</x:v>
      </x:c>
      <x:c r="C717" s="12" t="str">
        <x:v>00:00</x:v>
      </x:c>
      <x:c r="D717" s="12" t="str">
        <x:v>00–05</x:v>
      </x:c>
      <x:c r="E717" s="12" t="str">
        <x:v>ZZB-0004</x:v>
      </x:c>
      <x:c r="F717" s="12" t="str">
        <x:v>調出</x:v>
      </x:c>
      <x:c r="G717" s="12" t="str">
        <x:v>2.0</x:v>
      </x:c>
      <x:c r="H717" s="13" t="n">
        <x:v>12</x:v>
      </x:c>
      <x:c r="I717" s="12" t="str">
        <x:v>台北市</x:v>
      </x:c>
      <x:c r="J717" s="12" t="str">
        <x:v>500101181</x:v>
      </x:c>
      <x:c r="K717" s="12" t="str">
        <x:v>捷運公館站(3號出口)</x:v>
      </x:c>
      <x:c r="L717" s="12" t="str">
        <x:v>ZZB* 且調出/調入且車種2.0/2.0E</x:v>
      </x:c>
    </x:row>
    <x:row r="718">
      <x:c r="A718" s="12" t="str">
        <x:v>2026-09-10</x:v>
      </x:c>
      <x:c r="B718" s="12" t="str">
        <x:v>2026-09-10 00:05:19</x:v>
      </x:c>
      <x:c r="C718" s="12" t="str">
        <x:v>00:00</x:v>
      </x:c>
      <x:c r="D718" s="12" t="str">
        <x:v>00–05</x:v>
      </x:c>
      <x:c r="E718" s="12" t="str">
        <x:v>ZZB-0004</x:v>
      </x:c>
      <x:c r="F718" s="12" t="str">
        <x:v>調入</x:v>
      </x:c>
      <x:c r="G718" s="12" t="str">
        <x:v>2.0</x:v>
      </x:c>
      <x:c r="H718" s="13" t="n">
        <x:v>12</x:v>
      </x:c>
      <x:c r="I718" s="12" t="str">
        <x:v>台北市</x:v>
      </x:c>
      <x:c r="J718" s="12" t="str">
        <x:v>500101276</x:v>
      </x:c>
      <x:c r="K718" s="12" t="str">
        <x:v>羅斯福新生南路口</x:v>
      </x:c>
      <x:c r="L718" s="12" t="str">
        <x:v>ZZB* 且調出/調入且車種2.0/2.0E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907949ef1e44d2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76" hidden="0" customWidth="1"/>
    <x:col min="3" max="3" width="16" hidden="0" customWidth="1"/>
    <x:col min="4" max="4" width="16" hidden="0" customWidth="1"/>
    <x:col min="5" max="5" width="16" hidden="0" customWidth="1"/>
    <x:col min="6" max="6" width="45" hidden="0" customWidth="1"/>
  </x:cols>
  <x:sheetData>
    <x:row r="1" ht="32" customHeight="1">
      <x:c r="A1" s="17" t="str">
        <x:v>資料來源、口徑與勾稽</x:v>
      </x:c>
      <x:c r="B1" s="17" t="str">
        <x:v>資料來源、口徑與勾稽</x:v>
      </x:c>
      <x:c r="C1" s="17" t="str">
        <x:v>資料來源、口徑與勾稽</x:v>
      </x:c>
      <x:c r="D1" s="17" t="str">
        <x:v>資料來源、口徑與勾稽</x:v>
      </x:c>
      <x:c r="E1" s="17" t="str">
        <x:v>資料來源、口徑與勾稽</x:v>
      </x:c>
      <x:c r="F1" s="17" t="str">
        <x:v>資料來源、口徑與勾稽</x:v>
      </x:c>
    </x:row>
    <x:row r="3" ht="34" customHeight="1">
      <x:c r="A3" s="9" t="str">
        <x:v>項目</x:v>
      </x:c>
      <x:c r="B3" s="9" t="str">
        <x:v>說明</x:v>
      </x:c>
    </x:row>
    <x:row r="4" ht="36" customHeight="1">
      <x:c r="A4" s="37" t="str">
        <x:v>場站範圍</x:v>
      </x:c>
      <x:c r="B4" s="12" t="str">
        <x:v>臺北市場站代碼 500119* 動態聯集</x:v>
      </x:c>
    </x:row>
    <x:row r="5" ht="36" customHeight="1">
      <x:c r="A5" s="37" t="str">
        <x:v>資料截點</x:v>
      </x:c>
      <x:c r="B5" s="12" t="str">
        <x:v>2026-09-17 23:59</x:v>
      </x:c>
    </x:row>
    <x:row r="6" ht="36" customHeight="1">
      <x:c r="A6" s="37" t="str">
        <x:v>主表比較</x:v>
      </x:c>
      <x:c r="B6" s="12" t="str">
        <x:v>主表採完整平日；9/1–9/17 共13日，9/7–9/17 共9日。</x:v>
      </x:c>
    </x:row>
    <x:row r="7" ht="36" customHeight="1">
      <x:c r="A7" s="37" t="str">
        <x:v>用量／還量</x:v>
      </x:c>
      <x:c r="B7" s="12" t="str">
        <x:v>CPS 場站流量彙總；YouBike 2.0＋2.0E；日均依完整平日算術平均後無條件進位至整數。</x:v>
      </x:c>
    </x:row>
    <x:row r="8" ht="36" customHeight="1">
      <x:c r="A8" s="37" t="str">
        <x:v>見車／見位率</x:v>
      </x:c>
      <x:c r="B8" s="12" t="str">
        <x:v>Report data_analysis.daily_empty_full；排除&lt;0或&gt;1；指定日期、站點與時段內的有效觀測平均。</x:v>
      </x:c>
    </x:row>
    <x:row r="9" ht="36" customHeight="1">
      <x:c r="A9" s="37" t="str">
        <x:v>時段</x:v>
      </x:c>
      <x:c r="B9" s="12" t="str">
        <x:v>6–24=06–23；7–9=07、08、09；11–13=11、12、13；16–20=16–20；21–00=21–23。</x:v>
      </x:c>
    </x:row>
    <x:row r="10" ht="36" customHeight="1">
      <x:c r="A10" s="37" t="str">
        <x:v>更新期間</x:v>
      </x:c>
      <x:c r="B10" s="12" t="str">
        <x:v>9/1–9/17與9/7–9/17均採完整平日；最右欄另列9/17單日。</x:v>
      </x:c>
    </x:row>
    <x:row r="11" ht="36" customHeight="1">
      <x:c r="A11" s="37" t="str">
        <x:v>ZZB篩選</x:v>
      </x:c>
      <x:c r="B11" s="12" t="str">
        <x:v>車輛號碼以ZZB開頭；只納入工作狀態=調出/調入、車種=2.0/2.0E、數量&gt;0。</x:v>
      </x:c>
    </x:row>
    <x:row r="12" ht="36" customHeight="1">
      <x:c r="A12" s="37" t="str">
        <x:v>ZZB路線重建</x:v>
      </x:c>
      <x:c r="B12" s="12" t="str">
        <x:v>VDS 無原生起訖鍵，路線依同日、同車號、同車種的抵達時間 FIFO 重建。</x:v>
      </x:c>
    </x:row>
    <x:row r="13" ht="36" customHeight="1">
      <x:c r="A13" s="37" t="str">
        <x:v>線型</x:v>
      </x:c>
      <x:c r="B13" s="12" t="str">
        <x:v>調出與調入兩端站碼皆以500119開頭為實線；任一端非500119開頭為虛線。</x:v>
      </x:c>
    </x:row>
    <x:row r="14" ht="36" customHeight="1">
      <x:c r="A14" s="37" t="str">
        <x:v>調度輛數</x:v>
      </x:c>
      <x:c r="B14" s="12" t="str">
        <x:v>路線調度數量只計配對量一次，不將調出與調入重複相加。</x:v>
      </x:c>
    </x:row>
    <x:row r="17" ht="34" customHeight="1">
      <x:c r="A17" s="23" t="str">
        <x:v>勾稽項目</x:v>
      </x:c>
      <x:c r="B17" s="23" t="str">
        <x:v>期待值</x:v>
      </x:c>
      <x:c r="C17" s="23" t="str">
        <x:v>實際值</x:v>
      </x:c>
      <x:c r="D17" s="23" t="str">
        <x:v>差異</x:v>
      </x:c>
      <x:c r="E17" s="23" t="str">
        <x:v>結果</x:v>
      </x:c>
      <x:c r="F17" s="23" t="str">
        <x:v>備註</x:v>
      </x:c>
    </x:row>
    <x:row r="18">
      <x:c r="A18" s="12" t="str">
        <x:v>8月平日數</x:v>
      </x:c>
      <x:c r="B18" s="13" t="n">
        <x:v>21</x:v>
      </x:c>
      <x:c r="C18" s="13" t="n">
        <x:f>COUNTA('逐日數據'!A3:A23)</x:f>
        <x:v>21</x:v>
      </x:c>
      <x:c r="D18" s="13" t="n">
        <x:f>C18-B18</x:f>
        <x:v>0</x:v>
      </x:c>
      <x:c r="E18" s="12" t="str">
        <x:f>IF(D18=0,"一致","不一致")</x:f>
        <x:v>一致</x:v>
      </x:c>
      <x:c r="F18" s="12" t="str">
        <x:v>週一至週五</x:v>
      </x:c>
    </x:row>
    <x:row r="19">
      <x:c r="A19" s="12" t="str">
        <x:v>9/1–9/17完整平日數</x:v>
      </x:c>
      <x:c r="B19" s="13" t="n">
        <x:v>13</x:v>
      </x:c>
      <x:c r="C19" s="13" t="n">
        <x:f>'期間數據'!D15*0+13</x:f>
        <x:v>13</x:v>
      </x:c>
      <x:c r="D19" s="13" t="n">
        <x:f>C19-B19</x:f>
        <x:v>0</x:v>
      </x:c>
      <x:c r="E19" s="12" t="str">
        <x:f>IF(D19=0,"一致","不一致")</x:f>
        <x:v>一致</x:v>
      </x:c>
      <x:c r="F19" s="12" t="str">
        <x:v>週一至週五</x:v>
      </x:c>
    </x:row>
    <x:row r="20">
      <x:c r="A20" s="12" t="str">
        <x:v>9/7–9/17完整平日數</x:v>
      </x:c>
      <x:c r="B20" s="13" t="n">
        <x:v>9</x:v>
      </x:c>
      <x:c r="C20" s="13" t="n">
        <x:f>'期間數據'!E15*0+9</x:f>
        <x:v>9</x:v>
      </x:c>
      <x:c r="D20" s="13" t="n">
        <x:f>C20-B20</x:f>
        <x:v>0</x:v>
      </x:c>
      <x:c r="E20" s="12" t="str">
        <x:f>IF(D20=0,"一致","不一致")</x:f>
        <x:v>一致</x:v>
      </x:c>
      <x:c r="F20" s="12" t="str">
        <x:v>週一至週五</x:v>
      </x:c>
    </x:row>
    <x:row r="21">
      <x:c r="A21" s="12" t="str">
        <x:v>ZZB配對調度數</x:v>
      </x:c>
      <x:c r="B21" s="13" t="n">
        <x:v>2081</x:v>
      </x:c>
      <x:c r="C21" s="13" t="n">
        <x:f>SUM('ZZB路線彙總'!K3:K1048576)</x:f>
        <x:v>2081</x:v>
      </x:c>
      <x:c r="D21" s="13" t="n">
        <x:f>C21-B21</x:f>
        <x:v>0</x:v>
      </x:c>
      <x:c r="E21" s="12" t="str">
        <x:f>IF(D21=0,"一致","不一致")</x:f>
        <x:v>一致</x:v>
      </x:c>
      <x:c r="F21" s="12" t="str">
        <x:v>路線彙總 vs 配對明細</x:v>
      </x:c>
    </x:row>
    <x:row r="22">
      <x:c r="A22" s="12" t="str">
        <x:v>ZZB車號數</x:v>
      </x:c>
      <x:c r="B22" s="13" t="n">
        <x:v>6</x:v>
      </x:c>
      <x:c r="C22" s="13" t="n">
        <x:v>6</x:v>
      </x:c>
      <x:c r="D22" s="13" t="n">
        <x:f>C22-B22</x:f>
        <x:v>0</x:v>
      </x:c>
      <x:c r="E22" s="12" t="str">
        <x:f>IF(D22=0,"一致","不一致")</x:f>
        <x:v>一致</x:v>
      </x:c>
      <x:c r="F22" s="12" t="str">
        <x:v>ZZB-0001、ZZB-0002、ZZB-0003、ZZB-0004、ZZB-0005、ZZB-0008</x:v>
      </x:c>
    </x:row>
    <x:row r="23">
      <x:c r="A23" s="12" t="str">
        <x:v>未配對調出數</x:v>
      </x:c>
      <x:c r="B23" s="13" t="n">
        <x:v>14</x:v>
      </x:c>
      <x:c r="C23" s="13" t="n">
        <x:v>14</x:v>
      </x:c>
      <x:c r="D23" s="13" t="n">
        <x:f>C23-B23</x:f>
        <x:v>0</x:v>
      </x:c>
      <x:c r="E23" s="12" t="str">
        <x:f>IF(D23=0,"一致","不一致")</x:f>
        <x:v>一致</x:v>
      </x:c>
      <x:c r="F23" s="12" t="str">
        <x:v>保留於JSON原始口徑</x:v>
      </x:c>
    </x:row>
  </x:sheetData>
  <x:mergeCells>
    <x:mergeCell ref="A1:F1"/>
  </x:mergeCells>
  <x:conditionalFormatting sqref="E18:E23">
    <x:cfRule type="containsText" dxfId="7" priority="1" operator="containsText" text="不一致"/>
  </x:conditionalFormatting>
  <x:pageMargins left="0.7" right="0.7" top="0.75" bottom="0.75" header="0.3" footer="0.3"/>
</x:worksheet>
</file>