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fd26edc24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050408aa573b4d3d"/>
    <x:sheet xmlns:r="http://schemas.openxmlformats.org/officeDocument/2006/relationships" name="責任區任務來源" sheetId="2" r:id="R3fe1e9eae7084fbe"/>
    <x:sheet xmlns:r="http://schemas.openxmlformats.org/officeDocument/2006/relationships" name="時段任務來源" sheetId="3" r:id="Rf6f9ce3ae6aa496a"/>
    <x:sheet xmlns:r="http://schemas.openxmlformats.org/officeDocument/2006/relationships" name="智慧調度區域" sheetId="4" r:id="R920908f90db347da"/>
    <x:sheet xmlns:r="http://schemas.openxmlformats.org/officeDocument/2006/relationships" name="全責任區月比較" sheetId="5" r:id="R7ece33a5426b477e"/>
    <x:sheet xmlns:r="http://schemas.openxmlformats.org/officeDocument/2006/relationships" name="有效日期與來源" sheetId="6" r:id="R5d03ae06bf37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0&quot;時&quot;"/>
    <x:numFmt numFmtId="203" formatCode="0"/>
    <x:numFmt numFmtId="204" formatCode="+0.0%;-0.0%;0.0%"/>
    <x:numFmt numFmtId="205" formatCode="yyyy-mm-dd"/>
  </x:numFmts>
  <x:fonts count="8">
    <x:font>
      <x:sz val="11"/>
      <x:name val="Carlito"/>
    </x:font>
    <x:font>
      <x:sz val="10"/>
      <x:color rgb="FF263238"/>
      <x:name val="Microsoft JhengHei"/>
    </x:font>
    <x:font>
      <x:b/>
      <x:sz val="16"/>
      <x:color rgb="FF1F4E78"/>
      <x:name val="Microsoft JhengHei"/>
    </x:font>
    <x:font>
      <x:i/>
      <x:sz val="10"/>
      <x:color rgb="FF687687"/>
      <x:name val="Microsoft JhengHei"/>
    </x:font>
    <x:font>
      <x:b/>
      <x:sz val="11"/>
      <x:color rgb="FFFFFFFF"/>
      <x:name val="Microsoft JhengHei"/>
    </x:font>
    <x:font>
      <x:b/>
      <x:sz val="10"/>
      <x:color rgb="FFFFFFFF"/>
      <x:name val="Microsoft JhengHei"/>
    </x:font>
    <x:font>
      <x:b/>
      <x:sz val="10"/>
      <x:color rgb="FF1F4E78"/>
      <x:name val="Microsoft JhengHei"/>
    </x:font>
    <x:font>
      <x:b/>
      <x:sz val="11"/>
      <x:color rgb="FF1F4E78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AF3F8"/>
      </x:patternFill>
    </x:fill>
    <x:fill>
      <x:patternFill patternType="solid">
        <x:fgColor rgb="FFFFF200"/>
      </x:patternFill>
    </x:fill>
    <x:fill>
      <x:patternFill patternType="solid">
        <x:fgColor rgb="FFFFF4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FFF200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B7C3CE"/>
      </x:left>
      <x:right style="thin">
        <x:color rgb="FFB7C3CE"/>
      </x:right>
      <x:top style="thin">
        <x:color rgb="FFB7C3CE"/>
      </x:top>
      <x:bottom style="thin">
        <x:color rgb="FFB7C3CE"/>
      </x:bottom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0" fontId="1" fillId="4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202" fontId="1" fillId="4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6" borderId="5" xfId="0" applyNumberFormat="1" applyFont="1" applyFill="1" applyBorder="1" applyAlignment="1">
      <x:alignment vertical="center"/>
    </x:xf>
    <x:xf numFmtId="200" fontId="1" fillId="6" borderId="5" xfId="0" applyNumberFormat="1" applyFont="1" applyFill="1" applyBorder="1" applyAlignment="1">
      <x:alignment vertical="center"/>
    </x:xf>
    <x:xf numFmtId="204" fontId="1" fillId="4" borderId="5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6" borderId="5" xfId="0" applyNumberFormat="1" applyFont="1" applyFill="1" applyBorder="1" applyAlignment="1">
      <x:alignment vertical="center"/>
    </x:xf>
    <x:xf numFmtId="201" fontId="1" fillId="6" borderId="5" xfId="0" applyNumberFormat="1" applyFont="1" applyFill="1" applyBorder="1" applyAlignment="1">
      <x:alignment vertical="center"/>
    </x:xf>
    <x:xf numFmtId="205" fontId="1" fillId="4" borderId="5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8000"/>
      </x:font>
    </x:dxf>
    <x:dxf>
      <x:font>
        <x:b/>
        <x:color rgb="FF008000"/>
      </x:font>
    </x:dxf>
    <x:dxf>
      <x:font>
        <x:b/>
        <x:color rgb="FFC00000"/>
      </x:font>
    </x:dxf>
    <x:dxf>
      <x:font>
        <x:b/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84c923d314a4e" /><Relationship Type="http://schemas.openxmlformats.org/officeDocument/2006/relationships/theme" Target="/xl/theme/theme1.xml" Id="R7adeb2c533fe428c" /><Relationship Type="http://schemas.openxmlformats.org/officeDocument/2006/relationships/sharedStrings" Target="/xl/sharedStrings.xml" Id="Re429ed7521224b90" /><Relationship Type="http://schemas.openxmlformats.org/officeDocument/2006/relationships/worksheet" Target="/xl/worksheets/sheet1.xml" Id="R050408aa573b4d3d" /><Relationship Type="http://schemas.openxmlformats.org/officeDocument/2006/relationships/worksheet" Target="/xl/worksheets/sheet2.xml" Id="R3fe1e9eae7084fbe" /><Relationship Type="http://schemas.openxmlformats.org/officeDocument/2006/relationships/worksheet" Target="/xl/worksheets/sheet3.xml" Id="Rf6f9ce3ae6aa496a" /><Relationship Type="http://schemas.openxmlformats.org/officeDocument/2006/relationships/worksheet" Target="/xl/worksheets/sheet4.xml" Id="R920908f90db347da" /><Relationship Type="http://schemas.openxmlformats.org/officeDocument/2006/relationships/worksheet" Target="/xl/worksheets/sheet5.xml" Id="R7ece33a5426b477e" /><Relationship Type="http://schemas.openxmlformats.org/officeDocument/2006/relationships/worksheet" Target="/xl/worksheets/sheet6.xml" Id="R5d03ae06bf374a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4de9c1dbf740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4dfd4c3523c4c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JhengHei"/>
                <a:ea typeface="Microsoft JhengHei"/>
                <a:cs typeface="Microsoft JhengHei"/>
              </a:rPr>
              <a:t>任務來源比例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JhengHei"/>
              <a:ea typeface="Microsoft JhengHei"/>
              <a:cs typeface="Microsoft Jheng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推薦場站</c:v>
          </c:tx>
          <c:spPr>
            <a:solidFill xmlns:a="http://schemas.openxmlformats.org/drawingml/2006/main">
              <a:srgbClr val="ED7D31"/>
            </a:solidFill>
          </c:spPr>
          <c:invertIfNegative val="0"/>
          <c:cat>
            <c:strRef>
              <c:f>'總覽'!$K$6:$K$8</c:f>
              <c:strCache>
                <c:ptCount val="0"/>
              </c:strCache>
            </c:strRef>
          </c:cat>
          <c:val>
            <c:numRef>
              <c:f>'總覽'!$L$6:$L$8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場站資訊</c:v>
          </c:tx>
          <c:spPr>
            <a:solidFill xmlns:a="http://schemas.openxmlformats.org/drawingml/2006/main">
              <a:srgbClr val="5B9BD5"/>
            </a:solidFill>
          </c:spPr>
          <c:invertIfNegative val="0"/>
          <c:cat>
            <c:strRef>
              <c:f>'總覽'!$K$6:$K$8</c:f>
              <c:strCache>
                <c:ptCount val="0"/>
              </c:strCache>
            </c:strRef>
          </c:cat>
          <c:val>
            <c:numRef>
              <c:f>'總覽'!$M$6:$M$8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場站地圖</c:v>
          </c:tx>
          <c:spPr>
            <a:solidFill xmlns:a="http://schemas.openxmlformats.org/drawingml/2006/main">
              <a:srgbClr val="1F4E78"/>
            </a:solidFill>
          </c:spPr>
          <c:invertIfNegative val="0"/>
          <c:cat>
            <c:strRef>
              <c:f>'總覽'!$K$6:$K$8</c:f>
              <c:strCache>
                <c:ptCount val="0"/>
              </c:strCache>
            </c:strRef>
          </c:cat>
          <c:val>
            <c:numRef>
              <c:f>'總覽'!$N$6:$N$8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JhengHei"/>
                <a:ea typeface="Microsoft JhengHei"/>
                <a:cs typeface="Microsoft Jheng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JhengHei"/>
                <a:ea typeface="Microsoft JhengHei"/>
                <a:cs typeface="Microsoft Jheng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JhengHei"/>
              <a:ea typeface="Microsoft JhengHei"/>
              <a:cs typeface="Microsoft Jheng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JhengHei"/>
                <a:ea typeface="Microsoft JhengHei"/>
                <a:cs typeface="Microsoft JhengHei"/>
              </a:rPr>
              <a:t>9–10月雙北任務次數（逐時）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JhengHei"/>
              <a:ea typeface="Microsoft JhengHei"/>
              <a:cs typeface="Microsoft Jheng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推薦場站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'時段任務來源'!$M$6:$M$29</c:f>
              <c:strCache>
                <c:ptCount val="0"/>
              </c:strCache>
            </c:strRef>
          </c:cat>
          <c:val>
            <c:numRef>
              <c:f>'時段任務來源'!$N$6:$N$29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場站資訊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'時段任務來源'!$M$6:$M$29</c:f>
              <c:strCache>
                <c:ptCount val="0"/>
              </c:strCache>
            </c:strRef>
          </c:cat>
          <c:val>
            <c:numRef>
              <c:f>'時段任務來源'!$O$6:$O$29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場站地圖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'時段任務來源'!$M$6:$M$29</c:f>
              <c:strCache>
                <c:ptCount val="0"/>
              </c:strCache>
            </c:strRef>
          </c:cat>
          <c:val>
            <c:numRef>
              <c:f>'時段任務來源'!$P$6:$P$29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JhengHei"/>
                <a:ea typeface="Microsoft JhengHei"/>
                <a:cs typeface="Microsoft Jheng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JhengHei"/>
                <a:ea typeface="Microsoft JhengHei"/>
                <a:cs typeface="Microsoft Jheng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JhengHei"/>
              <a:ea typeface="Microsoft JhengHei"/>
              <a:cs typeface="Microsoft Jheng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de9c1dbf740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4</xdr:row>
      <xdr:rowOff>0</xdr:rowOff>
    </xdr:from>
    <xdr:to>
      <xdr:col>27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dfd4c3523c4c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e1f989bf7d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6a44286b3ef45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5" hidden="0" customWidth="1"/>
    <x:col min="4" max="4" width="15" hidden="0" customWidth="1"/>
    <x:col min="5" max="5" width="13" hidden="0" customWidth="1"/>
    <x:col min="6" max="6" width="15" hidden="0" customWidth="1"/>
    <x:col min="7" max="7" width="13" hidden="0" customWidth="1"/>
    <x:col min="8" max="8" width="15" hidden="0" customWidth="1"/>
    <x:col min="9" max="9" width="13" hidden="0" customWidth="1"/>
    <x:col min="10" max="10" width="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2026年9–10月 VDS 任務來源分析</x:v>
      </x:c>
      <x:c r="B2" s="4"/>
      <x:c r="C2" s="4"/>
      <x:c r="D2" s="4"/>
      <x:c r="E2" s="4"/>
      <x:c r="F2" s="4"/>
      <x:c r="G2" s="4"/>
      <x:c r="H2" s="4"/>
      <x:c r="I2" s="4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樣本：台北市2.0＋2.0E平日全天用量超過20萬；9月18日、10月13日</x:v>
      </x:c>
      <x:c r="B3" s="5"/>
      <x:c r="C3" s="5"/>
      <x:c r="D3" s="5"/>
      <x:c r="E3" s="5"/>
      <x:c r="F3" s="5"/>
      <x:c r="G3" s="5"/>
      <x:c r="H3" s="5"/>
      <x:c r="I3" s="5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1" t="str">
        <x:v>雙北合計</x:v>
      </x:c>
      <x:c r="B5" s="12" t="str">
        <x:v>雙北合計</x:v>
      </x:c>
      <x:c r="C5" s="12" t="str">
        <x:v>雙北合計</x:v>
      </x:c>
      <x:c r="D5" s="12" t="str">
        <x:v>雙北合計</x:v>
      </x:c>
      <x:c r="E5" s="12" t="str">
        <x:v>雙北合計</x:v>
      </x:c>
      <x:c r="F5" s="12" t="str">
        <x:v>雙北合計</x:v>
      </x:c>
      <x:c r="G5" s="12" t="str">
        <x:v>雙北合計</x:v>
      </x:c>
      <x:c r="H5" s="12" t="str">
        <x:v>雙北合計</x:v>
      </x:c>
      <x:c r="I5" s="13" t="str">
        <x:v>雙北合計</x:v>
      </x:c>
      <x:c r="J5" s="1"/>
      <x:c r="K5" s="31" t="str">
        <x:v>期間</x:v>
      </x:c>
      <x:c r="L5" s="31" t="str">
        <x:v>推薦場站</x:v>
      </x:c>
      <x:c r="M5" s="31" t="str">
        <x:v>場站資訊</x:v>
      </x:c>
      <x:c r="N5" s="31" t="str">
        <x:v>場站地圖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18" t="str">
        <x:v>期間</x:v>
      </x:c>
      <x:c r="B6" s="18" t="str">
        <x:v>有效天數</x:v>
      </x:c>
      <x:c r="C6" s="18" t="str">
        <x:v>任務總次數</x:v>
      </x:c>
      <x:c r="D6" s="18" t="str">
        <x:v>推薦場站次數</x:v>
      </x:c>
      <x:c r="E6" s="18" t="str">
        <x:v>推薦場站比例</x:v>
      </x:c>
      <x:c r="F6" s="18" t="str">
        <x:v>場站資訊次數</x:v>
      </x:c>
      <x:c r="G6" s="18" t="str">
        <x:v>場站資訊比例</x:v>
      </x:c>
      <x:c r="H6" s="18" t="str">
        <x:v>場站地圖次數</x:v>
      </x:c>
      <x:c r="I6" s="18" t="str">
        <x:v>場站地圖比例</x:v>
      </x:c>
      <x:c r="J6" s="1"/>
      <x:c r="K6" s="20" t="str">
        <x:f>A7</x:f>
        <x:v>9月</x:v>
      </x:c>
      <x:c r="L6" s="24" t="n">
        <x:f>E7</x:f>
        <x:v>0.01603767192899248</x:v>
      </x:c>
      <x:c r="M6" s="24" t="n">
        <x:f>G7</x:f>
        <x:v>0.4233145877091944</x:v>
      </x:c>
      <x:c r="N6" s="24" t="n">
        <x:f>I7</x:f>
        <x:v>0.5606477403618131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2" t="str">
        <x:v>9月</x:v>
      </x:c>
      <x:c r="B7" s="23" t="n">
        <x:v>18</x:v>
      </x:c>
      <x:c r="C7" s="23" t="n">
        <x:v>147590</x:v>
      </x:c>
      <x:c r="D7" s="23" t="n">
        <x:v>2367</x:v>
      </x:c>
      <x:c r="E7" s="24" t="n">
        <x:f>IF(C7=0,"",D7/C7)</x:f>
        <x:v>0.01603767192899248</x:v>
      </x:c>
      <x:c r="F7" s="23" t="n">
        <x:v>62477</x:v>
      </x:c>
      <x:c r="G7" s="24" t="n">
        <x:f>IF(C7=0,"",F7/C7)</x:f>
        <x:v>0.4233145877091944</x:v>
      </x:c>
      <x:c r="H7" s="23" t="n">
        <x:v>82746</x:v>
      </x:c>
      <x:c r="I7" s="24" t="n">
        <x:f>IF(C7=0,"",H7/C7)</x:f>
        <x:v>0.5606477403618131</x:v>
      </x:c>
      <x:c r="J7" s="1"/>
      <x:c r="K7" s="20" t="str">
        <x:f>A8</x:f>
        <x:v>10月</x:v>
      </x:c>
      <x:c r="L7" s="24" t="n">
        <x:f>E8</x:f>
        <x:v>0.011988225849611988</x:v>
      </x:c>
      <x:c r="M7" s="24" t="n">
        <x:f>G8</x:f>
        <x:v>0.42658103648202655</x:v>
      </x:c>
      <x:c r="N7" s="24" t="n">
        <x:f>I8</x:f>
        <x:v>0.5614307376683614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2" t="str">
        <x:v>10月</x:v>
      </x:c>
      <x:c r="B8" s="23" t="n">
        <x:v>13</x:v>
      </x:c>
      <x:c r="C8" s="23" t="n">
        <x:v>112110</x:v>
      </x:c>
      <x:c r="D8" s="23" t="n">
        <x:v>1344</x:v>
      </x:c>
      <x:c r="E8" s="24" t="n">
        <x:f>IF(C8=0,"",D8/C8)</x:f>
        <x:v>0.011988225849611988</x:v>
      </x:c>
      <x:c r="F8" s="23" t="n">
        <x:v>47824</x:v>
      </x:c>
      <x:c r="G8" s="24" t="n">
        <x:f>IF(C8=0,"",F8/C8)</x:f>
        <x:v>0.42658103648202655</x:v>
      </x:c>
      <x:c r="H8" s="23" t="n">
        <x:v>62942</x:v>
      </x:c>
      <x:c r="I8" s="24" t="n">
        <x:f>IF(C8=0,"",H8/C8)</x:f>
        <x:v>0.5614307376683614</x:v>
      </x:c>
      <x:c r="J8" s="1"/>
      <x:c r="K8" s="20" t="str">
        <x:f>A9</x:f>
        <x:v>9–10月</x:v>
      </x:c>
      <x:c r="L8" s="24" t="n">
        <x:f>E9</x:f>
        <x:v>0.014289564882556796</x:v>
      </x:c>
      <x:c r="M8" s="24" t="n">
        <x:f>G9</x:f>
        <x:v>0.4247246823257605</x:v>
      </x:c>
      <x:c r="N8" s="24" t="n">
        <x:f>I9</x:f>
        <x:v>0.5609857527916827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2" t="str">
        <x:v>9–10月</x:v>
      </x:c>
      <x:c r="B9" s="23" t="n">
        <x:v>31</x:v>
      </x:c>
      <x:c r="C9" s="23" t="n">
        <x:v>259700</x:v>
      </x:c>
      <x:c r="D9" s="23" t="n">
        <x:v>3711</x:v>
      </x:c>
      <x:c r="E9" s="24" t="n">
        <x:f>IF(C9=0,"",D9/C9)</x:f>
        <x:v>0.014289564882556796</x:v>
      </x:c>
      <x:c r="F9" s="23" t="n">
        <x:v>110301</x:v>
      </x:c>
      <x:c r="G9" s="24" t="n">
        <x:f>IF(C9=0,"",F9/C9)</x:f>
        <x:v>0.4247246823257605</x:v>
      </x:c>
      <x:c r="H9" s="23" t="n">
        <x:v>145688</x:v>
      </x:c>
      <x:c r="I9" s="24" t="n">
        <x:f>IF(C9=0,"",H9/C9)</x:f>
        <x:v>0.5609857527916827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4" customHeight="1">
      <x:c r="A12" s="11" t="str">
        <x:v>城市別任務來源</x:v>
      </x:c>
      <x:c r="B12" s="12" t="str">
        <x:v>城市別任務來源</x:v>
      </x:c>
      <x:c r="C12" s="12" t="str">
        <x:v>城市別任務來源</x:v>
      </x:c>
      <x:c r="D12" s="12" t="str">
        <x:v>城市別任務來源</x:v>
      </x:c>
      <x:c r="E12" s="12" t="str">
        <x:v>城市別任務來源</x:v>
      </x:c>
      <x:c r="F12" s="12" t="str">
        <x:v>城市別任務來源</x:v>
      </x:c>
      <x:c r="G12" s="12" t="str">
        <x:v>城市別任務來源</x:v>
      </x:c>
      <x:c r="H12" s="12" t="str">
        <x:v>城市別任務來源</x:v>
      </x:c>
      <x:c r="I12" s="13" t="str">
        <x:v>城市別任務來源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0" customHeight="1">
      <x:c r="A13" s="18" t="str">
        <x:v>期間</x:v>
      </x:c>
      <x:c r="B13" s="18" t="str">
        <x:v>城市</x:v>
      </x:c>
      <x:c r="C13" s="18" t="str">
        <x:v>任務總次數</x:v>
      </x:c>
      <x:c r="D13" s="18" t="str">
        <x:v>推薦場站次數</x:v>
      </x:c>
      <x:c r="E13" s="18" t="str">
        <x:v>推薦場站比例</x:v>
      </x:c>
      <x:c r="F13" s="18" t="str">
        <x:v>場站資訊次數</x:v>
      </x:c>
      <x:c r="G13" s="18" t="str">
        <x:v>場站資訊比例</x:v>
      </x:c>
      <x:c r="H13" s="18" t="str">
        <x:v>場站地圖次數</x:v>
      </x:c>
      <x:c r="I13" s="18" t="str">
        <x:v>場站地圖比例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5" t="str">
        <x:v>9月</x:v>
      </x:c>
      <x:c r="B14" s="25" t="str">
        <x:v>台北市</x:v>
      </x:c>
      <x:c r="C14" s="23" t="n">
        <x:v>69263</x:v>
      </x:c>
      <x:c r="D14" s="23" t="n">
        <x:v>1017</x:v>
      </x:c>
      <x:c r="E14" s="24" t="n">
        <x:f>IF(C14=0,"",D14/C14)</x:f>
        <x:v>0.014683164171346895</x:v>
      </x:c>
      <x:c r="F14" s="23" t="n">
        <x:v>15358</x:v>
      </x:c>
      <x:c r="G14" s="24" t="n">
        <x:f>IF(C14=0,"",F14/C14)</x:f>
        <x:v>0.22173454802708517</x:v>
      </x:c>
      <x:c r="H14" s="23" t="n">
        <x:v>52888</x:v>
      </x:c>
      <x:c r="I14" s="24" t="n">
        <x:f>IF(C14=0,"",H14/C14)</x:f>
        <x:v>0.7635822878015679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5" t="str">
        <x:v>9月</x:v>
      </x:c>
      <x:c r="B15" s="25" t="str">
        <x:v>新北市</x:v>
      </x:c>
      <x:c r="C15" s="23" t="n">
        <x:v>78327</x:v>
      </x:c>
      <x:c r="D15" s="23" t="n">
        <x:v>1350</x:v>
      </x:c>
      <x:c r="E15" s="24" t="n">
        <x:f>IF(C15=0,"",D15/C15)</x:f>
        <x:v>0.01723543605653223</x:v>
      </x:c>
      <x:c r="F15" s="23" t="n">
        <x:v>47119</x:v>
      </x:c>
      <x:c r="G15" s="24" t="n">
        <x:f>IF(C15=0,"",F15/C15)</x:f>
        <x:v>0.6015677863316609</x:v>
      </x:c>
      <x:c r="H15" s="23" t="n">
        <x:v>29858</x:v>
      </x:c>
      <x:c r="I15" s="24" t="n">
        <x:f>IF(C15=0,"",H15/C15)</x:f>
        <x:v>0.3811967776118069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5" t="str">
        <x:v>10月</x:v>
      </x:c>
      <x:c r="B16" s="25" t="str">
        <x:v>台北市</x:v>
      </x:c>
      <x:c r="C16" s="23" t="n">
        <x:v>52580</x:v>
      </x:c>
      <x:c r="D16" s="23" t="n">
        <x:v>574</x:v>
      </x:c>
      <x:c r="E16" s="24" t="n">
        <x:f>IF(C16=0,"",D16/C16)</x:f>
        <x:v>0.010916698364397109</x:v>
      </x:c>
      <x:c r="F16" s="23" t="n">
        <x:v>12004</x:v>
      </x:c>
      <x:c r="G16" s="24" t="n">
        <x:f>IF(C16=0,"",F16/C16)</x:f>
        <x:v>0.2282997337390643</x:v>
      </x:c>
      <x:c r="H16" s="23" t="n">
        <x:v>40002</x:v>
      </x:c>
      <x:c r="I16" s="24" t="n">
        <x:f>IF(C16=0,"",H16/C16)</x:f>
        <x:v>0.7607835678965386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5" t="str">
        <x:v>10月</x:v>
      </x:c>
      <x:c r="B17" s="25" t="str">
        <x:v>新北市</x:v>
      </x:c>
      <x:c r="C17" s="23" t="n">
        <x:v>59530</x:v>
      </x:c>
      <x:c r="D17" s="23" t="n">
        <x:v>770</x:v>
      </x:c>
      <x:c r="E17" s="24" t="n">
        <x:f>IF(C17=0,"",D17/C17)</x:f>
        <x:v>0.012934654795901225</x:v>
      </x:c>
      <x:c r="F17" s="23" t="n">
        <x:v>35820</x:v>
      </x:c>
      <x:c r="G17" s="24" t="n">
        <x:f>IF(C17=0,"",F17/C17)</x:f>
        <x:v>0.6017134218041323</x:v>
      </x:c>
      <x:c r="H17" s="23" t="n">
        <x:v>22940</x:v>
      </x:c>
      <x:c r="I17" s="24" t="n">
        <x:f>IF(C17=0,"",H17/C17)</x:f>
        <x:v>0.3853519233999664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customHeight="1">
      <x:c r="A21" s="11" t="str">
        <x:v>任務狀態勾稽</x:v>
      </x:c>
      <x:c r="B21" s="12" t="str">
        <x:v>任務狀態勾稽</x:v>
      </x:c>
      <x:c r="C21" s="12" t="str">
        <x:v>任務狀態勾稽</x:v>
      </x:c>
      <x:c r="D21" s="12" t="str">
        <x:v>任務狀態勾稽</x:v>
      </x:c>
      <x:c r="E21" s="13" t="str">
        <x:v>任務狀態勾稽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0" customHeight="1">
      <x:c r="A22" s="18" t="str">
        <x:v>期間</x:v>
      </x:c>
      <x:c r="B22" s="18" t="str">
        <x:v>完成</x:v>
      </x:c>
      <x:c r="C22" s="18" t="str">
        <x:v>中止</x:v>
      </x:c>
      <x:c r="D22" s="18" t="str">
        <x:v>合計</x:v>
      </x:c>
      <x:c r="E22" s="18" t="str">
        <x:v>完成率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1" t="str">
        <x:v>9月</x:v>
      </x:c>
      <x:c r="B23" s="23" t="n">
        <x:v>143437</x:v>
      </x:c>
      <x:c r="C23" s="23" t="n">
        <x:v>4153</x:v>
      </x:c>
      <x:c r="D23" s="23" t="n">
        <x:f>SUM(B23:C23)</x:f>
        <x:v>147590</x:v>
      </x:c>
      <x:c r="E23" s="24" t="n">
        <x:f>IF(D23=0,"",B23/D23)</x:f>
        <x:v>0.9718612372111932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1" t="str">
        <x:v>10月</x:v>
      </x:c>
      <x:c r="B24" s="23" t="n">
        <x:v>108895</x:v>
      </x:c>
      <x:c r="C24" s="23" t="n">
        <x:v>3215</x:v>
      </x:c>
      <x:c r="D24" s="23" t="n">
        <x:f>SUM(B24:C24)</x:f>
        <x:v>112110</x:v>
      </x:c>
      <x:c r="E24" s="24" t="n">
        <x:f>IF(D24=0,"",B24/D24)</x:f>
        <x:v>0.9713228079564713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33" t="str">
        <x:v>重點</x:v>
      </x:c>
      <x:c r="B27" s="33"/>
      <x:c r="C27" s="33"/>
      <x:c r="D27" s="33"/>
      <x:c r="E27" s="33"/>
      <x:c r="F27" s="33"/>
      <x:c r="G27" s="33"/>
      <x:c r="H27" s="33"/>
      <x:c r="I27" s="33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2" customHeight="1">
      <x:c r="A28" s="1" t="str">
        <x:v>9–10月共 259,700 次任務；場站地圖占 56.1%，場站資訊占 42.5%。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2" customHeight="1">
      <x:c r="A29" s="1" t="str">
        <x:v>推薦場站占 1.4%；9月 1.6%，10月 1.2%。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2" customHeight="1">
      <x:c r="A30" s="1" t="str">
        <x:v>完成任務占 97.2%。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I3"/>
    <x:mergeCell ref="A5:I5"/>
    <x:mergeCell ref="A12:I12"/>
    <x:mergeCell ref="A21:E21"/>
    <x:mergeCell ref="A27:I27"/>
    <x:mergeCell ref="A28:I28"/>
    <x:mergeCell ref="A29:I29"/>
    <x:mergeCell ref="A30:I30"/>
  </x:mergeCells>
  <x:pageMargins left="0.7" right="0.7" top="0.75" bottom="0.75" header="0.3" footer="0.3"/>
  <x:drawing xmlns:r="http://schemas.openxmlformats.org/officeDocument/2006/relationships" r:id="R11e1f989bf7d421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4" hidden="0" customWidth="1"/>
    <x:col min="9" max="9" width="15" hidden="0" customWidth="1"/>
    <x:col min="10" max="10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各責任區任務來源次數與比例</x:v>
      </x:c>
      <x:c r="B2" s="4"/>
      <x:c r="C2" s="4"/>
      <x:c r="D2" s="4"/>
      <x:c r="E2" s="4"/>
      <x:c r="F2" s="4"/>
      <x:c r="G2" s="4"/>
      <x:c r="H2" s="4"/>
      <x:c r="I2" s="4"/>
      <x:c r="J2" s="4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比例分母為同期間、同城市、同責任區的任務總次數</x:v>
      </x:c>
      <x:c r="B3" s="5"/>
      <x:c r="C3" s="5"/>
      <x:c r="D3" s="5"/>
      <x:c r="E3" s="5"/>
      <x:c r="F3" s="5"/>
      <x:c r="G3" s="5"/>
      <x:c r="H3" s="5"/>
      <x:c r="I3" s="5"/>
      <x:c r="J3" s="5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8" t="str">
        <x:v>期間</x:v>
      </x:c>
      <x:c r="B5" s="18" t="str">
        <x:v>城市</x:v>
      </x:c>
      <x:c r="C5" s="18" t="str">
        <x:v>責任區</x:v>
      </x:c>
      <x:c r="D5" s="18" t="str">
        <x:v>任務總次數</x:v>
      </x:c>
      <x:c r="E5" s="18" t="str">
        <x:v>推薦場站次數</x:v>
      </x:c>
      <x:c r="F5" s="18" t="str">
        <x:v>推薦場站比例</x:v>
      </x:c>
      <x:c r="G5" s="18" t="str">
        <x:v>場站資訊次數</x:v>
      </x:c>
      <x:c r="H5" s="18" t="str">
        <x:v>場站資訊比例</x:v>
      </x:c>
      <x:c r="I5" s="18" t="str">
        <x:v>場站地圖次數</x:v>
      </x:c>
      <x:c r="J5" s="18" t="str">
        <x:v>場站地圖比例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9–10月</x:v>
      </x:c>
      <x:c r="B6" s="25" t="str">
        <x:v>台北市</x:v>
      </x:c>
      <x:c r="C6" s="25" t="str">
        <x:v>ZA1</x:v>
      </x:c>
      <x:c r="D6" s="34" t="n">
        <x:v>8520</x:v>
      </x:c>
      <x:c r="E6" s="34" t="n">
        <x:v>414</x:v>
      </x:c>
      <x:c r="F6" s="35" t="n">
        <x:f>IF(D6=0,"",E6/D6)</x:f>
        <x:v>0.048591549295774646</x:v>
      </x:c>
      <x:c r="G6" s="34" t="n">
        <x:v>2004</x:v>
      </x:c>
      <x:c r="H6" s="35" t="n">
        <x:f>IF(D6=0,"",G6/D6)</x:f>
        <x:v>0.2352112676056338</x:v>
      </x:c>
      <x:c r="I6" s="34" t="n">
        <x:v>6102</x:v>
      </x:c>
      <x:c r="J6" s="35" t="n">
        <x:f>IF(D6=0,"",I6/D6)</x:f>
        <x:v>0.7161971830985916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9–10月</x:v>
      </x:c>
      <x:c r="B7" s="20" t="str">
        <x:v>台北市</x:v>
      </x:c>
      <x:c r="C7" s="20" t="str">
        <x:v>ZH2</x:v>
      </x:c>
      <x:c r="D7" s="23" t="n">
        <x:v>7735</x:v>
      </x:c>
      <x:c r="E7" s="23" t="n">
        <x:v>36</x:v>
      </x:c>
      <x:c r="F7" s="24" t="n">
        <x:f>IF(D7=0,"",E7/D7)</x:f>
        <x:v>0.004654169360051713</x:v>
      </x:c>
      <x:c r="G7" s="23" t="n">
        <x:v>259</x:v>
      </x:c>
      <x:c r="H7" s="24" t="n">
        <x:f>IF(D7=0,"",G7/D7)</x:f>
        <x:v>0.0334841628959276</x:v>
      </x:c>
      <x:c r="I7" s="23" t="n">
        <x:v>7440</x:v>
      </x:c>
      <x:c r="J7" s="24" t="n">
        <x:f>IF(D7=0,"",I7/D7)</x:f>
        <x:v>0.9618616677440207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9–10月</x:v>
      </x:c>
      <x:c r="B8" s="25" t="str">
        <x:v>台北市</x:v>
      </x:c>
      <x:c r="C8" s="25" t="str">
        <x:v>ZB2</x:v>
      </x:c>
      <x:c r="D8" s="34" t="n">
        <x:v>7614</x:v>
      </x:c>
      <x:c r="E8" s="34" t="n">
        <x:v>224</x:v>
      </x:c>
      <x:c r="F8" s="35" t="n">
        <x:f>IF(D8=0,"",E8/D8)</x:f>
        <x:v>0.029419490412398212</x:v>
      </x:c>
      <x:c r="G8" s="34" t="n">
        <x:v>2875</x:v>
      </x:c>
      <x:c r="H8" s="35" t="n">
        <x:f>IF(D8=0,"",G8/D8)</x:f>
        <x:v>0.3775939059627003</x:v>
      </x:c>
      <x:c r="I8" s="34" t="n">
        <x:v>4515</x:v>
      </x:c>
      <x:c r="J8" s="35" t="n">
        <x:f>IF(D8=0,"",I8/D8)</x:f>
        <x:v>0.5929866036249015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 t="str">
        <x:v>9–10月</x:v>
      </x:c>
      <x:c r="B9" s="20" t="str">
        <x:v>台北市</x:v>
      </x:c>
      <x:c r="C9" s="20" t="str">
        <x:v>ZA2</x:v>
      </x:c>
      <x:c r="D9" s="23" t="n">
        <x:v>7483</x:v>
      </x:c>
      <x:c r="E9" s="23" t="n">
        <x:v>0</x:v>
      </x:c>
      <x:c r="F9" s="24" t="n">
        <x:f>IF(D9=0,"",E9/D9)</x:f>
        <x:v>0</x:v>
      </x:c>
      <x:c r="G9" s="23" t="n">
        <x:v>828</x:v>
      </x:c>
      <x:c r="H9" s="24" t="n">
        <x:f>IF(D9=0,"",G9/D9)</x:f>
        <x:v>0.110650808499265</x:v>
      </x:c>
      <x:c r="I9" s="23" t="n">
        <x:v>6655</x:v>
      </x:c>
      <x:c r="J9" s="24" t="n">
        <x:f>IF(D9=0,"",I9/D9)</x:f>
        <x:v>0.889349191500735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5" t="str">
        <x:v>9–10月</x:v>
      </x:c>
      <x:c r="B10" s="25" t="str">
        <x:v>台北市</x:v>
      </x:c>
      <x:c r="C10" s="25" t="str">
        <x:v>ZU</x:v>
      </x:c>
      <x:c r="D10" s="34" t="n">
        <x:v>7441</x:v>
      </x:c>
      <x:c r="E10" s="34" t="n">
        <x:v>51</x:v>
      </x:c>
      <x:c r="F10" s="35" t="n">
        <x:f>IF(D10=0,"",E10/D10)</x:f>
        <x:v>0.006853917484209111</x:v>
      </x:c>
      <x:c r="G10" s="34" t="n">
        <x:v>1940</x:v>
      </x:c>
      <x:c r="H10" s="35" t="n">
        <x:f>IF(D10=0,"",G10/D10)</x:f>
        <x:v>0.2607176454777584</x:v>
      </x:c>
      <x:c r="I10" s="34" t="n">
        <x:v>5450</x:v>
      </x:c>
      <x:c r="J10" s="35" t="n">
        <x:f>IF(D10=0,"",I10/D10)</x:f>
        <x:v>0.7324284370380325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0" t="str">
        <x:v>9–10月</x:v>
      </x:c>
      <x:c r="B11" s="20" t="str">
        <x:v>台北市</x:v>
      </x:c>
      <x:c r="C11" s="20" t="str">
        <x:v>ZD1</x:v>
      </x:c>
      <x:c r="D11" s="23" t="n">
        <x:v>6388</x:v>
      </x:c>
      <x:c r="E11" s="23" t="n">
        <x:v>23</x:v>
      </x:c>
      <x:c r="F11" s="24" t="n">
        <x:f>IF(D11=0,"",E11/D11)</x:f>
        <x:v>0.0036005009392611146</x:v>
      </x:c>
      <x:c r="G11" s="23" t="n">
        <x:v>852</x:v>
      </x:c>
      <x:c r="H11" s="24" t="n">
        <x:f>IF(D11=0,"",G11/D11)</x:f>
        <x:v>0.13337507827175954</x:v>
      </x:c>
      <x:c r="I11" s="23" t="n">
        <x:v>5513</x:v>
      </x:c>
      <x:c r="J11" s="24" t="n">
        <x:f>IF(D11=0,"",I11/D11)</x:f>
        <x:v>0.8630244207889793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5" t="str">
        <x:v>9–10月</x:v>
      </x:c>
      <x:c r="B12" s="25" t="str">
        <x:v>台北市</x:v>
      </x:c>
      <x:c r="C12" s="25" t="str">
        <x:v>ZH1</x:v>
      </x:c>
      <x:c r="D12" s="34" t="n">
        <x:v>6152</x:v>
      </x:c>
      <x:c r="E12" s="34" t="n">
        <x:v>20</x:v>
      </x:c>
      <x:c r="F12" s="35" t="n">
        <x:f>IF(D12=0,"",E12/D12)</x:f>
        <x:v>0.003250975292587776</x:v>
      </x:c>
      <x:c r="G12" s="34" t="n">
        <x:v>358</x:v>
      </x:c>
      <x:c r="H12" s="35" t="n">
        <x:f>IF(D12=0,"",G12/D12)</x:f>
        <x:v>0.05819245773732119</x:v>
      </x:c>
      <x:c r="I12" s="34" t="n">
        <x:v>5774</x:v>
      </x:c>
      <x:c r="J12" s="35" t="n">
        <x:f>IF(D12=0,"",I12/D12)</x:f>
        <x:v>0.938556566970091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0" t="str">
        <x:v>9–10月</x:v>
      </x:c>
      <x:c r="B13" s="20" t="str">
        <x:v>台北市</x:v>
      </x:c>
      <x:c r="C13" s="20" t="str">
        <x:v>ZE1</x:v>
      </x:c>
      <x:c r="D13" s="23" t="n">
        <x:v>5191</x:v>
      </x:c>
      <x:c r="E13" s="23" t="n">
        <x:v>50</x:v>
      </x:c>
      <x:c r="F13" s="24" t="n">
        <x:f>IF(D13=0,"",E13/D13)</x:f>
        <x:v>0.009632055480639569</x:v>
      </x:c>
      <x:c r="G13" s="23" t="n">
        <x:v>1519</x:v>
      </x:c>
      <x:c r="H13" s="24" t="n">
        <x:f>IF(D13=0,"",G13/D13)</x:f>
        <x:v>0.29262184550183007</x:v>
      </x:c>
      <x:c r="I13" s="23" t="n">
        <x:v>3622</x:v>
      </x:c>
      <x:c r="J13" s="24" t="n">
        <x:f>IF(D13=0,"",I13/D13)</x:f>
        <x:v>0.6977460990175304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5" t="str">
        <x:v>9–10月</x:v>
      </x:c>
      <x:c r="B14" s="25" t="str">
        <x:v>台北市</x:v>
      </x:c>
      <x:c r="C14" s="25" t="str">
        <x:v>ZN2</x:v>
      </x:c>
      <x:c r="D14" s="34" t="n">
        <x:v>4996</x:v>
      </x:c>
      <x:c r="E14" s="34" t="n">
        <x:v>26</x:v>
      </x:c>
      <x:c r="F14" s="35" t="n">
        <x:f>IF(D14=0,"",E14/D14)</x:f>
        <x:v>0.005204163330664532</x:v>
      </x:c>
      <x:c r="G14" s="34" t="n">
        <x:v>813</x:v>
      </x:c>
      <x:c r="H14" s="35" t="n">
        <x:f>IF(D14=0,"",G14/D14)</x:f>
        <x:v>0.16273018414731785</x:v>
      </x:c>
      <x:c r="I14" s="34" t="n">
        <x:v>4157</x:v>
      </x:c>
      <x:c r="J14" s="35" t="n">
        <x:f>IF(D14=0,"",I14/D14)</x:f>
        <x:v>0.8320656525220176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0" t="str">
        <x:v>9–10月</x:v>
      </x:c>
      <x:c r="B15" s="20" t="str">
        <x:v>台北市</x:v>
      </x:c>
      <x:c r="C15" s="20" t="str">
        <x:v>ZN1</x:v>
      </x:c>
      <x:c r="D15" s="23" t="n">
        <x:v>4867</x:v>
      </x:c>
      <x:c r="E15" s="23" t="n">
        <x:v>18</x:v>
      </x:c>
      <x:c r="F15" s="24" t="n">
        <x:f>IF(D15=0,"",E15/D15)</x:f>
        <x:v>0.0036983768235052394</x:v>
      </x:c>
      <x:c r="G15" s="23" t="n">
        <x:v>802</x:v>
      </x:c>
      <x:c r="H15" s="24" t="n">
        <x:f>IF(D15=0,"",G15/D15)</x:f>
        <x:v>0.16478323402506678</x:v>
      </x:c>
      <x:c r="I15" s="23" t="n">
        <x:v>4047</x:v>
      </x:c>
      <x:c r="J15" s="24" t="n">
        <x:f>IF(D15=0,"",I15/D15)</x:f>
        <x:v>0.831518389151428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5" t="str">
        <x:v>9–10月</x:v>
      </x:c>
      <x:c r="B16" s="25" t="str">
        <x:v>台北市</x:v>
      </x:c>
      <x:c r="C16" s="25" t="str">
        <x:v>ZP1</x:v>
      </x:c>
      <x:c r="D16" s="34" t="n">
        <x:v>4592</x:v>
      </x:c>
      <x:c r="E16" s="34" t="n">
        <x:v>22</x:v>
      </x:c>
      <x:c r="F16" s="35" t="n">
        <x:f>IF(D16=0,"",E16/D16)</x:f>
        <x:v>0.004790940766550522</x:v>
      </x:c>
      <x:c r="G16" s="34" t="n">
        <x:v>1717</x:v>
      </x:c>
      <x:c r="H16" s="35" t="n">
        <x:f>IF(D16=0,"",G16/D16)</x:f>
        <x:v>0.373911149825784</x:v>
      </x:c>
      <x:c r="I16" s="34" t="n">
        <x:v>2853</x:v>
      </x:c>
      <x:c r="J16" s="35" t="n">
        <x:f>IF(D16=0,"",I16/D16)</x:f>
        <x:v>0.6212979094076655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0" t="str">
        <x:v>9–10月</x:v>
      </x:c>
      <x:c r="B17" s="20" t="str">
        <x:v>台北市</x:v>
      </x:c>
      <x:c r="C17" s="20" t="str">
        <x:v>ZI2</x:v>
      </x:c>
      <x:c r="D17" s="23" t="n">
        <x:v>4296</x:v>
      </x:c>
      <x:c r="E17" s="23" t="n">
        <x:v>44</x:v>
      </x:c>
      <x:c r="F17" s="24" t="n">
        <x:f>IF(D17=0,"",E17/D17)</x:f>
        <x:v>0.010242085661080074</x:v>
      </x:c>
      <x:c r="G17" s="23" t="n">
        <x:v>2324</x:v>
      </x:c>
      <x:c r="H17" s="24" t="n">
        <x:f>IF(D17=0,"",G17/D17)</x:f>
        <x:v>0.5409683426443203</x:v>
      </x:c>
      <x:c r="I17" s="23" t="n">
        <x:v>1928</x:v>
      </x:c>
      <x:c r="J17" s="24" t="n">
        <x:f>IF(D17=0,"",I17/D17)</x:f>
        <x:v>0.44878957169459965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5" t="str">
        <x:v>9–10月</x:v>
      </x:c>
      <x:c r="B18" s="25" t="str">
        <x:v>台北市</x:v>
      </x:c>
      <x:c r="C18" s="25" t="str">
        <x:v>ZD2</x:v>
      </x:c>
      <x:c r="D18" s="34" t="n">
        <x:v>4047</x:v>
      </x:c>
      <x:c r="E18" s="34" t="n">
        <x:v>30</x:v>
      </x:c>
      <x:c r="F18" s="35" t="n">
        <x:f>IF(D18=0,"",E18/D18)</x:f>
        <x:v>0.007412898443291327</x:v>
      </x:c>
      <x:c r="G18" s="34" t="n">
        <x:v>860</x:v>
      </x:c>
      <x:c r="H18" s="35" t="n">
        <x:f>IF(D18=0,"",G18/D18)</x:f>
        <x:v>0.2125030887076847</x:v>
      </x:c>
      <x:c r="I18" s="34" t="n">
        <x:v>3157</x:v>
      </x:c>
      <x:c r="J18" s="35" t="n">
        <x:f>IF(D18=0,"",I18/D18)</x:f>
        <x:v>0.780084012849024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0" t="str">
        <x:v>9–10月</x:v>
      </x:c>
      <x:c r="B19" s="20" t="str">
        <x:v>台北市</x:v>
      </x:c>
      <x:c r="C19" s="20" t="str">
        <x:v>ZB3</x:v>
      </x:c>
      <x:c r="D19" s="23" t="n">
        <x:v>3900</x:v>
      </x:c>
      <x:c r="E19" s="23" t="n">
        <x:v>151</x:v>
      </x:c>
      <x:c r="F19" s="24" t="n">
        <x:f>IF(D19=0,"",E19/D19)</x:f>
        <x:v>0.038717948717948716</x:v>
      </x:c>
      <x:c r="G19" s="23" t="n">
        <x:v>1932</x:v>
      </x:c>
      <x:c r="H19" s="24" t="n">
        <x:f>IF(D19=0,"",G19/D19)</x:f>
        <x:v>0.49538461538461537</x:v>
      </x:c>
      <x:c r="I19" s="23" t="n">
        <x:v>1817</x:v>
      </x:c>
      <x:c r="J19" s="24" t="n">
        <x:f>IF(D19=0,"",I19/D19)</x:f>
        <x:v>0.4658974358974359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5" t="str">
        <x:v>9–10月</x:v>
      </x:c>
      <x:c r="B20" s="25" t="str">
        <x:v>台北市</x:v>
      </x:c>
      <x:c r="C20" s="25" t="str">
        <x:v>ZC1</x:v>
      </x:c>
      <x:c r="D20" s="34" t="n">
        <x:v>3880</x:v>
      </x:c>
      <x:c r="E20" s="34" t="n">
        <x:v>10</x:v>
      </x:c>
      <x:c r="F20" s="35" t="n">
        <x:f>IF(D20=0,"",E20/D20)</x:f>
        <x:v>0.002577319587628866</x:v>
      </x:c>
      <x:c r="G20" s="34" t="n">
        <x:v>205</x:v>
      </x:c>
      <x:c r="H20" s="35" t="n">
        <x:f>IF(D20=0,"",G20/D20)</x:f>
        <x:v>0.05283505154639175</x:v>
      </x:c>
      <x:c r="I20" s="34" t="n">
        <x:v>3665</x:v>
      </x:c>
      <x:c r="J20" s="35" t="n">
        <x:f>IF(D20=0,"",I20/D20)</x:f>
        <x:v>0.9445876288659794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0" t="str">
        <x:v>9–10月</x:v>
      </x:c>
      <x:c r="B21" s="20" t="str">
        <x:v>台北市</x:v>
      </x:c>
      <x:c r="C21" s="20" t="str">
        <x:v>ZJ1</x:v>
      </x:c>
      <x:c r="D21" s="23" t="n">
        <x:v>3747</x:v>
      </x:c>
      <x:c r="E21" s="23" t="n">
        <x:v>23</x:v>
      </x:c>
      <x:c r="F21" s="24" t="n">
        <x:f>IF(D21=0,"",E21/D21)</x:f>
        <x:v>0.006138243928476114</x:v>
      </x:c>
      <x:c r="G21" s="23" t="n">
        <x:v>340</x:v>
      </x:c>
      <x:c r="H21" s="24" t="n">
        <x:f>IF(D21=0,"",G21/D21)</x:f>
        <x:v>0.09073925807312516</x:v>
      </x:c>
      <x:c r="I21" s="23" t="n">
        <x:v>3384</x:v>
      </x:c>
      <x:c r="J21" s="24" t="n">
        <x:f>IF(D21=0,"",I21/D21)</x:f>
        <x:v>0.9031224979983987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5" t="str">
        <x:v>9–10月</x:v>
      </x:c>
      <x:c r="B22" s="25" t="str">
        <x:v>台北市</x:v>
      </x:c>
      <x:c r="C22" s="25" t="str">
        <x:v>ZI1</x:v>
      </x:c>
      <x:c r="D22" s="34" t="n">
        <x:v>3702</x:v>
      </x:c>
      <x:c r="E22" s="34" t="n">
        <x:v>25</x:v>
      </x:c>
      <x:c r="F22" s="35" t="n">
        <x:f>IF(D22=0,"",E22/D22)</x:f>
        <x:v>0.00675310642895732</x:v>
      </x:c>
      <x:c r="G22" s="34" t="n">
        <x:v>1358</x:v>
      </x:c>
      <x:c r="H22" s="35" t="n">
        <x:f>IF(D22=0,"",G22/D22)</x:f>
        <x:v>0.36682874122096165</x:v>
      </x:c>
      <x:c r="I22" s="34" t="n">
        <x:v>2319</x:v>
      </x:c>
      <x:c r="J22" s="35" t="n">
        <x:f>IF(D22=0,"",I22/D22)</x:f>
        <x:v>0.626418152350081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0" t="str">
        <x:v>9–10月</x:v>
      </x:c>
      <x:c r="B23" s="20" t="str">
        <x:v>台北市</x:v>
      </x:c>
      <x:c r="C23" s="20" t="str">
        <x:v>ZB1</x:v>
      </x:c>
      <x:c r="D23" s="23" t="n">
        <x:v>3685</x:v>
      </x:c>
      <x:c r="E23" s="23" t="n">
        <x:v>56</x:v>
      </x:c>
      <x:c r="F23" s="24" t="n">
        <x:f>IF(D23=0,"",E23/D23)</x:f>
        <x:v>0.01519674355495251</x:v>
      </x:c>
      <x:c r="G23" s="23" t="n">
        <x:v>818</x:v>
      </x:c>
      <x:c r="H23" s="24" t="n">
        <x:f>IF(D23=0,"",G23/D23)</x:f>
        <x:v>0.22198100407055632</x:v>
      </x:c>
      <x:c r="I23" s="23" t="n">
        <x:v>2811</x:v>
      </x:c>
      <x:c r="J23" s="24" t="n">
        <x:f>IF(D23=0,"",I23/D23)</x:f>
        <x:v>0.7628222523744912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5" t="str">
        <x:v>9–10月</x:v>
      </x:c>
      <x:c r="B24" s="25" t="str">
        <x:v>台北市</x:v>
      </x:c>
      <x:c r="C24" s="25" t="str">
        <x:v>ZN3</x:v>
      </x:c>
      <x:c r="D24" s="34" t="n">
        <x:v>3520</x:v>
      </x:c>
      <x:c r="E24" s="34" t="n">
        <x:v>7</x:v>
      </x:c>
      <x:c r="F24" s="35" t="n">
        <x:f>IF(D24=0,"",E24/D24)</x:f>
        <x:v>0.0019886363636363634</x:v>
      </x:c>
      <x:c r="G24" s="34" t="n">
        <x:v>448</x:v>
      </x:c>
      <x:c r="H24" s="35" t="n">
        <x:f>IF(D24=0,"",G24/D24)</x:f>
        <x:v>0.12727272727272726</x:v>
      </x:c>
      <x:c r="I24" s="34" t="n">
        <x:v>3065</x:v>
      </x:c>
      <x:c r="J24" s="35" t="n">
        <x:f>IF(D24=0,"",I24/D24)</x:f>
        <x:v>0.8707386363636364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0" t="str">
        <x:v>9–10月</x:v>
      </x:c>
      <x:c r="B25" s="20" t="str">
        <x:v>台北市</x:v>
      </x:c>
      <x:c r="C25" s="20" t="str">
        <x:v>ZD3</x:v>
      </x:c>
      <x:c r="D25" s="23" t="n">
        <x:v>3354</x:v>
      </x:c>
      <x:c r="E25" s="23" t="n">
        <x:v>132</x:v>
      </x:c>
      <x:c r="F25" s="24" t="n">
        <x:f>IF(D25=0,"",E25/D25)</x:f>
        <x:v>0.03935599284436494</x:v>
      </x:c>
      <x:c r="G25" s="23" t="n">
        <x:v>373</x:v>
      </x:c>
      <x:c r="H25" s="24" t="n">
        <x:f>IF(D25=0,"",G25/D25)</x:f>
        <x:v>0.11121049493142517</x:v>
      </x:c>
      <x:c r="I25" s="23" t="n">
        <x:v>2849</x:v>
      </x:c>
      <x:c r="J25" s="24" t="n">
        <x:f>IF(D25=0,"",I25/D25)</x:f>
        <x:v>0.8494335122242099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5" t="str">
        <x:v>9–10月</x:v>
      </x:c>
      <x:c r="B26" s="25" t="str">
        <x:v>台北市</x:v>
      </x:c>
      <x:c r="C26" s="25" t="str">
        <x:v>ZI3</x:v>
      </x:c>
      <x:c r="D26" s="34" t="n">
        <x:v>3282</x:v>
      </x:c>
      <x:c r="E26" s="34" t="n">
        <x:v>98</x:v>
      </x:c>
      <x:c r="F26" s="35" t="n">
        <x:f>IF(D26=0,"",E26/D26)</x:f>
        <x:v>0.029859841560024376</x:v>
      </x:c>
      <x:c r="G26" s="34" t="n">
        <x:v>1679</x:v>
      </x:c>
      <x:c r="H26" s="35" t="n">
        <x:f>IF(D26=0,"",G26/D26)</x:f>
        <x:v>0.5115783059110298</x:v>
      </x:c>
      <x:c r="I26" s="34" t="n">
        <x:v>1505</x:v>
      </x:c>
      <x:c r="J26" s="35" t="n">
        <x:f>IF(D26=0,"",I26/D26)</x:f>
        <x:v>0.45856185252894577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0" t="str">
        <x:v>9–10月</x:v>
      </x:c>
      <x:c r="B27" s="20" t="str">
        <x:v>台北市</x:v>
      </x:c>
      <x:c r="C27" s="20" t="str">
        <x:v>ZJ2</x:v>
      </x:c>
      <x:c r="D27" s="23" t="n">
        <x:v>3263</x:v>
      </x:c>
      <x:c r="E27" s="23" t="n">
        <x:v>14</x:v>
      </x:c>
      <x:c r="F27" s="24" t="n">
        <x:f>IF(D27=0,"",E27/D27)</x:f>
        <x:v>0.004290530186944529</x:v>
      </x:c>
      <x:c r="G27" s="23" t="n">
        <x:v>436</x:v>
      </x:c>
      <x:c r="H27" s="24" t="n">
        <x:f>IF(D27=0,"",G27/D27)</x:f>
        <x:v>0.13361936867912963</x:v>
      </x:c>
      <x:c r="I27" s="23" t="n">
        <x:v>2813</x:v>
      </x:c>
      <x:c r="J27" s="24" t="n">
        <x:f>IF(D27=0,"",I27/D27)</x:f>
        <x:v>0.8620901011339258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5" t="str">
        <x:v>9–10月</x:v>
      </x:c>
      <x:c r="B28" s="25" t="str">
        <x:v>台北市</x:v>
      </x:c>
      <x:c r="C28" s="25" t="str">
        <x:v>ZP2</x:v>
      </x:c>
      <x:c r="D28" s="34" t="n">
        <x:v>2878</x:v>
      </x:c>
      <x:c r="E28" s="34" t="n">
        <x:v>15</x:v>
      </x:c>
      <x:c r="F28" s="35" t="n">
        <x:f>IF(D28=0,"",E28/D28)</x:f>
        <x:v>0.005211952744961779</x:v>
      </x:c>
      <x:c r="G28" s="34" t="n">
        <x:v>324</x:v>
      </x:c>
      <x:c r="H28" s="35" t="n">
        <x:f>IF(D28=0,"",G28/D28)</x:f>
        <x:v>0.11257817929117443</x:v>
      </x:c>
      <x:c r="I28" s="34" t="n">
        <x:v>2539</x:v>
      </x:c>
      <x:c r="J28" s="35" t="n">
        <x:f>IF(D28=0,"",I28/D28)</x:f>
        <x:v>0.8822098679638638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0" t="str">
        <x:v>9–10月</x:v>
      </x:c>
      <x:c r="B29" s="20" t="str">
        <x:v>台北市</x:v>
      </x:c>
      <x:c r="C29" s="20" t="str">
        <x:v>ZC2</x:v>
      </x:c>
      <x:c r="D29" s="23" t="n">
        <x:v>2671</x:v>
      </x:c>
      <x:c r="E29" s="23" t="n">
        <x:v>16</x:v>
      </x:c>
      <x:c r="F29" s="24" t="n">
        <x:f>IF(D29=0,"",E29/D29)</x:f>
        <x:v>0.005990265818045676</x:v>
      </x:c>
      <x:c r="G29" s="23" t="n">
        <x:v>76</x:v>
      </x:c>
      <x:c r="H29" s="24" t="n">
        <x:f>IF(D29=0,"",G29/D29)</x:f>
        <x:v>0.02845376263571696</x:v>
      </x:c>
      <x:c r="I29" s="23" t="n">
        <x:v>2579</x:v>
      </x:c>
      <x:c r="J29" s="24" t="n">
        <x:f>IF(D29=0,"",I29/D29)</x:f>
        <x:v>0.9655559715462374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5" t="str">
        <x:v>9–10月</x:v>
      </x:c>
      <x:c r="B30" s="25" t="str">
        <x:v>台北市</x:v>
      </x:c>
      <x:c r="C30" s="25" t="str">
        <x:v>ZE2</x:v>
      </x:c>
      <x:c r="D30" s="34" t="n">
        <x:v>2659</x:v>
      </x:c>
      <x:c r="E30" s="34" t="n">
        <x:v>17</x:v>
      </x:c>
      <x:c r="F30" s="35" t="n">
        <x:f>IF(D30=0,"",E30/D30)</x:f>
        <x:v>0.006393380970289583</x:v>
      </x:c>
      <x:c r="G30" s="34" t="n">
        <x:v>922</x:v>
      </x:c>
      <x:c r="H30" s="35" t="n">
        <x:f>IF(D30=0,"",G30/D30)</x:f>
        <x:v>0.3467468973298232</x:v>
      </x:c>
      <x:c r="I30" s="34" t="n">
        <x:v>1720</x:v>
      </x:c>
      <x:c r="J30" s="35" t="n">
        <x:f>IF(D30=0,"",I30/D30)</x:f>
        <x:v>0.6468597216998871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0" t="str">
        <x:v>9–10月</x:v>
      </x:c>
      <x:c r="B31" s="20" t="str">
        <x:v>台北市</x:v>
      </x:c>
      <x:c r="C31" s="20" t="str">
        <x:v>ZB4</x:v>
      </x:c>
      <x:c r="D31" s="23" t="n">
        <x:v>1249</x:v>
      </x:c>
      <x:c r="E31" s="23" t="n">
        <x:v>69</x:v>
      </x:c>
      <x:c r="F31" s="24" t="n">
        <x:f>IF(D31=0,"",E31/D31)</x:f>
        <x:v>0.055244195356285025</x:v>
      </x:c>
      <x:c r="G31" s="23" t="n">
        <x:v>569</x:v>
      </x:c>
      <x:c r="H31" s="24" t="n">
        <x:f>IF(D31=0,"",G31/D31)</x:f>
        <x:v>0.455564451561249</x:v>
      </x:c>
      <x:c r="I31" s="23" t="n">
        <x:v>611</x:v>
      </x:c>
      <x:c r="J31" s="24" t="n">
        <x:f>IF(D31=0,"",I31/D31)</x:f>
        <x:v>0.489191353082466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5" t="str">
        <x:v>9–10月</x:v>
      </x:c>
      <x:c r="B32" s="25" t="str">
        <x:v>台北市</x:v>
      </x:c>
      <x:c r="C32" s="25" t="str">
        <x:v>台北維護所</x:v>
      </x:c>
      <x:c r="D32" s="34" t="n">
        <x:v>700</x:v>
      </x:c>
      <x:c r="E32" s="34" t="n">
        <x:v>0</x:v>
      </x:c>
      <x:c r="F32" s="35" t="n">
        <x:f>IF(D32=0,"",E32/D32)</x:f>
        <x:v>0</x:v>
      </x:c>
      <x:c r="G32" s="34" t="n">
        <x:v>700</x:v>
      </x:c>
      <x:c r="H32" s="35" t="n">
        <x:f>IF(D32=0,"",G32/D32)</x:f>
        <x:v>1</x:v>
      </x:c>
      <x:c r="I32" s="34" t="n">
        <x:v>0</x:v>
      </x:c>
      <x:c r="J32" s="35" t="n">
        <x:f>IF(D32=0,"",I32/D32)</x:f>
        <x:v>0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0" t="str">
        <x:v>9–10月</x:v>
      </x:c>
      <x:c r="B33" s="20" t="str">
        <x:v>台北市</x:v>
      </x:c>
      <x:c r="C33" s="20" t="str">
        <x:v>台北市暫停營運專區</x:v>
      </x:c>
      <x:c r="D33" s="23" t="n">
        <x:v>31</x:v>
      </x:c>
      <x:c r="E33" s="23" t="n">
        <x:v>0</x:v>
      </x:c>
      <x:c r="F33" s="24" t="n">
        <x:f>IF(D33=0,"",E33/D33)</x:f>
        <x:v>0</x:v>
      </x:c>
      <x:c r="G33" s="23" t="n">
        <x:v>31</x:v>
      </x:c>
      <x:c r="H33" s="24" t="n">
        <x:f>IF(D33=0,"",G33/D33)</x:f>
        <x:v>1</x:v>
      </x:c>
      <x:c r="I33" s="23" t="n">
        <x:v>0</x:v>
      </x:c>
      <x:c r="J33" s="24" t="n">
        <x:f>IF(D33=0,"",I33/D33)</x:f>
        <x:v>0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5" t="str">
        <x:v>9–10月</x:v>
      </x:c>
      <x:c r="B34" s="25" t="str">
        <x:v>新北市</x:v>
      </x:c>
      <x:c r="C34" s="25" t="str">
        <x:v>ZF</x:v>
      </x:c>
      <x:c r="D34" s="34" t="n">
        <x:v>7300</x:v>
      </x:c>
      <x:c r="E34" s="34" t="n">
        <x:v>137</x:v>
      </x:c>
      <x:c r="F34" s="35" t="n">
        <x:f>IF(D34=0,"",E34/D34)</x:f>
        <x:v>0.018767123287671234</x:v>
      </x:c>
      <x:c r="G34" s="34" t="n">
        <x:v>3700</x:v>
      </x:c>
      <x:c r="H34" s="35" t="n">
        <x:f>IF(D34=0,"",G34/D34)</x:f>
        <x:v>0.5068493150684932</x:v>
      </x:c>
      <x:c r="I34" s="34" t="n">
        <x:v>3463</x:v>
      </x:c>
      <x:c r="J34" s="35" t="n">
        <x:f>IF(D34=0,"",I34/D34)</x:f>
        <x:v>0.4743835616438356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0" t="str">
        <x:v>9–10月</x:v>
      </x:c>
      <x:c r="B35" s="20" t="str">
        <x:v>新北市</x:v>
      </x:c>
      <x:c r="C35" s="20" t="str">
        <x:v>ZT2</x:v>
      </x:c>
      <x:c r="D35" s="23" t="n">
        <x:v>7070</x:v>
      </x:c>
      <x:c r="E35" s="23" t="n">
        <x:v>5</x:v>
      </x:c>
      <x:c r="F35" s="24" t="n">
        <x:f>IF(D35=0,"",E35/D35)</x:f>
        <x:v>0.0007072135785007072</x:v>
      </x:c>
      <x:c r="G35" s="23" t="n">
        <x:v>2935</x:v>
      </x:c>
      <x:c r="H35" s="24" t="n">
        <x:f>IF(D35=0,"",G35/D35)</x:f>
        <x:v>0.41513437057991515</x:v>
      </x:c>
      <x:c r="I35" s="23" t="n">
        <x:v>4130</x:v>
      </x:c>
      <x:c r="J35" s="24" t="n">
        <x:f>IF(D35=0,"",I35/D35)</x:f>
        <x:v>0.5841584158415841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5" t="str">
        <x:v>9–10月</x:v>
      </x:c>
      <x:c r="B36" s="25" t="str">
        <x:v>新北市</x:v>
      </x:c>
      <x:c r="C36" s="25" t="str">
        <x:v>ZK4</x:v>
      </x:c>
      <x:c r="D36" s="34" t="n">
        <x:v>7065</x:v>
      </x:c>
      <x:c r="E36" s="34" t="n">
        <x:v>34</x:v>
      </x:c>
      <x:c r="F36" s="35" t="n">
        <x:f>IF(D36=0,"",E36/D36)</x:f>
        <x:v>0.004812455767869781</x:v>
      </x:c>
      <x:c r="G36" s="34" t="n">
        <x:v>1139</x:v>
      </x:c>
      <x:c r="H36" s="35" t="n">
        <x:f>IF(D36=0,"",G36/D36)</x:f>
        <x:v>0.16121726822363766</x:v>
      </x:c>
      <x:c r="I36" s="34" t="n">
        <x:v>5892</x:v>
      </x:c>
      <x:c r="J36" s="35" t="n">
        <x:f>IF(D36=0,"",I36/D36)</x:f>
        <x:v>0.8339702760084926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0" t="str">
        <x:v>9–10月</x:v>
      </x:c>
      <x:c r="B37" s="20" t="str">
        <x:v>新北市</x:v>
      </x:c>
      <x:c r="C37" s="20" t="str">
        <x:v>ZO1</x:v>
      </x:c>
      <x:c r="D37" s="23" t="n">
        <x:v>6925</x:v>
      </x:c>
      <x:c r="E37" s="23" t="n">
        <x:v>38</x:v>
      </x:c>
      <x:c r="F37" s="24" t="n">
        <x:f>IF(D37=0,"",E37/D37)</x:f>
        <x:v>0.005487364620938628</x:v>
      </x:c>
      <x:c r="G37" s="23" t="n">
        <x:v>4195</x:v>
      </x:c>
      <x:c r="H37" s="24" t="n">
        <x:f>IF(D37=0,"",G37/D37)</x:f>
        <x:v>0.6057761732851985</x:v>
      </x:c>
      <x:c r="I37" s="23" t="n">
        <x:v>2692</x:v>
      </x:c>
      <x:c r="J37" s="24" t="n">
        <x:f>IF(D37=0,"",I37/D37)</x:f>
        <x:v>0.3887364620938628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5" t="str">
        <x:v>9–10月</x:v>
      </x:c>
      <x:c r="B38" s="25" t="str">
        <x:v>新北市</x:v>
      </x:c>
      <x:c r="C38" s="25" t="str">
        <x:v>ZO3</x:v>
      </x:c>
      <x:c r="D38" s="34" t="n">
        <x:v>6540</x:v>
      </x:c>
      <x:c r="E38" s="34" t="n">
        <x:v>910</x:v>
      </x:c>
      <x:c r="F38" s="35" t="n">
        <x:f>IF(D38=0,"",E38/D38)</x:f>
        <x:v>0.13914373088685014</x:v>
      </x:c>
      <x:c r="G38" s="34" t="n">
        <x:v>4786</x:v>
      </x:c>
      <x:c r="H38" s="35" t="n">
        <x:f>IF(D38=0,"",G38/D38)</x:f>
        <x:v>0.7318042813455657</x:v>
      </x:c>
      <x:c r="I38" s="34" t="n">
        <x:v>844</x:v>
      </x:c>
      <x:c r="J38" s="35" t="n">
        <x:f>IF(D38=0,"",I38/D38)</x:f>
        <x:v>0.1290519877675841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0" t="str">
        <x:v>9–10月</x:v>
      </x:c>
      <x:c r="B39" s="20" t="str">
        <x:v>新北市</x:v>
      </x:c>
      <x:c r="C39" s="20" t="str">
        <x:v>ZW1</x:v>
      </x:c>
      <x:c r="D39" s="23" t="n">
        <x:v>6116</x:v>
      </x:c>
      <x:c r="E39" s="23" t="n">
        <x:v>10</x:v>
      </x:c>
      <x:c r="F39" s="24" t="n">
        <x:f>IF(D39=0,"",E39/D39)</x:f>
        <x:v>0.0016350555918901242</x:v>
      </x:c>
      <x:c r="G39" s="23" t="n">
        <x:v>3582</x:v>
      </x:c>
      <x:c r="H39" s="24" t="n">
        <x:f>IF(D39=0,"",G39/D39)</x:f>
        <x:v>0.5856769130150425</x:v>
      </x:c>
      <x:c r="I39" s="23" t="n">
        <x:v>2524</x:v>
      </x:c>
      <x:c r="J39" s="24" t="n">
        <x:f>IF(D39=0,"",I39/D39)</x:f>
        <x:v>0.41268803139306737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5" t="str">
        <x:v>9–10月</x:v>
      </x:c>
      <x:c r="B40" s="25" t="str">
        <x:v>新北市</x:v>
      </x:c>
      <x:c r="C40" s="25" t="str">
        <x:v>ZR</x:v>
      </x:c>
      <x:c r="D40" s="34" t="n">
        <x:v>5914</x:v>
      </x:c>
      <x:c r="E40" s="34" t="n">
        <x:v>14</x:v>
      </x:c>
      <x:c r="F40" s="35" t="n">
        <x:f>IF(D40=0,"",E40/D40)</x:f>
        <x:v>0.0023672641190395673</x:v>
      </x:c>
      <x:c r="G40" s="34" t="n">
        <x:v>5084</x:v>
      </x:c>
      <x:c r="H40" s="35" t="n">
        <x:f>IF(D40=0,"",G40/D40)</x:f>
        <x:v>0.8596550557997971</x:v>
      </x:c>
      <x:c r="I40" s="34" t="n">
        <x:v>816</x:v>
      </x:c>
      <x:c r="J40" s="35" t="n">
        <x:f>IF(D40=0,"",I40/D40)</x:f>
        <x:v>0.13797768008116335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0" t="str">
        <x:v>9–10月</x:v>
      </x:c>
      <x:c r="B41" s="20" t="str">
        <x:v>新北市</x:v>
      </x:c>
      <x:c r="C41" s="20" t="str">
        <x:v>ZL3</x:v>
      </x:c>
      <x:c r="D41" s="23" t="n">
        <x:v>5635</x:v>
      </x:c>
      <x:c r="E41" s="23" t="n">
        <x:v>23</x:v>
      </x:c>
      <x:c r="F41" s="24" t="n">
        <x:f>IF(D41=0,"",E41/D41)</x:f>
        <x:v>0.004081632653061225</x:v>
      </x:c>
      <x:c r="G41" s="23" t="n">
        <x:v>2717</x:v>
      </x:c>
      <x:c r="H41" s="24" t="n">
        <x:f>IF(D41=0,"",G41/D41)</x:f>
        <x:v>0.4821650399290151</x:v>
      </x:c>
      <x:c r="I41" s="23" t="n">
        <x:v>2895</x:v>
      </x:c>
      <x:c r="J41" s="24" t="n">
        <x:f>IF(D41=0,"",I41/D41)</x:f>
        <x:v>0.5137533274179237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5" t="str">
        <x:v>9–10月</x:v>
      </x:c>
      <x:c r="B42" s="25" t="str">
        <x:v>新北市</x:v>
      </x:c>
      <x:c r="C42" s="25" t="str">
        <x:v>ZL2</x:v>
      </x:c>
      <x:c r="D42" s="34" t="n">
        <x:v>5595</x:v>
      </x:c>
      <x:c r="E42" s="34" t="n">
        <x:v>5</x:v>
      </x:c>
      <x:c r="F42" s="35" t="n">
        <x:f>IF(D42=0,"",E42/D42)</x:f>
        <x:v>0.0008936550491510277</x:v>
      </x:c>
      <x:c r="G42" s="34" t="n">
        <x:v>970</x:v>
      </x:c>
      <x:c r="H42" s="35" t="n">
        <x:f>IF(D42=0,"",G42/D42)</x:f>
        <x:v>0.17336907953529937</x:v>
      </x:c>
      <x:c r="I42" s="34" t="n">
        <x:v>4620</x:v>
      </x:c>
      <x:c r="J42" s="35" t="n">
        <x:f>IF(D42=0,"",I42/D42)</x:f>
        <x:v>0.8257372654155496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0" t="str">
        <x:v>9–10月</x:v>
      </x:c>
      <x:c r="B43" s="20" t="str">
        <x:v>新北市</x:v>
      </x:c>
      <x:c r="C43" s="20" t="str">
        <x:v>ZL1</x:v>
      </x:c>
      <x:c r="D43" s="23" t="n">
        <x:v>5573</x:v>
      </x:c>
      <x:c r="E43" s="23" t="n">
        <x:v>8</x:v>
      </x:c>
      <x:c r="F43" s="24" t="n">
        <x:f>IF(D43=0,"",E43/D43)</x:f>
        <x:v>0.0014354925533823794</x:v>
      </x:c>
      <x:c r="G43" s="23" t="n">
        <x:v>5339</x:v>
      </x:c>
      <x:c r="H43" s="24" t="n">
        <x:f>IF(D43=0,"",G43/D43)</x:f>
        <x:v>0.9580118428135654</x:v>
      </x:c>
      <x:c r="I43" s="23" t="n">
        <x:v>226</x:v>
      </x:c>
      <x:c r="J43" s="24" t="n">
        <x:f>IF(D43=0,"",I43/D43)</x:f>
        <x:v>0.04055266463305222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5" t="str">
        <x:v>9–10月</x:v>
      </x:c>
      <x:c r="B44" s="25" t="str">
        <x:v>新北市</x:v>
      </x:c>
      <x:c r="C44" s="25" t="str">
        <x:v>ZK2</x:v>
      </x:c>
      <x:c r="D44" s="34" t="n">
        <x:v>5504</x:v>
      </x:c>
      <x:c r="E44" s="34" t="n">
        <x:v>18</x:v>
      </x:c>
      <x:c r="F44" s="35" t="n">
        <x:f>IF(D44=0,"",E44/D44)</x:f>
        <x:v>0.0032703488372093025</x:v>
      </x:c>
      <x:c r="G44" s="34" t="n">
        <x:v>3225</x:v>
      </x:c>
      <x:c r="H44" s="35" t="n">
        <x:f>IF(D44=0,"",G44/D44)</x:f>
        <x:v>0.5859375</x:v>
      </x:c>
      <x:c r="I44" s="34" t="n">
        <x:v>2261</x:v>
      </x:c>
      <x:c r="J44" s="35" t="n">
        <x:f>IF(D44=0,"",I44/D44)</x:f>
        <x:v>0.4107921511627907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0" t="str">
        <x:v>9–10月</x:v>
      </x:c>
      <x:c r="B45" s="20" t="str">
        <x:v>新北市</x:v>
      </x:c>
      <x:c r="C45" s="20" t="str">
        <x:v>ZK3</x:v>
      </x:c>
      <x:c r="D45" s="23" t="n">
        <x:v>5251</x:v>
      </x:c>
      <x:c r="E45" s="23" t="n">
        <x:v>111</x:v>
      </x:c>
      <x:c r="F45" s="24" t="n">
        <x:f>IF(D45=0,"",E45/D45)</x:f>
        <x:v>0.021138830698914493</x:v>
      </x:c>
      <x:c r="G45" s="23" t="n">
        <x:v>4284</x:v>
      </x:c>
      <x:c r="H45" s="24" t="n">
        <x:f>IF(D45=0,"",G45/D45)</x:f>
        <x:v>0.8158446010283755</x:v>
      </x:c>
      <x:c r="I45" s="23" t="n">
        <x:v>856</x:v>
      </x:c>
      <x:c r="J45" s="24" t="n">
        <x:f>IF(D45=0,"",I45/D45)</x:f>
        <x:v>0.16301656827270997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5" t="str">
        <x:v>9–10月</x:v>
      </x:c>
      <x:c r="B46" s="25" t="str">
        <x:v>新北市</x:v>
      </x:c>
      <x:c r="C46" s="25" t="str">
        <x:v>ZO2</x:v>
      </x:c>
      <x:c r="D46" s="34" t="n">
        <x:v>4884</x:v>
      </x:c>
      <x:c r="E46" s="34" t="n">
        <x:v>140</x:v>
      </x:c>
      <x:c r="F46" s="35" t="n">
        <x:f>IF(D46=0,"",E46/D46)</x:f>
        <x:v>0.028665028665028666</x:v>
      </x:c>
      <x:c r="G46" s="34" t="n">
        <x:v>3595</x:v>
      </x:c>
      <x:c r="H46" s="35" t="n">
        <x:f>IF(D46=0,"",G46/D46)</x:f>
        <x:v>0.7360769860769861</x:v>
      </x:c>
      <x:c r="I46" s="34" t="n">
        <x:v>1149</x:v>
      </x:c>
      <x:c r="J46" s="35" t="n">
        <x:f>IF(D46=0,"",I46/D46)</x:f>
        <x:v>0.23525798525798525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0" t="str">
        <x:v>9–10月</x:v>
      </x:c>
      <x:c r="B47" s="20" t="str">
        <x:v>新北市</x:v>
      </x:c>
      <x:c r="C47" s="20" t="str">
        <x:v>ZX1</x:v>
      </x:c>
      <x:c r="D47" s="23" t="n">
        <x:v>4552</x:v>
      </x:c>
      <x:c r="E47" s="23" t="n">
        <x:v>3</x:v>
      </x:c>
      <x:c r="F47" s="24" t="n">
        <x:f>IF(D47=0,"",E47/D47)</x:f>
        <x:v>0.0006590509666080844</x:v>
      </x:c>
      <x:c r="G47" s="23" t="n">
        <x:v>3627</x:v>
      </x:c>
      <x:c r="H47" s="24" t="n">
        <x:f>IF(D47=0,"",G47/D47)</x:f>
        <x:v>0.7967926186291739</x:v>
      </x:c>
      <x:c r="I47" s="23" t="n">
        <x:v>922</x:v>
      </x:c>
      <x:c r="J47" s="24" t="n">
        <x:f>IF(D47=0,"",I47/D47)</x:f>
        <x:v>0.20254833040421794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5" t="str">
        <x:v>9–10月</x:v>
      </x:c>
      <x:c r="B48" s="25" t="str">
        <x:v>新北市</x:v>
      </x:c>
      <x:c r="C48" s="25" t="str">
        <x:v>ZM</x:v>
      </x:c>
      <x:c r="D48" s="34" t="n">
        <x:v>4479</x:v>
      </x:c>
      <x:c r="E48" s="34" t="n">
        <x:v>36</x:v>
      </x:c>
      <x:c r="F48" s="35" t="n">
        <x:f>IF(D48=0,"",E48/D48)</x:f>
        <x:v>0.008037508372404554</x:v>
      </x:c>
      <x:c r="G48" s="34" t="n">
        <x:v>3717</x:v>
      </x:c>
      <x:c r="H48" s="35" t="n">
        <x:f>IF(D48=0,"",G48/D48)</x:f>
        <x:v>0.8298727394507702</x:v>
      </x:c>
      <x:c r="I48" s="34" t="n">
        <x:v>726</x:v>
      </x:c>
      <x:c r="J48" s="35" t="n">
        <x:f>IF(D48=0,"",I48/D48)</x:f>
        <x:v>0.1620897521768252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0" t="str">
        <x:v>9–10月</x:v>
      </x:c>
      <x:c r="B49" s="20" t="str">
        <x:v>新北市</x:v>
      </x:c>
      <x:c r="C49" s="20" t="str">
        <x:v>ZO4</x:v>
      </x:c>
      <x:c r="D49" s="23" t="n">
        <x:v>4273</x:v>
      </x:c>
      <x:c r="E49" s="23" t="n">
        <x:v>304</x:v>
      </x:c>
      <x:c r="F49" s="24" t="n">
        <x:f>IF(D49=0,"",E49/D49)</x:f>
        <x:v>0.07114439503861456</x:v>
      </x:c>
      <x:c r="G49" s="23" t="n">
        <x:v>3276</x:v>
      </x:c>
      <x:c r="H49" s="24" t="n">
        <x:f>IF(D49=0,"",G49/D49)</x:f>
        <x:v>0.7666744675871753</x:v>
      </x:c>
      <x:c r="I49" s="23" t="n">
        <x:v>693</x:v>
      </x:c>
      <x:c r="J49" s="24" t="n">
        <x:f>IF(D49=0,"",I49/D49)</x:f>
        <x:v>0.16218113737421017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5" t="str">
        <x:v>9–10月</x:v>
      </x:c>
      <x:c r="B50" s="25" t="str">
        <x:v>新北市</x:v>
      </x:c>
      <x:c r="C50" s="25" t="str">
        <x:v>ZL4</x:v>
      </x:c>
      <x:c r="D50" s="34" t="n">
        <x:v>4186</x:v>
      </x:c>
      <x:c r="E50" s="34" t="n">
        <x:v>6</x:v>
      </x:c>
      <x:c r="F50" s="35" t="n">
        <x:f>IF(D50=0,"",E50/D50)</x:f>
        <x:v>0.001433349259436216</x:v>
      </x:c>
      <x:c r="G50" s="34" t="n">
        <x:v>3113</x:v>
      </x:c>
      <x:c r="H50" s="35" t="n">
        <x:f>IF(D50=0,"",G50/D50)</x:f>
        <x:v>0.7436693741041567</x:v>
      </x:c>
      <x:c r="I50" s="34" t="n">
        <x:v>1067</x:v>
      </x:c>
      <x:c r="J50" s="35" t="n">
        <x:f>IF(D50=0,"",I50/D50)</x:f>
        <x:v>0.25489727663640704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0" t="str">
        <x:v>9–10月</x:v>
      </x:c>
      <x:c r="B51" s="20" t="str">
        <x:v>新北市</x:v>
      </x:c>
      <x:c r="C51" s="20" t="str">
        <x:v>ZW3</x:v>
      </x:c>
      <x:c r="D51" s="23" t="n">
        <x:v>4093</x:v>
      </x:c>
      <x:c r="E51" s="23" t="n">
        <x:v>29</x:v>
      </x:c>
      <x:c r="F51" s="24" t="n">
        <x:f>IF(D51=0,"",E51/D51)</x:f>
        <x:v>0.0070852675299291476</x:v>
      </x:c>
      <x:c r="G51" s="23" t="n">
        <x:v>3110</x:v>
      </x:c>
      <x:c r="H51" s="24" t="n">
        <x:f>IF(D51=0,"",G51/D51)</x:f>
        <x:v>0.7598338626924016</x:v>
      </x:c>
      <x:c r="I51" s="23" t="n">
        <x:v>954</x:v>
      </x:c>
      <x:c r="J51" s="24" t="n">
        <x:f>IF(D51=0,"",I51/D51)</x:f>
        <x:v>0.2330808697776692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5" t="str">
        <x:v>9–10月</x:v>
      </x:c>
      <x:c r="B52" s="25" t="str">
        <x:v>新北市</x:v>
      </x:c>
      <x:c r="C52" s="25" t="str">
        <x:v>ZG2</x:v>
      </x:c>
      <x:c r="D52" s="34" t="n">
        <x:v>4061</x:v>
      </x:c>
      <x:c r="E52" s="34" t="n">
        <x:v>19</x:v>
      </x:c>
      <x:c r="F52" s="35" t="n">
        <x:f>IF(D52=0,"",E52/D52)</x:f>
        <x:v>0.004678650578675204</x:v>
      </x:c>
      <x:c r="G52" s="34" t="n">
        <x:v>354</x:v>
      </x:c>
      <x:c r="H52" s="35" t="n">
        <x:f>IF(D52=0,"",G52/D52)</x:f>
        <x:v>0.087170647623738</x:v>
      </x:c>
      <x:c r="I52" s="34" t="n">
        <x:v>3688</x:v>
      </x:c>
      <x:c r="J52" s="35" t="n">
        <x:f>IF(D52=0,"",I52/D52)</x:f>
        <x:v>0.9081507017975868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0" t="str">
        <x:v>9–10月</x:v>
      </x:c>
      <x:c r="B53" s="20" t="str">
        <x:v>新北市</x:v>
      </x:c>
      <x:c r="C53" s="20" t="str">
        <x:v>ZX2</x:v>
      </x:c>
      <x:c r="D53" s="23" t="n">
        <x:v>3991</x:v>
      </x:c>
      <x:c r="E53" s="23" t="n">
        <x:v>27</x:v>
      </x:c>
      <x:c r="F53" s="24" t="n">
        <x:f>IF(D53=0,"",E53/D53)</x:f>
        <x:v>0.006765221748935104</x:v>
      </x:c>
      <x:c r="G53" s="23" t="n">
        <x:v>3007</x:v>
      </x:c>
      <x:c r="H53" s="24" t="n">
        <x:f>IF(D53=0,"",G53/D53)</x:f>
        <x:v>0.7534452518165873</x:v>
      </x:c>
      <x:c r="I53" s="23" t="n">
        <x:v>957</x:v>
      </x:c>
      <x:c r="J53" s="24" t="n">
        <x:f>IF(D53=0,"",I53/D53)</x:f>
        <x:v>0.23978952643447757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5" t="str">
        <x:v>9–10月</x:v>
      </x:c>
      <x:c r="B54" s="25" t="str">
        <x:v>新北市</x:v>
      </x:c>
      <x:c r="C54" s="25" t="str">
        <x:v>ZW2</x:v>
      </x:c>
      <x:c r="D54" s="34" t="n">
        <x:v>3851</x:v>
      </x:c>
      <x:c r="E54" s="34" t="n">
        <x:v>3</x:v>
      </x:c>
      <x:c r="F54" s="35" t="n">
        <x:f>IF(D54=0,"",E54/D54)</x:f>
        <x:v>0.0007790184367696703</x:v>
      </x:c>
      <x:c r="G54" s="34" t="n">
        <x:v>3198</x:v>
      </x:c>
      <x:c r="H54" s="35" t="n">
        <x:f>IF(D54=0,"",G54/D54)</x:f>
        <x:v>0.8304336535964685</x:v>
      </x:c>
      <x:c r="I54" s="34" t="n">
        <x:v>650</x:v>
      </x:c>
      <x:c r="J54" s="35" t="n">
        <x:f>IF(D54=0,"",I54/D54)</x:f>
        <x:v>0.16878732796676188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0" t="str">
        <x:v>9–10月</x:v>
      </x:c>
      <x:c r="B55" s="20" t="str">
        <x:v>新北市</x:v>
      </x:c>
      <x:c r="C55" s="20" t="str">
        <x:v>ZS</x:v>
      </x:c>
      <x:c r="D55" s="23" t="n">
        <x:v>3812</x:v>
      </x:c>
      <x:c r="E55" s="23" t="n">
        <x:v>36</x:v>
      </x:c>
      <x:c r="F55" s="24" t="n">
        <x:f>IF(D55=0,"",E55/D55)</x:f>
        <x:v>0.00944386149003148</x:v>
      </x:c>
      <x:c r="G55" s="23" t="n">
        <x:v>3067</x:v>
      </x:c>
      <x:c r="H55" s="24" t="n">
        <x:f>IF(D55=0,"",G55/D55)</x:f>
        <x:v>0.8045645330535152</x:v>
      </x:c>
      <x:c r="I55" s="23" t="n">
        <x:v>709</x:v>
      </x:c>
      <x:c r="J55" s="24" t="n">
        <x:f>IF(D55=0,"",I55/D55)</x:f>
        <x:v>0.1859916054564533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5" t="str">
        <x:v>9–10月</x:v>
      </x:c>
      <x:c r="B56" s="25" t="str">
        <x:v>新北市</x:v>
      </x:c>
      <x:c r="C56" s="25" t="str">
        <x:v>ZK1</x:v>
      </x:c>
      <x:c r="D56" s="34" t="n">
        <x:v>3771</x:v>
      </x:c>
      <x:c r="E56" s="34" t="n">
        <x:v>1</x:v>
      </x:c>
      <x:c r="F56" s="35" t="n">
        <x:f>IF(D56=0,"",E56/D56)</x:f>
        <x:v>0.00026518164942985947</x:v>
      </x:c>
      <x:c r="G56" s="34" t="n">
        <x:v>3295</x:v>
      </x:c>
      <x:c r="H56" s="35" t="n">
        <x:f>IF(D56=0,"",G56/D56)</x:f>
        <x:v>0.8737735348713869</x:v>
      </x:c>
      <x:c r="I56" s="34" t="n">
        <x:v>475</x:v>
      </x:c>
      <x:c r="J56" s="35" t="n">
        <x:f>IF(D56=0,"",I56/D56)</x:f>
        <x:v>0.12596128347918323</x:v>
      </x:c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0" t="str">
        <x:v>9–10月</x:v>
      </x:c>
      <x:c r="B57" s="20" t="str">
        <x:v>新北市</x:v>
      </x:c>
      <x:c r="C57" s="20" t="str">
        <x:v>ZV1</x:v>
      </x:c>
      <x:c r="D57" s="23" t="n">
        <x:v>3608</x:v>
      </x:c>
      <x:c r="E57" s="23" t="n">
        <x:v>23</x:v>
      </x:c>
      <x:c r="F57" s="24" t="n">
        <x:f>IF(D57=0,"",E57/D57)</x:f>
        <x:v>0.006374722838137472</x:v>
      </x:c>
      <x:c r="G57" s="23" t="n">
        <x:v>888</x:v>
      </x:c>
      <x:c r="H57" s="24" t="n">
        <x:f>IF(D57=0,"",G57/D57)</x:f>
        <x:v>0.24611973392461198</x:v>
      </x:c>
      <x:c r="I57" s="23" t="n">
        <x:v>2697</x:v>
      </x:c>
      <x:c r="J57" s="24" t="n">
        <x:f>IF(D57=0,"",I57/D57)</x:f>
        <x:v>0.7475055432372506</x:v>
      </x:c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5" t="str">
        <x:v>9–10月</x:v>
      </x:c>
      <x:c r="B58" s="25" t="str">
        <x:v>新北市</x:v>
      </x:c>
      <x:c r="C58" s="25" t="str">
        <x:v>ZG1</x:v>
      </x:c>
      <x:c r="D58" s="34" t="n">
        <x:v>3494</x:v>
      </x:c>
      <x:c r="E58" s="34" t="n">
        <x:v>7</x:v>
      </x:c>
      <x:c r="F58" s="35" t="n">
        <x:f>IF(D58=0,"",E58/D58)</x:f>
        <x:v>0.002003434459072696</x:v>
      </x:c>
      <x:c r="G58" s="34" t="n">
        <x:v>607</x:v>
      </x:c>
      <x:c r="H58" s="35" t="n">
        <x:f>IF(D58=0,"",G58/D58)</x:f>
        <x:v>0.17372638809387522</x:v>
      </x:c>
      <x:c r="I58" s="34" t="n">
        <x:v>2880</x:v>
      </x:c>
      <x:c r="J58" s="35" t="n">
        <x:f>IF(D58=0,"",I58/D58)</x:f>
        <x:v>0.8242701774470521</x:v>
      </x:c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20" t="str">
        <x:v>9–10月</x:v>
      </x:c>
      <x:c r="B59" s="20" t="str">
        <x:v>新北市</x:v>
      </x:c>
      <x:c r="C59" s="20" t="str">
        <x:v>ZT1</x:v>
      </x:c>
      <x:c r="D59" s="23" t="n">
        <x:v>3444</x:v>
      </x:c>
      <x:c r="E59" s="23" t="n">
        <x:v>92</x:v>
      </x:c>
      <x:c r="F59" s="24" t="n">
        <x:f>IF(D59=0,"",E59/D59)</x:f>
        <x:v>0.026713124274099883</x:v>
      </x:c>
      <x:c r="G59" s="23" t="n">
        <x:v>1898</x:v>
      </x:c>
      <x:c r="H59" s="24" t="n">
        <x:f>IF(D59=0,"",G59/D59)</x:f>
        <x:v>0.5511033681765389</x:v>
      </x:c>
      <x:c r="I59" s="23" t="n">
        <x:v>1454</x:v>
      </x:c>
      <x:c r="J59" s="24" t="n">
        <x:f>IF(D59=0,"",I59/D59)</x:f>
        <x:v>0.4221835075493612</x:v>
      </x:c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25" t="str">
        <x:v>9–10月</x:v>
      </x:c>
      <x:c r="B60" s="25" t="str">
        <x:v>新北市</x:v>
      </x:c>
      <x:c r="C60" s="25" t="str">
        <x:v>ZV2</x:v>
      </x:c>
      <x:c r="D60" s="34" t="n">
        <x:v>2654</x:v>
      </x:c>
      <x:c r="E60" s="34" t="n">
        <x:v>74</x:v>
      </x:c>
      <x:c r="F60" s="35" t="n">
        <x:f>IF(D60=0,"",E60/D60)</x:f>
        <x:v>0.027882441597588545</x:v>
      </x:c>
      <x:c r="G60" s="34" t="n">
        <x:v>850</x:v>
      </x:c>
      <x:c r="H60" s="35" t="n">
        <x:f>IF(D60=0,"",G60/D60)</x:f>
        <x:v>0.3202712886209495</x:v>
      </x:c>
      <x:c r="I60" s="34" t="n">
        <x:v>1730</x:v>
      </x:c>
      <x:c r="J60" s="35" t="n">
        <x:f>IF(D60=0,"",I60/D60)</x:f>
        <x:v>0.651846269781462</x:v>
      </x:c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20" t="str">
        <x:v>9–10月</x:v>
      </x:c>
      <x:c r="B61" s="20" t="str">
        <x:v>新北市</x:v>
      </x:c>
      <x:c r="C61" s="20" t="str">
        <x:v>ZR3</x:v>
      </x:c>
      <x:c r="D61" s="23" t="n">
        <x:v>2137</x:v>
      </x:c>
      <x:c r="E61" s="23" t="n">
        <x:v>3</x:v>
      </x:c>
      <x:c r="F61" s="24" t="n">
        <x:f>IF(D61=0,"",E61/D61)</x:f>
        <x:v>0.0014038371548900327</x:v>
      </x:c>
      <x:c r="G61" s="23" t="n">
        <x:v>1598</x:v>
      </x:c>
      <x:c r="H61" s="24" t="n">
        <x:f>IF(D61=0,"",G61/D61)</x:f>
        <x:v>0.7477772578380908</x:v>
      </x:c>
      <x:c r="I61" s="23" t="n">
        <x:v>536</x:v>
      </x:c>
      <x:c r="J61" s="24" t="n">
        <x:f>IF(D61=0,"",I61/D61)</x:f>
        <x:v>0.2508189050070192</x:v>
      </x:c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25" t="str">
        <x:v>9–10月</x:v>
      </x:c>
      <x:c r="B62" s="25" t="str">
        <x:v>新北市</x:v>
      </x:c>
      <x:c r="C62" s="25" t="str">
        <x:v>新北維護所</x:v>
      </x:c>
      <x:c r="D62" s="34" t="n">
        <x:v>1720</x:v>
      </x:c>
      <x:c r="E62" s="34" t="n">
        <x:v>0</x:v>
      </x:c>
      <x:c r="F62" s="35" t="n">
        <x:f>IF(D62=0,"",E62/D62)</x:f>
        <x:v>0</x:v>
      </x:c>
      <x:c r="G62" s="34" t="n">
        <x:v>1720</x:v>
      </x:c>
      <x:c r="H62" s="35" t="n">
        <x:f>IF(D62=0,"",G62/D62)</x:f>
        <x:v>1</x:v>
      </x:c>
      <x:c r="I62" s="34" t="n">
        <x:v>0</x:v>
      </x:c>
      <x:c r="J62" s="35" t="n">
        <x:f>IF(D62=0,"",I62/D62)</x:f>
        <x:v>0</x:v>
      </x:c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20" t="str">
        <x:v>9–10月</x:v>
      </x:c>
      <x:c r="B63" s="20" t="str">
        <x:v>新北市</x:v>
      </x:c>
      <x:c r="C63" s="20" t="str">
        <x:v>ZU</x:v>
      </x:c>
      <x:c r="D63" s="23" t="n">
        <x:v>206</x:v>
      </x:c>
      <x:c r="E63" s="23" t="n">
        <x:v>4</x:v>
      </x:c>
      <x:c r="F63" s="24" t="n">
        <x:f>IF(D63=0,"",E63/D63)</x:f>
        <x:v>0.019417475728155338</x:v>
      </x:c>
      <x:c r="G63" s="23" t="n">
        <x:v>58</x:v>
      </x:c>
      <x:c r="H63" s="24" t="n">
        <x:f>IF(D63=0,"",G63/D63)</x:f>
        <x:v>0.2815533980582524</x:v>
      </x:c>
      <x:c r="I63" s="23" t="n">
        <x:v>144</x:v>
      </x:c>
      <x:c r="J63" s="24" t="n">
        <x:f>IF(D63=0,"",I63/D63)</x:f>
        <x:v>0.6990291262135923</x:v>
      </x:c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25" t="str">
        <x:v>9–10月</x:v>
      </x:c>
      <x:c r="B64" s="25" t="str">
        <x:v>新北市</x:v>
      </x:c>
      <x:c r="C64" s="25" t="str">
        <x:v>ZP2</x:v>
      </x:c>
      <x:c r="D64" s="34" t="n">
        <x:v>153</x:v>
      </x:c>
      <x:c r="E64" s="34" t="n">
        <x:v>0</x:v>
      </x:c>
      <x:c r="F64" s="35" t="n">
        <x:f>IF(D64=0,"",E64/D64)</x:f>
        <x:v>0</x:v>
      </x:c>
      <x:c r="G64" s="34" t="n">
        <x:v>5</x:v>
      </x:c>
      <x:c r="H64" s="35" t="n">
        <x:f>IF(D64=0,"",G64/D64)</x:f>
        <x:v>0.032679738562091505</x:v>
      </x:c>
      <x:c r="I64" s="34" t="n">
        <x:v>148</x:v>
      </x:c>
      <x:c r="J64" s="35" t="n">
        <x:f>IF(D64=0,"",I64/D64)</x:f>
        <x:v>0.9673202614379085</x:v>
      </x:c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20" t="str">
        <x:v>9月</x:v>
      </x:c>
      <x:c r="B65" s="20" t="str">
        <x:v>台北市</x:v>
      </x:c>
      <x:c r="C65" s="20" t="str">
        <x:v>ZA1</x:v>
      </x:c>
      <x:c r="D65" s="23" t="n">
        <x:v>5036</x:v>
      </x:c>
      <x:c r="E65" s="23" t="n">
        <x:v>246</x:v>
      </x:c>
      <x:c r="F65" s="24" t="n">
        <x:f>IF(D65=0,"",E65/D65)</x:f>
        <x:v>0.0488482922954726</x:v>
      </x:c>
      <x:c r="G65" s="23" t="n">
        <x:v>1113</x:v>
      </x:c>
      <x:c r="H65" s="24" t="n">
        <x:f>IF(D65=0,"",G65/D65)</x:f>
        <x:v>0.2210087370929309</x:v>
      </x:c>
      <x:c r="I65" s="23" t="n">
        <x:v>3677</x:v>
      </x:c>
      <x:c r="J65" s="24" t="n">
        <x:f>IF(D65=0,"",I65/D65)</x:f>
        <x:v>0.7301429706115965</x:v>
      </x:c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25" t="str">
        <x:v>9月</x:v>
      </x:c>
      <x:c r="B66" s="25" t="str">
        <x:v>台北市</x:v>
      </x:c>
      <x:c r="C66" s="25" t="str">
        <x:v>ZH2</x:v>
      </x:c>
      <x:c r="D66" s="34" t="n">
        <x:v>4507</x:v>
      </x:c>
      <x:c r="E66" s="34" t="n">
        <x:v>27</x:v>
      </x:c>
      <x:c r="F66" s="35" t="n">
        <x:f>IF(D66=0,"",E66/D66)</x:f>
        <x:v>0.0059906811626359</x:v>
      </x:c>
      <x:c r="G66" s="34" t="n">
        <x:v>146</x:v>
      </x:c>
      <x:c r="H66" s="35" t="n">
        <x:f>IF(D66=0,"",G66/D66)</x:f>
        <x:v>0.03239405369425338</x:v>
      </x:c>
      <x:c r="I66" s="34" t="n">
        <x:v>4334</x:v>
      </x:c>
      <x:c r="J66" s="35" t="n">
        <x:f>IF(D66=0,"",I66/D66)</x:f>
        <x:v>0.9616152651431107</x:v>
      </x:c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20" t="str">
        <x:v>9月</x:v>
      </x:c>
      <x:c r="B67" s="20" t="str">
        <x:v>台北市</x:v>
      </x:c>
      <x:c r="C67" s="20" t="str">
        <x:v>ZB2</x:v>
      </x:c>
      <x:c r="D67" s="23" t="n">
        <x:v>4399</x:v>
      </x:c>
      <x:c r="E67" s="23" t="n">
        <x:v>133</x:v>
      </x:c>
      <x:c r="F67" s="24" t="n">
        <x:f>IF(D67=0,"",E67/D67)</x:f>
        <x:v>0.03023414412366447</x:v>
      </x:c>
      <x:c r="G67" s="23" t="n">
        <x:v>1644</x:v>
      </x:c>
      <x:c r="H67" s="24" t="n">
        <x:f>IF(D67=0,"",G67/D67)</x:f>
        <x:v>0.3737213002955217</x:v>
      </x:c>
      <x:c r="I67" s="23" t="n">
        <x:v>2622</x:v>
      </x:c>
      <x:c r="J67" s="24" t="n">
        <x:f>IF(D67=0,"",I67/D67)</x:f>
        <x:v>0.5960445555808138</x:v>
      </x:c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25" t="str">
        <x:v>9月</x:v>
      </x:c>
      <x:c r="B68" s="25" t="str">
        <x:v>台北市</x:v>
      </x:c>
      <x:c r="C68" s="25" t="str">
        <x:v>ZA2</x:v>
      </x:c>
      <x:c r="D68" s="34" t="n">
        <x:v>4227</x:v>
      </x:c>
      <x:c r="E68" s="34" t="n">
        <x:v>0</x:v>
      </x:c>
      <x:c r="F68" s="35" t="n">
        <x:f>IF(D68=0,"",E68/D68)</x:f>
        <x:v>0</x:v>
      </x:c>
      <x:c r="G68" s="34" t="n">
        <x:v>391</x:v>
      </x:c>
      <x:c r="H68" s="35" t="n">
        <x:f>IF(D68=0,"",G68/D68)</x:f>
        <x:v>0.09250059143600663</x:v>
      </x:c>
      <x:c r="I68" s="34" t="n">
        <x:v>3836</x:v>
      </x:c>
      <x:c r="J68" s="35" t="n">
        <x:f>IF(D68=0,"",I68/D68)</x:f>
        <x:v>0.9074994085639934</x:v>
      </x:c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20" t="str">
        <x:v>9月</x:v>
      </x:c>
      <x:c r="B69" s="20" t="str">
        <x:v>台北市</x:v>
      </x:c>
      <x:c r="C69" s="20" t="str">
        <x:v>ZU</x:v>
      </x:c>
      <x:c r="D69" s="23" t="n">
        <x:v>4079</x:v>
      </x:c>
      <x:c r="E69" s="23" t="n">
        <x:v>23</x:v>
      </x:c>
      <x:c r="F69" s="24" t="n">
        <x:f>IF(D69=0,"",E69/D69)</x:f>
        <x:v>0.005638636920813925</x:v>
      </x:c>
      <x:c r="G69" s="23" t="n">
        <x:v>1165</x:v>
      </x:c>
      <x:c r="H69" s="24" t="n">
        <x:f>IF(D69=0,"",G69/D69)</x:f>
        <x:v>0.2856092179455749</x:v>
      </x:c>
      <x:c r="I69" s="23" t="n">
        <x:v>2891</x:v>
      </x:c>
      <x:c r="J69" s="24" t="n">
        <x:f>IF(D69=0,"",I69/D69)</x:f>
        <x:v>0.7087521451336112</x:v>
      </x:c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25" t="str">
        <x:v>9月</x:v>
      </x:c>
      <x:c r="B70" s="25" t="str">
        <x:v>台北市</x:v>
      </x:c>
      <x:c r="C70" s="25" t="str">
        <x:v>ZH1</x:v>
      </x:c>
      <x:c r="D70" s="34" t="n">
        <x:v>3492</x:v>
      </x:c>
      <x:c r="E70" s="34" t="n">
        <x:v>17</x:v>
      </x:c>
      <x:c r="F70" s="35" t="n">
        <x:f>IF(D70=0,"",E70/D70)</x:f>
        <x:v>0.004868270332187858</x:v>
      </x:c>
      <x:c r="G70" s="34" t="n">
        <x:v>163</x:v>
      </x:c>
      <x:c r="H70" s="35" t="n">
        <x:f>IF(D70=0,"",G70/D70)</x:f>
        <x:v>0.04667812142038946</x:v>
      </x:c>
      <x:c r="I70" s="34" t="n">
        <x:v>3312</x:v>
      </x:c>
      <x:c r="J70" s="35" t="n">
        <x:f>IF(D70=0,"",I70/D70)</x:f>
        <x:v>0.9484536082474226</x:v>
      </x:c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20" t="str">
        <x:v>9月</x:v>
      </x:c>
      <x:c r="B71" s="20" t="str">
        <x:v>台北市</x:v>
      </x:c>
      <x:c r="C71" s="20" t="str">
        <x:v>ZD1</x:v>
      </x:c>
      <x:c r="D71" s="23" t="n">
        <x:v>3436</x:v>
      </x:c>
      <x:c r="E71" s="23" t="n">
        <x:v>20</x:v>
      </x:c>
      <x:c r="F71" s="24" t="n">
        <x:f>IF(D71=0,"",E71/D71)</x:f>
        <x:v>0.005820721769499418</x:v>
      </x:c>
      <x:c r="G71" s="23" t="n">
        <x:v>430</x:v>
      </x:c>
      <x:c r="H71" s="24" t="n">
        <x:f>IF(D71=0,"",G71/D71)</x:f>
        <x:v>0.12514551804423749</x:v>
      </x:c>
      <x:c r="I71" s="23" t="n">
        <x:v>2986</x:v>
      </x:c>
      <x:c r="J71" s="24" t="n">
        <x:f>IF(D71=0,"",I71/D71)</x:f>
        <x:v>0.8690337601862631</x:v>
      </x:c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25" t="str">
        <x:v>9月</x:v>
      </x:c>
      <x:c r="B72" s="25" t="str">
        <x:v>台北市</x:v>
      </x:c>
      <x:c r="C72" s="25" t="str">
        <x:v>ZE1</x:v>
      </x:c>
      <x:c r="D72" s="34" t="n">
        <x:v>3051</x:v>
      </x:c>
      <x:c r="E72" s="34" t="n">
        <x:v>45</x:v>
      </x:c>
      <x:c r="F72" s="35" t="n">
        <x:f>IF(D72=0,"",E72/D72)</x:f>
        <x:v>0.014749262536873156</x:v>
      </x:c>
      <x:c r="G72" s="34" t="n">
        <x:v>878</x:v>
      </x:c>
      <x:c r="H72" s="35" t="n">
        <x:f>IF(D72=0,"",G72/D72)</x:f>
        <x:v>0.2877745001638807</x:v>
      </x:c>
      <x:c r="I72" s="34" t="n">
        <x:v>2128</x:v>
      </x:c>
      <x:c r="J72" s="35" t="n">
        <x:f>IF(D72=0,"",I72/D72)</x:f>
        <x:v>0.6974762372992461</x:v>
      </x:c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20" t="str">
        <x:v>9月</x:v>
      </x:c>
      <x:c r="B73" s="20" t="str">
        <x:v>台北市</x:v>
      </x:c>
      <x:c r="C73" s="20" t="str">
        <x:v>ZN2</x:v>
      </x:c>
      <x:c r="D73" s="23" t="n">
        <x:v>2847</x:v>
      </x:c>
      <x:c r="E73" s="23" t="n">
        <x:v>24</x:v>
      </x:c>
      <x:c r="F73" s="24" t="n">
        <x:f>IF(D73=0,"",E73/D73)</x:f>
        <x:v>0.008429926238145416</x:v>
      </x:c>
      <x:c r="G73" s="23" t="n">
        <x:v>474</x:v>
      </x:c>
      <x:c r="H73" s="24" t="n">
        <x:f>IF(D73=0,"",G73/D73)</x:f>
        <x:v>0.16649104320337196</x:v>
      </x:c>
      <x:c r="I73" s="23" t="n">
        <x:v>2349</x:v>
      </x:c>
      <x:c r="J73" s="24" t="n">
        <x:f>IF(D73=0,"",I73/D73)</x:f>
        <x:v>0.8250790305584826</x:v>
      </x:c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25" t="str">
        <x:v>9月</x:v>
      </x:c>
      <x:c r="B74" s="25" t="str">
        <x:v>台北市</x:v>
      </x:c>
      <x:c r="C74" s="25" t="str">
        <x:v>ZN1</x:v>
      </x:c>
      <x:c r="D74" s="34" t="n">
        <x:v>2765</x:v>
      </x:c>
      <x:c r="E74" s="34" t="n">
        <x:v>16</x:v>
      </x:c>
      <x:c r="F74" s="35" t="n">
        <x:f>IF(D74=0,"",E74/D74)</x:f>
        <x:v>0.005786618444846293</x:v>
      </x:c>
      <x:c r="G74" s="34" t="n">
        <x:v>370</x:v>
      </x:c>
      <x:c r="H74" s="35" t="n">
        <x:f>IF(D74=0,"",G74/D74)</x:f>
        <x:v>0.13381555153707053</x:v>
      </x:c>
      <x:c r="I74" s="34" t="n">
        <x:v>2379</x:v>
      </x:c>
      <x:c r="J74" s="35" t="n">
        <x:f>IF(D74=0,"",I74/D74)</x:f>
        <x:v>0.8603978300180832</x:v>
      </x:c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20" t="str">
        <x:v>9月</x:v>
      </x:c>
      <x:c r="B75" s="20" t="str">
        <x:v>台北市</x:v>
      </x:c>
      <x:c r="C75" s="20" t="str">
        <x:v>ZP1</x:v>
      </x:c>
      <x:c r="D75" s="23" t="n">
        <x:v>2758</x:v>
      </x:c>
      <x:c r="E75" s="23" t="n">
        <x:v>15</x:v>
      </x:c>
      <x:c r="F75" s="24" t="n">
        <x:f>IF(D75=0,"",E75/D75)</x:f>
        <x:v>0.005438723712835388</x:v>
      </x:c>
      <x:c r="G75" s="23" t="n">
        <x:v>943</x:v>
      </x:c>
      <x:c r="H75" s="24" t="n">
        <x:f>IF(D75=0,"",G75/D75)</x:f>
        <x:v>0.3419144307469181</x:v>
      </x:c>
      <x:c r="I75" s="23" t="n">
        <x:v>1800</x:v>
      </x:c>
      <x:c r="J75" s="24" t="n">
        <x:f>IF(D75=0,"",I75/D75)</x:f>
        <x:v>0.6526468455402465</x:v>
      </x:c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25" t="str">
        <x:v>9月</x:v>
      </x:c>
      <x:c r="B76" s="25" t="str">
        <x:v>台北市</x:v>
      </x:c>
      <x:c r="C76" s="25" t="str">
        <x:v>ZI2</x:v>
      </x:c>
      <x:c r="D76" s="34" t="n">
        <x:v>2476</x:v>
      </x:c>
      <x:c r="E76" s="34" t="n">
        <x:v>31</x:v>
      </x:c>
      <x:c r="F76" s="35" t="n">
        <x:f>IF(D76=0,"",E76/D76)</x:f>
        <x:v>0.012520193861066236</x:v>
      </x:c>
      <x:c r="G76" s="34" t="n">
        <x:v>1359</x:v>
      </x:c>
      <x:c r="H76" s="35" t="n">
        <x:f>IF(D76=0,"",G76/D76)</x:f>
        <x:v>0.5488691437802908</x:v>
      </x:c>
      <x:c r="I76" s="34" t="n">
        <x:v>1086</x:v>
      </x:c>
      <x:c r="J76" s="35" t="n">
        <x:f>IF(D76=0,"",I76/D76)</x:f>
        <x:v>0.438610662358643</x:v>
      </x:c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20" t="str">
        <x:v>9月</x:v>
      </x:c>
      <x:c r="B77" s="20" t="str">
        <x:v>台北市</x:v>
      </x:c>
      <x:c r="C77" s="20" t="str">
        <x:v>ZD2</x:v>
      </x:c>
      <x:c r="D77" s="23" t="n">
        <x:v>2279</x:v>
      </x:c>
      <x:c r="E77" s="23" t="n">
        <x:v>13</x:v>
      </x:c>
      <x:c r="F77" s="24" t="n">
        <x:f>IF(D77=0,"",E77/D77)</x:f>
        <x:v>0.005704256252742431</x:v>
      </x:c>
      <x:c r="G77" s="23" t="n">
        <x:v>515</x:v>
      </x:c>
      <x:c r="H77" s="24" t="n">
        <x:f>IF(D77=0,"",G77/D77)</x:f>
        <x:v>0.225976305397104</x:v>
      </x:c>
      <x:c r="I77" s="23" t="n">
        <x:v>1751</x:v>
      </x:c>
      <x:c r="J77" s="24" t="n">
        <x:f>IF(D77=0,"",I77/D77)</x:f>
        <x:v>0.7683194383501536</x:v>
      </x:c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25" t="str">
        <x:v>9月</x:v>
      </x:c>
      <x:c r="B78" s="25" t="str">
        <x:v>台北市</x:v>
      </x:c>
      <x:c r="C78" s="25" t="str">
        <x:v>ZI1</x:v>
      </x:c>
      <x:c r="D78" s="34" t="n">
        <x:v>2187</x:v>
      </x:c>
      <x:c r="E78" s="34" t="n">
        <x:v>21</x:v>
      </x:c>
      <x:c r="F78" s="35" t="n">
        <x:f>IF(D78=0,"",E78/D78)</x:f>
        <x:v>0.009602194787379973</x:v>
      </x:c>
      <x:c r="G78" s="34" t="n">
        <x:v>723</x:v>
      </x:c>
      <x:c r="H78" s="35" t="n">
        <x:f>IF(D78=0,"",G78/D78)</x:f>
        <x:v>0.33058984910836764</x:v>
      </x:c>
      <x:c r="I78" s="34" t="n">
        <x:v>1443</x:v>
      </x:c>
      <x:c r="J78" s="35" t="n">
        <x:f>IF(D78=0,"",I78/D78)</x:f>
        <x:v>0.6598079561042524</x:v>
      </x:c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20" t="str">
        <x:v>9月</x:v>
      </x:c>
      <x:c r="B79" s="20" t="str">
        <x:v>台北市</x:v>
      </x:c>
      <x:c r="C79" s="20" t="str">
        <x:v>ZB3</x:v>
      </x:c>
      <x:c r="D79" s="23" t="n">
        <x:v>2173</x:v>
      </x:c>
      <x:c r="E79" s="23" t="n">
        <x:v>73</x:v>
      </x:c>
      <x:c r="F79" s="24" t="n">
        <x:f>IF(D79=0,"",E79/D79)</x:f>
        <x:v>0.03359410952600092</x:v>
      </x:c>
      <x:c r="G79" s="23" t="n">
        <x:v>1085</x:v>
      </x:c>
      <x:c r="H79" s="24" t="n">
        <x:f>IF(D79=0,"",G79/D79)</x:f>
        <x:v>0.4993097100782329</x:v>
      </x:c>
      <x:c r="I79" s="23" t="n">
        <x:v>1015</x:v>
      </x:c>
      <x:c r="J79" s="24" t="n">
        <x:f>IF(D79=0,"",I79/D79)</x:f>
        <x:v>0.4670961803957662</x:v>
      </x:c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25" t="str">
        <x:v>9月</x:v>
      </x:c>
      <x:c r="B80" s="25" t="str">
        <x:v>台北市</x:v>
      </x:c>
      <x:c r="C80" s="25" t="str">
        <x:v>ZC1</x:v>
      </x:c>
      <x:c r="D80" s="34" t="n">
        <x:v>2160</x:v>
      </x:c>
      <x:c r="E80" s="34" t="n">
        <x:v>7</x:v>
      </x:c>
      <x:c r="F80" s="35" t="n">
        <x:f>IF(D80=0,"",E80/D80)</x:f>
        <x:v>0.0032407407407407406</x:v>
      </x:c>
      <x:c r="G80" s="34" t="n">
        <x:v>90</x:v>
      </x:c>
      <x:c r="H80" s="35" t="n">
        <x:f>IF(D80=0,"",G80/D80)</x:f>
        <x:v>0.041666666666666664</x:v>
      </x:c>
      <x:c r="I80" s="34" t="n">
        <x:v>2063</x:v>
      </x:c>
      <x:c r="J80" s="35" t="n">
        <x:f>IF(D80=0,"",I80/D80)</x:f>
        <x:v>0.9550925925925926</x:v>
      </x:c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20" t="str">
        <x:v>9月</x:v>
      </x:c>
      <x:c r="B81" s="20" t="str">
        <x:v>台北市</x:v>
      </x:c>
      <x:c r="C81" s="20" t="str">
        <x:v>ZJ1</x:v>
      </x:c>
      <x:c r="D81" s="23" t="n">
        <x:v>2153</x:v>
      </x:c>
      <x:c r="E81" s="23" t="n">
        <x:v>20</x:v>
      </x:c>
      <x:c r="F81" s="24" t="n">
        <x:f>IF(D81=0,"",E81/D81)</x:f>
        <x:v>0.009289363678588018</x:v>
      </x:c>
      <x:c r="G81" s="23" t="n">
        <x:v>193</x:v>
      </x:c>
      <x:c r="H81" s="24" t="n">
        <x:f>IF(D81=0,"",G81/D81)</x:f>
        <x:v>0.08964235949837436</x:v>
      </x:c>
      <x:c r="I81" s="23" t="n">
        <x:v>1940</x:v>
      </x:c>
      <x:c r="J81" s="24" t="n">
        <x:f>IF(D81=0,"",I81/D81)</x:f>
        <x:v>0.9010682768230376</x:v>
      </x:c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25" t="str">
        <x:v>9月</x:v>
      </x:c>
      <x:c r="B82" s="25" t="str">
        <x:v>台北市</x:v>
      </x:c>
      <x:c r="C82" s="25" t="str">
        <x:v>ZB1</x:v>
      </x:c>
      <x:c r="D82" s="34" t="n">
        <x:v>2066</x:v>
      </x:c>
      <x:c r="E82" s="34" t="n">
        <x:v>48</x:v>
      </x:c>
      <x:c r="F82" s="35" t="n">
        <x:f>IF(D82=0,"",E82/D82)</x:f>
        <x:v>0.023233301064859633</x:v>
      </x:c>
      <x:c r="G82" s="34" t="n">
        <x:v>496</x:v>
      </x:c>
      <x:c r="H82" s="35" t="n">
        <x:f>IF(D82=0,"",G82/D82)</x:f>
        <x:v>0.24007744433688286</x:v>
      </x:c>
      <x:c r="I82" s="34" t="n">
        <x:v>1522</x:v>
      </x:c>
      <x:c r="J82" s="35" t="n">
        <x:f>IF(D82=0,"",I82/D82)</x:f>
        <x:v>0.7366892545982575</x:v>
      </x:c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20" t="str">
        <x:v>9月</x:v>
      </x:c>
      <x:c r="B83" s="20" t="str">
        <x:v>台北市</x:v>
      </x:c>
      <x:c r="C83" s="20" t="str">
        <x:v>ZN3</x:v>
      </x:c>
      <x:c r="D83" s="23" t="n">
        <x:v>1989</x:v>
      </x:c>
      <x:c r="E83" s="23" t="n">
        <x:v>5</x:v>
      </x:c>
      <x:c r="F83" s="24" t="n">
        <x:f>IF(D83=0,"",E83/D83)</x:f>
        <x:v>0.002513826043237808</x:v>
      </x:c>
      <x:c r="G83" s="23" t="n">
        <x:v>280</x:v>
      </x:c>
      <x:c r="H83" s="24" t="n">
        <x:f>IF(D83=0,"",G83/D83)</x:f>
        <x:v>0.14077425842131724</x:v>
      </x:c>
      <x:c r="I83" s="23" t="n">
        <x:v>1704</x:v>
      </x:c>
      <x:c r="J83" s="24" t="n">
        <x:f>IF(D83=0,"",I83/D83)</x:f>
        <x:v>0.8567119155354449</x:v>
      </x:c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25" t="str">
        <x:v>9月</x:v>
      </x:c>
      <x:c r="B84" s="25" t="str">
        <x:v>台北市</x:v>
      </x:c>
      <x:c r="C84" s="25" t="str">
        <x:v>ZD3</x:v>
      </x:c>
      <x:c r="D84" s="34" t="n">
        <x:v>1896</x:v>
      </x:c>
      <x:c r="E84" s="34" t="n">
        <x:v>88</x:v>
      </x:c>
      <x:c r="F84" s="35" t="n">
        <x:f>IF(D84=0,"",E84/D84)</x:f>
        <x:v>0.046413502109704644</x:v>
      </x:c>
      <x:c r="G84" s="34" t="n">
        <x:v>271</x:v>
      </x:c>
      <x:c r="H84" s="35" t="n">
        <x:f>IF(D84=0,"",G84/D84)</x:f>
        <x:v>0.1429324894514768</x:v>
      </x:c>
      <x:c r="I84" s="34" t="n">
        <x:v>1537</x:v>
      </x:c>
      <x:c r="J84" s="35" t="n">
        <x:f>IF(D84=0,"",I84/D84)</x:f>
        <x:v>0.8106540084388185</x:v>
      </x:c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20" t="str">
        <x:v>9月</x:v>
      </x:c>
      <x:c r="B85" s="20" t="str">
        <x:v>台北市</x:v>
      </x:c>
      <x:c r="C85" s="20" t="str">
        <x:v>ZJ2</x:v>
      </x:c>
      <x:c r="D85" s="23" t="n">
        <x:v>1864</x:v>
      </x:c>
      <x:c r="E85" s="23" t="n">
        <x:v>8</x:v>
      </x:c>
      <x:c r="F85" s="24" t="n">
        <x:f>IF(D85=0,"",E85/D85)</x:f>
        <x:v>0.004291845493562232</x:v>
      </x:c>
      <x:c r="G85" s="23" t="n">
        <x:v>237</x:v>
      </x:c>
      <x:c r="H85" s="24" t="n">
        <x:f>IF(D85=0,"",G85/D85)</x:f>
        <x:v>0.1271459227467811</x:v>
      </x:c>
      <x:c r="I85" s="23" t="n">
        <x:v>1619</x:v>
      </x:c>
      <x:c r="J85" s="24" t="n">
        <x:f>IF(D85=0,"",I85/D85)</x:f>
        <x:v>0.8685622317596566</x:v>
      </x:c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25" t="str">
        <x:v>9月</x:v>
      </x:c>
      <x:c r="B86" s="25" t="str">
        <x:v>台北市</x:v>
      </x:c>
      <x:c r="C86" s="25" t="str">
        <x:v>ZI3</x:v>
      </x:c>
      <x:c r="D86" s="34" t="n">
        <x:v>1777</x:v>
      </x:c>
      <x:c r="E86" s="34" t="n">
        <x:v>63</x:v>
      </x:c>
      <x:c r="F86" s="35" t="n">
        <x:f>IF(D86=0,"",E86/D86)</x:f>
        <x:v>0.03545301069217783</x:v>
      </x:c>
      <x:c r="G86" s="34" t="n">
        <x:v>952</x:v>
      </x:c>
      <x:c r="H86" s="35" t="n">
        <x:f>IF(D86=0,"",G86/D86)</x:f>
        <x:v>0.5357343837929094</x:v>
      </x:c>
      <x:c r="I86" s="34" t="n">
        <x:v>762</x:v>
      </x:c>
      <x:c r="J86" s="35" t="n">
        <x:f>IF(D86=0,"",I86/D86)</x:f>
        <x:v>0.4288126055149128</x:v>
      </x:c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20" t="str">
        <x:v>9月</x:v>
      </x:c>
      <x:c r="B87" s="20" t="str">
        <x:v>台北市</x:v>
      </x:c>
      <x:c r="C87" s="20" t="str">
        <x:v>ZP2</x:v>
      </x:c>
      <x:c r="D87" s="23" t="n">
        <x:v>1529</x:v>
      </x:c>
      <x:c r="E87" s="23" t="n">
        <x:v>10</x:v>
      </x:c>
      <x:c r="F87" s="24" t="n">
        <x:f>IF(D87=0,"",E87/D87)</x:f>
        <x:v>0.006540222367560497</x:v>
      </x:c>
      <x:c r="G87" s="23" t="n">
        <x:v>132</x:v>
      </x:c>
      <x:c r="H87" s="24" t="n">
        <x:f>IF(D87=0,"",G87/D87)</x:f>
        <x:v>0.08633093525179857</x:v>
      </x:c>
      <x:c r="I87" s="23" t="n">
        <x:v>1387</x:v>
      </x:c>
      <x:c r="J87" s="24" t="n">
        <x:f>IF(D87=0,"",I87/D87)</x:f>
        <x:v>0.907128842380641</x:v>
      </x:c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25" t="str">
        <x:v>9月</x:v>
      </x:c>
      <x:c r="B88" s="25" t="str">
        <x:v>台北市</x:v>
      </x:c>
      <x:c r="C88" s="25" t="str">
        <x:v>ZC2</x:v>
      </x:c>
      <x:c r="D88" s="34" t="n">
        <x:v>1499</x:v>
      </x:c>
      <x:c r="E88" s="34" t="n">
        <x:v>6</x:v>
      </x:c>
      <x:c r="F88" s="35" t="n">
        <x:f>IF(D88=0,"",E88/D88)</x:f>
        <x:v>0.004002668445630421</x:v>
      </x:c>
      <x:c r="G88" s="34" t="n">
        <x:v>49</x:v>
      </x:c>
      <x:c r="H88" s="35" t="n">
        <x:f>IF(D88=0,"",G88/D88)</x:f>
        <x:v>0.03268845897264843</x:v>
      </x:c>
      <x:c r="I88" s="34" t="n">
        <x:v>1444</x:v>
      </x:c>
      <x:c r="J88" s="35" t="n">
        <x:f>IF(D88=0,"",I88/D88)</x:f>
        <x:v>0.9633088725817212</x:v>
      </x:c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20" t="str">
        <x:v>9月</x:v>
      </x:c>
      <x:c r="B89" s="20" t="str">
        <x:v>台北市</x:v>
      </x:c>
      <x:c r="C89" s="20" t="str">
        <x:v>ZE2</x:v>
      </x:c>
      <x:c r="D89" s="23" t="n">
        <x:v>1451</x:v>
      </x:c>
      <x:c r="E89" s="23" t="n">
        <x:v>13</x:v>
      </x:c>
      <x:c r="F89" s="24" t="n">
        <x:f>IF(D89=0,"",E89/D89)</x:f>
        <x:v>0.00895933838731909</x:v>
      </x:c>
      <x:c r="G89" s="23" t="n">
        <x:v>520</x:v>
      </x:c>
      <x:c r="H89" s="24" t="n">
        <x:f>IF(D89=0,"",G89/D89)</x:f>
        <x:v>0.35837353549276363</x:v>
      </x:c>
      <x:c r="I89" s="23" t="n">
        <x:v>918</x:v>
      </x:c>
      <x:c r="J89" s="24" t="n">
        <x:f>IF(D89=0,"",I89/D89)</x:f>
        <x:v>0.6326671261199173</x:v>
      </x:c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25" t="str">
        <x:v>9月</x:v>
      </x:c>
      <x:c r="B90" s="25" t="str">
        <x:v>台北市</x:v>
      </x:c>
      <x:c r="C90" s="25" t="str">
        <x:v>ZB4</x:v>
      </x:c>
      <x:c r="D90" s="34" t="n">
        <x:v>732</x:v>
      </x:c>
      <x:c r="E90" s="34" t="n">
        <x:v>45</x:v>
      </x:c>
      <x:c r="F90" s="35" t="n">
        <x:f>IF(D90=0,"",E90/D90)</x:f>
        <x:v>0.06147540983606557</x:v>
      </x:c>
      <x:c r="G90" s="34" t="n">
        <x:v>304</x:v>
      </x:c>
      <x:c r="H90" s="35" t="n">
        <x:f>IF(D90=0,"",G90/D90)</x:f>
        <x:v>0.41530054644808745</x:v>
      </x:c>
      <x:c r="I90" s="34" t="n">
        <x:v>383</x:v>
      </x:c>
      <x:c r="J90" s="35" t="n">
        <x:f>IF(D90=0,"",I90/D90)</x:f>
        <x:v>0.523224043715847</x:v>
      </x:c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20" t="str">
        <x:v>9月</x:v>
      </x:c>
      <x:c r="B91" s="20" t="str">
        <x:v>台北市</x:v>
      </x:c>
      <x:c r="C91" s="20" t="str">
        <x:v>台北維護所</x:v>
      </x:c>
      <x:c r="D91" s="23" t="n">
        <x:v>416</x:v>
      </x:c>
      <x:c r="E91" s="23" t="n">
        <x:v>0</x:v>
      </x:c>
      <x:c r="F91" s="24" t="n">
        <x:f>IF(D91=0,"",E91/D91)</x:f>
        <x:v>0</x:v>
      </x:c>
      <x:c r="G91" s="23" t="n">
        <x:v>416</x:v>
      </x:c>
      <x:c r="H91" s="24" t="n">
        <x:f>IF(D91=0,"",G91/D91)</x:f>
        <x:v>1</x:v>
      </x:c>
      <x:c r="I91" s="23" t="n">
        <x:v>0</x:v>
      </x:c>
      <x:c r="J91" s="24" t="n">
        <x:f>IF(D91=0,"",I91/D91)</x:f>
        <x:v>0</x:v>
      </x:c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25" t="str">
        <x:v>9月</x:v>
      </x:c>
      <x:c r="B92" s="25" t="str">
        <x:v>台北市</x:v>
      </x:c>
      <x:c r="C92" s="25" t="str">
        <x:v>台北市暫停營運專區</x:v>
      </x:c>
      <x:c r="D92" s="34" t="n">
        <x:v>19</x:v>
      </x:c>
      <x:c r="E92" s="34" t="n">
        <x:v>0</x:v>
      </x:c>
      <x:c r="F92" s="35" t="n">
        <x:f>IF(D92=0,"",E92/D92)</x:f>
        <x:v>0</x:v>
      </x:c>
      <x:c r="G92" s="34" t="n">
        <x:v>19</x:v>
      </x:c>
      <x:c r="H92" s="35" t="n">
        <x:f>IF(D92=0,"",G92/D92)</x:f>
        <x:v>1</x:v>
      </x:c>
      <x:c r="I92" s="34" t="n">
        <x:v>0</x:v>
      </x:c>
      <x:c r="J92" s="35" t="n">
        <x:f>IF(D92=0,"",I92/D92)</x:f>
        <x:v>0</x:v>
      </x:c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20" t="str">
        <x:v>9月</x:v>
      </x:c>
      <x:c r="B93" s="20" t="str">
        <x:v>新北市</x:v>
      </x:c>
      <x:c r="C93" s="20" t="str">
        <x:v>ZF</x:v>
      </x:c>
      <x:c r="D93" s="23" t="n">
        <x:v>4096</x:v>
      </x:c>
      <x:c r="E93" s="23" t="n">
        <x:v>90</x:v>
      </x:c>
      <x:c r="F93" s="24" t="n">
        <x:f>IF(D93=0,"",E93/D93)</x:f>
        <x:v>0.02197265625</x:v>
      </x:c>
      <x:c r="G93" s="23" t="n">
        <x:v>2074</x:v>
      </x:c>
      <x:c r="H93" s="24" t="n">
        <x:f>IF(D93=0,"",G93/D93)</x:f>
        <x:v>0.50634765625</x:v>
      </x:c>
      <x:c r="I93" s="23" t="n">
        <x:v>1932</x:v>
      </x:c>
      <x:c r="J93" s="24" t="n">
        <x:f>IF(D93=0,"",I93/D93)</x:f>
        <x:v>0.4716796875</x:v>
      </x:c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25" t="str">
        <x:v>9月</x:v>
      </x:c>
      <x:c r="B94" s="25" t="str">
        <x:v>新北市</x:v>
      </x:c>
      <x:c r="C94" s="25" t="str">
        <x:v>ZK4</x:v>
      </x:c>
      <x:c r="D94" s="34" t="n">
        <x:v>4026</x:v>
      </x:c>
      <x:c r="E94" s="34" t="n">
        <x:v>31</x:v>
      </x:c>
      <x:c r="F94" s="35" t="n">
        <x:f>IF(D94=0,"",E94/D94)</x:f>
        <x:v>0.007699950322901143</x:v>
      </x:c>
      <x:c r="G94" s="34" t="n">
        <x:v>666</x:v>
      </x:c>
      <x:c r="H94" s="35" t="n">
        <x:f>IF(D94=0,"",G94/D94)</x:f>
        <x:v>0.16542473919523099</x:v>
      </x:c>
      <x:c r="I94" s="34" t="n">
        <x:v>3329</x:v>
      </x:c>
      <x:c r="J94" s="35" t="n">
        <x:f>IF(D94=0,"",I94/D94)</x:f>
        <x:v>0.8268753104818679</x:v>
      </x:c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20" t="str">
        <x:v>9月</x:v>
      </x:c>
      <x:c r="B95" s="20" t="str">
        <x:v>新北市</x:v>
      </x:c>
      <x:c r="C95" s="20" t="str">
        <x:v>ZT2</x:v>
      </x:c>
      <x:c r="D95" s="23" t="n">
        <x:v>3977</x:v>
      </x:c>
      <x:c r="E95" s="23" t="n">
        <x:v>4</x:v>
      </x:c>
      <x:c r="F95" s="24" t="n">
        <x:f>IF(D95=0,"",E95/D95)</x:f>
        <x:v>0.0010057832537088258</x:v>
      </x:c>
      <x:c r="G95" s="23" t="n">
        <x:v>1538</x:v>
      </x:c>
      <x:c r="H95" s="24" t="n">
        <x:f>IF(D95=0,"",G95/D95)</x:f>
        <x:v>0.3867236610510435</x:v>
      </x:c>
      <x:c r="I95" s="23" t="n">
        <x:v>2435</x:v>
      </x:c>
      <x:c r="J95" s="24" t="n">
        <x:f>IF(D95=0,"",I95/D95)</x:f>
        <x:v>0.6122705556952477</x:v>
      </x:c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25" t="str">
        <x:v>9月</x:v>
      </x:c>
      <x:c r="B96" s="25" t="str">
        <x:v>新北市</x:v>
      </x:c>
      <x:c r="C96" s="25" t="str">
        <x:v>ZO1</x:v>
      </x:c>
      <x:c r="D96" s="34" t="n">
        <x:v>3956</x:v>
      </x:c>
      <x:c r="E96" s="34" t="n">
        <x:v>33</x:v>
      </x:c>
      <x:c r="F96" s="35" t="n">
        <x:f>IF(D96=0,"",E96/D96)</x:f>
        <x:v>0.008341759352881698</x:v>
      </x:c>
      <x:c r="G96" s="34" t="n">
        <x:v>2372</x:v>
      </x:c>
      <x:c r="H96" s="35" t="n">
        <x:f>IF(D96=0,"",G96/D96)</x:f>
        <x:v>0.5995955510616785</x:v>
      </x:c>
      <x:c r="I96" s="34" t="n">
        <x:v>1551</x:v>
      </x:c>
      <x:c r="J96" s="35" t="n">
        <x:f>IF(D96=0,"",I96/D96)</x:f>
        <x:v>0.3920626895854398</x:v>
      </x:c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20" t="str">
        <x:v>9月</x:v>
      </x:c>
      <x:c r="B97" s="20" t="str">
        <x:v>新北市</x:v>
      </x:c>
      <x:c r="C97" s="20" t="str">
        <x:v>ZO3</x:v>
      </x:c>
      <x:c r="D97" s="23" t="n">
        <x:v>3731</x:v>
      </x:c>
      <x:c r="E97" s="23" t="n">
        <x:v>525</x:v>
      </x:c>
      <x:c r="F97" s="24" t="n">
        <x:f>IF(D97=0,"",E97/D97)</x:f>
        <x:v>0.14071294559099437</x:v>
      </x:c>
      <x:c r="G97" s="23" t="n">
        <x:v>2733</x:v>
      </x:c>
      <x:c r="H97" s="24" t="n">
        <x:f>IF(D97=0,"",G97/D97)</x:f>
        <x:v>0.7325113910479765</x:v>
      </x:c>
      <x:c r="I97" s="23" t="n">
        <x:v>473</x:v>
      </x:c>
      <x:c r="J97" s="24" t="n">
        <x:f>IF(D97=0,"",I97/D97)</x:f>
        <x:v>0.12677566336102922</x:v>
      </x:c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25" t="str">
        <x:v>9月</x:v>
      </x:c>
      <x:c r="B98" s="25" t="str">
        <x:v>新北市</x:v>
      </x:c>
      <x:c r="C98" s="25" t="str">
        <x:v>ZR</x:v>
      </x:c>
      <x:c r="D98" s="34" t="n">
        <x:v>3545</x:v>
      </x:c>
      <x:c r="E98" s="34" t="n">
        <x:v>8</x:v>
      </x:c>
      <x:c r="F98" s="35" t="n">
        <x:f>IF(D98=0,"",E98/D98)</x:f>
        <x:v>0.002256699576868829</x:v>
      </x:c>
      <x:c r="G98" s="34" t="n">
        <x:v>3066</x:v>
      </x:c>
      <x:c r="H98" s="35" t="n">
        <x:f>IF(D98=0,"",G98/D98)</x:f>
        <x:v>0.8648801128349789</x:v>
      </x:c>
      <x:c r="I98" s="34" t="n">
        <x:v>471</x:v>
      </x:c>
      <x:c r="J98" s="35" t="n">
        <x:f>IF(D98=0,"",I98/D98)</x:f>
        <x:v>0.13286318758815233</x:v>
      </x:c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20" t="str">
        <x:v>9月</x:v>
      </x:c>
      <x:c r="B99" s="20" t="str">
        <x:v>新北市</x:v>
      </x:c>
      <x:c r="C99" s="20" t="str">
        <x:v>ZW1</x:v>
      </x:c>
      <x:c r="D99" s="23" t="n">
        <x:v>3489</x:v>
      </x:c>
      <x:c r="E99" s="23" t="n">
        <x:v>7</x:v>
      </x:c>
      <x:c r="F99" s="24" t="n">
        <x:f>IF(D99=0,"",E99/D99)</x:f>
        <x:v>0.002006305531670966</x:v>
      </x:c>
      <x:c r="G99" s="23" t="n">
        <x:v>2201</x:v>
      </x:c>
      <x:c r="H99" s="24" t="n">
        <x:f>IF(D99=0,"",G99/D99)</x:f>
        <x:v>0.6308397821725423</x:v>
      </x:c>
      <x:c r="I99" s="23" t="n">
        <x:v>1281</x:v>
      </x:c>
      <x:c r="J99" s="24" t="n">
        <x:f>IF(D99=0,"",I99/D99)</x:f>
        <x:v>0.36715391229578676</x:v>
      </x:c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25" t="str">
        <x:v>9月</x:v>
      </x:c>
      <x:c r="B100" s="25" t="str">
        <x:v>新北市</x:v>
      </x:c>
      <x:c r="C100" s="25" t="str">
        <x:v>ZL2</x:v>
      </x:c>
      <x:c r="D100" s="34" t="n">
        <x:v>3349</x:v>
      </x:c>
      <x:c r="E100" s="34" t="n">
        <x:v>4</x:v>
      </x:c>
      <x:c r="F100" s="35" t="n">
        <x:f>IF(D100=0,"",E100/D100)</x:f>
        <x:v>0.0011943863839952225</x:v>
      </x:c>
      <x:c r="G100" s="34" t="n">
        <x:v>652</x:v>
      </x:c>
      <x:c r="H100" s="35" t="n">
        <x:f>IF(D100=0,"",G100/D100)</x:f>
        <x:v>0.19468498059122127</x:v>
      </x:c>
      <x:c r="I100" s="34" t="n">
        <x:v>2693</x:v>
      </x:c>
      <x:c r="J100" s="35" t="n">
        <x:f>IF(D100=0,"",I100/D100)</x:f>
        <x:v>0.8041206330247835</x:v>
      </x:c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20" t="str">
        <x:v>9月</x:v>
      </x:c>
      <x:c r="B101" s="20" t="str">
        <x:v>新北市</x:v>
      </x:c>
      <x:c r="C101" s="20" t="str">
        <x:v>ZL3</x:v>
      </x:c>
      <x:c r="D101" s="23" t="n">
        <x:v>3192</x:v>
      </x:c>
      <x:c r="E101" s="23" t="n">
        <x:v>23</x:v>
      </x:c>
      <x:c r="F101" s="24" t="n">
        <x:f>IF(D101=0,"",E101/D101)</x:f>
        <x:v>0.0072055137844611525</x:v>
      </x:c>
      <x:c r="G101" s="23" t="n">
        <x:v>1502</x:v>
      </x:c>
      <x:c r="H101" s="24" t="n">
        <x:f>IF(D101=0,"",G101/D101)</x:f>
        <x:v>0.4705513784461153</x:v>
      </x:c>
      <x:c r="I101" s="23" t="n">
        <x:v>1667</x:v>
      </x:c>
      <x:c r="J101" s="24" t="n">
        <x:f>IF(D101=0,"",I101/D101)</x:f>
        <x:v>0.5222431077694235</x:v>
      </x:c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25" t="str">
        <x:v>9月</x:v>
      </x:c>
      <x:c r="B102" s="25" t="str">
        <x:v>新北市</x:v>
      </x:c>
      <x:c r="C102" s="25" t="str">
        <x:v>ZL1</x:v>
      </x:c>
      <x:c r="D102" s="34" t="n">
        <x:v>3127</x:v>
      </x:c>
      <x:c r="E102" s="34" t="n">
        <x:v>7</x:v>
      </x:c>
      <x:c r="F102" s="35" t="n">
        <x:f>IF(D102=0,"",E102/D102)</x:f>
        <x:v>0.002238567316917173</x:v>
      </x:c>
      <x:c r="G102" s="34" t="n">
        <x:v>3029</x:v>
      </x:c>
      <x:c r="H102" s="35" t="n">
        <x:f>IF(D102=0,"",G102/D102)</x:f>
        <x:v>0.9686600575631595</x:v>
      </x:c>
      <x:c r="I102" s="34" t="n">
        <x:v>91</x:v>
      </x:c>
      <x:c r="J102" s="35" t="n">
        <x:f>IF(D102=0,"",I102/D102)</x:f>
        <x:v>0.02910137511992325</x:v>
      </x:c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20" t="str">
        <x:v>9月</x:v>
      </x:c>
      <x:c r="B103" s="20" t="str">
        <x:v>新北市</x:v>
      </x:c>
      <x:c r="C103" s="20" t="str">
        <x:v>ZK2</x:v>
      </x:c>
      <x:c r="D103" s="23" t="n">
        <x:v>3099</x:v>
      </x:c>
      <x:c r="E103" s="23" t="n">
        <x:v>12</x:v>
      </x:c>
      <x:c r="F103" s="24" t="n">
        <x:f>IF(D103=0,"",E103/D103)</x:f>
        <x:v>0.003872216844143272</x:v>
      </x:c>
      <x:c r="G103" s="23" t="n">
        <x:v>1829</x:v>
      </x:c>
      <x:c r="H103" s="24" t="n">
        <x:f>IF(D103=0,"",G103/D103)</x:f>
        <x:v>0.590190383994837</x:v>
      </x:c>
      <x:c r="I103" s="23" t="n">
        <x:v>1258</x:v>
      </x:c>
      <x:c r="J103" s="24" t="n">
        <x:f>IF(D103=0,"",I103/D103)</x:f>
        <x:v>0.4059373991610197</x:v>
      </x:c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25" t="str">
        <x:v>9月</x:v>
      </x:c>
      <x:c r="B104" s="25" t="str">
        <x:v>新北市</x:v>
      </x:c>
      <x:c r="C104" s="25" t="str">
        <x:v>ZK3</x:v>
      </x:c>
      <x:c r="D104" s="34" t="n">
        <x:v>2984</x:v>
      </x:c>
      <x:c r="E104" s="34" t="n">
        <x:v>85</x:v>
      </x:c>
      <x:c r="F104" s="35" t="n">
        <x:f>IF(D104=0,"",E104/D104)</x:f>
        <x:v>0.02848525469168901</x:v>
      </x:c>
      <x:c r="G104" s="34" t="n">
        <x:v>2395</x:v>
      </x:c>
      <x:c r="H104" s="35" t="n">
        <x:f>IF(D104=0,"",G104/D104)</x:f>
        <x:v>0.8026139410187667</x:v>
      </x:c>
      <x:c r="I104" s="34" t="n">
        <x:v>504</x:v>
      </x:c>
      <x:c r="J104" s="35" t="n">
        <x:f>IF(D104=0,"",I104/D104)</x:f>
        <x:v>0.16890080428954424</x:v>
      </x:c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20" t="str">
        <x:v>9月</x:v>
      </x:c>
      <x:c r="B105" s="20" t="str">
        <x:v>新北市</x:v>
      </x:c>
      <x:c r="C105" s="20" t="str">
        <x:v>ZO2</x:v>
      </x:c>
      <x:c r="D105" s="23" t="n">
        <x:v>2790</x:v>
      </x:c>
      <x:c r="E105" s="23" t="n">
        <x:v>68</x:v>
      </x:c>
      <x:c r="F105" s="24" t="n">
        <x:f>IF(D105=0,"",E105/D105)</x:f>
        <x:v>0.024372759856630826</x:v>
      </x:c>
      <x:c r="G105" s="23" t="n">
        <x:v>2136</x:v>
      </x:c>
      <x:c r="H105" s="24" t="n">
        <x:f>IF(D105=0,"",G105/D105)</x:f>
        <x:v>0.7655913978494624</x:v>
      </x:c>
      <x:c r="I105" s="23" t="n">
        <x:v>586</x:v>
      </x:c>
      <x:c r="J105" s="24" t="n">
        <x:f>IF(D105=0,"",I105/D105)</x:f>
        <x:v>0.21003584229390682</x:v>
      </x:c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25" t="str">
        <x:v>9月</x:v>
      </x:c>
      <x:c r="B106" s="25" t="str">
        <x:v>新北市</x:v>
      </x:c>
      <x:c r="C106" s="25" t="str">
        <x:v>ZM</x:v>
      </x:c>
      <x:c r="D106" s="34" t="n">
        <x:v>2578</x:v>
      </x:c>
      <x:c r="E106" s="34" t="n">
        <x:v>23</x:v>
      </x:c>
      <x:c r="F106" s="35" t="n">
        <x:f>IF(D106=0,"",E106/D106)</x:f>
        <x:v>0.008921644685802949</x:v>
      </x:c>
      <x:c r="G106" s="34" t="n">
        <x:v>2148</x:v>
      </x:c>
      <x:c r="H106" s="35" t="n">
        <x:f>IF(D106=0,"",G106/D106)</x:f>
        <x:v>0.8332040341349883</x:v>
      </x:c>
      <x:c r="I106" s="34" t="n">
        <x:v>407</x:v>
      </x:c>
      <x:c r="J106" s="35" t="n">
        <x:f>IF(D106=0,"",I106/D106)</x:f>
        <x:v>0.1578743211792087</x:v>
      </x:c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20" t="str">
        <x:v>9月</x:v>
      </x:c>
      <x:c r="B107" s="20" t="str">
        <x:v>新北市</x:v>
      </x:c>
      <x:c r="C107" s="20" t="str">
        <x:v>ZX1</x:v>
      </x:c>
      <x:c r="D107" s="23" t="n">
        <x:v>2566</x:v>
      </x:c>
      <x:c r="E107" s="23" t="n">
        <x:v>3</x:v>
      </x:c>
      <x:c r="F107" s="24" t="n">
        <x:f>IF(D107=0,"",E107/D107)</x:f>
        <x:v>0.0011691348402182386</x:v>
      </x:c>
      <x:c r="G107" s="23" t="n">
        <x:v>2005</x:v>
      </x:c>
      <x:c r="H107" s="24" t="n">
        <x:f>IF(D107=0,"",G107/D107)</x:f>
        <x:v>0.7813717848791893</x:v>
      </x:c>
      <x:c r="I107" s="23" t="n">
        <x:v>558</x:v>
      </x:c>
      <x:c r="J107" s="24" t="n">
        <x:f>IF(D107=0,"",I107/D107)</x:f>
        <x:v>0.21745908028059235</x:v>
      </x:c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25" t="str">
        <x:v>9月</x:v>
      </x:c>
      <x:c r="B108" s="25" t="str">
        <x:v>新北市</x:v>
      </x:c>
      <x:c r="C108" s="25" t="str">
        <x:v>ZO4</x:v>
      </x:c>
      <x:c r="D108" s="34" t="n">
        <x:v>2424</x:v>
      </x:c>
      <x:c r="E108" s="34" t="n">
        <x:v>197</x:v>
      </x:c>
      <x:c r="F108" s="35" t="n">
        <x:f>IF(D108=0,"",E108/D108)</x:f>
        <x:v>0.08127062706270627</x:v>
      </x:c>
      <x:c r="G108" s="34" t="n">
        <x:v>1838</x:v>
      </x:c>
      <x:c r="H108" s="35" t="n">
        <x:f>IF(D108=0,"",G108/D108)</x:f>
        <x:v>0.7582508250825083</x:v>
      </x:c>
      <x:c r="I108" s="34" t="n">
        <x:v>389</x:v>
      </x:c>
      <x:c r="J108" s="35" t="n">
        <x:f>IF(D108=0,"",I108/D108)</x:f>
        <x:v>0.1604785478547855</x:v>
      </x:c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20" t="str">
        <x:v>9月</x:v>
      </x:c>
      <x:c r="B109" s="20" t="str">
        <x:v>新北市</x:v>
      </x:c>
      <x:c r="C109" s="20" t="str">
        <x:v>ZL4</x:v>
      </x:c>
      <x:c r="D109" s="23" t="n">
        <x:v>2373</x:v>
      </x:c>
      <x:c r="E109" s="23" t="n">
        <x:v>2</x:v>
      </x:c>
      <x:c r="F109" s="24" t="n">
        <x:f>IF(D109=0,"",E109/D109)</x:f>
        <x:v>0.0008428150021070375</x:v>
      </x:c>
      <x:c r="G109" s="23" t="n">
        <x:v>1751</x:v>
      </x:c>
      <x:c r="H109" s="24" t="n">
        <x:f>IF(D109=0,"",G109/D109)</x:f>
        <x:v>0.7378845343447114</x:v>
      </x:c>
      <x:c r="I109" s="23" t="n">
        <x:v>620</x:v>
      </x:c>
      <x:c r="J109" s="24" t="n">
        <x:f>IF(D109=0,"",I109/D109)</x:f>
        <x:v>0.2612726506531816</x:v>
      </x:c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25" t="str">
        <x:v>9月</x:v>
      </x:c>
      <x:c r="B110" s="25" t="str">
        <x:v>新北市</x:v>
      </x:c>
      <x:c r="C110" s="25" t="str">
        <x:v>ZW3</x:v>
      </x:c>
      <x:c r="D110" s="34" t="n">
        <x:v>2344</x:v>
      </x:c>
      <x:c r="E110" s="34" t="n">
        <x:v>16</x:v>
      </x:c>
      <x:c r="F110" s="35" t="n">
        <x:f>IF(D110=0,"",E110/D110)</x:f>
        <x:v>0.006825938566552901</x:v>
      </x:c>
      <x:c r="G110" s="34" t="n">
        <x:v>1699</x:v>
      </x:c>
      <x:c r="H110" s="35" t="n">
        <x:f>IF(D110=0,"",G110/D110)</x:f>
        <x:v>0.7248293515358362</x:v>
      </x:c>
      <x:c r="I110" s="34" t="n">
        <x:v>629</x:v>
      </x:c>
      <x:c r="J110" s="35" t="n">
        <x:f>IF(D110=0,"",I110/D110)</x:f>
        <x:v>0.26834470989761094</x:v>
      </x:c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20" t="str">
        <x:v>9月</x:v>
      </x:c>
      <x:c r="B111" s="20" t="str">
        <x:v>新北市</x:v>
      </x:c>
      <x:c r="C111" s="20" t="str">
        <x:v>ZG2</x:v>
      </x:c>
      <x:c r="D111" s="23" t="n">
        <x:v>2291</x:v>
      </x:c>
      <x:c r="E111" s="23" t="n">
        <x:v>19</x:v>
      </x:c>
      <x:c r="F111" s="24" t="n">
        <x:f>IF(D111=0,"",E111/D111)</x:f>
        <x:v>0.008293321693583587</x:v>
      </x:c>
      <x:c r="G111" s="23" t="n">
        <x:v>180</x:v>
      </x:c>
      <x:c r="H111" s="24" t="n">
        <x:f>IF(D111=0,"",G111/D111)</x:f>
        <x:v>0.0785683107813182</x:v>
      </x:c>
      <x:c r="I111" s="23" t="n">
        <x:v>2092</x:v>
      </x:c>
      <x:c r="J111" s="24" t="n">
        <x:f>IF(D111=0,"",I111/D111)</x:f>
        <x:v>0.9131383675250982</x:v>
      </x:c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25" t="str">
        <x:v>9月</x:v>
      </x:c>
      <x:c r="B112" s="25" t="str">
        <x:v>新北市</x:v>
      </x:c>
      <x:c r="C112" s="25" t="str">
        <x:v>ZX2</x:v>
      </x:c>
      <x:c r="D112" s="34" t="n">
        <x:v>2188</x:v>
      </x:c>
      <x:c r="E112" s="34" t="n">
        <x:v>25</x:v>
      </x:c>
      <x:c r="F112" s="35" t="n">
        <x:f>IF(D112=0,"",E112/D112)</x:f>
        <x:v>0.011425959780621572</x:v>
      </x:c>
      <x:c r="G112" s="34" t="n">
        <x:v>1679</x:v>
      </x:c>
      <x:c r="H112" s="35" t="n">
        <x:f>IF(D112=0,"",G112/D112)</x:f>
        <x:v>0.7673674588665448</x:v>
      </x:c>
      <x:c r="I112" s="34" t="n">
        <x:v>484</x:v>
      </x:c>
      <x:c r="J112" s="35" t="n">
        <x:f>IF(D112=0,"",I112/D112)</x:f>
        <x:v>0.22120658135283364</x:v>
      </x:c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20" t="str">
        <x:v>9月</x:v>
      </x:c>
      <x:c r="B113" s="20" t="str">
        <x:v>新北市</x:v>
      </x:c>
      <x:c r="C113" s="20" t="str">
        <x:v>ZW2</x:v>
      </x:c>
      <x:c r="D113" s="23" t="n">
        <x:v>2154</x:v>
      </x:c>
      <x:c r="E113" s="23" t="n">
        <x:v>3</x:v>
      </x:c>
      <x:c r="F113" s="24" t="n">
        <x:f>IF(D113=0,"",E113/D113)</x:f>
        <x:v>0.001392757660167131</x:v>
      </x:c>
      <x:c r="G113" s="23" t="n">
        <x:v>1763</x:v>
      </x:c>
      <x:c r="H113" s="24" t="n">
        <x:f>IF(D113=0,"",G113/D113)</x:f>
        <x:v>0.8184772516248839</x:v>
      </x:c>
      <x:c r="I113" s="23" t="n">
        <x:v>388</x:v>
      </x:c>
      <x:c r="J113" s="24" t="n">
        <x:f>IF(D113=0,"",I113/D113)</x:f>
        <x:v>0.18012999071494892</x:v>
      </x:c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25" t="str">
        <x:v>9月</x:v>
      </x:c>
      <x:c r="B114" s="25" t="str">
        <x:v>新北市</x:v>
      </x:c>
      <x:c r="C114" s="25" t="str">
        <x:v>ZK1</x:v>
      </x:c>
      <x:c r="D114" s="34" t="n">
        <x:v>2151</x:v>
      </x:c>
      <x:c r="E114" s="34" t="n">
        <x:v>1</x:v>
      </x:c>
      <x:c r="F114" s="35" t="n">
        <x:f>IF(D114=0,"",E114/D114)</x:f>
        <x:v>0.00046490004649000463</x:v>
      </x:c>
      <x:c r="G114" s="34" t="n">
        <x:v>1870</x:v>
      </x:c>
      <x:c r="H114" s="35" t="n">
        <x:f>IF(D114=0,"",G114/D114)</x:f>
        <x:v>0.8693630869363087</x:v>
      </x:c>
      <x:c r="I114" s="34" t="n">
        <x:v>280</x:v>
      </x:c>
      <x:c r="J114" s="35" t="n">
        <x:f>IF(D114=0,"",I114/D114)</x:f>
        <x:v>0.1301720130172013</x:v>
      </x:c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20" t="str">
        <x:v>9月</x:v>
      </x:c>
      <x:c r="B115" s="20" t="str">
        <x:v>新北市</x:v>
      </x:c>
      <x:c r="C115" s="20" t="str">
        <x:v>ZS</x:v>
      </x:c>
      <x:c r="D115" s="23" t="n">
        <x:v>2127</x:v>
      </x:c>
      <x:c r="E115" s="23" t="n">
        <x:v>35</x:v>
      </x:c>
      <x:c r="F115" s="24" t="n">
        <x:f>IF(D115=0,"",E115/D115)</x:f>
        <x:v>0.016455101081335213</x:v>
      </x:c>
      <x:c r="G115" s="23" t="n">
        <x:v>1675</x:v>
      </x:c>
      <x:c r="H115" s="24" t="n">
        <x:f>IF(D115=0,"",G115/D115)</x:f>
        <x:v>0.7874941231781852</x:v>
      </x:c>
      <x:c r="I115" s="23" t="n">
        <x:v>417</x:v>
      </x:c>
      <x:c r="J115" s="24" t="n">
        <x:f>IF(D115=0,"",I115/D115)</x:f>
        <x:v>0.19605077574047955</x:v>
      </x:c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25" t="str">
        <x:v>9月</x:v>
      </x:c>
      <x:c r="B116" s="25" t="str">
        <x:v>新北市</x:v>
      </x:c>
      <x:c r="C116" s="25" t="str">
        <x:v>ZV1</x:v>
      </x:c>
      <x:c r="D116" s="34" t="n">
        <x:v>2045</x:v>
      </x:c>
      <x:c r="E116" s="34" t="n">
        <x:v>11</x:v>
      </x:c>
      <x:c r="F116" s="35" t="n">
        <x:f>IF(D116=0,"",E116/D116)</x:f>
        <x:v>0.0053789731051344745</x:v>
      </x:c>
      <x:c r="G116" s="34" t="n">
        <x:v>462</x:v>
      </x:c>
      <x:c r="H116" s="35" t="n">
        <x:f>IF(D116=0,"",G116/D116)</x:f>
        <x:v>0.22591687041564792</x:v>
      </x:c>
      <x:c r="I116" s="34" t="n">
        <x:v>1572</x:v>
      </x:c>
      <x:c r="J116" s="35" t="n">
        <x:f>IF(D116=0,"",I116/D116)</x:f>
        <x:v>0.7687041564792176</x:v>
      </x:c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20" t="str">
        <x:v>9月</x:v>
      </x:c>
      <x:c r="B117" s="20" t="str">
        <x:v>新北市</x:v>
      </x:c>
      <x:c r="C117" s="20" t="str">
        <x:v>ZG1</x:v>
      </x:c>
      <x:c r="D117" s="23" t="n">
        <x:v>1979</x:v>
      </x:c>
      <x:c r="E117" s="23" t="n">
        <x:v>7</x:v>
      </x:c>
      <x:c r="F117" s="24" t="n">
        <x:f>IF(D117=0,"",E117/D117)</x:f>
        <x:v>0.0035371399696816574</x:v>
      </x:c>
      <x:c r="G117" s="23" t="n">
        <x:v>331</x:v>
      </x:c>
      <x:c r="H117" s="24" t="n">
        <x:f>IF(D117=0,"",G117/D117)</x:f>
        <x:v>0.16725618999494693</x:v>
      </x:c>
      <x:c r="I117" s="23" t="n">
        <x:v>1641</x:v>
      </x:c>
      <x:c r="J117" s="24" t="n">
        <x:f>IF(D117=0,"",I117/D117)</x:f>
        <x:v>0.8292066700353714</x:v>
      </x:c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25" t="str">
        <x:v>9月</x:v>
      </x:c>
      <x:c r="B118" s="25" t="str">
        <x:v>新北市</x:v>
      </x:c>
      <x:c r="C118" s="25" t="str">
        <x:v>ZT1</x:v>
      </x:c>
      <x:c r="D118" s="34" t="n">
        <x:v>1876</x:v>
      </x:c>
      <x:c r="E118" s="34" t="n">
        <x:v>69</x:v>
      </x:c>
      <x:c r="F118" s="35" t="n">
        <x:f>IF(D118=0,"",E118/D118)</x:f>
        <x:v>0.036780383795309166</x:v>
      </x:c>
      <x:c r="G118" s="34" t="n">
        <x:v>1116</x:v>
      </x:c>
      <x:c r="H118" s="35" t="n">
        <x:f>IF(D118=0,"",G118/D118)</x:f>
        <x:v>0.5948827292110874</x:v>
      </x:c>
      <x:c r="I118" s="34" t="n">
        <x:v>691</x:v>
      </x:c>
      <x:c r="J118" s="35" t="n">
        <x:f>IF(D118=0,"",I118/D118)</x:f>
        <x:v>0.3683368869936034</x:v>
      </x:c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20" t="str">
        <x:v>9月</x:v>
      </x:c>
      <x:c r="B119" s="20" t="str">
        <x:v>新北市</x:v>
      </x:c>
      <x:c r="C119" s="20" t="str">
        <x:v>ZV2</x:v>
      </x:c>
      <x:c r="D119" s="23" t="n">
        <x:v>1525</x:v>
      </x:c>
      <x:c r="E119" s="23" t="n">
        <x:v>37</x:v>
      </x:c>
      <x:c r="F119" s="24" t="n">
        <x:f>IF(D119=0,"",E119/D119)</x:f>
        <x:v>0.024262295081967214</x:v>
      </x:c>
      <x:c r="G119" s="23" t="n">
        <x:v>507</x:v>
      </x:c>
      <x:c r="H119" s="24" t="n">
        <x:f>IF(D119=0,"",G119/D119)</x:f>
        <x:v>0.3324590163934426</x:v>
      </x:c>
      <x:c r="I119" s="23" t="n">
        <x:v>981</x:v>
      </x:c>
      <x:c r="J119" s="24" t="n">
        <x:f>IF(D119=0,"",I119/D119)</x:f>
        <x:v>0.6432786885245901</x:v>
      </x:c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25" t="str">
        <x:v>9月</x:v>
      </x:c>
      <x:c r="B120" s="25" t="str">
        <x:v>新北市</x:v>
      </x:c>
      <x:c r="C120" s="25" t="str">
        <x:v>ZR3</x:v>
      </x:c>
      <x:c r="D120" s="34" t="n">
        <x:v>1221</x:v>
      </x:c>
      <x:c r="E120" s="34" t="n">
        <x:v>3</x:v>
      </x:c>
      <x:c r="F120" s="35" t="n">
        <x:f>IF(D120=0,"",E120/D120)</x:f>
        <x:v>0.002457002457002457</x:v>
      </x:c>
      <x:c r="G120" s="34" t="n">
        <x:v>938</x:v>
      </x:c>
      <x:c r="H120" s="35" t="n">
        <x:f>IF(D120=0,"",G120/D120)</x:f>
        <x:v>0.7682227682227682</x:v>
      </x:c>
      <x:c r="I120" s="34" t="n">
        <x:v>280</x:v>
      </x:c>
      <x:c r="J120" s="35" t="n">
        <x:f>IF(D120=0,"",I120/D120)</x:f>
        <x:v>0.22932022932022933</x:v>
      </x:c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20" t="str">
        <x:v>9月</x:v>
      </x:c>
      <x:c r="B121" s="20" t="str">
        <x:v>新北市</x:v>
      </x:c>
      <x:c r="C121" s="20" t="str">
        <x:v>新北維護所</x:v>
      </x:c>
      <x:c r="D121" s="23" t="n">
        <x:v>927</x:v>
      </x:c>
      <x:c r="E121" s="23" t="n">
        <x:v>0</x:v>
      </x:c>
      <x:c r="F121" s="24" t="n">
        <x:f>IF(D121=0,"",E121/D121)</x:f>
        <x:v>0</x:v>
      </x:c>
      <x:c r="G121" s="23" t="n">
        <x:v>927</x:v>
      </x:c>
      <x:c r="H121" s="24" t="n">
        <x:f>IF(D121=0,"",G121/D121)</x:f>
        <x:v>1</x:v>
      </x:c>
      <x:c r="I121" s="23" t="n">
        <x:v>0</x:v>
      </x:c>
      <x:c r="J121" s="24" t="n">
        <x:f>IF(D121=0,"",I121/D121)</x:f>
        <x:v>0</x:v>
      </x:c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25" t="str">
        <x:v>9月</x:v>
      </x:c>
      <x:c r="B122" s="25" t="str">
        <x:v>新北市</x:v>
      </x:c>
      <x:c r="C122" s="25" t="str">
        <x:v>ZU</x:v>
      </x:c>
      <x:c r="D122" s="34" t="n">
        <x:v>119</x:v>
      </x:c>
      <x:c r="E122" s="34" t="n">
        <x:v>2</x:v>
      </x:c>
      <x:c r="F122" s="35" t="n">
        <x:f>IF(D122=0,"",E122/D122)</x:f>
        <x:v>0.01680672268907563</x:v>
      </x:c>
      <x:c r="G122" s="34" t="n">
        <x:v>32</x:v>
      </x:c>
      <x:c r="H122" s="35" t="n">
        <x:f>IF(D122=0,"",G122/D122)</x:f>
        <x:v>0.2689075630252101</x:v>
      </x:c>
      <x:c r="I122" s="34" t="n">
        <x:v>85</x:v>
      </x:c>
      <x:c r="J122" s="35" t="n">
        <x:f>IF(D122=0,"",I122/D122)</x:f>
        <x:v>0.7142857142857143</x:v>
      </x:c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20" t="str">
        <x:v>9月</x:v>
      </x:c>
      <x:c r="B123" s="20" t="str">
        <x:v>新北市</x:v>
      </x:c>
      <x:c r="C123" s="20" t="str">
        <x:v>ZP2</x:v>
      </x:c>
      <x:c r="D123" s="23" t="n">
        <x:v>78</x:v>
      </x:c>
      <x:c r="E123" s="23" t="n">
        <x:v>0</x:v>
      </x:c>
      <x:c r="F123" s="24" t="n">
        <x:f>IF(D123=0,"",E123/D123)</x:f>
        <x:v>0</x:v>
      </x:c>
      <x:c r="G123" s="23" t="n">
        <x:v>5</x:v>
      </x:c>
      <x:c r="H123" s="24" t="n">
        <x:f>IF(D123=0,"",G123/D123)</x:f>
        <x:v>0.0641025641025641</x:v>
      </x:c>
      <x:c r="I123" s="23" t="n">
        <x:v>73</x:v>
      </x:c>
      <x:c r="J123" s="24" t="n">
        <x:f>IF(D123=0,"",I123/D123)</x:f>
        <x:v>0.9358974358974359</x:v>
      </x:c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25" t="str">
        <x:v>10月</x:v>
      </x:c>
      <x:c r="B124" s="25" t="str">
        <x:v>台北市</x:v>
      </x:c>
      <x:c r="C124" s="25" t="str">
        <x:v>ZA1</x:v>
      </x:c>
      <x:c r="D124" s="34" t="n">
        <x:v>3484</x:v>
      </x:c>
      <x:c r="E124" s="34" t="n">
        <x:v>168</x:v>
      </x:c>
      <x:c r="F124" s="35" t="n">
        <x:f>IF(D124=0,"",E124/D124)</x:f>
        <x:v>0.04822043628013777</x:v>
      </x:c>
      <x:c r="G124" s="34" t="n">
        <x:v>891</x:v>
      </x:c>
      <x:c r="H124" s="35" t="n">
        <x:f>IF(D124=0,"",G124/D124)</x:f>
        <x:v>0.25574052812858783</x:v>
      </x:c>
      <x:c r="I124" s="34" t="n">
        <x:v>2425</x:v>
      </x:c>
      <x:c r="J124" s="35" t="n">
        <x:f>IF(D124=0,"",I124/D124)</x:f>
        <x:v>0.6960390355912744</x:v>
      </x:c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20" t="str">
        <x:v>10月</x:v>
      </x:c>
      <x:c r="B125" s="20" t="str">
        <x:v>台北市</x:v>
      </x:c>
      <x:c r="C125" s="20" t="str">
        <x:v>ZU</x:v>
      </x:c>
      <x:c r="D125" s="23" t="n">
        <x:v>3362</x:v>
      </x:c>
      <x:c r="E125" s="23" t="n">
        <x:v>28</x:v>
      </x:c>
      <x:c r="F125" s="24" t="n">
        <x:f>IF(D125=0,"",E125/D125)</x:f>
        <x:v>0.008328375966686495</x:v>
      </x:c>
      <x:c r="G125" s="23" t="n">
        <x:v>775</x:v>
      </x:c>
      <x:c r="H125" s="24" t="n">
        <x:f>IF(D125=0,"",G125/D125)</x:f>
        <x:v>0.23051754907792982</x:v>
      </x:c>
      <x:c r="I125" s="23" t="n">
        <x:v>2559</x:v>
      </x:c>
      <x:c r="J125" s="24" t="n">
        <x:f>IF(D125=0,"",I125/D125)</x:f>
        <x:v>0.7611540749553837</x:v>
      </x:c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25" t="str">
        <x:v>10月</x:v>
      </x:c>
      <x:c r="B126" s="25" t="str">
        <x:v>台北市</x:v>
      </x:c>
      <x:c r="C126" s="25" t="str">
        <x:v>ZA2</x:v>
      </x:c>
      <x:c r="D126" s="34" t="n">
        <x:v>3256</x:v>
      </x:c>
      <x:c r="E126" s="34" t="n">
        <x:v>0</x:v>
      </x:c>
      <x:c r="F126" s="35" t="n">
        <x:f>IF(D126=0,"",E126/D126)</x:f>
        <x:v>0</x:v>
      </x:c>
      <x:c r="G126" s="34" t="n">
        <x:v>437</x:v>
      </x:c>
      <x:c r="H126" s="35" t="n">
        <x:f>IF(D126=0,"",G126/D126)</x:f>
        <x:v>0.13421375921375922</x:v>
      </x:c>
      <x:c r="I126" s="34" t="n">
        <x:v>2819</x:v>
      </x:c>
      <x:c r="J126" s="35" t="n">
        <x:f>IF(D126=0,"",I126/D126)</x:f>
        <x:v>0.8657862407862408</x:v>
      </x:c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20" t="str">
        <x:v>10月</x:v>
      </x:c>
      <x:c r="B127" s="20" t="str">
        <x:v>台北市</x:v>
      </x:c>
      <x:c r="C127" s="20" t="str">
        <x:v>ZH2</x:v>
      </x:c>
      <x:c r="D127" s="23" t="n">
        <x:v>3228</x:v>
      </x:c>
      <x:c r="E127" s="23" t="n">
        <x:v>9</x:v>
      </x:c>
      <x:c r="F127" s="24" t="n">
        <x:f>IF(D127=0,"",E127/D127)</x:f>
        <x:v>0.0027881040892193307</x:v>
      </x:c>
      <x:c r="G127" s="23" t="n">
        <x:v>113</x:v>
      </x:c>
      <x:c r="H127" s="24" t="n">
        <x:f>IF(D127=0,"",G127/D127)</x:f>
        <x:v>0.03500619578686493</x:v>
      </x:c>
      <x:c r="I127" s="23" t="n">
        <x:v>3106</x:v>
      </x:c>
      <x:c r="J127" s="24" t="n">
        <x:f>IF(D127=0,"",I127/D127)</x:f>
        <x:v>0.9622057001239157</x:v>
      </x:c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25" t="str">
        <x:v>10月</x:v>
      </x:c>
      <x:c r="B128" s="25" t="str">
        <x:v>台北市</x:v>
      </x:c>
      <x:c r="C128" s="25" t="str">
        <x:v>ZB2</x:v>
      </x:c>
      <x:c r="D128" s="34" t="n">
        <x:v>3215</x:v>
      </x:c>
      <x:c r="E128" s="34" t="n">
        <x:v>91</x:v>
      </x:c>
      <x:c r="F128" s="35" t="n">
        <x:f>IF(D128=0,"",E128/D128)</x:f>
        <x:v>0.028304821150855364</x:v>
      </x:c>
      <x:c r="G128" s="34" t="n">
        <x:v>1231</x:v>
      </x:c>
      <x:c r="H128" s="35" t="n">
        <x:f>IF(D128=0,"",G128/D128)</x:f>
        <x:v>0.3828926905132193</x:v>
      </x:c>
      <x:c r="I128" s="34" t="n">
        <x:v>1893</x:v>
      </x:c>
      <x:c r="J128" s="35" t="n">
        <x:f>IF(D128=0,"",I128/D128)</x:f>
        <x:v>0.5888024883359253</x:v>
      </x:c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20" t="str">
        <x:v>10月</x:v>
      </x:c>
      <x:c r="B129" s="20" t="str">
        <x:v>台北市</x:v>
      </x:c>
      <x:c r="C129" s="20" t="str">
        <x:v>ZD1</x:v>
      </x:c>
      <x:c r="D129" s="23" t="n">
        <x:v>2952</x:v>
      </x:c>
      <x:c r="E129" s="23" t="n">
        <x:v>3</x:v>
      </x:c>
      <x:c r="F129" s="24" t="n">
        <x:f>IF(D129=0,"",E129/D129)</x:f>
        <x:v>0.0010162601626016261</x:v>
      </x:c>
      <x:c r="G129" s="23" t="n">
        <x:v>422</x:v>
      </x:c>
      <x:c r="H129" s="24" t="n">
        <x:f>IF(D129=0,"",G129/D129)</x:f>
        <x:v>0.1429539295392954</x:v>
      </x:c>
      <x:c r="I129" s="23" t="n">
        <x:v>2527</x:v>
      </x:c>
      <x:c r="J129" s="24" t="n">
        <x:f>IF(D129=0,"",I129/D129)</x:f>
        <x:v>0.856029810298103</x:v>
      </x:c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25" t="str">
        <x:v>10月</x:v>
      </x:c>
      <x:c r="B130" s="25" t="str">
        <x:v>台北市</x:v>
      </x:c>
      <x:c r="C130" s="25" t="str">
        <x:v>ZH1</x:v>
      </x:c>
      <x:c r="D130" s="34" t="n">
        <x:v>2660</x:v>
      </x:c>
      <x:c r="E130" s="34" t="n">
        <x:v>3</x:v>
      </x:c>
      <x:c r="F130" s="35" t="n">
        <x:f>IF(D130=0,"",E130/D130)</x:f>
        <x:v>0.0011278195488721805</x:v>
      </x:c>
      <x:c r="G130" s="34" t="n">
        <x:v>195</x:v>
      </x:c>
      <x:c r="H130" s="35" t="n">
        <x:f>IF(D130=0,"",G130/D130)</x:f>
        <x:v>0.07330827067669173</x:v>
      </x:c>
      <x:c r="I130" s="34" t="n">
        <x:v>2462</x:v>
      </x:c>
      <x:c r="J130" s="35" t="n">
        <x:f>IF(D130=0,"",I130/D130)</x:f>
        <x:v>0.9255639097744361</x:v>
      </x:c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20" t="str">
        <x:v>10月</x:v>
      </x:c>
      <x:c r="B131" s="20" t="str">
        <x:v>台北市</x:v>
      </x:c>
      <x:c r="C131" s="20" t="str">
        <x:v>ZN2</x:v>
      </x:c>
      <x:c r="D131" s="23" t="n">
        <x:v>2149</x:v>
      </x:c>
      <x:c r="E131" s="23" t="n">
        <x:v>2</x:v>
      </x:c>
      <x:c r="F131" s="24" t="n">
        <x:f>IF(D131=0,"",E131/D131)</x:f>
        <x:v>0.0009306654257794323</x:v>
      </x:c>
      <x:c r="G131" s="23" t="n">
        <x:v>339</x:v>
      </x:c>
      <x:c r="H131" s="24" t="n">
        <x:f>IF(D131=0,"",G131/D131)</x:f>
        <x:v>0.15774778966961378</x:v>
      </x:c>
      <x:c r="I131" s="23" t="n">
        <x:v>1808</x:v>
      </x:c>
      <x:c r="J131" s="24" t="n">
        <x:f>IF(D131=0,"",I131/D131)</x:f>
        <x:v>0.8413215449046068</x:v>
      </x:c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25" t="str">
        <x:v>10月</x:v>
      </x:c>
      <x:c r="B132" s="25" t="str">
        <x:v>台北市</x:v>
      </x:c>
      <x:c r="C132" s="25" t="str">
        <x:v>ZE1</x:v>
      </x:c>
      <x:c r="D132" s="34" t="n">
        <x:v>2140</x:v>
      </x:c>
      <x:c r="E132" s="34" t="n">
        <x:v>5</x:v>
      </x:c>
      <x:c r="F132" s="35" t="n">
        <x:f>IF(D132=0,"",E132/D132)</x:f>
        <x:v>0.002336448598130841</x:v>
      </x:c>
      <x:c r="G132" s="34" t="n">
        <x:v>641</x:v>
      </x:c>
      <x:c r="H132" s="35" t="n">
        <x:f>IF(D132=0,"",G132/D132)</x:f>
        <x:v>0.2995327102803738</x:v>
      </x:c>
      <x:c r="I132" s="34" t="n">
        <x:v>1494</x:v>
      </x:c>
      <x:c r="J132" s="35" t="n">
        <x:f>IF(D132=0,"",I132/D132)</x:f>
        <x:v>0.6981308411214954</x:v>
      </x:c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20" t="str">
        <x:v>10月</x:v>
      </x:c>
      <x:c r="B133" s="20" t="str">
        <x:v>台北市</x:v>
      </x:c>
      <x:c r="C133" s="20" t="str">
        <x:v>ZN1</x:v>
      </x:c>
      <x:c r="D133" s="23" t="n">
        <x:v>2102</x:v>
      </x:c>
      <x:c r="E133" s="23" t="n">
        <x:v>2</x:v>
      </x:c>
      <x:c r="F133" s="24" t="n">
        <x:f>IF(D133=0,"",E133/D133)</x:f>
        <x:v>0.0009514747859181732</x:v>
      </x:c>
      <x:c r="G133" s="23" t="n">
        <x:v>432</x:v>
      </x:c>
      <x:c r="H133" s="24" t="n">
        <x:f>IF(D133=0,"",G133/D133)</x:f>
        <x:v>0.2055185537583254</x:v>
      </x:c>
      <x:c r="I133" s="23" t="n">
        <x:v>1668</x:v>
      </x:c>
      <x:c r="J133" s="24" t="n">
        <x:f>IF(D133=0,"",I133/D133)</x:f>
        <x:v>0.7935299714557564</x:v>
      </x:c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25" t="str">
        <x:v>10月</x:v>
      </x:c>
      <x:c r="B134" s="25" t="str">
        <x:v>台北市</x:v>
      </x:c>
      <x:c r="C134" s="25" t="str">
        <x:v>ZP1</x:v>
      </x:c>
      <x:c r="D134" s="34" t="n">
        <x:v>1834</x:v>
      </x:c>
      <x:c r="E134" s="34" t="n">
        <x:v>7</x:v>
      </x:c>
      <x:c r="F134" s="35" t="n">
        <x:f>IF(D134=0,"",E134/D134)</x:f>
        <x:v>0.003816793893129771</x:v>
      </x:c>
      <x:c r="G134" s="34" t="n">
        <x:v>774</x:v>
      </x:c>
      <x:c r="H134" s="35" t="n">
        <x:f>IF(D134=0,"",G134/D134)</x:f>
        <x:v>0.42202835332606325</x:v>
      </x:c>
      <x:c r="I134" s="34" t="n">
        <x:v>1053</x:v>
      </x:c>
      <x:c r="J134" s="35" t="n">
        <x:f>IF(D134=0,"",I134/D134)</x:f>
        <x:v>0.574154852780807</x:v>
      </x:c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20" t="str">
        <x:v>10月</x:v>
      </x:c>
      <x:c r="B135" s="20" t="str">
        <x:v>台北市</x:v>
      </x:c>
      <x:c r="C135" s="20" t="str">
        <x:v>ZI2</x:v>
      </x:c>
      <x:c r="D135" s="23" t="n">
        <x:v>1820</x:v>
      </x:c>
      <x:c r="E135" s="23" t="n">
        <x:v>13</x:v>
      </x:c>
      <x:c r="F135" s="24" t="n">
        <x:f>IF(D135=0,"",E135/D135)</x:f>
        <x:v>0.007142857142857143</x:v>
      </x:c>
      <x:c r="G135" s="23" t="n">
        <x:v>965</x:v>
      </x:c>
      <x:c r="H135" s="24" t="n">
        <x:f>IF(D135=0,"",G135/D135)</x:f>
        <x:v>0.5302197802197802</x:v>
      </x:c>
      <x:c r="I135" s="23" t="n">
        <x:v>842</x:v>
      </x:c>
      <x:c r="J135" s="24" t="n">
        <x:f>IF(D135=0,"",I135/D135)</x:f>
        <x:v>0.46263736263736266</x:v>
      </x:c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25" t="str">
        <x:v>10月</x:v>
      </x:c>
      <x:c r="B136" s="25" t="str">
        <x:v>台北市</x:v>
      </x:c>
      <x:c r="C136" s="25" t="str">
        <x:v>ZD2</x:v>
      </x:c>
      <x:c r="D136" s="34" t="n">
        <x:v>1768</x:v>
      </x:c>
      <x:c r="E136" s="34" t="n">
        <x:v>17</x:v>
      </x:c>
      <x:c r="F136" s="35" t="n">
        <x:f>IF(D136=0,"",E136/D136)</x:f>
        <x:v>0.009615384615384616</x:v>
      </x:c>
      <x:c r="G136" s="34" t="n">
        <x:v>345</x:v>
      </x:c>
      <x:c r="H136" s="35" t="n">
        <x:f>IF(D136=0,"",G136/D136)</x:f>
        <x:v>0.19513574660633484</x:v>
      </x:c>
      <x:c r="I136" s="34" t="n">
        <x:v>1406</x:v>
      </x:c>
      <x:c r="J136" s="35" t="n">
        <x:f>IF(D136=0,"",I136/D136)</x:f>
        <x:v>0.7952488687782805</x:v>
      </x:c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20" t="str">
        <x:v>10月</x:v>
      </x:c>
      <x:c r="B137" s="20" t="str">
        <x:v>台北市</x:v>
      </x:c>
      <x:c r="C137" s="20" t="str">
        <x:v>ZB3</x:v>
      </x:c>
      <x:c r="D137" s="23" t="n">
        <x:v>1727</x:v>
      </x:c>
      <x:c r="E137" s="23" t="n">
        <x:v>78</x:v>
      </x:c>
      <x:c r="F137" s="24" t="n">
        <x:f>IF(D137=0,"",E137/D137)</x:f>
        <x:v>0.0451650260567458</x:v>
      </x:c>
      <x:c r="G137" s="23" t="n">
        <x:v>847</x:v>
      </x:c>
      <x:c r="H137" s="24" t="n">
        <x:f>IF(D137=0,"",G137/D137)</x:f>
        <x:v>0.49044585987261147</x:v>
      </x:c>
      <x:c r="I137" s="23" t="n">
        <x:v>802</x:v>
      </x:c>
      <x:c r="J137" s="24" t="n">
        <x:f>IF(D137=0,"",I137/D137)</x:f>
        <x:v>0.4643891140706427</x:v>
      </x:c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25" t="str">
        <x:v>10月</x:v>
      </x:c>
      <x:c r="B138" s="25" t="str">
        <x:v>台北市</x:v>
      </x:c>
      <x:c r="C138" s="25" t="str">
        <x:v>ZC1</x:v>
      </x:c>
      <x:c r="D138" s="34" t="n">
        <x:v>1720</x:v>
      </x:c>
      <x:c r="E138" s="34" t="n">
        <x:v>3</x:v>
      </x:c>
      <x:c r="F138" s="35" t="n">
        <x:f>IF(D138=0,"",E138/D138)</x:f>
        <x:v>0.0017441860465116279</x:v>
      </x:c>
      <x:c r="G138" s="34" t="n">
        <x:v>115</x:v>
      </x:c>
      <x:c r="H138" s="35" t="n">
        <x:f>IF(D138=0,"",G138/D138)</x:f>
        <x:v>0.06686046511627906</x:v>
      </x:c>
      <x:c r="I138" s="34" t="n">
        <x:v>1602</x:v>
      </x:c>
      <x:c r="J138" s="35" t="n">
        <x:f>IF(D138=0,"",I138/D138)</x:f>
        <x:v>0.9313953488372093</x:v>
      </x:c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20" t="str">
        <x:v>10月</x:v>
      </x:c>
      <x:c r="B139" s="20" t="str">
        <x:v>台北市</x:v>
      </x:c>
      <x:c r="C139" s="20" t="str">
        <x:v>ZB1</x:v>
      </x:c>
      <x:c r="D139" s="23" t="n">
        <x:v>1619</x:v>
      </x:c>
      <x:c r="E139" s="23" t="n">
        <x:v>8</x:v>
      </x:c>
      <x:c r="F139" s="24" t="n">
        <x:f>IF(D139=0,"",E139/D139)</x:f>
        <x:v>0.004941321803582459</x:v>
      </x:c>
      <x:c r="G139" s="23" t="n">
        <x:v>322</x:v>
      </x:c>
      <x:c r="H139" s="24" t="n">
        <x:f>IF(D139=0,"",G139/D139)</x:f>
        <x:v>0.19888820259419396</x:v>
      </x:c>
      <x:c r="I139" s="23" t="n">
        <x:v>1289</x:v>
      </x:c>
      <x:c r="J139" s="24" t="n">
        <x:f>IF(D139=0,"",I139/D139)</x:f>
        <x:v>0.7961704756022236</x:v>
      </x:c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25" t="str">
        <x:v>10月</x:v>
      </x:c>
      <x:c r="B140" s="25" t="str">
        <x:v>台北市</x:v>
      </x:c>
      <x:c r="C140" s="25" t="str">
        <x:v>ZJ1</x:v>
      </x:c>
      <x:c r="D140" s="34" t="n">
        <x:v>1594</x:v>
      </x:c>
      <x:c r="E140" s="34" t="n">
        <x:v>3</x:v>
      </x:c>
      <x:c r="F140" s="35" t="n">
        <x:f>IF(D140=0,"",E140/D140)</x:f>
        <x:v>0.0018820577164366374</x:v>
      </x:c>
      <x:c r="G140" s="34" t="n">
        <x:v>147</x:v>
      </x:c>
      <x:c r="H140" s="35" t="n">
        <x:f>IF(D140=0,"",G140/D140)</x:f>
        <x:v>0.09222082810539524</x:v>
      </x:c>
      <x:c r="I140" s="34" t="n">
        <x:v>1444</x:v>
      </x:c>
      <x:c r="J140" s="35" t="n">
        <x:f>IF(D140=0,"",I140/D140)</x:f>
        <x:v>0.9058971141781681</x:v>
      </x:c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20" t="str">
        <x:v>10月</x:v>
      </x:c>
      <x:c r="B141" s="20" t="str">
        <x:v>台北市</x:v>
      </x:c>
      <x:c r="C141" s="20" t="str">
        <x:v>ZN3</x:v>
      </x:c>
      <x:c r="D141" s="23" t="n">
        <x:v>1531</x:v>
      </x:c>
      <x:c r="E141" s="23" t="n">
        <x:v>2</x:v>
      </x:c>
      <x:c r="F141" s="24" t="n">
        <x:f>IF(D141=0,"",E141/D141)</x:f>
        <x:v>0.0013063357282821686</x:v>
      </x:c>
      <x:c r="G141" s="23" t="n">
        <x:v>168</x:v>
      </x:c>
      <x:c r="H141" s="24" t="n">
        <x:f>IF(D141=0,"",G141/D141)</x:f>
        <x:v>0.10973220117570215</x:v>
      </x:c>
      <x:c r="I141" s="23" t="n">
        <x:v>1361</x:v>
      </x:c>
      <x:c r="J141" s="24" t="n">
        <x:f>IF(D141=0,"",I141/D141)</x:f>
        <x:v>0.8889614630960156</x:v>
      </x:c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25" t="str">
        <x:v>10月</x:v>
      </x:c>
      <x:c r="B142" s="25" t="str">
        <x:v>台北市</x:v>
      </x:c>
      <x:c r="C142" s="25" t="str">
        <x:v>ZI1</x:v>
      </x:c>
      <x:c r="D142" s="34" t="n">
        <x:v>1515</x:v>
      </x:c>
      <x:c r="E142" s="34" t="n">
        <x:v>4</x:v>
      </x:c>
      <x:c r="F142" s="35" t="n">
        <x:f>IF(D142=0,"",E142/D142)</x:f>
        <x:v>0.0026402640264026403</x:v>
      </x:c>
      <x:c r="G142" s="34" t="n">
        <x:v>635</x:v>
      </x:c>
      <x:c r="H142" s="35" t="n">
        <x:f>IF(D142=0,"",G142/D142)</x:f>
        <x:v>0.41914191419141916</x:v>
      </x:c>
      <x:c r="I142" s="34" t="n">
        <x:v>876</x:v>
      </x:c>
      <x:c r="J142" s="35" t="n">
        <x:f>IF(D142=0,"",I142/D142)</x:f>
        <x:v>0.5782178217821782</x:v>
      </x:c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20" t="str">
        <x:v>10月</x:v>
      </x:c>
      <x:c r="B143" s="20" t="str">
        <x:v>台北市</x:v>
      </x:c>
      <x:c r="C143" s="20" t="str">
        <x:v>ZI3</x:v>
      </x:c>
      <x:c r="D143" s="23" t="n">
        <x:v>1505</x:v>
      </x:c>
      <x:c r="E143" s="23" t="n">
        <x:v>35</x:v>
      </x:c>
      <x:c r="F143" s="24" t="n">
        <x:f>IF(D143=0,"",E143/D143)</x:f>
        <x:v>0.023255813953488372</x:v>
      </x:c>
      <x:c r="G143" s="23" t="n">
        <x:v>727</x:v>
      </x:c>
      <x:c r="H143" s="24" t="n">
        <x:f>IF(D143=0,"",G143/D143)</x:f>
        <x:v>0.4830564784053156</x:v>
      </x:c>
      <x:c r="I143" s="23" t="n">
        <x:v>743</x:v>
      </x:c>
      <x:c r="J143" s="24" t="n">
        <x:f>IF(D143=0,"",I143/D143)</x:f>
        <x:v>0.493687707641196</x:v>
      </x:c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25" t="str">
        <x:v>10月</x:v>
      </x:c>
      <x:c r="B144" s="25" t="str">
        <x:v>台北市</x:v>
      </x:c>
      <x:c r="C144" s="25" t="str">
        <x:v>ZD3</x:v>
      </x:c>
      <x:c r="D144" s="34" t="n">
        <x:v>1458</x:v>
      </x:c>
      <x:c r="E144" s="34" t="n">
        <x:v>44</x:v>
      </x:c>
      <x:c r="F144" s="35" t="n">
        <x:f>IF(D144=0,"",E144/D144)</x:f>
        <x:v>0.03017832647462277</x:v>
      </x:c>
      <x:c r="G144" s="34" t="n">
        <x:v>102</x:v>
      </x:c>
      <x:c r="H144" s="35" t="n">
        <x:f>IF(D144=0,"",G144/D144)</x:f>
        <x:v>0.06995884773662552</x:v>
      </x:c>
      <x:c r="I144" s="34" t="n">
        <x:v>1312</x:v>
      </x:c>
      <x:c r="J144" s="35" t="n">
        <x:f>IF(D144=0,"",I144/D144)</x:f>
        <x:v>0.8998628257887518</x:v>
      </x:c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20" t="str">
        <x:v>10月</x:v>
      </x:c>
      <x:c r="B145" s="20" t="str">
        <x:v>台北市</x:v>
      </x:c>
      <x:c r="C145" s="20" t="str">
        <x:v>ZJ2</x:v>
      </x:c>
      <x:c r="D145" s="23" t="n">
        <x:v>1399</x:v>
      </x:c>
      <x:c r="E145" s="23" t="n">
        <x:v>6</x:v>
      </x:c>
      <x:c r="F145" s="24" t="n">
        <x:f>IF(D145=0,"",E145/D145)</x:f>
        <x:v>0.004288777698355968</x:v>
      </x:c>
      <x:c r="G145" s="23" t="n">
        <x:v>199</x:v>
      </x:c>
      <x:c r="H145" s="24" t="n">
        <x:f>IF(D145=0,"",G145/D145)</x:f>
        <x:v>0.14224446032880628</x:v>
      </x:c>
      <x:c r="I145" s="23" t="n">
        <x:v>1194</x:v>
      </x:c>
      <x:c r="J145" s="24" t="n">
        <x:f>IF(D145=0,"",I145/D145)</x:f>
        <x:v>0.8534667619728378</x:v>
      </x:c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25" t="str">
        <x:v>10月</x:v>
      </x:c>
      <x:c r="B146" s="25" t="str">
        <x:v>台北市</x:v>
      </x:c>
      <x:c r="C146" s="25" t="str">
        <x:v>ZP2</x:v>
      </x:c>
      <x:c r="D146" s="34" t="n">
        <x:v>1349</x:v>
      </x:c>
      <x:c r="E146" s="34" t="n">
        <x:v>5</x:v>
      </x:c>
      <x:c r="F146" s="35" t="n">
        <x:f>IF(D146=0,"",E146/D146)</x:f>
        <x:v>0.0037064492216456633</x:v>
      </x:c>
      <x:c r="G146" s="34" t="n">
        <x:v>192</x:v>
      </x:c>
      <x:c r="H146" s="35" t="n">
        <x:f>IF(D146=0,"",G146/D146)</x:f>
        <x:v>0.14232765011119347</x:v>
      </x:c>
      <x:c r="I146" s="34" t="n">
        <x:v>1152</x:v>
      </x:c>
      <x:c r="J146" s="35" t="n">
        <x:f>IF(D146=0,"",I146/D146)</x:f>
        <x:v>0.8539659006671608</x:v>
      </x:c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20" t="str">
        <x:v>10月</x:v>
      </x:c>
      <x:c r="B147" s="20" t="str">
        <x:v>台北市</x:v>
      </x:c>
      <x:c r="C147" s="20" t="str">
        <x:v>ZE2</x:v>
      </x:c>
      <x:c r="D147" s="23" t="n">
        <x:v>1208</x:v>
      </x:c>
      <x:c r="E147" s="23" t="n">
        <x:v>4</x:v>
      </x:c>
      <x:c r="F147" s="24" t="n">
        <x:f>IF(D147=0,"",E147/D147)</x:f>
        <x:v>0.0033112582781456954</x:v>
      </x:c>
      <x:c r="G147" s="23" t="n">
        <x:v>402</x:v>
      </x:c>
      <x:c r="H147" s="24" t="n">
        <x:f>IF(D147=0,"",G147/D147)</x:f>
        <x:v>0.33278145695364236</x:v>
      </x:c>
      <x:c r="I147" s="23" t="n">
        <x:v>802</x:v>
      </x:c>
      <x:c r="J147" s="24" t="n">
        <x:f>IF(D147=0,"",I147/D147)</x:f>
        <x:v>0.6639072847682119</x:v>
      </x:c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25" t="str">
        <x:v>10月</x:v>
      </x:c>
      <x:c r="B148" s="25" t="str">
        <x:v>台北市</x:v>
      </x:c>
      <x:c r="C148" s="25" t="str">
        <x:v>ZC2</x:v>
      </x:c>
      <x:c r="D148" s="34" t="n">
        <x:v>1172</x:v>
      </x:c>
      <x:c r="E148" s="34" t="n">
        <x:v>10</x:v>
      </x:c>
      <x:c r="F148" s="35" t="n">
        <x:f>IF(D148=0,"",E148/D148)</x:f>
        <x:v>0.008532423208191127</x:v>
      </x:c>
      <x:c r="G148" s="34" t="n">
        <x:v>27</x:v>
      </x:c>
      <x:c r="H148" s="35" t="n">
        <x:f>IF(D148=0,"",G148/D148)</x:f>
        <x:v>0.02303754266211604</x:v>
      </x:c>
      <x:c r="I148" s="34" t="n">
        <x:v>1135</x:v>
      </x:c>
      <x:c r="J148" s="35" t="n">
        <x:f>IF(D148=0,"",I148/D148)</x:f>
        <x:v>0.9684300341296929</x:v>
      </x:c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20" t="str">
        <x:v>10月</x:v>
      </x:c>
      <x:c r="B149" s="20" t="str">
        <x:v>台北市</x:v>
      </x:c>
      <x:c r="C149" s="20" t="str">
        <x:v>ZB4</x:v>
      </x:c>
      <x:c r="D149" s="23" t="n">
        <x:v>517</x:v>
      </x:c>
      <x:c r="E149" s="23" t="n">
        <x:v>24</x:v>
      </x:c>
      <x:c r="F149" s="24" t="n">
        <x:f>IF(D149=0,"",E149/D149)</x:f>
        <x:v>0.04642166344294004</x:v>
      </x:c>
      <x:c r="G149" s="23" t="n">
        <x:v>265</x:v>
      </x:c>
      <x:c r="H149" s="24" t="n">
        <x:f>IF(D149=0,"",G149/D149)</x:f>
        <x:v>0.5125725338491296</x:v>
      </x:c>
      <x:c r="I149" s="23" t="n">
        <x:v>228</x:v>
      </x:c>
      <x:c r="J149" s="24" t="n">
        <x:f>IF(D149=0,"",I149/D149)</x:f>
        <x:v>0.4410058027079304</x:v>
      </x:c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25" t="str">
        <x:v>10月</x:v>
      </x:c>
      <x:c r="B150" s="25" t="str">
        <x:v>台北市</x:v>
      </x:c>
      <x:c r="C150" s="25" t="str">
        <x:v>台北維護所</x:v>
      </x:c>
      <x:c r="D150" s="34" t="n">
        <x:v>284</x:v>
      </x:c>
      <x:c r="E150" s="34" t="n">
        <x:v>0</x:v>
      </x:c>
      <x:c r="F150" s="35" t="n">
        <x:f>IF(D150=0,"",E150/D150)</x:f>
        <x:v>0</x:v>
      </x:c>
      <x:c r="G150" s="34" t="n">
        <x:v>284</x:v>
      </x:c>
      <x:c r="H150" s="35" t="n">
        <x:f>IF(D150=0,"",G150/D150)</x:f>
        <x:v>1</x:v>
      </x:c>
      <x:c r="I150" s="34" t="n">
        <x:v>0</x:v>
      </x:c>
      <x:c r="J150" s="35" t="n">
        <x:f>IF(D150=0,"",I150/D150)</x:f>
        <x:v>0</x:v>
      </x:c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20" t="str">
        <x:v>10月</x:v>
      </x:c>
      <x:c r="B151" s="20" t="str">
        <x:v>台北市</x:v>
      </x:c>
      <x:c r="C151" s="20" t="str">
        <x:v>台北市暫停營運專區</x:v>
      </x:c>
      <x:c r="D151" s="23" t="n">
        <x:v>12</x:v>
      </x:c>
      <x:c r="E151" s="23" t="n">
        <x:v>0</x:v>
      </x:c>
      <x:c r="F151" s="24" t="n">
        <x:f>IF(D151=0,"",E151/D151)</x:f>
        <x:v>0</x:v>
      </x:c>
      <x:c r="G151" s="23" t="n">
        <x:v>12</x:v>
      </x:c>
      <x:c r="H151" s="24" t="n">
        <x:f>IF(D151=0,"",G151/D151)</x:f>
        <x:v>1</x:v>
      </x:c>
      <x:c r="I151" s="23" t="n">
        <x:v>0</x:v>
      </x:c>
      <x:c r="J151" s="24" t="n">
        <x:f>IF(D151=0,"",I151/D151)</x:f>
        <x:v>0</x:v>
      </x:c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25" t="str">
        <x:v>10月</x:v>
      </x:c>
      <x:c r="B152" s="25" t="str">
        <x:v>新北市</x:v>
      </x:c>
      <x:c r="C152" s="25" t="str">
        <x:v>ZF</x:v>
      </x:c>
      <x:c r="D152" s="34" t="n">
        <x:v>3204</x:v>
      </x:c>
      <x:c r="E152" s="34" t="n">
        <x:v>47</x:v>
      </x:c>
      <x:c r="F152" s="35" t="n">
        <x:f>IF(D152=0,"",E152/D152)</x:f>
        <x:v>0.01466916354556804</x:v>
      </x:c>
      <x:c r="G152" s="34" t="n">
        <x:v>1626</x:v>
      </x:c>
      <x:c r="H152" s="35" t="n">
        <x:f>IF(D152=0,"",G152/D152)</x:f>
        <x:v>0.5074906367041199</x:v>
      </x:c>
      <x:c r="I152" s="34" t="n">
        <x:v>1531</x:v>
      </x:c>
      <x:c r="J152" s="35" t="n">
        <x:f>IF(D152=0,"",I152/D152)</x:f>
        <x:v>0.4778401997503121</x:v>
      </x:c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20" t="str">
        <x:v>10月</x:v>
      </x:c>
      <x:c r="B153" s="20" t="str">
        <x:v>新北市</x:v>
      </x:c>
      <x:c r="C153" s="20" t="str">
        <x:v>ZT2</x:v>
      </x:c>
      <x:c r="D153" s="23" t="n">
        <x:v>3093</x:v>
      </x:c>
      <x:c r="E153" s="23" t="n">
        <x:v>1</x:v>
      </x:c>
      <x:c r="F153" s="24" t="n">
        <x:f>IF(D153=0,"",E153/D153)</x:f>
        <x:v>0.00032331070158422246</x:v>
      </x:c>
      <x:c r="G153" s="23" t="n">
        <x:v>1397</x:v>
      </x:c>
      <x:c r="H153" s="24" t="n">
        <x:f>IF(D153=0,"",G153/D153)</x:f>
        <x:v>0.4516650501131588</x:v>
      </x:c>
      <x:c r="I153" s="23" t="n">
        <x:v>1695</x:v>
      </x:c>
      <x:c r="J153" s="24" t="n">
        <x:f>IF(D153=0,"",I153/D153)</x:f>
        <x:v>0.5480116391852571</x:v>
      </x:c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25" t="str">
        <x:v>10月</x:v>
      </x:c>
      <x:c r="B154" s="25" t="str">
        <x:v>新北市</x:v>
      </x:c>
      <x:c r="C154" s="25" t="str">
        <x:v>ZK4</x:v>
      </x:c>
      <x:c r="D154" s="34" t="n">
        <x:v>3039</x:v>
      </x:c>
      <x:c r="E154" s="34" t="n">
        <x:v>3</x:v>
      </x:c>
      <x:c r="F154" s="35" t="n">
        <x:f>IF(D154=0,"",E154/D154)</x:f>
        <x:v>0.0009871668311944718</x:v>
      </x:c>
      <x:c r="G154" s="34" t="n">
        <x:v>473</x:v>
      </x:c>
      <x:c r="H154" s="35" t="n">
        <x:f>IF(D154=0,"",G154/D154)</x:f>
        <x:v>0.1556433037183284</x:v>
      </x:c>
      <x:c r="I154" s="34" t="n">
        <x:v>2563</x:v>
      </x:c>
      <x:c r="J154" s="35" t="n">
        <x:f>IF(D154=0,"",I154/D154)</x:f>
        <x:v>0.8433695294504772</x:v>
      </x:c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20" t="str">
        <x:v>10月</x:v>
      </x:c>
      <x:c r="B155" s="20" t="str">
        <x:v>新北市</x:v>
      </x:c>
      <x:c r="C155" s="20" t="str">
        <x:v>ZO1</x:v>
      </x:c>
      <x:c r="D155" s="23" t="n">
        <x:v>2969</x:v>
      </x:c>
      <x:c r="E155" s="23" t="n">
        <x:v>5</x:v>
      </x:c>
      <x:c r="F155" s="24" t="n">
        <x:f>IF(D155=0,"",E155/D155)</x:f>
        <x:v>0.001684068710003368</x:v>
      </x:c>
      <x:c r="G155" s="23" t="n">
        <x:v>1823</x:v>
      </x:c>
      <x:c r="H155" s="24" t="n">
        <x:f>IF(D155=0,"",G155/D155)</x:f>
        <x:v>0.614011451667228</x:v>
      </x:c>
      <x:c r="I155" s="23" t="n">
        <x:v>1141</x:v>
      </x:c>
      <x:c r="J155" s="24" t="n">
        <x:f>IF(D155=0,"",I155/D155)</x:f>
        <x:v>0.3843044796227686</x:v>
      </x:c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25" t="str">
        <x:v>10月</x:v>
      </x:c>
      <x:c r="B156" s="25" t="str">
        <x:v>新北市</x:v>
      </x:c>
      <x:c r="C156" s="25" t="str">
        <x:v>ZO3</x:v>
      </x:c>
      <x:c r="D156" s="34" t="n">
        <x:v>2809</x:v>
      </x:c>
      <x:c r="E156" s="34" t="n">
        <x:v>385</x:v>
      </x:c>
      <x:c r="F156" s="35" t="n">
        <x:f>IF(D156=0,"",E156/D156)</x:f>
        <x:v>0.13705945176219295</x:v>
      </x:c>
      <x:c r="G156" s="34" t="n">
        <x:v>2053</x:v>
      </x:c>
      <x:c r="H156" s="35" t="n">
        <x:f>IF(D156=0,"",G156/D156)</x:f>
        <x:v>0.7308650765396938</x:v>
      </x:c>
      <x:c r="I156" s="34" t="n">
        <x:v>371</x:v>
      </x:c>
      <x:c r="J156" s="35" t="n">
        <x:f>IF(D156=0,"",I156/D156)</x:f>
        <x:v>0.1320754716981132</x:v>
      </x:c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20" t="str">
        <x:v>10月</x:v>
      </x:c>
      <x:c r="B157" s="20" t="str">
        <x:v>新北市</x:v>
      </x:c>
      <x:c r="C157" s="20" t="str">
        <x:v>ZW1</x:v>
      </x:c>
      <x:c r="D157" s="23" t="n">
        <x:v>2627</x:v>
      </x:c>
      <x:c r="E157" s="23" t="n">
        <x:v>3</x:v>
      </x:c>
      <x:c r="F157" s="24" t="n">
        <x:f>IF(D157=0,"",E157/D157)</x:f>
        <x:v>0.0011419870574800152</x:v>
      </x:c>
      <x:c r="G157" s="23" t="n">
        <x:v>1381</x:v>
      </x:c>
      <x:c r="H157" s="24" t="n">
        <x:f>IF(D157=0,"",G157/D157)</x:f>
        <x:v>0.5256947087933004</x:v>
      </x:c>
      <x:c r="I157" s="23" t="n">
        <x:v>1243</x:v>
      </x:c>
      <x:c r="J157" s="24" t="n">
        <x:f>IF(D157=0,"",I157/D157)</x:f>
        <x:v>0.47316330414921964</x:v>
      </x:c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25" t="str">
        <x:v>10月</x:v>
      </x:c>
      <x:c r="B158" s="25" t="str">
        <x:v>新北市</x:v>
      </x:c>
      <x:c r="C158" s="25" t="str">
        <x:v>ZL1</x:v>
      </x:c>
      <x:c r="D158" s="34" t="n">
        <x:v>2446</x:v>
      </x:c>
      <x:c r="E158" s="34" t="n">
        <x:v>1</x:v>
      </x:c>
      <x:c r="F158" s="35" t="n">
        <x:f>IF(D158=0,"",E158/D158)</x:f>
        <x:v>0.0004088307440719542</x:v>
      </x:c>
      <x:c r="G158" s="34" t="n">
        <x:v>2310</x:v>
      </x:c>
      <x:c r="H158" s="35" t="n">
        <x:f>IF(D158=0,"",G158/D158)</x:f>
        <x:v>0.9443990188062142</x:v>
      </x:c>
      <x:c r="I158" s="34" t="n">
        <x:v>135</x:v>
      </x:c>
      <x:c r="J158" s="35" t="n">
        <x:f>IF(D158=0,"",I158/D158)</x:f>
        <x:v>0.05519215044971382</x:v>
      </x:c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20" t="str">
        <x:v>10月</x:v>
      </x:c>
      <x:c r="B159" s="20" t="str">
        <x:v>新北市</x:v>
      </x:c>
      <x:c r="C159" s="20" t="str">
        <x:v>ZL3</x:v>
      </x:c>
      <x:c r="D159" s="23" t="n">
        <x:v>2443</x:v>
      </x:c>
      <x:c r="E159" s="23" t="n">
        <x:v>0</x:v>
      </x:c>
      <x:c r="F159" s="24" t="n">
        <x:f>IF(D159=0,"",E159/D159)</x:f>
        <x:v>0</x:v>
      </x:c>
      <x:c r="G159" s="23" t="n">
        <x:v>1215</x:v>
      </x:c>
      <x:c r="H159" s="24" t="n">
        <x:f>IF(D159=0,"",G159/D159)</x:f>
        <x:v>0.49733933688088416</x:v>
      </x:c>
      <x:c r="I159" s="23" t="n">
        <x:v>1228</x:v>
      </x:c>
      <x:c r="J159" s="24" t="n">
        <x:f>IF(D159=0,"",I159/D159)</x:f>
        <x:v>0.5026606631191158</x:v>
      </x:c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25" t="str">
        <x:v>10月</x:v>
      </x:c>
      <x:c r="B160" s="25" t="str">
        <x:v>新北市</x:v>
      </x:c>
      <x:c r="C160" s="25" t="str">
        <x:v>ZK2</x:v>
      </x:c>
      <x:c r="D160" s="34" t="n">
        <x:v>2405</x:v>
      </x:c>
      <x:c r="E160" s="34" t="n">
        <x:v>6</x:v>
      </x:c>
      <x:c r="F160" s="35" t="n">
        <x:f>IF(D160=0,"",E160/D160)</x:f>
        <x:v>0.002494802494802495</x:v>
      </x:c>
      <x:c r="G160" s="34" t="n">
        <x:v>1396</x:v>
      </x:c>
      <x:c r="H160" s="35" t="n">
        <x:f>IF(D160=0,"",G160/D160)</x:f>
        <x:v>0.5804573804573805</x:v>
      </x:c>
      <x:c r="I160" s="34" t="n">
        <x:v>1003</x:v>
      </x:c>
      <x:c r="J160" s="35" t="n">
        <x:f>IF(D160=0,"",I160/D160)</x:f>
        <x:v>0.41704781704781707</x:v>
      </x:c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20" t="str">
        <x:v>10月</x:v>
      </x:c>
      <x:c r="B161" s="20" t="str">
        <x:v>新北市</x:v>
      </x:c>
      <x:c r="C161" s="20" t="str">
        <x:v>ZR</x:v>
      </x:c>
      <x:c r="D161" s="23" t="n">
        <x:v>2369</x:v>
      </x:c>
      <x:c r="E161" s="23" t="n">
        <x:v>6</x:v>
      </x:c>
      <x:c r="F161" s="24" t="n">
        <x:f>IF(D161=0,"",E161/D161)</x:f>
        <x:v>0.002532714225411566</x:v>
      </x:c>
      <x:c r="G161" s="23" t="n">
        <x:v>2018</x:v>
      </x:c>
      <x:c r="H161" s="24" t="n">
        <x:f>IF(D161=0,"",G161/D161)</x:f>
        <x:v>0.8518362178134233</x:v>
      </x:c>
      <x:c r="I161" s="23" t="n">
        <x:v>345</x:v>
      </x:c>
      <x:c r="J161" s="24" t="n">
        <x:f>IF(D161=0,"",I161/D161)</x:f>
        <x:v>0.14563106796116504</x:v>
      </x:c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25" t="str">
        <x:v>10月</x:v>
      </x:c>
      <x:c r="B162" s="25" t="str">
        <x:v>新北市</x:v>
      </x:c>
      <x:c r="C162" s="25" t="str">
        <x:v>ZK3</x:v>
      </x:c>
      <x:c r="D162" s="34" t="n">
        <x:v>2267</x:v>
      </x:c>
      <x:c r="E162" s="34" t="n">
        <x:v>26</x:v>
      </x:c>
      <x:c r="F162" s="35" t="n">
        <x:f>IF(D162=0,"",E162/D162)</x:f>
        <x:v>0.011468901632112925</x:v>
      </x:c>
      <x:c r="G162" s="34" t="n">
        <x:v>1889</x:v>
      </x:c>
      <x:c r="H162" s="35" t="n">
        <x:f>IF(D162=0,"",G162/D162)</x:f>
        <x:v>0.8332598147331275</x:v>
      </x:c>
      <x:c r="I162" s="34" t="n">
        <x:v>352</x:v>
      </x:c>
      <x:c r="J162" s="35" t="n">
        <x:f>IF(D162=0,"",I162/D162)</x:f>
        <x:v>0.1552712836347596</x:v>
      </x:c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20" t="str">
        <x:v>10月</x:v>
      </x:c>
      <x:c r="B163" s="20" t="str">
        <x:v>新北市</x:v>
      </x:c>
      <x:c r="C163" s="20" t="str">
        <x:v>ZL2</x:v>
      </x:c>
      <x:c r="D163" s="23" t="n">
        <x:v>2246</x:v>
      </x:c>
      <x:c r="E163" s="23" t="n">
        <x:v>1</x:v>
      </x:c>
      <x:c r="F163" s="24" t="n">
        <x:f>IF(D163=0,"",E163/D163)</x:f>
        <x:v>0.0004452359750667854</x:v>
      </x:c>
      <x:c r="G163" s="23" t="n">
        <x:v>318</x:v>
      </x:c>
      <x:c r="H163" s="24" t="n">
        <x:f>IF(D163=0,"",G163/D163)</x:f>
        <x:v>0.14158504007123776</x:v>
      </x:c>
      <x:c r="I163" s="23" t="n">
        <x:v>1927</x:v>
      </x:c>
      <x:c r="J163" s="24" t="n">
        <x:f>IF(D163=0,"",I163/D163)</x:f>
        <x:v>0.8579697239536954</x:v>
      </x:c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25" t="str">
        <x:v>10月</x:v>
      </x:c>
      <x:c r="B164" s="25" t="str">
        <x:v>新北市</x:v>
      </x:c>
      <x:c r="C164" s="25" t="str">
        <x:v>ZO2</x:v>
      </x:c>
      <x:c r="D164" s="34" t="n">
        <x:v>2094</x:v>
      </x:c>
      <x:c r="E164" s="34" t="n">
        <x:v>72</x:v>
      </x:c>
      <x:c r="F164" s="35" t="n">
        <x:f>IF(D164=0,"",E164/D164)</x:f>
        <x:v>0.034383954154727794</x:v>
      </x:c>
      <x:c r="G164" s="34" t="n">
        <x:v>1459</x:v>
      </x:c>
      <x:c r="H164" s="35" t="n">
        <x:f>IF(D164=0,"",G164/D164)</x:f>
        <x:v>0.6967526265520535</x:v>
      </x:c>
      <x:c r="I164" s="34" t="n">
        <x:v>563</x:v>
      </x:c>
      <x:c r="J164" s="35" t="n">
        <x:f>IF(D164=0,"",I164/D164)</x:f>
        <x:v>0.2688634192932187</x:v>
      </x:c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20" t="str">
        <x:v>10月</x:v>
      </x:c>
      <x:c r="B165" s="20" t="str">
        <x:v>新北市</x:v>
      </x:c>
      <x:c r="C165" s="20" t="str">
        <x:v>ZX1</x:v>
      </x:c>
      <x:c r="D165" s="23" t="n">
        <x:v>1986</x:v>
      </x:c>
      <x:c r="E165" s="23" t="n">
        <x:v>0</x:v>
      </x:c>
      <x:c r="F165" s="24" t="n">
        <x:f>IF(D165=0,"",E165/D165)</x:f>
        <x:v>0</x:v>
      </x:c>
      <x:c r="G165" s="23" t="n">
        <x:v>1622</x:v>
      </x:c>
      <x:c r="H165" s="24" t="n">
        <x:f>IF(D165=0,"",G165/D165)</x:f>
        <x:v>0.8167170191339376</x:v>
      </x:c>
      <x:c r="I165" s="23" t="n">
        <x:v>364</x:v>
      </x:c>
      <x:c r="J165" s="24" t="n">
        <x:f>IF(D165=0,"",I165/D165)</x:f>
        <x:v>0.18328298086606243</x:v>
      </x:c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25" t="str">
        <x:v>10月</x:v>
      </x:c>
      <x:c r="B166" s="25" t="str">
        <x:v>新北市</x:v>
      </x:c>
      <x:c r="C166" s="25" t="str">
        <x:v>ZM</x:v>
      </x:c>
      <x:c r="D166" s="34" t="n">
        <x:v>1901</x:v>
      </x:c>
      <x:c r="E166" s="34" t="n">
        <x:v>13</x:v>
      </x:c>
      <x:c r="F166" s="35" t="n">
        <x:f>IF(D166=0,"",E166/D166)</x:f>
        <x:v>0.006838506049447659</x:v>
      </x:c>
      <x:c r="G166" s="34" t="n">
        <x:v>1569</x:v>
      </x:c>
      <x:c r="H166" s="35" t="n">
        <x:f>IF(D166=0,"",G166/D166)</x:f>
        <x:v>0.8253550762756444</x:v>
      </x:c>
      <x:c r="I166" s="34" t="n">
        <x:v>319</x:v>
      </x:c>
      <x:c r="J166" s="35" t="n">
        <x:f>IF(D166=0,"",I166/D166)</x:f>
        <x:v>0.16780641767490795</x:v>
      </x:c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20" t="str">
        <x:v>10月</x:v>
      </x:c>
      <x:c r="B167" s="20" t="str">
        <x:v>新北市</x:v>
      </x:c>
      <x:c r="C167" s="20" t="str">
        <x:v>ZO4</x:v>
      </x:c>
      <x:c r="D167" s="23" t="n">
        <x:v>1849</x:v>
      </x:c>
      <x:c r="E167" s="23" t="n">
        <x:v>107</x:v>
      </x:c>
      <x:c r="F167" s="24" t="n">
        <x:f>IF(D167=0,"",E167/D167)</x:f>
        <x:v>0.0578691184424013</x:v>
      </x:c>
      <x:c r="G167" s="23" t="n">
        <x:v>1438</x:v>
      </x:c>
      <x:c r="H167" s="24" t="n">
        <x:f>IF(D167=0,"",G167/D167)</x:f>
        <x:v>0.7777176852352623</x:v>
      </x:c>
      <x:c r="I167" s="23" t="n">
        <x:v>304</x:v>
      </x:c>
      <x:c r="J167" s="24" t="n">
        <x:f>IF(D167=0,"",I167/D167)</x:f>
        <x:v>0.1644131963223364</x:v>
      </x:c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25" t="str">
        <x:v>10月</x:v>
      </x:c>
      <x:c r="B168" s="25" t="str">
        <x:v>新北市</x:v>
      </x:c>
      <x:c r="C168" s="25" t="str">
        <x:v>ZL4</x:v>
      </x:c>
      <x:c r="D168" s="34" t="n">
        <x:v>1813</x:v>
      </x:c>
      <x:c r="E168" s="34" t="n">
        <x:v>4</x:v>
      </x:c>
      <x:c r="F168" s="35" t="n">
        <x:f>IF(D168=0,"",E168/D168)</x:f>
        <x:v>0.002206287920573635</x:v>
      </x:c>
      <x:c r="G168" s="34" t="n">
        <x:v>1362</x:v>
      </x:c>
      <x:c r="H168" s="35" t="n">
        <x:f>IF(D168=0,"",G168/D168)</x:f>
        <x:v>0.7512410369553226</x:v>
      </x:c>
      <x:c r="I168" s="34" t="n">
        <x:v>447</x:v>
      </x:c>
      <x:c r="J168" s="35" t="n">
        <x:f>IF(D168=0,"",I168/D168)</x:f>
        <x:v>0.2465526751241037</x:v>
      </x:c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20" t="str">
        <x:v>10月</x:v>
      </x:c>
      <x:c r="B169" s="20" t="str">
        <x:v>新北市</x:v>
      </x:c>
      <x:c r="C169" s="20" t="str">
        <x:v>ZX2</x:v>
      </x:c>
      <x:c r="D169" s="23" t="n">
        <x:v>1803</x:v>
      </x:c>
      <x:c r="E169" s="23" t="n">
        <x:v>2</x:v>
      </x:c>
      <x:c r="F169" s="24" t="n">
        <x:f>IF(D169=0,"",E169/D169)</x:f>
        <x:v>0.0011092623405435386</x:v>
      </x:c>
      <x:c r="G169" s="23" t="n">
        <x:v>1328</x:v>
      </x:c>
      <x:c r="H169" s="24" t="n">
        <x:f>IF(D169=0,"",G169/D169)</x:f>
        <x:v>0.7365501941209096</x:v>
      </x:c>
      <x:c r="I169" s="23" t="n">
        <x:v>473</x:v>
      </x:c>
      <x:c r="J169" s="24" t="n">
        <x:f>IF(D169=0,"",I169/D169)</x:f>
        <x:v>0.26234054353854686</x:v>
      </x:c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25" t="str">
        <x:v>10月</x:v>
      </x:c>
      <x:c r="B170" s="25" t="str">
        <x:v>新北市</x:v>
      </x:c>
      <x:c r="C170" s="25" t="str">
        <x:v>ZG2</x:v>
      </x:c>
      <x:c r="D170" s="34" t="n">
        <x:v>1770</x:v>
      </x:c>
      <x:c r="E170" s="34" t="n">
        <x:v>0</x:v>
      </x:c>
      <x:c r="F170" s="35" t="n">
        <x:f>IF(D170=0,"",E170/D170)</x:f>
        <x:v>0</x:v>
      </x:c>
      <x:c r="G170" s="34" t="n">
        <x:v>174</x:v>
      </x:c>
      <x:c r="H170" s="35" t="n">
        <x:f>IF(D170=0,"",G170/D170)</x:f>
        <x:v>0.09830508474576272</x:v>
      </x:c>
      <x:c r="I170" s="34" t="n">
        <x:v>1596</x:v>
      </x:c>
      <x:c r="J170" s="35" t="n">
        <x:f>IF(D170=0,"",I170/D170)</x:f>
        <x:v>0.9016949152542373</x:v>
      </x:c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20" t="str">
        <x:v>10月</x:v>
      </x:c>
      <x:c r="B171" s="20" t="str">
        <x:v>新北市</x:v>
      </x:c>
      <x:c r="C171" s="20" t="str">
        <x:v>ZW3</x:v>
      </x:c>
      <x:c r="D171" s="23" t="n">
        <x:v>1749</x:v>
      </x:c>
      <x:c r="E171" s="23" t="n">
        <x:v>13</x:v>
      </x:c>
      <x:c r="F171" s="24" t="n">
        <x:f>IF(D171=0,"",E171/D171)</x:f>
        <x:v>0.007432818753573471</x:v>
      </x:c>
      <x:c r="G171" s="23" t="n">
        <x:v>1411</x:v>
      </x:c>
      <x:c r="H171" s="24" t="n">
        <x:f>IF(D171=0,"",G171/D171)</x:f>
        <x:v>0.8067467124070897</x:v>
      </x:c>
      <x:c r="I171" s="23" t="n">
        <x:v>325</x:v>
      </x:c>
      <x:c r="J171" s="24" t="n">
        <x:f>IF(D171=0,"",I171/D171)</x:f>
        <x:v>0.18582046883933676</x:v>
      </x:c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25" t="str">
        <x:v>10月</x:v>
      </x:c>
      <x:c r="B172" s="25" t="str">
        <x:v>新北市</x:v>
      </x:c>
      <x:c r="C172" s="25" t="str">
        <x:v>ZW2</x:v>
      </x:c>
      <x:c r="D172" s="34" t="n">
        <x:v>1697</x:v>
      </x:c>
      <x:c r="E172" s="34" t="n">
        <x:v>0</x:v>
      </x:c>
      <x:c r="F172" s="35" t="n">
        <x:f>IF(D172=0,"",E172/D172)</x:f>
        <x:v>0</x:v>
      </x:c>
      <x:c r="G172" s="34" t="n">
        <x:v>1435</x:v>
      </x:c>
      <x:c r="H172" s="35" t="n">
        <x:f>IF(D172=0,"",G172/D172)</x:f>
        <x:v>0.8456098998232174</x:v>
      </x:c>
      <x:c r="I172" s="34" t="n">
        <x:v>262</x:v>
      </x:c>
      <x:c r="J172" s="35" t="n">
        <x:f>IF(D172=0,"",I172/D172)</x:f>
        <x:v>0.15439010017678256</x:v>
      </x:c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20" t="str">
        <x:v>10月</x:v>
      </x:c>
      <x:c r="B173" s="20" t="str">
        <x:v>新北市</x:v>
      </x:c>
      <x:c r="C173" s="20" t="str">
        <x:v>ZS</x:v>
      </x:c>
      <x:c r="D173" s="23" t="n">
        <x:v>1685</x:v>
      </x:c>
      <x:c r="E173" s="23" t="n">
        <x:v>1</x:v>
      </x:c>
      <x:c r="F173" s="24" t="n">
        <x:f>IF(D173=0,"",E173/D173)</x:f>
        <x:v>0.0005934718100890207</x:v>
      </x:c>
      <x:c r="G173" s="23" t="n">
        <x:v>1392</x:v>
      </x:c>
      <x:c r="H173" s="24" t="n">
        <x:f>IF(D173=0,"",G173/D173)</x:f>
        <x:v>0.826112759643917</x:v>
      </x:c>
      <x:c r="I173" s="23" t="n">
        <x:v>292</x:v>
      </x:c>
      <x:c r="J173" s="24" t="n">
        <x:f>IF(D173=0,"",I173/D173)</x:f>
        <x:v>0.17329376854599407</x:v>
      </x:c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25" t="str">
        <x:v>10月</x:v>
      </x:c>
      <x:c r="B174" s="25" t="str">
        <x:v>新北市</x:v>
      </x:c>
      <x:c r="C174" s="25" t="str">
        <x:v>ZK1</x:v>
      </x:c>
      <x:c r="D174" s="34" t="n">
        <x:v>1620</x:v>
      </x:c>
      <x:c r="E174" s="34" t="n">
        <x:v>0</x:v>
      </x:c>
      <x:c r="F174" s="35" t="n">
        <x:f>IF(D174=0,"",E174/D174)</x:f>
        <x:v>0</x:v>
      </x:c>
      <x:c r="G174" s="34" t="n">
        <x:v>1425</x:v>
      </x:c>
      <x:c r="H174" s="35" t="n">
        <x:f>IF(D174=0,"",G174/D174)</x:f>
        <x:v>0.8796296296296297</x:v>
      </x:c>
      <x:c r="I174" s="34" t="n">
        <x:v>195</x:v>
      </x:c>
      <x:c r="J174" s="35" t="n">
        <x:f>IF(D174=0,"",I174/D174)</x:f>
        <x:v>0.12037037037037036</x:v>
      </x:c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20" t="str">
        <x:v>10月</x:v>
      </x:c>
      <x:c r="B175" s="20" t="str">
        <x:v>新北市</x:v>
      </x:c>
      <x:c r="C175" s="20" t="str">
        <x:v>ZT1</x:v>
      </x:c>
      <x:c r="D175" s="23" t="n">
        <x:v>1568</x:v>
      </x:c>
      <x:c r="E175" s="23" t="n">
        <x:v>23</x:v>
      </x:c>
      <x:c r="F175" s="24" t="n">
        <x:f>IF(D175=0,"",E175/D175)</x:f>
        <x:v>0.014668367346938776</x:v>
      </x:c>
      <x:c r="G175" s="23" t="n">
        <x:v>782</x:v>
      </x:c>
      <x:c r="H175" s="24" t="n">
        <x:f>IF(D175=0,"",G175/D175)</x:f>
        <x:v>0.4987244897959184</x:v>
      </x:c>
      <x:c r="I175" s="23" t="n">
        <x:v>763</x:v>
      </x:c>
      <x:c r="J175" s="24" t="n">
        <x:f>IF(D175=0,"",I175/D175)</x:f>
        <x:v>0.48660714285714285</x:v>
      </x:c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25" t="str">
        <x:v>10月</x:v>
      </x:c>
      <x:c r="B176" s="25" t="str">
        <x:v>新北市</x:v>
      </x:c>
      <x:c r="C176" s="25" t="str">
        <x:v>ZV1</x:v>
      </x:c>
      <x:c r="D176" s="34" t="n">
        <x:v>1563</x:v>
      </x:c>
      <x:c r="E176" s="34" t="n">
        <x:v>12</x:v>
      </x:c>
      <x:c r="F176" s="35" t="n">
        <x:f>IF(D176=0,"",E176/D176)</x:f>
        <x:v>0.007677543186180422</x:v>
      </x:c>
      <x:c r="G176" s="34" t="n">
        <x:v>426</x:v>
      </x:c>
      <x:c r="H176" s="35" t="n">
        <x:f>IF(D176=0,"",G176/D176)</x:f>
        <x:v>0.272552783109405</x:v>
      </x:c>
      <x:c r="I176" s="34" t="n">
        <x:v>1125</x:v>
      </x:c>
      <x:c r="J176" s="35" t="n">
        <x:f>IF(D176=0,"",I176/D176)</x:f>
        <x:v>0.7197696737044146</x:v>
      </x:c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20" t="str">
        <x:v>10月</x:v>
      </x:c>
      <x:c r="B177" s="20" t="str">
        <x:v>新北市</x:v>
      </x:c>
      <x:c r="C177" s="20" t="str">
        <x:v>ZG1</x:v>
      </x:c>
      <x:c r="D177" s="23" t="n">
        <x:v>1515</x:v>
      </x:c>
      <x:c r="E177" s="23" t="n">
        <x:v>0</x:v>
      </x:c>
      <x:c r="F177" s="24" t="n">
        <x:f>IF(D177=0,"",E177/D177)</x:f>
        <x:v>0</x:v>
      </x:c>
      <x:c r="G177" s="23" t="n">
        <x:v>276</x:v>
      </x:c>
      <x:c r="H177" s="24" t="n">
        <x:f>IF(D177=0,"",G177/D177)</x:f>
        <x:v>0.18217821782178217</x:v>
      </x:c>
      <x:c r="I177" s="23" t="n">
        <x:v>1239</x:v>
      </x:c>
      <x:c r="J177" s="24" t="n">
        <x:f>IF(D177=0,"",I177/D177)</x:f>
        <x:v>0.8178217821782178</x:v>
      </x:c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25" t="str">
        <x:v>10月</x:v>
      </x:c>
      <x:c r="B178" s="25" t="str">
        <x:v>新北市</x:v>
      </x:c>
      <x:c r="C178" s="25" t="str">
        <x:v>ZV2</x:v>
      </x:c>
      <x:c r="D178" s="34" t="n">
        <x:v>1129</x:v>
      </x:c>
      <x:c r="E178" s="34" t="n">
        <x:v>37</x:v>
      </x:c>
      <x:c r="F178" s="35" t="n">
        <x:f>IF(D178=0,"",E178/D178)</x:f>
        <x:v>0.03277236492471213</x:v>
      </x:c>
      <x:c r="G178" s="34" t="n">
        <x:v>343</x:v>
      </x:c>
      <x:c r="H178" s="35" t="n">
        <x:f>IF(D178=0,"",G178/D178)</x:f>
        <x:v>0.3038086802480071</x:v>
      </x:c>
      <x:c r="I178" s="34" t="n">
        <x:v>749</x:v>
      </x:c>
      <x:c r="J178" s="35" t="n">
        <x:f>IF(D178=0,"",I178/D178)</x:f>
        <x:v>0.6634189548272807</x:v>
      </x:c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20" t="str">
        <x:v>10月</x:v>
      </x:c>
      <x:c r="B179" s="20" t="str">
        <x:v>新北市</x:v>
      </x:c>
      <x:c r="C179" s="20" t="str">
        <x:v>ZR3</x:v>
      </x:c>
      <x:c r="D179" s="23" t="n">
        <x:v>916</x:v>
      </x:c>
      <x:c r="E179" s="23" t="n">
        <x:v>0</x:v>
      </x:c>
      <x:c r="F179" s="24" t="n">
        <x:f>IF(D179=0,"",E179/D179)</x:f>
        <x:v>0</x:v>
      </x:c>
      <x:c r="G179" s="23" t="n">
        <x:v>660</x:v>
      </x:c>
      <x:c r="H179" s="24" t="n">
        <x:f>IF(D179=0,"",G179/D179)</x:f>
        <x:v>0.7205240174672489</x:v>
      </x:c>
      <x:c r="I179" s="23" t="n">
        <x:v>256</x:v>
      </x:c>
      <x:c r="J179" s="24" t="n">
        <x:f>IF(D179=0,"",I179/D179)</x:f>
        <x:v>0.2794759825327511</x:v>
      </x:c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25" t="str">
        <x:v>10月</x:v>
      </x:c>
      <x:c r="B180" s="25" t="str">
        <x:v>新北市</x:v>
      </x:c>
      <x:c r="C180" s="25" t="str">
        <x:v>新北維護所</x:v>
      </x:c>
      <x:c r="D180" s="34" t="n">
        <x:v>793</x:v>
      </x:c>
      <x:c r="E180" s="34" t="n">
        <x:v>0</x:v>
      </x:c>
      <x:c r="F180" s="35" t="n">
        <x:f>IF(D180=0,"",E180/D180)</x:f>
        <x:v>0</x:v>
      </x:c>
      <x:c r="G180" s="34" t="n">
        <x:v>793</x:v>
      </x:c>
      <x:c r="H180" s="35" t="n">
        <x:f>IF(D180=0,"",G180/D180)</x:f>
        <x:v>1</x:v>
      </x:c>
      <x:c r="I180" s="34" t="n">
        <x:v>0</x:v>
      </x:c>
      <x:c r="J180" s="35" t="n">
        <x:f>IF(D180=0,"",I180/D180)</x:f>
        <x:v>0</x:v>
      </x:c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20" t="str">
        <x:v>10月</x:v>
      </x:c>
      <x:c r="B181" s="20" t="str">
        <x:v>新北市</x:v>
      </x:c>
      <x:c r="C181" s="20" t="str">
        <x:v>ZU</x:v>
      </x:c>
      <x:c r="D181" s="23" t="n">
        <x:v>87</x:v>
      </x:c>
      <x:c r="E181" s="23" t="n">
        <x:v>2</x:v>
      </x:c>
      <x:c r="F181" s="24" t="n">
        <x:f>IF(D181=0,"",E181/D181)</x:f>
        <x:v>0.022988505747126436</x:v>
      </x:c>
      <x:c r="G181" s="23" t="n">
        <x:v>26</x:v>
      </x:c>
      <x:c r="H181" s="24" t="n">
        <x:f>IF(D181=0,"",G181/D181)</x:f>
        <x:v>0.2988505747126437</x:v>
      </x:c>
      <x:c r="I181" s="23" t="n">
        <x:v>59</x:v>
      </x:c>
      <x:c r="J181" s="24" t="n">
        <x:f>IF(D181=0,"",I181/D181)</x:f>
        <x:v>0.6781609195402298</x:v>
      </x:c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25" t="str">
        <x:v>10月</x:v>
      </x:c>
      <x:c r="B182" s="25" t="str">
        <x:v>新北市</x:v>
      </x:c>
      <x:c r="C182" s="25" t="str">
        <x:v>ZP2</x:v>
      </x:c>
      <x:c r="D182" s="34" t="n">
        <x:v>75</x:v>
      </x:c>
      <x:c r="E182" s="34" t="n">
        <x:v>0</x:v>
      </x:c>
      <x:c r="F182" s="35" t="n">
        <x:f>IF(D182=0,"",E182/D182)</x:f>
        <x:v>0</x:v>
      </x:c>
      <x:c r="G182" s="34" t="n">
        <x:v>0</x:v>
      </x:c>
      <x:c r="H182" s="35" t="n">
        <x:f>IF(D182=0,"",G182/D182)</x:f>
        <x:v>0</x:v>
      </x:c>
      <x:c r="I182" s="34" t="n">
        <x:v>75</x:v>
      </x:c>
      <x:c r="J182" s="35" t="n">
        <x:f>IF(D182=0,"",I182/D182)</x:f>
        <x:v>1</x:v>
      </x:c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J3"/>
  </x:mergeCells>
  <x:conditionalFormatting sqref="F6:F182">
    <x:cfRule type="colorScale" priority="1">
      <x:colorScale>
        <x:cfvo type="min"/>
        <x:cfvo type="percentile" val="50"/>
        <x:cfvo type="max"/>
        <x:color rgb="FFFFFFFF"/>
        <x:color rgb="FFFFE699"/>
        <x:color rgb="FFED7D31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4" hidden="0" customWidth="1"/>
    <x:col min="8" max="8" width="15" hidden="0" customWidth="1"/>
    <x:col min="9" max="9" width="14" hidden="0" customWidth="1"/>
    <x:col min="10" max="10" width="15" hidden="0" customWidth="1"/>
    <x:col min="11" max="11" width="14" hidden="0" customWidth="1"/>
    <x:col min="12" max="12" width="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各時段任務來源次數與比例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時段依任務報表更新時間歸入0–23時；比例分母為同期間、同城市、同小時任務總次數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8" t="str">
        <x:v>期間</x:v>
      </x:c>
      <x:c r="B5" s="18" t="str">
        <x:v>城市</x:v>
      </x:c>
      <x:c r="C5" s="18" t="str">
        <x:v>小時</x:v>
      </x:c>
      <x:c r="D5" s="18" t="str">
        <x:v>營運時段</x:v>
      </x:c>
      <x:c r="E5" s="18" t="str">
        <x:v>任務總次數</x:v>
      </x:c>
      <x:c r="F5" s="18" t="str">
        <x:v>推薦場站次數</x:v>
      </x:c>
      <x:c r="G5" s="18" t="str">
        <x:v>推薦場站比例</x:v>
      </x:c>
      <x:c r="H5" s="18" t="str">
        <x:v>場站資訊次數</x:v>
      </x:c>
      <x:c r="I5" s="18" t="str">
        <x:v>場站資訊比例</x:v>
      </x:c>
      <x:c r="J5" s="18" t="str">
        <x:v>場站地圖次數</x:v>
      </x:c>
      <x:c r="K5" s="18" t="str">
        <x:v>場站地圖比例</x:v>
      </x:c>
      <x:c r="L5" s="1"/>
      <x:c r="M5" s="31" t="str">
        <x:v>小時</x:v>
      </x:c>
      <x:c r="N5" s="31" t="str">
        <x:v>推薦場站</x:v>
      </x:c>
      <x:c r="O5" s="31" t="str">
        <x:v>場站資訊</x:v>
      </x:c>
      <x:c r="P5" s="31" t="str">
        <x:v>場站地圖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9–10月</x:v>
      </x:c>
      <x:c r="B6" s="25" t="str">
        <x:v>雙北合計</x:v>
      </x:c>
      <x:c r="C6" s="36" t="n">
        <x:v>0</x:v>
      </x:c>
      <x:c r="D6" s="25" t="str">
        <x:v>00–05</x:v>
      </x:c>
      <x:c r="E6" s="34" t="n">
        <x:v>13067</x:v>
      </x:c>
      <x:c r="F6" s="34" t="n">
        <x:v>226</x:v>
      </x:c>
      <x:c r="G6" s="35" t="n">
        <x:f>IF(E6=0,"",F6/E6)</x:f>
        <x:v>0.017295477156194995</x:v>
      </x:c>
      <x:c r="H6" s="34" t="n">
        <x:v>5508</x:v>
      </x:c>
      <x:c r="I6" s="35" t="n">
        <x:f>IF(E6=0,"",H6/E6)</x:f>
        <x:v>0.42151985918726564</x:v>
      </x:c>
      <x:c r="J6" s="34" t="n">
        <x:v>7333</x:v>
      </x:c>
      <x:c r="K6" s="35" t="n">
        <x:f>IF(E6=0,"",J6/E6)</x:f>
        <x:v>0.5611846636565394</x:v>
      </x:c>
      <x:c r="L6" s="1"/>
      <x:c r="M6" s="37" t="n">
        <x:v>0</x:v>
      </x:c>
      <x:c r="N6" s="23" t="n">
        <x:v>226</x:v>
      </x:c>
      <x:c r="O6" s="23" t="n">
        <x:v>5508</x:v>
      </x:c>
      <x:c r="P6" s="23" t="n">
        <x:v>7333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9–10月</x:v>
      </x:c>
      <x:c r="B7" s="20" t="str">
        <x:v>雙北合計</x:v>
      </x:c>
      <x:c r="C7" s="37" t="n">
        <x:v>1</x:v>
      </x:c>
      <x:c r="D7" s="20" t="str">
        <x:v>00–05</x:v>
      </x:c>
      <x:c r="E7" s="23" t="n">
        <x:v>9496</x:v>
      </x:c>
      <x:c r="F7" s="23" t="n">
        <x:v>216</x:v>
      </x:c>
      <x:c r="G7" s="24" t="n">
        <x:f>IF(E7=0,"",F7/E7)</x:f>
        <x:v>0.02274641954507161</x:v>
      </x:c>
      <x:c r="H7" s="23" t="n">
        <x:v>3998</x:v>
      </x:c>
      <x:c r="I7" s="24" t="n">
        <x:f>IF(E7=0,"",H7/E7)</x:f>
        <x:v>0.42101937657961247</x:v>
      </x:c>
      <x:c r="J7" s="23" t="n">
        <x:v>5282</x:v>
      </x:c>
      <x:c r="K7" s="24" t="n">
        <x:f>IF(E7=0,"",J7/E7)</x:f>
        <x:v>0.556234203875316</x:v>
      </x:c>
      <x:c r="L7" s="1"/>
      <x:c r="M7" s="37" t="n">
        <x:v>1</x:v>
      </x:c>
      <x:c r="N7" s="23" t="n">
        <x:v>216</x:v>
      </x:c>
      <x:c r="O7" s="23" t="n">
        <x:v>3998</x:v>
      </x:c>
      <x:c r="P7" s="23" t="n">
        <x:v>5282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9–10月</x:v>
      </x:c>
      <x:c r="B8" s="25" t="str">
        <x:v>雙北合計</x:v>
      </x:c>
      <x:c r="C8" s="36" t="n">
        <x:v>2</x:v>
      </x:c>
      <x:c r="D8" s="25" t="str">
        <x:v>00–05</x:v>
      </x:c>
      <x:c r="E8" s="34" t="n">
        <x:v>2186</x:v>
      </x:c>
      <x:c r="F8" s="34" t="n">
        <x:v>42</x:v>
      </x:c>
      <x:c r="G8" s="35" t="n">
        <x:f>IF(E8=0,"",F8/E8)</x:f>
        <x:v>0.0192131747483989</x:v>
      </x:c>
      <x:c r="H8" s="34" t="n">
        <x:v>698</x:v>
      </x:c>
      <x:c r="I8" s="35" t="n">
        <x:f>IF(E8=0,"",H8/E8)</x:f>
        <x:v>0.3193046660567246</x:v>
      </x:c>
      <x:c r="J8" s="34" t="n">
        <x:v>1446</x:v>
      </x:c>
      <x:c r="K8" s="35" t="n">
        <x:f>IF(E8=0,"",J8/E8)</x:f>
        <x:v>0.6614821591948765</x:v>
      </x:c>
      <x:c r="L8" s="1"/>
      <x:c r="M8" s="37" t="n">
        <x:v>2</x:v>
      </x:c>
      <x:c r="N8" s="23" t="n">
        <x:v>42</x:v>
      </x:c>
      <x:c r="O8" s="23" t="n">
        <x:v>698</x:v>
      </x:c>
      <x:c r="P8" s="23" t="n">
        <x:v>1446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 t="str">
        <x:v>9–10月</x:v>
      </x:c>
      <x:c r="B9" s="20" t="str">
        <x:v>雙北合計</x:v>
      </x:c>
      <x:c r="C9" s="37" t="n">
        <x:v>3</x:v>
      </x:c>
      <x:c r="D9" s="20" t="str">
        <x:v>00–05</x:v>
      </x:c>
      <x:c r="E9" s="23" t="n">
        <x:v>4174</x:v>
      </x:c>
      <x:c r="F9" s="23" t="n">
        <x:v>94</x:v>
      </x:c>
      <x:c r="G9" s="24" t="n">
        <x:f>IF(E9=0,"",F9/E9)</x:f>
        <x:v>0.022520364159080018</x:v>
      </x:c>
      <x:c r="H9" s="23" t="n">
        <x:v>1542</x:v>
      </x:c>
      <x:c r="I9" s="24" t="n">
        <x:f>IF(E9=0,"",H9/E9)</x:f>
        <x:v>0.36942980354575944</x:v>
      </x:c>
      <x:c r="J9" s="23" t="n">
        <x:v>2538</x:v>
      </x:c>
      <x:c r="K9" s="24" t="n">
        <x:f>IF(E9=0,"",J9/E9)</x:f>
        <x:v>0.6080498322951605</x:v>
      </x:c>
      <x:c r="L9" s="1"/>
      <x:c r="M9" s="37" t="n">
        <x:v>3</x:v>
      </x:c>
      <x:c r="N9" s="23" t="n">
        <x:v>94</x:v>
      </x:c>
      <x:c r="O9" s="23" t="n">
        <x:v>1542</x:v>
      </x:c>
      <x:c r="P9" s="23" t="n">
        <x:v>2538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5" t="str">
        <x:v>9–10月</x:v>
      </x:c>
      <x:c r="B10" s="25" t="str">
        <x:v>雙北合計</x:v>
      </x:c>
      <x:c r="C10" s="36" t="n">
        <x:v>4</x:v>
      </x:c>
      <x:c r="D10" s="25" t="str">
        <x:v>00–05</x:v>
      </x:c>
      <x:c r="E10" s="34" t="n">
        <x:v>5767</x:v>
      </x:c>
      <x:c r="F10" s="34" t="n">
        <x:v>206</x:v>
      </x:c>
      <x:c r="G10" s="35" t="n">
        <x:f>IF(E10=0,"",F10/E10)</x:f>
        <x:v>0.03572047858505289</x:v>
      </x:c>
      <x:c r="H10" s="34" t="n">
        <x:v>1984</x:v>
      </x:c>
      <x:c r="I10" s="35" t="n">
        <x:f>IF(E10=0,"",H10/E10)</x:f>
        <x:v>0.3440263568579851</x:v>
      </x:c>
      <x:c r="J10" s="34" t="n">
        <x:v>3577</x:v>
      </x:c>
      <x:c r="K10" s="35" t="n">
        <x:f>IF(E10=0,"",J10/E10)</x:f>
        <x:v>0.620253164556962</x:v>
      </x:c>
      <x:c r="L10" s="1"/>
      <x:c r="M10" s="37" t="n">
        <x:v>4</x:v>
      </x:c>
      <x:c r="N10" s="23" t="n">
        <x:v>206</x:v>
      </x:c>
      <x:c r="O10" s="23" t="n">
        <x:v>1984</x:v>
      </x:c>
      <x:c r="P10" s="23" t="n">
        <x:v>3577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0" t="str">
        <x:v>9–10月</x:v>
      </x:c>
      <x:c r="B11" s="20" t="str">
        <x:v>雙北合計</x:v>
      </x:c>
      <x:c r="C11" s="37" t="n">
        <x:v>5</x:v>
      </x:c>
      <x:c r="D11" s="20" t="str">
        <x:v>00–05</x:v>
      </x:c>
      <x:c r="E11" s="23" t="n">
        <x:v>4892</x:v>
      </x:c>
      <x:c r="F11" s="23" t="n">
        <x:v>156</x:v>
      </x:c>
      <x:c r="G11" s="24" t="n">
        <x:f>IF(E11=0,"",F11/E11)</x:f>
        <x:v>0.03188879803761243</x:v>
      </x:c>
      <x:c r="H11" s="23" t="n">
        <x:v>1797</x:v>
      </x:c>
      <x:c r="I11" s="24" t="n">
        <x:f>IF(E11=0,"",H11/E11)</x:f>
        <x:v>0.36733442354865087</x:v>
      </x:c>
      <x:c r="J11" s="23" t="n">
        <x:v>2939</x:v>
      </x:c>
      <x:c r="K11" s="24" t="n">
        <x:f>IF(E11=0,"",J11/E11)</x:f>
        <x:v>0.6007767784137367</x:v>
      </x:c>
      <x:c r="L11" s="1"/>
      <x:c r="M11" s="37" t="n">
        <x:v>5</x:v>
      </x:c>
      <x:c r="N11" s="23" t="n">
        <x:v>156</x:v>
      </x:c>
      <x:c r="O11" s="23" t="n">
        <x:v>1797</x:v>
      </x:c>
      <x:c r="P11" s="23" t="n">
        <x:v>2939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5" t="str">
        <x:v>9–10月</x:v>
      </x:c>
      <x:c r="B12" s="25" t="str">
        <x:v>雙北合計</x:v>
      </x:c>
      <x:c r="C12" s="36" t="n">
        <x:v>6</x:v>
      </x:c>
      <x:c r="D12" s="25" t="str">
        <x:v>06–09</x:v>
      </x:c>
      <x:c r="E12" s="34" t="n">
        <x:v>4167</x:v>
      </x:c>
      <x:c r="F12" s="34" t="n">
        <x:v>52</x:v>
      </x:c>
      <x:c r="G12" s="35" t="n">
        <x:f>IF(E12=0,"",F12/E12)</x:f>
        <x:v>0.01247900167986561</x:v>
      </x:c>
      <x:c r="H12" s="34" t="n">
        <x:v>2342</x:v>
      </x:c>
      <x:c r="I12" s="35" t="n">
        <x:f>IF(E12=0,"",H12/E12)</x:f>
        <x:v>0.5620350371970242</x:v>
      </x:c>
      <x:c r="J12" s="34" t="n">
        <x:v>1773</x:v>
      </x:c>
      <x:c r="K12" s="35" t="n">
        <x:f>IF(E12=0,"",J12/E12)</x:f>
        <x:v>0.42548596112311016</x:v>
      </x:c>
      <x:c r="L12" s="1"/>
      <x:c r="M12" s="37" t="n">
        <x:v>6</x:v>
      </x:c>
      <x:c r="N12" s="23" t="n">
        <x:v>52</x:v>
      </x:c>
      <x:c r="O12" s="23" t="n">
        <x:v>2342</x:v>
      </x:c>
      <x:c r="P12" s="23" t="n">
        <x:v>1773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0" t="str">
        <x:v>9–10月</x:v>
      </x:c>
      <x:c r="B13" s="20" t="str">
        <x:v>雙北合計</x:v>
      </x:c>
      <x:c r="C13" s="37" t="n">
        <x:v>7</x:v>
      </x:c>
      <x:c r="D13" s="20" t="str">
        <x:v>06–09</x:v>
      </x:c>
      <x:c r="E13" s="23" t="n">
        <x:v>18489</x:v>
      </x:c>
      <x:c r="F13" s="23" t="n">
        <x:v>179</x:v>
      </x:c>
      <x:c r="G13" s="24" t="n">
        <x:f>IF(E13=0,"",F13/E13)</x:f>
        <x:v>0.009681432202931472</x:v>
      </x:c>
      <x:c r="H13" s="23" t="n">
        <x:v>8875</x:v>
      </x:c>
      <x:c r="I13" s="24" t="n">
        <x:f>IF(E13=0,"",H13/E13)</x:f>
        <x:v>0.48001514413975876</x:v>
      </x:c>
      <x:c r="J13" s="23" t="n">
        <x:v>9435</x:v>
      </x:c>
      <x:c r="K13" s="24" t="n">
        <x:f>IF(E13=0,"",J13/E13)</x:f>
        <x:v>0.5103034236573097</x:v>
      </x:c>
      <x:c r="L13" s="1"/>
      <x:c r="M13" s="37" t="n">
        <x:v>7</x:v>
      </x:c>
      <x:c r="N13" s="23" t="n">
        <x:v>179</x:v>
      </x:c>
      <x:c r="O13" s="23" t="n">
        <x:v>8875</x:v>
      </x:c>
      <x:c r="P13" s="23" t="n">
        <x:v>9435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5" t="str">
        <x:v>9–10月</x:v>
      </x:c>
      <x:c r="B14" s="25" t="str">
        <x:v>雙北合計</x:v>
      </x:c>
      <x:c r="C14" s="36" t="n">
        <x:v>8</x:v>
      </x:c>
      <x:c r="D14" s="25" t="str">
        <x:v>06–09</x:v>
      </x:c>
      <x:c r="E14" s="34" t="n">
        <x:v>20928</x:v>
      </x:c>
      <x:c r="F14" s="34" t="n">
        <x:v>278</x:v>
      </x:c>
      <x:c r="G14" s="35" t="n">
        <x:f>IF(E14=0,"",F14/E14)</x:f>
        <x:v>0.013283639143730886</x:v>
      </x:c>
      <x:c r="H14" s="34" t="n">
        <x:v>9755</x:v>
      </x:c>
      <x:c r="I14" s="35" t="n">
        <x:f>IF(E14=0,"",H14/E14)</x:f>
        <x:v>0.46612194189602446</x:v>
      </x:c>
      <x:c r="J14" s="34" t="n">
        <x:v>10895</x:v>
      </x:c>
      <x:c r="K14" s="35" t="n">
        <x:f>IF(E14=0,"",J14/E14)</x:f>
        <x:v>0.5205944189602446</x:v>
      </x:c>
      <x:c r="L14" s="1"/>
      <x:c r="M14" s="37" t="n">
        <x:v>8</x:v>
      </x:c>
      <x:c r="N14" s="23" t="n">
        <x:v>278</x:v>
      </x:c>
      <x:c r="O14" s="23" t="n">
        <x:v>9755</x:v>
      </x:c>
      <x:c r="P14" s="23" t="n">
        <x:v>10895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0" t="str">
        <x:v>9–10月</x:v>
      </x:c>
      <x:c r="B15" s="20" t="str">
        <x:v>雙北合計</x:v>
      </x:c>
      <x:c r="C15" s="37" t="n">
        <x:v>9</x:v>
      </x:c>
      <x:c r="D15" s="20" t="str">
        <x:v>06–09</x:v>
      </x:c>
      <x:c r="E15" s="23" t="n">
        <x:v>19343</x:v>
      </x:c>
      <x:c r="F15" s="23" t="n">
        <x:v>331</x:v>
      </x:c>
      <x:c r="G15" s="24" t="n">
        <x:f>IF(E15=0,"",F15/E15)</x:f>
        <x:v>0.017112133588378226</x:v>
      </x:c>
      <x:c r="H15" s="23" t="n">
        <x:v>8803</x:v>
      </x:c>
      <x:c r="I15" s="24" t="n">
        <x:f>IF(E15=0,"",H15/E15)</x:f>
        <x:v>0.4551000361888021</x:v>
      </x:c>
      <x:c r="J15" s="23" t="n">
        <x:v>10209</x:v>
      </x:c>
      <x:c r="K15" s="24" t="n">
        <x:f>IF(E15=0,"",J15/E15)</x:f>
        <x:v>0.5277878302228196</x:v>
      </x:c>
      <x:c r="L15" s="1"/>
      <x:c r="M15" s="37" t="n">
        <x:v>9</x:v>
      </x:c>
      <x:c r="N15" s="23" t="n">
        <x:v>331</x:v>
      </x:c>
      <x:c r="O15" s="23" t="n">
        <x:v>8803</x:v>
      </x:c>
      <x:c r="P15" s="23" t="n">
        <x:v>10209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5" t="str">
        <x:v>9–10月</x:v>
      </x:c>
      <x:c r="B16" s="25" t="str">
        <x:v>雙北合計</x:v>
      </x:c>
      <x:c r="C16" s="36" t="n">
        <x:v>10</x:v>
      </x:c>
      <x:c r="D16" s="25" t="str">
        <x:v>10–15</x:v>
      </x:c>
      <x:c r="E16" s="34" t="n">
        <x:v>16035</x:v>
      </x:c>
      <x:c r="F16" s="34" t="n">
        <x:v>354</x:v>
      </x:c>
      <x:c r="G16" s="35" t="n">
        <x:f>IF(E16=0,"",F16/E16)</x:f>
        <x:v>0.022076707202993453</x:v>
      </x:c>
      <x:c r="H16" s="34" t="n">
        <x:v>7279</x:v>
      </x:c>
      <x:c r="I16" s="35" t="n">
        <x:f>IF(E16=0,"",H16/E16)</x:f>
        <x:v>0.4539444964140942</x:v>
      </x:c>
      <x:c r="J16" s="34" t="n">
        <x:v>8402</x:v>
      </x:c>
      <x:c r="K16" s="35" t="n">
        <x:f>IF(E16=0,"",J16/E16)</x:f>
        <x:v>0.5239787963829123</x:v>
      </x:c>
      <x:c r="L16" s="1"/>
      <x:c r="M16" s="37" t="n">
        <x:v>10</x:v>
      </x:c>
      <x:c r="N16" s="23" t="n">
        <x:v>354</x:v>
      </x:c>
      <x:c r="O16" s="23" t="n">
        <x:v>7279</x:v>
      </x:c>
      <x:c r="P16" s="23" t="n">
        <x:v>8402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0" t="str">
        <x:v>9–10月</x:v>
      </x:c>
      <x:c r="B17" s="20" t="str">
        <x:v>雙北合計</x:v>
      </x:c>
      <x:c r="C17" s="37" t="n">
        <x:v>11</x:v>
      </x:c>
      <x:c r="D17" s="20" t="str">
        <x:v>10–15</x:v>
      </x:c>
      <x:c r="E17" s="23" t="n">
        <x:v>9420</x:v>
      </x:c>
      <x:c r="F17" s="23" t="n">
        <x:v>256</x:v>
      </x:c>
      <x:c r="G17" s="24" t="n">
        <x:f>IF(E17=0,"",F17/E17)</x:f>
        <x:v>0.027176220806794056</x:v>
      </x:c>
      <x:c r="H17" s="23" t="n">
        <x:v>4453</x:v>
      </x:c>
      <x:c r="I17" s="24" t="n">
        <x:f>IF(E17=0,"",H17/E17)</x:f>
        <x:v>0.4727176220806794</x:v>
      </x:c>
      <x:c r="J17" s="23" t="n">
        <x:v>4711</x:v>
      </x:c>
      <x:c r="K17" s="24" t="n">
        <x:f>IF(E17=0,"",J17/E17)</x:f>
        <x:v>0.5001061571125266</x:v>
      </x:c>
      <x:c r="L17" s="1"/>
      <x:c r="M17" s="37" t="n">
        <x:v>11</x:v>
      </x:c>
      <x:c r="N17" s="23" t="n">
        <x:v>256</x:v>
      </x:c>
      <x:c r="O17" s="23" t="n">
        <x:v>4453</x:v>
      </x:c>
      <x:c r="P17" s="23" t="n">
        <x:v>4711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5" t="str">
        <x:v>9–10月</x:v>
      </x:c>
      <x:c r="B18" s="25" t="str">
        <x:v>雙北合計</x:v>
      </x:c>
      <x:c r="C18" s="36" t="n">
        <x:v>12</x:v>
      </x:c>
      <x:c r="D18" s="25" t="str">
        <x:v>10–15</x:v>
      </x:c>
      <x:c r="E18" s="34" t="n">
        <x:v>4659</x:v>
      </x:c>
      <x:c r="F18" s="34" t="n">
        <x:v>130</x:v>
      </x:c>
      <x:c r="G18" s="35" t="n">
        <x:f>IF(E18=0,"",F18/E18)</x:f>
        <x:v>0.02790298347284825</x:v>
      </x:c>
      <x:c r="H18" s="34" t="n">
        <x:v>1997</x:v>
      </x:c>
      <x:c r="I18" s="35" t="n">
        <x:f>IF(E18=0,"",H18/E18)</x:f>
        <x:v>0.42863275380983046</x:v>
      </x:c>
      <x:c r="J18" s="34" t="n">
        <x:v>2532</x:v>
      </x:c>
      <x:c r="K18" s="35" t="n">
        <x:f>IF(E18=0,"",J18/E18)</x:f>
        <x:v>0.5434642627173213</x:v>
      </x:c>
      <x:c r="L18" s="1"/>
      <x:c r="M18" s="37" t="n">
        <x:v>12</x:v>
      </x:c>
      <x:c r="N18" s="23" t="n">
        <x:v>130</x:v>
      </x:c>
      <x:c r="O18" s="23" t="n">
        <x:v>1997</x:v>
      </x:c>
      <x:c r="P18" s="23" t="n">
        <x:v>2532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0" t="str">
        <x:v>9–10月</x:v>
      </x:c>
      <x:c r="B19" s="20" t="str">
        <x:v>雙北合計</x:v>
      </x:c>
      <x:c r="C19" s="37" t="n">
        <x:v>13</x:v>
      </x:c>
      <x:c r="D19" s="20" t="str">
        <x:v>10–15</x:v>
      </x:c>
      <x:c r="E19" s="23" t="n">
        <x:v>7380</x:v>
      </x:c>
      <x:c r="F19" s="23" t="n">
        <x:v>187</x:v>
      </x:c>
      <x:c r="G19" s="24" t="n">
        <x:f>IF(E19=0,"",F19/E19)</x:f>
        <x:v>0.025338753387533875</x:v>
      </x:c>
      <x:c r="H19" s="23" t="n">
        <x:v>2692</x:v>
      </x:c>
      <x:c r="I19" s="24" t="n">
        <x:f>IF(E19=0,"",H19/E19)</x:f>
        <x:v>0.36476964769647696</x:v>
      </x:c>
      <x:c r="J19" s="23" t="n">
        <x:v>4501</x:v>
      </x:c>
      <x:c r="K19" s="24" t="n">
        <x:f>IF(E19=0,"",J19/E19)</x:f>
        <x:v>0.6098915989159892</x:v>
      </x:c>
      <x:c r="L19" s="1"/>
      <x:c r="M19" s="37" t="n">
        <x:v>13</x:v>
      </x:c>
      <x:c r="N19" s="23" t="n">
        <x:v>187</x:v>
      </x:c>
      <x:c r="O19" s="23" t="n">
        <x:v>2692</x:v>
      </x:c>
      <x:c r="P19" s="23" t="n">
        <x:v>4501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5" t="str">
        <x:v>9–10月</x:v>
      </x:c>
      <x:c r="B20" s="25" t="str">
        <x:v>雙北合計</x:v>
      </x:c>
      <x:c r="C20" s="36" t="n">
        <x:v>14</x:v>
      </x:c>
      <x:c r="D20" s="25" t="str">
        <x:v>10–15</x:v>
      </x:c>
      <x:c r="E20" s="34" t="n">
        <x:v>7803</x:v>
      </x:c>
      <x:c r="F20" s="34" t="n">
        <x:v>215</x:v>
      </x:c>
      <x:c r="G20" s="35" t="n">
        <x:f>IF(E20=0,"",F20/E20)</x:f>
        <x:v>0.02755350506215558</x:v>
      </x:c>
      <x:c r="H20" s="34" t="n">
        <x:v>2816</x:v>
      </x:c>
      <x:c r="I20" s="35" t="n">
        <x:f>IF(E20=0,"",H20/E20)</x:f>
        <x:v>0.3608868383954889</x:v>
      </x:c>
      <x:c r="J20" s="34" t="n">
        <x:v>4772</x:v>
      </x:c>
      <x:c r="K20" s="35" t="n">
        <x:f>IF(E20=0,"",J20/E20)</x:f>
        <x:v>0.6115596565423556</x:v>
      </x:c>
      <x:c r="L20" s="1"/>
      <x:c r="M20" s="37" t="n">
        <x:v>14</x:v>
      </x:c>
      <x:c r="N20" s="23" t="n">
        <x:v>215</x:v>
      </x:c>
      <x:c r="O20" s="23" t="n">
        <x:v>2816</x:v>
      </x:c>
      <x:c r="P20" s="23" t="n">
        <x:v>4772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0" t="str">
        <x:v>9–10月</x:v>
      </x:c>
      <x:c r="B21" s="20" t="str">
        <x:v>雙北合計</x:v>
      </x:c>
      <x:c r="C21" s="37" t="n">
        <x:v>15</x:v>
      </x:c>
      <x:c r="D21" s="20" t="str">
        <x:v>10–15</x:v>
      </x:c>
      <x:c r="E21" s="23" t="n">
        <x:v>6257</x:v>
      </x:c>
      <x:c r="F21" s="23" t="n">
        <x:v>102</x:v>
      </x:c>
      <x:c r="G21" s="24" t="n">
        <x:f>IF(E21=0,"",F21/E21)</x:f>
        <x:v>0.016301742048905225</x:v>
      </x:c>
      <x:c r="H21" s="23" t="n">
        <x:v>2210</x:v>
      </x:c>
      <x:c r="I21" s="24" t="n">
        <x:f>IF(E21=0,"",H21/E21)</x:f>
        <x:v>0.35320441105961325</x:v>
      </x:c>
      <x:c r="J21" s="23" t="n">
        <x:v>3945</x:v>
      </x:c>
      <x:c r="K21" s="24" t="n">
        <x:f>IF(E21=0,"",J21/E21)</x:f>
        <x:v>0.6304938468914816</x:v>
      </x:c>
      <x:c r="L21" s="1"/>
      <x:c r="M21" s="37" t="n">
        <x:v>15</x:v>
      </x:c>
      <x:c r="N21" s="23" t="n">
        <x:v>102</x:v>
      </x:c>
      <x:c r="O21" s="23" t="n">
        <x:v>2210</x:v>
      </x:c>
      <x:c r="P21" s="23" t="n">
        <x:v>3945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5" t="str">
        <x:v>9–10月</x:v>
      </x:c>
      <x:c r="B22" s="25" t="str">
        <x:v>雙北合計</x:v>
      </x:c>
      <x:c r="C22" s="36" t="n">
        <x:v>16</x:v>
      </x:c>
      <x:c r="D22" s="25" t="str">
        <x:v>16–19</x:v>
      </x:c>
      <x:c r="E22" s="34" t="n">
        <x:v>7372</x:v>
      </x:c>
      <x:c r="F22" s="34" t="n">
        <x:v>39</x:v>
      </x:c>
      <x:c r="G22" s="35" t="n">
        <x:f>IF(E22=0,"",F22/E22)</x:f>
        <x:v>0.0052902875746066195</x:v>
      </x:c>
      <x:c r="H22" s="34" t="n">
        <x:v>3769</x:v>
      </x:c>
      <x:c r="I22" s="35" t="n">
        <x:f>IF(E22=0,"",H22/E22)</x:f>
        <x:v>0.5112588171459577</x:v>
      </x:c>
      <x:c r="J22" s="34" t="n">
        <x:v>3564</x:v>
      </x:c>
      <x:c r="K22" s="35" t="n">
        <x:f>IF(E22=0,"",J22/E22)</x:f>
        <x:v>0.4834508952794357</x:v>
      </x:c>
      <x:c r="L22" s="1"/>
      <x:c r="M22" s="37" t="n">
        <x:v>16</x:v>
      </x:c>
      <x:c r="N22" s="23" t="n">
        <x:v>39</x:v>
      </x:c>
      <x:c r="O22" s="23" t="n">
        <x:v>3769</x:v>
      </x:c>
      <x:c r="P22" s="23" t="n">
        <x:v>3564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0" t="str">
        <x:v>9–10月</x:v>
      </x:c>
      <x:c r="B23" s="20" t="str">
        <x:v>雙北合計</x:v>
      </x:c>
      <x:c r="C23" s="37" t="n">
        <x:v>17</x:v>
      </x:c>
      <x:c r="D23" s="20" t="str">
        <x:v>16–19</x:v>
      </x:c>
      <x:c r="E23" s="23" t="n">
        <x:v>11894</x:v>
      </x:c>
      <x:c r="F23" s="23" t="n">
        <x:v>68</x:v>
      </x:c>
      <x:c r="G23" s="24" t="n">
        <x:f>IF(E23=0,"",F23/E23)</x:f>
        <x:v>0.005717168320161426</x:v>
      </x:c>
      <x:c r="H23" s="23" t="n">
        <x:v>5565</x:v>
      </x:c>
      <x:c r="I23" s="24" t="n">
        <x:f>IF(E23=0,"",H23/E23)</x:f>
        <x:v>0.4678829662014461</x:v>
      </x:c>
      <x:c r="J23" s="23" t="n">
        <x:v>6261</x:v>
      </x:c>
      <x:c r="K23" s="24" t="n">
        <x:f>IF(E23=0,"",J23/E23)</x:f>
        <x:v>0.5263998654783925</x:v>
      </x:c>
      <x:c r="L23" s="1"/>
      <x:c r="M23" s="37" t="n">
        <x:v>17</x:v>
      </x:c>
      <x:c r="N23" s="23" t="n">
        <x:v>68</x:v>
      </x:c>
      <x:c r="O23" s="23" t="n">
        <x:v>5565</x:v>
      </x:c>
      <x:c r="P23" s="23" t="n">
        <x:v>6261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5" t="str">
        <x:v>9–10月</x:v>
      </x:c>
      <x:c r="B24" s="25" t="str">
        <x:v>雙北合計</x:v>
      </x:c>
      <x:c r="C24" s="36" t="n">
        <x:v>18</x:v>
      </x:c>
      <x:c r="D24" s="25" t="str">
        <x:v>16–19</x:v>
      </x:c>
      <x:c r="E24" s="34" t="n">
        <x:v>18728</x:v>
      </x:c>
      <x:c r="F24" s="34" t="n">
        <x:v>72</x:v>
      </x:c>
      <x:c r="G24" s="35" t="n">
        <x:f>IF(E24=0,"",F24/E24)</x:f>
        <x:v>0.003844510892780863</x:v>
      </x:c>
      <x:c r="H24" s="34" t="n">
        <x:v>7524</x:v>
      </x:c>
      <x:c r="I24" s="35" t="n">
        <x:f>IF(E24=0,"",H24/E24)</x:f>
        <x:v>0.4017513882956002</x:v>
      </x:c>
      <x:c r="J24" s="34" t="n">
        <x:v>11132</x:v>
      </x:c>
      <x:c r="K24" s="35" t="n">
        <x:f>IF(E24=0,"",J24/E24)</x:f>
        <x:v>0.594404100811619</x:v>
      </x:c>
      <x:c r="L24" s="1"/>
      <x:c r="M24" s="37" t="n">
        <x:v>18</x:v>
      </x:c>
      <x:c r="N24" s="23" t="n">
        <x:v>72</x:v>
      </x:c>
      <x:c r="O24" s="23" t="n">
        <x:v>7524</x:v>
      </x:c>
      <x:c r="P24" s="23" t="n">
        <x:v>11132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0" t="str">
        <x:v>9–10月</x:v>
      </x:c>
      <x:c r="B25" s="20" t="str">
        <x:v>雙北合計</x:v>
      </x:c>
      <x:c r="C25" s="37" t="n">
        <x:v>19</x:v>
      </x:c>
      <x:c r="D25" s="20" t="str">
        <x:v>16–19</x:v>
      </x:c>
      <x:c r="E25" s="23" t="n">
        <x:v>17528</x:v>
      </x:c>
      <x:c r="F25" s="23" t="n">
        <x:v>79</x:v>
      </x:c>
      <x:c r="G25" s="24" t="n">
        <x:f>IF(E25=0,"",F25/E25)</x:f>
        <x:v>0.004507074395253309</x:v>
      </x:c>
      <x:c r="H25" s="23" t="n">
        <x:v>6702</x:v>
      </x:c>
      <x:c r="I25" s="24" t="n">
        <x:f>IF(E25=0,"",H25/E25)</x:f>
        <x:v>0.3823596531264263</x:v>
      </x:c>
      <x:c r="J25" s="23" t="n">
        <x:v>10747</x:v>
      </x:c>
      <x:c r="K25" s="24" t="n">
        <x:f>IF(E25=0,"",J25/E25)</x:f>
        <x:v>0.6131332724783204</x:v>
      </x:c>
      <x:c r="L25" s="1"/>
      <x:c r="M25" s="37" t="n">
        <x:v>19</x:v>
      </x:c>
      <x:c r="N25" s="23" t="n">
        <x:v>79</x:v>
      </x:c>
      <x:c r="O25" s="23" t="n">
        <x:v>6702</x:v>
      </x:c>
      <x:c r="P25" s="23" t="n">
        <x:v>10747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5" t="str">
        <x:v>9–10月</x:v>
      </x:c>
      <x:c r="B26" s="25" t="str">
        <x:v>雙北合計</x:v>
      </x:c>
      <x:c r="C26" s="36" t="n">
        <x:v>20</x:v>
      </x:c>
      <x:c r="D26" s="25" t="str">
        <x:v>20–23</x:v>
      </x:c>
      <x:c r="E26" s="34" t="n">
        <x:v>13958</x:v>
      </x:c>
      <x:c r="F26" s="34" t="n">
        <x:v>75</x:v>
      </x:c>
      <x:c r="G26" s="35" t="n">
        <x:f>IF(E26=0,"",F26/E26)</x:f>
        <x:v>0.005373262645078092</x:v>
      </x:c>
      <x:c r="H26" s="34" t="n">
        <x:v>5100</x:v>
      </x:c>
      <x:c r="I26" s="35" t="n">
        <x:f>IF(E26=0,"",H26/E26)</x:f>
        <x:v>0.36538185986531024</x:v>
      </x:c>
      <x:c r="J26" s="34" t="n">
        <x:v>8783</x:v>
      </x:c>
      <x:c r="K26" s="35" t="n">
        <x:f>IF(E26=0,"",J26/E26)</x:f>
        <x:v>0.6292448774896117</x:v>
      </x:c>
      <x:c r="L26" s="1"/>
      <x:c r="M26" s="37" t="n">
        <x:v>20</x:v>
      </x:c>
      <x:c r="N26" s="23" t="n">
        <x:v>75</x:v>
      </x:c>
      <x:c r="O26" s="23" t="n">
        <x:v>5100</x:v>
      </x:c>
      <x:c r="P26" s="23" t="n">
        <x:v>8783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0" t="str">
        <x:v>9–10月</x:v>
      </x:c>
      <x:c r="B27" s="20" t="str">
        <x:v>雙北合計</x:v>
      </x:c>
      <x:c r="C27" s="37" t="n">
        <x:v>21</x:v>
      </x:c>
      <x:c r="D27" s="20" t="str">
        <x:v>20–23</x:v>
      </x:c>
      <x:c r="E27" s="23" t="n">
        <x:v>10657</x:v>
      </x:c>
      <x:c r="F27" s="23" t="n">
        <x:v>43</x:v>
      </x:c>
      <x:c r="G27" s="24" t="n">
        <x:f>IF(E27=0,"",F27/E27)</x:f>
        <x:v>0.004034906634137187</x:v>
      </x:c>
      <x:c r="H27" s="23" t="n">
        <x:v>3632</x:v>
      </x:c>
      <x:c r="I27" s="24" t="n">
        <x:f>IF(E27=0,"",H27/E27)</x:f>
        <x:v>0.3408088580275875</x:v>
      </x:c>
      <x:c r="J27" s="23" t="n">
        <x:v>6982</x:v>
      </x:c>
      <x:c r="K27" s="24" t="n">
        <x:f>IF(E27=0,"",J27/E27)</x:f>
        <x:v>0.6551562353382753</x:v>
      </x:c>
      <x:c r="L27" s="1"/>
      <x:c r="M27" s="37" t="n">
        <x:v>21</x:v>
      </x:c>
      <x:c r="N27" s="23" t="n">
        <x:v>43</x:v>
      </x:c>
      <x:c r="O27" s="23" t="n">
        <x:v>3632</x:v>
      </x:c>
      <x:c r="P27" s="23" t="n">
        <x:v>6982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5" t="str">
        <x:v>9–10月</x:v>
      </x:c>
      <x:c r="B28" s="25" t="str">
        <x:v>雙北合計</x:v>
      </x:c>
      <x:c r="C28" s="36" t="n">
        <x:v>22</x:v>
      </x:c>
      <x:c r="D28" s="25" t="str">
        <x:v>20–23</x:v>
      </x:c>
      <x:c r="E28" s="34" t="n">
        <x:v>10573</x:v>
      </x:c>
      <x:c r="F28" s="34" t="n">
        <x:v>110</x:v>
      </x:c>
      <x:c r="G28" s="35" t="n">
        <x:f>IF(E28=0,"",F28/E28)</x:f>
        <x:v>0.010403858885841295</x:v>
      </x:c>
      <x:c r="H28" s="34" t="n">
        <x:v>4986</x:v>
      </x:c>
      <x:c r="I28" s="35" t="n">
        <x:f>IF(E28=0,"",H28/E28)</x:f>
        <x:v>0.4715785491345881</x:v>
      </x:c>
      <x:c r="J28" s="34" t="n">
        <x:v>5477</x:v>
      </x:c>
      <x:c r="K28" s="35" t="n">
        <x:f>IF(E28=0,"",J28/E28)</x:f>
        <x:v>0.5180175919795706</x:v>
      </x:c>
      <x:c r="L28" s="1"/>
      <x:c r="M28" s="37" t="n">
        <x:v>22</x:v>
      </x:c>
      <x:c r="N28" s="23" t="n">
        <x:v>110</x:v>
      </x:c>
      <x:c r="O28" s="23" t="n">
        <x:v>4986</x:v>
      </x:c>
      <x:c r="P28" s="23" t="n">
        <x:v>5477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0" t="str">
        <x:v>9–10月</x:v>
      </x:c>
      <x:c r="B29" s="20" t="str">
        <x:v>雙北合計</x:v>
      </x:c>
      <x:c r="C29" s="37" t="n">
        <x:v>23</x:v>
      </x:c>
      <x:c r="D29" s="20" t="str">
        <x:v>20–23</x:v>
      </x:c>
      <x:c r="E29" s="23" t="n">
        <x:v>14927</x:v>
      </x:c>
      <x:c r="F29" s="23" t="n">
        <x:v>201</x:v>
      </x:c>
      <x:c r="G29" s="24" t="n">
        <x:f>IF(E29=0,"",F29/E29)</x:f>
        <x:v>0.013465532256983988</x:v>
      </x:c>
      <x:c r="H29" s="23" t="n">
        <x:v>6274</x:v>
      </x:c>
      <x:c r="I29" s="24" t="n">
        <x:f>IF(E29=0,"",H29/E29)</x:f>
        <x:v>0.4203121859717291</x:v>
      </x:c>
      <x:c r="J29" s="23" t="n">
        <x:v>8452</x:v>
      </x:c>
      <x:c r="K29" s="24" t="n">
        <x:f>IF(E29=0,"",J29/E29)</x:f>
        <x:v>0.566222281771287</x:v>
      </x:c>
      <x:c r="L29" s="1"/>
      <x:c r="M29" s="37" t="n">
        <x:v>23</x:v>
      </x:c>
      <x:c r="N29" s="23" t="n">
        <x:v>201</x:v>
      </x:c>
      <x:c r="O29" s="23" t="n">
        <x:v>6274</x:v>
      </x:c>
      <x:c r="P29" s="23" t="n">
        <x:v>8452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5" t="str">
        <x:v>9–10月</x:v>
      </x:c>
      <x:c r="B30" s="25" t="str">
        <x:v>台北市</x:v>
      </x:c>
      <x:c r="C30" s="36" t="n">
        <x:v>0</x:v>
      </x:c>
      <x:c r="D30" s="25" t="str">
        <x:v>00–05</x:v>
      </x:c>
      <x:c r="E30" s="34" t="n">
        <x:v>6618</x:v>
      </x:c>
      <x:c r="F30" s="34" t="n">
        <x:v>142</x:v>
      </x:c>
      <x:c r="G30" s="35" t="n">
        <x:f>IF(E30=0,"",F30/E30)</x:f>
        <x:v>0.021456633423995165</x:v>
      </x:c>
      <x:c r="H30" s="34" t="n">
        <x:v>1341</x:v>
      </x:c>
      <x:c r="I30" s="35" t="n">
        <x:f>IF(E30=0,"",H30/E30)</x:f>
        <x:v>0.20262919310970082</x:v>
      </x:c>
      <x:c r="J30" s="34" t="n">
        <x:v>5135</x:v>
      </x:c>
      <x:c r="K30" s="35" t="n">
        <x:f>IF(E30=0,"",J30/E30)</x:f>
        <x:v>0.775914173466304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0" t="str">
        <x:v>9–10月</x:v>
      </x:c>
      <x:c r="B31" s="20" t="str">
        <x:v>台北市</x:v>
      </x:c>
      <x:c r="C31" s="37" t="n">
        <x:v>1</x:v>
      </x:c>
      <x:c r="D31" s="20" t="str">
        <x:v>00–05</x:v>
      </x:c>
      <x:c r="E31" s="23" t="n">
        <x:v>4972</x:v>
      </x:c>
      <x:c r="F31" s="23" t="n">
        <x:v>174</x:v>
      </x:c>
      <x:c r="G31" s="24" t="n">
        <x:f>IF(E31=0,"",F31/E31)</x:f>
        <x:v>0.03499597747385358</x:v>
      </x:c>
      <x:c r="H31" s="23" t="n">
        <x:v>1078</x:v>
      </x:c>
      <x:c r="I31" s="24" t="n">
        <x:f>IF(E31=0,"",H31/E31)</x:f>
        <x:v>0.2168141592920354</x:v>
      </x:c>
      <x:c r="J31" s="23" t="n">
        <x:v>3720</x:v>
      </x:c>
      <x:c r="K31" s="24" t="n">
        <x:f>IF(E31=0,"",J31/E31)</x:f>
        <x:v>0.7481898632341111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5" t="str">
        <x:v>9–10月</x:v>
      </x:c>
      <x:c r="B32" s="25" t="str">
        <x:v>台北市</x:v>
      </x:c>
      <x:c r="C32" s="36" t="n">
        <x:v>2</x:v>
      </x:c>
      <x:c r="D32" s="25" t="str">
        <x:v>00–05</x:v>
      </x:c>
      <x:c r="E32" s="34" t="n">
        <x:v>1399</x:v>
      </x:c>
      <x:c r="F32" s="34" t="n">
        <x:v>35</x:v>
      </x:c>
      <x:c r="G32" s="35" t="n">
        <x:f>IF(E32=0,"",F32/E32)</x:f>
        <x:v>0.02501786990707648</x:v>
      </x:c>
      <x:c r="H32" s="34" t="n">
        <x:v>230</x:v>
      </x:c>
      <x:c r="I32" s="35" t="n">
        <x:f>IF(E32=0,"",H32/E32)</x:f>
        <x:v>0.16440314510364545</x:v>
      </x:c>
      <x:c r="J32" s="34" t="n">
        <x:v>1134</x:v>
      </x:c>
      <x:c r="K32" s="35" t="n">
        <x:f>IF(E32=0,"",J32/E32)</x:f>
        <x:v>0.810578984989278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0" t="str">
        <x:v>9–10月</x:v>
      </x:c>
      <x:c r="B33" s="20" t="str">
        <x:v>台北市</x:v>
      </x:c>
      <x:c r="C33" s="37" t="n">
        <x:v>3</x:v>
      </x:c>
      <x:c r="D33" s="20" t="str">
        <x:v>00–05</x:v>
      </x:c>
      <x:c r="E33" s="23" t="n">
        <x:v>2989</x:v>
      </x:c>
      <x:c r="F33" s="23" t="n">
        <x:v>72</x:v>
      </x:c>
      <x:c r="G33" s="24" t="n">
        <x:f>IF(E33=0,"",F33/E33)</x:f>
        <x:v>0.024088323854131816</x:v>
      </x:c>
      <x:c r="H33" s="23" t="n">
        <x:v>988</x:v>
      </x:c>
      <x:c r="I33" s="24" t="n">
        <x:f>IF(E33=0,"",H33/E33)</x:f>
        <x:v>0.33054533288725324</x:v>
      </x:c>
      <x:c r="J33" s="23" t="n">
        <x:v>1929</x:v>
      </x:c>
      <x:c r="K33" s="24" t="n">
        <x:f>IF(E33=0,"",J33/E33)</x:f>
        <x:v>0.645366343258615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5" t="str">
        <x:v>9–10月</x:v>
      </x:c>
      <x:c r="B34" s="25" t="str">
        <x:v>台北市</x:v>
      </x:c>
      <x:c r="C34" s="36" t="n">
        <x:v>4</x:v>
      </x:c>
      <x:c r="D34" s="25" t="str">
        <x:v>00–05</x:v>
      </x:c>
      <x:c r="E34" s="34" t="n">
        <x:v>4222</x:v>
      </x:c>
      <x:c r="F34" s="34" t="n">
        <x:v>186</x:v>
      </x:c>
      <x:c r="G34" s="35" t="n">
        <x:f>IF(E34=0,"",F34/E34)</x:f>
        <x:v>0.04405495026054003</x:v>
      </x:c>
      <x:c r="H34" s="34" t="n">
        <x:v>1143</x:v>
      </x:c>
      <x:c r="I34" s="35" t="n">
        <x:f>IF(E34=0,"",H34/E34)</x:f>
        <x:v>0.2707247749881573</x:v>
      </x:c>
      <x:c r="J34" s="34" t="n">
        <x:v>2893</x:v>
      </x:c>
      <x:c r="K34" s="35" t="n">
        <x:f>IF(E34=0,"",J34/E34)</x:f>
        <x:v>0.6852202747513026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0" t="str">
        <x:v>9–10月</x:v>
      </x:c>
      <x:c r="B35" s="20" t="str">
        <x:v>台北市</x:v>
      </x:c>
      <x:c r="C35" s="37" t="n">
        <x:v>5</x:v>
      </x:c>
      <x:c r="D35" s="20" t="str">
        <x:v>00–05</x:v>
      </x:c>
      <x:c r="E35" s="23" t="n">
        <x:v>3076</x:v>
      </x:c>
      <x:c r="F35" s="23" t="n">
        <x:v>136</x:v>
      </x:c>
      <x:c r="G35" s="24" t="n">
        <x:f>IF(E35=0,"",F35/E35)</x:f>
        <x:v>0.044213263979193757</x:v>
      </x:c>
      <x:c r="H35" s="23" t="n">
        <x:v>664</x:v>
      </x:c>
      <x:c r="I35" s="24" t="n">
        <x:f>IF(E35=0,"",H35/E35)</x:f>
        <x:v>0.21586475942782835</x:v>
      </x:c>
      <x:c r="J35" s="23" t="n">
        <x:v>2276</x:v>
      </x:c>
      <x:c r="K35" s="24" t="n">
        <x:f>IF(E35=0,"",J35/E35)</x:f>
        <x:v>0.7399219765929779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5" t="str">
        <x:v>9–10月</x:v>
      </x:c>
      <x:c r="B36" s="25" t="str">
        <x:v>台北市</x:v>
      </x:c>
      <x:c r="C36" s="36" t="n">
        <x:v>6</x:v>
      </x:c>
      <x:c r="D36" s="25" t="str">
        <x:v>06–09</x:v>
      </x:c>
      <x:c r="E36" s="34" t="n">
        <x:v>1261</x:v>
      </x:c>
      <x:c r="F36" s="34" t="n">
        <x:v>31</x:v>
      </x:c>
      <x:c r="G36" s="35" t="n">
        <x:f>IF(E36=0,"",F36/E36)</x:f>
        <x:v>0.02458366375892149</x:v>
      </x:c>
      <x:c r="H36" s="34" t="n">
        <x:v>263</x:v>
      </x:c>
      <x:c r="I36" s="35" t="n">
        <x:f>IF(E36=0,"",H36/E36)</x:f>
        <x:v>0.20856463124504362</x:v>
      </x:c>
      <x:c r="J36" s="34" t="n">
        <x:v>967</x:v>
      </x:c>
      <x:c r="K36" s="35" t="n">
        <x:f>IF(E36=0,"",J36/E36)</x:f>
        <x:v>0.7668517049960349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0" t="str">
        <x:v>9–10月</x:v>
      </x:c>
      <x:c r="B37" s="20" t="str">
        <x:v>台北市</x:v>
      </x:c>
      <x:c r="C37" s="37" t="n">
        <x:v>7</x:v>
      </x:c>
      <x:c r="D37" s="20" t="str">
        <x:v>06–09</x:v>
      </x:c>
      <x:c r="E37" s="23" t="n">
        <x:v>7507</x:v>
      </x:c>
      <x:c r="F37" s="23" t="n">
        <x:v>25</x:v>
      </x:c>
      <x:c r="G37" s="24" t="n">
        <x:f>IF(E37=0,"",F37/E37)</x:f>
        <x:v>0.0033302251232183297</x:v>
      </x:c>
      <x:c r="H37" s="23" t="n">
        <x:v>1267</x:v>
      </x:c>
      <x:c r="I37" s="24" t="n">
        <x:f>IF(E37=0,"",H37/E37)</x:f>
        <x:v>0.16877580924470495</x:v>
      </x:c>
      <x:c r="J37" s="23" t="n">
        <x:v>6215</x:v>
      </x:c>
      <x:c r="K37" s="24" t="n">
        <x:f>IF(E37=0,"",J37/E37)</x:f>
        <x:v>0.8278939656320767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5" t="str">
        <x:v>9–10月</x:v>
      </x:c>
      <x:c r="B38" s="25" t="str">
        <x:v>台北市</x:v>
      </x:c>
      <x:c r="C38" s="36" t="n">
        <x:v>8</x:v>
      </x:c>
      <x:c r="D38" s="25" t="str">
        <x:v>06–09</x:v>
      </x:c>
      <x:c r="E38" s="34" t="n">
        <x:v>9526</x:v>
      </x:c>
      <x:c r="F38" s="34" t="n">
        <x:v>52</x:v>
      </x:c>
      <x:c r="G38" s="35" t="n">
        <x:f>IF(E38=0,"",F38/E38)</x:f>
        <x:v>0.0054587444887675834</x:v>
      </x:c>
      <x:c r="H38" s="34" t="n">
        <x:v>2227</x:v>
      </x:c>
      <x:c r="I38" s="35" t="n">
        <x:f>IF(E38=0,"",H38/E38)</x:f>
        <x:v>0.23378123031702708</x:v>
      </x:c>
      <x:c r="J38" s="34" t="n">
        <x:v>7247</x:v>
      </x:c>
      <x:c r="K38" s="35" t="n">
        <x:f>IF(E38=0,"",J38/E38)</x:f>
        <x:v>0.7607600251942054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0" t="str">
        <x:v>9–10月</x:v>
      </x:c>
      <x:c r="B39" s="20" t="str">
        <x:v>台北市</x:v>
      </x:c>
      <x:c r="C39" s="37" t="n">
        <x:v>9</x:v>
      </x:c>
      <x:c r="D39" s="20" t="str">
        <x:v>06–09</x:v>
      </x:c>
      <x:c r="E39" s="23" t="n">
        <x:v>9329</x:v>
      </x:c>
      <x:c r="F39" s="23" t="n">
        <x:v>70</x:v>
      </x:c>
      <x:c r="G39" s="24" t="n">
        <x:f>IF(E39=0,"",F39/E39)</x:f>
        <x:v>0.00750348376031729</x:v>
      </x:c>
      <x:c r="H39" s="23" t="n">
        <x:v>2403</x:v>
      </x:c>
      <x:c r="I39" s="24" t="n">
        <x:f>IF(E39=0,"",H39/E39)</x:f>
        <x:v>0.25758387822917783</x:v>
      </x:c>
      <x:c r="J39" s="23" t="n">
        <x:v>6856</x:v>
      </x:c>
      <x:c r="K39" s="24" t="n">
        <x:f>IF(E39=0,"",J39/E39)</x:f>
        <x:v>0.7349126380105049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5" t="str">
        <x:v>9–10月</x:v>
      </x:c>
      <x:c r="B40" s="25" t="str">
        <x:v>台北市</x:v>
      </x:c>
      <x:c r="C40" s="36" t="n">
        <x:v>10</x:v>
      </x:c>
      <x:c r="D40" s="25" t="str">
        <x:v>10–15</x:v>
      </x:c>
      <x:c r="E40" s="34" t="n">
        <x:v>7431</x:v>
      </x:c>
      <x:c r="F40" s="34" t="n">
        <x:v>71</x:v>
      </x:c>
      <x:c r="G40" s="35" t="n">
        <x:f>IF(E40=0,"",F40/E40)</x:f>
        <x:v>0.009554568698694657</x:v>
      </x:c>
      <x:c r="H40" s="34" t="n">
        <x:v>1778</x:v>
      </x:c>
      <x:c r="I40" s="35" t="n">
        <x:f>IF(E40=0,"",H40/E40)</x:f>
        <x:v>0.23926793163773383</x:v>
      </x:c>
      <x:c r="J40" s="34" t="n">
        <x:v>5582</x:v>
      </x:c>
      <x:c r="K40" s="35" t="n">
        <x:f>IF(E40=0,"",J40/E40)</x:f>
        <x:v>0.7511774996635715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0" t="str">
        <x:v>9–10月</x:v>
      </x:c>
      <x:c r="B41" s="20" t="str">
        <x:v>台北市</x:v>
      </x:c>
      <x:c r="C41" s="37" t="n">
        <x:v>11</x:v>
      </x:c>
      <x:c r="D41" s="20" t="str">
        <x:v>10–15</x:v>
      </x:c>
      <x:c r="E41" s="23" t="n">
        <x:v>3812</x:v>
      </x:c>
      <x:c r="F41" s="23" t="n">
        <x:v>70</x:v>
      </x:c>
      <x:c r="G41" s="24" t="n">
        <x:f>IF(E41=0,"",F41/E41)</x:f>
        <x:v>0.018363064008394544</x:v>
      </x:c>
      <x:c r="H41" s="23" t="n">
        <x:v>910</x:v>
      </x:c>
      <x:c r="I41" s="24" t="n">
        <x:f>IF(E41=0,"",H41/E41)</x:f>
        <x:v>0.23871983210912906</x:v>
      </x:c>
      <x:c r="J41" s="23" t="n">
        <x:v>2832</x:v>
      </x:c>
      <x:c r="K41" s="24" t="n">
        <x:f>IF(E41=0,"",J41/E41)</x:f>
        <x:v>0.7429171038824763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5" t="str">
        <x:v>9–10月</x:v>
      </x:c>
      <x:c r="B42" s="25" t="str">
        <x:v>台北市</x:v>
      </x:c>
      <x:c r="C42" s="36" t="n">
        <x:v>12</x:v>
      </x:c>
      <x:c r="D42" s="25" t="str">
        <x:v>10–15</x:v>
      </x:c>
      <x:c r="E42" s="34" t="n">
        <x:v>2343</x:v>
      </x:c>
      <x:c r="F42" s="34" t="n">
        <x:v>32</x:v>
      </x:c>
      <x:c r="G42" s="35" t="n">
        <x:f>IF(E42=0,"",F42/E42)</x:f>
        <x:v>0.01365770379854887</x:v>
      </x:c>
      <x:c r="H42" s="34" t="n">
        <x:v>581</x:v>
      </x:c>
      <x:c r="I42" s="35" t="n">
        <x:f>IF(E42=0,"",H42/E42)</x:f>
        <x:v>0.2479726845924029</x:v>
      </x:c>
      <x:c r="J42" s="34" t="n">
        <x:v>1730</x:v>
      </x:c>
      <x:c r="K42" s="35" t="n">
        <x:f>IF(E42=0,"",J42/E42)</x:f>
        <x:v>0.7383696116090482</x:v>
      </x:c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0" t="str">
        <x:v>9–10月</x:v>
      </x:c>
      <x:c r="B43" s="20" t="str">
        <x:v>台北市</x:v>
      </x:c>
      <x:c r="C43" s="37" t="n">
        <x:v>13</x:v>
      </x:c>
      <x:c r="D43" s="20" t="str">
        <x:v>10–15</x:v>
      </x:c>
      <x:c r="E43" s="23" t="n">
        <x:v>4147</x:v>
      </x:c>
      <x:c r="F43" s="23" t="n">
        <x:v>64</x:v>
      </x:c>
      <x:c r="G43" s="24" t="n">
        <x:f>IF(E43=0,"",F43/E43)</x:f>
        <x:v>0.015432843019049916</x:v>
      </x:c>
      <x:c r="H43" s="23" t="n">
        <x:v>940</x:v>
      </x:c>
      <x:c r="I43" s="24" t="n">
        <x:f>IF(E43=0,"",H43/E43)</x:f>
        <x:v>0.22666988184229564</x:v>
      </x:c>
      <x:c r="J43" s="23" t="n">
        <x:v>3143</x:v>
      </x:c>
      <x:c r="K43" s="24" t="n">
        <x:f>IF(E43=0,"",J43/E43)</x:f>
        <x:v>0.7578972751386545</x:v>
      </x:c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5" t="str">
        <x:v>9–10月</x:v>
      </x:c>
      <x:c r="B44" s="25" t="str">
        <x:v>台北市</x:v>
      </x:c>
      <x:c r="C44" s="36" t="n">
        <x:v>14</x:v>
      </x:c>
      <x:c r="D44" s="25" t="str">
        <x:v>10–15</x:v>
      </x:c>
      <x:c r="E44" s="34" t="n">
        <x:v>4183</x:v>
      </x:c>
      <x:c r="F44" s="34" t="n">
        <x:v>85</x:v>
      </x:c>
      <x:c r="G44" s="35" t="n">
        <x:f>IF(E44=0,"",F44/E44)</x:f>
        <x:v>0.020320344250537893</x:v>
      </x:c>
      <x:c r="H44" s="34" t="n">
        <x:v>940</x:v>
      </x:c>
      <x:c r="I44" s="35" t="n">
        <x:f>IF(E44=0,"",H44/E44)</x:f>
        <x:v>0.2247191011235955</x:v>
      </x:c>
      <x:c r="J44" s="34" t="n">
        <x:v>3158</x:v>
      </x:c>
      <x:c r="K44" s="35" t="n">
        <x:f>IF(E44=0,"",J44/E44)</x:f>
        <x:v>0.7549605546258666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0" t="str">
        <x:v>9–10月</x:v>
      </x:c>
      <x:c r="B45" s="20" t="str">
        <x:v>台北市</x:v>
      </x:c>
      <x:c r="C45" s="37" t="n">
        <x:v>15</x:v>
      </x:c>
      <x:c r="D45" s="20" t="str">
        <x:v>10–15</x:v>
      </x:c>
      <x:c r="E45" s="23" t="n">
        <x:v>3355</x:v>
      </x:c>
      <x:c r="F45" s="23" t="n">
        <x:v>52</x:v>
      </x:c>
      <x:c r="G45" s="24" t="n">
        <x:f>IF(E45=0,"",F45/E45)</x:f>
        <x:v>0.015499254843517139</x:v>
      </x:c>
      <x:c r="H45" s="23" t="n">
        <x:v>752</x:v>
      </x:c>
      <x:c r="I45" s="24" t="n">
        <x:f>IF(E45=0,"",H45/E45)</x:f>
        <x:v>0.2241430700447094</x:v>
      </x:c>
      <x:c r="J45" s="23" t="n">
        <x:v>2551</x:v>
      </x:c>
      <x:c r="K45" s="24" t="n">
        <x:f>IF(E45=0,"",J45/E45)</x:f>
        <x:v>0.7603576751117734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5" t="str">
        <x:v>9–10月</x:v>
      </x:c>
      <x:c r="B46" s="25" t="str">
        <x:v>台北市</x:v>
      </x:c>
      <x:c r="C46" s="36" t="n">
        <x:v>16</x:v>
      </x:c>
      <x:c r="D46" s="25" t="str">
        <x:v>16–19</x:v>
      </x:c>
      <x:c r="E46" s="34" t="n">
        <x:v>3475</x:v>
      </x:c>
      <x:c r="F46" s="34" t="n">
        <x:v>15</x:v>
      </x:c>
      <x:c r="G46" s="35" t="n">
        <x:f>IF(E46=0,"",F46/E46)</x:f>
        <x:v>0.004316546762589928</x:v>
      </x:c>
      <x:c r="H46" s="34" t="n">
        <x:v>1160</x:v>
      </x:c>
      <x:c r="I46" s="35" t="n">
        <x:f>IF(E46=0,"",H46/E46)</x:f>
        <x:v>0.3338129496402878</x:v>
      </x:c>
      <x:c r="J46" s="34" t="n">
        <x:v>2300</x:v>
      </x:c>
      <x:c r="K46" s="35" t="n">
        <x:f>IF(E46=0,"",J46/E46)</x:f>
        <x:v>0.6618705035971223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0" t="str">
        <x:v>9–10月</x:v>
      </x:c>
      <x:c r="B47" s="20" t="str">
        <x:v>台北市</x:v>
      </x:c>
      <x:c r="C47" s="37" t="n">
        <x:v>17</x:v>
      </x:c>
      <x:c r="D47" s="20" t="str">
        <x:v>16–19</x:v>
      </x:c>
      <x:c r="E47" s="23" t="n">
        <x:v>5027</x:v>
      </x:c>
      <x:c r="F47" s="23" t="n">
        <x:v>22</x:v>
      </x:c>
      <x:c r="G47" s="24" t="n">
        <x:f>IF(E47=0,"",F47/E47)</x:f>
        <x:v>0.00437636761487965</x:v>
      </x:c>
      <x:c r="H47" s="23" t="n">
        <x:v>1406</x:v>
      </x:c>
      <x:c r="I47" s="24" t="n">
        <x:f>IF(E47=0,"",H47/E47)</x:f>
        <x:v>0.2796896757509449</x:v>
      </x:c>
      <x:c r="J47" s="23" t="n">
        <x:v>3599</x:v>
      </x:c>
      <x:c r="K47" s="24" t="n">
        <x:f>IF(E47=0,"",J47/E47)</x:f>
        <x:v>0.7159339566341755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5" t="str">
        <x:v>9–10月</x:v>
      </x:c>
      <x:c r="B48" s="25" t="str">
        <x:v>台北市</x:v>
      </x:c>
      <x:c r="C48" s="36" t="n">
        <x:v>18</x:v>
      </x:c>
      <x:c r="D48" s="25" t="str">
        <x:v>16–19</x:v>
      </x:c>
      <x:c r="E48" s="34" t="n">
        <x:v>7583</x:v>
      </x:c>
      <x:c r="F48" s="34" t="n">
        <x:v>23</x:v>
      </x:c>
      <x:c r="G48" s="35" t="n">
        <x:f>IF(E48=0,"",F48/E48)</x:f>
        <x:v>0.003033100356059607</x:v>
      </x:c>
      <x:c r="H48" s="34" t="n">
        <x:v>1485</x:v>
      </x:c>
      <x:c r="I48" s="35" t="n">
        <x:f>IF(E48=0,"",H48/E48)</x:f>
        <x:v>0.19583278385863115</x:v>
      </x:c>
      <x:c r="J48" s="34" t="n">
        <x:v>6075</x:v>
      </x:c>
      <x:c r="K48" s="35" t="n">
        <x:f>IF(E48=0,"",J48/E48)</x:f>
        <x:v>0.8011341157853092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0" t="str">
        <x:v>9–10月</x:v>
      </x:c>
      <x:c r="B49" s="20" t="str">
        <x:v>台北市</x:v>
      </x:c>
      <x:c r="C49" s="37" t="n">
        <x:v>19</x:v>
      </x:c>
      <x:c r="D49" s="20" t="str">
        <x:v>16–19</x:v>
      </x:c>
      <x:c r="E49" s="23" t="n">
        <x:v>7526</x:v>
      </x:c>
      <x:c r="F49" s="23" t="n">
        <x:v>19</x:v>
      </x:c>
      <x:c r="G49" s="24" t="n">
        <x:f>IF(E49=0,"",F49/E49)</x:f>
        <x:v>0.0025245814509699707</x:v>
      </x:c>
      <x:c r="H49" s="23" t="n">
        <x:v>1431</x:v>
      </x:c>
      <x:c r="I49" s="24" t="n">
        <x:f>IF(E49=0,"",H49/E49)</x:f>
        <x:v>0.19014084507042253</x:v>
      </x:c>
      <x:c r="J49" s="23" t="n">
        <x:v>6076</x:v>
      </x:c>
      <x:c r="K49" s="24" t="n">
        <x:f>IF(E49=0,"",J49/E49)</x:f>
        <x:v>0.8073345734786075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5" t="str">
        <x:v>9–10月</x:v>
      </x:c>
      <x:c r="B50" s="25" t="str">
        <x:v>台北市</x:v>
      </x:c>
      <x:c r="C50" s="36" t="n">
        <x:v>20</x:v>
      </x:c>
      <x:c r="D50" s="25" t="str">
        <x:v>20–23</x:v>
      </x:c>
      <x:c r="E50" s="34" t="n">
        <x:v>6084</x:v>
      </x:c>
      <x:c r="F50" s="34" t="n">
        <x:v>30</x:v>
      </x:c>
      <x:c r="G50" s="35" t="n">
        <x:f>IF(E50=0,"",F50/E50)</x:f>
        <x:v>0.004930966469428008</x:v>
      </x:c>
      <x:c r="H50" s="34" t="n">
        <x:v>1060</x:v>
      </x:c>
      <x:c r="I50" s="35" t="n">
        <x:f>IF(E50=0,"",H50/E50)</x:f>
        <x:v>0.17422748191978962</x:v>
      </x:c>
      <x:c r="J50" s="34" t="n">
        <x:v>4994</x:v>
      </x:c>
      <x:c r="K50" s="35" t="n">
        <x:f>IF(E50=0,"",J50/E50)</x:f>
        <x:v>0.8208415516107824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0" t="str">
        <x:v>9–10月</x:v>
      </x:c>
      <x:c r="B51" s="20" t="str">
        <x:v>台北市</x:v>
      </x:c>
      <x:c r="C51" s="37" t="n">
        <x:v>21</x:v>
      </x:c>
      <x:c r="D51" s="20" t="str">
        <x:v>20–23</x:v>
      </x:c>
      <x:c r="E51" s="23" t="n">
        <x:v>4506</x:v>
      </x:c>
      <x:c r="F51" s="23" t="n">
        <x:v>13</x:v>
      </x:c>
      <x:c r="G51" s="24" t="n">
        <x:f>IF(E51=0,"",F51/E51)</x:f>
        <x:v>0.0028850421660008875</x:v>
      </x:c>
      <x:c r="H51" s="23" t="n">
        <x:v>764</x:v>
      </x:c>
      <x:c r="I51" s="24" t="n">
        <x:f>IF(E51=0,"",H51/E51)</x:f>
        <x:v>0.16955170883266754</x:v>
      </x:c>
      <x:c r="J51" s="23" t="n">
        <x:v>3729</x:v>
      </x:c>
      <x:c r="K51" s="24" t="n">
        <x:f>IF(E51=0,"",J51/E51)</x:f>
        <x:v>0.8275632490013316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5" t="str">
        <x:v>9–10月</x:v>
      </x:c>
      <x:c r="B52" s="25" t="str">
        <x:v>台北市</x:v>
      </x:c>
      <x:c r="C52" s="36" t="n">
        <x:v>22</x:v>
      </x:c>
      <x:c r="D52" s="25" t="str">
        <x:v>20–23</x:v>
      </x:c>
      <x:c r="E52" s="34" t="n">
        <x:v>4330</x:v>
      </x:c>
      <x:c r="F52" s="34" t="n">
        <x:v>51</x:v>
      </x:c>
      <x:c r="G52" s="35" t="n">
        <x:f>IF(E52=0,"",F52/E52)</x:f>
        <x:v>0.011778290993071594</x:v>
      </x:c>
      <x:c r="H52" s="34" t="n">
        <x:v>1063</x:v>
      </x:c>
      <x:c r="I52" s="35" t="n">
        <x:f>IF(E52=0,"",H52/E52)</x:f>
        <x:v>0.24549653579676675</x:v>
      </x:c>
      <x:c r="J52" s="34" t="n">
        <x:v>3216</x:v>
      </x:c>
      <x:c r="K52" s="35" t="n">
        <x:f>IF(E52=0,"",J52/E52)</x:f>
        <x:v>0.7427251732101616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0" t="str">
        <x:v>9–10月</x:v>
      </x:c>
      <x:c r="B53" s="20" t="str">
        <x:v>台北市</x:v>
      </x:c>
      <x:c r="C53" s="37" t="n">
        <x:v>23</x:v>
      </x:c>
      <x:c r="D53" s="20" t="str">
        <x:v>20–23</x:v>
      </x:c>
      <x:c r="E53" s="23" t="n">
        <x:v>7142</x:v>
      </x:c>
      <x:c r="F53" s="23" t="n">
        <x:v>121</x:v>
      </x:c>
      <x:c r="G53" s="24" t="n">
        <x:f>IF(E53=0,"",F53/E53)</x:f>
        <x:v>0.016942033043965275</x:v>
      </x:c>
      <x:c r="H53" s="23" t="n">
        <x:v>1488</x:v>
      </x:c>
      <x:c r="I53" s="24" t="n">
        <x:f>IF(E53=0,"",H53/E53)</x:f>
        <x:v>0.208345001400168</x:v>
      </x:c>
      <x:c r="J53" s="23" t="n">
        <x:v>5533</x:v>
      </x:c>
      <x:c r="K53" s="24" t="n">
        <x:f>IF(E53=0,"",J53/E53)</x:f>
        <x:v>0.7747129655558667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5" t="str">
        <x:v>9–10月</x:v>
      </x:c>
      <x:c r="B54" s="25" t="str">
        <x:v>新北市</x:v>
      </x:c>
      <x:c r="C54" s="36" t="n">
        <x:v>0</x:v>
      </x:c>
      <x:c r="D54" s="25" t="str">
        <x:v>00–05</x:v>
      </x:c>
      <x:c r="E54" s="34" t="n">
        <x:v>6449</x:v>
      </x:c>
      <x:c r="F54" s="34" t="n">
        <x:v>84</x:v>
      </x:c>
      <x:c r="G54" s="35" t="n">
        <x:f>IF(E54=0,"",F54/E54)</x:f>
        <x:v>0.013025275236470771</x:v>
      </x:c>
      <x:c r="H54" s="34" t="n">
        <x:v>4167</x:v>
      </x:c>
      <x:c r="I54" s="35" t="n">
        <x:f>IF(E54=0,"",H54/E54)</x:f>
        <x:v>0.6461466894092107</x:v>
      </x:c>
      <x:c r="J54" s="34" t="n">
        <x:v>2198</x:v>
      </x:c>
      <x:c r="K54" s="35" t="n">
        <x:f>IF(E54=0,"",J54/E54)</x:f>
        <x:v>0.3408280353543185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0" t="str">
        <x:v>9–10月</x:v>
      </x:c>
      <x:c r="B55" s="20" t="str">
        <x:v>新北市</x:v>
      </x:c>
      <x:c r="C55" s="37" t="n">
        <x:v>1</x:v>
      </x:c>
      <x:c r="D55" s="20" t="str">
        <x:v>00–05</x:v>
      </x:c>
      <x:c r="E55" s="23" t="n">
        <x:v>4524</x:v>
      </x:c>
      <x:c r="F55" s="23" t="n">
        <x:v>42</x:v>
      </x:c>
      <x:c r="G55" s="24" t="n">
        <x:f>IF(E55=0,"",F55/E55)</x:f>
        <x:v>0.009283819628647215</x:v>
      </x:c>
      <x:c r="H55" s="23" t="n">
        <x:v>2920</x:v>
      </x:c>
      <x:c r="I55" s="24" t="n">
        <x:f>IF(E55=0,"",H55/E55)</x:f>
        <x:v>0.6454465075154731</x:v>
      </x:c>
      <x:c r="J55" s="23" t="n">
        <x:v>1562</x:v>
      </x:c>
      <x:c r="K55" s="24" t="n">
        <x:f>IF(E55=0,"",J55/E55)</x:f>
        <x:v>0.34526967285587973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5" t="str">
        <x:v>9–10月</x:v>
      </x:c>
      <x:c r="B56" s="25" t="str">
        <x:v>新北市</x:v>
      </x:c>
      <x:c r="C56" s="36" t="n">
        <x:v>2</x:v>
      </x:c>
      <x:c r="D56" s="25" t="str">
        <x:v>00–05</x:v>
      </x:c>
      <x:c r="E56" s="34" t="n">
        <x:v>787</x:v>
      </x:c>
      <x:c r="F56" s="34" t="n">
        <x:v>7</x:v>
      </x:c>
      <x:c r="G56" s="35" t="n">
        <x:f>IF(E56=0,"",F56/E56)</x:f>
        <x:v>0.008894536213468869</x:v>
      </x:c>
      <x:c r="H56" s="34" t="n">
        <x:v>468</x:v>
      </x:c>
      <x:c r="I56" s="35" t="n">
        <x:f>IF(E56=0,"",H56/E56)</x:f>
        <x:v>0.5946632782719187</x:v>
      </x:c>
      <x:c r="J56" s="34" t="n">
        <x:v>312</x:v>
      </x:c>
      <x:c r="K56" s="35" t="n">
        <x:f>IF(E56=0,"",J56/E56)</x:f>
        <x:v>0.39644218551461247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0" t="str">
        <x:v>9–10月</x:v>
      </x:c>
      <x:c r="B57" s="20" t="str">
        <x:v>新北市</x:v>
      </x:c>
      <x:c r="C57" s="37" t="n">
        <x:v>3</x:v>
      </x:c>
      <x:c r="D57" s="20" t="str">
        <x:v>00–05</x:v>
      </x:c>
      <x:c r="E57" s="23" t="n">
        <x:v>1185</x:v>
      </x:c>
      <x:c r="F57" s="23" t="n">
        <x:v>22</x:v>
      </x:c>
      <x:c r="G57" s="24" t="n">
        <x:f>IF(E57=0,"",F57/E57)</x:f>
        <x:v>0.018565400843881856</x:v>
      </x:c>
      <x:c r="H57" s="23" t="n">
        <x:v>554</x:v>
      </x:c>
      <x:c r="I57" s="24" t="n">
        <x:f>IF(E57=0,"",H57/E57)</x:f>
        <x:v>0.4675105485232067</x:v>
      </x:c>
      <x:c r="J57" s="23" t="n">
        <x:v>609</x:v>
      </x:c>
      <x:c r="K57" s="24" t="n">
        <x:f>IF(E57=0,"",J57/E57)</x:f>
        <x:v>0.5139240506329114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5" t="str">
        <x:v>9–10月</x:v>
      </x:c>
      <x:c r="B58" s="25" t="str">
        <x:v>新北市</x:v>
      </x:c>
      <x:c r="C58" s="36" t="n">
        <x:v>4</x:v>
      </x:c>
      <x:c r="D58" s="25" t="str">
        <x:v>00–05</x:v>
      </x:c>
      <x:c r="E58" s="34" t="n">
        <x:v>1545</x:v>
      </x:c>
      <x:c r="F58" s="34" t="n">
        <x:v>20</x:v>
      </x:c>
      <x:c r="G58" s="35" t="n">
        <x:f>IF(E58=0,"",F58/E58)</x:f>
        <x:v>0.012944983818770227</x:v>
      </x:c>
      <x:c r="H58" s="34" t="n">
        <x:v>841</x:v>
      </x:c>
      <x:c r="I58" s="35" t="n">
        <x:f>IF(E58=0,"",H58/E58)</x:f>
        <x:v>0.544336569579288</x:v>
      </x:c>
      <x:c r="J58" s="34" t="n">
        <x:v>684</x:v>
      </x:c>
      <x:c r="K58" s="35" t="n">
        <x:f>IF(E58=0,"",J58/E58)</x:f>
        <x:v>0.44271844660194176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20" t="str">
        <x:v>9–10月</x:v>
      </x:c>
      <x:c r="B59" s="20" t="str">
        <x:v>新北市</x:v>
      </x:c>
      <x:c r="C59" s="37" t="n">
        <x:v>5</x:v>
      </x:c>
      <x:c r="D59" s="20" t="str">
        <x:v>00–05</x:v>
      </x:c>
      <x:c r="E59" s="23" t="n">
        <x:v>1816</x:v>
      </x:c>
      <x:c r="F59" s="23" t="n">
        <x:v>20</x:v>
      </x:c>
      <x:c r="G59" s="24" t="n">
        <x:f>IF(E59=0,"",F59/E59)</x:f>
        <x:v>0.011013215859030838</x:v>
      </x:c>
      <x:c r="H59" s="23" t="n">
        <x:v>1133</x:v>
      </x:c>
      <x:c r="I59" s="24" t="n">
        <x:f>IF(E59=0,"",H59/E59)</x:f>
        <x:v>0.623898678414097</x:v>
      </x:c>
      <x:c r="J59" s="23" t="n">
        <x:v>663</x:v>
      </x:c>
      <x:c r="K59" s="24" t="n">
        <x:f>IF(E59=0,"",J59/E59)</x:f>
        <x:v>0.3650881057268722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25" t="str">
        <x:v>9–10月</x:v>
      </x:c>
      <x:c r="B60" s="25" t="str">
        <x:v>新北市</x:v>
      </x:c>
      <x:c r="C60" s="36" t="n">
        <x:v>6</x:v>
      </x:c>
      <x:c r="D60" s="25" t="str">
        <x:v>06–09</x:v>
      </x:c>
      <x:c r="E60" s="34" t="n">
        <x:v>2906</x:v>
      </x:c>
      <x:c r="F60" s="34" t="n">
        <x:v>21</x:v>
      </x:c>
      <x:c r="G60" s="35" t="n">
        <x:f>IF(E60=0,"",F60/E60)</x:f>
        <x:v>0.0072264280798348245</x:v>
      </x:c>
      <x:c r="H60" s="34" t="n">
        <x:v>2079</x:v>
      </x:c>
      <x:c r="I60" s="35" t="n">
        <x:f>IF(E60=0,"",H60/E60)</x:f>
        <x:v>0.7154163799036476</x:v>
      </x:c>
      <x:c r="J60" s="34" t="n">
        <x:v>806</x:v>
      </x:c>
      <x:c r="K60" s="35" t="n">
        <x:f>IF(E60=0,"",J60/E60)</x:f>
        <x:v>0.27735719201651754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20" t="str">
        <x:v>9–10月</x:v>
      </x:c>
      <x:c r="B61" s="20" t="str">
        <x:v>新北市</x:v>
      </x:c>
      <x:c r="C61" s="37" t="n">
        <x:v>7</x:v>
      </x:c>
      <x:c r="D61" s="20" t="str">
        <x:v>06–09</x:v>
      </x:c>
      <x:c r="E61" s="23" t="n">
        <x:v>10982</x:v>
      </x:c>
      <x:c r="F61" s="23" t="n">
        <x:v>154</x:v>
      </x:c>
      <x:c r="G61" s="24" t="n">
        <x:f>IF(E61=0,"",F61/E61)</x:f>
        <x:v>0.014022946639956292</x:v>
      </x:c>
      <x:c r="H61" s="23" t="n">
        <x:v>7608</x:v>
      </x:c>
      <x:c r="I61" s="24" t="n">
        <x:f>IF(E61=0,"",H61/E61)</x:f>
        <x:v>0.6927699872518667</x:v>
      </x:c>
      <x:c r="J61" s="23" t="n">
        <x:v>3220</x:v>
      </x:c>
      <x:c r="K61" s="24" t="n">
        <x:f>IF(E61=0,"",J61/E61)</x:f>
        <x:v>0.29320706610817704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25" t="str">
        <x:v>9–10月</x:v>
      </x:c>
      <x:c r="B62" s="25" t="str">
        <x:v>新北市</x:v>
      </x:c>
      <x:c r="C62" s="36" t="n">
        <x:v>8</x:v>
      </x:c>
      <x:c r="D62" s="25" t="str">
        <x:v>06–09</x:v>
      </x:c>
      <x:c r="E62" s="34" t="n">
        <x:v>11402</x:v>
      </x:c>
      <x:c r="F62" s="34" t="n">
        <x:v>226</x:v>
      </x:c>
      <x:c r="G62" s="35" t="n">
        <x:f>IF(E62=0,"",F62/E62)</x:f>
        <x:v>0.019821084020347306</x:v>
      </x:c>
      <x:c r="H62" s="34" t="n">
        <x:v>7528</x:v>
      </x:c>
      <x:c r="I62" s="35" t="n">
        <x:f>IF(E62=0,"",H62/E62)</x:f>
        <x:v>0.6602350464830732</x:v>
      </x:c>
      <x:c r="J62" s="34" t="n">
        <x:v>3648</x:v>
      </x:c>
      <x:c r="K62" s="35" t="n">
        <x:f>IF(E62=0,"",J62/E62)</x:f>
        <x:v>0.31994386949657955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20" t="str">
        <x:v>9–10月</x:v>
      </x:c>
      <x:c r="B63" s="20" t="str">
        <x:v>新北市</x:v>
      </x:c>
      <x:c r="C63" s="37" t="n">
        <x:v>9</x:v>
      </x:c>
      <x:c r="D63" s="20" t="str">
        <x:v>06–09</x:v>
      </x:c>
      <x:c r="E63" s="23" t="n">
        <x:v>10014</x:v>
      </x:c>
      <x:c r="F63" s="23" t="n">
        <x:v>261</x:v>
      </x:c>
      <x:c r="G63" s="24" t="n">
        <x:f>IF(E63=0,"",F63/E63)</x:f>
        <x:v>0.026063511084481725</x:v>
      </x:c>
      <x:c r="H63" s="23" t="n">
        <x:v>6400</x:v>
      </x:c>
      <x:c r="I63" s="24" t="n">
        <x:f>IF(E63=0,"",H63/E63)</x:f>
        <x:v>0.6391052526462951</x:v>
      </x:c>
      <x:c r="J63" s="23" t="n">
        <x:v>3353</x:v>
      </x:c>
      <x:c r="K63" s="24" t="n">
        <x:f>IF(E63=0,"",J63/E63)</x:f>
        <x:v>0.33483123626922306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25" t="str">
        <x:v>9–10月</x:v>
      </x:c>
      <x:c r="B64" s="25" t="str">
        <x:v>新北市</x:v>
      </x:c>
      <x:c r="C64" s="36" t="n">
        <x:v>10</x:v>
      </x:c>
      <x:c r="D64" s="25" t="str">
        <x:v>10–15</x:v>
      </x:c>
      <x:c r="E64" s="34" t="n">
        <x:v>8604</x:v>
      </x:c>
      <x:c r="F64" s="34" t="n">
        <x:v>283</x:v>
      </x:c>
      <x:c r="G64" s="35" t="n">
        <x:f>IF(E64=0,"",F64/E64)</x:f>
        <x:v>0.03289167828916783</x:v>
      </x:c>
      <x:c r="H64" s="34" t="n">
        <x:v>5501</x:v>
      </x:c>
      <x:c r="I64" s="35" t="n">
        <x:f>IF(E64=0,"",H64/E64)</x:f>
        <x:v>0.6393537889353789</x:v>
      </x:c>
      <x:c r="J64" s="34" t="n">
        <x:v>2820</x:v>
      </x:c>
      <x:c r="K64" s="35" t="n">
        <x:f>IF(E64=0,"",J64/E64)</x:f>
        <x:v>0.3277545327754533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20" t="str">
        <x:v>9–10月</x:v>
      </x:c>
      <x:c r="B65" s="20" t="str">
        <x:v>新北市</x:v>
      </x:c>
      <x:c r="C65" s="37" t="n">
        <x:v>11</x:v>
      </x:c>
      <x:c r="D65" s="20" t="str">
        <x:v>10–15</x:v>
      </x:c>
      <x:c r="E65" s="23" t="n">
        <x:v>5608</x:v>
      </x:c>
      <x:c r="F65" s="23" t="n">
        <x:v>186</x:v>
      </x:c>
      <x:c r="G65" s="24" t="n">
        <x:f>IF(E65=0,"",F65/E65)</x:f>
        <x:v>0.03316690442225392</x:v>
      </x:c>
      <x:c r="H65" s="23" t="n">
        <x:v>3543</x:v>
      </x:c>
      <x:c r="I65" s="24" t="n">
        <x:f>IF(E65=0,"",H65/E65)</x:f>
        <x:v>0.6317760342368046</x:v>
      </x:c>
      <x:c r="J65" s="23" t="n">
        <x:v>1879</x:v>
      </x:c>
      <x:c r="K65" s="24" t="n">
        <x:f>IF(E65=0,"",J65/E65)</x:f>
        <x:v>0.3350570613409415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25" t="str">
        <x:v>9–10月</x:v>
      </x:c>
      <x:c r="B66" s="25" t="str">
        <x:v>新北市</x:v>
      </x:c>
      <x:c r="C66" s="36" t="n">
        <x:v>12</x:v>
      </x:c>
      <x:c r="D66" s="25" t="str">
        <x:v>10–15</x:v>
      </x:c>
      <x:c r="E66" s="34" t="n">
        <x:v>2316</x:v>
      </x:c>
      <x:c r="F66" s="34" t="n">
        <x:v>98</x:v>
      </x:c>
      <x:c r="G66" s="35" t="n">
        <x:f>IF(E66=0,"",F66/E66)</x:f>
        <x:v>0.04231433506044905</x:v>
      </x:c>
      <x:c r="H66" s="34" t="n">
        <x:v>1416</x:v>
      </x:c>
      <x:c r="I66" s="35" t="n">
        <x:f>IF(E66=0,"",H66/E66)</x:f>
        <x:v>0.6113989637305699</x:v>
      </x:c>
      <x:c r="J66" s="34" t="n">
        <x:v>802</x:v>
      </x:c>
      <x:c r="K66" s="35" t="n">
        <x:f>IF(E66=0,"",J66/E66)</x:f>
        <x:v>0.34628670120898103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20" t="str">
        <x:v>9–10月</x:v>
      </x:c>
      <x:c r="B67" s="20" t="str">
        <x:v>新北市</x:v>
      </x:c>
      <x:c r="C67" s="37" t="n">
        <x:v>13</x:v>
      </x:c>
      <x:c r="D67" s="20" t="str">
        <x:v>10–15</x:v>
      </x:c>
      <x:c r="E67" s="23" t="n">
        <x:v>3233</x:v>
      </x:c>
      <x:c r="F67" s="23" t="n">
        <x:v>123</x:v>
      </x:c>
      <x:c r="G67" s="24" t="n">
        <x:f>IF(E67=0,"",F67/E67)</x:f>
        <x:v>0.03804515929477266</x:v>
      </x:c>
      <x:c r="H67" s="23" t="n">
        <x:v>1752</x:v>
      </x:c>
      <x:c r="I67" s="24" t="n">
        <x:f>IF(E67=0,"",H67/E67)</x:f>
        <x:v>0.5419115372718837</x:v>
      </x:c>
      <x:c r="J67" s="23" t="n">
        <x:v>1358</x:v>
      </x:c>
      <x:c r="K67" s="24" t="n">
        <x:f>IF(E67=0,"",J67/E67)</x:f>
        <x:v>0.4200433034333436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25" t="str">
        <x:v>9–10月</x:v>
      </x:c>
      <x:c r="B68" s="25" t="str">
        <x:v>新北市</x:v>
      </x:c>
      <x:c r="C68" s="36" t="n">
        <x:v>14</x:v>
      </x:c>
      <x:c r="D68" s="25" t="str">
        <x:v>10–15</x:v>
      </x:c>
      <x:c r="E68" s="34" t="n">
        <x:v>3620</x:v>
      </x:c>
      <x:c r="F68" s="34" t="n">
        <x:v>130</x:v>
      </x:c>
      <x:c r="G68" s="35" t="n">
        <x:f>IF(E68=0,"",F68/E68)</x:f>
        <x:v>0.03591160220994475</x:v>
      </x:c>
      <x:c r="H68" s="34" t="n">
        <x:v>1876</x:v>
      </x:c>
      <x:c r="I68" s="35" t="n">
        <x:f>IF(E68=0,"",H68/E68)</x:f>
        <x:v>0.518232044198895</x:v>
      </x:c>
      <x:c r="J68" s="34" t="n">
        <x:v>1614</x:v>
      </x:c>
      <x:c r="K68" s="35" t="n">
        <x:f>IF(E68=0,"",J68/E68)</x:f>
        <x:v>0.4458563535911602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20" t="str">
        <x:v>9–10月</x:v>
      </x:c>
      <x:c r="B69" s="20" t="str">
        <x:v>新北市</x:v>
      </x:c>
      <x:c r="C69" s="37" t="n">
        <x:v>15</x:v>
      </x:c>
      <x:c r="D69" s="20" t="str">
        <x:v>10–15</x:v>
      </x:c>
      <x:c r="E69" s="23" t="n">
        <x:v>2902</x:v>
      </x:c>
      <x:c r="F69" s="23" t="n">
        <x:v>50</x:v>
      </x:c>
      <x:c r="G69" s="24" t="n">
        <x:f>IF(E69=0,"",F69/E69)</x:f>
        <x:v>0.01722949689869056</x:v>
      </x:c>
      <x:c r="H69" s="23" t="n">
        <x:v>1458</x:v>
      </x:c>
      <x:c r="I69" s="24" t="n">
        <x:f>IF(E69=0,"",H69/E69)</x:f>
        <x:v>0.5024121295658167</x:v>
      </x:c>
      <x:c r="J69" s="23" t="n">
        <x:v>1394</x:v>
      </x:c>
      <x:c r="K69" s="24" t="n">
        <x:f>IF(E69=0,"",J69/E69)</x:f>
        <x:v>0.48035837353549277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25" t="str">
        <x:v>9–10月</x:v>
      </x:c>
      <x:c r="B70" s="25" t="str">
        <x:v>新北市</x:v>
      </x:c>
      <x:c r="C70" s="36" t="n">
        <x:v>16</x:v>
      </x:c>
      <x:c r="D70" s="25" t="str">
        <x:v>16–19</x:v>
      </x:c>
      <x:c r="E70" s="34" t="n">
        <x:v>3897</x:v>
      </x:c>
      <x:c r="F70" s="34" t="n">
        <x:v>24</x:v>
      </x:c>
      <x:c r="G70" s="35" t="n">
        <x:f>IF(E70=0,"",F70/E70)</x:f>
        <x:v>0.006158583525789068</x:v>
      </x:c>
      <x:c r="H70" s="34" t="n">
        <x:v>2609</x:v>
      </x:c>
      <x:c r="I70" s="35" t="n">
        <x:f>IF(E70=0,"",H70/E70)</x:f>
        <x:v>0.6694893507826534</x:v>
      </x:c>
      <x:c r="J70" s="34" t="n">
        <x:v>1264</x:v>
      </x:c>
      <x:c r="K70" s="35" t="n">
        <x:f>IF(E70=0,"",J70/E70)</x:f>
        <x:v>0.3243520656915576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20" t="str">
        <x:v>9–10月</x:v>
      </x:c>
      <x:c r="B71" s="20" t="str">
        <x:v>新北市</x:v>
      </x:c>
      <x:c r="C71" s="37" t="n">
        <x:v>17</x:v>
      </x:c>
      <x:c r="D71" s="20" t="str">
        <x:v>16–19</x:v>
      </x:c>
      <x:c r="E71" s="23" t="n">
        <x:v>6867</x:v>
      </x:c>
      <x:c r="F71" s="23" t="n">
        <x:v>46</x:v>
      </x:c>
      <x:c r="G71" s="24" t="n">
        <x:f>IF(E71=0,"",F71/E71)</x:f>
        <x:v>0.006698703946410369</x:v>
      </x:c>
      <x:c r="H71" s="23" t="n">
        <x:v>4159</x:v>
      </x:c>
      <x:c r="I71" s="24" t="n">
        <x:f>IF(E71=0,"",H71/E71)</x:f>
        <x:v>0.6056502111547983</x:v>
      </x:c>
      <x:c r="J71" s="23" t="n">
        <x:v>2662</x:v>
      </x:c>
      <x:c r="K71" s="24" t="n">
        <x:f>IF(E71=0,"",J71/E71)</x:f>
        <x:v>0.3876510848987913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25" t="str">
        <x:v>9–10月</x:v>
      </x:c>
      <x:c r="B72" s="25" t="str">
        <x:v>新北市</x:v>
      </x:c>
      <x:c r="C72" s="36" t="n">
        <x:v>18</x:v>
      </x:c>
      <x:c r="D72" s="25" t="str">
        <x:v>16–19</x:v>
      </x:c>
      <x:c r="E72" s="34" t="n">
        <x:v>11145</x:v>
      </x:c>
      <x:c r="F72" s="34" t="n">
        <x:v>49</x:v>
      </x:c>
      <x:c r="G72" s="35" t="n">
        <x:f>IF(E72=0,"",F72/E72)</x:f>
        <x:v>0.0043965903992821895</x:v>
      </x:c>
      <x:c r="H72" s="34" t="n">
        <x:v>6039</x:v>
      </x:c>
      <x:c r="I72" s="35" t="n">
        <x:f>IF(E72=0,"",H72/E72)</x:f>
        <x:v>0.54185733512786</x:v>
      </x:c>
      <x:c r="J72" s="34" t="n">
        <x:v>5057</x:v>
      </x:c>
      <x:c r="K72" s="35" t="n">
        <x:f>IF(E72=0,"",J72/E72)</x:f>
        <x:v>0.4537460744728578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20" t="str">
        <x:v>9–10月</x:v>
      </x:c>
      <x:c r="B73" s="20" t="str">
        <x:v>新北市</x:v>
      </x:c>
      <x:c r="C73" s="37" t="n">
        <x:v>19</x:v>
      </x:c>
      <x:c r="D73" s="20" t="str">
        <x:v>16–19</x:v>
      </x:c>
      <x:c r="E73" s="23" t="n">
        <x:v>10002</x:v>
      </x:c>
      <x:c r="F73" s="23" t="n">
        <x:v>60</x:v>
      </x:c>
      <x:c r="G73" s="24" t="n">
        <x:f>IF(E73=0,"",F73/E73)</x:f>
        <x:v>0.00599880023995201</x:v>
      </x:c>
      <x:c r="H73" s="23" t="n">
        <x:v>5271</x:v>
      </x:c>
      <x:c r="I73" s="24" t="n">
        <x:f>IF(E73=0,"",H73/E73)</x:f>
        <x:v>0.526994601079784</x:v>
      </x:c>
      <x:c r="J73" s="23" t="n">
        <x:v>4671</x:v>
      </x:c>
      <x:c r="K73" s="24" t="n">
        <x:f>IF(E73=0,"",J73/E73)</x:f>
        <x:v>0.46700659868026395</x:v>
      </x:c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25" t="str">
        <x:v>9–10月</x:v>
      </x:c>
      <x:c r="B74" s="25" t="str">
        <x:v>新北市</x:v>
      </x:c>
      <x:c r="C74" s="36" t="n">
        <x:v>20</x:v>
      </x:c>
      <x:c r="D74" s="25" t="str">
        <x:v>20–23</x:v>
      </x:c>
      <x:c r="E74" s="34" t="n">
        <x:v>7874</x:v>
      </x:c>
      <x:c r="F74" s="34" t="n">
        <x:v>45</x:v>
      </x:c>
      <x:c r="G74" s="35" t="n">
        <x:f>IF(E74=0,"",F74/E74)</x:f>
        <x:v>0.00571501143002286</x:v>
      </x:c>
      <x:c r="H74" s="34" t="n">
        <x:v>4040</x:v>
      </x:c>
      <x:c r="I74" s="35" t="n">
        <x:f>IF(E74=0,"",H74/E74)</x:f>
        <x:v>0.5130810261620523</x:v>
      </x:c>
      <x:c r="J74" s="34" t="n">
        <x:v>3789</x:v>
      </x:c>
      <x:c r="K74" s="35" t="n">
        <x:f>IF(E74=0,"",J74/E74)</x:f>
        <x:v>0.4812039624079248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20" t="str">
        <x:v>9–10月</x:v>
      </x:c>
      <x:c r="B75" s="20" t="str">
        <x:v>新北市</x:v>
      </x:c>
      <x:c r="C75" s="37" t="n">
        <x:v>21</x:v>
      </x:c>
      <x:c r="D75" s="20" t="str">
        <x:v>20–23</x:v>
      </x:c>
      <x:c r="E75" s="23" t="n">
        <x:v>6151</x:v>
      </x:c>
      <x:c r="F75" s="23" t="n">
        <x:v>30</x:v>
      </x:c>
      <x:c r="G75" s="24" t="n">
        <x:f>IF(E75=0,"",F75/E75)</x:f>
        <x:v>0.004877255730775484</x:v>
      </x:c>
      <x:c r="H75" s="23" t="n">
        <x:v>2868</x:v>
      </x:c>
      <x:c r="I75" s="24" t="n">
        <x:f>IF(E75=0,"",H75/E75)</x:f>
        <x:v>0.46626564786213626</x:v>
      </x:c>
      <x:c r="J75" s="23" t="n">
        <x:v>3253</x:v>
      </x:c>
      <x:c r="K75" s="24" t="n">
        <x:f>IF(E75=0,"",J75/E75)</x:f>
        <x:v>0.5288570964070882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25" t="str">
        <x:v>9–10月</x:v>
      </x:c>
      <x:c r="B76" s="25" t="str">
        <x:v>新北市</x:v>
      </x:c>
      <x:c r="C76" s="36" t="n">
        <x:v>22</x:v>
      </x:c>
      <x:c r="D76" s="25" t="str">
        <x:v>20–23</x:v>
      </x:c>
      <x:c r="E76" s="34" t="n">
        <x:v>6243</x:v>
      </x:c>
      <x:c r="F76" s="34" t="n">
        <x:v>59</x:v>
      </x:c>
      <x:c r="G76" s="35" t="n">
        <x:f>IF(E76=0,"",F76/E76)</x:f>
        <x:v>0.00945058465481339</x:v>
      </x:c>
      <x:c r="H76" s="34" t="n">
        <x:v>3923</x:v>
      </x:c>
      <x:c r="I76" s="35" t="n">
        <x:f>IF(E76=0,"",H76/E76)</x:f>
        <x:v>0.628383789844626</x:v>
      </x:c>
      <x:c r="J76" s="34" t="n">
        <x:v>2261</x:v>
      </x:c>
      <x:c r="K76" s="35" t="n">
        <x:f>IF(E76=0,"",J76/E76)</x:f>
        <x:v>0.36216562550056064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20" t="str">
        <x:v>9–10月</x:v>
      </x:c>
      <x:c r="B77" s="20" t="str">
        <x:v>新北市</x:v>
      </x:c>
      <x:c r="C77" s="37" t="n">
        <x:v>23</x:v>
      </x:c>
      <x:c r="D77" s="20" t="str">
        <x:v>20–23</x:v>
      </x:c>
      <x:c r="E77" s="23" t="n">
        <x:v>7785</x:v>
      </x:c>
      <x:c r="F77" s="23" t="n">
        <x:v>80</x:v>
      </x:c>
      <x:c r="G77" s="24" t="n">
        <x:f>IF(E77=0,"",F77/E77)</x:f>
        <x:v>0.010276172125883108</x:v>
      </x:c>
      <x:c r="H77" s="23" t="n">
        <x:v>4786</x:v>
      </x:c>
      <x:c r="I77" s="24" t="n">
        <x:f>IF(E77=0,"",H77/E77)</x:f>
        <x:v>0.614771997430957</x:v>
      </x:c>
      <x:c r="J77" s="23" t="n">
        <x:v>2919</x:v>
      </x:c>
      <x:c r="K77" s="24" t="n">
        <x:f>IF(E77=0,"",J77/E77)</x:f>
        <x:v>0.37495183044315994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25" t="str">
        <x:v>9月</x:v>
      </x:c>
      <x:c r="B78" s="25" t="str">
        <x:v>雙北合計</x:v>
      </x:c>
      <x:c r="C78" s="36" t="n">
        <x:v>0</x:v>
      </x:c>
      <x:c r="D78" s="25" t="str">
        <x:v>00–05</x:v>
      </x:c>
      <x:c r="E78" s="34" t="n">
        <x:v>7613</x:v>
      </x:c>
      <x:c r="F78" s="34" t="n">
        <x:v>155</x:v>
      </x:c>
      <x:c r="G78" s="35" t="n">
        <x:f>IF(E78=0,"",F78/E78)</x:f>
        <x:v>0.020359910679101537</x:v>
      </x:c>
      <x:c r="H78" s="34" t="n">
        <x:v>3162</x:v>
      </x:c>
      <x:c r="I78" s="35" t="n">
        <x:f>IF(E78=0,"",H78/E78)</x:f>
        <x:v>0.41534217785367133</x:v>
      </x:c>
      <x:c r="J78" s="34" t="n">
        <x:v>4296</x:v>
      </x:c>
      <x:c r="K78" s="35" t="n">
        <x:f>IF(E78=0,"",J78/E78)</x:f>
        <x:v>0.5642979114672271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20" t="str">
        <x:v>9月</x:v>
      </x:c>
      <x:c r="B79" s="20" t="str">
        <x:v>雙北合計</x:v>
      </x:c>
      <x:c r="C79" s="37" t="n">
        <x:v>1</x:v>
      </x:c>
      <x:c r="D79" s="20" t="str">
        <x:v>00–05</x:v>
      </x:c>
      <x:c r="E79" s="23" t="n">
        <x:v>5439</x:v>
      </x:c>
      <x:c r="F79" s="23" t="n">
        <x:v>141</x:v>
      </x:c>
      <x:c r="G79" s="24" t="n">
        <x:f>IF(E79=0,"",F79/E79)</x:f>
        <x:v>0.02592388306674021</x:v>
      </x:c>
      <x:c r="H79" s="23" t="n">
        <x:v>2288</x:v>
      </x:c>
      <x:c r="I79" s="24" t="n">
        <x:f>IF(E79=0,"",H79/E79)</x:f>
        <x:v>0.4206655635227064</x:v>
      </x:c>
      <x:c r="J79" s="23" t="n">
        <x:v>3010</x:v>
      </x:c>
      <x:c r="K79" s="24" t="n">
        <x:f>IF(E79=0,"",J79/E79)</x:f>
        <x:v>0.5534105534105535</x:v>
      </x:c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25" t="str">
        <x:v>9月</x:v>
      </x:c>
      <x:c r="B80" s="25" t="str">
        <x:v>雙北合計</x:v>
      </x:c>
      <x:c r="C80" s="36" t="n">
        <x:v>2</x:v>
      </x:c>
      <x:c r="D80" s="25" t="str">
        <x:v>00–05</x:v>
      </x:c>
      <x:c r="E80" s="34" t="n">
        <x:v>1223</x:v>
      </x:c>
      <x:c r="F80" s="34" t="n">
        <x:v>29</x:v>
      </x:c>
      <x:c r="G80" s="35" t="n">
        <x:f>IF(E80=0,"",F80/E80)</x:f>
        <x:v>0.023712183156173343</x:v>
      </x:c>
      <x:c r="H80" s="34" t="n">
        <x:v>409</x:v>
      </x:c>
      <x:c r="I80" s="35" t="n">
        <x:f>IF(E80=0,"",H80/E80)</x:f>
        <x:v>0.33442354865085855</x:v>
      </x:c>
      <x:c r="J80" s="34" t="n">
        <x:v>785</x:v>
      </x:c>
      <x:c r="K80" s="35" t="n">
        <x:f>IF(E80=0,"",J80/E80)</x:f>
        <x:v>0.6418642681929682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20" t="str">
        <x:v>9月</x:v>
      </x:c>
      <x:c r="B81" s="20" t="str">
        <x:v>雙北合計</x:v>
      </x:c>
      <x:c r="C81" s="37" t="n">
        <x:v>3</x:v>
      </x:c>
      <x:c r="D81" s="20" t="str">
        <x:v>00–05</x:v>
      </x:c>
      <x:c r="E81" s="23" t="n">
        <x:v>2380</x:v>
      </x:c>
      <x:c r="F81" s="23" t="n">
        <x:v>60</x:v>
      </x:c>
      <x:c r="G81" s="24" t="n">
        <x:f>IF(E81=0,"",F81/E81)</x:f>
        <x:v>0.025210084033613446</x:v>
      </x:c>
      <x:c r="H81" s="23" t="n">
        <x:v>884</x:v>
      </x:c>
      <x:c r="I81" s="24" t="n">
        <x:f>IF(E81=0,"",H81/E81)</x:f>
        <x:v>0.37142857142857144</x:v>
      </x:c>
      <x:c r="J81" s="23" t="n">
        <x:v>1436</x:v>
      </x:c>
      <x:c r="K81" s="24" t="n">
        <x:f>IF(E81=0,"",J81/E81)</x:f>
        <x:v>0.6033613445378151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25" t="str">
        <x:v>9月</x:v>
      </x:c>
      <x:c r="B82" s="25" t="str">
        <x:v>雙北合計</x:v>
      </x:c>
      <x:c r="C82" s="36" t="n">
        <x:v>4</x:v>
      </x:c>
      <x:c r="D82" s="25" t="str">
        <x:v>00–05</x:v>
      </x:c>
      <x:c r="E82" s="34" t="n">
        <x:v>3312</x:v>
      </x:c>
      <x:c r="F82" s="34" t="n">
        <x:v>114</x:v>
      </x:c>
      <x:c r="G82" s="35" t="n">
        <x:f>IF(E82=0,"",F82/E82)</x:f>
        <x:v>0.034420289855072464</x:v>
      </x:c>
      <x:c r="H82" s="34" t="n">
        <x:v>1114</x:v>
      </x:c>
      <x:c r="I82" s="35" t="n">
        <x:f>IF(E82=0,"",H82/E82)</x:f>
        <x:v>0.3363526570048309</x:v>
      </x:c>
      <x:c r="J82" s="34" t="n">
        <x:v>2084</x:v>
      </x:c>
      <x:c r="K82" s="35" t="n">
        <x:f>IF(E82=0,"",J82/E82)</x:f>
        <x:v>0.6292270531400966</x:v>
      </x:c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20" t="str">
        <x:v>9月</x:v>
      </x:c>
      <x:c r="B83" s="20" t="str">
        <x:v>雙北合計</x:v>
      </x:c>
      <x:c r="C83" s="37" t="n">
        <x:v>5</x:v>
      </x:c>
      <x:c r="D83" s="20" t="str">
        <x:v>00–05</x:v>
      </x:c>
      <x:c r="E83" s="23" t="n">
        <x:v>2805</x:v>
      </x:c>
      <x:c r="F83" s="23" t="n">
        <x:v>85</x:v>
      </x:c>
      <x:c r="G83" s="24" t="n">
        <x:f>IF(E83=0,"",F83/E83)</x:f>
        <x:v>0.030303030303030304</x:v>
      </x:c>
      <x:c r="H83" s="23" t="n">
        <x:v>1031</x:v>
      </x:c>
      <x:c r="I83" s="24" t="n">
        <x:f>IF(E83=0,"",H83/E83)</x:f>
        <x:v>0.3675579322638146</x:v>
      </x:c>
      <x:c r="J83" s="23" t="n">
        <x:v>1689</x:v>
      </x:c>
      <x:c r="K83" s="24" t="n">
        <x:f>IF(E83=0,"",J83/E83)</x:f>
        <x:v>0.6021390374331551</x:v>
      </x:c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25" t="str">
        <x:v>9月</x:v>
      </x:c>
      <x:c r="B84" s="25" t="str">
        <x:v>雙北合計</x:v>
      </x:c>
      <x:c r="C84" s="36" t="n">
        <x:v>6</x:v>
      </x:c>
      <x:c r="D84" s="25" t="str">
        <x:v>06–09</x:v>
      </x:c>
      <x:c r="E84" s="34" t="n">
        <x:v>2346</x:v>
      </x:c>
      <x:c r="F84" s="34" t="n">
        <x:v>36</x:v>
      </x:c>
      <x:c r="G84" s="35" t="n">
        <x:f>IF(E84=0,"",F84/E84)</x:f>
        <x:v>0.015345268542199489</x:v>
      </x:c>
      <x:c r="H84" s="34" t="n">
        <x:v>1291</x:v>
      </x:c>
      <x:c r="I84" s="35" t="n">
        <x:f>IF(E84=0,"",H84/E84)</x:f>
        <x:v>0.5502983802216539</x:v>
      </x:c>
      <x:c r="J84" s="34" t="n">
        <x:v>1019</x:v>
      </x:c>
      <x:c r="K84" s="35" t="n">
        <x:f>IF(E84=0,"",J84/E84)</x:f>
        <x:v>0.43435635123614663</x:v>
      </x:c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20" t="str">
        <x:v>9月</x:v>
      </x:c>
      <x:c r="B85" s="20" t="str">
        <x:v>雙北合計</x:v>
      </x:c>
      <x:c r="C85" s="37" t="n">
        <x:v>7</x:v>
      </x:c>
      <x:c r="D85" s="20" t="str">
        <x:v>06–09</x:v>
      </x:c>
      <x:c r="E85" s="23" t="n">
        <x:v>10272</x:v>
      </x:c>
      <x:c r="F85" s="23" t="n">
        <x:v>117</x:v>
      </x:c>
      <x:c r="G85" s="24" t="n">
        <x:f>IF(E85=0,"",F85/E85)</x:f>
        <x:v>0.01139018691588785</x:v>
      </x:c>
      <x:c r="H85" s="23" t="n">
        <x:v>4937</x:v>
      </x:c>
      <x:c r="I85" s="24" t="n">
        <x:f>IF(E85=0,"",H85/E85)</x:f>
        <x:v>0.48062694704049846</x:v>
      </x:c>
      <x:c r="J85" s="23" t="n">
        <x:v>5218</x:v>
      </x:c>
      <x:c r="K85" s="24" t="n">
        <x:f>IF(E85=0,"",J85/E85)</x:f>
        <x:v>0.5079828660436138</x:v>
      </x:c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25" t="str">
        <x:v>9月</x:v>
      </x:c>
      <x:c r="B86" s="25" t="str">
        <x:v>雙北合計</x:v>
      </x:c>
      <x:c r="C86" s="36" t="n">
        <x:v>8</x:v>
      </x:c>
      <x:c r="D86" s="25" t="str">
        <x:v>06–09</x:v>
      </x:c>
      <x:c r="E86" s="34" t="n">
        <x:v>11759</x:v>
      </x:c>
      <x:c r="F86" s="34" t="n">
        <x:v>174</x:v>
      </x:c>
      <x:c r="G86" s="35" t="n">
        <x:f>IF(E86=0,"",F86/E86)</x:f>
        <x:v>0.014797176630665872</x:v>
      </x:c>
      <x:c r="H86" s="34" t="n">
        <x:v>5478</x:v>
      </x:c>
      <x:c r="I86" s="35" t="n">
        <x:f>IF(E86=0,"",H86/E86)</x:f>
        <x:v>0.46585594013096354</x:v>
      </x:c>
      <x:c r="J86" s="34" t="n">
        <x:v>6107</x:v>
      </x:c>
      <x:c r="K86" s="35" t="n">
        <x:f>IF(E86=0,"",J86/E86)</x:f>
        <x:v>0.5193468832383706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20" t="str">
        <x:v>9月</x:v>
      </x:c>
      <x:c r="B87" s="20" t="str">
        <x:v>雙北合計</x:v>
      </x:c>
      <x:c r="C87" s="37" t="n">
        <x:v>9</x:v>
      </x:c>
      <x:c r="D87" s="20" t="str">
        <x:v>06–09</x:v>
      </x:c>
      <x:c r="E87" s="23" t="n">
        <x:v>10908</x:v>
      </x:c>
      <x:c r="F87" s="23" t="n">
        <x:v>213</x:v>
      </x:c>
      <x:c r="G87" s="24" t="n">
        <x:f>IF(E87=0,"",F87/E87)</x:f>
        <x:v>0.019526952695269526</x:v>
      </x:c>
      <x:c r="H87" s="23" t="n">
        <x:v>4944</x:v>
      </x:c>
      <x:c r="I87" s="24" t="n">
        <x:f>IF(E87=0,"",H87/E87)</x:f>
        <x:v>0.45324532453245325</x:v>
      </x:c>
      <x:c r="J87" s="23" t="n">
        <x:v>5751</x:v>
      </x:c>
      <x:c r="K87" s="24" t="n">
        <x:f>IF(E87=0,"",J87/E87)</x:f>
        <x:v>0.5272277227722773</x:v>
      </x:c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25" t="str">
        <x:v>9月</x:v>
      </x:c>
      <x:c r="B88" s="25" t="str">
        <x:v>雙北合計</x:v>
      </x:c>
      <x:c r="C88" s="36" t="n">
        <x:v>10</x:v>
      </x:c>
      <x:c r="D88" s="25" t="str">
        <x:v>10–15</x:v>
      </x:c>
      <x:c r="E88" s="34" t="n">
        <x:v>9153</x:v>
      </x:c>
      <x:c r="F88" s="34" t="n">
        <x:v>227</x:v>
      </x:c>
      <x:c r="G88" s="35" t="n">
        <x:f>IF(E88=0,"",F88/E88)</x:f>
        <x:v>0.02480061182126079</x:v>
      </x:c>
      <x:c r="H88" s="34" t="n">
        <x:v>4137</x:v>
      </x:c>
      <x:c r="I88" s="35" t="n">
        <x:f>IF(E88=0,"",H88/E88)</x:f>
        <x:v>0.45198295640773517</x:v>
      </x:c>
      <x:c r="J88" s="34" t="n">
        <x:v>4789</x:v>
      </x:c>
      <x:c r="K88" s="35" t="n">
        <x:f>IF(E88=0,"",J88/E88)</x:f>
        <x:v>0.5232164317710041</x:v>
      </x:c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20" t="str">
        <x:v>9月</x:v>
      </x:c>
      <x:c r="B89" s="20" t="str">
        <x:v>雙北合計</x:v>
      </x:c>
      <x:c r="C89" s="37" t="n">
        <x:v>11</x:v>
      </x:c>
      <x:c r="D89" s="20" t="str">
        <x:v>10–15</x:v>
      </x:c>
      <x:c r="E89" s="23" t="n">
        <x:v>5360</x:v>
      </x:c>
      <x:c r="F89" s="23" t="n">
        <x:v>178</x:v>
      </x:c>
      <x:c r="G89" s="24" t="n">
        <x:f>IF(E89=0,"",F89/E89)</x:f>
        <x:v>0.0332089552238806</x:v>
      </x:c>
      <x:c r="H89" s="23" t="n">
        <x:v>2543</x:v>
      </x:c>
      <x:c r="I89" s="24" t="n">
        <x:f>IF(E89=0,"",H89/E89)</x:f>
        <x:v>0.47444029850746267</x:v>
      </x:c>
      <x:c r="J89" s="23" t="n">
        <x:v>2639</x:v>
      </x:c>
      <x:c r="K89" s="24" t="n">
        <x:f>IF(E89=0,"",J89/E89)</x:f>
        <x:v>0.4923507462686567</x:v>
      </x:c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25" t="str">
        <x:v>9月</x:v>
      </x:c>
      <x:c r="B90" s="25" t="str">
        <x:v>雙北合計</x:v>
      </x:c>
      <x:c r="C90" s="36" t="n">
        <x:v>12</x:v>
      </x:c>
      <x:c r="D90" s="25" t="str">
        <x:v>10–15</x:v>
      </x:c>
      <x:c r="E90" s="34" t="n">
        <x:v>2665</x:v>
      </x:c>
      <x:c r="F90" s="34" t="n">
        <x:v>78</x:v>
      </x:c>
      <x:c r="G90" s="35" t="n">
        <x:f>IF(E90=0,"",F90/E90)</x:f>
        <x:v>0.02926829268292683</x:v>
      </x:c>
      <x:c r="H90" s="34" t="n">
        <x:v>1151</x:v>
      </x:c>
      <x:c r="I90" s="35" t="n">
        <x:f>IF(E90=0,"",H90/E90)</x:f>
        <x:v>0.4318949343339587</x:v>
      </x:c>
      <x:c r="J90" s="34" t="n">
        <x:v>1436</x:v>
      </x:c>
      <x:c r="K90" s="35" t="n">
        <x:f>IF(E90=0,"",J90/E90)</x:f>
        <x:v>0.5388367729831145</x:v>
      </x:c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20" t="str">
        <x:v>9月</x:v>
      </x:c>
      <x:c r="B91" s="20" t="str">
        <x:v>雙北合計</x:v>
      </x:c>
      <x:c r="C91" s="37" t="n">
        <x:v>13</x:v>
      </x:c>
      <x:c r="D91" s="20" t="str">
        <x:v>10–15</x:v>
      </x:c>
      <x:c r="E91" s="23" t="n">
        <x:v>4174</x:v>
      </x:c>
      <x:c r="F91" s="23" t="n">
        <x:v>111</x:v>
      </x:c>
      <x:c r="G91" s="24" t="n">
        <x:f>IF(E91=0,"",F91/E91)</x:f>
        <x:v>0.026593195975083854</x:v>
      </x:c>
      <x:c r="H91" s="23" t="n">
        <x:v>1517</x:v>
      </x:c>
      <x:c r="I91" s="24" t="n">
        <x:f>IF(E91=0,"",H91/E91)</x:f>
        <x:v>0.36344034499281264</x:v>
      </x:c>
      <x:c r="J91" s="23" t="n">
        <x:v>2546</x:v>
      </x:c>
      <x:c r="K91" s="24" t="n">
        <x:f>IF(E91=0,"",J91/E91)</x:f>
        <x:v>0.6099664590321034</x:v>
      </x:c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25" t="str">
        <x:v>9月</x:v>
      </x:c>
      <x:c r="B92" s="25" t="str">
        <x:v>雙北合計</x:v>
      </x:c>
      <x:c r="C92" s="36" t="n">
        <x:v>14</x:v>
      </x:c>
      <x:c r="D92" s="25" t="str">
        <x:v>10–15</x:v>
      </x:c>
      <x:c r="E92" s="34" t="n">
        <x:v>4478</x:v>
      </x:c>
      <x:c r="F92" s="34" t="n">
        <x:v>138</x:v>
      </x:c>
      <x:c r="G92" s="35" t="n">
        <x:f>IF(E92=0,"",F92/E92)</x:f>
        <x:v>0.030817329164805715</x:v>
      </x:c>
      <x:c r="H92" s="34" t="n">
        <x:v>1594</x:v>
      </x:c>
      <x:c r="I92" s="35" t="n">
        <x:f>IF(E92=0,"",H92/E92)</x:f>
        <x:v>0.3559624832514515</x:v>
      </x:c>
      <x:c r="J92" s="34" t="n">
        <x:v>2746</x:v>
      </x:c>
      <x:c r="K92" s="35" t="n">
        <x:f>IF(E92=0,"",J92/E92)</x:f>
        <x:v>0.6132201875837427</x:v>
      </x:c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20" t="str">
        <x:v>9月</x:v>
      </x:c>
      <x:c r="B93" s="20" t="str">
        <x:v>雙北合計</x:v>
      </x:c>
      <x:c r="C93" s="37" t="n">
        <x:v>15</x:v>
      </x:c>
      <x:c r="D93" s="20" t="str">
        <x:v>10–15</x:v>
      </x:c>
      <x:c r="E93" s="23" t="n">
        <x:v>3588</x:v>
      </x:c>
      <x:c r="F93" s="23" t="n">
        <x:v>66</x:v>
      </x:c>
      <x:c r="G93" s="24" t="n">
        <x:f>IF(E93=0,"",F93/E93)</x:f>
        <x:v>0.01839464882943144</x:v>
      </x:c>
      <x:c r="H93" s="23" t="n">
        <x:v>1233</x:v>
      </x:c>
      <x:c r="I93" s="24" t="n">
        <x:f>IF(E93=0,"",H93/E93)</x:f>
        <x:v>0.34364548494983277</x:v>
      </x:c>
      <x:c r="J93" s="23" t="n">
        <x:v>2289</x:v>
      </x:c>
      <x:c r="K93" s="24" t="n">
        <x:f>IF(E93=0,"",J93/E93)</x:f>
        <x:v>0.6379598662207357</x:v>
      </x:c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25" t="str">
        <x:v>9月</x:v>
      </x:c>
      <x:c r="B94" s="25" t="str">
        <x:v>雙北合計</x:v>
      </x:c>
      <x:c r="C94" s="36" t="n">
        <x:v>16</x:v>
      </x:c>
      <x:c r="D94" s="25" t="str">
        <x:v>16–19</x:v>
      </x:c>
      <x:c r="E94" s="34" t="n">
        <x:v>4258</x:v>
      </x:c>
      <x:c r="F94" s="34" t="n">
        <x:v>33</x:v>
      </x:c>
      <x:c r="G94" s="35" t="n">
        <x:f>IF(E94=0,"",F94/E94)</x:f>
        <x:v>0.007750117426021606</x:v>
      </x:c>
      <x:c r="H94" s="34" t="n">
        <x:v>2170</x:v>
      </x:c>
      <x:c r="I94" s="35" t="n">
        <x:f>IF(E94=0,"",H94/E94)</x:f>
        <x:v>0.5096289337717238</x:v>
      </x:c>
      <x:c r="J94" s="34" t="n">
        <x:v>2055</x:v>
      </x:c>
      <x:c r="K94" s="35" t="n">
        <x:f>IF(E94=0,"",J94/E94)</x:f>
        <x:v>0.4826209488022546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20" t="str">
        <x:v>9月</x:v>
      </x:c>
      <x:c r="B95" s="20" t="str">
        <x:v>雙北合計</x:v>
      </x:c>
      <x:c r="C95" s="37" t="n">
        <x:v>17</x:v>
      </x:c>
      <x:c r="D95" s="20" t="str">
        <x:v>16–19</x:v>
      </x:c>
      <x:c r="E95" s="23" t="n">
        <x:v>6703</x:v>
      </x:c>
      <x:c r="F95" s="23" t="n">
        <x:v>41</x:v>
      </x:c>
      <x:c r="G95" s="24" t="n">
        <x:f>IF(E95=0,"",F95/E95)</x:f>
        <x:v>0.006116664180217813</x:v>
      </x:c>
      <x:c r="H95" s="23" t="n">
        <x:v>3135</x:v>
      </x:c>
      <x:c r="I95" s="24" t="n">
        <x:f>IF(E95=0,"",H95/E95)</x:f>
        <x:v>0.46770102938982544</x:v>
      </x:c>
      <x:c r="J95" s="23" t="n">
        <x:v>3527</x:v>
      </x:c>
      <x:c r="K95" s="24" t="n">
        <x:f>IF(E95=0,"",J95/E95)</x:f>
        <x:v>0.5261823064299568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25" t="str">
        <x:v>9月</x:v>
      </x:c>
      <x:c r="B96" s="25" t="str">
        <x:v>雙北合計</x:v>
      </x:c>
      <x:c r="C96" s="36" t="n">
        <x:v>18</x:v>
      </x:c>
      <x:c r="D96" s="25" t="str">
        <x:v>16–19</x:v>
      </x:c>
      <x:c r="E96" s="34" t="n">
        <x:v>10577</x:v>
      </x:c>
      <x:c r="F96" s="34" t="n">
        <x:v>39</x:v>
      </x:c>
      <x:c r="G96" s="35" t="n">
        <x:f>IF(E96=0,"",F96/E96)</x:f>
        <x:v>0.0036872459109388296</x:v>
      </x:c>
      <x:c r="H96" s="34" t="n">
        <x:v>4206</x:v>
      </x:c>
      <x:c r="I96" s="35" t="n">
        <x:f>IF(E96=0,"",H96/E96)</x:f>
        <x:v>0.3976552897797107</x:v>
      </x:c>
      <x:c r="J96" s="34" t="n">
        <x:v>6332</x:v>
      </x:c>
      <x:c r="K96" s="35" t="n">
        <x:f>IF(E96=0,"",J96/E96)</x:f>
        <x:v>0.5986574643093505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20" t="str">
        <x:v>9月</x:v>
      </x:c>
      <x:c r="B97" s="20" t="str">
        <x:v>雙北合計</x:v>
      </x:c>
      <x:c r="C97" s="37" t="n">
        <x:v>19</x:v>
      </x:c>
      <x:c r="D97" s="20" t="str">
        <x:v>16–19</x:v>
      </x:c>
      <x:c r="E97" s="23" t="n">
        <x:v>9947</x:v>
      </x:c>
      <x:c r="F97" s="23" t="n">
        <x:v>46</x:v>
      </x:c>
      <x:c r="G97" s="24" t="n">
        <x:f>IF(E97=0,"",F97/E97)</x:f>
        <x:v>0.004624509902483161</x:v>
      </x:c>
      <x:c r="H97" s="23" t="n">
        <x:v>3854</x:v>
      </x:c>
      <x:c r="I97" s="24" t="n">
        <x:f>IF(E97=0,"",H97/E97)</x:f>
        <x:v>0.3874535035689152</x:v>
      </x:c>
      <x:c r="J97" s="23" t="n">
        <x:v>6047</x:v>
      </x:c>
      <x:c r="K97" s="24" t="n">
        <x:f>IF(E97=0,"",J97/E97)</x:f>
        <x:v>0.6079219865286016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25" t="str">
        <x:v>9月</x:v>
      </x:c>
      <x:c r="B98" s="25" t="str">
        <x:v>雙北合計</x:v>
      </x:c>
      <x:c r="C98" s="36" t="n">
        <x:v>20</x:v>
      </x:c>
      <x:c r="D98" s="25" t="str">
        <x:v>20–23</x:v>
      </x:c>
      <x:c r="E98" s="34" t="n">
        <x:v>8018</x:v>
      </x:c>
      <x:c r="F98" s="34" t="n">
        <x:v>40</x:v>
      </x:c>
      <x:c r="G98" s="35" t="n">
        <x:f>IF(E98=0,"",F98/E98)</x:f>
        <x:v>0.004988775255674732</x:v>
      </x:c>
      <x:c r="H98" s="34" t="n">
        <x:v>2914</x:v>
      </x:c>
      <x:c r="I98" s="35" t="n">
        <x:f>IF(E98=0,"",H98/E98)</x:f>
        <x:v>0.3634322773759042</x:v>
      </x:c>
      <x:c r="J98" s="34" t="n">
        <x:v>5064</x:v>
      </x:c>
      <x:c r="K98" s="35" t="n">
        <x:f>IF(E98=0,"",J98/E98)</x:f>
        <x:v>0.631578947368421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20" t="str">
        <x:v>9月</x:v>
      </x:c>
      <x:c r="B99" s="20" t="str">
        <x:v>雙北合計</x:v>
      </x:c>
      <x:c r="C99" s="37" t="n">
        <x:v>21</x:v>
      </x:c>
      <x:c r="D99" s="20" t="str">
        <x:v>20–23</x:v>
      </x:c>
      <x:c r="E99" s="23" t="n">
        <x:v>6017</x:v>
      </x:c>
      <x:c r="F99" s="23" t="n">
        <x:v>28</x:v>
      </x:c>
      <x:c r="G99" s="24" t="n">
        <x:f>IF(E99=0,"",F99/E99)</x:f>
        <x:v>0.00465348180156224</x:v>
      </x:c>
      <x:c r="H99" s="23" t="n">
        <x:v>2035</x:v>
      </x:c>
      <x:c r="I99" s="24" t="n">
        <x:f>IF(E99=0,"",H99/E99)</x:f>
        <x:v>0.3382084095063985</x:v>
      </x:c>
      <x:c r="J99" s="23" t="n">
        <x:v>3954</x:v>
      </x:c>
      <x:c r="K99" s="24" t="n">
        <x:f>IF(E99=0,"",J99/E99)</x:f>
        <x:v>0.6571381086920393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25" t="str">
        <x:v>9月</x:v>
      </x:c>
      <x:c r="B100" s="25" t="str">
        <x:v>雙北合計</x:v>
      </x:c>
      <x:c r="C100" s="36" t="n">
        <x:v>22</x:v>
      </x:c>
      <x:c r="D100" s="25" t="str">
        <x:v>20–23</x:v>
      </x:c>
      <x:c r="E100" s="34" t="n">
        <x:v>6030</x:v>
      </x:c>
      <x:c r="F100" s="34" t="n">
        <x:v>83</x:v>
      </x:c>
      <x:c r="G100" s="35" t="n">
        <x:f>IF(E100=0,"",F100/E100)</x:f>
        <x:v>0.013764510779436153</x:v>
      </x:c>
      <x:c r="H100" s="34" t="n">
        <x:v>2850</x:v>
      </x:c>
      <x:c r="I100" s="35" t="n">
        <x:f>IF(E100=0,"",H100/E100)</x:f>
        <x:v>0.472636815920398</x:v>
      </x:c>
      <x:c r="J100" s="34" t="n">
        <x:v>3097</x:v>
      </x:c>
      <x:c r="K100" s="35" t="n">
        <x:f>IF(E100=0,"",J100/E100)</x:f>
        <x:v>0.5135986733001658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20" t="str">
        <x:v>9月</x:v>
      </x:c>
      <x:c r="B101" s="20" t="str">
        <x:v>雙北合計</x:v>
      </x:c>
      <x:c r="C101" s="37" t="n">
        <x:v>23</x:v>
      </x:c>
      <x:c r="D101" s="20" t="str">
        <x:v>20–23</x:v>
      </x:c>
      <x:c r="E101" s="23" t="n">
        <x:v>8565</x:v>
      </x:c>
      <x:c r="F101" s="23" t="n">
        <x:v>135</x:v>
      </x:c>
      <x:c r="G101" s="24" t="n">
        <x:f>IF(E101=0,"",F101/E101)</x:f>
        <x:v>0.01576182136602452</x:v>
      </x:c>
      <x:c r="H101" s="23" t="n">
        <x:v>3600</x:v>
      </x:c>
      <x:c r="I101" s="24" t="n">
        <x:f>IF(E101=0,"",H101/E101)</x:f>
        <x:v>0.4203152364273205</x:v>
      </x:c>
      <x:c r="J101" s="23" t="n">
        <x:v>4830</x:v>
      </x:c>
      <x:c r="K101" s="24" t="n">
        <x:f>IF(E101=0,"",J101/E101)</x:f>
        <x:v>0.563922942206655</x:v>
      </x:c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25" t="str">
        <x:v>9月</x:v>
      </x:c>
      <x:c r="B102" s="25" t="str">
        <x:v>台北市</x:v>
      </x:c>
      <x:c r="C102" s="36" t="n">
        <x:v>0</x:v>
      </x:c>
      <x:c r="D102" s="25" t="str">
        <x:v>00–05</x:v>
      </x:c>
      <x:c r="E102" s="34" t="n">
        <x:v>3834</x:v>
      </x:c>
      <x:c r="F102" s="34" t="n">
        <x:v>94</x:v>
      </x:c>
      <x:c r="G102" s="35" t="n">
        <x:f>IF(E102=0,"",F102/E102)</x:f>
        <x:v>0.024517475221700575</x:v>
      </x:c>
      <x:c r="H102" s="34" t="n">
        <x:v>775</x:v>
      </x:c>
      <x:c r="I102" s="35" t="n">
        <x:f>IF(E102=0,"",H102/E102)</x:f>
        <x:v>0.20213875847678664</x:v>
      </x:c>
      <x:c r="J102" s="34" t="n">
        <x:v>2965</x:v>
      </x:c>
      <x:c r="K102" s="35" t="n">
        <x:f>IF(E102=0,"",J102/E102)</x:f>
        <x:v>0.7733437663015128</x:v>
      </x:c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20" t="str">
        <x:v>9月</x:v>
      </x:c>
      <x:c r="B103" s="20" t="str">
        <x:v>台北市</x:v>
      </x:c>
      <x:c r="C103" s="37" t="n">
        <x:v>1</x:v>
      </x:c>
      <x:c r="D103" s="20" t="str">
        <x:v>00–05</x:v>
      </x:c>
      <x:c r="E103" s="23" t="n">
        <x:v>2836</x:v>
      </x:c>
      <x:c r="F103" s="23" t="n">
        <x:v>106</x:v>
      </x:c>
      <x:c r="G103" s="24" t="n">
        <x:f>IF(E103=0,"",F103/E103)</x:f>
        <x:v>0.03737658674188998</x:v>
      </x:c>
      <x:c r="H103" s="23" t="n">
        <x:v>630</x:v>
      </x:c>
      <x:c r="I103" s="24" t="n">
        <x:f>IF(E103=0,"",H103/E103)</x:f>
        <x:v>0.22214386459802538</x:v>
      </x:c>
      <x:c r="J103" s="23" t="n">
        <x:v>2100</x:v>
      </x:c>
      <x:c r="K103" s="24" t="n">
        <x:f>IF(E103=0,"",J103/E103)</x:f>
        <x:v>0.7404795486600846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25" t="str">
        <x:v>9月</x:v>
      </x:c>
      <x:c r="B104" s="25" t="str">
        <x:v>台北市</x:v>
      </x:c>
      <x:c r="C104" s="36" t="n">
        <x:v>2</x:v>
      </x:c>
      <x:c r="D104" s="25" t="str">
        <x:v>00–05</x:v>
      </x:c>
      <x:c r="E104" s="34" t="n">
        <x:v>763</x:v>
      </x:c>
      <x:c r="F104" s="34" t="n">
        <x:v>22</x:v>
      </x:c>
      <x:c r="G104" s="35" t="n">
        <x:f>IF(E104=0,"",F104/E104)</x:f>
        <x:v>0.028833551769331587</x:v>
      </x:c>
      <x:c r="H104" s="34" t="n">
        <x:v>124</x:v>
      </x:c>
      <x:c r="I104" s="35" t="n">
        <x:f>IF(E104=0,"",H104/E104)</x:f>
        <x:v>0.16251638269986893</x:v>
      </x:c>
      <x:c r="J104" s="34" t="n">
        <x:v>617</x:v>
      </x:c>
      <x:c r="K104" s="35" t="n">
        <x:f>IF(E104=0,"",J104/E104)</x:f>
        <x:v>0.8086500655307994</x:v>
      </x:c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20" t="str">
        <x:v>9月</x:v>
      </x:c>
      <x:c r="B105" s="20" t="str">
        <x:v>台北市</x:v>
      </x:c>
      <x:c r="C105" s="37" t="n">
        <x:v>3</x:v>
      </x:c>
      <x:c r="D105" s="20" t="str">
        <x:v>00–05</x:v>
      </x:c>
      <x:c r="E105" s="23" t="n">
        <x:v>1677</x:v>
      </x:c>
      <x:c r="F105" s="23" t="n">
        <x:v>43</x:v>
      </x:c>
      <x:c r="G105" s="24" t="n">
        <x:f>IF(E105=0,"",F105/E105)</x:f>
        <x:v>0.02564102564102564</x:v>
      </x:c>
      <x:c r="H105" s="23" t="n">
        <x:v>539</x:v>
      </x:c>
      <x:c r="I105" s="24" t="n">
        <x:f>IF(E105=0,"",H105/E105)</x:f>
        <x:v>0.32140727489564697</x:v>
      </x:c>
      <x:c r="J105" s="23" t="n">
        <x:v>1095</x:v>
      </x:c>
      <x:c r="K105" s="24" t="n">
        <x:f>IF(E105=0,"",J105/E105)</x:f>
        <x:v>0.6529516994633273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25" t="str">
        <x:v>9月</x:v>
      </x:c>
      <x:c r="B106" s="25" t="str">
        <x:v>台北市</x:v>
      </x:c>
      <x:c r="C106" s="36" t="n">
        <x:v>4</x:v>
      </x:c>
      <x:c r="D106" s="25" t="str">
        <x:v>00–05</x:v>
      </x:c>
      <x:c r="E106" s="34" t="n">
        <x:v>2448</x:v>
      </x:c>
      <x:c r="F106" s="34" t="n">
        <x:v>102</x:v>
      </x:c>
      <x:c r="G106" s="35" t="n">
        <x:f>IF(E106=0,"",F106/E106)</x:f>
        <x:v>0.041666666666666664</x:v>
      </x:c>
      <x:c r="H106" s="34" t="n">
        <x:v>614</x:v>
      </x:c>
      <x:c r="I106" s="35" t="n">
        <x:f>IF(E106=0,"",H106/E106)</x:f>
        <x:v>0.2508169934640523</x:v>
      </x:c>
      <x:c r="J106" s="34" t="n">
        <x:v>1732</x:v>
      </x:c>
      <x:c r="K106" s="35" t="n">
        <x:f>IF(E106=0,"",J106/E106)</x:f>
        <x:v>0.7075163398692811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20" t="str">
        <x:v>9月</x:v>
      </x:c>
      <x:c r="B107" s="20" t="str">
        <x:v>台北市</x:v>
      </x:c>
      <x:c r="C107" s="37" t="n">
        <x:v>5</x:v>
      </x:c>
      <x:c r="D107" s="20" t="str">
        <x:v>00–05</x:v>
      </x:c>
      <x:c r="E107" s="23" t="n">
        <x:v>1721</x:v>
      </x:c>
      <x:c r="F107" s="23" t="n">
        <x:v>72</x:v>
      </x:c>
      <x:c r="G107" s="24" t="n">
        <x:f>IF(E107=0,"",F107/E107)</x:f>
        <x:v>0.041836141778036025</x:v>
      </x:c>
      <x:c r="H107" s="23" t="n">
        <x:v>364</x:v>
      </x:c>
      <x:c r="I107" s="24" t="n">
        <x:f>IF(E107=0,"",H107/E107)</x:f>
        <x:v>0.21150493898895992</x:v>
      </x:c>
      <x:c r="J107" s="23" t="n">
        <x:v>1285</x:v>
      </x:c>
      <x:c r="K107" s="24" t="n">
        <x:f>IF(E107=0,"",J107/E107)</x:f>
        <x:v>0.7466589192330041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25" t="str">
        <x:v>9月</x:v>
      </x:c>
      <x:c r="B108" s="25" t="str">
        <x:v>台北市</x:v>
      </x:c>
      <x:c r="C108" s="36" t="n">
        <x:v>6</x:v>
      </x:c>
      <x:c r="D108" s="25" t="str">
        <x:v>06–09</x:v>
      </x:c>
      <x:c r="E108" s="34" t="n">
        <x:v>696</x:v>
      </x:c>
      <x:c r="F108" s="34" t="n">
        <x:v>20</x:v>
      </x:c>
      <x:c r="G108" s="35" t="n">
        <x:f>IF(E108=0,"",F108/E108)</x:f>
        <x:v>0.028735632183908046</x:v>
      </x:c>
      <x:c r="H108" s="34" t="n">
        <x:v>133</x:v>
      </x:c>
      <x:c r="I108" s="35" t="n">
        <x:f>IF(E108=0,"",H108/E108)</x:f>
        <x:v>0.1910919540229885</x:v>
      </x:c>
      <x:c r="J108" s="34" t="n">
        <x:v>543</x:v>
      </x:c>
      <x:c r="K108" s="35" t="n">
        <x:f>IF(E108=0,"",J108/E108)</x:f>
        <x:v>0.7801724137931034</x:v>
      </x:c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20" t="str">
        <x:v>9月</x:v>
      </x:c>
      <x:c r="B109" s="20" t="str">
        <x:v>台北市</x:v>
      </x:c>
      <x:c r="C109" s="37" t="n">
        <x:v>7</x:v>
      </x:c>
      <x:c r="D109" s="20" t="str">
        <x:v>06–09</x:v>
      </x:c>
      <x:c r="E109" s="23" t="n">
        <x:v>4202</x:v>
      </x:c>
      <x:c r="F109" s="23" t="n">
        <x:v>19</x:v>
      </x:c>
      <x:c r="G109" s="24" t="n">
        <x:f>IF(E109=0,"",F109/E109)</x:f>
        <x:v>0.004521656354117087</x:v>
      </x:c>
      <x:c r="H109" s="23" t="n">
        <x:v>735</x:v>
      </x:c>
      <x:c r="I109" s="24" t="n">
        <x:f>IF(E109=0,"",H109/E109)</x:f>
        <x:v>0.1749167063303189</x:v>
      </x:c>
      <x:c r="J109" s="23" t="n">
        <x:v>3448</x:v>
      </x:c>
      <x:c r="K109" s="24" t="n">
        <x:f>IF(E109=0,"",J109/E109)</x:f>
        <x:v>0.820561637315564</x:v>
      </x:c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25" t="str">
        <x:v>9月</x:v>
      </x:c>
      <x:c r="B110" s="25" t="str">
        <x:v>台北市</x:v>
      </x:c>
      <x:c r="C110" s="36" t="n">
        <x:v>8</x:v>
      </x:c>
      <x:c r="D110" s="25" t="str">
        <x:v>06–09</x:v>
      </x:c>
      <x:c r="E110" s="34" t="n">
        <x:v>5311</x:v>
      </x:c>
      <x:c r="F110" s="34" t="n">
        <x:v>37</x:v>
      </x:c>
      <x:c r="G110" s="35" t="n">
        <x:f>IF(E110=0,"",F110/E110)</x:f>
        <x:v>0.006966672942948597</x:v>
      </x:c>
      <x:c r="H110" s="34" t="n">
        <x:v>1264</x:v>
      </x:c>
      <x:c r="I110" s="35" t="n">
        <x:f>IF(E110=0,"",H110/E110)</x:f>
        <x:v>0.2379966108077575</x:v>
      </x:c>
      <x:c r="J110" s="34" t="n">
        <x:v>4010</x:v>
      </x:c>
      <x:c r="K110" s="35" t="n">
        <x:f>IF(E110=0,"",J110/E110)</x:f>
        <x:v>0.7550367162492939</x:v>
      </x:c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20" t="str">
        <x:v>9月</x:v>
      </x:c>
      <x:c r="B111" s="20" t="str">
        <x:v>台北市</x:v>
      </x:c>
      <x:c r="C111" s="37" t="n">
        <x:v>9</x:v>
      </x:c>
      <x:c r="D111" s="20" t="str">
        <x:v>06–09</x:v>
      </x:c>
      <x:c r="E111" s="23" t="n">
        <x:v>5236</x:v>
      </x:c>
      <x:c r="F111" s="23" t="n">
        <x:v>49</x:v>
      </x:c>
      <x:c r="G111" s="24" t="n">
        <x:f>IF(E111=0,"",F111/E111)</x:f>
        <x:v>0.009358288770053475</x:v>
      </x:c>
      <x:c r="H111" s="23" t="n">
        <x:v>1325</x:v>
      </x:c>
      <x:c r="I111" s="24" t="n">
        <x:f>IF(E111=0,"",H111/E111)</x:f>
        <x:v>0.2530557677616501</x:v>
      </x:c>
      <x:c r="J111" s="23" t="n">
        <x:v>3862</x:v>
      </x:c>
      <x:c r="K111" s="24" t="n">
        <x:f>IF(E111=0,"",J111/E111)</x:f>
        <x:v>0.7375859434682964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25" t="str">
        <x:v>9月</x:v>
      </x:c>
      <x:c r="B112" s="25" t="str">
        <x:v>台北市</x:v>
      </x:c>
      <x:c r="C112" s="36" t="n">
        <x:v>10</x:v>
      </x:c>
      <x:c r="D112" s="25" t="str">
        <x:v>10–15</x:v>
      </x:c>
      <x:c r="E112" s="34" t="n">
        <x:v>4221</x:v>
      </x:c>
      <x:c r="F112" s="34" t="n">
        <x:v>49</x:v>
      </x:c>
      <x:c r="G112" s="35" t="n">
        <x:f>IF(E112=0,"",F112/E112)</x:f>
        <x:v>0.011608623548922056</x:v>
      </x:c>
      <x:c r="H112" s="34" t="n">
        <x:v>989</x:v>
      </x:c>
      <x:c r="I112" s="35" t="n">
        <x:f>IF(E112=0,"",H112/E112)</x:f>
        <x:v>0.23430466714048803</x:v>
      </x:c>
      <x:c r="J112" s="34" t="n">
        <x:v>3183</x:v>
      </x:c>
      <x:c r="K112" s="35" t="n">
        <x:f>IF(E112=0,"",J112/E112)</x:f>
        <x:v>0.7540867093105899</x:v>
      </x:c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20" t="str">
        <x:v>9月</x:v>
      </x:c>
      <x:c r="B113" s="20" t="str">
        <x:v>台北市</x:v>
      </x:c>
      <x:c r="C113" s="37" t="n">
        <x:v>11</x:v>
      </x:c>
      <x:c r="D113" s="20" t="str">
        <x:v>10–15</x:v>
      </x:c>
      <x:c r="E113" s="23" t="n">
        <x:v>2132</x:v>
      </x:c>
      <x:c r="F113" s="23" t="n">
        <x:v>50</x:v>
      </x:c>
      <x:c r="G113" s="24" t="n">
        <x:f>IF(E113=0,"",F113/E113)</x:f>
        <x:v>0.02345215759849906</x:v>
      </x:c>
      <x:c r="H113" s="23" t="n">
        <x:v>510</x:v>
      </x:c>
      <x:c r="I113" s="24" t="n">
        <x:f>IF(E113=0,"",H113/E113)</x:f>
        <x:v>0.23921200750469043</x:v>
      </x:c>
      <x:c r="J113" s="23" t="n">
        <x:v>1572</x:v>
      </x:c>
      <x:c r="K113" s="24" t="n">
        <x:f>IF(E113=0,"",J113/E113)</x:f>
        <x:v>0.7373358348968105</x:v>
      </x:c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25" t="str">
        <x:v>9月</x:v>
      </x:c>
      <x:c r="B114" s="25" t="str">
        <x:v>台北市</x:v>
      </x:c>
      <x:c r="C114" s="36" t="n">
        <x:v>12</x:v>
      </x:c>
      <x:c r="D114" s="25" t="str">
        <x:v>10–15</x:v>
      </x:c>
      <x:c r="E114" s="34" t="n">
        <x:v>1310</x:v>
      </x:c>
      <x:c r="F114" s="34" t="n">
        <x:v>21</x:v>
      </x:c>
      <x:c r="G114" s="35" t="n">
        <x:f>IF(E114=0,"",F114/E114)</x:f>
        <x:v>0.01603053435114504</x:v>
      </x:c>
      <x:c r="H114" s="34" t="n">
        <x:v>324</x:v>
      </x:c>
      <x:c r="I114" s="35" t="n">
        <x:f>IF(E114=0,"",H114/E114)</x:f>
        <x:v>0.24732824427480915</x:v>
      </x:c>
      <x:c r="J114" s="34" t="n">
        <x:v>965</x:v>
      </x:c>
      <x:c r="K114" s="35" t="n">
        <x:f>IF(E114=0,"",J114/E114)</x:f>
        <x:v>0.7366412213740458</x:v>
      </x:c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20" t="str">
        <x:v>9月</x:v>
      </x:c>
      <x:c r="B115" s="20" t="str">
        <x:v>台北市</x:v>
      </x:c>
      <x:c r="C115" s="37" t="n">
        <x:v>13</x:v>
      </x:c>
      <x:c r="D115" s="20" t="str">
        <x:v>10–15</x:v>
      </x:c>
      <x:c r="E115" s="23" t="n">
        <x:v>2333</x:v>
      </x:c>
      <x:c r="F115" s="23" t="n">
        <x:v>38</x:v>
      </x:c>
      <x:c r="G115" s="24" t="n">
        <x:f>IF(E115=0,"",F115/E115)</x:f>
        <x:v>0.016288041148735534</x:v>
      </x:c>
      <x:c r="H115" s="23" t="n">
        <x:v>517</x:v>
      </x:c>
      <x:c r="I115" s="24" t="n">
        <x:f>IF(E115=0,"",H115/E115)</x:f>
        <x:v>0.22160308615516502</x:v>
      </x:c>
      <x:c r="J115" s="23" t="n">
        <x:v>1778</x:v>
      </x:c>
      <x:c r="K115" s="24" t="n">
        <x:f>IF(E115=0,"",J115/E115)</x:f>
        <x:v>0.7621088726960994</x:v>
      </x:c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25" t="str">
        <x:v>9月</x:v>
      </x:c>
      <x:c r="B116" s="25" t="str">
        <x:v>台北市</x:v>
      </x:c>
      <x:c r="C116" s="36" t="n">
        <x:v>14</x:v>
      </x:c>
      <x:c r="D116" s="25" t="str">
        <x:v>10–15</x:v>
      </x:c>
      <x:c r="E116" s="34" t="n">
        <x:v>2417</x:v>
      </x:c>
      <x:c r="F116" s="34" t="n">
        <x:v>64</x:v>
      </x:c>
      <x:c r="G116" s="35" t="n">
        <x:f>IF(E116=0,"",F116/E116)</x:f>
        <x:v>0.026479106330161355</x:v>
      </x:c>
      <x:c r="H116" s="34" t="n">
        <x:v>515</x:v>
      </x:c>
      <x:c r="I116" s="35" t="n">
        <x:f>IF(E116=0,"",H116/E116)</x:f>
        <x:v>0.21307405875051716</x:v>
      </x:c>
      <x:c r="J116" s="34" t="n">
        <x:v>1838</x:v>
      </x:c>
      <x:c r="K116" s="35" t="n">
        <x:f>IF(E116=0,"",J116/E116)</x:f>
        <x:v>0.7604468349193215</x:v>
      </x:c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20" t="str">
        <x:v>9月</x:v>
      </x:c>
      <x:c r="B117" s="20" t="str">
        <x:v>台北市</x:v>
      </x:c>
      <x:c r="C117" s="37" t="n">
        <x:v>15</x:v>
      </x:c>
      <x:c r="D117" s="20" t="str">
        <x:v>10–15</x:v>
      </x:c>
      <x:c r="E117" s="23" t="n">
        <x:v>1943</x:v>
      </x:c>
      <x:c r="F117" s="23" t="n">
        <x:v>33</x:v>
      </x:c>
      <x:c r="G117" s="24" t="n">
        <x:f>IF(E117=0,"",F117/E117)</x:f>
        <x:v>0.016984045290787442</x:v>
      </x:c>
      <x:c r="H117" s="23" t="n">
        <x:v>414</x:v>
      </x:c>
      <x:c r="I117" s="24" t="n">
        <x:f>IF(E117=0,"",H117/E117)</x:f>
        <x:v>0.2130725681935152</x:v>
      </x:c>
      <x:c r="J117" s="23" t="n">
        <x:v>1496</x:v>
      </x:c>
      <x:c r="K117" s="24" t="n">
        <x:f>IF(E117=0,"",J117/E117)</x:f>
        <x:v>0.7699433865156974</x:v>
      </x:c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25" t="str">
        <x:v>9月</x:v>
      </x:c>
      <x:c r="B118" s="25" t="str">
        <x:v>台北市</x:v>
      </x:c>
      <x:c r="C118" s="36" t="n">
        <x:v>16</x:v>
      </x:c>
      <x:c r="D118" s="25" t="str">
        <x:v>16–19</x:v>
      </x:c>
      <x:c r="E118" s="34" t="n">
        <x:v>2073</x:v>
      </x:c>
      <x:c r="F118" s="34" t="n">
        <x:v>14</x:v>
      </x:c>
      <x:c r="G118" s="35" t="n">
        <x:f>IF(E118=0,"",F118/E118)</x:f>
        <x:v>0.006753497346840328</x:v>
      </x:c>
      <x:c r="H118" s="34" t="n">
        <x:v>711</x:v>
      </x:c>
      <x:c r="I118" s="35" t="n">
        <x:f>IF(E118=0,"",H118/E118)</x:f>
        <x:v>0.3429811866859624</x:v>
      </x:c>
      <x:c r="J118" s="34" t="n">
        <x:v>1348</x:v>
      </x:c>
      <x:c r="K118" s="35" t="n">
        <x:f>IF(E118=0,"",J118/E118)</x:f>
        <x:v>0.6502653159671973</x:v>
      </x:c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20" t="str">
        <x:v>9月</x:v>
      </x:c>
      <x:c r="B119" s="20" t="str">
        <x:v>台北市</x:v>
      </x:c>
      <x:c r="C119" s="37" t="n">
        <x:v>17</x:v>
      </x:c>
      <x:c r="D119" s="20" t="str">
        <x:v>16–19</x:v>
      </x:c>
      <x:c r="E119" s="23" t="n">
        <x:v>2906</x:v>
      </x:c>
      <x:c r="F119" s="23" t="n">
        <x:v>13</x:v>
      </x:c>
      <x:c r="G119" s="24" t="n">
        <x:f>IF(E119=0,"",F119/E119)</x:f>
        <x:v>0.004473503097040606</x:v>
      </x:c>
      <x:c r="H119" s="23" t="n">
        <x:v>821</x:v>
      </x:c>
      <x:c r="I119" s="24" t="n">
        <x:f>IF(E119=0,"",H119/E119)</x:f>
        <x:v>0.2825189263592567</x:v>
      </x:c>
      <x:c r="J119" s="23" t="n">
        <x:v>2072</x:v>
      </x:c>
      <x:c r="K119" s="24" t="n">
        <x:f>IF(E119=0,"",J119/E119)</x:f>
        <x:v>0.7130075705437027</x:v>
      </x:c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25" t="str">
        <x:v>9月</x:v>
      </x:c>
      <x:c r="B120" s="25" t="str">
        <x:v>台北市</x:v>
      </x:c>
      <x:c r="C120" s="36" t="n">
        <x:v>18</x:v>
      </x:c>
      <x:c r="D120" s="25" t="str">
        <x:v>16–19</x:v>
      </x:c>
      <x:c r="E120" s="34" t="n">
        <x:v>4311</x:v>
      </x:c>
      <x:c r="F120" s="34" t="n">
        <x:v>17</x:v>
      </x:c>
      <x:c r="G120" s="35" t="n">
        <x:f>IF(E120=0,"",F120/E120)</x:f>
        <x:v>0.003943400603108328</x:v>
      </x:c>
      <x:c r="H120" s="34" t="n">
        <x:v>814</x:v>
      </x:c>
      <x:c r="I120" s="35" t="n">
        <x:f>IF(E120=0,"",H120/E120)</x:f>
        <x:v>0.1888192994664811</x:v>
      </x:c>
      <x:c r="J120" s="34" t="n">
        <x:v>3480</x:v>
      </x:c>
      <x:c r="K120" s="35" t="n">
        <x:f>IF(E120=0,"",J120/E120)</x:f>
        <x:v>0.8072372999304106</x:v>
      </x:c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20" t="str">
        <x:v>9月</x:v>
      </x:c>
      <x:c r="B121" s="20" t="str">
        <x:v>台北市</x:v>
      </x:c>
      <x:c r="C121" s="37" t="n">
        <x:v>19</x:v>
      </x:c>
      <x:c r="D121" s="20" t="str">
        <x:v>16–19</x:v>
      </x:c>
      <x:c r="E121" s="23" t="n">
        <x:v>4269</x:v>
      </x:c>
      <x:c r="F121" s="23" t="n">
        <x:v>11</x:v>
      </x:c>
      <x:c r="G121" s="24" t="n">
        <x:f>IF(E121=0,"",F121/E121)</x:f>
        <x:v>0.0025767158585148745</x:v>
      </x:c>
      <x:c r="H121" s="23" t="n">
        <x:v>828</x:v>
      </x:c>
      <x:c r="I121" s="24" t="n">
        <x:f>IF(E121=0,"",H121/E121)</x:f>
        <x:v>0.19395643007730148</x:v>
      </x:c>
      <x:c r="J121" s="23" t="n">
        <x:v>3430</x:v>
      </x:c>
      <x:c r="K121" s="24" t="n">
        <x:f>IF(E121=0,"",J121/E121)</x:f>
        <x:v>0.8034668540641836</x:v>
      </x:c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25" t="str">
        <x:v>9月</x:v>
      </x:c>
      <x:c r="B122" s="25" t="str">
        <x:v>台北市</x:v>
      </x:c>
      <x:c r="C122" s="36" t="n">
        <x:v>20</x:v>
      </x:c>
      <x:c r="D122" s="25" t="str">
        <x:v>20–23</x:v>
      </x:c>
      <x:c r="E122" s="34" t="n">
        <x:v>3544</x:v>
      </x:c>
      <x:c r="F122" s="34" t="n">
        <x:v>19</x:v>
      </x:c>
      <x:c r="G122" s="35" t="n">
        <x:f>IF(E122=0,"",F122/E122)</x:f>
        <x:v>0.00536117381489842</x:v>
      </x:c>
      <x:c r="H122" s="34" t="n">
        <x:v>604</x:v>
      </x:c>
      <x:c r="I122" s="35" t="n">
        <x:f>IF(E122=0,"",H122/E122)</x:f>
        <x:v>0.17042889390519186</x:v>
      </x:c>
      <x:c r="J122" s="34" t="n">
        <x:v>2921</x:v>
      </x:c>
      <x:c r="K122" s="35" t="n">
        <x:f>IF(E122=0,"",J122/E122)</x:f>
        <x:v>0.8242099322799097</x:v>
      </x:c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20" t="str">
        <x:v>9月</x:v>
      </x:c>
      <x:c r="B123" s="20" t="str">
        <x:v>台北市</x:v>
      </x:c>
      <x:c r="C123" s="37" t="n">
        <x:v>21</x:v>
      </x:c>
      <x:c r="D123" s="20" t="str">
        <x:v>20–23</x:v>
      </x:c>
      <x:c r="E123" s="23" t="n">
        <x:v>2534</x:v>
      </x:c>
      <x:c r="F123" s="23" t="n">
        <x:v>6</x:v>
      </x:c>
      <x:c r="G123" s="24" t="n">
        <x:f>IF(E123=0,"",F123/E123)</x:f>
        <x:v>0.0023677979479084454</x:v>
      </x:c>
      <x:c r="H123" s="23" t="n">
        <x:v>393</x:v>
      </x:c>
      <x:c r="I123" s="24" t="n">
        <x:f>IF(E123=0,"",H123/E123)</x:f>
        <x:v>0.15509076558800317</x:v>
      </x:c>
      <x:c r="J123" s="23" t="n">
        <x:v>2135</x:v>
      </x:c>
      <x:c r="K123" s="24" t="n">
        <x:f>IF(E123=0,"",J123/E123)</x:f>
        <x:v>0.8425414364640884</x:v>
      </x:c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25" t="str">
        <x:v>9月</x:v>
      </x:c>
      <x:c r="B124" s="25" t="str">
        <x:v>台北市</x:v>
      </x:c>
      <x:c r="C124" s="36" t="n">
        <x:v>22</x:v>
      </x:c>
      <x:c r="D124" s="25" t="str">
        <x:v>20–23</x:v>
      </x:c>
      <x:c r="E124" s="34" t="n">
        <x:v>2475</x:v>
      </x:c>
      <x:c r="F124" s="34" t="n">
        <x:v>38</x:v>
      </x:c>
      <x:c r="G124" s="35" t="n">
        <x:f>IF(E124=0,"",F124/E124)</x:f>
        <x:v>0.015353535353535354</x:v>
      </x:c>
      <x:c r="H124" s="34" t="n">
        <x:v>589</x:v>
      </x:c>
      <x:c r="I124" s="35" t="n">
        <x:f>IF(E124=0,"",H124/E124)</x:f>
        <x:v>0.23797979797979799</x:v>
      </x:c>
      <x:c r="J124" s="34" t="n">
        <x:v>1848</x:v>
      </x:c>
      <x:c r="K124" s="35" t="n">
        <x:f>IF(E124=0,"",J124/E124)</x:f>
        <x:v>0.7466666666666667</x:v>
      </x:c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20" t="str">
        <x:v>9月</x:v>
      </x:c>
      <x:c r="B125" s="20" t="str">
        <x:v>台北市</x:v>
      </x:c>
      <x:c r="C125" s="37" t="n">
        <x:v>23</x:v>
      </x:c>
      <x:c r="D125" s="20" t="str">
        <x:v>20–23</x:v>
      </x:c>
      <x:c r="E125" s="23" t="n">
        <x:v>4071</x:v>
      </x:c>
      <x:c r="F125" s="23" t="n">
        <x:v>80</x:v>
      </x:c>
      <x:c r="G125" s="24" t="n">
        <x:f>IF(E125=0,"",F125/E125)</x:f>
        <x:v>0.019651191353475806</x:v>
      </x:c>
      <x:c r="H125" s="23" t="n">
        <x:v>826</x:v>
      </x:c>
      <x:c r="I125" s="24" t="n">
        <x:f>IF(E125=0,"",H125/E125)</x:f>
        <x:v>0.2028985507246377</x:v>
      </x:c>
      <x:c r="J125" s="23" t="n">
        <x:v>3165</x:v>
      </x:c>
      <x:c r="K125" s="24" t="n">
        <x:f>IF(E125=0,"",J125/E125)</x:f>
        <x:v>0.7774502579218865</x:v>
      </x:c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25" t="str">
        <x:v>9月</x:v>
      </x:c>
      <x:c r="B126" s="25" t="str">
        <x:v>新北市</x:v>
      </x:c>
      <x:c r="C126" s="36" t="n">
        <x:v>0</x:v>
      </x:c>
      <x:c r="D126" s="25" t="str">
        <x:v>00–05</x:v>
      </x:c>
      <x:c r="E126" s="34" t="n">
        <x:v>3779</x:v>
      </x:c>
      <x:c r="F126" s="34" t="n">
        <x:v>61</x:v>
      </x:c>
      <x:c r="G126" s="35" t="n">
        <x:f>IF(E126=0,"",F126/E126)</x:f>
        <x:v>0.016141836464673195</x:v>
      </x:c>
      <x:c r="H126" s="34" t="n">
        <x:v>2387</x:v>
      </x:c>
      <x:c r="I126" s="35" t="n">
        <x:f>IF(E126=0,"",H126/E126)</x:f>
        <x:v>0.631648584281556</x:v>
      </x:c>
      <x:c r="J126" s="34" t="n">
        <x:v>1331</x:v>
      </x:c>
      <x:c r="K126" s="35" t="n">
        <x:f>IF(E126=0,"",J126/E126)</x:f>
        <x:v>0.35220957925377083</x:v>
      </x:c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20" t="str">
        <x:v>9月</x:v>
      </x:c>
      <x:c r="B127" s="20" t="str">
        <x:v>新北市</x:v>
      </x:c>
      <x:c r="C127" s="37" t="n">
        <x:v>1</x:v>
      </x:c>
      <x:c r="D127" s="20" t="str">
        <x:v>00–05</x:v>
      </x:c>
      <x:c r="E127" s="23" t="n">
        <x:v>2603</x:v>
      </x:c>
      <x:c r="F127" s="23" t="n">
        <x:v>35</x:v>
      </x:c>
      <x:c r="G127" s="24" t="n">
        <x:f>IF(E127=0,"",F127/E127)</x:f>
        <x:v>0.013446023818670765</x:v>
      </x:c>
      <x:c r="H127" s="23" t="n">
        <x:v>1658</x:v>
      </x:c>
      <x:c r="I127" s="24" t="n">
        <x:f>IF(E127=0,"",H127/E127)</x:f>
        <x:v>0.6369573568958894</x:v>
      </x:c>
      <x:c r="J127" s="23" t="n">
        <x:v>910</x:v>
      </x:c>
      <x:c r="K127" s="24" t="n">
        <x:f>IF(E127=0,"",J127/E127)</x:f>
        <x:v>0.3495966192854399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25" t="str">
        <x:v>9月</x:v>
      </x:c>
      <x:c r="B128" s="25" t="str">
        <x:v>新北市</x:v>
      </x:c>
      <x:c r="C128" s="36" t="n">
        <x:v>2</x:v>
      </x:c>
      <x:c r="D128" s="25" t="str">
        <x:v>00–05</x:v>
      </x:c>
      <x:c r="E128" s="34" t="n">
        <x:v>460</x:v>
      </x:c>
      <x:c r="F128" s="34" t="n">
        <x:v>7</x:v>
      </x:c>
      <x:c r="G128" s="35" t="n">
        <x:f>IF(E128=0,"",F128/E128)</x:f>
        <x:v>0.015217391304347827</x:v>
      </x:c>
      <x:c r="H128" s="34" t="n">
        <x:v>285</x:v>
      </x:c>
      <x:c r="I128" s="35" t="n">
        <x:f>IF(E128=0,"",H128/E128)</x:f>
        <x:v>0.6195652173913043</x:v>
      </x:c>
      <x:c r="J128" s="34" t="n">
        <x:v>168</x:v>
      </x:c>
      <x:c r="K128" s="35" t="n">
        <x:f>IF(E128=0,"",J128/E128)</x:f>
        <x:v>0.3652173913043478</x:v>
      </x:c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20" t="str">
        <x:v>9月</x:v>
      </x:c>
      <x:c r="B129" s="20" t="str">
        <x:v>新北市</x:v>
      </x:c>
      <x:c r="C129" s="37" t="n">
        <x:v>3</x:v>
      </x:c>
      <x:c r="D129" s="20" t="str">
        <x:v>00–05</x:v>
      </x:c>
      <x:c r="E129" s="23" t="n">
        <x:v>703</x:v>
      </x:c>
      <x:c r="F129" s="23" t="n">
        <x:v>17</x:v>
      </x:c>
      <x:c r="G129" s="24" t="n">
        <x:f>IF(E129=0,"",F129/E129)</x:f>
        <x:v>0.02418207681365576</x:v>
      </x:c>
      <x:c r="H129" s="23" t="n">
        <x:v>345</x:v>
      </x:c>
      <x:c r="I129" s="24" t="n">
        <x:f>IF(E129=0,"",H129/E129)</x:f>
        <x:v>0.4907539118065434</x:v>
      </x:c>
      <x:c r="J129" s="23" t="n">
        <x:v>341</x:v>
      </x:c>
      <x:c r="K129" s="24" t="n">
        <x:f>IF(E129=0,"",J129/E129)</x:f>
        <x:v>0.4850640113798009</x:v>
      </x:c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25" t="str">
        <x:v>9月</x:v>
      </x:c>
      <x:c r="B130" s="25" t="str">
        <x:v>新北市</x:v>
      </x:c>
      <x:c r="C130" s="36" t="n">
        <x:v>4</x:v>
      </x:c>
      <x:c r="D130" s="25" t="str">
        <x:v>00–05</x:v>
      </x:c>
      <x:c r="E130" s="34" t="n">
        <x:v>864</x:v>
      </x:c>
      <x:c r="F130" s="34" t="n">
        <x:v>12</x:v>
      </x:c>
      <x:c r="G130" s="35" t="n">
        <x:f>IF(E130=0,"",F130/E130)</x:f>
        <x:v>0.013888888888888888</x:v>
      </x:c>
      <x:c r="H130" s="34" t="n">
        <x:v>500</x:v>
      </x:c>
      <x:c r="I130" s="35" t="n">
        <x:f>IF(E130=0,"",H130/E130)</x:f>
        <x:v>0.5787037037037037</x:v>
      </x:c>
      <x:c r="J130" s="34" t="n">
        <x:v>352</x:v>
      </x:c>
      <x:c r="K130" s="35" t="n">
        <x:f>IF(E130=0,"",J130/E130)</x:f>
        <x:v>0.4074074074074074</x:v>
      </x:c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20" t="str">
        <x:v>9月</x:v>
      </x:c>
      <x:c r="B131" s="20" t="str">
        <x:v>新北市</x:v>
      </x:c>
      <x:c r="C131" s="37" t="n">
        <x:v>5</x:v>
      </x:c>
      <x:c r="D131" s="20" t="str">
        <x:v>00–05</x:v>
      </x:c>
      <x:c r="E131" s="23" t="n">
        <x:v>1084</x:v>
      </x:c>
      <x:c r="F131" s="23" t="n">
        <x:v>13</x:v>
      </x:c>
      <x:c r="G131" s="24" t="n">
        <x:f>IF(E131=0,"",F131/E131)</x:f>
        <x:v>0.011992619926199263</x:v>
      </x:c>
      <x:c r="H131" s="23" t="n">
        <x:v>667</x:v>
      </x:c>
      <x:c r="I131" s="24" t="n">
        <x:f>IF(E131=0,"",H131/E131)</x:f>
        <x:v>0.6153136531365314</x:v>
      </x:c>
      <x:c r="J131" s="23" t="n">
        <x:v>404</x:v>
      </x:c>
      <x:c r="K131" s="24" t="n">
        <x:f>IF(E131=0,"",J131/E131)</x:f>
        <x:v>0.3726937269372694</x:v>
      </x:c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25" t="str">
        <x:v>9月</x:v>
      </x:c>
      <x:c r="B132" s="25" t="str">
        <x:v>新北市</x:v>
      </x:c>
      <x:c r="C132" s="36" t="n">
        <x:v>6</x:v>
      </x:c>
      <x:c r="D132" s="25" t="str">
        <x:v>06–09</x:v>
      </x:c>
      <x:c r="E132" s="34" t="n">
        <x:v>1650</x:v>
      </x:c>
      <x:c r="F132" s="34" t="n">
        <x:v>16</x:v>
      </x:c>
      <x:c r="G132" s="35" t="n">
        <x:f>IF(E132=0,"",F132/E132)</x:f>
        <x:v>0.009696969696969697</x:v>
      </x:c>
      <x:c r="H132" s="34" t="n">
        <x:v>1158</x:v>
      </x:c>
      <x:c r="I132" s="35" t="n">
        <x:f>IF(E132=0,"",H132/E132)</x:f>
        <x:v>0.7018181818181818</x:v>
      </x:c>
      <x:c r="J132" s="34" t="n">
        <x:v>476</x:v>
      </x:c>
      <x:c r="K132" s="35" t="n">
        <x:f>IF(E132=0,"",J132/E132)</x:f>
        <x:v>0.2884848484848485</x:v>
      </x:c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20" t="str">
        <x:v>9月</x:v>
      </x:c>
      <x:c r="B133" s="20" t="str">
        <x:v>新北市</x:v>
      </x:c>
      <x:c r="C133" s="37" t="n">
        <x:v>7</x:v>
      </x:c>
      <x:c r="D133" s="20" t="str">
        <x:v>06–09</x:v>
      </x:c>
      <x:c r="E133" s="23" t="n">
        <x:v>6070</x:v>
      </x:c>
      <x:c r="F133" s="23" t="n">
        <x:v>98</x:v>
      </x:c>
      <x:c r="G133" s="24" t="n">
        <x:f>IF(E133=0,"",F133/E133)</x:f>
        <x:v>0.01614497528830313</x:v>
      </x:c>
      <x:c r="H133" s="23" t="n">
        <x:v>4202</x:v>
      </x:c>
      <x:c r="I133" s="24" t="n">
        <x:f>IF(E133=0,"",H133/E133)</x:f>
        <x:v>0.6922570016474464</x:v>
      </x:c>
      <x:c r="J133" s="23" t="n">
        <x:v>1770</x:v>
      </x:c>
      <x:c r="K133" s="24" t="n">
        <x:f>IF(E133=0,"",J133/E133)</x:f>
        <x:v>0.2915980230642504</x:v>
      </x:c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25" t="str">
        <x:v>9月</x:v>
      </x:c>
      <x:c r="B134" s="25" t="str">
        <x:v>新北市</x:v>
      </x:c>
      <x:c r="C134" s="36" t="n">
        <x:v>8</x:v>
      </x:c>
      <x:c r="D134" s="25" t="str">
        <x:v>06–09</x:v>
      </x:c>
      <x:c r="E134" s="34" t="n">
        <x:v>6448</x:v>
      </x:c>
      <x:c r="F134" s="34" t="n">
        <x:v>137</x:v>
      </x:c>
      <x:c r="G134" s="35" t="n">
        <x:f>IF(E134=0,"",F134/E134)</x:f>
        <x:v>0.021246898263027295</x:v>
      </x:c>
      <x:c r="H134" s="34" t="n">
        <x:v>4214</x:v>
      </x:c>
      <x:c r="I134" s="35" t="n">
        <x:f>IF(E134=0,"",H134/E134)</x:f>
        <x:v>0.6535359801488834</x:v>
      </x:c>
      <x:c r="J134" s="34" t="n">
        <x:v>2097</x:v>
      </x:c>
      <x:c r="K134" s="35" t="n">
        <x:f>IF(E134=0,"",J134/E134)</x:f>
        <x:v>0.32521712158808935</x:v>
      </x:c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20" t="str">
        <x:v>9月</x:v>
      </x:c>
      <x:c r="B135" s="20" t="str">
        <x:v>新北市</x:v>
      </x:c>
      <x:c r="C135" s="37" t="n">
        <x:v>9</x:v>
      </x:c>
      <x:c r="D135" s="20" t="str">
        <x:v>06–09</x:v>
      </x:c>
      <x:c r="E135" s="23" t="n">
        <x:v>5672</x:v>
      </x:c>
      <x:c r="F135" s="23" t="n">
        <x:v>164</x:v>
      </x:c>
      <x:c r="G135" s="24" t="n">
        <x:f>IF(E135=0,"",F135/E135)</x:f>
        <x:v>0.028913963328631876</x:v>
      </x:c>
      <x:c r="H135" s="23" t="n">
        <x:v>3619</x:v>
      </x:c>
      <x:c r="I135" s="24" t="n">
        <x:f>IF(E135=0,"",H135/E135)</x:f>
        <x:v>0.638046544428773</x:v>
      </x:c>
      <x:c r="J135" s="23" t="n">
        <x:v>1889</x:v>
      </x:c>
      <x:c r="K135" s="24" t="n">
        <x:f>IF(E135=0,"",J135/E135)</x:f>
        <x:v>0.3330394922425952</x:v>
      </x:c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25" t="str">
        <x:v>9月</x:v>
      </x:c>
      <x:c r="B136" s="25" t="str">
        <x:v>新北市</x:v>
      </x:c>
      <x:c r="C136" s="36" t="n">
        <x:v>10</x:v>
      </x:c>
      <x:c r="D136" s="25" t="str">
        <x:v>10–15</x:v>
      </x:c>
      <x:c r="E136" s="34" t="n">
        <x:v>4932</x:v>
      </x:c>
      <x:c r="F136" s="34" t="n">
        <x:v>178</x:v>
      </x:c>
      <x:c r="G136" s="35" t="n">
        <x:f>IF(E136=0,"",F136/E136)</x:f>
        <x:v>0.036090835360908353</x:v>
      </x:c>
      <x:c r="H136" s="34" t="n">
        <x:v>3148</x:v>
      </x:c>
      <x:c r="I136" s="35" t="n">
        <x:f>IF(E136=0,"",H136/E136)</x:f>
        <x:v>0.6382806163828062</x:v>
      </x:c>
      <x:c r="J136" s="34" t="n">
        <x:v>1606</x:v>
      </x:c>
      <x:c r="K136" s="35" t="n">
        <x:f>IF(E136=0,"",J136/E136)</x:f>
        <x:v>0.32562854825628545</x:v>
      </x:c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20" t="str">
        <x:v>9月</x:v>
      </x:c>
      <x:c r="B137" s="20" t="str">
        <x:v>新北市</x:v>
      </x:c>
      <x:c r="C137" s="37" t="n">
        <x:v>11</x:v>
      </x:c>
      <x:c r="D137" s="20" t="str">
        <x:v>10–15</x:v>
      </x:c>
      <x:c r="E137" s="23" t="n">
        <x:v>3228</x:v>
      </x:c>
      <x:c r="F137" s="23" t="n">
        <x:v>128</x:v>
      </x:c>
      <x:c r="G137" s="24" t="n">
        <x:f>IF(E137=0,"",F137/E137)</x:f>
        <x:v>0.03965303593556382</x:v>
      </x:c>
      <x:c r="H137" s="23" t="n">
        <x:v>2033</x:v>
      </x:c>
      <x:c r="I137" s="24" t="n">
        <x:f>IF(E137=0,"",H137/E137)</x:f>
        <x:v>0.6298017348203222</x:v>
      </x:c>
      <x:c r="J137" s="23" t="n">
        <x:v>1067</x:v>
      </x:c>
      <x:c r="K137" s="24" t="n">
        <x:f>IF(E137=0,"",J137/E137)</x:f>
        <x:v>0.330545229244114</x:v>
      </x:c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25" t="str">
        <x:v>9月</x:v>
      </x:c>
      <x:c r="B138" s="25" t="str">
        <x:v>新北市</x:v>
      </x:c>
      <x:c r="C138" s="36" t="n">
        <x:v>12</x:v>
      </x:c>
      <x:c r="D138" s="25" t="str">
        <x:v>10–15</x:v>
      </x:c>
      <x:c r="E138" s="34" t="n">
        <x:v>1355</x:v>
      </x:c>
      <x:c r="F138" s="34" t="n">
        <x:v>57</x:v>
      </x:c>
      <x:c r="G138" s="35" t="n">
        <x:f>IF(E138=0,"",F138/E138)</x:f>
        <x:v>0.04206642066420664</x:v>
      </x:c>
      <x:c r="H138" s="34" t="n">
        <x:v>827</x:v>
      </x:c>
      <x:c r="I138" s="35" t="n">
        <x:f>IF(E138=0,"",H138/E138)</x:f>
        <x:v>0.6103321033210332</x:v>
      </x:c>
      <x:c r="J138" s="34" t="n">
        <x:v>471</x:v>
      </x:c>
      <x:c r="K138" s="35" t="n">
        <x:f>IF(E138=0,"",J138/E138)</x:f>
        <x:v>0.34760147601476016</x:v>
      </x:c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20" t="str">
        <x:v>9月</x:v>
      </x:c>
      <x:c r="B139" s="20" t="str">
        <x:v>新北市</x:v>
      </x:c>
      <x:c r="C139" s="37" t="n">
        <x:v>13</x:v>
      </x:c>
      <x:c r="D139" s="20" t="str">
        <x:v>10–15</x:v>
      </x:c>
      <x:c r="E139" s="23" t="n">
        <x:v>1841</x:v>
      </x:c>
      <x:c r="F139" s="23" t="n">
        <x:v>73</x:v>
      </x:c>
      <x:c r="G139" s="24" t="n">
        <x:f>IF(E139=0,"",F139/E139)</x:f>
        <x:v>0.039652362846279196</x:v>
      </x:c>
      <x:c r="H139" s="23" t="n">
        <x:v>1000</x:v>
      </x:c>
      <x:c r="I139" s="24" t="n">
        <x:f>IF(E139=0,"",H139/E139)</x:f>
        <x:v>0.5431830526887561</x:v>
      </x:c>
      <x:c r="J139" s="23" t="n">
        <x:v>768</x:v>
      </x:c>
      <x:c r="K139" s="24" t="n">
        <x:f>IF(E139=0,"",J139/E139)</x:f>
        <x:v>0.4171645844649647</x:v>
      </x:c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25" t="str">
        <x:v>9月</x:v>
      </x:c>
      <x:c r="B140" s="25" t="str">
        <x:v>新北市</x:v>
      </x:c>
      <x:c r="C140" s="36" t="n">
        <x:v>14</x:v>
      </x:c>
      <x:c r="D140" s="25" t="str">
        <x:v>10–15</x:v>
      </x:c>
      <x:c r="E140" s="34" t="n">
        <x:v>2061</x:v>
      </x:c>
      <x:c r="F140" s="34" t="n">
        <x:v>74</x:v>
      </x:c>
      <x:c r="G140" s="35" t="n">
        <x:f>IF(E140=0,"",F140/E140)</x:f>
        <x:v>0.035904900533721494</x:v>
      </x:c>
      <x:c r="H140" s="34" t="n">
        <x:v>1079</x:v>
      </x:c>
      <x:c r="I140" s="35" t="n">
        <x:f>IF(E140=0,"",H140/E140)</x:f>
        <x:v>0.5235322658903445</x:v>
      </x:c>
      <x:c r="J140" s="34" t="n">
        <x:v>908</x:v>
      </x:c>
      <x:c r="K140" s="35" t="n">
        <x:f>IF(E140=0,"",J140/E140)</x:f>
        <x:v>0.440562833575934</x:v>
      </x:c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20" t="str">
        <x:v>9月</x:v>
      </x:c>
      <x:c r="B141" s="20" t="str">
        <x:v>新北市</x:v>
      </x:c>
      <x:c r="C141" s="37" t="n">
        <x:v>15</x:v>
      </x:c>
      <x:c r="D141" s="20" t="str">
        <x:v>10–15</x:v>
      </x:c>
      <x:c r="E141" s="23" t="n">
        <x:v>1645</x:v>
      </x:c>
      <x:c r="F141" s="23" t="n">
        <x:v>33</x:v>
      </x:c>
      <x:c r="G141" s="24" t="n">
        <x:f>IF(E141=0,"",F141/E141)</x:f>
        <x:v>0.02006079027355623</x:v>
      </x:c>
      <x:c r="H141" s="23" t="n">
        <x:v>819</x:v>
      </x:c>
      <x:c r="I141" s="24" t="n">
        <x:f>IF(E141=0,"",H141/E141)</x:f>
        <x:v>0.4978723404255319</x:v>
      </x:c>
      <x:c r="J141" s="23" t="n">
        <x:v>793</x:v>
      </x:c>
      <x:c r="K141" s="24" t="n">
        <x:f>IF(E141=0,"",J141/E141)</x:f>
        <x:v>0.48206686930091186</x:v>
      </x:c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25" t="str">
        <x:v>9月</x:v>
      </x:c>
      <x:c r="B142" s="25" t="str">
        <x:v>新北市</x:v>
      </x:c>
      <x:c r="C142" s="36" t="n">
        <x:v>16</x:v>
      </x:c>
      <x:c r="D142" s="25" t="str">
        <x:v>16–19</x:v>
      </x:c>
      <x:c r="E142" s="34" t="n">
        <x:v>2185</x:v>
      </x:c>
      <x:c r="F142" s="34" t="n">
        <x:v>19</x:v>
      </x:c>
      <x:c r="G142" s="35" t="n">
        <x:f>IF(E142=0,"",F142/E142)</x:f>
        <x:v>0.008695652173913044</x:v>
      </x:c>
      <x:c r="H142" s="34" t="n">
        <x:v>1459</x:v>
      </x:c>
      <x:c r="I142" s="35" t="n">
        <x:f>IF(E142=0,"",H142/E142)</x:f>
        <x:v>0.6677345537757438</x:v>
      </x:c>
      <x:c r="J142" s="34" t="n">
        <x:v>707</x:v>
      </x:c>
      <x:c r="K142" s="35" t="n">
        <x:f>IF(E142=0,"",J142/E142)</x:f>
        <x:v>0.32356979405034325</x:v>
      </x:c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20" t="str">
        <x:v>9月</x:v>
      </x:c>
      <x:c r="B143" s="20" t="str">
        <x:v>新北市</x:v>
      </x:c>
      <x:c r="C143" s="37" t="n">
        <x:v>17</x:v>
      </x:c>
      <x:c r="D143" s="20" t="str">
        <x:v>16–19</x:v>
      </x:c>
      <x:c r="E143" s="23" t="n">
        <x:v>3797</x:v>
      </x:c>
      <x:c r="F143" s="23" t="n">
        <x:v>28</x:v>
      </x:c>
      <x:c r="G143" s="24" t="n">
        <x:f>IF(E143=0,"",F143/E143)</x:f>
        <x:v>0.007374242823281538</x:v>
      </x:c>
      <x:c r="H143" s="23" t="n">
        <x:v>2314</x:v>
      </x:c>
      <x:c r="I143" s="24" t="n">
        <x:f>IF(E143=0,"",H143/E143)</x:f>
        <x:v>0.6094284961811957</x:v>
      </x:c>
      <x:c r="J143" s="23" t="n">
        <x:v>1455</x:v>
      </x:c>
      <x:c r="K143" s="24" t="n">
        <x:f>IF(E143=0,"",J143/E143)</x:f>
        <x:v>0.38319726099552276</x:v>
      </x:c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25" t="str">
        <x:v>9月</x:v>
      </x:c>
      <x:c r="B144" s="25" t="str">
        <x:v>新北市</x:v>
      </x:c>
      <x:c r="C144" s="36" t="n">
        <x:v>18</x:v>
      </x:c>
      <x:c r="D144" s="25" t="str">
        <x:v>16–19</x:v>
      </x:c>
      <x:c r="E144" s="34" t="n">
        <x:v>6266</x:v>
      </x:c>
      <x:c r="F144" s="34" t="n">
        <x:v>22</x:v>
      </x:c>
      <x:c r="G144" s="35" t="n">
        <x:f>IF(E144=0,"",F144/E144)</x:f>
        <x:v>0.0035110118097669966</x:v>
      </x:c>
      <x:c r="H144" s="34" t="n">
        <x:v>3392</x:v>
      </x:c>
      <x:c r="I144" s="35" t="n">
        <x:f>IF(E144=0,"",H144/E144)</x:f>
        <x:v>0.5413341844877114</x:v>
      </x:c>
      <x:c r="J144" s="34" t="n">
        <x:v>2852</x:v>
      </x:c>
      <x:c r="K144" s="35" t="n">
        <x:f>IF(E144=0,"",J144/E144)</x:f>
        <x:v>0.45515480370252154</x:v>
      </x:c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20" t="str">
        <x:v>9月</x:v>
      </x:c>
      <x:c r="B145" s="20" t="str">
        <x:v>新北市</x:v>
      </x:c>
      <x:c r="C145" s="37" t="n">
        <x:v>19</x:v>
      </x:c>
      <x:c r="D145" s="20" t="str">
        <x:v>16–19</x:v>
      </x:c>
      <x:c r="E145" s="23" t="n">
        <x:v>5678</x:v>
      </x:c>
      <x:c r="F145" s="23" t="n">
        <x:v>35</x:v>
      </x:c>
      <x:c r="G145" s="24" t="n">
        <x:f>IF(E145=0,"",F145/E145)</x:f>
        <x:v>0.006164142303628038</x:v>
      </x:c>
      <x:c r="H145" s="23" t="n">
        <x:v>3026</x:v>
      </x:c>
      <x:c r="I145" s="24" t="n">
        <x:f>IF(E145=0,"",H145/E145)</x:f>
        <x:v>0.5329341317365269</x:v>
      </x:c>
      <x:c r="J145" s="23" t="n">
        <x:v>2617</x:v>
      </x:c>
      <x:c r="K145" s="24" t="n">
        <x:f>IF(E145=0,"",J145/E145)</x:f>
        <x:v>0.460901725959845</x:v>
      </x:c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25" t="str">
        <x:v>9月</x:v>
      </x:c>
      <x:c r="B146" s="25" t="str">
        <x:v>新北市</x:v>
      </x:c>
      <x:c r="C146" s="36" t="n">
        <x:v>20</x:v>
      </x:c>
      <x:c r="D146" s="25" t="str">
        <x:v>20–23</x:v>
      </x:c>
      <x:c r="E146" s="34" t="n">
        <x:v>4474</x:v>
      </x:c>
      <x:c r="F146" s="34" t="n">
        <x:v>21</x:v>
      </x:c>
      <x:c r="G146" s="35" t="n">
        <x:f>IF(E146=0,"",F146/E146)</x:f>
        <x:v>0.004693786320965579</x:v>
      </x:c>
      <x:c r="H146" s="34" t="n">
        <x:v>2310</x:v>
      </x:c>
      <x:c r="I146" s="35" t="n">
        <x:f>IF(E146=0,"",H146/E146)</x:f>
        <x:v>0.5163164953062137</x:v>
      </x:c>
      <x:c r="J146" s="34" t="n">
        <x:v>2143</x:v>
      </x:c>
      <x:c r="K146" s="35" t="n">
        <x:f>IF(E146=0,"",J146/E146)</x:f>
        <x:v>0.4789897183728207</x:v>
      </x:c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20" t="str">
        <x:v>9月</x:v>
      </x:c>
      <x:c r="B147" s="20" t="str">
        <x:v>新北市</x:v>
      </x:c>
      <x:c r="C147" s="37" t="n">
        <x:v>21</x:v>
      </x:c>
      <x:c r="D147" s="20" t="str">
        <x:v>20–23</x:v>
      </x:c>
      <x:c r="E147" s="23" t="n">
        <x:v>3483</x:v>
      </x:c>
      <x:c r="F147" s="23" t="n">
        <x:v>22</x:v>
      </x:c>
      <x:c r="G147" s="24" t="n">
        <x:f>IF(E147=0,"",F147/E147)</x:f>
        <x:v>0.006316393913293138</x:v>
      </x:c>
      <x:c r="H147" s="23" t="n">
        <x:v>1642</x:v>
      </x:c>
      <x:c r="I147" s="24" t="n">
        <x:f>IF(E147=0,"",H147/E147)</x:f>
        <x:v>0.4714326729830606</x:v>
      </x:c>
      <x:c r="J147" s="23" t="n">
        <x:v>1819</x:v>
      </x:c>
      <x:c r="K147" s="24" t="n">
        <x:f>IF(E147=0,"",J147/E147)</x:f>
        <x:v>0.5222509331036462</x:v>
      </x:c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25" t="str">
        <x:v>9月</x:v>
      </x:c>
      <x:c r="B148" s="25" t="str">
        <x:v>新北市</x:v>
      </x:c>
      <x:c r="C148" s="36" t="n">
        <x:v>22</x:v>
      </x:c>
      <x:c r="D148" s="25" t="str">
        <x:v>20–23</x:v>
      </x:c>
      <x:c r="E148" s="34" t="n">
        <x:v>3555</x:v>
      </x:c>
      <x:c r="F148" s="34" t="n">
        <x:v>45</x:v>
      </x:c>
      <x:c r="G148" s="35" t="n">
        <x:f>IF(E148=0,"",F148/E148)</x:f>
        <x:v>0.012658227848101266</x:v>
      </x:c>
      <x:c r="H148" s="34" t="n">
        <x:v>2261</x:v>
      </x:c>
      <x:c r="I148" s="35" t="n">
        <x:f>IF(E148=0,"",H148/E148)</x:f>
        <x:v>0.6360056258790436</x:v>
      </x:c>
      <x:c r="J148" s="34" t="n">
        <x:v>1249</x:v>
      </x:c>
      <x:c r="K148" s="35" t="n">
        <x:f>IF(E148=0,"",J148/E148)</x:f>
        <x:v>0.35133614627285514</x:v>
      </x:c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20" t="str">
        <x:v>9月</x:v>
      </x:c>
      <x:c r="B149" s="20" t="str">
        <x:v>新北市</x:v>
      </x:c>
      <x:c r="C149" s="37" t="n">
        <x:v>23</x:v>
      </x:c>
      <x:c r="D149" s="20" t="str">
        <x:v>20–23</x:v>
      </x:c>
      <x:c r="E149" s="23" t="n">
        <x:v>4494</x:v>
      </x:c>
      <x:c r="F149" s="23" t="n">
        <x:v>55</x:v>
      </x:c>
      <x:c r="G149" s="24" t="n">
        <x:f>IF(E149=0,"",F149/E149)</x:f>
        <x:v>0.012238540275923453</x:v>
      </x:c>
      <x:c r="H149" s="23" t="n">
        <x:v>2774</x:v>
      </x:c>
      <x:c r="I149" s="24" t="n">
        <x:f>IF(E149=0,"",H149/E149)</x:f>
        <x:v>0.6172674677347575</x:v>
      </x:c>
      <x:c r="J149" s="23" t="n">
        <x:v>1665</x:v>
      </x:c>
      <x:c r="K149" s="24" t="n">
        <x:f>IF(E149=0,"",J149/E149)</x:f>
        <x:v>0.3704939919893191</x:v>
      </x:c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25" t="str">
        <x:v>10月</x:v>
      </x:c>
      <x:c r="B150" s="25" t="str">
        <x:v>雙北合計</x:v>
      </x:c>
      <x:c r="C150" s="36" t="n">
        <x:v>0</x:v>
      </x:c>
      <x:c r="D150" s="25" t="str">
        <x:v>00–05</x:v>
      </x:c>
      <x:c r="E150" s="34" t="n">
        <x:v>5454</x:v>
      </x:c>
      <x:c r="F150" s="34" t="n">
        <x:v>71</x:v>
      </x:c>
      <x:c r="G150" s="35" t="n">
        <x:f>IF(E150=0,"",F150/E150)</x:f>
        <x:v>0.013017968463513017</x:v>
      </x:c>
      <x:c r="H150" s="34" t="n">
        <x:v>2346</x:v>
      </x:c>
      <x:c r="I150" s="35" t="n">
        <x:f>IF(E150=0,"",H150/E150)</x:f>
        <x:v>0.43014301430143015</x:v>
      </x:c>
      <x:c r="J150" s="34" t="n">
        <x:v>3037</x:v>
      </x:c>
      <x:c r="K150" s="35" t="n">
        <x:f>IF(E150=0,"",J150/E150)</x:f>
        <x:v>0.5568390172350568</x:v>
      </x:c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20" t="str">
        <x:v>10月</x:v>
      </x:c>
      <x:c r="B151" s="20" t="str">
        <x:v>雙北合計</x:v>
      </x:c>
      <x:c r="C151" s="37" t="n">
        <x:v>1</x:v>
      </x:c>
      <x:c r="D151" s="20" t="str">
        <x:v>00–05</x:v>
      </x:c>
      <x:c r="E151" s="23" t="n">
        <x:v>4057</x:v>
      </x:c>
      <x:c r="F151" s="23" t="n">
        <x:v>75</x:v>
      </x:c>
      <x:c r="G151" s="24" t="n">
        <x:f>IF(E151=0,"",F151/E151)</x:f>
        <x:v>0.018486566428395367</x:v>
      </x:c>
      <x:c r="H151" s="23" t="n">
        <x:v>1710</x:v>
      </x:c>
      <x:c r="I151" s="24" t="n">
        <x:f>IF(E151=0,"",H151/E151)</x:f>
        <x:v>0.42149371456741436</x:v>
      </x:c>
      <x:c r="J151" s="23" t="n">
        <x:v>2272</x:v>
      </x:c>
      <x:c r="K151" s="24" t="n">
        <x:f>IF(E151=0,"",J151/E151)</x:f>
        <x:v>0.5600197190041903</x:v>
      </x:c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25" t="str">
        <x:v>10月</x:v>
      </x:c>
      <x:c r="B152" s="25" t="str">
        <x:v>雙北合計</x:v>
      </x:c>
      <x:c r="C152" s="36" t="n">
        <x:v>2</x:v>
      </x:c>
      <x:c r="D152" s="25" t="str">
        <x:v>00–05</x:v>
      </x:c>
      <x:c r="E152" s="34" t="n">
        <x:v>963</x:v>
      </x:c>
      <x:c r="F152" s="34" t="n">
        <x:v>13</x:v>
      </x:c>
      <x:c r="G152" s="35" t="n">
        <x:f>IF(E152=0,"",F152/E152)</x:f>
        <x:v>0.013499480789200415</x:v>
      </x:c>
      <x:c r="H152" s="34" t="n">
        <x:v>289</x:v>
      </x:c>
      <x:c r="I152" s="35" t="n">
        <x:f>IF(E152=0,"",H152/E152)</x:f>
        <x:v>0.3001038421599169</x:v>
      </x:c>
      <x:c r="J152" s="34" t="n">
        <x:v>661</x:v>
      </x:c>
      <x:c r="K152" s="35" t="n">
        <x:f>IF(E152=0,"",J152/E152)</x:f>
        <x:v>0.6863966770508827</x:v>
      </x:c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20" t="str">
        <x:v>10月</x:v>
      </x:c>
      <x:c r="B153" s="20" t="str">
        <x:v>雙北合計</x:v>
      </x:c>
      <x:c r="C153" s="37" t="n">
        <x:v>3</x:v>
      </x:c>
      <x:c r="D153" s="20" t="str">
        <x:v>00–05</x:v>
      </x:c>
      <x:c r="E153" s="23" t="n">
        <x:v>1794</x:v>
      </x:c>
      <x:c r="F153" s="23" t="n">
        <x:v>34</x:v>
      </x:c>
      <x:c r="G153" s="24" t="n">
        <x:f>IF(E153=0,"",F153/E153)</x:f>
        <x:v>0.0189520624303233</x:v>
      </x:c>
      <x:c r="H153" s="23" t="n">
        <x:v>658</x:v>
      </x:c>
      <x:c r="I153" s="24" t="n">
        <x:f>IF(E153=0,"",H153/E153)</x:f>
        <x:v>0.36677814938684505</x:v>
      </x:c>
      <x:c r="J153" s="23" t="n">
        <x:v>1102</x:v>
      </x:c>
      <x:c r="K153" s="24" t="n">
        <x:f>IF(E153=0,"",J153/E153)</x:f>
        <x:v>0.6142697881828316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25" t="str">
        <x:v>10月</x:v>
      </x:c>
      <x:c r="B154" s="25" t="str">
        <x:v>雙北合計</x:v>
      </x:c>
      <x:c r="C154" s="36" t="n">
        <x:v>4</x:v>
      </x:c>
      <x:c r="D154" s="25" t="str">
        <x:v>00–05</x:v>
      </x:c>
      <x:c r="E154" s="34" t="n">
        <x:v>2455</x:v>
      </x:c>
      <x:c r="F154" s="34" t="n">
        <x:v>92</x:v>
      </x:c>
      <x:c r="G154" s="35" t="n">
        <x:f>IF(E154=0,"",F154/E154)</x:f>
        <x:v>0.03747454175152749</x:v>
      </x:c>
      <x:c r="H154" s="34" t="n">
        <x:v>870</x:v>
      </x:c>
      <x:c r="I154" s="35" t="n">
        <x:f>IF(E154=0,"",H154/E154)</x:f>
        <x:v>0.3543788187372709</x:v>
      </x:c>
      <x:c r="J154" s="34" t="n">
        <x:v>1493</x:v>
      </x:c>
      <x:c r="K154" s="35" t="n">
        <x:f>IF(E154=0,"",J154/E154)</x:f>
        <x:v>0.6081466395112016</x:v>
      </x:c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20" t="str">
        <x:v>10月</x:v>
      </x:c>
      <x:c r="B155" s="20" t="str">
        <x:v>雙北合計</x:v>
      </x:c>
      <x:c r="C155" s="37" t="n">
        <x:v>5</x:v>
      </x:c>
      <x:c r="D155" s="20" t="str">
        <x:v>00–05</x:v>
      </x:c>
      <x:c r="E155" s="23" t="n">
        <x:v>2087</x:v>
      </x:c>
      <x:c r="F155" s="23" t="n">
        <x:v>71</x:v>
      </x:c>
      <x:c r="G155" s="24" t="n">
        <x:f>IF(E155=0,"",F155/E155)</x:f>
        <x:v>0.0340201245807379</x:v>
      </x:c>
      <x:c r="H155" s="23" t="n">
        <x:v>766</x:v>
      </x:c>
      <x:c r="I155" s="24" t="n">
        <x:f>IF(E155=0,"",H155/E155)</x:f>
        <x:v>0.36703402012458075</x:v>
      </x:c>
      <x:c r="J155" s="23" t="n">
        <x:v>1250</x:v>
      </x:c>
      <x:c r="K155" s="24" t="n">
        <x:f>IF(E155=0,"",J155/E155)</x:f>
        <x:v>0.5989458552946814</x:v>
      </x:c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25" t="str">
        <x:v>10月</x:v>
      </x:c>
      <x:c r="B156" s="25" t="str">
        <x:v>雙北合計</x:v>
      </x:c>
      <x:c r="C156" s="36" t="n">
        <x:v>6</x:v>
      </x:c>
      <x:c r="D156" s="25" t="str">
        <x:v>06–09</x:v>
      </x:c>
      <x:c r="E156" s="34" t="n">
        <x:v>1821</x:v>
      </x:c>
      <x:c r="F156" s="34" t="n">
        <x:v>16</x:v>
      </x:c>
      <x:c r="G156" s="35" t="n">
        <x:f>IF(E156=0,"",F156/E156)</x:f>
        <x:v>0.008786381109280615</x:v>
      </x:c>
      <x:c r="H156" s="34" t="n">
        <x:v>1051</x:v>
      </x:c>
      <x:c r="I156" s="35" t="n">
        <x:f>IF(E156=0,"",H156/E156)</x:f>
        <x:v>0.5771554091158704</x:v>
      </x:c>
      <x:c r="J156" s="34" t="n">
        <x:v>754</x:v>
      </x:c>
      <x:c r="K156" s="35" t="n">
        <x:f>IF(E156=0,"",J156/E156)</x:f>
        <x:v>0.414058209774849</x:v>
      </x:c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20" t="str">
        <x:v>10月</x:v>
      </x:c>
      <x:c r="B157" s="20" t="str">
        <x:v>雙北合計</x:v>
      </x:c>
      <x:c r="C157" s="37" t="n">
        <x:v>7</x:v>
      </x:c>
      <x:c r="D157" s="20" t="str">
        <x:v>06–09</x:v>
      </x:c>
      <x:c r="E157" s="23" t="n">
        <x:v>8217</x:v>
      </x:c>
      <x:c r="F157" s="23" t="n">
        <x:v>62</x:v>
      </x:c>
      <x:c r="G157" s="24" t="n">
        <x:f>IF(E157=0,"",F157/E157)</x:f>
        <x:v>0.007545332846537666</x:v>
      </x:c>
      <x:c r="H157" s="23" t="n">
        <x:v>3938</x:v>
      </x:c>
      <x:c r="I157" s="24" t="n">
        <x:f>IF(E157=0,"",H157/E157)</x:f>
        <x:v>0.47925033467202144</x:v>
      </x:c>
      <x:c r="J157" s="23" t="n">
        <x:v>4217</x:v>
      </x:c>
      <x:c r="K157" s="24" t="n">
        <x:f>IF(E157=0,"",J157/E157)</x:f>
        <x:v>0.5132043324814409</x:v>
      </x:c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25" t="str">
        <x:v>10月</x:v>
      </x:c>
      <x:c r="B158" s="25" t="str">
        <x:v>雙北合計</x:v>
      </x:c>
      <x:c r="C158" s="36" t="n">
        <x:v>8</x:v>
      </x:c>
      <x:c r="D158" s="25" t="str">
        <x:v>06–09</x:v>
      </x:c>
      <x:c r="E158" s="34" t="n">
        <x:v>9169</x:v>
      </x:c>
      <x:c r="F158" s="34" t="n">
        <x:v>104</x:v>
      </x:c>
      <x:c r="G158" s="35" t="n">
        <x:f>IF(E158=0,"",F158/E158)</x:f>
        <x:v>0.01134256734649362</x:v>
      </x:c>
      <x:c r="H158" s="34" t="n">
        <x:v>4277</x:v>
      </x:c>
      <x:c r="I158" s="35" t="n">
        <x:f>IF(E158=0,"",H158/E158)</x:f>
        <x:v>0.4664630821245501</x:v>
      </x:c>
      <x:c r="J158" s="34" t="n">
        <x:v>4788</x:v>
      </x:c>
      <x:c r="K158" s="35" t="n">
        <x:f>IF(E158=0,"",J158/E158)</x:f>
        <x:v>0.5221943505289562</x:v>
      </x:c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20" t="str">
        <x:v>10月</x:v>
      </x:c>
      <x:c r="B159" s="20" t="str">
        <x:v>雙北合計</x:v>
      </x:c>
      <x:c r="C159" s="37" t="n">
        <x:v>9</x:v>
      </x:c>
      <x:c r="D159" s="20" t="str">
        <x:v>06–09</x:v>
      </x:c>
      <x:c r="E159" s="23" t="n">
        <x:v>8435</x:v>
      </x:c>
      <x:c r="F159" s="23" t="n">
        <x:v>118</x:v>
      </x:c>
      <x:c r="G159" s="24" t="n">
        <x:f>IF(E159=0,"",F159/E159)</x:f>
        <x:v>0.013989330171902787</x:v>
      </x:c>
      <x:c r="H159" s="23" t="n">
        <x:v>3859</x:v>
      </x:c>
      <x:c r="I159" s="24" t="n">
        <x:f>IF(E159=0,"",H159/E159)</x:f>
        <x:v>0.4574985180794309</x:v>
      </x:c>
      <x:c r="J159" s="23" t="n">
        <x:v>4458</x:v>
      </x:c>
      <x:c r="K159" s="24" t="n">
        <x:f>IF(E159=0,"",J159/E159)</x:f>
        <x:v>0.5285121517486663</x:v>
      </x:c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25" t="str">
        <x:v>10月</x:v>
      </x:c>
      <x:c r="B160" s="25" t="str">
        <x:v>雙北合計</x:v>
      </x:c>
      <x:c r="C160" s="36" t="n">
        <x:v>10</x:v>
      </x:c>
      <x:c r="D160" s="25" t="str">
        <x:v>10–15</x:v>
      </x:c>
      <x:c r="E160" s="34" t="n">
        <x:v>6882</x:v>
      </x:c>
      <x:c r="F160" s="34" t="n">
        <x:v>127</x:v>
      </x:c>
      <x:c r="G160" s="35" t="n">
        <x:f>IF(E160=0,"",F160/E160)</x:f>
        <x:v>0.018453937808776518</x:v>
      </x:c>
      <x:c r="H160" s="34" t="n">
        <x:v>3142</x:v>
      </x:c>
      <x:c r="I160" s="35" t="n">
        <x:f>IF(E160=0,"",H160/E160)</x:f>
        <x:v>0.4565533275210695</x:v>
      </x:c>
      <x:c r="J160" s="34" t="n">
        <x:v>3613</x:v>
      </x:c>
      <x:c r="K160" s="35" t="n">
        <x:f>IF(E160=0,"",J160/E160)</x:f>
        <x:v>0.5249927346701541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20" t="str">
        <x:v>10月</x:v>
      </x:c>
      <x:c r="B161" s="20" t="str">
        <x:v>雙北合計</x:v>
      </x:c>
      <x:c r="C161" s="37" t="n">
        <x:v>11</x:v>
      </x:c>
      <x:c r="D161" s="20" t="str">
        <x:v>10–15</x:v>
      </x:c>
      <x:c r="E161" s="23" t="n">
        <x:v>4060</x:v>
      </x:c>
      <x:c r="F161" s="23" t="n">
        <x:v>78</x:v>
      </x:c>
      <x:c r="G161" s="24" t="n">
        <x:f>IF(E161=0,"",F161/E161)</x:f>
        <x:v>0.01921182266009852</x:v>
      </x:c>
      <x:c r="H161" s="23" t="n">
        <x:v>1910</x:v>
      </x:c>
      <x:c r="I161" s="24" t="n">
        <x:f>IF(E161=0,"",H161/E161)</x:f>
        <x:v>0.47044334975369456</x:v>
      </x:c>
      <x:c r="J161" s="23" t="n">
        <x:v>2072</x:v>
      </x:c>
      <x:c r="K161" s="24" t="n">
        <x:f>IF(E161=0,"",J161/E161)</x:f>
        <x:v>0.5103448275862069</x:v>
      </x:c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25" t="str">
        <x:v>10月</x:v>
      </x:c>
      <x:c r="B162" s="25" t="str">
        <x:v>雙北合計</x:v>
      </x:c>
      <x:c r="C162" s="36" t="n">
        <x:v>12</x:v>
      </x:c>
      <x:c r="D162" s="25" t="str">
        <x:v>10–15</x:v>
      </x:c>
      <x:c r="E162" s="34" t="n">
        <x:v>1994</x:v>
      </x:c>
      <x:c r="F162" s="34" t="n">
        <x:v>52</x:v>
      </x:c>
      <x:c r="G162" s="35" t="n">
        <x:f>IF(E162=0,"",F162/E162)</x:f>
        <x:v>0.026078234704112337</x:v>
      </x:c>
      <x:c r="H162" s="34" t="n">
        <x:v>846</x:v>
      </x:c>
      <x:c r="I162" s="35" t="n">
        <x:f>IF(E162=0,"",H162/E162)</x:f>
        <x:v>0.4242728184553661</x:v>
      </x:c>
      <x:c r="J162" s="34" t="n">
        <x:v>1096</x:v>
      </x:c>
      <x:c r="K162" s="35" t="n">
        <x:f>IF(E162=0,"",J162/E162)</x:f>
        <x:v>0.5496489468405216</x:v>
      </x:c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20" t="str">
        <x:v>10月</x:v>
      </x:c>
      <x:c r="B163" s="20" t="str">
        <x:v>雙北合計</x:v>
      </x:c>
      <x:c r="C163" s="37" t="n">
        <x:v>13</x:v>
      </x:c>
      <x:c r="D163" s="20" t="str">
        <x:v>10–15</x:v>
      </x:c>
      <x:c r="E163" s="23" t="n">
        <x:v>3206</x:v>
      </x:c>
      <x:c r="F163" s="23" t="n">
        <x:v>76</x:v>
      </x:c>
      <x:c r="G163" s="24" t="n">
        <x:f>IF(E163=0,"",F163/E163)</x:f>
        <x:v>0.023705552089831567</x:v>
      </x:c>
      <x:c r="H163" s="23" t="n">
        <x:v>1175</x:v>
      </x:c>
      <x:c r="I163" s="24" t="n">
        <x:f>IF(E163=0,"",H163/E163)</x:f>
        <x:v>0.3665003119151591</x:v>
      </x:c>
      <x:c r="J163" s="23" t="n">
        <x:v>1955</x:v>
      </x:c>
      <x:c r="K163" s="24" t="n">
        <x:f>IF(E163=0,"",J163/E163)</x:f>
        <x:v>0.6097941359950093</x:v>
      </x:c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25" t="str">
        <x:v>10月</x:v>
      </x:c>
      <x:c r="B164" s="25" t="str">
        <x:v>雙北合計</x:v>
      </x:c>
      <x:c r="C164" s="36" t="n">
        <x:v>14</x:v>
      </x:c>
      <x:c r="D164" s="25" t="str">
        <x:v>10–15</x:v>
      </x:c>
      <x:c r="E164" s="34" t="n">
        <x:v>3325</x:v>
      </x:c>
      <x:c r="F164" s="34" t="n">
        <x:v>77</x:v>
      </x:c>
      <x:c r="G164" s="35" t="n">
        <x:f>IF(E164=0,"",F164/E164)</x:f>
        <x:v>0.023157894736842106</x:v>
      </x:c>
      <x:c r="H164" s="34" t="n">
        <x:v>1222</x:v>
      </x:c>
      <x:c r="I164" s="35" t="n">
        <x:f>IF(E164=0,"",H164/E164)</x:f>
        <x:v>0.3675187969924812</x:v>
      </x:c>
      <x:c r="J164" s="34" t="n">
        <x:v>2026</x:v>
      </x:c>
      <x:c r="K164" s="35" t="n">
        <x:f>IF(E164=0,"",J164/E164)</x:f>
        <x:v>0.6093233082706767</x:v>
      </x:c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20" t="str">
        <x:v>10月</x:v>
      </x:c>
      <x:c r="B165" s="20" t="str">
        <x:v>雙北合計</x:v>
      </x:c>
      <x:c r="C165" s="37" t="n">
        <x:v>15</x:v>
      </x:c>
      <x:c r="D165" s="20" t="str">
        <x:v>10–15</x:v>
      </x:c>
      <x:c r="E165" s="23" t="n">
        <x:v>2669</x:v>
      </x:c>
      <x:c r="F165" s="23" t="n">
        <x:v>36</x:v>
      </x:c>
      <x:c r="G165" s="24" t="n">
        <x:f>IF(E165=0,"",F165/E165)</x:f>
        <x:v>0.013488197826901461</x:v>
      </x:c>
      <x:c r="H165" s="23" t="n">
        <x:v>977</x:v>
      </x:c>
      <x:c r="I165" s="24" t="n">
        <x:f>IF(E165=0,"",H165/E165)</x:f>
        <x:v>0.36605470213563135</x:v>
      </x:c>
      <x:c r="J165" s="23" t="n">
        <x:v>1656</x:v>
      </x:c>
      <x:c r="K165" s="24" t="n">
        <x:f>IF(E165=0,"",J165/E165)</x:f>
        <x:v>0.6204571000374672</x:v>
      </x:c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25" t="str">
        <x:v>10月</x:v>
      </x:c>
      <x:c r="B166" s="25" t="str">
        <x:v>雙北合計</x:v>
      </x:c>
      <x:c r="C166" s="36" t="n">
        <x:v>16</x:v>
      </x:c>
      <x:c r="D166" s="25" t="str">
        <x:v>16–19</x:v>
      </x:c>
      <x:c r="E166" s="34" t="n">
        <x:v>3114</x:v>
      </x:c>
      <x:c r="F166" s="34" t="n">
        <x:v>6</x:v>
      </x:c>
      <x:c r="G166" s="35" t="n">
        <x:f>IF(E166=0,"",F166/E166)</x:f>
        <x:v>0.0019267822736030828</x:v>
      </x:c>
      <x:c r="H166" s="34" t="n">
        <x:v>1599</x:v>
      </x:c>
      <x:c r="I166" s="35" t="n">
        <x:f>IF(E166=0,"",H166/E166)</x:f>
        <x:v>0.5134874759152216</x:v>
      </x:c>
      <x:c r="J166" s="34" t="n">
        <x:v>1509</x:v>
      </x:c>
      <x:c r="K166" s="35" t="n">
        <x:f>IF(E166=0,"",J166/E166)</x:f>
        <x:v>0.48458574181117536</x:v>
      </x:c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20" t="str">
        <x:v>10月</x:v>
      </x:c>
      <x:c r="B167" s="20" t="str">
        <x:v>雙北合計</x:v>
      </x:c>
      <x:c r="C167" s="37" t="n">
        <x:v>17</x:v>
      </x:c>
      <x:c r="D167" s="20" t="str">
        <x:v>16–19</x:v>
      </x:c>
      <x:c r="E167" s="23" t="n">
        <x:v>5191</x:v>
      </x:c>
      <x:c r="F167" s="23" t="n">
        <x:v>27</x:v>
      </x:c>
      <x:c r="G167" s="24" t="n">
        <x:f>IF(E167=0,"",F167/E167)</x:f>
        <x:v>0.005201309959545367</x:v>
      </x:c>
      <x:c r="H167" s="23" t="n">
        <x:v>2430</x:v>
      </x:c>
      <x:c r="I167" s="24" t="n">
        <x:f>IF(E167=0,"",H167/E167)</x:f>
        <x:v>0.468117896359083</x:v>
      </x:c>
      <x:c r="J167" s="23" t="n">
        <x:v>2734</x:v>
      </x:c>
      <x:c r="K167" s="24" t="n">
        <x:f>IF(E167=0,"",J167/E167)</x:f>
        <x:v>0.5266807936813716</x:v>
      </x:c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25" t="str">
        <x:v>10月</x:v>
      </x:c>
      <x:c r="B168" s="25" t="str">
        <x:v>雙北合計</x:v>
      </x:c>
      <x:c r="C168" s="36" t="n">
        <x:v>18</x:v>
      </x:c>
      <x:c r="D168" s="25" t="str">
        <x:v>16–19</x:v>
      </x:c>
      <x:c r="E168" s="34" t="n">
        <x:v>8151</x:v>
      </x:c>
      <x:c r="F168" s="34" t="n">
        <x:v>33</x:v>
      </x:c>
      <x:c r="G168" s="35" t="n">
        <x:f>IF(E168=0,"",F168/E168)</x:f>
        <x:v>0.004048582995951417</x:v>
      </x:c>
      <x:c r="H168" s="34" t="n">
        <x:v>3318</x:v>
      </x:c>
      <x:c r="I168" s="35" t="n">
        <x:f>IF(E168=0,"",H168/E168)</x:f>
        <x:v>0.4070666175929334</x:v>
      </x:c>
      <x:c r="J168" s="34" t="n">
        <x:v>4800</x:v>
      </x:c>
      <x:c r="K168" s="35" t="n">
        <x:f>IF(E168=0,"",J168/E168)</x:f>
        <x:v>0.5888847994111152</x:v>
      </x:c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20" t="str">
        <x:v>10月</x:v>
      </x:c>
      <x:c r="B169" s="20" t="str">
        <x:v>雙北合計</x:v>
      </x:c>
      <x:c r="C169" s="37" t="n">
        <x:v>19</x:v>
      </x:c>
      <x:c r="D169" s="20" t="str">
        <x:v>16–19</x:v>
      </x:c>
      <x:c r="E169" s="23" t="n">
        <x:v>7581</x:v>
      </x:c>
      <x:c r="F169" s="23" t="n">
        <x:v>33</x:v>
      </x:c>
      <x:c r="G169" s="24" t="n">
        <x:f>IF(E169=0,"",F169/E169)</x:f>
        <x:v>0.004352987732489117</x:v>
      </x:c>
      <x:c r="H169" s="23" t="n">
        <x:v>2848</x:v>
      </x:c>
      <x:c r="I169" s="24" t="n">
        <x:f>IF(E169=0,"",H169/E169)</x:f>
        <x:v>0.3756760321857275</x:v>
      </x:c>
      <x:c r="J169" s="23" t="n">
        <x:v>4700</x:v>
      </x:c>
      <x:c r="K169" s="24" t="n">
        <x:f>IF(E169=0,"",J169/E169)</x:f>
        <x:v>0.6199709800817834</x:v>
      </x:c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25" t="str">
        <x:v>10月</x:v>
      </x:c>
      <x:c r="B170" s="25" t="str">
        <x:v>雙北合計</x:v>
      </x:c>
      <x:c r="C170" s="36" t="n">
        <x:v>20</x:v>
      </x:c>
      <x:c r="D170" s="25" t="str">
        <x:v>20–23</x:v>
      </x:c>
      <x:c r="E170" s="34" t="n">
        <x:v>5940</x:v>
      </x:c>
      <x:c r="F170" s="34" t="n">
        <x:v>35</x:v>
      </x:c>
      <x:c r="G170" s="35" t="n">
        <x:f>IF(E170=0,"",F170/E170)</x:f>
        <x:v>0.005892255892255892</x:v>
      </x:c>
      <x:c r="H170" s="34" t="n">
        <x:v>2186</x:v>
      </x:c>
      <x:c r="I170" s="35" t="n">
        <x:f>IF(E170=0,"",H170/E170)</x:f>
        <x:v>0.368013468013468</x:v>
      </x:c>
      <x:c r="J170" s="34" t="n">
        <x:v>3719</x:v>
      </x:c>
      <x:c r="K170" s="35" t="n">
        <x:f>IF(E170=0,"",J170/E170)</x:f>
        <x:v>0.6260942760942761</x:v>
      </x:c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20" t="str">
        <x:v>10月</x:v>
      </x:c>
      <x:c r="B171" s="20" t="str">
        <x:v>雙北合計</x:v>
      </x:c>
      <x:c r="C171" s="37" t="n">
        <x:v>21</x:v>
      </x:c>
      <x:c r="D171" s="20" t="str">
        <x:v>20–23</x:v>
      </x:c>
      <x:c r="E171" s="23" t="n">
        <x:v>4640</x:v>
      </x:c>
      <x:c r="F171" s="23" t="n">
        <x:v>15</x:v>
      </x:c>
      <x:c r="G171" s="24" t="n">
        <x:f>IF(E171=0,"",F171/E171)</x:f>
        <x:v>0.003232758620689655</x:v>
      </x:c>
      <x:c r="H171" s="23" t="n">
        <x:v>1597</x:v>
      </x:c>
      <x:c r="I171" s="24" t="n">
        <x:f>IF(E171=0,"",H171/E171)</x:f>
        <x:v>0.3441810344827586</x:v>
      </x:c>
      <x:c r="J171" s="23" t="n">
        <x:v>3028</x:v>
      </x:c>
      <x:c r="K171" s="24" t="n">
        <x:f>IF(E171=0,"",J171/E171)</x:f>
        <x:v>0.6525862068965518</x:v>
      </x:c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25" t="str">
        <x:v>10月</x:v>
      </x:c>
      <x:c r="B172" s="25" t="str">
        <x:v>雙北合計</x:v>
      </x:c>
      <x:c r="C172" s="36" t="n">
        <x:v>22</x:v>
      </x:c>
      <x:c r="D172" s="25" t="str">
        <x:v>20–23</x:v>
      </x:c>
      <x:c r="E172" s="34" t="n">
        <x:v>4543</x:v>
      </x:c>
      <x:c r="F172" s="34" t="n">
        <x:v>27</x:v>
      </x:c>
      <x:c r="G172" s="35" t="n">
        <x:f>IF(E172=0,"",F172/E172)</x:f>
        <x:v>0.005943209333039842</x:v>
      </x:c>
      <x:c r="H172" s="34" t="n">
        <x:v>2136</x:v>
      </x:c>
      <x:c r="I172" s="35" t="n">
        <x:f>IF(E172=0,"",H172/E172)</x:f>
        <x:v>0.4701738939027075</x:v>
      </x:c>
      <x:c r="J172" s="34" t="n">
        <x:v>2380</x:v>
      </x:c>
      <x:c r="K172" s="35" t="n">
        <x:f>IF(E172=0,"",J172/E172)</x:f>
        <x:v>0.5238828967642527</x:v>
      </x:c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20" t="str">
        <x:v>10月</x:v>
      </x:c>
      <x:c r="B173" s="20" t="str">
        <x:v>雙北合計</x:v>
      </x:c>
      <x:c r="C173" s="37" t="n">
        <x:v>23</x:v>
      </x:c>
      <x:c r="D173" s="20" t="str">
        <x:v>20–23</x:v>
      </x:c>
      <x:c r="E173" s="23" t="n">
        <x:v>6362</x:v>
      </x:c>
      <x:c r="F173" s="23" t="n">
        <x:v>66</x:v>
      </x:c>
      <x:c r="G173" s="24" t="n">
        <x:f>IF(E173=0,"",F173/E173)</x:f>
        <x:v>0.010374096196164728</x:v>
      </x:c>
      <x:c r="H173" s="23" t="n">
        <x:v>2674</x:v>
      </x:c>
      <x:c r="I173" s="24" t="n">
        <x:f>IF(E173=0,"",H173/E173)</x:f>
        <x:v>0.42030807922037094</x:v>
      </x:c>
      <x:c r="J173" s="23" t="n">
        <x:v>3622</x:v>
      </x:c>
      <x:c r="K173" s="24" t="n">
        <x:f>IF(E173=0,"",J173/E173)</x:f>
        <x:v>0.5693178245834644</x:v>
      </x:c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25" t="str">
        <x:v>10月</x:v>
      </x:c>
      <x:c r="B174" s="25" t="str">
        <x:v>台北市</x:v>
      </x:c>
      <x:c r="C174" s="36" t="n">
        <x:v>0</x:v>
      </x:c>
      <x:c r="D174" s="25" t="str">
        <x:v>00–05</x:v>
      </x:c>
      <x:c r="E174" s="34" t="n">
        <x:v>2784</x:v>
      </x:c>
      <x:c r="F174" s="34" t="n">
        <x:v>48</x:v>
      </x:c>
      <x:c r="G174" s="35" t="n">
        <x:f>IF(E174=0,"",F174/E174)</x:f>
        <x:v>0.017241379310344827</x:v>
      </x:c>
      <x:c r="H174" s="34" t="n">
        <x:v>566</x:v>
      </x:c>
      <x:c r="I174" s="35" t="n">
        <x:f>IF(E174=0,"",H174/E174)</x:f>
        <x:v>0.20330459770114942</x:v>
      </x:c>
      <x:c r="J174" s="34" t="n">
        <x:v>2170</x:v>
      </x:c>
      <x:c r="K174" s="35" t="n">
        <x:f>IF(E174=0,"",J174/E174)</x:f>
        <x:v>0.7794540229885057</x:v>
      </x:c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20" t="str">
        <x:v>10月</x:v>
      </x:c>
      <x:c r="B175" s="20" t="str">
        <x:v>台北市</x:v>
      </x:c>
      <x:c r="C175" s="37" t="n">
        <x:v>1</x:v>
      </x:c>
      <x:c r="D175" s="20" t="str">
        <x:v>00–05</x:v>
      </x:c>
      <x:c r="E175" s="23" t="n">
        <x:v>2136</x:v>
      </x:c>
      <x:c r="F175" s="23" t="n">
        <x:v>68</x:v>
      </x:c>
      <x:c r="G175" s="24" t="n">
        <x:f>IF(E175=0,"",F175/E175)</x:f>
        <x:v>0.031835205992509365</x:v>
      </x:c>
      <x:c r="H175" s="23" t="n">
        <x:v>448</x:v>
      </x:c>
      <x:c r="I175" s="24" t="n">
        <x:f>IF(E175=0,"",H175/E175)</x:f>
        <x:v>0.20973782771535582</x:v>
      </x:c>
      <x:c r="J175" s="23" t="n">
        <x:v>1620</x:v>
      </x:c>
      <x:c r="K175" s="24" t="n">
        <x:f>IF(E175=0,"",J175/E175)</x:f>
        <x:v>0.7584269662921348</x:v>
      </x:c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25" t="str">
        <x:v>10月</x:v>
      </x:c>
      <x:c r="B176" s="25" t="str">
        <x:v>台北市</x:v>
      </x:c>
      <x:c r="C176" s="36" t="n">
        <x:v>2</x:v>
      </x:c>
      <x:c r="D176" s="25" t="str">
        <x:v>00–05</x:v>
      </x:c>
      <x:c r="E176" s="34" t="n">
        <x:v>636</x:v>
      </x:c>
      <x:c r="F176" s="34" t="n">
        <x:v>13</x:v>
      </x:c>
      <x:c r="G176" s="35" t="n">
        <x:f>IF(E176=0,"",F176/E176)</x:f>
        <x:v>0.020440251572327043</x:v>
      </x:c>
      <x:c r="H176" s="34" t="n">
        <x:v>106</x:v>
      </x:c>
      <x:c r="I176" s="35" t="n">
        <x:f>IF(E176=0,"",H176/E176)</x:f>
        <x:v>0.16666666666666666</x:v>
      </x:c>
      <x:c r="J176" s="34" t="n">
        <x:v>517</x:v>
      </x:c>
      <x:c r="K176" s="35" t="n">
        <x:f>IF(E176=0,"",J176/E176)</x:f>
        <x:v>0.8128930817610063</x:v>
      </x:c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20" t="str">
        <x:v>10月</x:v>
      </x:c>
      <x:c r="B177" s="20" t="str">
        <x:v>台北市</x:v>
      </x:c>
      <x:c r="C177" s="37" t="n">
        <x:v>3</x:v>
      </x:c>
      <x:c r="D177" s="20" t="str">
        <x:v>00–05</x:v>
      </x:c>
      <x:c r="E177" s="23" t="n">
        <x:v>1312</x:v>
      </x:c>
      <x:c r="F177" s="23" t="n">
        <x:v>29</x:v>
      </x:c>
      <x:c r="G177" s="24" t="n">
        <x:f>IF(E177=0,"",F177/E177)</x:f>
        <x:v>0.022103658536585365</x:v>
      </x:c>
      <x:c r="H177" s="23" t="n">
        <x:v>449</x:v>
      </x:c>
      <x:c r="I177" s="24" t="n">
        <x:f>IF(E177=0,"",H177/E177)</x:f>
        <x:v>0.34222560975609756</x:v>
      </x:c>
      <x:c r="J177" s="23" t="n">
        <x:v>834</x:v>
      </x:c>
      <x:c r="K177" s="24" t="n">
        <x:f>IF(E177=0,"",J177/E177)</x:f>
        <x:v>0.635670731707317</x:v>
      </x:c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25" t="str">
        <x:v>10月</x:v>
      </x:c>
      <x:c r="B178" s="25" t="str">
        <x:v>台北市</x:v>
      </x:c>
      <x:c r="C178" s="36" t="n">
        <x:v>4</x:v>
      </x:c>
      <x:c r="D178" s="25" t="str">
        <x:v>00–05</x:v>
      </x:c>
      <x:c r="E178" s="34" t="n">
        <x:v>1774</x:v>
      </x:c>
      <x:c r="F178" s="34" t="n">
        <x:v>84</x:v>
      </x:c>
      <x:c r="G178" s="35" t="n">
        <x:f>IF(E178=0,"",F178/E178)</x:f>
        <x:v>0.04735062006764374</x:v>
      </x:c>
      <x:c r="H178" s="34" t="n">
        <x:v>529</x:v>
      </x:c>
      <x:c r="I178" s="35" t="n">
        <x:f>IF(E178=0,"",H178/E178)</x:f>
        <x:v>0.29819616685456596</x:v>
      </x:c>
      <x:c r="J178" s="34" t="n">
        <x:v>1161</x:v>
      </x:c>
      <x:c r="K178" s="35" t="n">
        <x:f>IF(E178=0,"",J178/E178)</x:f>
        <x:v>0.6544532130777903</x:v>
      </x:c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20" t="str">
        <x:v>10月</x:v>
      </x:c>
      <x:c r="B179" s="20" t="str">
        <x:v>台北市</x:v>
      </x:c>
      <x:c r="C179" s="37" t="n">
        <x:v>5</x:v>
      </x:c>
      <x:c r="D179" s="20" t="str">
        <x:v>00–05</x:v>
      </x:c>
      <x:c r="E179" s="23" t="n">
        <x:v>1355</x:v>
      </x:c>
      <x:c r="F179" s="23" t="n">
        <x:v>64</x:v>
      </x:c>
      <x:c r="G179" s="24" t="n">
        <x:f>IF(E179=0,"",F179/E179)</x:f>
        <x:v>0.047232472324723246</x:v>
      </x:c>
      <x:c r="H179" s="23" t="n">
        <x:v>300</x:v>
      </x:c>
      <x:c r="I179" s="24" t="n">
        <x:f>IF(E179=0,"",H179/E179)</x:f>
        <x:v>0.22140221402214022</x:v>
      </x:c>
      <x:c r="J179" s="23" t="n">
        <x:v>991</x:v>
      </x:c>
      <x:c r="K179" s="24" t="n">
        <x:f>IF(E179=0,"",J179/E179)</x:f>
        <x:v>0.7313653136531365</x:v>
      </x:c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25" t="str">
        <x:v>10月</x:v>
      </x:c>
      <x:c r="B180" s="25" t="str">
        <x:v>台北市</x:v>
      </x:c>
      <x:c r="C180" s="36" t="n">
        <x:v>6</x:v>
      </x:c>
      <x:c r="D180" s="25" t="str">
        <x:v>06–09</x:v>
      </x:c>
      <x:c r="E180" s="34" t="n">
        <x:v>565</x:v>
      </x:c>
      <x:c r="F180" s="34" t="n">
        <x:v>11</x:v>
      </x:c>
      <x:c r="G180" s="35" t="n">
        <x:f>IF(E180=0,"",F180/E180)</x:f>
        <x:v>0.019469026548672566</x:v>
      </x:c>
      <x:c r="H180" s="34" t="n">
        <x:v>130</x:v>
      </x:c>
      <x:c r="I180" s="35" t="n">
        <x:f>IF(E180=0,"",H180/E180)</x:f>
        <x:v>0.23008849557522124</x:v>
      </x:c>
      <x:c r="J180" s="34" t="n">
        <x:v>424</x:v>
      </x:c>
      <x:c r="K180" s="35" t="n">
        <x:f>IF(E180=0,"",J180/E180)</x:f>
        <x:v>0.7504424778761062</x:v>
      </x:c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20" t="str">
        <x:v>10月</x:v>
      </x:c>
      <x:c r="B181" s="20" t="str">
        <x:v>台北市</x:v>
      </x:c>
      <x:c r="C181" s="37" t="n">
        <x:v>7</x:v>
      </x:c>
      <x:c r="D181" s="20" t="str">
        <x:v>06–09</x:v>
      </x:c>
      <x:c r="E181" s="23" t="n">
        <x:v>3305</x:v>
      </x:c>
      <x:c r="F181" s="23" t="n">
        <x:v>6</x:v>
      </x:c>
      <x:c r="G181" s="24" t="n">
        <x:f>IF(E181=0,"",F181/E181)</x:f>
        <x:v>0.001815431164901664</x:v>
      </x:c>
      <x:c r="H181" s="23" t="n">
        <x:v>532</x:v>
      </x:c>
      <x:c r="I181" s="24" t="n">
        <x:f>IF(E181=0,"",H181/E181)</x:f>
        <x:v>0.1609682299546142</x:v>
      </x:c>
      <x:c r="J181" s="23" t="n">
        <x:v>2767</x:v>
      </x:c>
      <x:c r="K181" s="24" t="n">
        <x:f>IF(E181=0,"",J181/E181)</x:f>
        <x:v>0.8372163388804841</x:v>
      </x:c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25" t="str">
        <x:v>10月</x:v>
      </x:c>
      <x:c r="B182" s="25" t="str">
        <x:v>台北市</x:v>
      </x:c>
      <x:c r="C182" s="36" t="n">
        <x:v>8</x:v>
      </x:c>
      <x:c r="D182" s="25" t="str">
        <x:v>06–09</x:v>
      </x:c>
      <x:c r="E182" s="34" t="n">
        <x:v>4215</x:v>
      </x:c>
      <x:c r="F182" s="34" t="n">
        <x:v>15</x:v>
      </x:c>
      <x:c r="G182" s="35" t="n">
        <x:f>IF(E182=0,"",F182/E182)</x:f>
        <x:v>0.0035587188612099642</x:v>
      </x:c>
      <x:c r="H182" s="34" t="n">
        <x:v>963</x:v>
      </x:c>
      <x:c r="I182" s="35" t="n">
        <x:f>IF(E182=0,"",H182/E182)</x:f>
        <x:v>0.22846975088967972</x:v>
      </x:c>
      <x:c r="J182" s="34" t="n">
        <x:v>3237</x:v>
      </x:c>
      <x:c r="K182" s="35" t="n">
        <x:f>IF(E182=0,"",J182/E182)</x:f>
        <x:v>0.7679715302491104</x:v>
      </x:c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20" t="str">
        <x:v>10月</x:v>
      </x:c>
      <x:c r="B183" s="20" t="str">
        <x:v>台北市</x:v>
      </x:c>
      <x:c r="C183" s="37" t="n">
        <x:v>9</x:v>
      </x:c>
      <x:c r="D183" s="20" t="str">
        <x:v>06–09</x:v>
      </x:c>
      <x:c r="E183" s="23" t="n">
        <x:v>4093</x:v>
      </x:c>
      <x:c r="F183" s="23" t="n">
        <x:v>21</x:v>
      </x:c>
      <x:c r="G183" s="24" t="n">
        <x:f>IF(E183=0,"",F183/E183)</x:f>
        <x:v>0.005130710969948693</x:v>
      </x:c>
      <x:c r="H183" s="23" t="n">
        <x:v>1078</x:v>
      </x:c>
      <x:c r="I183" s="24" t="n">
        <x:f>IF(E183=0,"",H183/E183)</x:f>
        <x:v>0.2633764964573662</x:v>
      </x:c>
      <x:c r="J183" s="23" t="n">
        <x:v>2994</x:v>
      </x:c>
      <x:c r="K183" s="24" t="n">
        <x:f>IF(E183=0,"",J183/E183)</x:f>
        <x:v>0.7314927925726851</x:v>
      </x:c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25" t="str">
        <x:v>10月</x:v>
      </x:c>
      <x:c r="B184" s="25" t="str">
        <x:v>台北市</x:v>
      </x:c>
      <x:c r="C184" s="36" t="n">
        <x:v>10</x:v>
      </x:c>
      <x:c r="D184" s="25" t="str">
        <x:v>10–15</x:v>
      </x:c>
      <x:c r="E184" s="34" t="n">
        <x:v>3210</x:v>
      </x:c>
      <x:c r="F184" s="34" t="n">
        <x:v>22</x:v>
      </x:c>
      <x:c r="G184" s="35" t="n">
        <x:f>IF(E184=0,"",F184/E184)</x:f>
        <x:v>0.006853582554517134</x:v>
      </x:c>
      <x:c r="H184" s="34" t="n">
        <x:v>789</x:v>
      </x:c>
      <x:c r="I184" s="35" t="n">
        <x:f>IF(E184=0,"",H184/E184)</x:f>
        <x:v>0.2457943925233645</x:v>
      </x:c>
      <x:c r="J184" s="34" t="n">
        <x:v>2399</x:v>
      </x:c>
      <x:c r="K184" s="35" t="n">
        <x:f>IF(E184=0,"",J184/E184)</x:f>
        <x:v>0.7473520249221184</x:v>
      </x:c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20" t="str">
        <x:v>10月</x:v>
      </x:c>
      <x:c r="B185" s="20" t="str">
        <x:v>台北市</x:v>
      </x:c>
      <x:c r="C185" s="37" t="n">
        <x:v>11</x:v>
      </x:c>
      <x:c r="D185" s="20" t="str">
        <x:v>10–15</x:v>
      </x:c>
      <x:c r="E185" s="23" t="n">
        <x:v>1680</x:v>
      </x:c>
      <x:c r="F185" s="23" t="n">
        <x:v>20</x:v>
      </x:c>
      <x:c r="G185" s="24" t="n">
        <x:f>IF(E185=0,"",F185/E185)</x:f>
        <x:v>0.011904761904761904</x:v>
      </x:c>
      <x:c r="H185" s="23" t="n">
        <x:v>400</x:v>
      </x:c>
      <x:c r="I185" s="24" t="n">
        <x:f>IF(E185=0,"",H185/E185)</x:f>
        <x:v>0.23809523809523808</x:v>
      </x:c>
      <x:c r="J185" s="23" t="n">
        <x:v>1260</x:v>
      </x:c>
      <x:c r="K185" s="24" t="n">
        <x:f>IF(E185=0,"",J185/E185)</x:f>
        <x:v>0.75</x:v>
      </x:c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25" t="str">
        <x:v>10月</x:v>
      </x:c>
      <x:c r="B186" s="25" t="str">
        <x:v>台北市</x:v>
      </x:c>
      <x:c r="C186" s="36" t="n">
        <x:v>12</x:v>
      </x:c>
      <x:c r="D186" s="25" t="str">
        <x:v>10–15</x:v>
      </x:c>
      <x:c r="E186" s="34" t="n">
        <x:v>1033</x:v>
      </x:c>
      <x:c r="F186" s="34" t="n">
        <x:v>11</x:v>
      </x:c>
      <x:c r="G186" s="35" t="n">
        <x:f>IF(E186=0,"",F186/E186)</x:f>
        <x:v>0.010648596321393998</x:v>
      </x:c>
      <x:c r="H186" s="34" t="n">
        <x:v>257</x:v>
      </x:c>
      <x:c r="I186" s="35" t="n">
        <x:f>IF(E186=0,"",H186/E186)</x:f>
        <x:v>0.24878993223620524</x:v>
      </x:c>
      <x:c r="J186" s="34" t="n">
        <x:v>765</x:v>
      </x:c>
      <x:c r="K186" s="35" t="n">
        <x:f>IF(E186=0,"",J186/E186)</x:f>
        <x:v>0.7405614714424008</x:v>
      </x:c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20" t="str">
        <x:v>10月</x:v>
      </x:c>
      <x:c r="B187" s="20" t="str">
        <x:v>台北市</x:v>
      </x:c>
      <x:c r="C187" s="37" t="n">
        <x:v>13</x:v>
      </x:c>
      <x:c r="D187" s="20" t="str">
        <x:v>10–15</x:v>
      </x:c>
      <x:c r="E187" s="23" t="n">
        <x:v>1814</x:v>
      </x:c>
      <x:c r="F187" s="23" t="n">
        <x:v>26</x:v>
      </x:c>
      <x:c r="G187" s="24" t="n">
        <x:f>IF(E187=0,"",F187/E187)</x:f>
        <x:v>0.014332965821389196</x:v>
      </x:c>
      <x:c r="H187" s="23" t="n">
        <x:v>423</x:v>
      </x:c>
      <x:c r="I187" s="24" t="n">
        <x:f>IF(E187=0,"",H187/E187)</x:f>
        <x:v>0.23318632855567806</x:v>
      </x:c>
      <x:c r="J187" s="23" t="n">
        <x:v>1365</x:v>
      </x:c>
      <x:c r="K187" s="24" t="n">
        <x:f>IF(E187=0,"",J187/E187)</x:f>
        <x:v>0.7524807056229328</x:v>
      </x:c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25" t="str">
        <x:v>10月</x:v>
      </x:c>
      <x:c r="B188" s="25" t="str">
        <x:v>台北市</x:v>
      </x:c>
      <x:c r="C188" s="36" t="n">
        <x:v>14</x:v>
      </x:c>
      <x:c r="D188" s="25" t="str">
        <x:v>10–15</x:v>
      </x:c>
      <x:c r="E188" s="34" t="n">
        <x:v>1766</x:v>
      </x:c>
      <x:c r="F188" s="34" t="n">
        <x:v>21</x:v>
      </x:c>
      <x:c r="G188" s="35" t="n">
        <x:f>IF(E188=0,"",F188/E188)</x:f>
        <x:v>0.01189127972819932</x:v>
      </x:c>
      <x:c r="H188" s="34" t="n">
        <x:v>425</x:v>
      </x:c>
      <x:c r="I188" s="35" t="n">
        <x:f>IF(E188=0,"",H188/E188)</x:f>
        <x:v>0.2406568516421291</x:v>
      </x:c>
      <x:c r="J188" s="34" t="n">
        <x:v>1320</x:v>
      </x:c>
      <x:c r="K188" s="35" t="n">
        <x:f>IF(E188=0,"",J188/E188)</x:f>
        <x:v>0.7474518686296716</x:v>
      </x:c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20" t="str">
        <x:v>10月</x:v>
      </x:c>
      <x:c r="B189" s="20" t="str">
        <x:v>台北市</x:v>
      </x:c>
      <x:c r="C189" s="37" t="n">
        <x:v>15</x:v>
      </x:c>
      <x:c r="D189" s="20" t="str">
        <x:v>10–15</x:v>
      </x:c>
      <x:c r="E189" s="23" t="n">
        <x:v>1412</x:v>
      </x:c>
      <x:c r="F189" s="23" t="n">
        <x:v>19</x:v>
      </x:c>
      <x:c r="G189" s="24" t="n">
        <x:f>IF(E189=0,"",F189/E189)</x:f>
        <x:v>0.013456090651558074</x:v>
      </x:c>
      <x:c r="H189" s="23" t="n">
        <x:v>338</x:v>
      </x:c>
      <x:c r="I189" s="24" t="n">
        <x:f>IF(E189=0,"",H189/E189)</x:f>
        <x:v>0.23937677053824363</x:v>
      </x:c>
      <x:c r="J189" s="23" t="n">
        <x:v>1055</x:v>
      </x:c>
      <x:c r="K189" s="24" t="n">
        <x:f>IF(E189=0,"",J189/E189)</x:f>
        <x:v>0.7471671388101983</x:v>
      </x:c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25" t="str">
        <x:v>10月</x:v>
      </x:c>
      <x:c r="B190" s="25" t="str">
        <x:v>台北市</x:v>
      </x:c>
      <x:c r="C190" s="36" t="n">
        <x:v>16</x:v>
      </x:c>
      <x:c r="D190" s="25" t="str">
        <x:v>16–19</x:v>
      </x:c>
      <x:c r="E190" s="34" t="n">
        <x:v>1402</x:v>
      </x:c>
      <x:c r="F190" s="34" t="n">
        <x:v>1</x:v>
      </x:c>
      <x:c r="G190" s="35" t="n">
        <x:f>IF(E190=0,"",F190/E190)</x:f>
        <x:v>0.0007132667617689016</x:v>
      </x:c>
      <x:c r="H190" s="34" t="n">
        <x:v>449</x:v>
      </x:c>
      <x:c r="I190" s="35" t="n">
        <x:f>IF(E190=0,"",H190/E190)</x:f>
        <x:v>0.3202567760342368</x:v>
      </x:c>
      <x:c r="J190" s="34" t="n">
        <x:v>952</x:v>
      </x:c>
      <x:c r="K190" s="35" t="n">
        <x:f>IF(E190=0,"",J190/E190)</x:f>
        <x:v>0.6790299572039943</x:v>
      </x:c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20" t="str">
        <x:v>10月</x:v>
      </x:c>
      <x:c r="B191" s="20" t="str">
        <x:v>台北市</x:v>
      </x:c>
      <x:c r="C191" s="37" t="n">
        <x:v>17</x:v>
      </x:c>
      <x:c r="D191" s="20" t="str">
        <x:v>16–19</x:v>
      </x:c>
      <x:c r="E191" s="23" t="n">
        <x:v>2121</x:v>
      </x:c>
      <x:c r="F191" s="23" t="n">
        <x:v>9</x:v>
      </x:c>
      <x:c r="G191" s="24" t="n">
        <x:f>IF(E191=0,"",F191/E191)</x:f>
        <x:v>0.004243281471004243</x:v>
      </x:c>
      <x:c r="H191" s="23" t="n">
        <x:v>585</x:v>
      </x:c>
      <x:c r="I191" s="24" t="n">
        <x:f>IF(E191=0,"",H191/E191)</x:f>
        <x:v>0.2758132956152758</x:v>
      </x:c>
      <x:c r="J191" s="23" t="n">
        <x:v>1527</x:v>
      </x:c>
      <x:c r="K191" s="24" t="n">
        <x:f>IF(E191=0,"",J191/E191)</x:f>
        <x:v>0.7199434229137199</x:v>
      </x:c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25" t="str">
        <x:v>10月</x:v>
      </x:c>
      <x:c r="B192" s="25" t="str">
        <x:v>台北市</x:v>
      </x:c>
      <x:c r="C192" s="36" t="n">
        <x:v>18</x:v>
      </x:c>
      <x:c r="D192" s="25" t="str">
        <x:v>16–19</x:v>
      </x:c>
      <x:c r="E192" s="34" t="n">
        <x:v>3272</x:v>
      </x:c>
      <x:c r="F192" s="34" t="n">
        <x:v>6</x:v>
      </x:c>
      <x:c r="G192" s="35" t="n">
        <x:f>IF(E192=0,"",F192/E192)</x:f>
        <x:v>0.0018337408312958435</x:v>
      </x:c>
      <x:c r="H192" s="34" t="n">
        <x:v>671</x:v>
      </x:c>
      <x:c r="I192" s="35" t="n">
        <x:f>IF(E192=0,"",H192/E192)</x:f>
        <x:v>0.20507334963325183</x:v>
      </x:c>
      <x:c r="J192" s="34" t="n">
        <x:v>2595</x:v>
      </x:c>
      <x:c r="K192" s="35" t="n">
        <x:f>IF(E192=0,"",J192/E192)</x:f>
        <x:v>0.7930929095354523</x:v>
      </x:c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20" t="str">
        <x:v>10月</x:v>
      </x:c>
      <x:c r="B193" s="20" t="str">
        <x:v>台北市</x:v>
      </x:c>
      <x:c r="C193" s="37" t="n">
        <x:v>19</x:v>
      </x:c>
      <x:c r="D193" s="20" t="str">
        <x:v>16–19</x:v>
      </x:c>
      <x:c r="E193" s="23" t="n">
        <x:v>3257</x:v>
      </x:c>
      <x:c r="F193" s="23" t="n">
        <x:v>8</x:v>
      </x:c>
      <x:c r="G193" s="24" t="n">
        <x:f>IF(E193=0,"",F193/E193)</x:f>
        <x:v>0.002456248081056187</x:v>
      </x:c>
      <x:c r="H193" s="23" t="n">
        <x:v>603</x:v>
      </x:c>
      <x:c r="I193" s="24" t="n">
        <x:f>IF(E193=0,"",H193/E193)</x:f>
        <x:v>0.18513969910961006</x:v>
      </x:c>
      <x:c r="J193" s="23" t="n">
        <x:v>2646</x:v>
      </x:c>
      <x:c r="K193" s="24" t="n">
        <x:f>IF(E193=0,"",J193/E193)</x:f>
        <x:v>0.8124040528093337</x:v>
      </x:c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25" t="str">
        <x:v>10月</x:v>
      </x:c>
      <x:c r="B194" s="25" t="str">
        <x:v>台北市</x:v>
      </x:c>
      <x:c r="C194" s="36" t="n">
        <x:v>20</x:v>
      </x:c>
      <x:c r="D194" s="25" t="str">
        <x:v>20–23</x:v>
      </x:c>
      <x:c r="E194" s="34" t="n">
        <x:v>2540</x:v>
      </x:c>
      <x:c r="F194" s="34" t="n">
        <x:v>11</x:v>
      </x:c>
      <x:c r="G194" s="35" t="n">
        <x:f>IF(E194=0,"",F194/E194)</x:f>
        <x:v>0.004330708661417323</x:v>
      </x:c>
      <x:c r="H194" s="34" t="n">
        <x:v>456</x:v>
      </x:c>
      <x:c r="I194" s="35" t="n">
        <x:f>IF(E194=0,"",H194/E194)</x:f>
        <x:v>0.1795275590551181</x:v>
      </x:c>
      <x:c r="J194" s="34" t="n">
        <x:v>2073</x:v>
      </x:c>
      <x:c r="K194" s="35" t="n">
        <x:f>IF(E194=0,"",J194/E194)</x:f>
        <x:v>0.8161417322834645</x:v>
      </x:c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20" t="str">
        <x:v>10月</x:v>
      </x:c>
      <x:c r="B195" s="20" t="str">
        <x:v>台北市</x:v>
      </x:c>
      <x:c r="C195" s="37" t="n">
        <x:v>21</x:v>
      </x:c>
      <x:c r="D195" s="20" t="str">
        <x:v>20–23</x:v>
      </x:c>
      <x:c r="E195" s="23" t="n">
        <x:v>1972</x:v>
      </x:c>
      <x:c r="F195" s="23" t="n">
        <x:v>7</x:v>
      </x:c>
      <x:c r="G195" s="24" t="n">
        <x:f>IF(E195=0,"",F195/E195)</x:f>
        <x:v>0.0035496957403651115</x:v>
      </x:c>
      <x:c r="H195" s="23" t="n">
        <x:v>371</x:v>
      </x:c>
      <x:c r="I195" s="24" t="n">
        <x:f>IF(E195=0,"",H195/E195)</x:f>
        <x:v>0.1881338742393509</x:v>
      </x:c>
      <x:c r="J195" s="23" t="n">
        <x:v>1594</x:v>
      </x:c>
      <x:c r="K195" s="24" t="n">
        <x:f>IF(E195=0,"",J195/E195)</x:f>
        <x:v>0.808316430020284</x:v>
      </x:c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25" t="str">
        <x:v>10月</x:v>
      </x:c>
      <x:c r="B196" s="25" t="str">
        <x:v>台北市</x:v>
      </x:c>
      <x:c r="C196" s="36" t="n">
        <x:v>22</x:v>
      </x:c>
      <x:c r="D196" s="25" t="str">
        <x:v>20–23</x:v>
      </x:c>
      <x:c r="E196" s="34" t="n">
        <x:v>1855</x:v>
      </x:c>
      <x:c r="F196" s="34" t="n">
        <x:v>13</x:v>
      </x:c>
      <x:c r="G196" s="35" t="n">
        <x:f>IF(E196=0,"",F196/E196)</x:f>
        <x:v>0.007008086253369272</x:v>
      </x:c>
      <x:c r="H196" s="34" t="n">
        <x:v>474</x:v>
      </x:c>
      <x:c r="I196" s="35" t="n">
        <x:f>IF(E196=0,"",H196/E196)</x:f>
        <x:v>0.2555256064690027</x:v>
      </x:c>
      <x:c r="J196" s="34" t="n">
        <x:v>1368</x:v>
      </x:c>
      <x:c r="K196" s="35" t="n">
        <x:f>IF(E196=0,"",J196/E196)</x:f>
        <x:v>0.7374663072776281</x:v>
      </x:c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20" t="str">
        <x:v>10月</x:v>
      </x:c>
      <x:c r="B197" s="20" t="str">
        <x:v>台北市</x:v>
      </x:c>
      <x:c r="C197" s="37" t="n">
        <x:v>23</x:v>
      </x:c>
      <x:c r="D197" s="20" t="str">
        <x:v>20–23</x:v>
      </x:c>
      <x:c r="E197" s="23" t="n">
        <x:v>3071</x:v>
      </x:c>
      <x:c r="F197" s="23" t="n">
        <x:v>41</x:v>
      </x:c>
      <x:c r="G197" s="24" t="n">
        <x:f>IF(E197=0,"",F197/E197)</x:f>
        <x:v>0.013350700097688049</x:v>
      </x:c>
      <x:c r="H197" s="23" t="n">
        <x:v>662</x:v>
      </x:c>
      <x:c r="I197" s="24" t="n">
        <x:f>IF(E197=0,"",H197/E197)</x:f>
        <x:v>0.21556496255291435</x:v>
      </x:c>
      <x:c r="J197" s="23" t="n">
        <x:v>2368</x:v>
      </x:c>
      <x:c r="K197" s="24" t="n">
        <x:f>IF(E197=0,"",J197/E197)</x:f>
        <x:v>0.7710843373493976</x:v>
      </x:c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25" t="str">
        <x:v>10月</x:v>
      </x:c>
      <x:c r="B198" s="25" t="str">
        <x:v>新北市</x:v>
      </x:c>
      <x:c r="C198" s="36" t="n">
        <x:v>0</x:v>
      </x:c>
      <x:c r="D198" s="25" t="str">
        <x:v>00–05</x:v>
      </x:c>
      <x:c r="E198" s="34" t="n">
        <x:v>2670</x:v>
      </x:c>
      <x:c r="F198" s="34" t="n">
        <x:v>23</x:v>
      </x:c>
      <x:c r="G198" s="35" t="n">
        <x:f>IF(E198=0,"",F198/E198)</x:f>
        <x:v>0.008614232209737827</x:v>
      </x:c>
      <x:c r="H198" s="34" t="n">
        <x:v>1780</x:v>
      </x:c>
      <x:c r="I198" s="35" t="n">
        <x:f>IF(E198=0,"",H198/E198)</x:f>
        <x:v>0.6666666666666666</x:v>
      </x:c>
      <x:c r="J198" s="34" t="n">
        <x:v>867</x:v>
      </x:c>
      <x:c r="K198" s="35" t="n">
        <x:f>IF(E198=0,"",J198/E198)</x:f>
        <x:v>0.32471910112359553</x:v>
      </x:c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20" t="str">
        <x:v>10月</x:v>
      </x:c>
      <x:c r="B199" s="20" t="str">
        <x:v>新北市</x:v>
      </x:c>
      <x:c r="C199" s="37" t="n">
        <x:v>1</x:v>
      </x:c>
      <x:c r="D199" s="20" t="str">
        <x:v>00–05</x:v>
      </x:c>
      <x:c r="E199" s="23" t="n">
        <x:v>1921</x:v>
      </x:c>
      <x:c r="F199" s="23" t="n">
        <x:v>7</x:v>
      </x:c>
      <x:c r="G199" s="24" t="n">
        <x:f>IF(E199=0,"",F199/E199)</x:f>
        <x:v>0.003643935450286309</x:v>
      </x:c>
      <x:c r="H199" s="23" t="n">
        <x:v>1262</x:v>
      </x:c>
      <x:c r="I199" s="24" t="n">
        <x:f>IF(E199=0,"",H199/E199)</x:f>
        <x:v>0.6569495054659031</x:v>
      </x:c>
      <x:c r="J199" s="23" t="n">
        <x:v>652</x:v>
      </x:c>
      <x:c r="K199" s="24" t="n">
        <x:f>IF(E199=0,"",J199/E199)</x:f>
        <x:v>0.3394065590838105</x:v>
      </x:c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25" t="str">
        <x:v>10月</x:v>
      </x:c>
      <x:c r="B200" s="25" t="str">
        <x:v>新北市</x:v>
      </x:c>
      <x:c r="C200" s="36" t="n">
        <x:v>2</x:v>
      </x:c>
      <x:c r="D200" s="25" t="str">
        <x:v>00–05</x:v>
      </x:c>
      <x:c r="E200" s="34" t="n">
        <x:v>327</x:v>
      </x:c>
      <x:c r="F200" s="34" t="n">
        <x:v>0</x:v>
      </x:c>
      <x:c r="G200" s="35" t="n">
        <x:f>IF(E200=0,"",F200/E200)</x:f>
        <x:v>0</x:v>
      </x:c>
      <x:c r="H200" s="34" t="n">
        <x:v>183</x:v>
      </x:c>
      <x:c r="I200" s="35" t="n">
        <x:f>IF(E200=0,"",H200/E200)</x:f>
        <x:v>0.5596330275229358</x:v>
      </x:c>
      <x:c r="J200" s="34" t="n">
        <x:v>144</x:v>
      </x:c>
      <x:c r="K200" s="35" t="n">
        <x:f>IF(E200=0,"",J200/E200)</x:f>
        <x:v>0.44036697247706424</x:v>
      </x:c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20" t="str">
        <x:v>10月</x:v>
      </x:c>
      <x:c r="B201" s="20" t="str">
        <x:v>新北市</x:v>
      </x:c>
      <x:c r="C201" s="37" t="n">
        <x:v>3</x:v>
      </x:c>
      <x:c r="D201" s="20" t="str">
        <x:v>00–05</x:v>
      </x:c>
      <x:c r="E201" s="23" t="n">
        <x:v>482</x:v>
      </x:c>
      <x:c r="F201" s="23" t="n">
        <x:v>5</x:v>
      </x:c>
      <x:c r="G201" s="24" t="n">
        <x:f>IF(E201=0,"",F201/E201)</x:f>
        <x:v>0.01037344398340249</x:v>
      </x:c>
      <x:c r="H201" s="23" t="n">
        <x:v>209</x:v>
      </x:c>
      <x:c r="I201" s="24" t="n">
        <x:f>IF(E201=0,"",H201/E201)</x:f>
        <x:v>0.4336099585062241</x:v>
      </x:c>
      <x:c r="J201" s="23" t="n">
        <x:v>268</x:v>
      </x:c>
      <x:c r="K201" s="24" t="n">
        <x:f>IF(E201=0,"",J201/E201)</x:f>
        <x:v>0.5560165975103735</x:v>
      </x:c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25" t="str">
        <x:v>10月</x:v>
      </x:c>
      <x:c r="B202" s="25" t="str">
        <x:v>新北市</x:v>
      </x:c>
      <x:c r="C202" s="36" t="n">
        <x:v>4</x:v>
      </x:c>
      <x:c r="D202" s="25" t="str">
        <x:v>00–05</x:v>
      </x:c>
      <x:c r="E202" s="34" t="n">
        <x:v>681</x:v>
      </x:c>
      <x:c r="F202" s="34" t="n">
        <x:v>8</x:v>
      </x:c>
      <x:c r="G202" s="35" t="n">
        <x:f>IF(E202=0,"",F202/E202)</x:f>
        <x:v>0.011747430249632892</x:v>
      </x:c>
      <x:c r="H202" s="34" t="n">
        <x:v>341</x:v>
      </x:c>
      <x:c r="I202" s="35" t="n">
        <x:f>IF(E202=0,"",H202/E202)</x:f>
        <x:v>0.5007342143906021</x:v>
      </x:c>
      <x:c r="J202" s="34" t="n">
        <x:v>332</x:v>
      </x:c>
      <x:c r="K202" s="35" t="n">
        <x:f>IF(E202=0,"",J202/E202)</x:f>
        <x:v>0.48751835535976507</x:v>
      </x:c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20" t="str">
        <x:v>10月</x:v>
      </x:c>
      <x:c r="B203" s="20" t="str">
        <x:v>新北市</x:v>
      </x:c>
      <x:c r="C203" s="37" t="n">
        <x:v>5</x:v>
      </x:c>
      <x:c r="D203" s="20" t="str">
        <x:v>00–05</x:v>
      </x:c>
      <x:c r="E203" s="23" t="n">
        <x:v>732</x:v>
      </x:c>
      <x:c r="F203" s="23" t="n">
        <x:v>7</x:v>
      </x:c>
      <x:c r="G203" s="24" t="n">
        <x:f>IF(E203=0,"",F203/E203)</x:f>
        <x:v>0.009562841530054645</x:v>
      </x:c>
      <x:c r="H203" s="23" t="n">
        <x:v>466</x:v>
      </x:c>
      <x:c r="I203" s="24" t="n">
        <x:f>IF(E203=0,"",H203/E203)</x:f>
        <x:v>0.6366120218579235</x:v>
      </x:c>
      <x:c r="J203" s="23" t="n">
        <x:v>259</x:v>
      </x:c>
      <x:c r="K203" s="24" t="n">
        <x:f>IF(E203=0,"",J203/E203)</x:f>
        <x:v>0.35382513661202186</x:v>
      </x:c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25" t="str">
        <x:v>10月</x:v>
      </x:c>
      <x:c r="B204" s="25" t="str">
        <x:v>新北市</x:v>
      </x:c>
      <x:c r="C204" s="36" t="n">
        <x:v>6</x:v>
      </x:c>
      <x:c r="D204" s="25" t="str">
        <x:v>06–09</x:v>
      </x:c>
      <x:c r="E204" s="34" t="n">
        <x:v>1256</x:v>
      </x:c>
      <x:c r="F204" s="34" t="n">
        <x:v>5</x:v>
      </x:c>
      <x:c r="G204" s="35" t="n">
        <x:f>IF(E204=0,"",F204/E204)</x:f>
        <x:v>0.003980891719745223</x:v>
      </x:c>
      <x:c r="H204" s="34" t="n">
        <x:v>921</x:v>
      </x:c>
      <x:c r="I204" s="35" t="n">
        <x:f>IF(E204=0,"",H204/E204)</x:f>
        <x:v>0.73328025477707</x:v>
      </x:c>
      <x:c r="J204" s="34" t="n">
        <x:v>330</x:v>
      </x:c>
      <x:c r="K204" s="35" t="n">
        <x:f>IF(E204=0,"",J204/E204)</x:f>
        <x:v>0.2627388535031847</x:v>
      </x:c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20" t="str">
        <x:v>10月</x:v>
      </x:c>
      <x:c r="B205" s="20" t="str">
        <x:v>新北市</x:v>
      </x:c>
      <x:c r="C205" s="37" t="n">
        <x:v>7</x:v>
      </x:c>
      <x:c r="D205" s="20" t="str">
        <x:v>06–09</x:v>
      </x:c>
      <x:c r="E205" s="23" t="n">
        <x:v>4912</x:v>
      </x:c>
      <x:c r="F205" s="23" t="n">
        <x:v>56</x:v>
      </x:c>
      <x:c r="G205" s="24" t="n">
        <x:f>IF(E205=0,"",F205/E205)</x:f>
        <x:v>0.011400651465798045</x:v>
      </x:c>
      <x:c r="H205" s="23" t="n">
        <x:v>3406</x:v>
      </x:c>
      <x:c r="I205" s="24" t="n">
        <x:f>IF(E205=0,"",H205/E205)</x:f>
        <x:v>0.6934039087947883</x:v>
      </x:c>
      <x:c r="J205" s="23" t="n">
        <x:v>1450</x:v>
      </x:c>
      <x:c r="K205" s="24" t="n">
        <x:f>IF(E205=0,"",J205/E205)</x:f>
        <x:v>0.2951954397394137</x:v>
      </x:c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25" t="str">
        <x:v>10月</x:v>
      </x:c>
      <x:c r="B206" s="25" t="str">
        <x:v>新北市</x:v>
      </x:c>
      <x:c r="C206" s="36" t="n">
        <x:v>8</x:v>
      </x:c>
      <x:c r="D206" s="25" t="str">
        <x:v>06–09</x:v>
      </x:c>
      <x:c r="E206" s="34" t="n">
        <x:v>4954</x:v>
      </x:c>
      <x:c r="F206" s="34" t="n">
        <x:v>89</x:v>
      </x:c>
      <x:c r="G206" s="35" t="n">
        <x:f>IF(E206=0,"",F206/E206)</x:f>
        <x:v>0.017965280581348407</x:v>
      </x:c>
      <x:c r="H206" s="34" t="n">
        <x:v>3314</x:v>
      </x:c>
      <x:c r="I206" s="35" t="n">
        <x:f>IF(E206=0,"",H206/E206)</x:f>
        <x:v>0.6689543802987485</x:v>
      </x:c>
      <x:c r="J206" s="34" t="n">
        <x:v>1551</x:v>
      </x:c>
      <x:c r="K206" s="35" t="n">
        <x:f>IF(E206=0,"",J206/E206)</x:f>
        <x:v>0.31308033911990313</x:v>
      </x:c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20" t="str">
        <x:v>10月</x:v>
      </x:c>
      <x:c r="B207" s="20" t="str">
        <x:v>新北市</x:v>
      </x:c>
      <x:c r="C207" s="37" t="n">
        <x:v>9</x:v>
      </x:c>
      <x:c r="D207" s="20" t="str">
        <x:v>06–09</x:v>
      </x:c>
      <x:c r="E207" s="23" t="n">
        <x:v>4342</x:v>
      </x:c>
      <x:c r="F207" s="23" t="n">
        <x:v>97</x:v>
      </x:c>
      <x:c r="G207" s="24" t="n">
        <x:f>IF(E207=0,"",F207/E207)</x:f>
        <x:v>0.02233993551358821</x:v>
      </x:c>
      <x:c r="H207" s="23" t="n">
        <x:v>2781</x:v>
      </x:c>
      <x:c r="I207" s="24" t="n">
        <x:f>IF(E207=0,"",H207/E207)</x:f>
        <x:v>0.6404882542607093</x:v>
      </x:c>
      <x:c r="J207" s="23" t="n">
        <x:v>1464</x:v>
      </x:c>
      <x:c r="K207" s="24" t="n">
        <x:f>IF(E207=0,"",J207/E207)</x:f>
        <x:v>0.3371718102257024</x:v>
      </x:c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25" t="str">
        <x:v>10月</x:v>
      </x:c>
      <x:c r="B208" s="25" t="str">
        <x:v>新北市</x:v>
      </x:c>
      <x:c r="C208" s="36" t="n">
        <x:v>10</x:v>
      </x:c>
      <x:c r="D208" s="25" t="str">
        <x:v>10–15</x:v>
      </x:c>
      <x:c r="E208" s="34" t="n">
        <x:v>3672</x:v>
      </x:c>
      <x:c r="F208" s="34" t="n">
        <x:v>105</x:v>
      </x:c>
      <x:c r="G208" s="35" t="n">
        <x:f>IF(E208=0,"",F208/E208)</x:f>
        <x:v>0.028594771241830064</x:v>
      </x:c>
      <x:c r="H208" s="34" t="n">
        <x:v>2353</x:v>
      </x:c>
      <x:c r="I208" s="35" t="n">
        <x:f>IF(E208=0,"",H208/E208)</x:f>
        <x:v>0.6407952069716776</x:v>
      </x:c>
      <x:c r="J208" s="34" t="n">
        <x:v>1214</x:v>
      </x:c>
      <x:c r="K208" s="35" t="n">
        <x:f>IF(E208=0,"",J208/E208)</x:f>
        <x:v>0.33061002178649235</x:v>
      </x:c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20" t="str">
        <x:v>10月</x:v>
      </x:c>
      <x:c r="B209" s="20" t="str">
        <x:v>新北市</x:v>
      </x:c>
      <x:c r="C209" s="37" t="n">
        <x:v>11</x:v>
      </x:c>
      <x:c r="D209" s="20" t="str">
        <x:v>10–15</x:v>
      </x:c>
      <x:c r="E209" s="23" t="n">
        <x:v>2380</x:v>
      </x:c>
      <x:c r="F209" s="23" t="n">
        <x:v>58</x:v>
      </x:c>
      <x:c r="G209" s="24" t="n">
        <x:f>IF(E209=0,"",F209/E209)</x:f>
        <x:v>0.024369747899159664</x:v>
      </x:c>
      <x:c r="H209" s="23" t="n">
        <x:v>1510</x:v>
      </x:c>
      <x:c r="I209" s="24" t="n">
        <x:f>IF(E209=0,"",H209/E209)</x:f>
        <x:v>0.634453781512605</x:v>
      </x:c>
      <x:c r="J209" s="23" t="n">
        <x:v>812</x:v>
      </x:c>
      <x:c r="K209" s="24" t="n">
        <x:f>IF(E209=0,"",J209/E209)</x:f>
        <x:v>0.3411764705882353</x:v>
      </x:c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25" t="str">
        <x:v>10月</x:v>
      </x:c>
      <x:c r="B210" s="25" t="str">
        <x:v>新北市</x:v>
      </x:c>
      <x:c r="C210" s="36" t="n">
        <x:v>12</x:v>
      </x:c>
      <x:c r="D210" s="25" t="str">
        <x:v>10–15</x:v>
      </x:c>
      <x:c r="E210" s="34" t="n">
        <x:v>961</x:v>
      </x:c>
      <x:c r="F210" s="34" t="n">
        <x:v>41</x:v>
      </x:c>
      <x:c r="G210" s="35" t="n">
        <x:f>IF(E210=0,"",F210/E210)</x:f>
        <x:v>0.04266389177939646</x:v>
      </x:c>
      <x:c r="H210" s="34" t="n">
        <x:v>589</x:v>
      </x:c>
      <x:c r="I210" s="35" t="n">
        <x:f>IF(E210=0,"",H210/E210)</x:f>
        <x:v>0.6129032258064516</x:v>
      </x:c>
      <x:c r="J210" s="34" t="n">
        <x:v>331</x:v>
      </x:c>
      <x:c r="K210" s="35" t="n">
        <x:f>IF(E210=0,"",J210/E210)</x:f>
        <x:v>0.34443288241415193</x:v>
      </x:c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20" t="str">
        <x:v>10月</x:v>
      </x:c>
      <x:c r="B211" s="20" t="str">
        <x:v>新北市</x:v>
      </x:c>
      <x:c r="C211" s="37" t="n">
        <x:v>13</x:v>
      </x:c>
      <x:c r="D211" s="20" t="str">
        <x:v>10–15</x:v>
      </x:c>
      <x:c r="E211" s="23" t="n">
        <x:v>1392</x:v>
      </x:c>
      <x:c r="F211" s="23" t="n">
        <x:v>50</x:v>
      </x:c>
      <x:c r="G211" s="24" t="n">
        <x:f>IF(E211=0,"",F211/E211)</x:f>
        <x:v>0.035919540229885055</x:v>
      </x:c>
      <x:c r="H211" s="23" t="n">
        <x:v>752</x:v>
      </x:c>
      <x:c r="I211" s="24" t="n">
        <x:f>IF(E211=0,"",H211/E211)</x:f>
        <x:v>0.5402298850574713</x:v>
      </x:c>
      <x:c r="J211" s="23" t="n">
        <x:v>590</x:v>
      </x:c>
      <x:c r="K211" s="24" t="n">
        <x:f>IF(E211=0,"",J211/E211)</x:f>
        <x:v>0.4238505747126437</x:v>
      </x:c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25" t="str">
        <x:v>10月</x:v>
      </x:c>
      <x:c r="B212" s="25" t="str">
        <x:v>新北市</x:v>
      </x:c>
      <x:c r="C212" s="36" t="n">
        <x:v>14</x:v>
      </x:c>
      <x:c r="D212" s="25" t="str">
        <x:v>10–15</x:v>
      </x:c>
      <x:c r="E212" s="34" t="n">
        <x:v>1559</x:v>
      </x:c>
      <x:c r="F212" s="34" t="n">
        <x:v>56</x:v>
      </x:c>
      <x:c r="G212" s="35" t="n">
        <x:f>IF(E212=0,"",F212/E212)</x:f>
        <x:v>0.0359204618345093</x:v>
      </x:c>
      <x:c r="H212" s="34" t="n">
        <x:v>797</x:v>
      </x:c>
      <x:c r="I212" s="35" t="n">
        <x:f>IF(E212=0,"",H212/E212)</x:f>
        <x:v>0.5112251443232841</x:v>
      </x:c>
      <x:c r="J212" s="34" t="n">
        <x:v>706</x:v>
      </x:c>
      <x:c r="K212" s="35" t="n">
        <x:f>IF(E212=0,"",J212/E212)</x:f>
        <x:v>0.45285439384220655</x:v>
      </x:c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20" t="str">
        <x:v>10月</x:v>
      </x:c>
      <x:c r="B213" s="20" t="str">
        <x:v>新北市</x:v>
      </x:c>
      <x:c r="C213" s="37" t="n">
        <x:v>15</x:v>
      </x:c>
      <x:c r="D213" s="20" t="str">
        <x:v>10–15</x:v>
      </x:c>
      <x:c r="E213" s="23" t="n">
        <x:v>1257</x:v>
      </x:c>
      <x:c r="F213" s="23" t="n">
        <x:v>17</x:v>
      </x:c>
      <x:c r="G213" s="24" t="n">
        <x:f>IF(E213=0,"",F213/E213)</x:f>
        <x:v>0.013524264120922832</x:v>
      </x:c>
      <x:c r="H213" s="23" t="n">
        <x:v>639</x:v>
      </x:c>
      <x:c r="I213" s="24" t="n">
        <x:f>IF(E213=0,"",H213/E213)</x:f>
        <x:v>0.5083532219570406</x:v>
      </x:c>
      <x:c r="J213" s="23" t="n">
        <x:v>601</x:v>
      </x:c>
      <x:c r="K213" s="24" t="n">
        <x:f>IF(E213=0,"",J213/E213)</x:f>
        <x:v>0.4781225139220366</x:v>
      </x:c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25" t="str">
        <x:v>10月</x:v>
      </x:c>
      <x:c r="B214" s="25" t="str">
        <x:v>新北市</x:v>
      </x:c>
      <x:c r="C214" s="36" t="n">
        <x:v>16</x:v>
      </x:c>
      <x:c r="D214" s="25" t="str">
        <x:v>16–19</x:v>
      </x:c>
      <x:c r="E214" s="34" t="n">
        <x:v>1712</x:v>
      </x:c>
      <x:c r="F214" s="34" t="n">
        <x:v>5</x:v>
      </x:c>
      <x:c r="G214" s="35" t="n">
        <x:f>IF(E214=0,"",F214/E214)</x:f>
        <x:v>0.0029205607476635513</x:v>
      </x:c>
      <x:c r="H214" s="34" t="n">
        <x:v>1150</x:v>
      </x:c>
      <x:c r="I214" s="35" t="n">
        <x:f>IF(E214=0,"",H214/E214)</x:f>
        <x:v>0.6717289719626168</x:v>
      </x:c>
      <x:c r="J214" s="34" t="n">
        <x:v>557</x:v>
      </x:c>
      <x:c r="K214" s="35" t="n">
        <x:f>IF(E214=0,"",J214/E214)</x:f>
        <x:v>0.3253504672897196</x:v>
      </x:c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20" t="str">
        <x:v>10月</x:v>
      </x:c>
      <x:c r="B215" s="20" t="str">
        <x:v>新北市</x:v>
      </x:c>
      <x:c r="C215" s="37" t="n">
        <x:v>17</x:v>
      </x:c>
      <x:c r="D215" s="20" t="str">
        <x:v>16–19</x:v>
      </x:c>
      <x:c r="E215" s="23" t="n">
        <x:v>3070</x:v>
      </x:c>
      <x:c r="F215" s="23" t="n">
        <x:v>18</x:v>
      </x:c>
      <x:c r="G215" s="24" t="n">
        <x:f>IF(E215=0,"",F215/E215)</x:f>
        <x:v>0.005863192182410423</x:v>
      </x:c>
      <x:c r="H215" s="23" t="n">
        <x:v>1845</x:v>
      </x:c>
      <x:c r="I215" s="24" t="n">
        <x:f>IF(E215=0,"",H215/E215)</x:f>
        <x:v>0.6009771986970684</x:v>
      </x:c>
      <x:c r="J215" s="23" t="n">
        <x:v>1207</x:v>
      </x:c>
      <x:c r="K215" s="24" t="n">
        <x:f>IF(E215=0,"",J215/E215)</x:f>
        <x:v>0.39315960912052117</x:v>
      </x:c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25" t="str">
        <x:v>10月</x:v>
      </x:c>
      <x:c r="B216" s="25" t="str">
        <x:v>新北市</x:v>
      </x:c>
      <x:c r="C216" s="36" t="n">
        <x:v>18</x:v>
      </x:c>
      <x:c r="D216" s="25" t="str">
        <x:v>16–19</x:v>
      </x:c>
      <x:c r="E216" s="34" t="n">
        <x:v>4879</x:v>
      </x:c>
      <x:c r="F216" s="34" t="n">
        <x:v>27</x:v>
      </x:c>
      <x:c r="G216" s="35" t="n">
        <x:f>IF(E216=0,"",F216/E216)</x:f>
        <x:v>0.005533920885427342</x:v>
      </x:c>
      <x:c r="H216" s="34" t="n">
        <x:v>2647</x:v>
      </x:c>
      <x:c r="I216" s="35" t="n">
        <x:f>IF(E216=0,"",H216/E216)</x:f>
        <x:v>0.5425292068046731</x:v>
      </x:c>
      <x:c r="J216" s="34" t="n">
        <x:v>2205</x:v>
      </x:c>
      <x:c r="K216" s="35" t="n">
        <x:f>IF(E216=0,"",J216/E216)</x:f>
        <x:v>0.4519368723098996</x:v>
      </x:c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20" t="str">
        <x:v>10月</x:v>
      </x:c>
      <x:c r="B217" s="20" t="str">
        <x:v>新北市</x:v>
      </x:c>
      <x:c r="C217" s="37" t="n">
        <x:v>19</x:v>
      </x:c>
      <x:c r="D217" s="20" t="str">
        <x:v>16–19</x:v>
      </x:c>
      <x:c r="E217" s="23" t="n">
        <x:v>4324</x:v>
      </x:c>
      <x:c r="F217" s="23" t="n">
        <x:v>25</x:v>
      </x:c>
      <x:c r="G217" s="24" t="n">
        <x:f>IF(E217=0,"",F217/E217)</x:f>
        <x:v>0.00578168362627197</x:v>
      </x:c>
      <x:c r="H217" s="23" t="n">
        <x:v>2245</x:v>
      </x:c>
      <x:c r="I217" s="24" t="n">
        <x:f>IF(E217=0,"",H217/E217)</x:f>
        <x:v>0.519195189639223</x:v>
      </x:c>
      <x:c r="J217" s="23" t="n">
        <x:v>2054</x:v>
      </x:c>
      <x:c r="K217" s="24" t="n">
        <x:f>IF(E217=0,"",J217/E217)</x:f>
        <x:v>0.4750231267345051</x:v>
      </x:c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25" t="str">
        <x:v>10月</x:v>
      </x:c>
      <x:c r="B218" s="25" t="str">
        <x:v>新北市</x:v>
      </x:c>
      <x:c r="C218" s="36" t="n">
        <x:v>20</x:v>
      </x:c>
      <x:c r="D218" s="25" t="str">
        <x:v>20–23</x:v>
      </x:c>
      <x:c r="E218" s="34" t="n">
        <x:v>3400</x:v>
      </x:c>
      <x:c r="F218" s="34" t="n">
        <x:v>24</x:v>
      </x:c>
      <x:c r="G218" s="35" t="n">
        <x:f>IF(E218=0,"",F218/E218)</x:f>
        <x:v>0.007058823529411765</x:v>
      </x:c>
      <x:c r="H218" s="34" t="n">
        <x:v>1730</x:v>
      </x:c>
      <x:c r="I218" s="35" t="n">
        <x:f>IF(E218=0,"",H218/E218)</x:f>
        <x:v>0.5088235294117647</x:v>
      </x:c>
      <x:c r="J218" s="34" t="n">
        <x:v>1646</x:v>
      </x:c>
      <x:c r="K218" s="35" t="n">
        <x:f>IF(E218=0,"",J218/E218)</x:f>
        <x:v>0.48411764705882354</x:v>
      </x:c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20" t="str">
        <x:v>10月</x:v>
      </x:c>
      <x:c r="B219" s="20" t="str">
        <x:v>新北市</x:v>
      </x:c>
      <x:c r="C219" s="37" t="n">
        <x:v>21</x:v>
      </x:c>
      <x:c r="D219" s="20" t="str">
        <x:v>20–23</x:v>
      </x:c>
      <x:c r="E219" s="23" t="n">
        <x:v>2668</x:v>
      </x:c>
      <x:c r="F219" s="23" t="n">
        <x:v>8</x:v>
      </x:c>
      <x:c r="G219" s="24" t="n">
        <x:f>IF(E219=0,"",F219/E219)</x:f>
        <x:v>0.0029985007496251873</x:v>
      </x:c>
      <x:c r="H219" s="23" t="n">
        <x:v>1226</x:v>
      </x:c>
      <x:c r="I219" s="24" t="n">
        <x:f>IF(E219=0,"",H219/E219)</x:f>
        <x:v>0.45952023988005997</x:v>
      </x:c>
      <x:c r="J219" s="23" t="n">
        <x:v>1434</x:v>
      </x:c>
      <x:c r="K219" s="24" t="n">
        <x:f>IF(E219=0,"",J219/E219)</x:f>
        <x:v>0.5374812593703149</x:v>
      </x:c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25" t="str">
        <x:v>10月</x:v>
      </x:c>
      <x:c r="B220" s="25" t="str">
        <x:v>新北市</x:v>
      </x:c>
      <x:c r="C220" s="36" t="n">
        <x:v>22</x:v>
      </x:c>
      <x:c r="D220" s="25" t="str">
        <x:v>20–23</x:v>
      </x:c>
      <x:c r="E220" s="34" t="n">
        <x:v>2688</x:v>
      </x:c>
      <x:c r="F220" s="34" t="n">
        <x:v>14</x:v>
      </x:c>
      <x:c r="G220" s="35" t="n">
        <x:f>IF(E220=0,"",F220/E220)</x:f>
        <x:v>0.005208333333333333</x:v>
      </x:c>
      <x:c r="H220" s="34" t="n">
        <x:v>1662</x:v>
      </x:c>
      <x:c r="I220" s="35" t="n">
        <x:f>IF(E220=0,"",H220/E220)</x:f>
        <x:v>0.6183035714285714</x:v>
      </x:c>
      <x:c r="J220" s="34" t="n">
        <x:v>1012</x:v>
      </x:c>
      <x:c r="K220" s="35" t="n">
        <x:f>IF(E220=0,"",J220/E220)</x:f>
        <x:v>0.37648809523809523</x:v>
      </x:c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20" t="str">
        <x:v>10月</x:v>
      </x:c>
      <x:c r="B221" s="20" t="str">
        <x:v>新北市</x:v>
      </x:c>
      <x:c r="C221" s="37" t="n">
        <x:v>23</x:v>
      </x:c>
      <x:c r="D221" s="20" t="str">
        <x:v>20–23</x:v>
      </x:c>
      <x:c r="E221" s="23" t="n">
        <x:v>3291</x:v>
      </x:c>
      <x:c r="F221" s="23" t="n">
        <x:v>25</x:v>
      </x:c>
      <x:c r="G221" s="24" t="n">
        <x:f>IF(E221=0,"",F221/E221)</x:f>
        <x:v>0.007596475235490732</x:v>
      </x:c>
      <x:c r="H221" s="23" t="n">
        <x:v>2012</x:v>
      </x:c>
      <x:c r="I221" s="24" t="n">
        <x:f>IF(E221=0,"",H221/E221)</x:f>
        <x:v>0.6113643269522941</x:v>
      </x:c>
      <x:c r="J221" s="23" t="n">
        <x:v>1254</x:v>
      </x:c>
      <x:c r="K221" s="24" t="n">
        <x:f>IF(E221=0,"",J221/E221)</x:f>
        <x:v>0.3810391978122151</x:v>
      </x:c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K3"/>
  </x:mergeCells>
  <x:pageMargins left="0.7" right="0.7" top="0.75" bottom="0.75" header="0.3" footer="0.3"/>
  <x:drawing xmlns:r="http://schemas.openxmlformats.org/officeDocument/2006/relationships" r:id="R56a44286b3ef45b2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4" hidden="0" customWidth="1"/>
    <x:col min="9" max="9" width="15" hidden="0" customWidth="1"/>
    <x:col min="10" max="10" width="14" hidden="0" customWidth="1"/>
    <x:col min="11" max="11" width="13" hidden="0" customWidth="1"/>
    <x:col min="12" max="12" width="13" hidden="0" customWidth="1"/>
    <x:col min="13" max="13" width="12" hidden="0" customWidth="1"/>
    <x:col min="14" max="14" width="13" hidden="0" customWidth="1"/>
    <x:col min="15" max="15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智慧調度實驗區與比較區：5月、9月、10月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用量為06:00–23:59日均；見車率為06:00–23:59平均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8" t="str">
        <x:v>城市</x:v>
      </x:c>
      <x:c r="B5" s="18" t="str">
        <x:v>區域</x:v>
      </x:c>
      <x:c r="C5" s="18" t="str">
        <x:v>5月天數</x:v>
      </x:c>
      <x:c r="D5" s="18" t="str">
        <x:v>9月天數</x:v>
      </x:c>
      <x:c r="E5" s="18" t="str">
        <x:v>10月天數</x:v>
      </x:c>
      <x:c r="F5" s="18" t="str">
        <x:v>5月日均用量</x:v>
      </x:c>
      <x:c r="G5" s="18" t="str">
        <x:v>9月日均用量</x:v>
      </x:c>
      <x:c r="H5" s="18" t="str">
        <x:v>9月用量差異</x:v>
      </x:c>
      <x:c r="I5" s="18" t="str">
        <x:v>10月日均用量</x:v>
      </x:c>
      <x:c r="J5" s="18" t="str">
        <x:v>10月用量差異</x:v>
      </x:c>
      <x:c r="K5" s="18" t="str">
        <x:v>5月見車率</x:v>
      </x:c>
      <x:c r="L5" s="18" t="str">
        <x:v>9月見車率</x:v>
      </x:c>
      <x:c r="M5" s="18" t="str">
        <x:v>9月差異</x:v>
      </x:c>
      <x:c r="N5" s="18" t="str">
        <x:v>10月見車率</x:v>
      </x:c>
      <x:c r="O5" s="18" t="str">
        <x:v>10月差異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台北市</x:v>
      </x:c>
      <x:c r="B6" s="25" t="str">
        <x:v>H1（士林）</x:v>
      </x:c>
      <x:c r="C6" s="39" t="n">
        <x:v>17</x:v>
      </x:c>
      <x:c r="D6" s="39" t="n">
        <x:v>18</x:v>
      </x:c>
      <x:c r="E6" s="39" t="n">
        <x:v>13</x:v>
      </x:c>
      <x:c r="F6" s="34" t="n">
        <x:v>7776</x:v>
      </x:c>
      <x:c r="G6" s="34" t="n">
        <x:v>7752.9</x:v>
      </x:c>
      <x:c r="H6" s="43" t="n">
        <x:f>IF(F6=0,"",G6/F6-1)</x:f>
        <x:v>-0.0029706790123457116</x:v>
      </x:c>
      <x:c r="I6" s="34" t="n">
        <x:v>8038.8</x:v>
      </x:c>
      <x:c r="J6" s="43" t="n">
        <x:f>IF(F6=0,"",I6/F6-1)</x:f>
        <x:v>0.033796296296296324</x:v>
      </x:c>
      <x:c r="K6" s="35" t="n">
        <x:v>0.959808</x:v>
      </x:c>
      <x:c r="L6" s="35" t="n">
        <x:v>0.962218</x:v>
      </x:c>
      <x:c r="M6" s="43" t="n">
        <x:f>IF(OR(K6="",L6=""),"",L6-K6)</x:f>
        <x:v>0.0024100000000000232</x:v>
      </x:c>
      <x:c r="N6" s="35" t="n">
        <x:v>0.958428</x:v>
      </x:c>
      <x:c r="O6" s="43" t="n">
        <x:f>IF(OR(K6="",N6=""),"",N6-K6)</x:f>
        <x:v>-0.0013800000000000479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台北市</x:v>
      </x:c>
      <x:c r="B7" s="20" t="str">
        <x:v>H2（士林）</x:v>
      </x:c>
      <x:c r="C7" s="40" t="n">
        <x:v>17</x:v>
      </x:c>
      <x:c r="D7" s="40" t="n">
        <x:v>18</x:v>
      </x:c>
      <x:c r="E7" s="40" t="n">
        <x:v>13</x:v>
      </x:c>
      <x:c r="F7" s="23" t="n">
        <x:v>7724.6</x:v>
      </x:c>
      <x:c r="G7" s="23" t="n">
        <x:v>7945.9</x:v>
      </x:c>
      <x:c r="H7" s="44" t="n">
        <x:f>IF(F7=0,"",G7/F7-1)</x:f>
        <x:v>0.028648732620459194</x:v>
      </x:c>
      <x:c r="I7" s="23" t="n">
        <x:v>8320.7</x:v>
      </x:c>
      <x:c r="J7" s="44" t="n">
        <x:f>IF(F7=0,"",I7/F7-1)</x:f>
        <x:v>0.07716904435181116</x:v>
      </x:c>
      <x:c r="K7" s="24" t="n">
        <x:v>0.950678</x:v>
      </x:c>
      <x:c r="L7" s="24" t="n">
        <x:v>0.945078</x:v>
      </x:c>
      <x:c r="M7" s="44" t="n">
        <x:f>IF(OR(K7="",L7=""),"",L7-K7)</x:f>
        <x:v>-0.005600000000000049</x:v>
      </x:c>
      <x:c r="N7" s="24" t="n">
        <x:v>0.943283</x:v>
      </x:c>
      <x:c r="O7" s="44" t="n">
        <x:f>IF(OR(K7="",N7=""),"",N7-K7)</x:f>
        <x:v>-0.00739500000000004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8" t="str">
        <x:v>台北市</x:v>
      </x:c>
      <x:c r="B8" s="38" t="str">
        <x:v>H1+H2（士林實驗區）</x:v>
      </x:c>
      <x:c r="C8" s="41" t="n">
        <x:v>17</x:v>
      </x:c>
      <x:c r="D8" s="41" t="n">
        <x:v>18</x:v>
      </x:c>
      <x:c r="E8" s="41" t="n">
        <x:v>13</x:v>
      </x:c>
      <x:c r="F8" s="42" t="n">
        <x:v>15500.6</x:v>
      </x:c>
      <x:c r="G8" s="42" t="n">
        <x:v>15698.9</x:v>
      </x:c>
      <x:c r="H8" s="45" t="n">
        <x:f>IF(F8=0,"",G8/F8-1)</x:f>
        <x:v>0.012793053172135194</x:v>
      </x:c>
      <x:c r="I8" s="42" t="n">
        <x:v>16359.5</x:v>
      </x:c>
      <x:c r="J8" s="45" t="n">
        <x:f>IF(F8=0,"",I8/F8-1)</x:f>
        <x:v>0.05541075829322728</x:v>
      </x:c>
      <x:c r="K8" s="46" t="n">
        <x:v>0.955466</x:v>
      </x:c>
      <x:c r="L8" s="46" t="n">
        <x:v>0.954089</x:v>
      </x:c>
      <x:c r="M8" s="45" t="n">
        <x:f>IF(OR(K8="",L8=""),"",L8-K8)</x:f>
        <x:v>-0.0013770000000000726</x:v>
      </x:c>
      <x:c r="N8" s="46" t="n">
        <x:v>0.951212</x:v>
      </x:c>
      <x:c r="O8" s="45" t="n">
        <x:f>IF(OR(K8="",N8=""),"",N8-K8)</x:f>
        <x:v>-0.004254000000000091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 t="str">
        <x:v>台北市</x:v>
      </x:c>
      <x:c r="B9" s="20" t="str">
        <x:v>大同區</x:v>
      </x:c>
      <x:c r="C9" s="40" t="n">
        <x:v>17</x:v>
      </x:c>
      <x:c r="D9" s="40" t="n">
        <x:v>18</x:v>
      </x:c>
      <x:c r="E9" s="40" t="n">
        <x:v>13</x:v>
      </x:c>
      <x:c r="F9" s="23" t="n">
        <x:v>15357.9</x:v>
      </x:c>
      <x:c r="G9" s="23" t="n">
        <x:v>15479.4</x:v>
      </x:c>
      <x:c r="H9" s="44" t="n">
        <x:f>IF(F9=0,"",G9/F9-1)</x:f>
        <x:v>0.007911237864551834</x:v>
      </x:c>
      <x:c r="I9" s="23" t="n">
        <x:v>16378.2</x:v>
      </x:c>
      <x:c r="J9" s="44" t="n">
        <x:f>IF(F9=0,"",I9/F9-1)</x:f>
        <x:v>0.06643486414158195</x:v>
      </x:c>
      <x:c r="K9" s="24" t="n">
        <x:v>0.939963</x:v>
      </x:c>
      <x:c r="L9" s="24" t="n">
        <x:v>0.940686</x:v>
      </x:c>
      <x:c r="M9" s="44" t="n">
        <x:f>IF(OR(K9="",L9=""),"",L9-K9)</x:f>
        <x:v>0.0007230000000000292</x:v>
      </x:c>
      <x:c r="N9" s="24" t="n">
        <x:v>0.95152</x:v>
      </x:c>
      <x:c r="O9" s="44" t="n">
        <x:f>IF(OR(K9="",N9=""),"",N9-K9)</x:f>
        <x:v>0.01155700000000004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5" t="str">
        <x:v>台北市</x:v>
      </x:c>
      <x:c r="B10" s="25" t="str">
        <x:v>內湖區</x:v>
      </x:c>
      <x:c r="C10" s="39" t="n">
        <x:v>17</x:v>
      </x:c>
      <x:c r="D10" s="39" t="n">
        <x:v>18</x:v>
      </x:c>
      <x:c r="E10" s="39" t="n">
        <x:v>13</x:v>
      </x:c>
      <x:c r="F10" s="34" t="n">
        <x:v>17441.4</x:v>
      </x:c>
      <x:c r="G10" s="34" t="n">
        <x:v>17531.7</x:v>
      </x:c>
      <x:c r="H10" s="43" t="n">
        <x:f>IF(F10=0,"",G10/F10-1)</x:f>
        <x:v>0.005177336681688294</x:v>
      </x:c>
      <x:c r="I10" s="34" t="n">
        <x:v>18624.6</x:v>
      </x:c>
      <x:c r="J10" s="43" t="n">
        <x:f>IF(F10=0,"",I10/F10-1)</x:f>
        <x:v>0.06783859093880062</x:v>
      </x:c>
      <x:c r="K10" s="35" t="n">
        <x:v>0.934517</x:v>
      </x:c>
      <x:c r="L10" s="35" t="n">
        <x:v>0.949864</x:v>
      </x:c>
      <x:c r="M10" s="43" t="n">
        <x:f>IF(OR(K10="",L10=""),"",L10-K10)</x:f>
        <x:v>0.015347</x:v>
      </x:c>
      <x:c r="N10" s="35" t="n">
        <x:v>0.936925</x:v>
      </x:c>
      <x:c r="O10" s="43" t="n">
        <x:f>IF(OR(K10="",N10=""),"",N10-K10)</x:f>
        <x:v>0.0024079999999999657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0" t="str">
        <x:v>新北市</x:v>
      </x:c>
      <x:c r="B11" s="20" t="str">
        <x:v>L2（新莊）</x:v>
      </x:c>
      <x:c r="C11" s="40" t="n">
        <x:v>17</x:v>
      </x:c>
      <x:c r="D11" s="40" t="n">
        <x:v>18</x:v>
      </x:c>
      <x:c r="E11" s="40" t="n">
        <x:v>13</x:v>
      </x:c>
      <x:c r="F11" s="23" t="n">
        <x:v>4134.4</x:v>
      </x:c>
      <x:c r="G11" s="23" t="n">
        <x:v>4002.1</x:v>
      </x:c>
      <x:c r="H11" s="44" t="n">
        <x:f>IF(F11=0,"",G11/F11-1)</x:f>
        <x:v>-0.03199980650154788</x:v>
      </x:c>
      <x:c r="I11" s="23" t="n">
        <x:v>4360</x:v>
      </x:c>
      <x:c r="J11" s="44" t="n">
        <x:f>IF(F11=0,"",I11/F11-1)</x:f>
        <x:v>0.054566563467492335</x:v>
      </x:c>
      <x:c r="K11" s="24" t="n">
        <x:v>0.937443</x:v>
      </x:c>
      <x:c r="L11" s="24" t="n">
        <x:v>0.904811</x:v>
      </x:c>
      <x:c r="M11" s="44" t="n">
        <x:f>IF(OR(K11="",L11=""),"",L11-K11)</x:f>
        <x:v>-0.032631999999999994</x:v>
      </x:c>
      <x:c r="N11" s="24" t="n">
        <x:v>0.903671</x:v>
      </x:c>
      <x:c r="O11" s="44" t="n">
        <x:f>IF(OR(K11="",N11=""),"",N11-K11)</x:f>
        <x:v>-0.033772000000000024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5" t="str">
        <x:v>新北市</x:v>
      </x:c>
      <x:c r="B12" s="25" t="str">
        <x:v>L4（新莊）</x:v>
      </x:c>
      <x:c r="C12" s="39" t="n">
        <x:v>17</x:v>
      </x:c>
      <x:c r="D12" s="39" t="n">
        <x:v>18</x:v>
      </x:c>
      <x:c r="E12" s="39" t="n">
        <x:v>13</x:v>
      </x:c>
      <x:c r="F12" s="34" t="n">
        <x:v>3937.5</x:v>
      </x:c>
      <x:c r="G12" s="34" t="n">
        <x:v>4017.3</x:v>
      </x:c>
      <x:c r="H12" s="43" t="n">
        <x:f>IF(F12=0,"",G12/F12-1)</x:f>
        <x:v>0.020266666666666655</x:v>
      </x:c>
      <x:c r="I12" s="34" t="n">
        <x:v>4259.1</x:v>
      </x:c>
      <x:c r="J12" s="43" t="n">
        <x:f>IF(F12=0,"",I12/F12-1)</x:f>
        <x:v>0.08167619047619046</x:v>
      </x:c>
      <x:c r="K12" s="35" t="n">
        <x:v>0.913823</x:v>
      </x:c>
      <x:c r="L12" s="35" t="n">
        <x:v>0.89173</x:v>
      </x:c>
      <x:c r="M12" s="43" t="n">
        <x:f>IF(OR(K12="",L12=""),"",L12-K12)</x:f>
        <x:v>-0.02209300000000003</x:v>
      </x:c>
      <x:c r="N12" s="35" t="n">
        <x:v>0.895722</x:v>
      </x:c>
      <x:c r="O12" s="43" t="n">
        <x:f>IF(OR(K12="",N12=""),"",N12-K12)</x:f>
        <x:v>-0.018101000000000034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8" t="str">
        <x:v>新北市</x:v>
      </x:c>
      <x:c r="B13" s="38" t="str">
        <x:v>L2+L4（新莊實驗區）</x:v>
      </x:c>
      <x:c r="C13" s="41" t="n">
        <x:v>17</x:v>
      </x:c>
      <x:c r="D13" s="41" t="n">
        <x:v>18</x:v>
      </x:c>
      <x:c r="E13" s="41" t="n">
        <x:v>13</x:v>
      </x:c>
      <x:c r="F13" s="42" t="n">
        <x:v>8071.9</x:v>
      </x:c>
      <x:c r="G13" s="42" t="n">
        <x:v>8019.4</x:v>
      </x:c>
      <x:c r="H13" s="45" t="n">
        <x:f>IF(F13=0,"",G13/F13-1)</x:f>
        <x:v>-0.006504044896492811</x:v>
      </x:c>
      <x:c r="I13" s="42" t="n">
        <x:v>8619.1</x:v>
      </x:c>
      <x:c r="J13" s="45" t="n">
        <x:f>IF(F13=0,"",I13/F13-1)</x:f>
        <x:v>0.06779073080687326</x:v>
      </x:c>
      <x:c r="K13" s="46" t="n">
        <x:v>0.927222</x:v>
      </x:c>
      <x:c r="L13" s="46" t="n">
        <x:v>0.899212</x:v>
      </x:c>
      <x:c r="M13" s="45" t="n">
        <x:f>IF(OR(K13="",L13=""),"",L13-K13)</x:f>
        <x:v>-0.02800999999999998</x:v>
      </x:c>
      <x:c r="N13" s="46" t="n">
        <x:v>0.900264</x:v>
      </x:c>
      <x:c r="O13" s="45" t="n">
        <x:f>IF(OR(K13="",N13=""),"",N13-K13)</x:f>
        <x:v>-0.026958000000000037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5" t="str">
        <x:v>新北市</x:v>
      </x:c>
      <x:c r="B14" s="25" t="str">
        <x:v>三重區</x:v>
      </x:c>
      <x:c r="C14" s="39" t="n">
        <x:v>17</x:v>
      </x:c>
      <x:c r="D14" s="39" t="n">
        <x:v>18</x:v>
      </x:c>
      <x:c r="E14" s="39" t="n">
        <x:v>13</x:v>
      </x:c>
      <x:c r="F14" s="34" t="n">
        <x:v>14420.6</x:v>
      </x:c>
      <x:c r="G14" s="34" t="n">
        <x:v>14707.3</x:v>
      </x:c>
      <x:c r="H14" s="43" t="n">
        <x:f>IF(F14=0,"",G14/F14-1)</x:f>
        <x:v>0.01988128094531416</x:v>
      </x:c>
      <x:c r="I14" s="34" t="n">
        <x:v>15334.1</x:v>
      </x:c>
      <x:c r="J14" s="43" t="n">
        <x:f>IF(F14=0,"",I14/F14-1)</x:f>
        <x:v>0.06334687877064749</x:v>
      </x:c>
      <x:c r="K14" s="35" t="n">
        <x:v>0.918629</x:v>
      </x:c>
      <x:c r="L14" s="35" t="n">
        <x:v>0.911672</x:v>
      </x:c>
      <x:c r="M14" s="43" t="n">
        <x:f>IF(OR(K14="",L14=""),"",L14-K14)</x:f>
        <x:v>-0.006956999999999991</x:v>
      </x:c>
      <x:c r="N14" s="35" t="n">
        <x:v>0.913755</x:v>
      </x:c>
      <x:c r="O14" s="43" t="n">
        <x:f>IF(OR(K14="",N14=""),"",N14-K14)</x:f>
        <x:v>-0.004874000000000045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0" t="str">
        <x:v>新北市</x:v>
      </x:c>
      <x:c r="B15" s="20" t="str">
        <x:v>中和區</x:v>
      </x:c>
      <x:c r="C15" s="40" t="n">
        <x:v>17</x:v>
      </x:c>
      <x:c r="D15" s="40" t="n">
        <x:v>18</x:v>
      </x:c>
      <x:c r="E15" s="40" t="n">
        <x:v>13</x:v>
      </x:c>
      <x:c r="F15" s="23" t="n">
        <x:v>14486.6</x:v>
      </x:c>
      <x:c r="G15" s="23" t="n">
        <x:v>14165.2</x:v>
      </x:c>
      <x:c r="H15" s="44" t="n">
        <x:f>IF(F15=0,"",G15/F15-1)</x:f>
        <x:v>-0.022186020184170152</x:v>
      </x:c>
      <x:c r="I15" s="23" t="n">
        <x:v>15199.9</x:v>
      </x:c>
      <x:c r="J15" s="44" t="n">
        <x:f>IF(F15=0,"",I15/F15-1)</x:f>
        <x:v>0.04923860671240998</x:v>
      </x:c>
      <x:c r="K15" s="24" t="n">
        <x:v>0.943621</x:v>
      </x:c>
      <x:c r="L15" s="24" t="n">
        <x:v>0.938522</x:v>
      </x:c>
      <x:c r="M15" s="44" t="n">
        <x:f>IF(OR(K15="",L15=""),"",L15-K15)</x:f>
        <x:v>-0.005099000000000076</x:v>
      </x:c>
      <x:c r="N15" s="24" t="n">
        <x:v>0.929859</x:v>
      </x:c>
      <x:c r="O15" s="44" t="n">
        <x:f>IF(OR(K15="",N15=""),"",N15-K15)</x:f>
        <x:v>-0.013762000000000052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O3"/>
  </x:mergeCells>
  <x:conditionalFormatting sqref="H6:H15">
    <x:cfRule type="cellIs" dxfId="0" priority="1" operator="greaterThan">
      <x:formula>0</x:formula>
    </x:cfRule>
  </x:conditionalFormatting>
  <x:conditionalFormatting sqref="J6:J15">
    <x:cfRule type="cellIs" dxfId="1" priority="2" operator="greaterThan">
      <x:formula>0</x:formula>
    </x:cfRule>
  </x:conditionalFormatting>
  <x:conditionalFormatting sqref="M6:M15">
    <x:cfRule type="cellIs" dxfId="2" priority="3" operator="lessThan">
      <x:formula>0</x:formula>
    </x:cfRule>
  </x:conditionalFormatting>
  <x:conditionalFormatting sqref="O6:O15">
    <x:cfRule type="cellIs" dxfId="3" priority="4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4" hidden="0" customWidth="1"/>
    <x:col min="9" max="9" width="15" hidden="0" customWidth="1"/>
    <x:col min="10" max="10" width="14" hidden="0" customWidth="1"/>
    <x:col min="11" max="11" width="13" hidden="0" customWidth="1"/>
    <x:col min="12" max="12" width="13" hidden="0" customWidth="1"/>
    <x:col min="13" max="13" width="12" hidden="0" customWidth="1"/>
    <x:col min="14" max="14" width="13" hidden="0" customWidth="1"/>
    <x:col min="15" max="15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全責任區：5月、9月、10月用量與見車率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僅列9–10月任務報表出現的責任區；維護所及暫停營運專區無對應營運指標時留白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18" t="str">
        <x:v>城市</x:v>
      </x:c>
      <x:c r="B5" s="18" t="str">
        <x:v>責任區</x:v>
      </x:c>
      <x:c r="C5" s="18" t="str">
        <x:v>5月天數</x:v>
      </x:c>
      <x:c r="D5" s="18" t="str">
        <x:v>9月天數</x:v>
      </x:c>
      <x:c r="E5" s="18" t="str">
        <x:v>10月天數</x:v>
      </x:c>
      <x:c r="F5" s="18" t="str">
        <x:v>5月日均用量</x:v>
      </x:c>
      <x:c r="G5" s="18" t="str">
        <x:v>9月日均用量</x:v>
      </x:c>
      <x:c r="H5" s="18" t="str">
        <x:v>9月用量差異</x:v>
      </x:c>
      <x:c r="I5" s="18" t="str">
        <x:v>10月日均用量</x:v>
      </x:c>
      <x:c r="J5" s="18" t="str">
        <x:v>10月用量差異</x:v>
      </x:c>
      <x:c r="K5" s="18" t="str">
        <x:v>5月見車率</x:v>
      </x:c>
      <x:c r="L5" s="18" t="str">
        <x:v>9月見車率</x:v>
      </x:c>
      <x:c r="M5" s="18" t="str">
        <x:v>9月差異</x:v>
      </x:c>
      <x:c r="N5" s="18" t="str">
        <x:v>10月見車率</x:v>
      </x:c>
      <x:c r="O5" s="18" t="str">
        <x:v>10月差異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台北市</x:v>
      </x:c>
      <x:c r="B6" s="25" t="str">
        <x:v>台北市暫停營運專區</x:v>
      </x:c>
      <x:c r="C6" s="39" t="n">
        <x:v>0</x:v>
      </x:c>
      <x:c r="D6" s="39" t="n">
        <x:v>0</x:v>
      </x:c>
      <x:c r="E6" s="39" t="n">
        <x:v>0</x:v>
      </x:c>
      <x:c r="F6" s="34"/>
      <x:c r="G6" s="34"/>
      <x:c r="H6" s="43" t="str">
        <x:f>IF(OR(F6="",F6=0,G6=""),"",G6/F6-1)</x:f>
      </x:c>
      <x:c r="I6" s="34"/>
      <x:c r="J6" s="43" t="str">
        <x:f>IF(OR(F6="",F6=0,I6=""),"",I6/F6-1)</x:f>
      </x:c>
      <x:c r="K6" s="35"/>
      <x:c r="L6" s="35"/>
      <x:c r="M6" s="43" t="str">
        <x:f>IF(OR(K6="",L6=""),"",L6-K6)</x:f>
      </x:c>
      <x:c r="N6" s="35"/>
      <x:c r="O6" s="43" t="str">
        <x:f>IF(OR(K6="",N6=""),"",N6-K6)</x:f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0" t="str">
        <x:v>台北市</x:v>
      </x:c>
      <x:c r="B7" s="20" t="str">
        <x:v>台北維護所</x:v>
      </x:c>
      <x:c r="C7" s="40" t="n">
        <x:v>0</x:v>
      </x:c>
      <x:c r="D7" s="40" t="n">
        <x:v>0</x:v>
      </x:c>
      <x:c r="E7" s="40" t="n">
        <x:v>0</x:v>
      </x:c>
      <x:c r="F7" s="23"/>
      <x:c r="G7" s="23"/>
      <x:c r="H7" s="44" t="str">
        <x:f>IF(OR(F7="",F7=0,G7=""),"",G7/F7-1)</x:f>
      </x:c>
      <x:c r="I7" s="23"/>
      <x:c r="J7" s="44" t="str">
        <x:f>IF(OR(F7="",F7=0,I7=""),"",I7/F7-1)</x:f>
      </x:c>
      <x:c r="K7" s="24"/>
      <x:c r="L7" s="24"/>
      <x:c r="M7" s="44" t="str">
        <x:f>IF(OR(K7="",L7=""),"",L7-K7)</x:f>
      </x:c>
      <x:c r="N7" s="24"/>
      <x:c r="O7" s="44" t="str">
        <x:f>IF(OR(K7="",N7=""),"",N7-K7)</x:f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台北市</x:v>
      </x:c>
      <x:c r="B8" s="25" t="str">
        <x:v>ZA1</x:v>
      </x:c>
      <x:c r="C8" s="39" t="n">
        <x:v>17</x:v>
      </x:c>
      <x:c r="D8" s="39" t="n">
        <x:v>18</x:v>
      </x:c>
      <x:c r="E8" s="39" t="n">
        <x:v>13</x:v>
      </x:c>
      <x:c r="F8" s="34" t="n">
        <x:v>17401.5</x:v>
      </x:c>
      <x:c r="G8" s="34" t="n">
        <x:v>17414.8</x:v>
      </x:c>
      <x:c r="H8" s="43" t="n">
        <x:f>IF(OR(F8="",F8=0,G8=""),"",G8/F8-1)</x:f>
        <x:v>0.0007643019279945928</x:v>
      </x:c>
      <x:c r="I8" s="34" t="n">
        <x:v>18446.5</x:v>
      </x:c>
      <x:c r="J8" s="43" t="n">
        <x:f>IF(OR(F8="",F8=0,I8=""),"",I8/F8-1)</x:f>
        <x:v>0.06005229434244175</x:v>
      </x:c>
      <x:c r="K8" s="35" t="n">
        <x:v>0.906979</x:v>
      </x:c>
      <x:c r="L8" s="35" t="n">
        <x:v>0.912834</x:v>
      </x:c>
      <x:c r="M8" s="43" t="n">
        <x:f>IF(OR(K8="",L8=""),"",L8-K8)</x:f>
        <x:v>0.005855000000000055</x:v>
      </x:c>
      <x:c r="N8" s="35" t="n">
        <x:v>0.904505</x:v>
      </x:c>
      <x:c r="O8" s="43" t="n">
        <x:f>IF(OR(K8="",N8=""),"",N8-K8)</x:f>
        <x:v>-0.0024739999999999762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0" t="str">
        <x:v>台北市</x:v>
      </x:c>
      <x:c r="B9" s="20" t="str">
        <x:v>ZA2</x:v>
      </x:c>
      <x:c r="C9" s="40" t="n">
        <x:v>17</x:v>
      </x:c>
      <x:c r="D9" s="40" t="n">
        <x:v>18</x:v>
      </x:c>
      <x:c r="E9" s="40" t="n">
        <x:v>13</x:v>
      </x:c>
      <x:c r="F9" s="23" t="n">
        <x:v>20665</x:v>
      </x:c>
      <x:c r="G9" s="23" t="n">
        <x:v>20115.2</x:v>
      </x:c>
      <x:c r="H9" s="44" t="n">
        <x:f>IF(OR(F9="",F9=0,G9=""),"",G9/F9-1)</x:f>
        <x:v>-0.026605371400919342</x:v>
      </x:c>
      <x:c r="I9" s="23" t="n">
        <x:v>21149.6</x:v>
      </x:c>
      <x:c r="J9" s="44" t="n">
        <x:f>IF(OR(F9="",F9=0,I9=""),"",I9/F9-1)</x:f>
        <x:v>0.02345027824824575</x:v>
      </x:c>
      <x:c r="K9" s="24" t="n">
        <x:v>0.92959</x:v>
      </x:c>
      <x:c r="L9" s="24" t="n">
        <x:v>0.952179</x:v>
      </x:c>
      <x:c r="M9" s="44" t="n">
        <x:f>IF(OR(K9="",L9=""),"",L9-K9)</x:f>
        <x:v>0.02258899999999997</x:v>
      </x:c>
      <x:c r="N9" s="24" t="n">
        <x:v>0.944496</x:v>
      </x:c>
      <x:c r="O9" s="44" t="n">
        <x:f>IF(OR(K9="",N9=""),"",N9-K9)</x:f>
        <x:v>0.014905999999999975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5" t="str">
        <x:v>台北市</x:v>
      </x:c>
      <x:c r="B10" s="25" t="str">
        <x:v>ZB1</x:v>
      </x:c>
      <x:c r="C10" s="39" t="n">
        <x:v>17</x:v>
      </x:c>
      <x:c r="D10" s="39" t="n">
        <x:v>18</x:v>
      </x:c>
      <x:c r="E10" s="39" t="n">
        <x:v>13</x:v>
      </x:c>
      <x:c r="F10" s="34" t="n">
        <x:v>11445.1</x:v>
      </x:c>
      <x:c r="G10" s="34" t="n">
        <x:v>11424.2</x:v>
      </x:c>
      <x:c r="H10" s="43" t="n">
        <x:f>IF(OR(F10="",F10=0,G10=""),"",G10/F10-1)</x:f>
        <x:v>-0.001826108989873343</x:v>
      </x:c>
      <x:c r="I10" s="34" t="n">
        <x:v>12211.5</x:v>
      </x:c>
      <x:c r="J10" s="43" t="n">
        <x:f>IF(OR(F10="",F10=0,I10=""),"",I10/F10-1)</x:f>
        <x:v>0.06696315453774981</x:v>
      </x:c>
      <x:c r="K10" s="35" t="n">
        <x:v>0.905806</x:v>
      </x:c>
      <x:c r="L10" s="35" t="n">
        <x:v>0.881234</x:v>
      </x:c>
      <x:c r="M10" s="43" t="n">
        <x:f>IF(OR(K10="",L10=""),"",L10-K10)</x:f>
        <x:v>-0.024572000000000038</x:v>
      </x:c>
      <x:c r="N10" s="35" t="n">
        <x:v>0.858725</x:v>
      </x:c>
      <x:c r="O10" s="43" t="n">
        <x:f>IF(OR(K10="",N10=""),"",N10-K10)</x:f>
        <x:v>-0.04708100000000004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0" t="str">
        <x:v>台北市</x:v>
      </x:c>
      <x:c r="B11" s="20" t="str">
        <x:v>ZB2</x:v>
      </x:c>
      <x:c r="C11" s="40" t="n">
        <x:v>17</x:v>
      </x:c>
      <x:c r="D11" s="40" t="n">
        <x:v>18</x:v>
      </x:c>
      <x:c r="E11" s="40" t="n">
        <x:v>13</x:v>
      </x:c>
      <x:c r="F11" s="23" t="n">
        <x:v>15308.4</x:v>
      </x:c>
      <x:c r="G11" s="23" t="n">
        <x:v>17378.5</x:v>
      </x:c>
      <x:c r="H11" s="44" t="n">
        <x:f>IF(OR(F11="",F11=0,G11=""),"",G11/F11-1)</x:f>
        <x:v>0.13522641164328086</x:v>
      </x:c>
      <x:c r="I11" s="23" t="n">
        <x:v>17635.5</x:v>
      </x:c>
      <x:c r="J11" s="44" t="n">
        <x:f>IF(OR(F11="",F11=0,I11=""),"",I11/F11-1)</x:f>
        <x:v>0.15201458023046177</x:v>
      </x:c>
      <x:c r="K11" s="24" t="n">
        <x:v>0.844068</x:v>
      </x:c>
      <x:c r="L11" s="24" t="n">
        <x:v>0.819784</x:v>
      </x:c>
      <x:c r="M11" s="44" t="n">
        <x:f>IF(OR(K11="",L11=""),"",L11-K11)</x:f>
        <x:v>-0.024284000000000083</x:v>
      </x:c>
      <x:c r="N11" s="24" t="n">
        <x:v>0.807078</x:v>
      </x:c>
      <x:c r="O11" s="44" t="n">
        <x:f>IF(OR(K11="",N11=""),"",N11-K11)</x:f>
        <x:v>-0.03699000000000008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5" t="str">
        <x:v>台北市</x:v>
      </x:c>
      <x:c r="B12" s="25" t="str">
        <x:v>ZB3</x:v>
      </x:c>
      <x:c r="C12" s="39" t="n">
        <x:v>17</x:v>
      </x:c>
      <x:c r="D12" s="39" t="n">
        <x:v>18</x:v>
      </x:c>
      <x:c r="E12" s="39" t="n">
        <x:v>13</x:v>
      </x:c>
      <x:c r="F12" s="34" t="n">
        <x:v>11257.8</x:v>
      </x:c>
      <x:c r="G12" s="34" t="n">
        <x:v>12321.1</x:v>
      </x:c>
      <x:c r="H12" s="43" t="n">
        <x:f>IF(OR(F12="",F12=0,G12=""),"",G12/F12-1)</x:f>
        <x:v>0.09445007017356866</x:v>
      </x:c>
      <x:c r="I12" s="34" t="n">
        <x:v>12615.5</x:v>
      </x:c>
      <x:c r="J12" s="43" t="n">
        <x:f>IF(OR(F12="",F12=0,I12=""),"",I12/F12-1)</x:f>
        <x:v>0.12060082787045423</x:v>
      </x:c>
      <x:c r="K12" s="35" t="n">
        <x:v>0.874633</x:v>
      </x:c>
      <x:c r="L12" s="35" t="n">
        <x:v>0.852789</x:v>
      </x:c>
      <x:c r="M12" s="43" t="n">
        <x:f>IF(OR(K12="",L12=""),"",L12-K12)</x:f>
        <x:v>-0.021843999999999975</x:v>
      </x:c>
      <x:c r="N12" s="35" t="n">
        <x:v>0.845454</x:v>
      </x:c>
      <x:c r="O12" s="43" t="n">
        <x:f>IF(OR(K12="",N12=""),"",N12-K12)</x:f>
        <x:v>-0.029178999999999955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0" t="str">
        <x:v>台北市</x:v>
      </x:c>
      <x:c r="B13" s="20" t="str">
        <x:v>ZB4</x:v>
      </x:c>
      <x:c r="C13" s="40" t="n">
        <x:v>17</x:v>
      </x:c>
      <x:c r="D13" s="40" t="n">
        <x:v>18</x:v>
      </x:c>
      <x:c r="E13" s="40" t="n">
        <x:v>13</x:v>
      </x:c>
      <x:c r="F13" s="23" t="n">
        <x:v>5169</x:v>
      </x:c>
      <x:c r="G13" s="23" t="n">
        <x:v>5155.2</x:v>
      </x:c>
      <x:c r="H13" s="44" t="n">
        <x:f>IF(OR(F13="",F13=0,G13=""),"",G13/F13-1)</x:f>
        <x:v>-0.0026697620429483315</x:v>
      </x:c>
      <x:c r="I13" s="23" t="n">
        <x:v>5381.8</x:v>
      </x:c>
      <x:c r="J13" s="44" t="n">
        <x:f>IF(OR(F13="",F13=0,I13=""),"",I13/F13-1)</x:f>
        <x:v>0.04116850454633392</x:v>
      </x:c>
      <x:c r="K13" s="24" t="n">
        <x:v>0.870816</x:v>
      </x:c>
      <x:c r="L13" s="24" t="n">
        <x:v>0.863779</x:v>
      </x:c>
      <x:c r="M13" s="44" t="n">
        <x:f>IF(OR(K13="",L13=""),"",L13-K13)</x:f>
        <x:v>-0.007037000000000071</x:v>
      </x:c>
      <x:c r="N13" s="24" t="n">
        <x:v>0.845689</x:v>
      </x:c>
      <x:c r="O13" s="44" t="n">
        <x:f>IF(OR(K13="",N13=""),"",N13-K13)</x:f>
        <x:v>-0.02512700000000001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5" t="str">
        <x:v>台北市</x:v>
      </x:c>
      <x:c r="B14" s="25" t="str">
        <x:v>ZC1</x:v>
      </x:c>
      <x:c r="C14" s="39" t="n">
        <x:v>17</x:v>
      </x:c>
      <x:c r="D14" s="39" t="n">
        <x:v>18</x:v>
      </x:c>
      <x:c r="E14" s="39" t="n">
        <x:v>13</x:v>
      </x:c>
      <x:c r="F14" s="34" t="n">
        <x:v>11562.4</x:v>
      </x:c>
      <x:c r="G14" s="34" t="n">
        <x:v>11739.1</x:v>
      </x:c>
      <x:c r="H14" s="43" t="n">
        <x:f>IF(OR(F14="",F14=0,G14=""),"",G14/F14-1)</x:f>
        <x:v>0.015282294333356372</x:v>
      </x:c>
      <x:c r="I14" s="34" t="n">
        <x:v>12192.2</x:v>
      </x:c>
      <x:c r="J14" s="43" t="n">
        <x:f>IF(OR(F14="",F14=0,I14=""),"",I14/F14-1)</x:f>
        <x:v>0.05446966027814315</x:v>
      </x:c>
      <x:c r="K14" s="35" t="n">
        <x:v>0.933895</x:v>
      </x:c>
      <x:c r="L14" s="35" t="n">
        <x:v>0.94123</x:v>
      </x:c>
      <x:c r="M14" s="43" t="n">
        <x:f>IF(OR(K14="",L14=""),"",L14-K14)</x:f>
        <x:v>0.00733499999999998</x:v>
      </x:c>
      <x:c r="N14" s="35" t="n">
        <x:v>0.928386</x:v>
      </x:c>
      <x:c r="O14" s="43" t="n">
        <x:f>IF(OR(K14="",N14=""),"",N14-K14)</x:f>
        <x:v>-0.005508999999999986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0" t="str">
        <x:v>台北市</x:v>
      </x:c>
      <x:c r="B15" s="20" t="str">
        <x:v>ZC2</x:v>
      </x:c>
      <x:c r="C15" s="40" t="n">
        <x:v>17</x:v>
      </x:c>
      <x:c r="D15" s="40" t="n">
        <x:v>18</x:v>
      </x:c>
      <x:c r="E15" s="40" t="n">
        <x:v>13</x:v>
      </x:c>
      <x:c r="F15" s="23" t="n">
        <x:v>13127.2</x:v>
      </x:c>
      <x:c r="G15" s="23" t="n">
        <x:v>13247.1</x:v>
      </x:c>
      <x:c r="H15" s="44" t="n">
        <x:f>IF(OR(F15="",F15=0,G15=""),"",G15/F15-1)</x:f>
        <x:v>0.009133707111950828</x:v>
      </x:c>
      <x:c r="I15" s="23" t="n">
        <x:v>13670.2</x:v>
      </x:c>
      <x:c r="J15" s="44" t="n">
        <x:f>IF(OR(F15="",F15=0,I15=""),"",I15/F15-1)</x:f>
        <x:v>0.04136449509415563</x:v>
      </x:c>
      <x:c r="K15" s="24" t="n">
        <x:v>0.913571</x:v>
      </x:c>
      <x:c r="L15" s="24" t="n">
        <x:v>0.932067</x:v>
      </x:c>
      <x:c r="M15" s="44" t="n">
        <x:f>IF(OR(K15="",L15=""),"",L15-K15)</x:f>
        <x:v>0.018495999999999957</x:v>
      </x:c>
      <x:c r="N15" s="24" t="n">
        <x:v>0.924506</x:v>
      </x:c>
      <x:c r="O15" s="44" t="n">
        <x:f>IF(OR(K15="",N15=""),"",N15-K15)</x:f>
        <x:v>0.010935000000000028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5" t="str">
        <x:v>台北市</x:v>
      </x:c>
      <x:c r="B16" s="25" t="str">
        <x:v>ZD1</x:v>
      </x:c>
      <x:c r="C16" s="39" t="n">
        <x:v>17</x:v>
      </x:c>
      <x:c r="D16" s="39" t="n">
        <x:v>18</x:v>
      </x:c>
      <x:c r="E16" s="39" t="n">
        <x:v>13</x:v>
      </x:c>
      <x:c r="F16" s="34" t="n">
        <x:v>9864.4</x:v>
      </x:c>
      <x:c r="G16" s="34" t="n">
        <x:v>9871.7</x:v>
      </x:c>
      <x:c r="H16" s="43" t="n">
        <x:f>IF(OR(F16="",F16=0,G16=""),"",G16/F16-1)</x:f>
        <x:v>0.0007400348728763273</x:v>
      </x:c>
      <x:c r="I16" s="34" t="n">
        <x:v>10714.8</x:v>
      </x:c>
      <x:c r="J16" s="43" t="n">
        <x:f>IF(OR(F16="",F16=0,I16=""),"",I16/F16-1)</x:f>
        <x:v>0.08620899395807147</x:v>
      </x:c>
      <x:c r="K16" s="35" t="n">
        <x:v>0.951092</x:v>
      </x:c>
      <x:c r="L16" s="35" t="n">
        <x:v>0.931538</x:v>
      </x:c>
      <x:c r="M16" s="43" t="n">
        <x:f>IF(OR(K16="",L16=""),"",L16-K16)</x:f>
        <x:v>-0.01955400000000007</x:v>
      </x:c>
      <x:c r="N16" s="35" t="n">
        <x:v>0.950358</x:v>
      </x:c>
      <x:c r="O16" s="43" t="n">
        <x:f>IF(OR(K16="",N16=""),"",N16-K16)</x:f>
        <x:v>-0.0007340000000000124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0" t="str">
        <x:v>台北市</x:v>
      </x:c>
      <x:c r="B17" s="20" t="str">
        <x:v>ZD2</x:v>
      </x:c>
      <x:c r="C17" s="40" t="n">
        <x:v>17</x:v>
      </x:c>
      <x:c r="D17" s="40" t="n">
        <x:v>18</x:v>
      </x:c>
      <x:c r="E17" s="40" t="n">
        <x:v>13</x:v>
      </x:c>
      <x:c r="F17" s="23" t="n">
        <x:v>13823.3</x:v>
      </x:c>
      <x:c r="G17" s="23" t="n">
        <x:v>13339.5</x:v>
      </x:c>
      <x:c r="H17" s="44" t="n">
        <x:f>IF(OR(F17="",F17=0,G17=""),"",G17/F17-1)</x:f>
        <x:v>-0.034998878704795455</x:v>
      </x:c>
      <x:c r="I17" s="23" t="n">
        <x:v>14350.7</x:v>
      </x:c>
      <x:c r="J17" s="44" t="n">
        <x:f>IF(OR(F17="",F17=0,I17=""),"",I17/F17-1)</x:f>
        <x:v>0.038152973602540774</x:v>
      </x:c>
      <x:c r="K17" s="24" t="n">
        <x:v>0.933977</x:v>
      </x:c>
      <x:c r="L17" s="24" t="n">
        <x:v>0.931368</x:v>
      </x:c>
      <x:c r="M17" s="44" t="n">
        <x:f>IF(OR(K17="",L17=""),"",L17-K17)</x:f>
        <x:v>-0.0026089999999999725</x:v>
      </x:c>
      <x:c r="N17" s="24" t="n">
        <x:v>0.940224</x:v>
      </x:c>
      <x:c r="O17" s="44" t="n">
        <x:f>IF(OR(K17="",N17=""),"",N17-K17)</x:f>
        <x:v>0.0062470000000000026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5" t="str">
        <x:v>台北市</x:v>
      </x:c>
      <x:c r="B18" s="25" t="str">
        <x:v>ZD3</x:v>
      </x:c>
      <x:c r="C18" s="39" t="n">
        <x:v>17</x:v>
      </x:c>
      <x:c r="D18" s="39" t="n">
        <x:v>18</x:v>
      </x:c>
      <x:c r="E18" s="39" t="n">
        <x:v>13</x:v>
      </x:c>
      <x:c r="F18" s="34" t="n">
        <x:v>12878.3</x:v>
      </x:c>
      <x:c r="G18" s="34" t="n">
        <x:v>12419.5</x:v>
      </x:c>
      <x:c r="H18" s="43" t="n">
        <x:f>IF(OR(F18="",F18=0,G18=""),"",G18/F18-1)</x:f>
        <x:v>-0.0356258201781291</x:v>
      </x:c>
      <x:c r="I18" s="34" t="n">
        <x:v>13602</x:v>
      </x:c>
      <x:c r="J18" s="43" t="n">
        <x:f>IF(OR(F18="",F18=0,I18=""),"",I18/F18-1)</x:f>
        <x:v>0.05619530528097649</x:v>
      </x:c>
      <x:c r="K18" s="35" t="n">
        <x:v>0.913325</x:v>
      </x:c>
      <x:c r="L18" s="35" t="n">
        <x:v>0.907775</x:v>
      </x:c>
      <x:c r="M18" s="43" t="n">
        <x:f>IF(OR(K18="",L18=""),"",L18-K18)</x:f>
        <x:v>-0.005550000000000055</x:v>
      </x:c>
      <x:c r="N18" s="35" t="n">
        <x:v>0.905039</x:v>
      </x:c>
      <x:c r="O18" s="43" t="n">
        <x:f>IF(OR(K18="",N18=""),"",N18-K18)</x:f>
        <x:v>-0.008286000000000016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0" t="str">
        <x:v>台北市</x:v>
      </x:c>
      <x:c r="B19" s="20" t="str">
        <x:v>ZE1</x:v>
      </x:c>
      <x:c r="C19" s="40" t="n">
        <x:v>17</x:v>
      </x:c>
      <x:c r="D19" s="40" t="n">
        <x:v>18</x:v>
      </x:c>
      <x:c r="E19" s="40" t="n">
        <x:v>13</x:v>
      </x:c>
      <x:c r="F19" s="23" t="n">
        <x:v>6492.3</x:v>
      </x:c>
      <x:c r="G19" s="23" t="n">
        <x:v>6430.3</x:v>
      </x:c>
      <x:c r="H19" s="44" t="n">
        <x:f>IF(OR(F19="",F19=0,G19=""),"",G19/F19-1)</x:f>
        <x:v>-0.009549774348073914</x:v>
      </x:c>
      <x:c r="I19" s="23" t="n">
        <x:v>6717.2</x:v>
      </x:c>
      <x:c r="J19" s="44" t="n">
        <x:f>IF(OR(F19="",F19=0,I19=""),"",I19/F19-1)</x:f>
        <x:v>0.03464103630454529</x:v>
      </x:c>
      <x:c r="K19" s="24" t="n">
        <x:v>0.961494</x:v>
      </x:c>
      <x:c r="L19" s="24" t="n">
        <x:v>0.96593</x:v>
      </x:c>
      <x:c r="M19" s="44" t="n">
        <x:f>IF(OR(K19="",L19=""),"",L19-K19)</x:f>
        <x:v>0.0044359999999999955</x:v>
      </x:c>
      <x:c r="N19" s="24" t="n">
        <x:v>0.952301</x:v>
      </x:c>
      <x:c r="O19" s="44" t="n">
        <x:f>IF(OR(K19="",N19=""),"",N19-K19)</x:f>
        <x:v>-0.009193000000000007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5" t="str">
        <x:v>台北市</x:v>
      </x:c>
      <x:c r="B20" s="25" t="str">
        <x:v>ZE2</x:v>
      </x:c>
      <x:c r="C20" s="39" t="n">
        <x:v>17</x:v>
      </x:c>
      <x:c r="D20" s="39" t="n">
        <x:v>18</x:v>
      </x:c>
      <x:c r="E20" s="39" t="n">
        <x:v>13</x:v>
      </x:c>
      <x:c r="F20" s="34" t="n">
        <x:v>6725.7</x:v>
      </x:c>
      <x:c r="G20" s="34" t="n">
        <x:v>7061</x:v>
      </x:c>
      <x:c r="H20" s="43" t="n">
        <x:f>IF(OR(F20="",F20=0,G20=""),"",G20/F20-1)</x:f>
        <x:v>0.04985354684270793</x:v>
      </x:c>
      <x:c r="I20" s="34" t="n">
        <x:v>7307.3</x:v>
      </x:c>
      <x:c r="J20" s="43" t="n">
        <x:f>IF(OR(F20="",F20=0,I20=""),"",I20/F20-1)</x:f>
        <x:v>0.08647427033617316</x:v>
      </x:c>
      <x:c r="K20" s="35" t="n">
        <x:v>0.954685</x:v>
      </x:c>
      <x:c r="L20" s="35" t="n">
        <x:v>0.94933</x:v>
      </x:c>
      <x:c r="M20" s="43" t="n">
        <x:f>IF(OR(K20="",L20=""),"",L20-K20)</x:f>
        <x:v>-0.005354999999999999</x:v>
      </x:c>
      <x:c r="N20" s="35" t="n">
        <x:v>0.941018</x:v>
      </x:c>
      <x:c r="O20" s="43" t="n">
        <x:f>IF(OR(K20="",N20=""),"",N20-K20)</x:f>
        <x:v>-0.013666999999999985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0" t="str">
        <x:v>台北市</x:v>
      </x:c>
      <x:c r="B21" s="20" t="str">
        <x:v>ZH1</x:v>
      </x:c>
      <x:c r="C21" s="40" t="n">
        <x:v>17</x:v>
      </x:c>
      <x:c r="D21" s="40" t="n">
        <x:v>18</x:v>
      </x:c>
      <x:c r="E21" s="40" t="n">
        <x:v>13</x:v>
      </x:c>
      <x:c r="F21" s="23" t="n">
        <x:v>8042.4</x:v>
      </x:c>
      <x:c r="G21" s="23" t="n">
        <x:v>8006.2</x:v>
      </x:c>
      <x:c r="H21" s="44" t="n">
        <x:f>IF(OR(F21="",F21=0,G21=""),"",G21/F21-1)</x:f>
        <x:v>-0.00450114393713319</x:v>
      </x:c>
      <x:c r="I21" s="23" t="n">
        <x:v>8323.7</x:v>
      </x:c>
      <x:c r="J21" s="44" t="n">
        <x:f>IF(OR(F21="",F21=0,I21=""),"",I21/F21-1)</x:f>
        <x:v>0.03497712125733621</x:v>
      </x:c>
      <x:c r="K21" s="24" t="n">
        <x:v>0.961279</x:v>
      </x:c>
      <x:c r="L21" s="24" t="n">
        <x:v>0.964236</x:v>
      </x:c>
      <x:c r="M21" s="44" t="n">
        <x:f>IF(OR(K21="",L21=""),"",L21-K21)</x:f>
        <x:v>0.0029569999999999874</x:v>
      </x:c>
      <x:c r="N21" s="24" t="n">
        <x:v>0.960501</x:v>
      </x:c>
      <x:c r="O21" s="44" t="n">
        <x:f>IF(OR(K21="",N21=""),"",N21-K21)</x:f>
        <x:v>-0.0007779999999999454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5" t="str">
        <x:v>台北市</x:v>
      </x:c>
      <x:c r="B22" s="25" t="str">
        <x:v>ZH2</x:v>
      </x:c>
      <x:c r="C22" s="39" t="n">
        <x:v>17</x:v>
      </x:c>
      <x:c r="D22" s="39" t="n">
        <x:v>18</x:v>
      </x:c>
      <x:c r="E22" s="39" t="n">
        <x:v>13</x:v>
      </x:c>
      <x:c r="F22" s="34" t="n">
        <x:v>11290.5</x:v>
      </x:c>
      <x:c r="G22" s="34" t="n">
        <x:v>11626</x:v>
      </x:c>
      <x:c r="H22" s="43" t="n">
        <x:f>IF(OR(F22="",F22=0,G22=""),"",G22/F22-1)</x:f>
        <x:v>0.02971524733182762</x:v>
      </x:c>
      <x:c r="I22" s="34" t="n">
        <x:v>12233.2</x:v>
      </x:c>
      <x:c r="J22" s="43" t="n">
        <x:f>IF(OR(F22="",F22=0,I22=""),"",I22/F22-1)</x:f>
        <x:v>0.08349497365041403</x:v>
      </x:c>
      <x:c r="K22" s="35" t="n">
        <x:v>0.946398</x:v>
      </x:c>
      <x:c r="L22" s="35" t="n">
        <x:v>0.947349</x:v>
      </x:c>
      <x:c r="M22" s="43" t="n">
        <x:f>IF(OR(K22="",L22=""),"",L22-K22)</x:f>
        <x:v>0.0009510000000000352</x:v>
      </x:c>
      <x:c r="N22" s="35" t="n">
        <x:v>0.944832</x:v>
      </x:c>
      <x:c r="O22" s="43" t="n">
        <x:f>IF(OR(K22="",N22=""),"",N22-K22)</x:f>
        <x:v>-0.0015659999999999563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0" t="str">
        <x:v>台北市</x:v>
      </x:c>
      <x:c r="B23" s="20" t="str">
        <x:v>ZI1</x:v>
      </x:c>
      <x:c r="C23" s="40" t="n">
        <x:v>17</x:v>
      </x:c>
      <x:c r="D23" s="40" t="n">
        <x:v>18</x:v>
      </x:c>
      <x:c r="E23" s="40" t="n">
        <x:v>13</x:v>
      </x:c>
      <x:c r="F23" s="23" t="n">
        <x:v>15646.8</x:v>
      </x:c>
      <x:c r="G23" s="23" t="n">
        <x:v>15416.1</x:v>
      </x:c>
      <x:c r="H23" s="44" t="n">
        <x:f>IF(OR(F23="",F23=0,G23=""),"",G23/F23-1)</x:f>
        <x:v>-0.014744228851905739</x:v>
      </x:c>
      <x:c r="I23" s="23" t="n">
        <x:v>16364.6</x:v>
      </x:c>
      <x:c r="J23" s="44" t="n">
        <x:f>IF(OR(F23="",F23=0,I23=""),"",I23/F23-1)</x:f>
        <x:v>0.04587519492803649</x:v>
      </x:c>
      <x:c r="K23" s="24" t="n">
        <x:v>0.933446</x:v>
      </x:c>
      <x:c r="L23" s="24" t="n">
        <x:v>0.938902</x:v>
      </x:c>
      <x:c r="M23" s="44" t="n">
        <x:f>IF(OR(K23="",L23=""),"",L23-K23)</x:f>
        <x:v>0.005456000000000016</x:v>
      </x:c>
      <x:c r="N23" s="24" t="n">
        <x:v>0.93468</x:v>
      </x:c>
      <x:c r="O23" s="44" t="n">
        <x:f>IF(OR(K23="",N23=""),"",N23-K23)</x:f>
        <x:v>0.0012339999999999574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5" t="str">
        <x:v>台北市</x:v>
      </x:c>
      <x:c r="B24" s="25" t="str">
        <x:v>ZI2</x:v>
      </x:c>
      <x:c r="C24" s="39" t="n">
        <x:v>17</x:v>
      </x:c>
      <x:c r="D24" s="39" t="n">
        <x:v>18</x:v>
      </x:c>
      <x:c r="E24" s="39" t="n">
        <x:v>13</x:v>
      </x:c>
      <x:c r="F24" s="34" t="n">
        <x:v>11019.4</x:v>
      </x:c>
      <x:c r="G24" s="34" t="n">
        <x:v>11196.9</x:v>
      </x:c>
      <x:c r="H24" s="43" t="n">
        <x:f>IF(OR(F24="",F24=0,G24=""),"",G24/F24-1)</x:f>
        <x:v>0.016107955061074097</x:v>
      </x:c>
      <x:c r="I24" s="34" t="n">
        <x:v>11698.7</x:v>
      </x:c>
      <x:c r="J24" s="43" t="n">
        <x:f>IF(OR(F24="",F24=0,I24=""),"",I24/F24-1)</x:f>
        <x:v>0.061645824636550106</x:v>
      </x:c>
      <x:c r="K24" s="35" t="n">
        <x:v>0.95098</x:v>
      </x:c>
      <x:c r="L24" s="35" t="n">
        <x:v>0.949515</x:v>
      </x:c>
      <x:c r="M24" s="43" t="n">
        <x:f>IF(OR(K24="",L24=""),"",L24-K24)</x:f>
        <x:v>-0.0014650000000000496</x:v>
      </x:c>
      <x:c r="N24" s="35" t="n">
        <x:v>0.950628</x:v>
      </x:c>
      <x:c r="O24" s="43" t="n">
        <x:f>IF(OR(K24="",N24=""),"",N24-K24)</x:f>
        <x:v>-0.00035200000000001896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0" t="str">
        <x:v>台北市</x:v>
      </x:c>
      <x:c r="B25" s="20" t="str">
        <x:v>ZI3</x:v>
      </x:c>
      <x:c r="C25" s="40" t="n">
        <x:v>17</x:v>
      </x:c>
      <x:c r="D25" s="40" t="n">
        <x:v>18</x:v>
      </x:c>
      <x:c r="E25" s="40" t="n">
        <x:v>13</x:v>
      </x:c>
      <x:c r="F25" s="23" t="n">
        <x:v>12051.2</x:v>
      </x:c>
      <x:c r="G25" s="23" t="n">
        <x:v>12220.3</x:v>
      </x:c>
      <x:c r="H25" s="44" t="n">
        <x:f>IF(OR(F25="",F25=0,G25=""),"",G25/F25-1)</x:f>
        <x:v>0.014031797663303092</x:v>
      </x:c>
      <x:c r="I25" s="23" t="n">
        <x:v>12925</x:v>
      </x:c>
      <x:c r="J25" s="44" t="n">
        <x:f>IF(OR(F25="",F25=0,I25=""),"",I25/F25-1)</x:f>
        <x:v>0.07250730217737655</x:v>
      </x:c>
      <x:c r="K25" s="24" t="n">
        <x:v>0.932556</x:v>
      </x:c>
      <x:c r="L25" s="24" t="n">
        <x:v>0.934246</x:v>
      </x:c>
      <x:c r="M25" s="44" t="n">
        <x:f>IF(OR(K25="",L25=""),"",L25-K25)</x:f>
        <x:v>0.0016899999999999693</x:v>
      </x:c>
      <x:c r="N25" s="24" t="n">
        <x:v>0.946918</x:v>
      </x:c>
      <x:c r="O25" s="44" t="n">
        <x:f>IF(OR(K25="",N25=""),"",N25-K25)</x:f>
        <x:v>0.014361999999999986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5" t="str">
        <x:v>台北市</x:v>
      </x:c>
      <x:c r="B26" s="25" t="str">
        <x:v>ZJ1</x:v>
      </x:c>
      <x:c r="C26" s="39" t="n">
        <x:v>17</x:v>
      </x:c>
      <x:c r="D26" s="39" t="n">
        <x:v>18</x:v>
      </x:c>
      <x:c r="E26" s="39" t="n">
        <x:v>13</x:v>
      </x:c>
      <x:c r="F26" s="34" t="n">
        <x:v>17314.6</x:v>
      </x:c>
      <x:c r="G26" s="34" t="n">
        <x:v>16883.7</x:v>
      </x:c>
      <x:c r="H26" s="43" t="n">
        <x:f>IF(OR(F26="",F26=0,G26=""),"",G26/F26-1)</x:f>
        <x:v>-0.024886511961003888</x:v>
      </x:c>
      <x:c r="I26" s="34" t="n">
        <x:v>17867.6</x:v>
      </x:c>
      <x:c r="J26" s="43" t="n">
        <x:f>IF(OR(F26="",F26=0,I26=""),"",I26/F26-1)</x:f>
        <x:v>0.03193836415510609</x:v>
      </x:c>
      <x:c r="K26" s="35" t="n">
        <x:v>0.917473</x:v>
      </x:c>
      <x:c r="L26" s="35" t="n">
        <x:v>0.934008</x:v>
      </x:c>
      <x:c r="M26" s="43" t="n">
        <x:f>IF(OR(K26="",L26=""),"",L26-K26)</x:f>
        <x:v>0.016534999999999966</x:v>
      </x:c>
      <x:c r="N26" s="35" t="n">
        <x:v>0.919932</x:v>
      </x:c>
      <x:c r="O26" s="43" t="n">
        <x:f>IF(OR(K26="",N26=""),"",N26-K26)</x:f>
        <x:v>0.002458999999999989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0" t="str">
        <x:v>台北市</x:v>
      </x:c>
      <x:c r="B27" s="20" t="str">
        <x:v>ZJ2</x:v>
      </x:c>
      <x:c r="C27" s="40" t="n">
        <x:v>17</x:v>
      </x:c>
      <x:c r="D27" s="40" t="n">
        <x:v>18</x:v>
      </x:c>
      <x:c r="E27" s="40" t="n">
        <x:v>13</x:v>
      </x:c>
      <x:c r="F27" s="23" t="n">
        <x:v>21262.1</x:v>
      </x:c>
      <x:c r="G27" s="23" t="n">
        <x:v>20513.5</x:v>
      </x:c>
      <x:c r="H27" s="44" t="n">
        <x:f>IF(OR(F27="",F27=0,G27=""),"",G27/F27-1)</x:f>
        <x:v>-0.035208187338033325</x:v>
      </x:c>
      <x:c r="I27" s="23" t="n">
        <x:v>21610</x:v>
      </x:c>
      <x:c r="J27" s="44" t="n">
        <x:f>IF(OR(F27="",F27=0,I27=""),"",I27/F27-1)</x:f>
        <x:v>0.016362447735642327</x:v>
      </x:c>
      <x:c r="K27" s="24" t="n">
        <x:v>0.930354</x:v>
      </x:c>
      <x:c r="L27" s="24" t="n">
        <x:v>0.934483</x:v>
      </x:c>
      <x:c r="M27" s="44" t="n">
        <x:f>IF(OR(K27="",L27=""),"",L27-K27)</x:f>
        <x:v>0.004128999999999938</x:v>
      </x:c>
      <x:c r="N27" s="24" t="n">
        <x:v>0.920457</x:v>
      </x:c>
      <x:c r="O27" s="44" t="n">
        <x:f>IF(OR(K27="",N27=""),"",N27-K27)</x:f>
        <x:v>-0.009897000000000045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5" t="str">
        <x:v>台北市</x:v>
      </x:c>
      <x:c r="B28" s="25" t="str">
        <x:v>ZN1</x:v>
      </x:c>
      <x:c r="C28" s="39" t="n">
        <x:v>17</x:v>
      </x:c>
      <x:c r="D28" s="39" t="n">
        <x:v>18</x:v>
      </x:c>
      <x:c r="E28" s="39" t="n">
        <x:v>13</x:v>
      </x:c>
      <x:c r="F28" s="34" t="n">
        <x:v>5192.2</x:v>
      </x:c>
      <x:c r="G28" s="34" t="n">
        <x:v>5259.8</x:v>
      </x:c>
      <x:c r="H28" s="43" t="n">
        <x:f>IF(OR(F28="",F28=0,G28=""),"",G28/F28-1)</x:f>
        <x:v>0.013019529293941012</x:v>
      </x:c>
      <x:c r="I28" s="34" t="n">
        <x:v>5588.3</x:v>
      </x:c>
      <x:c r="J28" s="43" t="n">
        <x:f>IF(OR(F28="",F28=0,I28=""),"",I28/F28-1)</x:f>
        <x:v>0.07628750818535512</x:v>
      </x:c>
      <x:c r="K28" s="35" t="n">
        <x:v>0.896272</x:v>
      </x:c>
      <x:c r="L28" s="35" t="n">
        <x:v>0.937806</x:v>
      </x:c>
      <x:c r="M28" s="43" t="n">
        <x:f>IF(OR(K28="",L28=""),"",L28-K28)</x:f>
        <x:v>0.04153400000000007</x:v>
      </x:c>
      <x:c r="N28" s="35" t="n">
        <x:v>0.921956</x:v>
      </x:c>
      <x:c r="O28" s="43" t="n">
        <x:f>IF(OR(K28="",N28=""),"",N28-K28)</x:f>
        <x:v>0.02568400000000004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0" t="str">
        <x:v>台北市</x:v>
      </x:c>
      <x:c r="B29" s="20" t="str">
        <x:v>ZN2</x:v>
      </x:c>
      <x:c r="C29" s="40" t="n">
        <x:v>17</x:v>
      </x:c>
      <x:c r="D29" s="40" t="n">
        <x:v>18</x:v>
      </x:c>
      <x:c r="E29" s="40" t="n">
        <x:v>13</x:v>
      </x:c>
      <x:c r="F29" s="23" t="n">
        <x:v>6338.1</x:v>
      </x:c>
      <x:c r="G29" s="23" t="n">
        <x:v>6420.4</x:v>
      </x:c>
      <x:c r="H29" s="44" t="n">
        <x:f>IF(OR(F29="",F29=0,G29=""),"",G29/F29-1)</x:f>
        <x:v>0.012984963948186268</x:v>
      </x:c>
      <x:c r="I29" s="23" t="n">
        <x:v>6710.4</x:v>
      </x:c>
      <x:c r="J29" s="44" t="n">
        <x:f>IF(OR(F29="",F29=0,I29=""),"",I29/F29-1)</x:f>
        <x:v>0.05874000094665588</x:v>
      </x:c>
      <x:c r="K29" s="24" t="n">
        <x:v>0.916723</x:v>
      </x:c>
      <x:c r="L29" s="24" t="n">
        <x:v>0.921149</x:v>
      </x:c>
      <x:c r="M29" s="44" t="n">
        <x:f>IF(OR(K29="",L29=""),"",L29-K29)</x:f>
        <x:v>0.004426000000000041</x:v>
      </x:c>
      <x:c r="N29" s="24" t="n">
        <x:v>0.910041</x:v>
      </x:c>
      <x:c r="O29" s="44" t="n">
        <x:f>IF(OR(K29="",N29=""),"",N29-K29)</x:f>
        <x:v>-0.006681999999999966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5" t="str">
        <x:v>台北市</x:v>
      </x:c>
      <x:c r="B30" s="25" t="str">
        <x:v>ZN3</x:v>
      </x:c>
      <x:c r="C30" s="39" t="n">
        <x:v>17</x:v>
      </x:c>
      <x:c r="D30" s="39" t="n">
        <x:v>18</x:v>
      </x:c>
      <x:c r="E30" s="39" t="n">
        <x:v>13</x:v>
      </x:c>
      <x:c r="F30" s="34" t="n">
        <x:v>3942.1</x:v>
      </x:c>
      <x:c r="G30" s="34" t="n">
        <x:v>3895.4</x:v>
      </x:c>
      <x:c r="H30" s="43" t="n">
        <x:f>IF(OR(F30="",F30=0,G30=""),"",G30/F30-1)</x:f>
        <x:v>-0.011846477765657837</x:v>
      </x:c>
      <x:c r="I30" s="34" t="n">
        <x:v>4147.5</x:v>
      </x:c>
      <x:c r="J30" s="43" t="n">
        <x:f>IF(OR(F30="",F30=0,I30=""),"",I30/F30-1)</x:f>
        <x:v>0.05210420841683372</x:v>
      </x:c>
      <x:c r="K30" s="35" t="n">
        <x:v>0.967403</x:v>
      </x:c>
      <x:c r="L30" s="35" t="n">
        <x:v>0.977741</x:v>
      </x:c>
      <x:c r="M30" s="43" t="n">
        <x:f>IF(OR(K30="",L30=""),"",L30-K30)</x:f>
        <x:v>0.010337999999999958</x:v>
      </x:c>
      <x:c r="N30" s="35" t="n">
        <x:v>0.966208</x:v>
      </x:c>
      <x:c r="O30" s="43" t="n">
        <x:f>IF(OR(K30="",N30=""),"",N30-K30)</x:f>
        <x:v>-0.0011950000000000571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0" t="str">
        <x:v>台北市</x:v>
      </x:c>
      <x:c r="B31" s="20" t="str">
        <x:v>ZP1</x:v>
      </x:c>
      <x:c r="C31" s="40" t="n">
        <x:v>17</x:v>
      </x:c>
      <x:c r="D31" s="40" t="n">
        <x:v>18</x:v>
      </x:c>
      <x:c r="E31" s="40" t="n">
        <x:v>13</x:v>
      </x:c>
      <x:c r="F31" s="23" t="n">
        <x:v>7431.9</x:v>
      </x:c>
      <x:c r="G31" s="23" t="n">
        <x:v>7747.3</x:v>
      </x:c>
      <x:c r="H31" s="44" t="n">
        <x:f>IF(OR(F31="",F31=0,G31=""),"",G31/F31-1)</x:f>
        <x:v>0.04243867651609956</x:v>
      </x:c>
      <x:c r="I31" s="23" t="n">
        <x:v>8165.6</x:v>
      </x:c>
      <x:c r="J31" s="44" t="n">
        <x:f>IF(OR(F31="",F31=0,I31=""),"",I31/F31-1)</x:f>
        <x:v>0.0987230721618968</x:v>
      </x:c>
      <x:c r="K31" s="24" t="n">
        <x:v>0.933733</x:v>
      </x:c>
      <x:c r="L31" s="24" t="n">
        <x:v>0.933866</x:v>
      </x:c>
      <x:c r="M31" s="44" t="n">
        <x:f>IF(OR(K31="",L31=""),"",L31-K31)</x:f>
        <x:v>0.00013299999999993872</x:v>
      </x:c>
      <x:c r="N31" s="24" t="n">
        <x:v>0.925251</x:v>
      </x:c>
      <x:c r="O31" s="44" t="n">
        <x:f>IF(OR(K31="",N31=""),"",N31-K31)</x:f>
        <x:v>-0.00848199999999999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5" t="str">
        <x:v>台北市</x:v>
      </x:c>
      <x:c r="B32" s="25" t="str">
        <x:v>ZP2</x:v>
      </x:c>
      <x:c r="C32" s="39" t="n">
        <x:v>17</x:v>
      </x:c>
      <x:c r="D32" s="39" t="n">
        <x:v>18</x:v>
      </x:c>
      <x:c r="E32" s="39" t="n">
        <x:v>13</x:v>
      </x:c>
      <x:c r="F32" s="34" t="n">
        <x:v>3452.2</x:v>
      </x:c>
      <x:c r="G32" s="34" t="n">
        <x:v>3515.7</x:v>
      </x:c>
      <x:c r="H32" s="43" t="n">
        <x:f>IF(OR(F32="",F32=0,G32=""),"",G32/F32-1)</x:f>
        <x:v>0.018394067551126714</x:v>
      </x:c>
      <x:c r="I32" s="34" t="n">
        <x:v>3843.8</x:v>
      </x:c>
      <x:c r="J32" s="43" t="n">
        <x:f>IF(OR(F32="",F32=0,I32=""),"",I32/F32-1)</x:f>
        <x:v>0.11343491107120118</x:v>
      </x:c>
      <x:c r="K32" s="35" t="n">
        <x:v>0.95575</x:v>
      </x:c>
      <x:c r="L32" s="35" t="n">
        <x:v>0.952833</x:v>
      </x:c>
      <x:c r="M32" s="43" t="n">
        <x:f>IF(OR(K32="",L32=""),"",L32-K32)</x:f>
        <x:v>-0.0029169999999999474</x:v>
      </x:c>
      <x:c r="N32" s="35" t="n">
        <x:v>0.948195</x:v>
      </x:c>
      <x:c r="O32" s="43" t="n">
        <x:f>IF(OR(K32="",N32=""),"",N32-K32)</x:f>
        <x:v>-0.007554999999999978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0" t="str">
        <x:v>台北市</x:v>
      </x:c>
      <x:c r="B33" s="20" t="str">
        <x:v>ZU</x:v>
      </x:c>
      <x:c r="C33" s="40" t="n">
        <x:v>17</x:v>
      </x:c>
      <x:c r="D33" s="40" t="n">
        <x:v>18</x:v>
      </x:c>
      <x:c r="E33" s="40" t="n">
        <x:v>13</x:v>
      </x:c>
      <x:c r="F33" s="23" t="n">
        <x:v>12090.4</x:v>
      </x:c>
      <x:c r="G33" s="23" t="n">
        <x:v>12097.6</x:v>
      </x:c>
      <x:c r="H33" s="44" t="n">
        <x:f>IF(OR(F33="",F33=0,G33=""),"",G33/F33-1)</x:f>
        <x:v>0.0005955137960695911</x:v>
      </x:c>
      <x:c r="I33" s="23" t="n">
        <x:v>13569.6</x:v>
      </x:c>
      <x:c r="J33" s="44" t="n">
        <x:f>IF(OR(F33="",F33=0,I33=""),"",I33/F33-1)</x:f>
        <x:v>0.1223450009925231</x:v>
      </x:c>
      <x:c r="K33" s="24" t="n">
        <x:v>0.930672</x:v>
      </x:c>
      <x:c r="L33" s="24" t="n">
        <x:v>0.94352</x:v>
      </x:c>
      <x:c r="M33" s="44" t="n">
        <x:f>IF(OR(K33="",L33=""),"",L33-K33)</x:f>
        <x:v>0.01284799999999997</x:v>
      </x:c>
      <x:c r="N33" s="24" t="n">
        <x:v>0.925772</x:v>
      </x:c>
      <x:c r="O33" s="44" t="n">
        <x:f>IF(OR(K33="",N33=""),"",N33-K33)</x:f>
        <x:v>-0.0049000000000000155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5" t="str">
        <x:v>新北市</x:v>
      </x:c>
      <x:c r="B34" s="25" t="str">
        <x:v>新北維護所</x:v>
      </x:c>
      <x:c r="C34" s="39" t="n">
        <x:v>0</x:v>
      </x:c>
      <x:c r="D34" s="39" t="n">
        <x:v>0</x:v>
      </x:c>
      <x:c r="E34" s="39" t="n">
        <x:v>0</x:v>
      </x:c>
      <x:c r="F34" s="34"/>
      <x:c r="G34" s="34"/>
      <x:c r="H34" s="43" t="str">
        <x:f>IF(OR(F34="",F34=0,G34=""),"",G34/F34-1)</x:f>
      </x:c>
      <x:c r="I34" s="34"/>
      <x:c r="J34" s="43" t="str">
        <x:f>IF(OR(F34="",F34=0,I34=""),"",I34/F34-1)</x:f>
      </x:c>
      <x:c r="K34" s="35"/>
      <x:c r="L34" s="35"/>
      <x:c r="M34" s="43" t="str">
        <x:f>IF(OR(K34="",L34=""),"",L34-K34)</x:f>
      </x:c>
      <x:c r="N34" s="35"/>
      <x:c r="O34" s="43" t="str">
        <x:f>IF(OR(K34="",N34=""),"",N34-K34)</x:f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0" t="str">
        <x:v>新北市</x:v>
      </x:c>
      <x:c r="B35" s="20" t="str">
        <x:v>ZF</x:v>
      </x:c>
      <x:c r="C35" s="40" t="n">
        <x:v>17</x:v>
      </x:c>
      <x:c r="D35" s="40" t="n">
        <x:v>18</x:v>
      </x:c>
      <x:c r="E35" s="40" t="n">
        <x:v>13</x:v>
      </x:c>
      <x:c r="F35" s="23" t="n">
        <x:v>5751.4</x:v>
      </x:c>
      <x:c r="G35" s="23" t="n">
        <x:v>6226.1</x:v>
      </x:c>
      <x:c r="H35" s="44" t="n">
        <x:f>IF(OR(F35="",F35=0,G35=""),"",G35/F35-1)</x:f>
        <x:v>0.0825364259136907</x:v>
      </x:c>
      <x:c r="I35" s="23" t="n">
        <x:v>6320</x:v>
      </x:c>
      <x:c r="J35" s="44" t="n">
        <x:f>IF(OR(F35="",F35=0,I35=""),"",I35/F35-1)</x:f>
        <x:v>0.09886288555829892</x:v>
      </x:c>
      <x:c r="K35" s="24" t="n">
        <x:v>0.924177</x:v>
      </x:c>
      <x:c r="L35" s="24" t="n">
        <x:v>0.92576</x:v>
      </x:c>
      <x:c r="M35" s="44" t="n">
        <x:f>IF(OR(K35="",L35=""),"",L35-K35)</x:f>
        <x:v>0.001583000000000001</x:v>
      </x:c>
      <x:c r="N35" s="24" t="n">
        <x:v>0.928204</x:v>
      </x:c>
      <x:c r="O35" s="44" t="n">
        <x:f>IF(OR(K35="",N35=""),"",N35-K35)</x:f>
        <x:v>0.004027000000000003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5" t="str">
        <x:v>新北市</x:v>
      </x:c>
      <x:c r="B36" s="25" t="str">
        <x:v>ZG1</x:v>
      </x:c>
      <x:c r="C36" s="39" t="n">
        <x:v>17</x:v>
      </x:c>
      <x:c r="D36" s="39" t="n">
        <x:v>18</x:v>
      </x:c>
      <x:c r="E36" s="39" t="n">
        <x:v>13</x:v>
      </x:c>
      <x:c r="F36" s="34" t="n">
        <x:v>6236.5</x:v>
      </x:c>
      <x:c r="G36" s="34" t="n">
        <x:v>6167.5</x:v>
      </x:c>
      <x:c r="H36" s="43" t="n">
        <x:f>IF(OR(F36="",F36=0,G36=""),"",G36/F36-1)</x:f>
        <x:v>-0.011063898019722629</x:v>
      </x:c>
      <x:c r="I36" s="34" t="n">
        <x:v>6772.4</x:v>
      </x:c>
      <x:c r="J36" s="43" t="n">
        <x:f>IF(OR(F36="",F36=0,I36=""),"",I36/F36-1)</x:f>
        <x:v>0.08592960795317883</x:v>
      </x:c>
      <x:c r="K36" s="35" t="n">
        <x:v>0.895838</x:v>
      </x:c>
      <x:c r="L36" s="35" t="n">
        <x:v>0.898671</x:v>
      </x:c>
      <x:c r="M36" s="43" t="n">
        <x:f>IF(OR(K36="",L36=""),"",L36-K36)</x:f>
        <x:v>0.0028329999999999744</x:v>
      </x:c>
      <x:c r="N36" s="35" t="n">
        <x:v>0.891645</x:v>
      </x:c>
      <x:c r="O36" s="43" t="n">
        <x:f>IF(OR(K36="",N36=""),"",N36-K36)</x:f>
        <x:v>-0.004193000000000002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0" t="str">
        <x:v>新北市</x:v>
      </x:c>
      <x:c r="B37" s="20" t="str">
        <x:v>ZG2</x:v>
      </x:c>
      <x:c r="C37" s="40" t="n">
        <x:v>17</x:v>
      </x:c>
      <x:c r="D37" s="40" t="n">
        <x:v>18</x:v>
      </x:c>
      <x:c r="E37" s="40" t="n">
        <x:v>13</x:v>
      </x:c>
      <x:c r="F37" s="23" t="n">
        <x:v>6260.1</x:v>
      </x:c>
      <x:c r="G37" s="23" t="n">
        <x:v>6167.7</x:v>
      </x:c>
      <x:c r="H37" s="44" t="n">
        <x:f>IF(OR(F37="",F37=0,G37=""),"",G37/F37-1)</x:f>
        <x:v>-0.014760147601476148</x:v>
      </x:c>
      <x:c r="I37" s="23" t="n">
        <x:v>6848.3</x:v>
      </x:c>
      <x:c r="J37" s="44" t="n">
        <x:f>IF(OR(F37="",F37=0,I37=""),"",I37/F37-1)</x:f>
        <x:v>0.09396016038082444</x:v>
      </x:c>
      <x:c r="K37" s="24" t="n">
        <x:v>0.941719</x:v>
      </x:c>
      <x:c r="L37" s="24" t="n">
        <x:v>0.930951</x:v>
      </x:c>
      <x:c r="M37" s="44" t="n">
        <x:f>IF(OR(K37="",L37=""),"",L37-K37)</x:f>
        <x:v>-0.010768</x:v>
      </x:c>
      <x:c r="N37" s="24" t="n">
        <x:v>0.92443</x:v>
      </x:c>
      <x:c r="O37" s="44" t="n">
        <x:f>IF(OR(K37="",N37=""),"",N37-K37)</x:f>
        <x:v>-0.017289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5" t="str">
        <x:v>新北市</x:v>
      </x:c>
      <x:c r="B38" s="25" t="str">
        <x:v>ZK1</x:v>
      </x:c>
      <x:c r="C38" s="39" t="n">
        <x:v>17</x:v>
      </x:c>
      <x:c r="D38" s="39" t="n">
        <x:v>18</x:v>
      </x:c>
      <x:c r="E38" s="39" t="n">
        <x:v>13</x:v>
      </x:c>
      <x:c r="F38" s="34" t="n">
        <x:v>5258.1</x:v>
      </x:c>
      <x:c r="G38" s="34" t="n">
        <x:v>5339.7</x:v>
      </x:c>
      <x:c r="H38" s="43" t="n">
        <x:f>IF(OR(F38="",F38=0,G38=""),"",G38/F38-1)</x:f>
        <x:v>0.015518913676042523</x:v>
      </x:c>
      <x:c r="I38" s="34" t="n">
        <x:v>5601.5</x:v>
      </x:c>
      <x:c r="J38" s="43" t="n">
        <x:f>IF(OR(F38="",F38=0,I38=""),"",I38/F38-1)</x:f>
        <x:v>0.06530876172001276</x:v>
      </x:c>
      <x:c r="K38" s="35" t="n">
        <x:v>0.937745</x:v>
      </x:c>
      <x:c r="L38" s="35" t="n">
        <x:v>0.921881</x:v>
      </x:c>
      <x:c r="M38" s="43" t="n">
        <x:f>IF(OR(K38="",L38=""),"",L38-K38)</x:f>
        <x:v>-0.0158640000000001</x:v>
      </x:c>
      <x:c r="N38" s="35" t="n">
        <x:v>0.934831</x:v>
      </x:c>
      <x:c r="O38" s="43" t="n">
        <x:f>IF(OR(K38="",N38=""),"",N38-K38)</x:f>
        <x:v>-0.002914000000000083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0" t="str">
        <x:v>新北市</x:v>
      </x:c>
      <x:c r="B39" s="20" t="str">
        <x:v>ZK2</x:v>
      </x:c>
      <x:c r="C39" s="40" t="n">
        <x:v>17</x:v>
      </x:c>
      <x:c r="D39" s="40" t="n">
        <x:v>18</x:v>
      </x:c>
      <x:c r="E39" s="40" t="n">
        <x:v>13</x:v>
      </x:c>
      <x:c r="F39" s="23" t="n">
        <x:v>4951.6</x:v>
      </x:c>
      <x:c r="G39" s="23" t="n">
        <x:v>5055.2</x:v>
      </x:c>
      <x:c r="H39" s="44" t="n">
        <x:f>IF(OR(F39="",F39=0,G39=""),"",G39/F39-1)</x:f>
        <x:v>0.02092253009128342</x:v>
      </x:c>
      <x:c r="I39" s="23" t="n">
        <x:v>5204.3</x:v>
      </x:c>
      <x:c r="J39" s="44" t="n">
        <x:f>IF(OR(F39="",F39=0,I39=""),"",I39/F39-1)</x:f>
        <x:v>0.05103400920914458</x:v>
      </x:c>
      <x:c r="K39" s="24" t="n">
        <x:v>0.895536</x:v>
      </x:c>
      <x:c r="L39" s="24" t="n">
        <x:v>0.900194</x:v>
      </x:c>
      <x:c r="M39" s="44" t="n">
        <x:f>IF(OR(K39="",L39=""),"",L39-K39)</x:f>
        <x:v>0.004658000000000051</x:v>
      </x:c>
      <x:c r="N39" s="24" t="n">
        <x:v>0.893389</x:v>
      </x:c>
      <x:c r="O39" s="44" t="n">
        <x:f>IF(OR(K39="",N39=""),"",N39-K39)</x:f>
        <x:v>-0.00214700000000001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5" t="str">
        <x:v>新北市</x:v>
      </x:c>
      <x:c r="B40" s="25" t="str">
        <x:v>ZK3</x:v>
      </x:c>
      <x:c r="C40" s="39" t="n">
        <x:v>17</x:v>
      </x:c>
      <x:c r="D40" s="39" t="n">
        <x:v>18</x:v>
      </x:c>
      <x:c r="E40" s="39" t="n">
        <x:v>13</x:v>
      </x:c>
      <x:c r="F40" s="34" t="n">
        <x:v>4587.8</x:v>
      </x:c>
      <x:c r="G40" s="34" t="n">
        <x:v>4617.6</x:v>
      </x:c>
      <x:c r="H40" s="43" t="n">
        <x:f>IF(OR(F40="",F40=0,G40=""),"",G40/F40-1)</x:f>
        <x:v>0.006495488033480212</x:v>
      </x:c>
      <x:c r="I40" s="34" t="n">
        <x:v>4770.9</x:v>
      </x:c>
      <x:c r="J40" s="43" t="n">
        <x:f>IF(OR(F40="",F40=0,I40=""),"",I40/F40-1)</x:f>
        <x:v>0.03991019660839612</x:v>
      </x:c>
      <x:c r="K40" s="35" t="n">
        <x:v>0.916729</x:v>
      </x:c>
      <x:c r="L40" s="35" t="n">
        <x:v>0.918605</x:v>
      </x:c>
      <x:c r="M40" s="43" t="n">
        <x:f>IF(OR(K40="",L40=""),"",L40-K40)</x:f>
        <x:v>0.0018759999999999888</x:v>
      </x:c>
      <x:c r="N40" s="35" t="n">
        <x:v>0.915661</x:v>
      </x:c>
      <x:c r="O40" s="43" t="n">
        <x:f>IF(OR(K40="",N40=""),"",N40-K40)</x:f>
        <x:v>-0.001068000000000069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0" t="str">
        <x:v>新北市</x:v>
      </x:c>
      <x:c r="B41" s="20" t="str">
        <x:v>ZK4</x:v>
      </x:c>
      <x:c r="C41" s="40" t="n">
        <x:v>17</x:v>
      </x:c>
      <x:c r="D41" s="40" t="n">
        <x:v>18</x:v>
      </x:c>
      <x:c r="E41" s="40" t="n">
        <x:v>13</x:v>
      </x:c>
      <x:c r="F41" s="23" t="n">
        <x:v>5825.6</x:v>
      </x:c>
      <x:c r="G41" s="23" t="n">
        <x:v>5930.7</x:v>
      </x:c>
      <x:c r="H41" s="44" t="n">
        <x:f>IF(OR(F41="",F41=0,G41=""),"",G41/F41-1)</x:f>
        <x:v>0.01804106014831075</x:v>
      </x:c>
      <x:c r="I41" s="23" t="n">
        <x:v>5903.7</x:v>
      </x:c>
      <x:c r="J41" s="44" t="n">
        <x:f>IF(OR(F41="",F41=0,I41=""),"",I41/F41-1)</x:f>
        <x:v>0.01340634441087607</x:v>
      </x:c>
      <x:c r="K41" s="24" t="n">
        <x:v>0.958515</x:v>
      </x:c>
      <x:c r="L41" s="24" t="n">
        <x:v>0.961786</x:v>
      </x:c>
      <x:c r="M41" s="44" t="n">
        <x:f>IF(OR(K41="",L41=""),"",L41-K41)</x:f>
        <x:v>0.003271000000000024</x:v>
      </x:c>
      <x:c r="N41" s="24" t="n">
        <x:v>0.958341</x:v>
      </x:c>
      <x:c r="O41" s="44" t="n">
        <x:f>IF(OR(K41="",N41=""),"",N41-K41)</x:f>
        <x:v>-0.00017400000000000748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5" t="str">
        <x:v>新北市</x:v>
      </x:c>
      <x:c r="B42" s="25" t="str">
        <x:v>ZL1</x:v>
      </x:c>
      <x:c r="C42" s="39" t="n">
        <x:v>17</x:v>
      </x:c>
      <x:c r="D42" s="39" t="n">
        <x:v>18</x:v>
      </x:c>
      <x:c r="E42" s="39" t="n">
        <x:v>13</x:v>
      </x:c>
      <x:c r="F42" s="34" t="n">
        <x:v>5214.9</x:v>
      </x:c>
      <x:c r="G42" s="34" t="n">
        <x:v>5323.8</x:v>
      </x:c>
      <x:c r="H42" s="43" t="n">
        <x:f>IF(OR(F42="",F42=0,G42=""),"",G42/F42-1)</x:f>
        <x:v>0.020882471380084144</x:v>
      </x:c>
      <x:c r="I42" s="34" t="n">
        <x:v>5534.1</x:v>
      </x:c>
      <x:c r="J42" s="43" t="n">
        <x:f>IF(OR(F42="",F42=0,I42=""),"",I42/F42-1)</x:f>
        <x:v>0.061209227406086475</x:v>
      </x:c>
      <x:c r="K42" s="35" t="n">
        <x:v>0.915229</x:v>
      </x:c>
      <x:c r="L42" s="35" t="n">
        <x:v>0.910495</x:v>
      </x:c>
      <x:c r="M42" s="43" t="n">
        <x:f>IF(OR(K42="",L42=""),"",L42-K42)</x:f>
        <x:v>-0.004733999999999905</x:v>
      </x:c>
      <x:c r="N42" s="35" t="n">
        <x:v>0.916383</x:v>
      </x:c>
      <x:c r="O42" s="43" t="n">
        <x:f>IF(OR(K42="",N42=""),"",N42-K42)</x:f>
        <x:v>0.0011539999999999884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0" t="str">
        <x:v>新北市</x:v>
      </x:c>
      <x:c r="B43" s="20" t="str">
        <x:v>ZL2</x:v>
      </x:c>
      <x:c r="C43" s="40" t="n">
        <x:v>17</x:v>
      </x:c>
      <x:c r="D43" s="40" t="n">
        <x:v>18</x:v>
      </x:c>
      <x:c r="E43" s="40" t="n">
        <x:v>13</x:v>
      </x:c>
      <x:c r="F43" s="23" t="n">
        <x:v>5148.1</x:v>
      </x:c>
      <x:c r="G43" s="23" t="n">
        <x:v>4984.3</x:v>
      </x:c>
      <x:c r="H43" s="44" t="n">
        <x:f>IF(OR(F43="",F43=0,G43=""),"",G43/F43-1)</x:f>
        <x:v>-0.03181756376138778</x:v>
      </x:c>
      <x:c r="I43" s="23" t="n">
        <x:v>5408.5</x:v>
      </x:c>
      <x:c r="J43" s="44" t="n">
        <x:f>IF(OR(F43="",F43=0,I43=""),"",I43/F43-1)</x:f>
        <x:v>0.05058176803092396</x:v>
      </x:c>
      <x:c r="K43" s="24" t="n">
        <x:v>0.940051</x:v>
      </x:c>
      <x:c r="L43" s="24" t="n">
        <x:v>0.909284</x:v>
      </x:c>
      <x:c r="M43" s="44" t="n">
        <x:f>IF(OR(K43="",L43=""),"",L43-K43)</x:f>
        <x:v>-0.03076699999999999</x:v>
      </x:c>
      <x:c r="N43" s="24" t="n">
        <x:v>0.908124</x:v>
      </x:c>
      <x:c r="O43" s="44" t="n">
        <x:f>IF(OR(K43="",N43=""),"",N43-K43)</x:f>
        <x:v>-0.03192699999999993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5" t="str">
        <x:v>新北市</x:v>
      </x:c>
      <x:c r="B44" s="25" t="str">
        <x:v>ZL3</x:v>
      </x:c>
      <x:c r="C44" s="39" t="n">
        <x:v>17</x:v>
      </x:c>
      <x:c r="D44" s="39" t="n">
        <x:v>18</x:v>
      </x:c>
      <x:c r="E44" s="39" t="n">
        <x:v>13</x:v>
      </x:c>
      <x:c r="F44" s="34" t="n">
        <x:v>5393.9</x:v>
      </x:c>
      <x:c r="G44" s="34" t="n">
        <x:v>5259.8</x:v>
      </x:c>
      <x:c r="H44" s="43" t="n">
        <x:f>IF(OR(F44="",F44=0,G44=""),"",G44/F44-1)</x:f>
        <x:v>-0.02486141752720661</x:v>
      </x:c>
      <x:c r="I44" s="34" t="n">
        <x:v>5587.3</x:v>
      </x:c>
      <x:c r="J44" s="43" t="n">
        <x:f>IF(OR(F44="",F44=0,I44=""),"",I44/F44-1)</x:f>
        <x:v>0.03585531804445763</x:v>
      </x:c>
      <x:c r="K44" s="35" t="n">
        <x:v>0.944125</x:v>
      </x:c>
      <x:c r="L44" s="35" t="n">
        <x:v>0.945085</x:v>
      </x:c>
      <x:c r="M44" s="43" t="n">
        <x:f>IF(OR(K44="",L44=""),"",L44-K44)</x:f>
        <x:v>0.0009599999999999609</x:v>
      </x:c>
      <x:c r="N44" s="35" t="n">
        <x:v>0.938155</x:v>
      </x:c>
      <x:c r="O44" s="43" t="n">
        <x:f>IF(OR(K44="",N44=""),"",N44-K44)</x:f>
        <x:v>-0.005970000000000031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0" t="str">
        <x:v>新北市</x:v>
      </x:c>
      <x:c r="B45" s="20" t="str">
        <x:v>ZL4</x:v>
      </x:c>
      <x:c r="C45" s="40" t="n">
        <x:v>17</x:v>
      </x:c>
      <x:c r="D45" s="40" t="n">
        <x:v>18</x:v>
      </x:c>
      <x:c r="E45" s="40" t="n">
        <x:v>13</x:v>
      </x:c>
      <x:c r="F45" s="23" t="n">
        <x:v>5497.6</x:v>
      </x:c>
      <x:c r="G45" s="23" t="n">
        <x:v>5670.9</x:v>
      </x:c>
      <x:c r="H45" s="44" t="n">
        <x:f>IF(OR(F45="",F45=0,G45=""),"",G45/F45-1)</x:f>
        <x:v>0.03152284633294511</x:v>
      </x:c>
      <x:c r="I45" s="23" t="n">
        <x:v>6066.8</x:v>
      </x:c>
      <x:c r="J45" s="44" t="n">
        <x:f>IF(OR(F45="",F45=0,I45=""),"",I45/F45-1)</x:f>
        <x:v>0.10353608847497076</x:v>
      </x:c>
      <x:c r="K45" s="24" t="n">
        <x:v>0.92799</x:v>
      </x:c>
      <x:c r="L45" s="24" t="n">
        <x:v>0.906353</x:v>
      </x:c>
      <x:c r="M45" s="44" t="n">
        <x:f>IF(OR(K45="",L45=""),"",L45-K45)</x:f>
        <x:v>-0.021637000000000017</x:v>
      </x:c>
      <x:c r="N45" s="24" t="n">
        <x:v>0.912876</x:v>
      </x:c>
      <x:c r="O45" s="44" t="n">
        <x:f>IF(OR(K45="",N45=""),"",N45-K45)</x:f>
        <x:v>-0.01511399999999996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5" t="str">
        <x:v>新北市</x:v>
      </x:c>
      <x:c r="B46" s="25" t="str">
        <x:v>ZM</x:v>
      </x:c>
      <x:c r="C46" s="39" t="n">
        <x:v>17</x:v>
      </x:c>
      <x:c r="D46" s="39" t="n">
        <x:v>18</x:v>
      </x:c>
      <x:c r="E46" s="39" t="n">
        <x:v>13</x:v>
      </x:c>
      <x:c r="F46" s="34" t="n">
        <x:v>6977.3</x:v>
      </x:c>
      <x:c r="G46" s="34" t="n">
        <x:v>6704.2</x:v>
      </x:c>
      <x:c r="H46" s="43" t="n">
        <x:f>IF(OR(F46="",F46=0,G46=""),"",G46/F46-1)</x:f>
        <x:v>-0.039141215083198455</x:v>
      </x:c>
      <x:c r="I46" s="34" t="n">
        <x:v>7109.4</x:v>
      </x:c>
      <x:c r="J46" s="43" t="n">
        <x:f>IF(OR(F46="",F46=0,I46=""),"",I46/F46-1)</x:f>
        <x:v>0.018932825018273425</x:v>
      </x:c>
      <x:c r="K46" s="35" t="n">
        <x:v>0.931496</x:v>
      </x:c>
      <x:c r="L46" s="35" t="n">
        <x:v>0.922848</x:v>
      </x:c>
      <x:c r="M46" s="43" t="n">
        <x:f>IF(OR(K46="",L46=""),"",L46-K46)</x:f>
        <x:v>-0.008647999999999989</x:v>
      </x:c>
      <x:c r="N46" s="35" t="n">
        <x:v>0.902588</x:v>
      </x:c>
      <x:c r="O46" s="43" t="n">
        <x:f>IF(OR(K46="",N46=""),"",N46-K46)</x:f>
        <x:v>-0.028908000000000045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0" t="str">
        <x:v>新北市</x:v>
      </x:c>
      <x:c r="B47" s="20" t="str">
        <x:v>ZO1</x:v>
      </x:c>
      <x:c r="C47" s="40" t="n">
        <x:v>17</x:v>
      </x:c>
      <x:c r="D47" s="40" t="n">
        <x:v>18</x:v>
      </x:c>
      <x:c r="E47" s="40" t="n">
        <x:v>13</x:v>
      </x:c>
      <x:c r="F47" s="23" t="n">
        <x:v>8755.9</x:v>
      </x:c>
      <x:c r="G47" s="23" t="n">
        <x:v>9073.2</x:v>
      </x:c>
      <x:c r="H47" s="44" t="n">
        <x:f>IF(OR(F47="",F47=0,G47=""),"",G47/F47-1)</x:f>
        <x:v>0.03623842209253203</x:v>
      </x:c>
      <x:c r="I47" s="23" t="n">
        <x:v>9351.4</x:v>
      </x:c>
      <x:c r="J47" s="44" t="n">
        <x:f>IF(OR(F47="",F47=0,I47=""),"",I47/F47-1)</x:f>
        <x:v>0.06801128382005284</x:v>
      </x:c>
      <x:c r="K47" s="24" t="n">
        <x:v>0.865183</x:v>
      </x:c>
      <x:c r="L47" s="24" t="n">
        <x:v>0.882369</x:v>
      </x:c>
      <x:c r="M47" s="44" t="n">
        <x:f>IF(OR(K47="",L47=""),"",L47-K47)</x:f>
        <x:v>0.017185999999999924</x:v>
      </x:c>
      <x:c r="N47" s="24" t="n">
        <x:v>0.872285</x:v>
      </x:c>
      <x:c r="O47" s="44" t="n">
        <x:f>IF(OR(K47="",N47=""),"",N47-K47)</x:f>
        <x:v>0.007101999999999942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5" t="str">
        <x:v>新北市</x:v>
      </x:c>
      <x:c r="B48" s="25" t="str">
        <x:v>ZO2</x:v>
      </x:c>
      <x:c r="C48" s="39" t="n">
        <x:v>17</x:v>
      </x:c>
      <x:c r="D48" s="39" t="n">
        <x:v>18</x:v>
      </x:c>
      <x:c r="E48" s="39" t="n">
        <x:v>13</x:v>
      </x:c>
      <x:c r="F48" s="34" t="n">
        <x:v>8798.7</x:v>
      </x:c>
      <x:c r="G48" s="34" t="n">
        <x:v>8539.1</x:v>
      </x:c>
      <x:c r="H48" s="43" t="n">
        <x:f>IF(OR(F48="",F48=0,G48=""),"",G48/F48-1)</x:f>
        <x:v>-0.02950435859842937</x:v>
      </x:c>
      <x:c r="I48" s="34" t="n">
        <x:v>8862.2</x:v>
      </x:c>
      <x:c r="J48" s="43" t="n">
        <x:f>IF(OR(F48="",F48=0,I48=""),"",I48/F48-1)</x:f>
        <x:v>0.007216975234977996</x:v>
      </x:c>
      <x:c r="K48" s="35" t="n">
        <x:v>0.908024</x:v>
      </x:c>
      <x:c r="L48" s="35" t="n">
        <x:v>0.907321</x:v>
      </x:c>
      <x:c r="M48" s="43" t="n">
        <x:f>IF(OR(K48="",L48=""),"",L48-K48)</x:f>
        <x:v>-0.0007030000000000092</x:v>
      </x:c>
      <x:c r="N48" s="35" t="n">
        <x:v>0.900837</x:v>
      </x:c>
      <x:c r="O48" s="43" t="n">
        <x:f>IF(OR(K48="",N48=""),"",N48-K48)</x:f>
        <x:v>-0.0071870000000000545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0" t="str">
        <x:v>新北市</x:v>
      </x:c>
      <x:c r="B49" s="20" t="str">
        <x:v>ZO3</x:v>
      </x:c>
      <x:c r="C49" s="40" t="n">
        <x:v>17</x:v>
      </x:c>
      <x:c r="D49" s="40" t="n">
        <x:v>18</x:v>
      </x:c>
      <x:c r="E49" s="40" t="n">
        <x:v>13</x:v>
      </x:c>
      <x:c r="F49" s="23" t="n">
        <x:v>6239.4</x:v>
      </x:c>
      <x:c r="G49" s="23" t="n">
        <x:v>6402.4</x:v>
      </x:c>
      <x:c r="H49" s="44" t="n">
        <x:f>IF(OR(F49="",F49=0,G49=""),"",G49/F49-1)</x:f>
        <x:v>0.026124306824374166</x:v>
      </x:c>
      <x:c r="I49" s="23" t="n">
        <x:v>6743.3</x:v>
      </x:c>
      <x:c r="J49" s="44" t="n">
        <x:f>IF(OR(F49="",F49=0,I49=""),"",I49/F49-1)</x:f>
        <x:v>0.08076097060614806</x:v>
      </x:c>
      <x:c r="K49" s="24" t="n">
        <x:v>0.91159</x:v>
      </x:c>
      <x:c r="L49" s="24" t="n">
        <x:v>0.891968</x:v>
      </x:c>
      <x:c r="M49" s="44" t="n">
        <x:f>IF(OR(K49="",L49=""),"",L49-K49)</x:f>
        <x:v>-0.01962200000000003</x:v>
      </x:c>
      <x:c r="N49" s="24" t="n">
        <x:v>0.871308</x:v>
      </x:c>
      <x:c r="O49" s="44" t="n">
        <x:f>IF(OR(K49="",N49=""),"",N49-K49)</x:f>
        <x:v>-0.04028200000000004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5" t="str">
        <x:v>新北市</x:v>
      </x:c>
      <x:c r="B50" s="25" t="str">
        <x:v>ZO4</x:v>
      </x:c>
      <x:c r="C50" s="39" t="n">
        <x:v>17</x:v>
      </x:c>
      <x:c r="D50" s="39" t="n">
        <x:v>18</x:v>
      </x:c>
      <x:c r="E50" s="39" t="n">
        <x:v>13</x:v>
      </x:c>
      <x:c r="F50" s="34" t="n">
        <x:v>7449.8</x:v>
      </x:c>
      <x:c r="G50" s="34" t="n">
        <x:v>7470.7</x:v>
      </x:c>
      <x:c r="H50" s="43" t="n">
        <x:f>IF(OR(F50="",F50=0,G50=""),"",G50/F50-1)</x:f>
        <x:v>0.0028054444414613577</x:v>
      </x:c>
      <x:c r="I50" s="34" t="n">
        <x:v>7723.9</x:v>
      </x:c>
      <x:c r="J50" s="43" t="n">
        <x:f>IF(OR(F50="",F50=0,I50=""),"",I50/F50-1)</x:f>
        <x:v>0.03679293403849759</x:v>
      </x:c>
      <x:c r="K50" s="35" t="n">
        <x:v>0.868529</x:v>
      </x:c>
      <x:c r="L50" s="35" t="n">
        <x:v>0.873621</x:v>
      </x:c>
      <x:c r="M50" s="43" t="n">
        <x:f>IF(OR(K50="",L50=""),"",L50-K50)</x:f>
        <x:v>0.005091999999999985</x:v>
      </x:c>
      <x:c r="N50" s="35" t="n">
        <x:v>0.872368</x:v>
      </x:c>
      <x:c r="O50" s="43" t="n">
        <x:f>IF(OR(K50="",N50=""),"",N50-K50)</x:f>
        <x:v>0.003839000000000037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0" t="str">
        <x:v>新北市</x:v>
      </x:c>
      <x:c r="B51" s="20" t="str">
        <x:v>ZP2</x:v>
      </x:c>
      <x:c r="C51" s="40" t="n">
        <x:v>17</x:v>
      </x:c>
      <x:c r="D51" s="40" t="n">
        <x:v>18</x:v>
      </x:c>
      <x:c r="E51" s="40" t="n">
        <x:v>13</x:v>
      </x:c>
      <x:c r="F51" s="23" t="n">
        <x:v>120.8</x:v>
      </x:c>
      <x:c r="G51" s="23" t="n">
        <x:v>139.4</x:v>
      </x:c>
      <x:c r="H51" s="44" t="n">
        <x:f>IF(OR(F51="",F51=0,G51=""),"",G51/F51-1)</x:f>
        <x:v>0.1539735099337749</x:v>
      </x:c>
      <x:c r="I51" s="23" t="n">
        <x:v>169.5</x:v>
      </x:c>
      <x:c r="J51" s="44" t="n">
        <x:f>IF(OR(F51="",F51=0,I51=""),"",I51/F51-1)</x:f>
        <x:v>0.4031456953642385</x:v>
      </x:c>
      <x:c r="K51" s="24" t="n">
        <x:v>0.878522</x:v>
      </x:c>
      <x:c r="L51" s="24" t="n">
        <x:v>0.902071</x:v>
      </x:c>
      <x:c r="M51" s="44" t="n">
        <x:f>IF(OR(K51="",L51=""),"",L51-K51)</x:f>
        <x:v>0.02354899999999993</x:v>
      </x:c>
      <x:c r="N51" s="24" t="n">
        <x:v>0.90095</x:v>
      </x:c>
      <x:c r="O51" s="44" t="n">
        <x:f>IF(OR(K51="",N51=""),"",N51-K51)</x:f>
        <x:v>0.022428000000000003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5" t="str">
        <x:v>新北市</x:v>
      </x:c>
      <x:c r="B52" s="25" t="str">
        <x:v>ZR</x:v>
      </x:c>
      <x:c r="C52" s="39" t="n">
        <x:v>17</x:v>
      </x:c>
      <x:c r="D52" s="39" t="n">
        <x:v>18</x:v>
      </x:c>
      <x:c r="E52" s="39" t="n">
        <x:v>13</x:v>
      </x:c>
      <x:c r="F52" s="34" t="n">
        <x:v>7572.7</x:v>
      </x:c>
      <x:c r="G52" s="34" t="n">
        <x:v>7382.7</x:v>
      </x:c>
      <x:c r="H52" s="43" t="n">
        <x:f>IF(OR(F52="",F52=0,G52=""),"",G52/F52-1)</x:f>
        <x:v>-0.025090126375004962</x:v>
      </x:c>
      <x:c r="I52" s="34" t="n">
        <x:v>7529.6</x:v>
      </x:c>
      <x:c r="J52" s="43" t="n">
        <x:f>IF(OR(F52="",F52=0,I52=""),"",I52/F52-1)</x:f>
        <x:v>-0.005691497088224695</x:v>
      </x:c>
      <x:c r="K52" s="35" t="n">
        <x:v>0.89554</x:v>
      </x:c>
      <x:c r="L52" s="35" t="n">
        <x:v>0.881423</x:v>
      </x:c>
      <x:c r="M52" s="43" t="n">
        <x:f>IF(OR(K52="",L52=""),"",L52-K52)</x:f>
        <x:v>-0.014117000000000046</x:v>
      </x:c>
      <x:c r="N52" s="35" t="n">
        <x:v>0.836704</x:v>
      </x:c>
      <x:c r="O52" s="43" t="n">
        <x:f>IF(OR(K52="",N52=""),"",N52-K52)</x:f>
        <x:v>-0.058836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0" t="str">
        <x:v>新北市</x:v>
      </x:c>
      <x:c r="B53" s="20" t="str">
        <x:v>ZR3</x:v>
      </x:c>
      <x:c r="C53" s="40" t="n">
        <x:v>17</x:v>
      </x:c>
      <x:c r="D53" s="40" t="n">
        <x:v>18</x:v>
      </x:c>
      <x:c r="E53" s="40" t="n">
        <x:v>13</x:v>
      </x:c>
      <x:c r="F53" s="23" t="n">
        <x:v>2305.6</x:v>
      </x:c>
      <x:c r="G53" s="23" t="n">
        <x:v>2506.7</x:v>
      </x:c>
      <x:c r="H53" s="44" t="n">
        <x:f>IF(OR(F53="",F53=0,G53=""),"",G53/F53-1)</x:f>
        <x:v>0.0872224149895906</x:v>
      </x:c>
      <x:c r="I53" s="23" t="n">
        <x:v>2770.9</x:v>
      </x:c>
      <x:c r="J53" s="44" t="n">
        <x:f>IF(OR(F53="",F53=0,I53=""),"",I53/F53-1)</x:f>
        <x:v>0.20181297709923673</x:v>
      </x:c>
      <x:c r="K53" s="24" t="n">
        <x:v>0.94244</x:v>
      </x:c>
      <x:c r="L53" s="24" t="n">
        <x:v>0.938094</x:v>
      </x:c>
      <x:c r="M53" s="44" t="n">
        <x:f>IF(OR(K53="",L53=""),"",L53-K53)</x:f>
        <x:v>-0.004346000000000072</x:v>
      </x:c>
      <x:c r="N53" s="24" t="n">
        <x:v>0.932793</x:v>
      </x:c>
      <x:c r="O53" s="44" t="n">
        <x:f>IF(OR(K53="",N53=""),"",N53-K53)</x:f>
        <x:v>-0.009647000000000072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5" t="str">
        <x:v>新北市</x:v>
      </x:c>
      <x:c r="B54" s="25" t="str">
        <x:v>ZS</x:v>
      </x:c>
      <x:c r="C54" s="39" t="n">
        <x:v>17</x:v>
      </x:c>
      <x:c r="D54" s="39" t="n">
        <x:v>18</x:v>
      </x:c>
      <x:c r="E54" s="39" t="n">
        <x:v>13</x:v>
      </x:c>
      <x:c r="F54" s="34" t="n">
        <x:v>3857.7</x:v>
      </x:c>
      <x:c r="G54" s="34" t="n">
        <x:v>3654.2</x:v>
      </x:c>
      <x:c r="H54" s="43" t="n">
        <x:f>IF(OR(F54="",F54=0,G54=""),"",G54/F54-1)</x:f>
        <x:v>-0.0527516395779869</x:v>
      </x:c>
      <x:c r="I54" s="34" t="n">
        <x:v>3855.2</x:v>
      </x:c>
      <x:c r="J54" s="43" t="n">
        <x:f>IF(OR(F54="",F54=0,I54=""),"",I54/F54-1)</x:f>
        <x:v>-0.0006480545402700599</x:v>
      </x:c>
      <x:c r="K54" s="35" t="n">
        <x:v>0.954047</x:v>
      </x:c>
      <x:c r="L54" s="35" t="n">
        <x:v>0.929128</x:v>
      </x:c>
      <x:c r="M54" s="43" t="n">
        <x:f>IF(OR(K54="",L54=""),"",L54-K54)</x:f>
        <x:v>-0.024919000000000024</x:v>
      </x:c>
      <x:c r="N54" s="35" t="n">
        <x:v>0.927619</x:v>
      </x:c>
      <x:c r="O54" s="43" t="n">
        <x:f>IF(OR(K54="",N54=""),"",N54-K54)</x:f>
        <x:v>-0.026428000000000007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0" t="str">
        <x:v>新北市</x:v>
      </x:c>
      <x:c r="B55" s="20" t="str">
        <x:v>ZT1</x:v>
      </x:c>
      <x:c r="C55" s="40" t="n">
        <x:v>17</x:v>
      </x:c>
      <x:c r="D55" s="40" t="n">
        <x:v>18</x:v>
      </x:c>
      <x:c r="E55" s="40" t="n">
        <x:v>13</x:v>
      </x:c>
      <x:c r="F55" s="23" t="n">
        <x:v>2193.4</x:v>
      </x:c>
      <x:c r="G55" s="23" t="n">
        <x:v>2314.9</x:v>
      </x:c>
      <x:c r="H55" s="44" t="n">
        <x:f>IF(OR(F55="",F55=0,G55=""),"",G55/F55-1)</x:f>
        <x:v>0.05539345308653232</x:v>
      </x:c>
      <x:c r="I55" s="23" t="n">
        <x:v>2465.3</x:v>
      </x:c>
      <x:c r="J55" s="44" t="n">
        <x:f>IF(OR(F55="",F55=0,I55=""),"",I55/F55-1)</x:f>
        <x:v>0.12396279748335925</x:v>
      </x:c>
      <x:c r="K55" s="24" t="n">
        <x:v>0.973815</x:v>
      </x:c>
      <x:c r="L55" s="24" t="n">
        <x:v>0.938285</x:v>
      </x:c>
      <x:c r="M55" s="44" t="n">
        <x:f>IF(OR(K55="",L55=""),"",L55-K55)</x:f>
        <x:v>-0.03552999999999995</x:v>
      </x:c>
      <x:c r="N55" s="24" t="n">
        <x:v>0.961491</x:v>
      </x:c>
      <x:c r="O55" s="44" t="n">
        <x:f>IF(OR(K55="",N55=""),"",N55-K55)</x:f>
        <x:v>-0.012324000000000002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5" t="str">
        <x:v>新北市</x:v>
      </x:c>
      <x:c r="B56" s="25" t="str">
        <x:v>ZT2</x:v>
      </x:c>
      <x:c r="C56" s="39" t="n">
        <x:v>17</x:v>
      </x:c>
      <x:c r="D56" s="39" t="n">
        <x:v>18</x:v>
      </x:c>
      <x:c r="E56" s="39" t="n">
        <x:v>13</x:v>
      </x:c>
      <x:c r="F56" s="34" t="n">
        <x:v>6844.6</x:v>
      </x:c>
      <x:c r="G56" s="34" t="n">
        <x:v>8239.4</x:v>
      </x:c>
      <x:c r="H56" s="43" t="n">
        <x:f>IF(OR(F56="",F56=0,G56=""),"",G56/F56-1)</x:f>
        <x:v>0.20378108289746644</x:v>
      </x:c>
      <x:c r="I56" s="34" t="n">
        <x:v>9052.6</x:v>
      </x:c>
      <x:c r="J56" s="43" t="n">
        <x:f>IF(OR(F56="",F56=0,I56=""),"",I56/F56-1)</x:f>
        <x:v>0.3225900710048797</x:v>
      </x:c>
      <x:c r="K56" s="35" t="n">
        <x:v>0.973113</x:v>
      </x:c>
      <x:c r="L56" s="35" t="n">
        <x:v>0.933335</x:v>
      </x:c>
      <x:c r="M56" s="43" t="n">
        <x:f>IF(OR(K56="",L56=""),"",L56-K56)</x:f>
        <x:v>-0.03977799999999998</x:v>
      </x:c>
      <x:c r="N56" s="35" t="n">
        <x:v>0.945889</x:v>
      </x:c>
      <x:c r="O56" s="43" t="n">
        <x:f>IF(OR(K56="",N56=""),"",N56-K56)</x:f>
        <x:v>-0.027224000000000026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0" t="str">
        <x:v>新北市</x:v>
      </x:c>
      <x:c r="B57" s="20" t="str">
        <x:v>ZU</x:v>
      </x:c>
      <x:c r="C57" s="40" t="n">
        <x:v>17</x:v>
      </x:c>
      <x:c r="D57" s="40" t="n">
        <x:v>18</x:v>
      </x:c>
      <x:c r="E57" s="40" t="n">
        <x:v>13</x:v>
      </x:c>
      <x:c r="F57" s="23" t="n">
        <x:v>230.8</x:v>
      </x:c>
      <x:c r="G57" s="23" t="n">
        <x:v>206.1</x:v>
      </x:c>
      <x:c r="H57" s="44" t="n">
        <x:f>IF(OR(F57="",F57=0,G57=""),"",G57/F57-1)</x:f>
        <x:v>-0.10701906412478346</x:v>
      </x:c>
      <x:c r="I57" s="23" t="n">
        <x:v>224.7</x:v>
      </x:c>
      <x:c r="J57" s="44" t="n">
        <x:f>IF(OR(F57="",F57=0,I57=""),"",I57/F57-1)</x:f>
        <x:v>-0.026429809358752276</x:v>
      </x:c>
      <x:c r="K57" s="24" t="n">
        <x:v>0.959423</x:v>
      </x:c>
      <x:c r="L57" s="24" t="n">
        <x:v>0.964944</x:v>
      </x:c>
      <x:c r="M57" s="44" t="n">
        <x:f>IF(OR(K57="",L57=""),"",L57-K57)</x:f>
        <x:v>0.005520999999999998</x:v>
      </x:c>
      <x:c r="N57" s="24" t="n">
        <x:v>0.961788</x:v>
      </x:c>
      <x:c r="O57" s="44" t="n">
        <x:f>IF(OR(K57="",N57=""),"",N57-K57)</x:f>
        <x:v>0.0023649999999999505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5" t="str">
        <x:v>新北市</x:v>
      </x:c>
      <x:c r="B58" s="25" t="str">
        <x:v>ZV1</x:v>
      </x:c>
      <x:c r="C58" s="39" t="n">
        <x:v>17</x:v>
      </x:c>
      <x:c r="D58" s="39" t="n">
        <x:v>18</x:v>
      </x:c>
      <x:c r="E58" s="39" t="n">
        <x:v>13</x:v>
      </x:c>
      <x:c r="F58" s="34" t="n">
        <x:v>3437.2</x:v>
      </x:c>
      <x:c r="G58" s="34" t="n">
        <x:v>3053.9</x:v>
      </x:c>
      <x:c r="H58" s="43" t="n">
        <x:f>IF(OR(F58="",F58=0,G58=""),"",G58/F58-1)</x:f>
        <x:v>-0.1115151867799371</x:v>
      </x:c>
      <x:c r="I58" s="34" t="n">
        <x:v>3045.5</x:v>
      </x:c>
      <x:c r="J58" s="43" t="n">
        <x:f>IF(OR(F58="",F58=0,I58=""),"",I58/F58-1)</x:f>
        <x:v>-0.11395903642499705</x:v>
      </x:c>
      <x:c r="K58" s="35" t="n">
        <x:v>0.951223</x:v>
      </x:c>
      <x:c r="L58" s="35" t="n">
        <x:v>0.968327</x:v>
      </x:c>
      <x:c r="M58" s="43" t="n">
        <x:f>IF(OR(K58="",L58=""),"",L58-K58)</x:f>
        <x:v>0.017104000000000008</x:v>
      </x:c>
      <x:c r="N58" s="35" t="n">
        <x:v>0.960861</x:v>
      </x:c>
      <x:c r="O58" s="43" t="n">
        <x:f>IF(OR(K58="",N58=""),"",N58-K58)</x:f>
        <x:v>0.009637999999999924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20" t="str">
        <x:v>新北市</x:v>
      </x:c>
      <x:c r="B59" s="20" t="str">
        <x:v>ZV2</x:v>
      </x:c>
      <x:c r="C59" s="40" t="n">
        <x:v>17</x:v>
      </x:c>
      <x:c r="D59" s="40" t="n">
        <x:v>18</x:v>
      </x:c>
      <x:c r="E59" s="40" t="n">
        <x:v>13</x:v>
      </x:c>
      <x:c r="F59" s="23" t="n">
        <x:v>2444.5</x:v>
      </x:c>
      <x:c r="G59" s="23" t="n">
        <x:v>2726.6</x:v>
      </x:c>
      <x:c r="H59" s="44" t="n">
        <x:f>IF(OR(F59="",F59=0,G59=""),"",G59/F59-1)</x:f>
        <x:v>0.11540192268357541</x:v>
      </x:c>
      <x:c r="I59" s="23" t="n">
        <x:v>2816.8</x:v>
      </x:c>
      <x:c r="J59" s="44" t="n">
        <x:f>IF(OR(F59="",F59=0,I59=""),"",I59/F59-1)</x:f>
        <x:v>0.1523010840662713</x:v>
      </x:c>
      <x:c r="K59" s="24" t="n">
        <x:v>0.917984</x:v>
      </x:c>
      <x:c r="L59" s="24" t="n">
        <x:v>0.917649</x:v>
      </x:c>
      <x:c r="M59" s="44" t="n">
        <x:f>IF(OR(K59="",L59=""),"",L59-K59)</x:f>
        <x:v>-0.0003349999999999742</x:v>
      </x:c>
      <x:c r="N59" s="24" t="n">
        <x:v>0.91386</x:v>
      </x:c>
      <x:c r="O59" s="44" t="n">
        <x:f>IF(OR(K59="",N59=""),"",N59-K59)</x:f>
        <x:v>-0.0041240000000000165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25" t="str">
        <x:v>新北市</x:v>
      </x:c>
      <x:c r="B60" s="25" t="str">
        <x:v>ZW1</x:v>
      </x:c>
      <x:c r="C60" s="39" t="n">
        <x:v>17</x:v>
      </x:c>
      <x:c r="D60" s="39" t="n">
        <x:v>18</x:v>
      </x:c>
      <x:c r="E60" s="39" t="n">
        <x:v>13</x:v>
      </x:c>
      <x:c r="F60" s="34" t="n">
        <x:v>6185</x:v>
      </x:c>
      <x:c r="G60" s="34" t="n">
        <x:v>5987.3</x:v>
      </x:c>
      <x:c r="H60" s="43" t="n">
        <x:f>IF(OR(F60="",F60=0,G60=""),"",G60/F60-1)</x:f>
        <x:v>-0.03196443007275662</x:v>
      </x:c>
      <x:c r="I60" s="34" t="n">
        <x:v>6447.9</x:v>
      </x:c>
      <x:c r="J60" s="43" t="n">
        <x:f>IF(OR(F60="",F60=0,I60=""),"",I60/F60-1)</x:f>
        <x:v>0.042506063055780086</x:v>
      </x:c>
      <x:c r="K60" s="35" t="n">
        <x:v>0.920691</x:v>
      </x:c>
      <x:c r="L60" s="35" t="n">
        <x:v>0.913721</x:v>
      </x:c>
      <x:c r="M60" s="43" t="n">
        <x:f>IF(OR(K60="",L60=""),"",L60-K60)</x:f>
        <x:v>-0.006970000000000032</x:v>
      </x:c>
      <x:c r="N60" s="35" t="n">
        <x:v>0.896515</x:v>
      </x:c>
      <x:c r="O60" s="43" t="n">
        <x:f>IF(OR(K60="",N60=""),"",N60-K60)</x:f>
        <x:v>-0.024176000000000086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20" t="str">
        <x:v>新北市</x:v>
      </x:c>
      <x:c r="B61" s="20" t="str">
        <x:v>ZW2</x:v>
      </x:c>
      <x:c r="C61" s="40" t="n">
        <x:v>17</x:v>
      </x:c>
      <x:c r="D61" s="40" t="n">
        <x:v>18</x:v>
      </x:c>
      <x:c r="E61" s="40" t="n">
        <x:v>13</x:v>
      </x:c>
      <x:c r="F61" s="23" t="n">
        <x:v>4531.5</x:v>
      </x:c>
      <x:c r="G61" s="23" t="n">
        <x:v>4438.4</x:v>
      </x:c>
      <x:c r="H61" s="44" t="n">
        <x:f>IF(OR(F61="",F61=0,G61=""),"",G61/F61-1)</x:f>
        <x:v>-0.020545073375262124</x:v>
      </x:c>
      <x:c r="I61" s="23" t="n">
        <x:v>4805.6</x:v>
      </x:c>
      <x:c r="J61" s="44" t="n">
        <x:f>IF(OR(F61="",F61=0,I61=""),"",I61/F61-1)</x:f>
        <x:v>0.06048769723049774</x:v>
      </x:c>
      <x:c r="K61" s="24" t="n">
        <x:v>0.978458</x:v>
      </x:c>
      <x:c r="L61" s="24" t="n">
        <x:v>0.975182</x:v>
      </x:c>
      <x:c r="M61" s="44" t="n">
        <x:f>IF(OR(K61="",L61=""),"",L61-K61)</x:f>
        <x:v>-0.0032760000000000566</x:v>
      </x:c>
      <x:c r="N61" s="24" t="n">
        <x:v>0.973194</x:v>
      </x:c>
      <x:c r="O61" s="44" t="n">
        <x:f>IF(OR(K61="",N61=""),"",N61-K61)</x:f>
        <x:v>-0.005264000000000046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25" t="str">
        <x:v>新北市</x:v>
      </x:c>
      <x:c r="B62" s="25" t="str">
        <x:v>ZW3</x:v>
      </x:c>
      <x:c r="C62" s="39" t="n">
        <x:v>17</x:v>
      </x:c>
      <x:c r="D62" s="39" t="n">
        <x:v>18</x:v>
      </x:c>
      <x:c r="E62" s="39" t="n">
        <x:v>13</x:v>
      </x:c>
      <x:c r="F62" s="34" t="n">
        <x:v>4378.9</x:v>
      </x:c>
      <x:c r="G62" s="34" t="n">
        <x:v>4290.3</x:v>
      </x:c>
      <x:c r="H62" s="43" t="n">
        <x:f>IF(OR(F62="",F62=0,G62=""),"",G62/F62-1)</x:f>
        <x:v>-0.020233391947749313</x:v>
      </x:c>
      <x:c r="I62" s="34" t="n">
        <x:v>4536.6</x:v>
      </x:c>
      <x:c r="J62" s="43" t="n">
        <x:f>IF(OR(F62="",F62=0,I62=""),"",I62/F62-1)</x:f>
        <x:v>0.036013610724154654</x:v>
      </x:c>
      <x:c r="K62" s="35" t="n">
        <x:v>0.920691</x:v>
      </x:c>
      <x:c r="L62" s="35" t="n">
        <x:v>0.905306</x:v>
      </x:c>
      <x:c r="M62" s="43" t="n">
        <x:f>IF(OR(K62="",L62=""),"",L62-K62)</x:f>
        <x:v>-0.015384999999999982</x:v>
      </x:c>
      <x:c r="N62" s="35" t="n">
        <x:v>0.893216</x:v>
      </x:c>
      <x:c r="O62" s="43" t="n">
        <x:f>IF(OR(K62="",N62=""),"",N62-K62)</x:f>
        <x:v>-0.027475000000000027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20" t="str">
        <x:v>新北市</x:v>
      </x:c>
      <x:c r="B63" s="20" t="str">
        <x:v>ZX1</x:v>
      </x:c>
      <x:c r="C63" s="40" t="n">
        <x:v>17</x:v>
      </x:c>
      <x:c r="D63" s="40" t="n">
        <x:v>18</x:v>
      </x:c>
      <x:c r="E63" s="40" t="n">
        <x:v>13</x:v>
      </x:c>
      <x:c r="F63" s="23" t="n">
        <x:v>3893.8</x:v>
      </x:c>
      <x:c r="G63" s="23" t="n">
        <x:v>4107</x:v>
      </x:c>
      <x:c r="H63" s="44" t="n">
        <x:f>IF(OR(F63="",F63=0,G63=""),"",G63/F63-1)</x:f>
        <x:v>0.05475371102778781</x:v>
      </x:c>
      <x:c r="I63" s="23" t="n">
        <x:v>4447.2</x:v>
      </x:c>
      <x:c r="J63" s="44" t="n">
        <x:f>IF(OR(F63="",F63=0,I63=""),"",I63/F63-1)</x:f>
        <x:v>0.14212337562278488</x:v>
      </x:c>
      <x:c r="K63" s="24" t="n">
        <x:v>0.965595</x:v>
      </x:c>
      <x:c r="L63" s="24" t="n">
        <x:v>0.952743</x:v>
      </x:c>
      <x:c r="M63" s="44" t="n">
        <x:f>IF(OR(K63="",L63=""),"",L63-K63)</x:f>
        <x:v>-0.012851999999999975</x:v>
      </x:c>
      <x:c r="N63" s="24" t="n">
        <x:v>0.961582</x:v>
      </x:c>
      <x:c r="O63" s="44" t="n">
        <x:f>IF(OR(K63="",N63=""),"",N63-K63)</x:f>
        <x:v>-0.004012999999999933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25" t="str">
        <x:v>新北市</x:v>
      </x:c>
      <x:c r="B64" s="25" t="str">
        <x:v>ZX2</x:v>
      </x:c>
      <x:c r="C64" s="39" t="n">
        <x:v>17</x:v>
      </x:c>
      <x:c r="D64" s="39" t="n">
        <x:v>18</x:v>
      </x:c>
      <x:c r="E64" s="39" t="n">
        <x:v>13</x:v>
      </x:c>
      <x:c r="F64" s="34" t="n">
        <x:v>4535.5</x:v>
      </x:c>
      <x:c r="G64" s="34" t="n">
        <x:v>4612.9</x:v>
      </x:c>
      <x:c r="H64" s="43" t="n">
        <x:f>IF(OR(F64="",F64=0,G64=""),"",G64/F64-1)</x:f>
        <x:v>0.01706537316723611</x:v>
      </x:c>
      <x:c r="I64" s="34" t="n">
        <x:v>5130.4</x:v>
      </x:c>
      <x:c r="J64" s="43" t="n">
        <x:f>IF(OR(F64="",F64=0,I64=""),"",I64/F64-1)</x:f>
        <x:v>0.13116525190166461</x:v>
      </x:c>
      <x:c r="K64" s="35" t="n">
        <x:v>0.954255</x:v>
      </x:c>
      <x:c r="L64" s="35" t="n">
        <x:v>0.942436</x:v>
      </x:c>
      <x:c r="M64" s="43" t="n">
        <x:f>IF(OR(K64="",L64=""),"",L64-K64)</x:f>
        <x:v>-0.011818999999999913</x:v>
      </x:c>
      <x:c r="N64" s="35" t="n">
        <x:v>0.94975</x:v>
      </x:c>
      <x:c r="O64" s="43" t="n">
        <x:f>IF(OR(K64="",N64=""),"",N64-K64)</x:f>
        <x:v>-0.004504999999999981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O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" hidden="0" customWidth="1"/>
    <x:col min="5" max="5" width="34" hidden="0" customWidth="1"/>
    <x:col min="6" max="6" width="16" hidden="0" customWidth="1"/>
    <x:col min="7" max="7" width="15" hidden="0" customWidth="1"/>
    <x:col min="8" max="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有效日期與來源檔案</x:v>
      </x:c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星期一至五，且台北市2.0＋2.0E全天使用次數大於200,000；9月排除9/28、10月排除10/9；10月資料截至10/25，完整平日截至10/23。</x:v>
      </x:c>
      <x:c r="B3" s="5"/>
      <x:c r="C3" s="5"/>
      <x:c r="D3" s="5"/>
      <x:c r="E3" s="5"/>
      <x:c r="F3" s="5"/>
      <x:c r="G3" s="5"/>
      <x:c r="H3" s="5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customHeight="1">
      <x:c r="A5" s="11" t="str">
        <x:v>有效日期</x:v>
      </x:c>
      <x:c r="B5" s="12" t="str">
        <x:v>有效日期</x:v>
      </x:c>
      <x:c r="C5" s="13" t="str">
        <x:v>有效日期</x:v>
      </x:c>
      <x:c r="D5" s="1"/>
      <x:c r="E5" s="11" t="str">
        <x:v>VDS任務報表匯出</x:v>
      </x:c>
      <x:c r="F5" s="12"/>
      <x:c r="G5" s="12"/>
      <x:c r="H5" s="13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18" t="str">
        <x:v>月份</x:v>
      </x:c>
      <x:c r="B6" s="18" t="str">
        <x:v>日期</x:v>
      </x:c>
      <x:c r="C6" s="18" t="str">
        <x:v>台北市全天用量</x:v>
      </x:c>
      <x:c r="D6" s="1"/>
      <x:c r="E6" s="18" t="str">
        <x:v>檔案</x:v>
      </x:c>
      <x:c r="F6" s="18" t="str">
        <x:v>城市／月份</x:v>
      </x:c>
      <x:c r="G6" s="18" t="str">
        <x:v>原始列數</x:v>
      </x:c>
      <x:c r="H6" s="18" t="str">
        <x:v>有效日期列數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5" t="str">
        <x:v>5月</x:v>
      </x:c>
      <x:c r="B7" s="47" t="d">
        <x:v>2026-05-06T00:00:00.000Z</x:v>
      </x:c>
      <x:c r="C7" s="34" t="n">
        <x:v>318827</x:v>
      </x:c>
      <x:c r="D7" s="1"/>
      <x:c r="E7" s="20" t="str">
        <x:v>task_taipei_2026-09.xlsx</x:v>
      </x:c>
      <x:c r="F7" s="20" t="str">
        <x:v>台北市／9月</x:v>
      </x:c>
      <x:c r="G7" s="23" t="n">
        <x:v>100540</x:v>
      </x:c>
      <x:c r="H7" s="23" t="n">
        <x:v>69263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0" t="str">
        <x:v>5月</x:v>
      </x:c>
      <x:c r="B8" s="48" t="d">
        <x:v>2026-05-07T00:00:00.000Z</x:v>
      </x:c>
      <x:c r="C8" s="23" t="n">
        <x:v>294985</x:v>
      </x:c>
      <x:c r="D8" s="1"/>
      <x:c r="E8" s="20" t="str">
        <x:v>task_newtaipei_2026-09.xlsx</x:v>
      </x:c>
      <x:c r="F8" s="20" t="str">
        <x:v>新北市／9月</x:v>
      </x:c>
      <x:c r="G8" s="23" t="n">
        <x:v>113357</x:v>
      </x:c>
      <x:c r="H8" s="23" t="n">
        <x:v>78327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5" t="str">
        <x:v>5月</x:v>
      </x:c>
      <x:c r="B9" s="47" t="d">
        <x:v>2026-05-08T00:00:00.000Z</x:v>
      </x:c>
      <x:c r="C9" s="34" t="n">
        <x:v>299662</x:v>
      </x:c>
      <x:c r="D9" s="1"/>
      <x:c r="E9" s="20" t="str">
        <x:v>task_taipei_2026-10-01_25.xlsx</x:v>
      </x:c>
      <x:c r="F9" s="20" t="str">
        <x:v>台北市／10月</x:v>
      </x:c>
      <x:c r="G9" s="23" t="n">
        <x:v>81579</x:v>
      </x:c>
      <x:c r="H9" s="23" t="n">
        <x:v>52580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0" t="str">
        <x:v>5月</x:v>
      </x:c>
      <x:c r="B10" s="48" t="d">
        <x:v>2026-05-11T00:00:00.000Z</x:v>
      </x:c>
      <x:c r="C10" s="23" t="n">
        <x:v>299174</x:v>
      </x:c>
      <x:c r="D10" s="1"/>
      <x:c r="E10" s="20" t="str">
        <x:v>task_newtaipei_2026-10-01_25.xlsx</x:v>
      </x:c>
      <x:c r="F10" s="20" t="str">
        <x:v>新北市／10月</x:v>
      </x:c>
      <x:c r="G10" s="23" t="n">
        <x:v>91712</x:v>
      </x:c>
      <x:c r="H10" s="23" t="n">
        <x:v>59530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5" t="str">
        <x:v>5月</x:v>
      </x:c>
      <x:c r="B11" s="47" t="d">
        <x:v>2026-05-12T00:00:00.000Z</x:v>
      </x:c>
      <x:c r="C11" s="34" t="n">
        <x:v>314020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0" t="str">
        <x:v>5月</x:v>
      </x:c>
      <x:c r="B12" s="48" t="d">
        <x:v>2026-05-14T00:00:00.000Z</x:v>
      </x:c>
      <x:c r="C12" s="23" t="n">
        <x:v>215856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5" t="str">
        <x:v>5月</x:v>
      </x:c>
      <x:c r="B13" s="47" t="d">
        <x:v>2026-05-15T00:00:00.000Z</x:v>
      </x:c>
      <x:c r="C13" s="34" t="n">
        <x:v>334746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0" t="str">
        <x:v>5月</x:v>
      </x:c>
      <x:c r="B14" s="48" t="d">
        <x:v>2026-05-18T00:00:00.000Z</x:v>
      </x:c>
      <x:c r="C14" s="23" t="n">
        <x:v>300719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5" t="str">
        <x:v>5月</x:v>
      </x:c>
      <x:c r="B15" s="47" t="d">
        <x:v>2026-05-19T00:00:00.000Z</x:v>
      </x:c>
      <x:c r="C15" s="34" t="n">
        <x:v>310624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0" t="str">
        <x:v>5月</x:v>
      </x:c>
      <x:c r="B16" s="48" t="d">
        <x:v>2026-05-20T00:00:00.000Z</x:v>
      </x:c>
      <x:c r="C16" s="23" t="n">
        <x:v>310528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5" t="str">
        <x:v>5月</x:v>
      </x:c>
      <x:c r="B17" s="47" t="d">
        <x:v>2026-05-21T00:00:00.000Z</x:v>
      </x:c>
      <x:c r="C17" s="34" t="n">
        <x:v>294941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0" t="str">
        <x:v>5月</x:v>
      </x:c>
      <x:c r="B18" s="48" t="d">
        <x:v>2026-05-22T00:00:00.000Z</x:v>
      </x:c>
      <x:c r="C18" s="23" t="n">
        <x:v>322409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5" t="str">
        <x:v>5月</x:v>
      </x:c>
      <x:c r="B19" s="47" t="d">
        <x:v>2026-05-25T00:00:00.000Z</x:v>
      </x:c>
      <x:c r="C19" s="34" t="n">
        <x:v>294909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0" t="str">
        <x:v>5月</x:v>
      </x:c>
      <x:c r="B20" s="48" t="d">
        <x:v>2026-05-26T00:00:00.000Z</x:v>
      </x:c>
      <x:c r="C20" s="23" t="n">
        <x:v>304340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5" t="str">
        <x:v>5月</x:v>
      </x:c>
      <x:c r="B21" s="47" t="d">
        <x:v>2026-05-27T00:00:00.000Z</x:v>
      </x:c>
      <x:c r="C21" s="34" t="n">
        <x:v>299524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0" t="str">
        <x:v>5月</x:v>
      </x:c>
      <x:c r="B22" s="48" t="d">
        <x:v>2026-05-28T00:00:00.000Z</x:v>
      </x:c>
      <x:c r="C22" s="23" t="n">
        <x:v>301890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5" t="str">
        <x:v>5月</x:v>
      </x:c>
      <x:c r="B23" s="47" t="d">
        <x:v>2026-05-29T00:00:00.000Z</x:v>
      </x:c>
      <x:c r="C23" s="34" t="n">
        <x:v>243458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0" t="str">
        <x:v>9月</x:v>
      </x:c>
      <x:c r="B24" s="48" t="d">
        <x:v>2026-09-02T00:00:00.000Z</x:v>
      </x:c>
      <x:c r="C24" s="23" t="n">
        <x:v>309416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5" t="str">
        <x:v>9月</x:v>
      </x:c>
      <x:c r="B25" s="47" t="d">
        <x:v>2026-09-07T00:00:00.000Z</x:v>
      </x:c>
      <x:c r="C25" s="34" t="n">
        <x:v>325144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0" t="str">
        <x:v>9月</x:v>
      </x:c>
      <x:c r="B26" s="48" t="d">
        <x:v>2026-09-08T00:00:00.000Z</x:v>
      </x:c>
      <x:c r="C26" s="23" t="n">
        <x:v>318369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5" t="str">
        <x:v>9月</x:v>
      </x:c>
      <x:c r="B27" s="47" t="d">
        <x:v>2026-09-09T00:00:00.000Z</x:v>
      </x:c>
      <x:c r="C27" s="34" t="n">
        <x:v>303343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0" t="str">
        <x:v>9月</x:v>
      </x:c>
      <x:c r="B28" s="48" t="d">
        <x:v>2026-09-10T00:00:00.000Z</x:v>
      </x:c>
      <x:c r="C28" s="23" t="n">
        <x:v>284033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5" t="str">
        <x:v>9月</x:v>
      </x:c>
      <x:c r="B29" s="47" t="d">
        <x:v>2026-09-11T00:00:00.000Z</x:v>
      </x:c>
      <x:c r="C29" s="34" t="n">
        <x:v>212349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0" t="str">
        <x:v>9月</x:v>
      </x:c>
      <x:c r="B30" s="48" t="d">
        <x:v>2026-09-14T00:00:00.000Z</x:v>
      </x:c>
      <x:c r="C30" s="23" t="n">
        <x:v>255038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5" t="str">
        <x:v>9月</x:v>
      </x:c>
      <x:c r="B31" s="47" t="d">
        <x:v>2026-09-15T00:00:00.000Z</x:v>
      </x:c>
      <x:c r="C31" s="34" t="n">
        <x:v>303496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0" t="str">
        <x:v>9月</x:v>
      </x:c>
      <x:c r="B32" s="48" t="d">
        <x:v>2026-09-16T00:00:00.000Z</x:v>
      </x:c>
      <x:c r="C32" s="23" t="n">
        <x:v>324603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5" t="str">
        <x:v>9月</x:v>
      </x:c>
      <x:c r="B33" s="47" t="d">
        <x:v>2026-09-17T00:00:00.000Z</x:v>
      </x:c>
      <x:c r="C33" s="34" t="n">
        <x:v>319880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0" t="str">
        <x:v>9月</x:v>
      </x:c>
      <x:c r="B34" s="48" t="d">
        <x:v>2026-09-18T00:00:00.000Z</x:v>
      </x:c>
      <x:c r="C34" s="23" t="n">
        <x:v>329761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5" t="str">
        <x:v>9月</x:v>
      </x:c>
      <x:c r="B35" s="47" t="d">
        <x:v>2026-09-21T00:00:00.000Z</x:v>
      </x:c>
      <x:c r="C35" s="34" t="n">
        <x:v>311269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0" t="str">
        <x:v>9月</x:v>
      </x:c>
      <x:c r="B36" s="48" t="d">
        <x:v>2026-09-22T00:00:00.000Z</x:v>
      </x:c>
      <x:c r="C36" s="23" t="n">
        <x:v>313139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5" t="str">
        <x:v>9月</x:v>
      </x:c>
      <x:c r="B37" s="47" t="d">
        <x:v>2026-09-23T00:00:00.000Z</x:v>
      </x:c>
      <x:c r="C37" s="34" t="n">
        <x:v>322524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0" t="str">
        <x:v>9月</x:v>
      </x:c>
      <x:c r="B38" s="48" t="d">
        <x:v>2026-09-24T00:00:00.000Z</x:v>
      </x:c>
      <x:c r="C38" s="23" t="n">
        <x:v>320766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5" t="str">
        <x:v>9月</x:v>
      </x:c>
      <x:c r="B39" s="47" t="d">
        <x:v>2026-09-25T00:00:00.000Z</x:v>
      </x:c>
      <x:c r="C39" s="34" t="n">
        <x:v>212419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0" t="str">
        <x:v>9月</x:v>
      </x:c>
      <x:c r="B40" s="48" t="d">
        <x:v>2026-09-29T00:00:00.000Z</x:v>
      </x:c>
      <x:c r="C40" s="23" t="n">
        <x:v>314208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5" t="str">
        <x:v>9月</x:v>
      </x:c>
      <x:c r="B41" s="47" t="d">
        <x:v>2026-09-30T00:00:00.000Z</x:v>
      </x:c>
      <x:c r="C41" s="34" t="n">
        <x:v>325945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0" t="str">
        <x:v>10月</x:v>
      </x:c>
      <x:c r="B42" s="48" t="d">
        <x:v>2026-10-01T00:00:00.000Z</x:v>
      </x:c>
      <x:c r="C42" s="23" t="n">
        <x:v>319261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5" t="str">
        <x:v>10月</x:v>
      </x:c>
      <x:c r="B43" s="47" t="d">
        <x:v>2026-10-02T00:00:00.000Z</x:v>
      </x:c>
      <x:c r="C43" s="34" t="n">
        <x:v>293623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0" t="str">
        <x:v>10月</x:v>
      </x:c>
      <x:c r="B44" s="48" t="d">
        <x:v>2026-10-06T00:00:00.000Z</x:v>
      </x:c>
      <x:c r="C44" s="23" t="n">
        <x:v>316384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5" t="str">
        <x:v>10月</x:v>
      </x:c>
      <x:c r="B45" s="47" t="d">
        <x:v>2026-10-07T00:00:00.000Z</x:v>
      </x:c>
      <x:c r="C45" s="34" t="n">
        <x:v>336526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0" t="str">
        <x:v>10月</x:v>
      </x:c>
      <x:c r="B46" s="48" t="d">
        <x:v>2026-10-08T00:00:00.000Z</x:v>
      </x:c>
      <x:c r="C46" s="23" t="n">
        <x:v>340584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5" t="str">
        <x:v>10月</x:v>
      </x:c>
      <x:c r="B47" s="47" t="d">
        <x:v>2026-10-12T00:00:00.000Z</x:v>
      </x:c>
      <x:c r="C47" s="34" t="n">
        <x:v>315957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0" t="str">
        <x:v>10月</x:v>
      </x:c>
      <x:c r="B48" s="48" t="d">
        <x:v>2026-10-13T00:00:00.000Z</x:v>
      </x:c>
      <x:c r="C48" s="23" t="n">
        <x:v>327083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5" t="str">
        <x:v>10月</x:v>
      </x:c>
      <x:c r="B49" s="47" t="d">
        <x:v>2026-10-14T00:00:00.000Z</x:v>
      </x:c>
      <x:c r="C49" s="34" t="n">
        <x:v>326697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0" t="str">
        <x:v>10月</x:v>
      </x:c>
      <x:c r="B50" s="48" t="d">
        <x:v>2026-10-15T00:00:00.000Z</x:v>
      </x:c>
      <x:c r="C50" s="23" t="n">
        <x:v>328261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5" t="str">
        <x:v>10月</x:v>
      </x:c>
      <x:c r="B51" s="47" t="d">
        <x:v>2026-10-16T00:00:00.000Z</x:v>
      </x:c>
      <x:c r="C51" s="34" t="n">
        <x:v>335398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0" t="str">
        <x:v>10月</x:v>
      </x:c>
      <x:c r="B52" s="48" t="d">
        <x:v>2026-10-19T00:00:00.000Z</x:v>
      </x:c>
      <x:c r="C52" s="23" t="n">
        <x:v>311123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5" t="str">
        <x:v>10月</x:v>
      </x:c>
      <x:c r="B53" s="47" t="d">
        <x:v>2026-10-20T00:00:00.000Z</x:v>
      </x:c>
      <x:c r="C53" s="34" t="n">
        <x:v>323768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0" t="str">
        <x:v>10月</x:v>
      </x:c>
      <x:c r="B54" s="48" t="d">
        <x:v>2026-10-21T00:00:00.000Z</x:v>
      </x:c>
      <x:c r="C54" s="23" t="n">
        <x:v>246618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4" customHeight="1">
      <x:c r="A57" s="11" t="str">
        <x:v>資料範圍</x:v>
      </x:c>
      <x:c r="B57" s="12" t="str">
        <x:v>資料範圍</x:v>
      </x:c>
      <x:c r="C57" s="12" t="str">
        <x:v>資料範圍</x:v>
      </x:c>
      <x:c r="D57" s="12" t="str">
        <x:v>資料範圍</x:v>
      </x:c>
      <x:c r="E57" s="12" t="str">
        <x:v>資料範圍</x:v>
      </x:c>
      <x:c r="F57" s="12" t="str">
        <x:v>資料範圍</x:v>
      </x:c>
      <x:c r="G57" s="12" t="str">
        <x:v>資料範圍</x:v>
      </x:c>
      <x:c r="H57" s="13" t="str">
        <x:v>資料範圍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8" customHeight="1">
      <x:c r="A58" s="54" t="str">
        <x:v>VDS任務報表</x:v>
      </x:c>
      <x:c r="B58" s="55" t="str">
        <x:v>台北／新北各匯出9月、10月；一列計一次任務，日期與小時取更新時間。</x:v>
      </x:c>
      <x:c r="C58" s="55"/>
      <x:c r="D58" s="55"/>
      <x:c r="E58" s="55"/>
      <x:c r="F58" s="55"/>
      <x:c r="G58" s="55"/>
      <x:c r="H58" s="55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28" customHeight="1">
      <x:c r="A59" s="54" t="str">
        <x:v>任務來源</x:v>
      </x:c>
      <x:c r="B59" s="55" t="str">
        <x:v>推薦場站、場站資訊、場站地圖。</x:v>
      </x:c>
      <x:c r="C59" s="55"/>
      <x:c r="D59" s="55"/>
      <x:c r="E59" s="55"/>
      <x:c r="F59" s="55"/>
      <x:c r="G59" s="55"/>
      <x:c r="H59" s="55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8" customHeight="1">
      <x:c r="A60" s="54" t="str">
        <x:v>用量</x:v>
      </x:c>
      <x:c r="B60" s="55" t="str">
        <x:v>CPS 2.0＋2.0E；區域比較為06:00–23:59日均。</x:v>
      </x:c>
      <x:c r="C60" s="55"/>
      <x:c r="D60" s="55"/>
      <x:c r="E60" s="55"/>
      <x:c r="F60" s="55"/>
      <x:c r="G60" s="55"/>
      <x:c r="H60" s="55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8" customHeight="1">
      <x:c r="A61" s="54" t="str">
        <x:v>見車率</x:v>
      </x:c>
      <x:c r="B61" s="55" t="str">
        <x:v>Report見車率；06:00–23:59平均。</x:v>
      </x:c>
      <x:c r="C61" s="55"/>
      <x:c r="D61" s="55"/>
      <x:c r="E61" s="55"/>
      <x:c r="F61" s="55"/>
      <x:c r="G61" s="55"/>
      <x:c r="H61" s="55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28" customHeight="1">
      <x:c r="A62" s="54" t="str">
        <x:v>有效日期</x:v>
      </x:c>
      <x:c r="B62" s="55" t="str">
        <x:v>同一批台北平日全天用量超過20萬日期套用台北與新北。</x:v>
      </x:c>
      <x:c r="C62" s="55"/>
      <x:c r="D62" s="55"/>
      <x:c r="E62" s="55"/>
      <x:c r="F62" s="55"/>
      <x:c r="G62" s="55"/>
      <x:c r="H62" s="55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28" customHeight="1">
      <x:c r="A63" s="54" t="str">
        <x:v>VDS頁面</x:v>
      </x:c>
      <x:c r="B63" s="55" t="str">
        <x:v>https://vds.youbike2.com/Record/Task</x:v>
      </x:c>
      <x:c r="C63" s="55"/>
      <x:c r="D63" s="55"/>
      <x:c r="E63" s="55"/>
      <x:c r="F63" s="55"/>
      <x:c r="G63" s="55"/>
      <x:c r="H63" s="55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</x:sheetData>
  <x:mergeCells>
    <x:mergeCell ref="A3:H3"/>
    <x:mergeCell ref="A5:C5"/>
    <x:mergeCell ref="E5:H5"/>
    <x:mergeCell ref="A57:H57"/>
    <x:mergeCell ref="B58:H58"/>
    <x:mergeCell ref="B59:H59"/>
    <x:mergeCell ref="B60:H60"/>
    <x:mergeCell ref="B61:H61"/>
    <x:mergeCell ref="B62:H62"/>
    <x:mergeCell ref="B63:H63"/>
  </x:mergeCells>
  <x:pageMargins left="0.7" right="0.7" top="0.75" bottom="0.75" header="0.3" footer="0.3"/>
</x:worksheet>
</file>